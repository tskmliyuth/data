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360" yWindow="135" windowWidth="17175" windowHeight="6345" firstSheet="4" activeTab="4"/>
  </bookViews>
  <sheets>
    <sheet name="List of Twice Weeks Reports " sheetId="6" state="veryHidden" r:id="rId1"/>
    <sheet name="DDP" sheetId="3" state="veryHidden" r:id="rId2"/>
    <sheet name="DO" sheetId="4" state="veryHidden" r:id="rId3"/>
    <sheet name="Liquidity" sheetId="2" state="veryHidden" r:id="rId4"/>
    <sheet name="Macros" sheetId="5" r:id="rId5"/>
  </sheets>
  <calcPr calcId="144525"/>
</workbook>
</file>

<file path=xl/calcChain.xml><?xml version="1.0" encoding="utf-8"?>
<calcChain xmlns="http://schemas.openxmlformats.org/spreadsheetml/2006/main">
  <c r="J12" i="3" l="1"/>
  <c r="K27" i="4" l="1"/>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D108" i="4" l="1"/>
  <c r="K9" i="4"/>
  <c r="K10" i="4"/>
  <c r="K11" i="4"/>
  <c r="K12" i="4"/>
  <c r="K13" i="4"/>
  <c r="K14" i="4"/>
  <c r="K15" i="4"/>
  <c r="K16" i="4"/>
  <c r="K17" i="4"/>
  <c r="K18" i="4"/>
  <c r="K19" i="4"/>
  <c r="K20" i="4"/>
  <c r="K21" i="4"/>
  <c r="K22" i="4"/>
  <c r="K23" i="4"/>
  <c r="K24" i="4"/>
  <c r="K25" i="4"/>
  <c r="K26" i="4"/>
  <c r="J108" i="4"/>
  <c r="I108" i="4"/>
  <c r="H108" i="4"/>
  <c r="G108" i="4"/>
  <c r="F108" i="4"/>
  <c r="E108" i="4"/>
  <c r="K8" i="4"/>
  <c r="K108" i="4" s="1"/>
  <c r="H12" i="3"/>
  <c r="G12" i="3"/>
  <c r="F12" i="3"/>
  <c r="D12" i="3"/>
  <c r="C12" i="3"/>
  <c r="B12" i="3"/>
  <c r="I11" i="3"/>
  <c r="E11" i="3"/>
  <c r="I10" i="3"/>
  <c r="E10" i="3"/>
  <c r="I9" i="3"/>
  <c r="E9" i="3"/>
  <c r="I8" i="3"/>
  <c r="E8" i="3"/>
  <c r="F30" i="2"/>
  <c r="F29" i="2"/>
  <c r="F28" i="2"/>
  <c r="F27" i="2"/>
  <c r="F24" i="2"/>
  <c r="F23" i="2"/>
  <c r="F19" i="2"/>
  <c r="F18" i="2"/>
  <c r="E17" i="2"/>
  <c r="F17" i="2" s="1"/>
  <c r="F16" i="2"/>
  <c r="F15" i="2"/>
  <c r="F14" i="2"/>
  <c r="F13" i="2"/>
  <c r="E12" i="2"/>
  <c r="F12" i="2" s="1"/>
  <c r="J11" i="3" l="1"/>
  <c r="I12" i="3"/>
  <c r="J8" i="3"/>
  <c r="J10" i="3"/>
  <c r="E12" i="3"/>
  <c r="F20" i="2"/>
  <c r="F22" i="2" s="1"/>
  <c r="F21" i="2" s="1"/>
  <c r="E20" i="2"/>
  <c r="J9" i="3"/>
  <c r="F26" i="2" l="1"/>
  <c r="F25" i="2" s="1"/>
  <c r="F31" i="2" s="1"/>
  <c r="E26" i="2"/>
  <c r="E25" i="2" s="1"/>
  <c r="E22" i="2"/>
  <c r="E21" i="2" s="1"/>
  <c r="E31" i="2" l="1"/>
</calcChain>
</file>

<file path=xl/sharedStrings.xml><?xml version="1.0" encoding="utf-8"?>
<sst xmlns="http://schemas.openxmlformats.org/spreadsheetml/2006/main" count="165" uniqueCount="132">
  <si>
    <t>កាលបរិច្ឆេទៈ</t>
  </si>
  <si>
    <t>As of:</t>
  </si>
  <si>
    <t>ឈ្មោះធនាគារ:</t>
  </si>
  <si>
    <t>ទំរង់ Form: P-LR-M</t>
  </si>
  <si>
    <t>Name of Bank:</t>
  </si>
  <si>
    <t>អត្រាប្តូរប្រាក់:</t>
  </si>
  <si>
    <t>៤០០០</t>
  </si>
  <si>
    <t>រៀល/ដុល្លារអាមេរិក</t>
  </si>
  <si>
    <t>Exchange Rate​:</t>
  </si>
  <si>
    <t>KHR/USD</t>
  </si>
  <si>
    <r>
      <t xml:space="preserve">ការគណនាអនុបាតសាច់ប្រាក់ងាយស្រួល </t>
    </r>
    <r>
      <rPr>
        <b/>
        <sz val="10"/>
        <rFont val="Khmer OS Muol Light"/>
      </rPr>
      <t>Calculation of Liquidity Ratio:</t>
    </r>
  </si>
  <si>
    <t xml:space="preserve">   ជាលានរៀល
in Millions of KHRs</t>
  </si>
  <si>
    <t>A- ខ្ទង់ឥណពន្ធ Debit Items</t>
  </si>
  <si>
    <t>1-</t>
  </si>
  <si>
    <t>សាច់ប្រាក និងមាស Cash and gold</t>
  </si>
  <si>
    <t>2-</t>
  </si>
  <si>
    <t>ប្រាក់បញ្ញើនៅធនាគារជាតិនៃកម្ពុជា Deposits with NBC</t>
  </si>
  <si>
    <t>3-</t>
  </si>
  <si>
    <t>ប្រាក់បញ្ញើនៅធនាគារផ្សេងៗ Deposits with Banks</t>
  </si>
  <si>
    <t>4-</t>
  </si>
  <si>
    <t>ចំណែកនៃការឲ្យខ្ចីទៅធនាគារ  និងគ្រឹះស្ថានហិរញ្ញវត្ថុផ្សេង  ដែលមានរយៈពេលនៅសល់មិនលើស​ ពី១ខែ (លើកលែងតែឥណទានគ្មានកំណត់កាលវសាន្ត)​  Portion of lending to banks &amp; financial institutions with​​ not more than 1 month to run​ (excluding loans with no maturity​ date)</t>
  </si>
  <si>
    <t>B-</t>
  </si>
  <si>
    <t>ខ្ទង់ឥណទាន​​ Credit Items</t>
  </si>
  <si>
    <t>សមតុល្យឥណទាយីលើគណនីប្រាក់បញ្ញើគ្មានកាលកំណត់ដែលបើកនៅធនាគារជាតិនៃកម្ពុជា  នៅធនាគារ  និងនៅគ្រឹះស្ថានហិរញ្ញវត្ថុផ្សេង Credit balances on sight accounts maintained
with NBC, banks and financial institutions</t>
  </si>
  <si>
    <t>ប្រាក់ខ្ចីពីធនាគារជាតិនៃកម្ពុជា និងពីធនាគារផ្សេង ដែលមានរយៈពេល នៅសល់មិនលើសពី១ខែ Borrowings from NBC and banks with no more than 1 month to run</t>
  </si>
  <si>
    <t>C-</t>
  </si>
  <si>
    <t>ផលសងរវាង A និង B​ Difference Between A and B: (A) - (B)</t>
  </si>
  <si>
    <r>
      <t>I-</t>
    </r>
    <r>
      <rPr>
        <b/>
        <sz val="9"/>
        <rFont val="Khmer OS Muol Light"/>
      </rPr>
      <t xml:space="preserve"> សរុបខ្ទង់ភាគយកអនុបាត​ Total Numerator Items (1) + (2) + (3)</t>
    </r>
  </si>
  <si>
    <t>ខ្ទង់​ C បើសិន (A) - (B) &gt; 0  C if (A) - (B) &gt; 0</t>
  </si>
  <si>
    <t>ចំណែកនៃការឲ្យខ្ចីនៅសល់រយៈពេលមិនលើសពី១ខែ (លើកលែងតែឥណទានចំពោះអតិថិជន ដោយគ្មាន កាលវសាន្ត ដូចជាឥណទានលើសសមតុល្យ) Portion of Lending with not more than 1 month to run (excluding loans to customers with no maturity date - overdrafts for instance)</t>
  </si>
  <si>
    <t>ប័ណ្ណរតនាគារដែលមានរយៈពេលនៅសល់មិនលើសពី១ខែ​​ Treasury bills with not more than 1 month to run</t>
  </si>
  <si>
    <r>
      <t>II-</t>
    </r>
    <r>
      <rPr>
        <b/>
        <sz val="8"/>
        <rFont val="Khmer OS Muol Light"/>
      </rPr>
      <t xml:space="preserve"> សរុបខ្ទង់ភាគបែងអនុបាត​ Total Denominator Items (1) + (2) + (3) + (4) + (5)</t>
    </r>
  </si>
  <si>
    <t>តំលៃដាច់ខាតខ្ទង់​ C បើសិន (A) - (B) &lt; 0 Absolute Amount of C if (A) - (B) &lt; 0</t>
  </si>
  <si>
    <t>៨០%​ នៃចំណែកប្រាក់បញ្ញើមានកាលកំណត់ និងវិញ្ញាបនប័ត្រប្រាក់បញ្ញើដែលមានរយៈពេល នៅសល់មិនលើសពី១ខែ  80% of the portion of fixed deposits and certificates of deposits
having not more than 1 month to run</t>
  </si>
  <si>
    <t>៥០%​ នៃចំណែកប្រាក់បញ្ញើមានកាលកំណត់   និងវិញ្ញាបនប័ត្រប្រាក់បញ្ញើ ដែលមានរយៈពេល នៅសល់លើសពី១ខែ  50% of the portion of fixed deposits and certificates of deposits
having more than 1 month to run</t>
  </si>
  <si>
    <t>៥០% នៃប្រាក់បញ្ញើសញ្ជ័យ 50% of savings deposits</t>
  </si>
  <si>
    <t>5-</t>
  </si>
  <si>
    <t>៦០% នៃប្រាក់បញ្ញើគ្មានកាលកំណត់  60% of demand deposits</t>
  </si>
  <si>
    <r>
      <t xml:space="preserve">អនុបាតសាច់ប្រាក់ងាយស្រួល​​ </t>
    </r>
    <r>
      <rPr>
        <b/>
        <sz val="9"/>
        <rFont val="Khmer OS Muol Light"/>
      </rPr>
      <t xml:space="preserve">LIQUIDITY RATIO  = </t>
    </r>
    <r>
      <rPr>
        <b/>
        <sz val="9"/>
        <rFont val="Times New Roman"/>
        <family val="1"/>
      </rPr>
      <t>I / II (&gt; 50%)</t>
    </r>
  </si>
  <si>
    <t>កំណត់សំគាល់ៈ</t>
  </si>
  <si>
    <t>Note:</t>
  </si>
  <si>
    <t>Reporting date: day/month/year</t>
  </si>
  <si>
    <t xml:space="preserve">             នាយកធនាគារ                                                   អ្នកត្រួតពិនិត្យ</t>
  </si>
  <si>
    <t>អ្នកធ្វើតារាង</t>
  </si>
  <si>
    <t xml:space="preserve">               CEO/Director                                                        Verified by</t>
  </si>
  <si>
    <t>Prepared by</t>
  </si>
  <si>
    <t>​របាយការណ៍ប្រចាំពីរសប្តាហ៍ស្តីពី​ប្រតិបតិ្តការប្រាក់បញ្ញើ</t>
  </si>
  <si>
    <t>Date: dd/mm/yyyy</t>
  </si>
  <si>
    <t>Bank Name:</t>
  </si>
  <si>
    <t>Exchange Rate</t>
  </si>
  <si>
    <t>USD/KHR</t>
  </si>
  <si>
    <t>Type</t>
  </si>
  <si>
    <t>Deposits by Non-Bank</t>
  </si>
  <si>
    <t>Deposits by Bank</t>
  </si>
  <si>
    <t>Total</t>
  </si>
  <si>
    <t>Opening Balance</t>
  </si>
  <si>
    <t>Deposit</t>
  </si>
  <si>
    <t>Withdrawal</t>
  </si>
  <si>
    <t>Ending Balance</t>
  </si>
  <si>
    <t>Current</t>
  </si>
  <si>
    <t>Saving</t>
  </si>
  <si>
    <t>Fixed</t>
  </si>
  <si>
    <t>Others</t>
  </si>
  <si>
    <t>Approved by:</t>
  </si>
  <si>
    <t>Checked by:</t>
  </si>
  <si>
    <t>Prepared by:</t>
  </si>
  <si>
    <t>Twice Weeks Report on Liquidity Ratio</t>
  </si>
  <si>
    <r>
      <t>​</t>
    </r>
    <r>
      <rPr>
        <sz val="14"/>
        <color indexed="8"/>
        <rFont val="Khmer OS Muol Light"/>
      </rPr>
      <t>របាយការណ៍ប្រចាំពីរសប្តាហ៍ស្តីពីប្រាក់បញ្ញើនៅក្រៅប្រទេសកម្ពុជា</t>
    </r>
  </si>
  <si>
    <t xml:space="preserve"> Twice Weeks Reports on Deposit Outside Cambodia</t>
  </si>
  <si>
    <t>No.</t>
  </si>
  <si>
    <t>Bank Name</t>
  </si>
  <si>
    <t>Country</t>
  </si>
  <si>
    <t>Current Account</t>
  </si>
  <si>
    <t>Fixed Deposits</t>
  </si>
  <si>
    <t>Other Deposits</t>
  </si>
  <si>
    <t>1 Months</t>
  </si>
  <si>
    <t>6 Months</t>
  </si>
  <si>
    <t>12 Months</t>
  </si>
  <si>
    <t>More than 12 Months</t>
  </si>
  <si>
    <t>3 Months</t>
  </si>
  <si>
    <t>Twice Weeks Reports on Deposit Performance</t>
  </si>
  <si>
    <t>Please Enable Your Macro to use all the sheets</t>
  </si>
  <si>
    <t>Instruction to Enable Macro:</t>
  </si>
  <si>
    <r>
      <t xml:space="preserve">1. Click the </t>
    </r>
    <r>
      <rPr>
        <b/>
        <sz val="12"/>
        <color theme="1"/>
        <rFont val="Calibri"/>
        <family val="2"/>
        <scheme val="minor"/>
      </rPr>
      <t>Microsoft Office Button or Click File(Excel 2010)</t>
    </r>
  </si>
  <si>
    <r>
      <t xml:space="preserve">then Click  </t>
    </r>
    <r>
      <rPr>
        <b/>
        <sz val="12"/>
        <color theme="1"/>
        <rFont val="Calibri"/>
        <family val="2"/>
        <scheme val="minor"/>
      </rPr>
      <t>Excel Option</t>
    </r>
  </si>
  <si>
    <r>
      <t xml:space="preserve">2. Click </t>
    </r>
    <r>
      <rPr>
        <b/>
        <sz val="12"/>
        <color theme="1"/>
        <rFont val="Calibri"/>
        <family val="2"/>
        <scheme val="minor"/>
      </rPr>
      <t>Trust Center</t>
    </r>
    <r>
      <rPr>
        <sz val="12"/>
        <color theme="1"/>
        <rFont val="Calibri"/>
        <family val="2"/>
        <scheme val="minor"/>
      </rPr>
      <t xml:space="preserve">, click </t>
    </r>
    <r>
      <rPr>
        <b/>
        <sz val="12"/>
        <color theme="1"/>
        <rFont val="Calibri"/>
        <family val="2"/>
        <scheme val="minor"/>
      </rPr>
      <t>Trust Center Settings</t>
    </r>
    <r>
      <rPr>
        <sz val="12"/>
        <color theme="1"/>
        <rFont val="Calibri"/>
        <family val="2"/>
        <scheme val="minor"/>
      </rPr>
      <t xml:space="preserve">, and then click </t>
    </r>
    <r>
      <rPr>
        <b/>
        <sz val="12"/>
        <color theme="1"/>
        <rFont val="Calibri"/>
        <family val="2"/>
        <scheme val="minor"/>
      </rPr>
      <t>Macro Settings</t>
    </r>
    <r>
      <rPr>
        <sz val="12"/>
        <color theme="1"/>
        <rFont val="Calibri"/>
        <family val="2"/>
        <scheme val="minor"/>
      </rPr>
      <t>.</t>
    </r>
  </si>
  <si>
    <t>3. Click the options that you you need:</t>
  </si>
  <si>
    <r>
      <t>a-Choose-Enable all macros (not recommended, potentially dangerous code can run)</t>
    </r>
    <r>
      <rPr>
        <sz val="12"/>
        <color theme="1"/>
        <rFont val="Calibri"/>
        <family val="2"/>
        <scheme val="minor"/>
      </rPr>
      <t> Click this option to allow all macros to run.</t>
    </r>
  </si>
  <si>
    <t xml:space="preserve"> This setting makes your computer vulnerable to potentially malicious code and is not recommended.</t>
  </si>
  <si>
    <r>
      <t xml:space="preserve">b-Tick on </t>
    </r>
    <r>
      <rPr>
        <b/>
        <sz val="12"/>
        <color theme="1"/>
        <rFont val="Calibri"/>
        <family val="2"/>
        <scheme val="minor"/>
      </rPr>
      <t xml:space="preserve">Trust access to the VBA project object model  </t>
    </r>
  </si>
  <si>
    <t>c- Reopen your excel file to enable the macro</t>
  </si>
  <si>
    <t>Note: we need to enable macro to prevert  any copying from the original templates..</t>
  </si>
  <si>
    <t>ថ្លឹងជាដុល្លារ
 Weighted in USD</t>
  </si>
  <si>
    <t>​របាយការណ៍ប្រចាំពីរសប្តាហ៍ស្តីពីអនុបាតសាច់ប្រាក់ងាយស្រួល</t>
  </si>
  <si>
    <t>Contact NBC IT departement for adding new Rows and Cells Tel: 023- 63 09 431 (Help Desk)</t>
  </si>
  <si>
    <t>Contact NBC IT departement for adding new Rows and Cells Tel: 023-63 09 431(Help Desk)</t>
  </si>
  <si>
    <t>(គិតជា​រៀល)</t>
  </si>
  <si>
    <t>(In Khmer Riel)</t>
  </si>
  <si>
    <t>ភ្នំពេញ ថ្ងៃទី       ខែ           ឆ្នាំ ២០១២</t>
  </si>
  <si>
    <t>Prepared By</t>
  </si>
  <si>
    <t>Revised By</t>
  </si>
  <si>
    <t>Approved By</t>
  </si>
  <si>
    <t>រៀបចំដោយ</t>
  </si>
  <si>
    <t>ត្រួតពិនិត្យដោយ</t>
  </si>
  <si>
    <t>អនុញ្ញាតដោយ</t>
  </si>
  <si>
    <t>x</t>
  </si>
  <si>
    <t>Twice Weeks Reports</t>
  </si>
  <si>
    <t>TWICE WEEKS REPORT ON DEPOSIT OUTSIDE CAMBODIA</t>
  </si>
  <si>
    <t>​របាយការណ៍ប្រចំាំពីរសប្តាហ៍ស្តីពីប្រាក់បញ្ញើនៅក្រៅប្រទេសកម្ពុជា</t>
  </si>
  <si>
    <t>D-DOC-2-TW</t>
  </si>
  <si>
    <t>TWICE WEEKS REPORT ON DEPOSIT PERFORMANCE</t>
  </si>
  <si>
    <t>របាយការណ៏​ប្រចាំពីរសបា្តហ៍ស្តីពីប្រតិបតិ្តការទទួលប្រាក់បញ្ញើ</t>
  </si>
  <si>
    <t>D-DP-1-TW</t>
  </si>
  <si>
    <t>TWICE WEEKS REPORT ON LIQUIDITY RATIO</t>
  </si>
  <si>
    <t>របាយការណ៍ប្រចាំពីរសបា្តហ៍ស្តីពី អនុបាតសាច់ប្រាក់ងាយស្រួល</t>
  </si>
  <si>
    <t>P-LR-TW</t>
  </si>
  <si>
    <t>HARD</t>
  </si>
  <si>
    <t>SOFT</t>
  </si>
  <si>
    <t>ANNUAL</t>
  </si>
  <si>
    <t>QUARTERLY</t>
  </si>
  <si>
    <t>MONTHLY</t>
  </si>
  <si>
    <t>WEEKLY</t>
  </si>
  <si>
    <t>DAILY</t>
  </si>
  <si>
    <t>ជាភាសារអង់គ្លេស</t>
  </si>
  <si>
    <t>ជាភាសារខ្មែរ</t>
  </si>
  <si>
    <t>Type of Report</t>
  </si>
  <si>
    <t>Frequency of Report</t>
  </si>
  <si>
    <t>ចំនួនសន្លឹក​​ ក្នុងមួយច្បាប់</t>
  </si>
  <si>
    <t>ឈ្មោះរបាយការណ៍ថ្មី</t>
  </si>
  <si>
    <t>ទំរង់</t>
  </si>
  <si>
    <t>ល.រ</t>
  </si>
  <si>
    <t>បញ្ជីរាយឈ្មោះរបាយការណ៍ដែលត្រូវផ្តល់ជូនធនាគារជាតិនៃកម្ពុជាដោយគ្រឹះសា្ថនធនាគារ</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</si>
</sst>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_(* \(#,##0.00\);_(* \-??_);_(@_)"/>
    <numFmt numFmtId="165" formatCode="_(* #,##0_);_(* \(#,##0\);_(* \-??_);_(@_)"/>
  </numFmts>
  <fonts count="79" x14ac:knownFonts="1">
    <font>
      <sz val="11"/>
      <color theme="1"/>
      <name val="Calibri"/>
      <family val="2"/>
      <scheme val="minor"/>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name val="Arial"/>
      <family val="2"/>
    </font>
    <font>
      <b/>
      <sz val="10"/>
      <name val="Khmer OS Battambang"/>
    </font>
    <font>
      <b/>
      <sz val="9"/>
      <name val="Khmer OS Battambang"/>
    </font>
    <font>
      <sz val="8"/>
      <name val="Khmer OS Battambang"/>
    </font>
    <font>
      <sz val="10"/>
      <name val="Khmer OS Muol Light"/>
    </font>
    <font>
      <sz val="9"/>
      <name val="Khmer OS Battambang"/>
    </font>
    <font>
      <sz val="9"/>
      <name val="Khmer OS Muol Light"/>
    </font>
    <font>
      <sz val="8"/>
      <name val="Khmer OS Muol Light"/>
    </font>
    <font>
      <sz val="10"/>
      <name val="Khmer OS Battambang"/>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b/>
      <sz val="8"/>
      <name val="Times New Roman"/>
      <family val="1"/>
    </font>
    <font>
      <b/>
      <sz val="10"/>
      <name val="Khmer OS Muol Light"/>
    </font>
    <font>
      <b/>
      <sz val="10"/>
      <name val="Times New Roman"/>
      <family val="1"/>
    </font>
    <font>
      <b/>
      <sz val="9"/>
      <name val="Khmer OS Muol Light"/>
    </font>
    <font>
      <b/>
      <sz val="9"/>
      <name val="Times New Roman"/>
      <family val="1"/>
    </font>
    <font>
      <b/>
      <sz val="8"/>
      <name val="Khmer OS Battambang"/>
    </font>
    <font>
      <sz val="9"/>
      <name val="Times New Roman"/>
      <family val="1"/>
    </font>
    <font>
      <b/>
      <sz val="7"/>
      <name val="Times New Roman"/>
      <family val="1"/>
    </font>
    <font>
      <sz val="7"/>
      <name val="Arial"/>
      <family val="2"/>
    </font>
    <font>
      <sz val="7"/>
      <name val="Times New Roman"/>
      <family val="1"/>
    </font>
    <font>
      <b/>
      <sz val="8"/>
      <name val="Khmer OS Muol Light"/>
    </font>
    <font>
      <sz val="7"/>
      <name val="Khmer OS Battambang"/>
    </font>
    <font>
      <sz val="8"/>
      <color rgb="FFFF0000"/>
      <name val="Times New Roman"/>
      <family val="1"/>
    </font>
    <font>
      <b/>
      <sz val="10"/>
      <color theme="3" tint="0.39997558519241921"/>
      <name val="Arial"/>
      <family val="2"/>
    </font>
    <font>
      <sz val="11"/>
      <color theme="1"/>
      <name val="Calibri"/>
      <family val="2"/>
      <scheme val="minor"/>
    </font>
    <font>
      <b/>
      <sz val="11"/>
      <color theme="1"/>
      <name val="Calibri"/>
      <family val="2"/>
      <scheme val="minor"/>
    </font>
    <font>
      <sz val="14"/>
      <color theme="1"/>
      <name val="Khmer OS Muol Light"/>
    </font>
    <font>
      <sz val="14"/>
      <color theme="1"/>
      <name val="Calibri"/>
      <family val="2"/>
      <scheme val="minor"/>
    </font>
    <font>
      <b/>
      <sz val="16"/>
      <color theme="1"/>
      <name val="Calibri"/>
      <family val="2"/>
      <scheme val="minor"/>
    </font>
    <font>
      <b/>
      <sz val="12"/>
      <color theme="1"/>
      <name val="Calibri"/>
      <family val="2"/>
      <scheme val="minor"/>
    </font>
    <font>
      <sz val="14"/>
      <color indexed="8"/>
      <name val="Khmer OS Muol Light"/>
    </font>
    <font>
      <sz val="8"/>
      <color theme="1"/>
      <name val="Times New Roman"/>
      <family val="1"/>
    </font>
    <font>
      <sz val="20"/>
      <color theme="1"/>
      <name val="Calibri"/>
      <family val="2"/>
      <scheme val="minor"/>
    </font>
    <font>
      <sz val="10"/>
      <name val="Calibri"/>
      <family val="2"/>
      <scheme val="minor"/>
    </font>
    <font>
      <sz val="12"/>
      <color theme="1"/>
      <name val="Calibri"/>
      <family val="2"/>
      <scheme val="minor"/>
    </font>
    <font>
      <sz val="10"/>
      <color theme="1"/>
      <name val="Calibri"/>
      <family val="2"/>
      <scheme val="minor"/>
    </font>
    <font>
      <sz val="10"/>
      <color theme="1"/>
      <name val="MS Sans Serif"/>
      <family val="2"/>
    </font>
    <font>
      <u/>
      <sz val="10"/>
      <color theme="10"/>
      <name val="MS Sans Serif"/>
      <family val="2"/>
    </font>
    <font>
      <u/>
      <sz val="10"/>
      <color theme="1"/>
      <name val="Calibri"/>
      <family val="2"/>
      <scheme val="minor"/>
    </font>
    <font>
      <b/>
      <sz val="10"/>
      <color theme="1"/>
      <name val="Calibri"/>
      <family val="2"/>
      <scheme val="minor"/>
    </font>
    <font>
      <b/>
      <sz val="10"/>
      <name val="MS Sans Serif"/>
      <family val="2"/>
    </font>
    <font>
      <sz val="14"/>
      <name val="Cambria"/>
      <family val="1"/>
      <scheme val="major"/>
    </font>
    <font>
      <sz val="14"/>
      <name val="MS Sans Serif"/>
      <family val="2"/>
    </font>
    <font>
      <sz val="10"/>
      <name val="Arial"/>
      <family val="2"/>
    </font>
    <font>
      <b/>
      <u/>
      <sz val="10"/>
      <name val="Arial"/>
      <family val="2"/>
    </font>
    <font>
      <b/>
      <sz val="6"/>
      <name val="Arial"/>
      <family val="2"/>
    </font>
    <font>
      <b/>
      <sz val="8"/>
      <name val="Khmer OS"/>
    </font>
    <font>
      <b/>
      <sz val="11"/>
      <name val="Arial"/>
      <family val="2"/>
    </font>
    <font>
      <b/>
      <sz val="11"/>
      <name val="Khmer OS"/>
    </font>
    <font>
      <b/>
      <sz val="10"/>
      <name val="Khmer OS"/>
    </font>
    <font>
      <b/>
      <sz val="12"/>
      <name val="Khmer OS"/>
    </font>
    <font>
      <sz val="12"/>
      <name val="Khmer OS Muol Light"/>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indexed="1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s>
  <borders count="5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top style="hair">
        <color indexed="64"/>
      </top>
      <bottom style="hair">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hair">
        <color indexed="64"/>
      </top>
      <bottom style="hair">
        <color indexed="64"/>
      </bottom>
      <diagonal/>
    </border>
    <border>
      <left style="double">
        <color indexed="64"/>
      </left>
      <right/>
      <top style="hair">
        <color indexed="64"/>
      </top>
      <bottom/>
      <diagonal/>
    </border>
    <border>
      <left/>
      <right/>
      <top style="hair">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double">
        <color indexed="64"/>
      </top>
      <bottom style="thin">
        <color indexed="64"/>
      </bottom>
      <diagonal/>
    </border>
  </borders>
  <cellStyleXfs count="111">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164" fontId="2" fillId="0" borderId="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2" fillId="0" borderId="0" applyFont="0" applyFill="0" applyBorder="0" applyAlignment="0" applyProtection="0"/>
    <xf numFmtId="0" fontId="1"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51" fillId="0" borderId="0" applyFont="0" applyFill="0" applyBorder="0" applyAlignment="0" applyProtection="0"/>
    <xf numFmtId="9" fontId="51" fillId="0" borderId="0" applyFont="0" applyFill="0" applyBorder="0" applyAlignment="0" applyProtection="0"/>
    <xf numFmtId="43" fontId="1" fillId="0" borderId="0" applyFont="0" applyFill="0" applyBorder="0" applyAlignment="0" applyProtection="0"/>
    <xf numFmtId="0" fontId="64" fillId="0" borderId="0" applyNumberFormat="0" applyFill="0" applyBorder="0" applyAlignment="0" applyProtection="0"/>
    <xf numFmtId="43" fontId="1" fillId="0" borderId="0" applyFont="0" applyFill="0" applyBorder="0" applyAlignment="0" applyProtection="0"/>
    <xf numFmtId="164" fontId="1" fillId="0" borderId="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70" fillId="0" borderId="0"/>
  </cellStyleXfs>
  <cellXfs count="238">
    <xf numFmtId="0" fontId="0" fillId="0" borderId="0" xfId="0"/>
    <xf numFmtId="0" fontId="1" fillId="0" borderId="0" xfId="47"/>
    <xf numFmtId="0" fontId="34" fillId="0" borderId="0" xfId="47" applyFont="1"/>
    <xf numFmtId="0" fontId="35" fillId="0" borderId="0" xfId="47" applyFont="1" applyAlignment="1">
      <alignment horizontal="right"/>
    </xf>
    <xf numFmtId="0" fontId="37" fillId="0" borderId="0" xfId="47" applyFont="1" applyAlignment="1">
      <alignment horizontal="left" vertical="center"/>
    </xf>
    <xf numFmtId="0" fontId="21" fillId="0" borderId="0" xfId="47" applyFont="1" applyAlignment="1">
      <alignment horizontal="left" vertical="center"/>
    </xf>
    <xf numFmtId="0" fontId="36" fillId="0" borderId="0" xfId="47" applyFont="1" applyAlignment="1">
      <alignment horizontal="left" vertical="center"/>
    </xf>
    <xf numFmtId="0" fontId="1" fillId="0" borderId="0" xfId="47" applyAlignment="1">
      <alignment horizontal="left" vertical="center"/>
    </xf>
    <xf numFmtId="0" fontId="35" fillId="0" borderId="0" xfId="47" applyFont="1" applyAlignment="1">
      <alignment horizontal="left" vertical="center"/>
    </xf>
    <xf numFmtId="0" fontId="21" fillId="28" borderId="10" xfId="47" applyFont="1" applyFill="1" applyBorder="1" applyAlignment="1">
      <alignment horizontal="left" vertical="center"/>
    </xf>
    <xf numFmtId="0" fontId="24" fillId="28" borderId="15" xfId="47" applyFont="1" applyFill="1" applyBorder="1" applyAlignment="1">
      <alignment vertical="center"/>
    </xf>
    <xf numFmtId="0" fontId="24" fillId="28" borderId="15" xfId="47" applyFont="1" applyFill="1" applyBorder="1" applyAlignment="1">
      <alignment vertical="center" wrapText="1"/>
    </xf>
    <xf numFmtId="0" fontId="36" fillId="28" borderId="10" xfId="47" applyFont="1" applyFill="1" applyBorder="1" applyAlignment="1">
      <alignment horizontal="left" vertical="center"/>
    </xf>
    <xf numFmtId="0" fontId="36" fillId="28" borderId="15" xfId="47" applyFont="1" applyFill="1" applyBorder="1" applyAlignment="1">
      <alignment horizontal="left" vertical="center"/>
    </xf>
    <xf numFmtId="0" fontId="27" fillId="28" borderId="15" xfId="47" applyFont="1" applyFill="1" applyBorder="1" applyAlignment="1">
      <alignment horizontal="left" vertical="center" wrapText="1"/>
    </xf>
    <xf numFmtId="0" fontId="39" fillId="28" borderId="15" xfId="47" applyFont="1" applyFill="1" applyBorder="1" applyAlignment="1">
      <alignment horizontal="left" vertical="center"/>
    </xf>
    <xf numFmtId="0" fontId="23" fillId="28" borderId="15" xfId="47" applyFont="1" applyFill="1" applyBorder="1" applyAlignment="1">
      <alignment horizontal="left" vertical="center"/>
    </xf>
    <xf numFmtId="0" fontId="1" fillId="28" borderId="15" xfId="47" applyFill="1" applyBorder="1" applyAlignment="1">
      <alignment horizontal="left" vertical="center"/>
    </xf>
    <xf numFmtId="0" fontId="35" fillId="28" borderId="10" xfId="47" applyFont="1" applyFill="1" applyBorder="1" applyAlignment="1">
      <alignment horizontal="left" vertical="center"/>
    </xf>
    <xf numFmtId="0" fontId="37" fillId="28" borderId="15" xfId="47" applyFont="1" applyFill="1" applyBorder="1" applyAlignment="1">
      <alignment horizontal="left" vertical="center"/>
    </xf>
    <xf numFmtId="0" fontId="35" fillId="28" borderId="15" xfId="47" applyFont="1" applyFill="1" applyBorder="1" applyAlignment="1">
      <alignment horizontal="left" vertical="center"/>
    </xf>
    <xf numFmtId="0" fontId="30" fillId="28" borderId="15" xfId="47" applyFont="1" applyFill="1" applyBorder="1" applyAlignment="1">
      <alignment horizontal="left" vertical="center" wrapText="1"/>
    </xf>
    <xf numFmtId="0" fontId="27" fillId="28" borderId="15" xfId="47" applyFont="1" applyFill="1" applyBorder="1" applyAlignment="1">
      <alignment horizontal="left" vertical="center"/>
    </xf>
    <xf numFmtId="0" fontId="1" fillId="28" borderId="10" xfId="47" applyFill="1" applyBorder="1" applyAlignment="1">
      <alignment horizontal="left" vertical="center"/>
    </xf>
    <xf numFmtId="0" fontId="42" fillId="28" borderId="15" xfId="47" applyFont="1" applyFill="1" applyBorder="1" applyAlignment="1">
      <alignment horizontal="left" vertical="center" wrapText="1"/>
    </xf>
    <xf numFmtId="0" fontId="36" fillId="28" borderId="19" xfId="47" applyFont="1" applyFill="1" applyBorder="1" applyAlignment="1">
      <alignment horizontal="left" vertical="center"/>
    </xf>
    <xf numFmtId="0" fontId="37" fillId="28" borderId="20" xfId="47" applyFont="1" applyFill="1" applyBorder="1" applyAlignment="1">
      <alignment horizontal="left" vertical="center"/>
    </xf>
    <xf numFmtId="0" fontId="50" fillId="0" borderId="0" xfId="47" applyFont="1" applyAlignment="1" applyProtection="1">
      <alignment wrapText="1"/>
      <protection locked="0"/>
    </xf>
    <xf numFmtId="2" fontId="46" fillId="27" borderId="0" xfId="47" applyNumberFormat="1" applyFont="1" applyFill="1" applyAlignment="1" applyProtection="1">
      <alignment horizontal="left" vertical="top"/>
      <protection locked="0"/>
    </xf>
    <xf numFmtId="0" fontId="35" fillId="28" borderId="0" xfId="47" applyFont="1" applyFill="1" applyProtection="1">
      <protection locked="0"/>
    </xf>
    <xf numFmtId="0" fontId="48" fillId="0" borderId="0" xfId="47" applyFont="1" applyAlignment="1" applyProtection="1">
      <alignment horizontal="left" vertical="center" wrapText="1"/>
      <protection locked="0"/>
    </xf>
    <xf numFmtId="0" fontId="48" fillId="0" borderId="0" xfId="47" applyFont="1" applyAlignment="1" applyProtection="1">
      <alignment horizontal="left"/>
      <protection locked="0"/>
    </xf>
    <xf numFmtId="0" fontId="49" fillId="0" borderId="0" xfId="47" applyFont="1" applyProtection="1">
      <protection locked="0"/>
    </xf>
    <xf numFmtId="0" fontId="36" fillId="0" borderId="0" xfId="47" applyFont="1" applyProtection="1">
      <protection locked="0"/>
    </xf>
    <xf numFmtId="0" fontId="45" fillId="0" borderId="0" xfId="47" applyFont="1" applyAlignment="1" applyProtection="1">
      <alignment vertical="center"/>
      <protection locked="0"/>
    </xf>
    <xf numFmtId="43" fontId="22" fillId="0" borderId="0" xfId="75" applyNumberFormat="1" applyFont="1" applyAlignment="1" applyProtection="1">
      <alignment wrapText="1"/>
      <protection locked="0"/>
    </xf>
    <xf numFmtId="43" fontId="45" fillId="0" borderId="0" xfId="75" applyNumberFormat="1" applyFont="1" applyProtection="1">
      <protection locked="0"/>
    </xf>
    <xf numFmtId="0" fontId="22" fillId="0" borderId="0" xfId="47" applyFont="1" applyAlignment="1" applyProtection="1">
      <alignment wrapText="1"/>
      <protection locked="0"/>
    </xf>
    <xf numFmtId="0" fontId="25" fillId="28" borderId="0" xfId="47" applyFont="1" applyFill="1" applyBorder="1" applyAlignment="1" applyProtection="1">
      <alignment vertical="center" wrapText="1"/>
      <protection locked="0"/>
    </xf>
    <xf numFmtId="4" fontId="31" fillId="28" borderId="18" xfId="94" applyNumberFormat="1" applyFont="1" applyFill="1" applyBorder="1" applyAlignment="1" applyProtection="1">
      <alignment horizontal="right" vertical="center" wrapText="1"/>
    </xf>
    <xf numFmtId="4" fontId="31" fillId="28" borderId="11" xfId="94" applyNumberFormat="1" applyFont="1" applyFill="1" applyBorder="1" applyAlignment="1" applyProtection="1">
      <alignment horizontal="right" vertical="center"/>
    </xf>
    <xf numFmtId="43" fontId="20" fillId="28" borderId="11" xfId="94" applyNumberFormat="1" applyFont="1" applyFill="1" applyBorder="1" applyAlignment="1" applyProtection="1">
      <alignment horizontal="right" vertical="center"/>
    </xf>
    <xf numFmtId="4" fontId="31" fillId="24" borderId="18" xfId="94" applyNumberFormat="1" applyFont="1" applyFill="1" applyBorder="1" applyAlignment="1" applyProtection="1">
      <alignment horizontal="right" vertical="center" wrapText="1"/>
    </xf>
    <xf numFmtId="4" fontId="31" fillId="24" borderId="11" xfId="94" applyNumberFormat="1" applyFont="1" applyFill="1" applyBorder="1" applyAlignment="1" applyProtection="1">
      <alignment horizontal="right" vertical="center"/>
    </xf>
    <xf numFmtId="43" fontId="20" fillId="28" borderId="18" xfId="96" applyNumberFormat="1" applyFont="1" applyFill="1" applyBorder="1" applyAlignment="1" applyProtection="1">
      <alignment horizontal="center" vertical="center" wrapText="1"/>
    </xf>
    <xf numFmtId="43" fontId="20" fillId="28" borderId="11" xfId="96" applyNumberFormat="1" applyFont="1" applyFill="1" applyBorder="1" applyAlignment="1" applyProtection="1">
      <alignment horizontal="right" vertical="center"/>
    </xf>
    <xf numFmtId="4" fontId="31" fillId="25" borderId="18" xfId="96" applyNumberFormat="1" applyFont="1" applyFill="1" applyBorder="1" applyAlignment="1" applyProtection="1">
      <alignment horizontal="right" vertical="center" wrapText="1"/>
    </xf>
    <xf numFmtId="4" fontId="31" fillId="25" borderId="11" xfId="96" applyNumberFormat="1" applyFont="1" applyFill="1" applyBorder="1" applyAlignment="1" applyProtection="1">
      <alignment horizontal="right" vertical="center"/>
    </xf>
    <xf numFmtId="4" fontId="20" fillId="28" borderId="18" xfId="96" applyNumberFormat="1" applyFont="1" applyFill="1" applyBorder="1" applyAlignment="1" applyProtection="1">
      <alignment horizontal="center" vertical="center"/>
    </xf>
    <xf numFmtId="4" fontId="20" fillId="28" borderId="18" xfId="96" applyNumberFormat="1" applyFont="1" applyFill="1" applyBorder="1" applyAlignment="1" applyProtection="1">
      <alignment horizontal="right" vertical="center"/>
    </xf>
    <xf numFmtId="0" fontId="0" fillId="0" borderId="25" xfId="0" applyNumberFormat="1" applyBorder="1" applyAlignment="1" applyProtection="1">
      <alignment horizontal="center" vertical="center"/>
      <protection locked="0"/>
    </xf>
    <xf numFmtId="0" fontId="52" fillId="0" borderId="0" xfId="0" applyFont="1" applyAlignment="1" applyProtection="1">
      <alignment horizontal="center" vertical="center"/>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52" fillId="28" borderId="30" xfId="0" applyFont="1" applyFill="1" applyBorder="1" applyAlignment="1">
      <alignment horizontal="center" vertical="center"/>
    </xf>
    <xf numFmtId="0" fontId="52" fillId="28" borderId="35" xfId="0" applyFont="1" applyFill="1" applyBorder="1" applyAlignment="1">
      <alignment horizontal="center" vertical="center"/>
    </xf>
    <xf numFmtId="0" fontId="52" fillId="28" borderId="38" xfId="0" applyFont="1" applyFill="1" applyBorder="1" applyAlignment="1">
      <alignment horizontal="center" vertical="center"/>
    </xf>
    <xf numFmtId="0" fontId="52" fillId="0" borderId="0" xfId="0" applyFont="1" applyAlignment="1">
      <alignment horizontal="center" vertical="center"/>
    </xf>
    <xf numFmtId="0" fontId="0" fillId="0" borderId="0" xfId="0" applyAlignment="1">
      <alignment horizontal="center" vertical="center"/>
    </xf>
    <xf numFmtId="43" fontId="20" fillId="0" borderId="18" xfId="96" applyNumberFormat="1" applyFont="1" applyFill="1" applyBorder="1" applyAlignment="1" applyProtection="1">
      <alignment horizontal="right" vertical="center" wrapText="1"/>
      <protection locked="0"/>
    </xf>
    <xf numFmtId="0" fontId="0" fillId="0" borderId="0" xfId="0" applyProtection="1">
      <protection locked="0"/>
    </xf>
    <xf numFmtId="0" fontId="52" fillId="28" borderId="28" xfId="0" applyFont="1" applyFill="1" applyBorder="1" applyAlignment="1">
      <alignment horizontal="center" vertical="center"/>
    </xf>
    <xf numFmtId="0" fontId="52" fillId="0" borderId="39" xfId="0" applyFont="1" applyBorder="1" applyAlignment="1" applyProtection="1">
      <alignment horizontal="center" vertical="center"/>
      <protection locked="0"/>
    </xf>
    <xf numFmtId="0" fontId="52" fillId="0" borderId="32" xfId="0" applyFont="1" applyBorder="1" applyAlignment="1" applyProtection="1">
      <alignment horizontal="center" vertical="center"/>
      <protection locked="0"/>
    </xf>
    <xf numFmtId="0" fontId="52" fillId="28" borderId="40" xfId="0" applyFont="1" applyFill="1" applyBorder="1" applyAlignment="1">
      <alignment horizontal="center" vertical="center"/>
    </xf>
    <xf numFmtId="0" fontId="52" fillId="28" borderId="41" xfId="0" applyFont="1" applyFill="1" applyBorder="1" applyAlignment="1">
      <alignment horizontal="center" vertical="center"/>
    </xf>
    <xf numFmtId="2" fontId="36" fillId="0" borderId="0" xfId="47" applyNumberFormat="1" applyFont="1" applyAlignment="1" applyProtection="1">
      <alignment horizontal="right" vertical="center"/>
      <protection locked="0"/>
    </xf>
    <xf numFmtId="2" fontId="25" fillId="0" borderId="0" xfId="47" applyNumberFormat="1" applyFont="1" applyAlignment="1" applyProtection="1">
      <alignment horizontal="right" vertical="center" wrapText="1"/>
      <protection locked="0"/>
    </xf>
    <xf numFmtId="0" fontId="58" fillId="0" borderId="25" xfId="0" applyNumberFormat="1" applyFont="1" applyBorder="1" applyAlignment="1" applyProtection="1">
      <alignment horizontal="right" vertical="center"/>
      <protection locked="0"/>
    </xf>
    <xf numFmtId="0" fontId="25" fillId="0" borderId="0" xfId="47" applyFont="1" applyAlignment="1" applyProtection="1">
      <alignment horizontal="right" wrapText="1"/>
      <protection locked="0"/>
    </xf>
    <xf numFmtId="0" fontId="52" fillId="0" borderId="0" xfId="0" applyFont="1" applyProtection="1">
      <protection locked="0"/>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5" fillId="0" borderId="0" xfId="0" applyFont="1" applyAlignment="1" applyProtection="1">
      <alignment horizontal="center" vertical="center"/>
      <protection locked="0"/>
    </xf>
    <xf numFmtId="0" fontId="30" fillId="0" borderId="0" xfId="47" applyFont="1" applyAlignment="1" applyProtection="1">
      <alignment horizontal="center" vertical="center" wrapText="1"/>
      <protection locked="0"/>
    </xf>
    <xf numFmtId="0" fontId="52" fillId="28" borderId="28" xfId="0" applyFont="1" applyFill="1" applyBorder="1" applyAlignment="1">
      <alignment horizontal="center" vertical="center"/>
    </xf>
    <xf numFmtId="0" fontId="1" fillId="0" borderId="0" xfId="47" applyProtection="1">
      <protection locked="0"/>
    </xf>
    <xf numFmtId="0" fontId="34" fillId="0" borderId="0" xfId="47" applyFont="1" applyProtection="1">
      <protection locked="0"/>
    </xf>
    <xf numFmtId="0" fontId="25" fillId="0" borderId="0" xfId="47" applyFont="1" applyAlignment="1" applyProtection="1">
      <alignment horizontal="left" vertical="center" wrapText="1"/>
      <protection locked="0"/>
    </xf>
    <xf numFmtId="164" fontId="36" fillId="0" borderId="0" xfId="29" applyNumberFormat="1" applyFont="1" applyFill="1" applyBorder="1" applyAlignment="1" applyProtection="1">
      <alignment horizontal="left"/>
      <protection locked="0"/>
    </xf>
    <xf numFmtId="0" fontId="36" fillId="0" borderId="0" xfId="47" applyFont="1" applyBorder="1" applyAlignment="1" applyProtection="1">
      <alignment horizontal="right"/>
      <protection locked="0"/>
    </xf>
    <xf numFmtId="165" fontId="37" fillId="0" borderId="0" xfId="29" applyNumberFormat="1" applyFont="1" applyFill="1" applyBorder="1" applyAlignment="1" applyProtection="1">
      <alignment horizontal="center" wrapText="1"/>
      <protection locked="0"/>
    </xf>
    <xf numFmtId="164" fontId="46" fillId="0" borderId="0" xfId="29" applyNumberFormat="1" applyFont="1" applyFill="1" applyBorder="1" applyAlignment="1" applyProtection="1">
      <alignment horizontal="left"/>
      <protection locked="0"/>
    </xf>
    <xf numFmtId="0" fontId="1" fillId="0" borderId="0" xfId="47" applyProtection="1"/>
    <xf numFmtId="0" fontId="0" fillId="0" borderId="0" xfId="0" applyProtection="1"/>
    <xf numFmtId="0" fontId="34" fillId="0" borderId="0" xfId="47" applyFont="1" applyProtection="1"/>
    <xf numFmtId="0" fontId="56" fillId="0" borderId="0" xfId="0" applyFont="1" applyAlignment="1" applyProtection="1">
      <alignment horizontal="center" vertical="center"/>
      <protection locked="0"/>
    </xf>
    <xf numFmtId="0" fontId="54" fillId="0" borderId="0" xfId="0" applyFont="1" applyAlignment="1" applyProtection="1"/>
    <xf numFmtId="0" fontId="0" fillId="0" borderId="0" xfId="0" applyAlignment="1" applyProtection="1">
      <alignment horizontal="center" vertical="center"/>
    </xf>
    <xf numFmtId="0" fontId="0" fillId="0" borderId="0" xfId="0" applyFont="1" applyProtection="1">
      <protection locked="0"/>
    </xf>
    <xf numFmtId="0" fontId="0" fillId="0" borderId="0" xfId="0" applyFont="1" applyAlignment="1" applyProtection="1">
      <alignment horizontal="center" vertical="center"/>
      <protection locked="0"/>
    </xf>
    <xf numFmtId="9" fontId="31" fillId="26" borderId="16" xfId="95" applyFont="1" applyFill="1" applyBorder="1" applyAlignment="1" applyProtection="1">
      <alignment horizontal="right" vertical="center" wrapText="1"/>
    </xf>
    <xf numFmtId="9" fontId="31" fillId="26" borderId="17" xfId="95" applyFont="1" applyFill="1" applyBorder="1" applyAlignment="1" applyProtection="1">
      <alignment horizontal="right" vertical="center"/>
    </xf>
    <xf numFmtId="0" fontId="60" fillId="0" borderId="0" xfId="0" applyFont="1"/>
    <xf numFmtId="0" fontId="61" fillId="30" borderId="0" xfId="0" applyFont="1" applyFill="1" applyAlignment="1">
      <alignment horizontal="left" vertical="center" indent="1"/>
    </xf>
    <xf numFmtId="0" fontId="61" fillId="30" borderId="0" xfId="0" applyFont="1" applyFill="1"/>
    <xf numFmtId="0" fontId="62" fillId="30" borderId="0" xfId="0" applyFont="1" applyFill="1"/>
    <xf numFmtId="0" fontId="63" fillId="30" borderId="0" xfId="0" applyFont="1" applyFill="1"/>
    <xf numFmtId="0" fontId="65" fillId="30" borderId="0" xfId="97" applyFont="1" applyFill="1" applyAlignment="1">
      <alignment horizontal="left" vertical="center" indent="2"/>
    </xf>
    <xf numFmtId="0" fontId="66" fillId="30" borderId="0" xfId="0" applyFont="1" applyFill="1" applyAlignment="1">
      <alignment horizontal="left" vertical="center" indent="2"/>
    </xf>
    <xf numFmtId="0" fontId="56" fillId="30" borderId="0" xfId="0" applyFont="1" applyFill="1"/>
    <xf numFmtId="0" fontId="0" fillId="30" borderId="0" xfId="0" applyFill="1"/>
    <xf numFmtId="0" fontId="67" fillId="30" borderId="0" xfId="0" applyFont="1" applyFill="1"/>
    <xf numFmtId="0" fontId="68" fillId="31" borderId="0" xfId="0" applyFont="1" applyFill="1"/>
    <xf numFmtId="0" fontId="69" fillId="31" borderId="0" xfId="0" applyFont="1" applyFill="1"/>
    <xf numFmtId="0" fontId="0" fillId="31" borderId="0" xfId="0" applyFill="1"/>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2" fillId="0" borderId="0" xfId="0" applyFont="1" applyAlignment="1" applyProtection="1">
      <alignment horizontal="center" vertical="center"/>
      <protection locked="0"/>
    </xf>
    <xf numFmtId="4" fontId="0" fillId="28" borderId="32" xfId="0" applyNumberFormat="1" applyFill="1" applyBorder="1" applyAlignment="1">
      <alignment horizontal="center" vertical="center"/>
    </xf>
    <xf numFmtId="4" fontId="0" fillId="28" borderId="36" xfId="0" applyNumberFormat="1" applyFill="1" applyBorder="1" applyAlignment="1">
      <alignment horizontal="center" vertical="center"/>
    </xf>
    <xf numFmtId="4" fontId="0" fillId="28" borderId="16" xfId="0" applyNumberFormat="1" applyFill="1" applyBorder="1" applyAlignment="1">
      <alignment horizontal="center" vertical="center"/>
    </xf>
    <xf numFmtId="4" fontId="0" fillId="0" borderId="31" xfId="0" applyNumberFormat="1" applyBorder="1" applyAlignment="1" applyProtection="1">
      <alignment horizontal="center" vertical="center"/>
      <protection locked="0"/>
    </xf>
    <xf numFmtId="4" fontId="0" fillId="28" borderId="33" xfId="0" applyNumberFormat="1" applyFill="1" applyBorder="1" applyAlignment="1">
      <alignment horizontal="center" vertical="center"/>
    </xf>
    <xf numFmtId="4" fontId="0" fillId="28" borderId="34" xfId="0" applyNumberFormat="1" applyFill="1" applyBorder="1" applyAlignment="1">
      <alignment horizontal="center" vertical="center"/>
    </xf>
    <xf numFmtId="4" fontId="0" fillId="0" borderId="36" xfId="0" applyNumberFormat="1" applyBorder="1" applyAlignment="1" applyProtection="1">
      <alignment horizontal="center" vertical="center"/>
      <protection locked="0"/>
    </xf>
    <xf numFmtId="4" fontId="0" fillId="28" borderId="37" xfId="0" applyNumberFormat="1" applyFill="1" applyBorder="1" applyAlignment="1">
      <alignment horizontal="center" vertical="center"/>
    </xf>
    <xf numFmtId="4" fontId="0" fillId="28" borderId="17" xfId="0" applyNumberFormat="1" applyFill="1" applyBorder="1" applyAlignment="1">
      <alignment horizontal="center" vertical="center"/>
    </xf>
    <xf numFmtId="0" fontId="52" fillId="0" borderId="0" xfId="0" applyFont="1" applyAlignment="1" applyProtection="1">
      <alignment horizontal="center" vertical="center"/>
      <protection locked="0"/>
    </xf>
    <xf numFmtId="0" fontId="0" fillId="0" borderId="0" xfId="0" applyFont="1" applyAlignment="1" applyProtection="1">
      <alignment horizontal="center" vertical="center"/>
      <protection locked="0"/>
    </xf>
    <xf numFmtId="4" fontId="52" fillId="0" borderId="32" xfId="0" applyNumberFormat="1" applyFont="1" applyBorder="1" applyAlignment="1" applyProtection="1">
      <alignment horizontal="center" vertical="center"/>
      <protection locked="0"/>
    </xf>
    <xf numFmtId="4" fontId="52" fillId="28" borderId="34" xfId="0" applyNumberFormat="1" applyFont="1" applyFill="1" applyBorder="1" applyAlignment="1">
      <alignment horizontal="center" vertical="center"/>
    </xf>
    <xf numFmtId="4" fontId="52" fillId="0" borderId="36" xfId="0" applyNumberFormat="1" applyFont="1" applyBorder="1" applyAlignment="1" applyProtection="1">
      <alignment horizontal="center" vertical="center"/>
      <protection locked="0"/>
    </xf>
    <xf numFmtId="4" fontId="0" fillId="0" borderId="36" xfId="0" applyNumberFormat="1" applyFont="1" applyBorder="1" applyAlignment="1" applyProtection="1">
      <alignment horizontal="center" vertical="center"/>
      <protection locked="0"/>
    </xf>
    <xf numFmtId="4" fontId="0" fillId="0" borderId="42" xfId="0" applyNumberFormat="1" applyFont="1" applyBorder="1" applyAlignment="1" applyProtection="1">
      <alignment horizontal="center" vertical="center"/>
      <protection locked="0"/>
    </xf>
    <xf numFmtId="4" fontId="52" fillId="28" borderId="45" xfId="0" applyNumberFormat="1" applyFont="1" applyFill="1" applyBorder="1" applyAlignment="1">
      <alignment horizontal="center" vertical="center"/>
    </xf>
    <xf numFmtId="0" fontId="52" fillId="28" borderId="28" xfId="0" applyFont="1" applyFill="1" applyBorder="1" applyAlignment="1">
      <alignment horizontal="center" vertical="center"/>
    </xf>
    <xf numFmtId="0" fontId="1" fillId="0" borderId="0" xfId="47" applyAlignment="1" applyProtection="1">
      <alignment vertical="center"/>
      <protection locked="0"/>
    </xf>
    <xf numFmtId="43" fontId="22" fillId="0" borderId="0" xfId="75" applyNumberFormat="1" applyFont="1" applyAlignment="1" applyProtection="1">
      <alignment vertical="center" wrapText="1"/>
      <protection locked="0"/>
    </xf>
    <xf numFmtId="43" fontId="45" fillId="0" borderId="0" xfId="75" applyNumberFormat="1" applyFont="1" applyAlignment="1" applyProtection="1">
      <alignment vertical="center"/>
      <protection locked="0"/>
    </xf>
    <xf numFmtId="0" fontId="0" fillId="0" borderId="0" xfId="0" applyAlignment="1" applyProtection="1">
      <alignment vertical="center"/>
      <protection locked="0"/>
    </xf>
    <xf numFmtId="0" fontId="0" fillId="0" borderId="0" xfId="0" applyAlignment="1">
      <alignment vertical="center"/>
    </xf>
    <xf numFmtId="0" fontId="0" fillId="32" borderId="0" xfId="0" applyFill="1" applyAlignment="1" applyProtection="1">
      <alignment horizontal="center" vertical="center"/>
      <protection locked="0"/>
    </xf>
    <xf numFmtId="0" fontId="56" fillId="32" borderId="0" xfId="0" applyFont="1" applyFill="1" applyAlignment="1" applyProtection="1">
      <alignment horizontal="center" vertical="center"/>
      <protection locked="0"/>
    </xf>
    <xf numFmtId="0" fontId="70" fillId="0" borderId="0" xfId="110"/>
    <xf numFmtId="0" fontId="70" fillId="32" borderId="0" xfId="110" applyFill="1" applyAlignment="1">
      <alignment horizontal="center"/>
    </xf>
    <xf numFmtId="49" fontId="70" fillId="32" borderId="0" xfId="110" applyNumberFormat="1" applyFill="1"/>
    <xf numFmtId="49" fontId="70" fillId="0" borderId="0" xfId="110" applyNumberFormat="1" applyAlignment="1">
      <alignment horizontal="center"/>
    </xf>
    <xf numFmtId="0" fontId="70" fillId="0" borderId="0" xfId="110" applyBorder="1"/>
    <xf numFmtId="0" fontId="70" fillId="32" borderId="0" xfId="110" applyFill="1" applyBorder="1" applyAlignment="1">
      <alignment horizontal="center"/>
    </xf>
    <xf numFmtId="49" fontId="70" fillId="32" borderId="0" xfId="110" applyNumberFormat="1" applyFill="1" applyBorder="1"/>
    <xf numFmtId="49" fontId="70" fillId="0" borderId="0" xfId="110" applyNumberFormat="1" applyBorder="1" applyAlignment="1">
      <alignment horizontal="center"/>
    </xf>
    <xf numFmtId="0" fontId="70" fillId="0" borderId="0" xfId="110" applyBorder="1" applyAlignment="1">
      <alignment vertical="center"/>
    </xf>
    <xf numFmtId="0" fontId="70" fillId="32" borderId="0" xfId="110" applyFill="1" applyBorder="1" applyAlignment="1">
      <alignment horizontal="center" vertical="center"/>
    </xf>
    <xf numFmtId="49" fontId="70" fillId="32" borderId="0" xfId="110" applyNumberFormat="1" applyFill="1" applyBorder="1" applyAlignment="1">
      <alignment vertical="center"/>
    </xf>
    <xf numFmtId="49" fontId="70" fillId="0" borderId="0" xfId="110" applyNumberFormat="1" applyBorder="1" applyAlignment="1">
      <alignment horizontal="center" vertical="center"/>
    </xf>
    <xf numFmtId="0" fontId="20" fillId="0" borderId="0" xfId="110" applyFont="1" applyBorder="1" applyAlignment="1">
      <alignment vertical="center"/>
    </xf>
    <xf numFmtId="49" fontId="70" fillId="0" borderId="0" xfId="110" applyNumberFormat="1" applyBorder="1" applyAlignment="1">
      <alignment horizontal="right" vertical="center"/>
    </xf>
    <xf numFmtId="0" fontId="70" fillId="32" borderId="0" xfId="110" applyFill="1" applyBorder="1" applyAlignment="1">
      <alignment vertical="center"/>
    </xf>
    <xf numFmtId="0" fontId="70" fillId="0" borderId="0" xfId="110" applyBorder="1" applyAlignment="1">
      <alignment horizontal="right" vertical="center"/>
    </xf>
    <xf numFmtId="0" fontId="1" fillId="0" borderId="0" xfId="110" applyFont="1" applyBorder="1" applyAlignment="1">
      <alignment horizontal="center" vertical="center"/>
    </xf>
    <xf numFmtId="0" fontId="30" fillId="0" borderId="0" xfId="110" applyFont="1" applyBorder="1" applyAlignment="1">
      <alignment horizontal="center" vertical="center"/>
    </xf>
    <xf numFmtId="0" fontId="27" fillId="0" borderId="0" xfId="110" applyFont="1" applyBorder="1" applyAlignment="1">
      <alignment horizontal="center" vertical="center"/>
    </xf>
    <xf numFmtId="0" fontId="71" fillId="0" borderId="0" xfId="110" applyFont="1" applyBorder="1" applyAlignment="1">
      <alignment vertical="center"/>
    </xf>
    <xf numFmtId="0" fontId="70" fillId="0" borderId="36" xfId="110" applyBorder="1" applyAlignment="1">
      <alignment vertical="center"/>
    </xf>
    <xf numFmtId="0" fontId="70" fillId="0" borderId="47" xfId="110" applyBorder="1" applyAlignment="1">
      <alignment vertical="center"/>
    </xf>
    <xf numFmtId="0" fontId="70" fillId="32" borderId="37" xfId="110" applyFill="1" applyBorder="1" applyAlignment="1">
      <alignment horizontal="center" vertical="center"/>
    </xf>
    <xf numFmtId="0" fontId="22" fillId="32" borderId="36" xfId="110" applyFont="1" applyFill="1" applyBorder="1" applyAlignment="1">
      <alignment horizontal="center" vertical="center"/>
    </xf>
    <xf numFmtId="0" fontId="1" fillId="0" borderId="36" xfId="110" applyNumberFormat="1" applyFont="1" applyBorder="1" applyAlignment="1">
      <alignment vertical="center"/>
    </xf>
    <xf numFmtId="0" fontId="45" fillId="0" borderId="32" xfId="110" applyFont="1" applyFill="1" applyBorder="1" applyAlignment="1">
      <alignment vertical="center"/>
    </xf>
    <xf numFmtId="0" fontId="25" fillId="0" borderId="36" xfId="110" applyFont="1" applyBorder="1" applyAlignment="1">
      <alignment vertical="center"/>
    </xf>
    <xf numFmtId="0" fontId="72" fillId="33" borderId="36" xfId="110" applyFont="1" applyFill="1" applyBorder="1" applyAlignment="1">
      <alignment vertical="center"/>
    </xf>
    <xf numFmtId="0" fontId="70" fillId="32" borderId="48" xfId="110" applyFill="1" applyBorder="1" applyAlignment="1">
      <alignment horizontal="center" vertical="center"/>
    </xf>
    <xf numFmtId="0" fontId="25" fillId="0" borderId="32" xfId="110" applyFont="1" applyBorder="1" applyAlignment="1">
      <alignment vertical="center"/>
    </xf>
    <xf numFmtId="0" fontId="22" fillId="32" borderId="49" xfId="110" applyFont="1" applyFill="1" applyBorder="1" applyAlignment="1">
      <alignment horizontal="center" vertical="center"/>
    </xf>
    <xf numFmtId="0" fontId="22" fillId="32" borderId="50" xfId="110" applyFont="1" applyFill="1" applyBorder="1" applyAlignment="1">
      <alignment horizontal="center" vertical="center"/>
    </xf>
    <xf numFmtId="0" fontId="45" fillId="0" borderId="18" xfId="110" applyFont="1" applyFill="1" applyBorder="1" applyAlignment="1">
      <alignment vertical="center"/>
    </xf>
    <xf numFmtId="0" fontId="25" fillId="0" borderId="18" xfId="110" applyFont="1" applyBorder="1" applyAlignment="1">
      <alignment vertical="center"/>
    </xf>
    <xf numFmtId="0" fontId="72" fillId="26" borderId="36" xfId="110" applyFont="1" applyFill="1" applyBorder="1" applyAlignment="1">
      <alignment vertical="center"/>
    </xf>
    <xf numFmtId="0" fontId="70" fillId="0" borderId="0" xfId="110" applyAlignment="1">
      <alignment horizontal="center" vertical="center"/>
    </xf>
    <xf numFmtId="49" fontId="20" fillId="32" borderId="37" xfId="110" applyNumberFormat="1" applyFont="1" applyFill="1" applyBorder="1" applyAlignment="1">
      <alignment horizontal="center" vertical="center"/>
    </xf>
    <xf numFmtId="49" fontId="20" fillId="32" borderId="36" xfId="110" applyNumberFormat="1" applyFont="1" applyFill="1" applyBorder="1" applyAlignment="1">
      <alignment horizontal="center" vertical="center"/>
    </xf>
    <xf numFmtId="49" fontId="20" fillId="0" borderId="36" xfId="110" applyNumberFormat="1" applyFont="1" applyBorder="1" applyAlignment="1">
      <alignment horizontal="center" vertical="center"/>
    </xf>
    <xf numFmtId="0" fontId="20" fillId="0" borderId="36" xfId="110" applyFont="1" applyBorder="1" applyAlignment="1">
      <alignment horizontal="center" vertical="center"/>
    </xf>
    <xf numFmtId="0" fontId="74" fillId="0" borderId="51" xfId="110" applyFont="1" applyBorder="1" applyAlignment="1">
      <alignment horizontal="center" vertical="center"/>
    </xf>
    <xf numFmtId="0" fontId="70" fillId="0" borderId="0" xfId="110" applyAlignment="1">
      <alignment horizontal="center" vertical="top"/>
    </xf>
    <xf numFmtId="4" fontId="52" fillId="28" borderId="46" xfId="0" applyNumberFormat="1" applyFont="1" applyFill="1" applyBorder="1" applyAlignment="1">
      <alignment horizontal="center" vertical="center"/>
    </xf>
    <xf numFmtId="0" fontId="1" fillId="0" borderId="0" xfId="110" applyFont="1" applyBorder="1" applyAlignment="1">
      <alignment horizontal="center" vertical="center"/>
    </xf>
    <xf numFmtId="0" fontId="70" fillId="0" borderId="0" xfId="110" applyBorder="1" applyAlignment="1">
      <alignment horizontal="center" vertical="center"/>
    </xf>
    <xf numFmtId="0" fontId="75" fillId="0" borderId="53" xfId="110" applyFont="1" applyBorder="1" applyAlignment="1">
      <alignment horizontal="center" vertical="top"/>
    </xf>
    <xf numFmtId="0" fontId="75" fillId="0" borderId="52" xfId="110" applyFont="1" applyBorder="1" applyAlignment="1">
      <alignment horizontal="center" vertical="top"/>
    </xf>
    <xf numFmtId="0" fontId="45" fillId="0" borderId="36" xfId="110" applyFont="1" applyBorder="1" applyAlignment="1">
      <alignment horizontal="center" vertical="center"/>
    </xf>
    <xf numFmtId="0" fontId="30" fillId="0" borderId="0" xfId="110" applyFont="1" applyBorder="1" applyAlignment="1">
      <alignment horizontal="center" vertical="center"/>
    </xf>
    <xf numFmtId="0" fontId="78" fillId="0" borderId="0" xfId="110" applyFont="1" applyAlignment="1">
      <alignment horizontal="center"/>
    </xf>
    <xf numFmtId="0" fontId="1" fillId="0" borderId="36" xfId="110" applyFont="1" applyBorder="1" applyAlignment="1">
      <alignment horizontal="center" vertical="center"/>
    </xf>
    <xf numFmtId="0" fontId="70" fillId="0" borderId="36" xfId="110" applyBorder="1" applyAlignment="1">
      <alignment horizontal="center" vertical="center"/>
    </xf>
    <xf numFmtId="0" fontId="73" fillId="0" borderId="36" xfId="110" applyFont="1" applyBorder="1" applyAlignment="1">
      <alignment horizontal="center" vertical="center"/>
    </xf>
    <xf numFmtId="0" fontId="77" fillId="0" borderId="23" xfId="110" applyFont="1" applyBorder="1" applyAlignment="1">
      <alignment horizontal="center" vertical="top"/>
    </xf>
    <xf numFmtId="49" fontId="73" fillId="0" borderId="36" xfId="110" applyNumberFormat="1" applyFont="1" applyBorder="1" applyAlignment="1">
      <alignment horizontal="center" vertical="top" wrapText="1"/>
    </xf>
    <xf numFmtId="0" fontId="76" fillId="0" borderId="36" xfId="110" applyFont="1" applyFill="1" applyBorder="1" applyAlignment="1">
      <alignment horizontal="center" vertical="center"/>
    </xf>
    <xf numFmtId="0" fontId="73" fillId="32" borderId="55" xfId="110" applyFont="1" applyFill="1" applyBorder="1" applyAlignment="1">
      <alignment horizontal="center" vertical="center"/>
    </xf>
    <xf numFmtId="0" fontId="73" fillId="32" borderId="54" xfId="110" applyFont="1" applyFill="1" applyBorder="1" applyAlignment="1">
      <alignment horizontal="center" vertical="center"/>
    </xf>
    <xf numFmtId="0" fontId="52" fillId="28" borderId="28" xfId="0" applyFont="1" applyFill="1" applyBorder="1" applyAlignment="1">
      <alignment horizontal="center" vertical="center"/>
    </xf>
    <xf numFmtId="0" fontId="52" fillId="28" borderId="29" xfId="0" applyFont="1" applyFill="1" applyBorder="1" applyAlignment="1">
      <alignment horizontal="center" vertical="center"/>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3" fillId="0" borderId="0" xfId="0" applyFont="1" applyAlignment="1" applyProtection="1">
      <alignment horizontal="center" vertical="center"/>
    </xf>
    <xf numFmtId="0" fontId="54" fillId="0" borderId="0" xfId="0" applyFont="1" applyAlignment="1" applyProtection="1">
      <alignment horizontal="center" vertical="center"/>
    </xf>
    <xf numFmtId="0" fontId="55" fillId="0" borderId="0" xfId="0" applyFont="1" applyAlignment="1" applyProtection="1">
      <alignment horizontal="center" vertical="center"/>
    </xf>
    <xf numFmtId="0" fontId="55" fillId="0" borderId="0" xfId="0" applyFont="1" applyAlignment="1" applyProtection="1">
      <alignment horizontal="center" vertical="center"/>
      <protection locked="0"/>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0" fillId="0" borderId="0" xfId="0" applyFont="1" applyAlignment="1" applyProtection="1">
      <alignment horizontal="center" vertical="center"/>
      <protection locked="0"/>
    </xf>
    <xf numFmtId="0" fontId="52" fillId="28" borderId="43" xfId="0" applyFont="1" applyFill="1" applyBorder="1" applyAlignment="1">
      <alignment horizontal="center" vertical="center"/>
    </xf>
    <xf numFmtId="0" fontId="52" fillId="28" borderId="44" xfId="0" applyFont="1" applyFill="1" applyBorder="1" applyAlignment="1">
      <alignment horizontal="center" vertical="center"/>
    </xf>
    <xf numFmtId="0" fontId="54" fillId="0" borderId="0" xfId="0" applyFont="1" applyAlignment="1" applyProtection="1">
      <alignment horizontal="center"/>
    </xf>
    <xf numFmtId="0" fontId="0" fillId="0" borderId="0" xfId="0" applyBorder="1" applyAlignment="1" applyProtection="1">
      <alignment horizontal="center" vertical="center"/>
      <protection locked="0"/>
    </xf>
    <xf numFmtId="0" fontId="29" fillId="0" borderId="0" xfId="47" applyFont="1" applyAlignment="1" applyProtection="1">
      <alignment horizontal="center" vertical="center"/>
      <protection locked="0"/>
    </xf>
    <xf numFmtId="0" fontId="36" fillId="0" borderId="0" xfId="47" applyFont="1" applyAlignment="1" applyProtection="1">
      <alignment horizontal="left" vertical="center"/>
      <protection locked="0"/>
    </xf>
    <xf numFmtId="0" fontId="43" fillId="0" borderId="0" xfId="47" applyFont="1" applyAlignment="1" applyProtection="1">
      <alignment horizontal="center" vertical="center"/>
      <protection locked="0"/>
    </xf>
    <xf numFmtId="0" fontId="43" fillId="0" borderId="0" xfId="47" applyFont="1" applyAlignment="1" applyProtection="1">
      <alignment horizontal="left" vertical="center"/>
      <protection locked="0"/>
    </xf>
    <xf numFmtId="0" fontId="29" fillId="0" borderId="0" xfId="47" applyFont="1" applyAlignment="1" applyProtection="1">
      <alignment horizontal="left" vertical="center"/>
      <protection locked="0"/>
    </xf>
    <xf numFmtId="0" fontId="35" fillId="0" borderId="0" xfId="47" applyFont="1" applyFill="1" applyAlignment="1" applyProtection="1">
      <alignment horizontal="left" vertical="center"/>
      <protection locked="0"/>
    </xf>
    <xf numFmtId="0" fontId="27" fillId="28" borderId="15" xfId="47" applyFont="1" applyFill="1" applyBorder="1" applyAlignment="1">
      <alignment horizontal="left" vertical="center" wrapText="1"/>
    </xf>
    <xf numFmtId="0" fontId="27" fillId="28" borderId="20" xfId="47" applyFont="1" applyFill="1" applyBorder="1" applyAlignment="1">
      <alignment horizontal="left" vertical="center" wrapText="1"/>
    </xf>
    <xf numFmtId="0" fontId="25" fillId="0" borderId="0" xfId="47" applyFont="1" applyBorder="1" applyAlignment="1" applyProtection="1">
      <alignment horizontal="left" vertical="center" wrapText="1"/>
      <protection locked="0"/>
    </xf>
    <xf numFmtId="0" fontId="32" fillId="0" borderId="0" xfId="47" applyFont="1" applyAlignment="1" applyProtection="1">
      <alignment horizontal="center" vertical="center"/>
    </xf>
    <xf numFmtId="0" fontId="33" fillId="0" borderId="0" xfId="47" applyFont="1" applyAlignment="1" applyProtection="1">
      <alignment horizontal="center" vertical="center" wrapText="1"/>
    </xf>
    <xf numFmtId="0" fontId="30" fillId="0" borderId="0" xfId="47" applyFont="1" applyAlignment="1" applyProtection="1">
      <alignment horizontal="center" wrapText="1"/>
      <protection locked="0"/>
    </xf>
    <xf numFmtId="0" fontId="30" fillId="0" borderId="0" xfId="47" applyFont="1" applyAlignment="1" applyProtection="1">
      <alignment horizontal="center" vertical="center" wrapText="1"/>
      <protection locked="0"/>
    </xf>
    <xf numFmtId="0" fontId="28" fillId="26" borderId="13" xfId="47" applyFont="1" applyFill="1" applyBorder="1" applyAlignment="1">
      <alignment horizontal="left" vertical="center" wrapText="1"/>
    </xf>
    <xf numFmtId="0" fontId="28" fillId="26" borderId="14" xfId="47" applyFont="1" applyFill="1" applyBorder="1" applyAlignment="1">
      <alignment horizontal="left" vertical="center" wrapText="1"/>
    </xf>
    <xf numFmtId="0" fontId="26" fillId="29" borderId="21" xfId="47" applyFont="1" applyFill="1" applyBorder="1" applyAlignment="1">
      <alignment horizontal="center" vertical="center" wrapText="1"/>
    </xf>
    <xf numFmtId="0" fontId="26" fillId="29" borderId="22" xfId="47" applyFont="1" applyFill="1" applyBorder="1" applyAlignment="1">
      <alignment horizontal="center" vertical="center" wrapText="1"/>
    </xf>
    <xf numFmtId="0" fontId="26" fillId="29" borderId="10" xfId="47" applyFont="1" applyFill="1" applyBorder="1" applyAlignment="1">
      <alignment horizontal="center" vertical="center" wrapText="1"/>
    </xf>
    <xf numFmtId="0" fontId="26" fillId="29" borderId="15" xfId="47" applyFont="1" applyFill="1" applyBorder="1" applyAlignment="1">
      <alignment horizontal="center" vertical="center" wrapText="1"/>
    </xf>
    <xf numFmtId="164" fontId="44" fillId="29" borderId="24" xfId="29" applyNumberFormat="1" applyFont="1" applyFill="1" applyBorder="1" applyAlignment="1" applyProtection="1">
      <alignment horizontal="center" vertical="center" wrapText="1"/>
    </xf>
    <xf numFmtId="164" fontId="44" fillId="29" borderId="11" xfId="29" applyNumberFormat="1" applyFont="1" applyFill="1" applyBorder="1" applyAlignment="1" applyProtection="1">
      <alignment horizontal="center" vertical="center"/>
    </xf>
    <xf numFmtId="0" fontId="41" fillId="24" borderId="10" xfId="47" applyFont="1" applyFill="1" applyBorder="1" applyAlignment="1">
      <alignment horizontal="left" wrapText="1"/>
    </xf>
    <xf numFmtId="0" fontId="40" fillId="24" borderId="15" xfId="47" applyFont="1" applyFill="1" applyBorder="1" applyAlignment="1">
      <alignment horizontal="left" wrapText="1"/>
    </xf>
    <xf numFmtId="0" fontId="37" fillId="25" borderId="10" xfId="47" applyFont="1" applyFill="1" applyBorder="1" applyAlignment="1">
      <alignment horizontal="left" wrapText="1"/>
    </xf>
    <xf numFmtId="0" fontId="20" fillId="0" borderId="15" xfId="47" applyFont="1" applyBorder="1"/>
    <xf numFmtId="0" fontId="20" fillId="0" borderId="12" xfId="47" applyFont="1" applyBorder="1"/>
    <xf numFmtId="0" fontId="36" fillId="0" borderId="0" xfId="47" applyFont="1" applyAlignment="1" applyProtection="1">
      <alignment horizontal="center"/>
      <protection locked="0"/>
    </xf>
    <xf numFmtId="164" fontId="37" fillId="29" borderId="23" xfId="99" applyFont="1" applyFill="1" applyBorder="1" applyAlignment="1" applyProtection="1">
      <alignment horizontal="center" vertical="center" wrapText="1"/>
    </xf>
    <xf numFmtId="164" fontId="37" fillId="29" borderId="18" xfId="99" applyFont="1" applyFill="1" applyBorder="1" applyAlignment="1" applyProtection="1">
      <alignment horizontal="center" vertical="center" wrapText="1"/>
    </xf>
    <xf numFmtId="0" fontId="25" fillId="0" borderId="0" xfId="47" applyFont="1" applyFill="1" applyBorder="1" applyAlignment="1" applyProtection="1">
      <alignment horizontal="left" vertical="center" wrapText="1"/>
      <protection locked="0"/>
    </xf>
    <xf numFmtId="0" fontId="59" fillId="30" borderId="0" xfId="0" applyFont="1" applyFill="1" applyAlignment="1">
      <alignment horizontal="center"/>
    </xf>
  </cellXfs>
  <cellStyles count="111">
    <cellStyle name="20% - Accent1 2" xfId="1"/>
    <cellStyle name="20% - Accent1 3" xfId="48"/>
    <cellStyle name="20% - Accent2 2" xfId="2"/>
    <cellStyle name="20% - Accent2 3" xfId="49"/>
    <cellStyle name="20% - Accent3 2" xfId="3"/>
    <cellStyle name="20% - Accent3 3" xfId="50"/>
    <cellStyle name="20% - Accent4 2" xfId="4"/>
    <cellStyle name="20% - Accent4 3" xfId="51"/>
    <cellStyle name="20% - Accent5 2" xfId="5"/>
    <cellStyle name="20% - Accent5 3" xfId="52"/>
    <cellStyle name="20% - Accent6 2" xfId="6"/>
    <cellStyle name="20% - Accent6 3" xfId="53"/>
    <cellStyle name="40% - Accent1 2" xfId="7"/>
    <cellStyle name="40% - Accent1 3" xfId="54"/>
    <cellStyle name="40% - Accent2 2" xfId="8"/>
    <cellStyle name="40% - Accent2 3" xfId="55"/>
    <cellStyle name="40% - Accent3 2" xfId="9"/>
    <cellStyle name="40% - Accent3 3" xfId="56"/>
    <cellStyle name="40% - Accent4 2" xfId="10"/>
    <cellStyle name="40% - Accent4 3" xfId="57"/>
    <cellStyle name="40% - Accent5 2" xfId="11"/>
    <cellStyle name="40% - Accent5 3" xfId="58"/>
    <cellStyle name="40% - Accent6 2" xfId="12"/>
    <cellStyle name="40% - Accent6 3" xfId="59"/>
    <cellStyle name="60% - Accent1 2" xfId="13"/>
    <cellStyle name="60% - Accent1 3" xfId="60"/>
    <cellStyle name="60% - Accent2 2" xfId="14"/>
    <cellStyle name="60% - Accent2 3" xfId="61"/>
    <cellStyle name="60% - Accent3 2" xfId="15"/>
    <cellStyle name="60% - Accent3 3" xfId="62"/>
    <cellStyle name="60% - Accent4 2" xfId="16"/>
    <cellStyle name="60% - Accent4 3" xfId="63"/>
    <cellStyle name="60% - Accent5 2" xfId="17"/>
    <cellStyle name="60% - Accent5 3" xfId="64"/>
    <cellStyle name="60% - Accent6 2" xfId="18"/>
    <cellStyle name="60% - Accent6 3" xfId="65"/>
    <cellStyle name="Accent1 2" xfId="19"/>
    <cellStyle name="Accent1 3" xfId="66"/>
    <cellStyle name="Accent2 2" xfId="20"/>
    <cellStyle name="Accent2 3" xfId="67"/>
    <cellStyle name="Accent3 2" xfId="21"/>
    <cellStyle name="Accent3 3" xfId="68"/>
    <cellStyle name="Accent4 2" xfId="22"/>
    <cellStyle name="Accent4 3" xfId="69"/>
    <cellStyle name="Accent5 2" xfId="23"/>
    <cellStyle name="Accent5 3" xfId="70"/>
    <cellStyle name="Accent6 2" xfId="24"/>
    <cellStyle name="Accent6 3" xfId="71"/>
    <cellStyle name="Bad 2" xfId="25"/>
    <cellStyle name="Bad 3" xfId="72"/>
    <cellStyle name="Calculation 2" xfId="26"/>
    <cellStyle name="Calculation 3" xfId="73"/>
    <cellStyle name="Check Cell 2" xfId="27"/>
    <cellStyle name="Check Cell 3" xfId="74"/>
    <cellStyle name="Comma" xfId="94" builtinId="3"/>
    <cellStyle name="Comma 2" xfId="96"/>
    <cellStyle name="Comma 2 2" xfId="28"/>
    <cellStyle name="Comma 2 2 2" xfId="98"/>
    <cellStyle name="Comma 2 3" xfId="76"/>
    <cellStyle name="Comma 2 3 2" xfId="105"/>
    <cellStyle name="Comma 3" xfId="46"/>
    <cellStyle name="Comma 3 2" xfId="103"/>
    <cellStyle name="Comma 4" xfId="75"/>
    <cellStyle name="Comma 4 2" xfId="104"/>
    <cellStyle name="Comma_MONTHLY-June-07" xfId="29"/>
    <cellStyle name="Comma_MONTHLY-June-07 2" xfId="99"/>
    <cellStyle name="Explanatory Text 2" xfId="30"/>
    <cellStyle name="Explanatory Text 3" xfId="77"/>
    <cellStyle name="Good 2" xfId="31"/>
    <cellStyle name="Good 3" xfId="78"/>
    <cellStyle name="Heading 1 2" xfId="32"/>
    <cellStyle name="Heading 1 3" xfId="79"/>
    <cellStyle name="Heading 2 2" xfId="33"/>
    <cellStyle name="Heading 2 3" xfId="80"/>
    <cellStyle name="Heading 3 2" xfId="34"/>
    <cellStyle name="Heading 3 3" xfId="81"/>
    <cellStyle name="Heading 4 2" xfId="35"/>
    <cellStyle name="Heading 4 3" xfId="82"/>
    <cellStyle name="Hyperlink" xfId="97" builtinId="8"/>
    <cellStyle name="Input 2" xfId="36"/>
    <cellStyle name="Input 3" xfId="83"/>
    <cellStyle name="Linked Cell 2" xfId="37"/>
    <cellStyle name="Linked Cell 3" xfId="84"/>
    <cellStyle name="Neutral 2" xfId="38"/>
    <cellStyle name="Neutral 3" xfId="85"/>
    <cellStyle name="Normal" xfId="0" builtinId="0"/>
    <cellStyle name="Normal 2" xfId="110"/>
    <cellStyle name="Normal 2 2" xfId="39"/>
    <cellStyle name="Normal 2 2 2" xfId="100"/>
    <cellStyle name="Normal 2 3" xfId="86"/>
    <cellStyle name="Normal 2 3 2" xfId="106"/>
    <cellStyle name="Normal 3" xfId="47"/>
    <cellStyle name="Note 2" xfId="40"/>
    <cellStyle name="Note 2 2" xfId="101"/>
    <cellStyle name="Note 3" xfId="87"/>
    <cellStyle name="Note 3 2" xfId="107"/>
    <cellStyle name="Output 2" xfId="41"/>
    <cellStyle name="Output 3" xfId="88"/>
    <cellStyle name="Percent" xfId="95" builtinId="5"/>
    <cellStyle name="Percent 2 2" xfId="42"/>
    <cellStyle name="Percent 2 2 2" xfId="102"/>
    <cellStyle name="Percent 2 3" xfId="90"/>
    <cellStyle name="Percent 2 3 2" xfId="109"/>
    <cellStyle name="Percent 3" xfId="89"/>
    <cellStyle name="Percent 3 2" xfId="108"/>
    <cellStyle name="Title 2" xfId="43"/>
    <cellStyle name="Title 3" xfId="91"/>
    <cellStyle name="Total 2" xfId="44"/>
    <cellStyle name="Total 3" xfId="92"/>
    <cellStyle name="Warning Text 2" xfId="45"/>
    <cellStyle name="Warning Text 3" xfId="9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17"/>
  <sheetViews>
    <sheetView workbookViewId="0">
      <selection activeCell="C17" sqref="C17"/>
    </sheetView>
  </sheetViews>
  <sheetFormatPr defaultRowHeight="12.75" x14ac:dyDescent="0.2"/>
  <cols>
    <col min="1" max="1" width="3.85546875" style="134" customWidth="1"/>
    <col min="2" max="2" width="10.85546875" style="134" customWidth="1"/>
    <col min="3" max="3" width="67" style="134" customWidth="1"/>
    <col min="4" max="4" width="76.5703125" style="134" customWidth="1"/>
    <col min="5" max="5" width="10.85546875" style="137" customWidth="1"/>
    <col min="6" max="6" width="8" style="134" customWidth="1"/>
    <col min="7" max="8" width="7.85546875" style="134" customWidth="1"/>
    <col min="9" max="9" width="10" style="134" customWidth="1"/>
    <col min="10" max="10" width="6.85546875" style="134" customWidth="1"/>
    <col min="11" max="11" width="6.5703125" style="136" customWidth="1"/>
    <col min="12" max="12" width="7.5703125" style="135" customWidth="1"/>
    <col min="13" max="16384" width="9.140625" style="134"/>
  </cols>
  <sheetData>
    <row r="1" spans="1:17" ht="26.25" customHeight="1" x14ac:dyDescent="0.7">
      <c r="B1" s="183" t="s">
        <v>131</v>
      </c>
      <c r="C1" s="183"/>
      <c r="D1" s="183"/>
      <c r="E1" s="183"/>
      <c r="F1" s="183"/>
      <c r="G1" s="183"/>
      <c r="H1" s="183"/>
      <c r="I1" s="183"/>
      <c r="J1" s="183"/>
      <c r="K1" s="183"/>
      <c r="L1" s="183"/>
    </row>
    <row r="2" spans="1:17" ht="5.25" customHeight="1" thickBot="1" x14ac:dyDescent="0.25"/>
    <row r="3" spans="1:17" s="175" customFormat="1" ht="21.75" customHeight="1" thickTop="1" x14ac:dyDescent="0.25">
      <c r="A3" s="184" t="s">
        <v>130</v>
      </c>
      <c r="B3" s="186" t="s">
        <v>129</v>
      </c>
      <c r="C3" s="187" t="s">
        <v>128</v>
      </c>
      <c r="D3" s="187"/>
      <c r="E3" s="188" t="s">
        <v>127</v>
      </c>
      <c r="F3" s="189" t="s">
        <v>126</v>
      </c>
      <c r="G3" s="189"/>
      <c r="H3" s="189"/>
      <c r="I3" s="189"/>
      <c r="J3" s="189"/>
      <c r="K3" s="190" t="s">
        <v>125</v>
      </c>
      <c r="L3" s="191"/>
      <c r="P3" s="179"/>
      <c r="Q3" s="180"/>
    </row>
    <row r="4" spans="1:17" s="169" customFormat="1" ht="14.25" customHeight="1" x14ac:dyDescent="0.25">
      <c r="A4" s="185"/>
      <c r="B4" s="186"/>
      <c r="C4" s="174" t="s">
        <v>124</v>
      </c>
      <c r="D4" s="174" t="s">
        <v>123</v>
      </c>
      <c r="E4" s="188"/>
      <c r="F4" s="173" t="s">
        <v>122</v>
      </c>
      <c r="G4" s="173" t="s">
        <v>121</v>
      </c>
      <c r="H4" s="173" t="s">
        <v>120</v>
      </c>
      <c r="I4" s="173" t="s">
        <v>119</v>
      </c>
      <c r="J4" s="172" t="s">
        <v>118</v>
      </c>
      <c r="K4" s="171" t="s">
        <v>117</v>
      </c>
      <c r="L4" s="170" t="s">
        <v>116</v>
      </c>
    </row>
    <row r="5" spans="1:17" s="154" customFormat="1" ht="19.5" customHeight="1" x14ac:dyDescent="0.25">
      <c r="A5" s="154">
        <v>1</v>
      </c>
      <c r="B5" s="168" t="s">
        <v>115</v>
      </c>
      <c r="C5" s="167" t="s">
        <v>114</v>
      </c>
      <c r="D5" s="166" t="s">
        <v>113</v>
      </c>
      <c r="E5" s="158">
        <v>1</v>
      </c>
      <c r="F5" s="181" t="s">
        <v>106</v>
      </c>
      <c r="G5" s="181"/>
      <c r="H5" s="181"/>
      <c r="I5" s="181"/>
      <c r="J5" s="181"/>
      <c r="K5" s="165" t="s">
        <v>105</v>
      </c>
      <c r="L5" s="164" t="s">
        <v>105</v>
      </c>
      <c r="M5" s="155"/>
    </row>
    <row r="6" spans="1:17" s="154" customFormat="1" ht="19.5" customHeight="1" x14ac:dyDescent="0.25">
      <c r="A6" s="154">
        <v>2</v>
      </c>
      <c r="B6" s="161" t="s">
        <v>112</v>
      </c>
      <c r="C6" s="163" t="s">
        <v>111</v>
      </c>
      <c r="D6" s="159" t="s">
        <v>110</v>
      </c>
      <c r="E6" s="158">
        <v>1</v>
      </c>
      <c r="F6" s="181" t="s">
        <v>106</v>
      </c>
      <c r="G6" s="181"/>
      <c r="H6" s="181"/>
      <c r="I6" s="181"/>
      <c r="J6" s="181"/>
      <c r="K6" s="157" t="s">
        <v>105</v>
      </c>
      <c r="L6" s="162"/>
      <c r="M6" s="155"/>
    </row>
    <row r="7" spans="1:17" s="154" customFormat="1" ht="19.5" customHeight="1" x14ac:dyDescent="0.25">
      <c r="A7" s="154">
        <v>3</v>
      </c>
      <c r="B7" s="161" t="s">
        <v>109</v>
      </c>
      <c r="C7" s="160" t="s">
        <v>108</v>
      </c>
      <c r="D7" s="159" t="s">
        <v>107</v>
      </c>
      <c r="E7" s="158">
        <v>1</v>
      </c>
      <c r="F7" s="181" t="s">
        <v>106</v>
      </c>
      <c r="G7" s="181"/>
      <c r="H7" s="181"/>
      <c r="I7" s="181"/>
      <c r="J7" s="181"/>
      <c r="K7" s="157" t="s">
        <v>105</v>
      </c>
      <c r="L7" s="156"/>
      <c r="M7" s="155"/>
    </row>
    <row r="8" spans="1:17" s="142" customFormat="1" ht="19.5" customHeight="1" x14ac:dyDescent="0.25">
      <c r="K8" s="148"/>
      <c r="L8" s="148"/>
    </row>
    <row r="9" spans="1:17" s="142" customFormat="1" ht="10.5" customHeight="1" x14ac:dyDescent="0.25">
      <c r="K9" s="148"/>
      <c r="L9" s="143"/>
    </row>
    <row r="10" spans="1:17" s="142" customFormat="1" ht="10.5" customHeight="1" x14ac:dyDescent="0.25">
      <c r="B10" s="153"/>
      <c r="K10" s="148"/>
      <c r="L10" s="143"/>
    </row>
    <row r="11" spans="1:17" s="142" customFormat="1" ht="23.25" customHeight="1" x14ac:dyDescent="0.25">
      <c r="C11" s="152" t="s">
        <v>104</v>
      </c>
      <c r="D11" s="151" t="s">
        <v>103</v>
      </c>
      <c r="E11" s="182" t="s">
        <v>102</v>
      </c>
      <c r="F11" s="182"/>
      <c r="G11" s="182"/>
      <c r="K11" s="144"/>
      <c r="L11" s="143"/>
    </row>
    <row r="12" spans="1:17" s="142" customFormat="1" ht="10.5" customHeight="1" x14ac:dyDescent="0.25">
      <c r="C12" s="150" t="s">
        <v>101</v>
      </c>
      <c r="D12" s="150" t="s">
        <v>100</v>
      </c>
      <c r="E12" s="177" t="s">
        <v>99</v>
      </c>
      <c r="F12" s="178"/>
      <c r="G12" s="178"/>
      <c r="K12" s="148"/>
      <c r="L12" s="143"/>
    </row>
    <row r="13" spans="1:17" s="142" customFormat="1" ht="10.5" customHeight="1" x14ac:dyDescent="0.25">
      <c r="B13" s="149"/>
      <c r="K13" s="148"/>
      <c r="L13" s="143"/>
    </row>
    <row r="14" spans="1:17" s="142" customFormat="1" ht="21" customHeight="1" x14ac:dyDescent="0.25">
      <c r="B14" s="149"/>
      <c r="K14" s="148"/>
      <c r="L14" s="143"/>
    </row>
    <row r="15" spans="1:17" s="142" customFormat="1" ht="10.5" customHeight="1" x14ac:dyDescent="0.25">
      <c r="B15" s="145"/>
      <c r="K15" s="148"/>
      <c r="L15" s="143"/>
    </row>
    <row r="16" spans="1:17" s="142" customFormat="1" ht="10.5" customHeight="1" x14ac:dyDescent="0.25">
      <c r="B16" s="147"/>
      <c r="D16" s="146"/>
      <c r="E16" s="145"/>
      <c r="K16" s="144"/>
      <c r="L16" s="143"/>
    </row>
    <row r="17" spans="5:12" s="142" customFormat="1" ht="20.25" customHeight="1" x14ac:dyDescent="0.25">
      <c r="E17" s="145"/>
      <c r="K17" s="144"/>
      <c r="L17" s="143"/>
    </row>
    <row r="18" spans="5:12" s="142" customFormat="1" ht="20.25" customHeight="1" x14ac:dyDescent="0.25">
      <c r="E18" s="145"/>
      <c r="K18" s="144"/>
      <c r="L18" s="143"/>
    </row>
    <row r="19" spans="5:12" s="142" customFormat="1" ht="20.25" customHeight="1" x14ac:dyDescent="0.25">
      <c r="K19" s="144"/>
      <c r="L19" s="143"/>
    </row>
    <row r="20" spans="5:12" s="142" customFormat="1" ht="20.25" customHeight="1" x14ac:dyDescent="0.25">
      <c r="K20" s="144"/>
      <c r="L20" s="143"/>
    </row>
    <row r="21" spans="5:12" s="142" customFormat="1" ht="20.25" customHeight="1" x14ac:dyDescent="0.25">
      <c r="E21" s="145"/>
      <c r="K21" s="144"/>
      <c r="L21" s="143"/>
    </row>
    <row r="22" spans="5:12" s="142" customFormat="1" ht="20.25" customHeight="1" x14ac:dyDescent="0.25">
      <c r="E22" s="145"/>
      <c r="K22" s="144"/>
      <c r="L22" s="143"/>
    </row>
    <row r="23" spans="5:12" s="142" customFormat="1" ht="20.25" customHeight="1" x14ac:dyDescent="0.25">
      <c r="E23" s="145"/>
      <c r="K23" s="144"/>
      <c r="L23" s="143"/>
    </row>
    <row r="24" spans="5:12" s="142" customFormat="1" ht="20.25" customHeight="1" x14ac:dyDescent="0.25">
      <c r="E24" s="145"/>
      <c r="K24" s="144"/>
      <c r="L24" s="143"/>
    </row>
    <row r="25" spans="5:12" s="142" customFormat="1" ht="20.25" customHeight="1" x14ac:dyDescent="0.25">
      <c r="E25" s="145"/>
      <c r="K25" s="144"/>
      <c r="L25" s="143"/>
    </row>
    <row r="26" spans="5:12" s="142" customFormat="1" ht="20.25" customHeight="1" x14ac:dyDescent="0.25">
      <c r="E26" s="145"/>
      <c r="K26" s="144"/>
      <c r="L26" s="143"/>
    </row>
    <row r="27" spans="5:12" s="142" customFormat="1" ht="20.25" customHeight="1" x14ac:dyDescent="0.25">
      <c r="E27" s="145"/>
      <c r="K27" s="144"/>
      <c r="L27" s="143"/>
    </row>
    <row r="28" spans="5:12" s="142" customFormat="1" ht="20.25" customHeight="1" x14ac:dyDescent="0.25">
      <c r="E28" s="145"/>
      <c r="K28" s="144"/>
      <c r="L28" s="143"/>
    </row>
    <row r="29" spans="5:12" s="142" customFormat="1" ht="20.25" customHeight="1" x14ac:dyDescent="0.25">
      <c r="E29" s="145"/>
      <c r="K29" s="144"/>
      <c r="L29" s="143"/>
    </row>
    <row r="30" spans="5:12" s="138" customFormat="1" x14ac:dyDescent="0.2">
      <c r="E30" s="141"/>
      <c r="K30" s="140"/>
      <c r="L30" s="139"/>
    </row>
    <row r="31" spans="5:12" s="138" customFormat="1" x14ac:dyDescent="0.2">
      <c r="E31" s="141"/>
      <c r="K31" s="140"/>
      <c r="L31" s="139"/>
    </row>
    <row r="32" spans="5:12" s="138" customFormat="1" x14ac:dyDescent="0.2">
      <c r="E32" s="141"/>
      <c r="K32" s="140"/>
      <c r="L32" s="139"/>
    </row>
    <row r="33" spans="5:12" s="138" customFormat="1" x14ac:dyDescent="0.2">
      <c r="E33" s="141"/>
      <c r="K33" s="140"/>
      <c r="L33" s="139"/>
    </row>
    <row r="34" spans="5:12" s="138" customFormat="1" x14ac:dyDescent="0.2">
      <c r="E34" s="141"/>
      <c r="K34" s="140"/>
      <c r="L34" s="139"/>
    </row>
    <row r="35" spans="5:12" s="138" customFormat="1" x14ac:dyDescent="0.2">
      <c r="E35" s="141"/>
      <c r="K35" s="140"/>
      <c r="L35" s="139"/>
    </row>
    <row r="36" spans="5:12" s="138" customFormat="1" x14ac:dyDescent="0.2">
      <c r="E36" s="141"/>
      <c r="K36" s="140"/>
      <c r="L36" s="139"/>
    </row>
    <row r="37" spans="5:12" s="138" customFormat="1" x14ac:dyDescent="0.2">
      <c r="E37" s="141"/>
      <c r="K37" s="140"/>
      <c r="L37" s="139"/>
    </row>
    <row r="38" spans="5:12" s="138" customFormat="1" x14ac:dyDescent="0.2">
      <c r="E38" s="141"/>
      <c r="K38" s="140"/>
      <c r="L38" s="139"/>
    </row>
    <row r="39" spans="5:12" s="138" customFormat="1" x14ac:dyDescent="0.2">
      <c r="E39" s="141"/>
      <c r="K39" s="140"/>
      <c r="L39" s="139"/>
    </row>
    <row r="40" spans="5:12" s="138" customFormat="1" x14ac:dyDescent="0.2">
      <c r="E40" s="141"/>
      <c r="K40" s="140"/>
      <c r="L40" s="139"/>
    </row>
    <row r="41" spans="5:12" s="138" customFormat="1" x14ac:dyDescent="0.2">
      <c r="E41" s="141"/>
      <c r="K41" s="140"/>
      <c r="L41" s="139"/>
    </row>
    <row r="42" spans="5:12" s="138" customFormat="1" x14ac:dyDescent="0.2">
      <c r="E42" s="141"/>
      <c r="K42" s="140"/>
      <c r="L42" s="139"/>
    </row>
    <row r="43" spans="5:12" s="138" customFormat="1" x14ac:dyDescent="0.2">
      <c r="E43" s="141"/>
      <c r="K43" s="140"/>
      <c r="L43" s="139"/>
    </row>
    <row r="44" spans="5:12" s="138" customFormat="1" x14ac:dyDescent="0.2">
      <c r="E44" s="141"/>
      <c r="K44" s="140"/>
      <c r="L44" s="139"/>
    </row>
    <row r="45" spans="5:12" s="138" customFormat="1" x14ac:dyDescent="0.2">
      <c r="E45" s="141"/>
      <c r="K45" s="140"/>
      <c r="L45" s="139"/>
    </row>
    <row r="46" spans="5:12" s="138" customFormat="1" x14ac:dyDescent="0.2">
      <c r="E46" s="141"/>
      <c r="K46" s="140"/>
      <c r="L46" s="139"/>
    </row>
    <row r="47" spans="5:12" s="138" customFormat="1" x14ac:dyDescent="0.2">
      <c r="E47" s="141"/>
      <c r="K47" s="140"/>
      <c r="L47" s="139"/>
    </row>
    <row r="48" spans="5:12" s="138" customFormat="1" x14ac:dyDescent="0.2">
      <c r="E48" s="141"/>
      <c r="K48" s="140"/>
      <c r="L48" s="139"/>
    </row>
    <row r="49" spans="5:12" s="138" customFormat="1" x14ac:dyDescent="0.2">
      <c r="E49" s="141"/>
      <c r="K49" s="140"/>
      <c r="L49" s="139"/>
    </row>
    <row r="50" spans="5:12" s="138" customFormat="1" x14ac:dyDescent="0.2">
      <c r="E50" s="141"/>
      <c r="K50" s="140"/>
      <c r="L50" s="139"/>
    </row>
    <row r="51" spans="5:12" s="138" customFormat="1" x14ac:dyDescent="0.2">
      <c r="E51" s="141"/>
      <c r="K51" s="140"/>
      <c r="L51" s="139"/>
    </row>
    <row r="52" spans="5:12" s="138" customFormat="1" x14ac:dyDescent="0.2">
      <c r="E52" s="141"/>
      <c r="K52" s="140"/>
      <c r="L52" s="139"/>
    </row>
    <row r="53" spans="5:12" s="138" customFormat="1" x14ac:dyDescent="0.2">
      <c r="E53" s="141"/>
      <c r="K53" s="140"/>
      <c r="L53" s="139"/>
    </row>
    <row r="54" spans="5:12" s="138" customFormat="1" x14ac:dyDescent="0.2">
      <c r="E54" s="141"/>
      <c r="K54" s="140"/>
      <c r="L54" s="139"/>
    </row>
    <row r="55" spans="5:12" s="138" customFormat="1" x14ac:dyDescent="0.2">
      <c r="E55" s="141"/>
      <c r="K55" s="140"/>
      <c r="L55" s="139"/>
    </row>
    <row r="56" spans="5:12" s="138" customFormat="1" x14ac:dyDescent="0.2">
      <c r="E56" s="141"/>
      <c r="K56" s="140"/>
      <c r="L56" s="139"/>
    </row>
    <row r="57" spans="5:12" s="138" customFormat="1" x14ac:dyDescent="0.2">
      <c r="E57" s="141"/>
      <c r="K57" s="140"/>
      <c r="L57" s="139"/>
    </row>
    <row r="58" spans="5:12" s="138" customFormat="1" x14ac:dyDescent="0.2">
      <c r="E58" s="141"/>
      <c r="K58" s="140"/>
      <c r="L58" s="139"/>
    </row>
    <row r="59" spans="5:12" s="138" customFormat="1" x14ac:dyDescent="0.2">
      <c r="E59" s="141"/>
      <c r="K59" s="140"/>
      <c r="L59" s="139"/>
    </row>
    <row r="60" spans="5:12" s="138" customFormat="1" x14ac:dyDescent="0.2">
      <c r="E60" s="141"/>
      <c r="K60" s="140"/>
      <c r="L60" s="139"/>
    </row>
    <row r="61" spans="5:12" s="138" customFormat="1" x14ac:dyDescent="0.2">
      <c r="E61" s="141"/>
      <c r="K61" s="140"/>
      <c r="L61" s="139"/>
    </row>
    <row r="62" spans="5:12" s="138" customFormat="1" x14ac:dyDescent="0.2">
      <c r="E62" s="141"/>
      <c r="K62" s="140"/>
      <c r="L62" s="139"/>
    </row>
    <row r="63" spans="5:12" s="138" customFormat="1" x14ac:dyDescent="0.2">
      <c r="E63" s="141"/>
      <c r="K63" s="140"/>
      <c r="L63" s="139"/>
    </row>
    <row r="64" spans="5:12" s="138" customFormat="1" x14ac:dyDescent="0.2">
      <c r="E64" s="141"/>
      <c r="K64" s="140"/>
      <c r="L64" s="139"/>
    </row>
    <row r="65" spans="5:12" s="138" customFormat="1" x14ac:dyDescent="0.2">
      <c r="E65" s="141"/>
      <c r="K65" s="140"/>
      <c r="L65" s="139"/>
    </row>
    <row r="66" spans="5:12" s="138" customFormat="1" x14ac:dyDescent="0.2">
      <c r="E66" s="141"/>
      <c r="K66" s="140"/>
      <c r="L66" s="139"/>
    </row>
    <row r="67" spans="5:12" s="138" customFormat="1" x14ac:dyDescent="0.2">
      <c r="E67" s="141"/>
      <c r="K67" s="140"/>
      <c r="L67" s="139"/>
    </row>
    <row r="68" spans="5:12" s="138" customFormat="1" x14ac:dyDescent="0.2">
      <c r="E68" s="141"/>
      <c r="K68" s="140"/>
      <c r="L68" s="139"/>
    </row>
    <row r="69" spans="5:12" s="138" customFormat="1" x14ac:dyDescent="0.2">
      <c r="E69" s="141"/>
      <c r="K69" s="140"/>
      <c r="L69" s="139"/>
    </row>
    <row r="70" spans="5:12" s="138" customFormat="1" x14ac:dyDescent="0.2">
      <c r="E70" s="141"/>
      <c r="K70" s="140"/>
      <c r="L70" s="139"/>
    </row>
    <row r="71" spans="5:12" s="138" customFormat="1" x14ac:dyDescent="0.2">
      <c r="E71" s="141"/>
      <c r="K71" s="140"/>
      <c r="L71" s="139"/>
    </row>
    <row r="72" spans="5:12" s="138" customFormat="1" x14ac:dyDescent="0.2">
      <c r="E72" s="141"/>
      <c r="K72" s="140"/>
      <c r="L72" s="139"/>
    </row>
    <row r="73" spans="5:12" s="138" customFormat="1" x14ac:dyDescent="0.2">
      <c r="E73" s="141"/>
      <c r="K73" s="140"/>
      <c r="L73" s="139"/>
    </row>
    <row r="74" spans="5:12" s="138" customFormat="1" x14ac:dyDescent="0.2">
      <c r="E74" s="141"/>
      <c r="K74" s="140"/>
      <c r="L74" s="139"/>
    </row>
    <row r="75" spans="5:12" s="138" customFormat="1" x14ac:dyDescent="0.2">
      <c r="E75" s="141"/>
      <c r="K75" s="140"/>
      <c r="L75" s="139"/>
    </row>
    <row r="76" spans="5:12" s="138" customFormat="1" x14ac:dyDescent="0.2">
      <c r="E76" s="141"/>
      <c r="K76" s="140"/>
      <c r="L76" s="139"/>
    </row>
    <row r="77" spans="5:12" s="138" customFormat="1" x14ac:dyDescent="0.2">
      <c r="E77" s="141"/>
      <c r="K77" s="140"/>
      <c r="L77" s="139"/>
    </row>
    <row r="78" spans="5:12" s="138" customFormat="1" x14ac:dyDescent="0.2">
      <c r="E78" s="141"/>
      <c r="K78" s="140"/>
      <c r="L78" s="139"/>
    </row>
    <row r="79" spans="5:12" s="138" customFormat="1" x14ac:dyDescent="0.2">
      <c r="E79" s="141"/>
      <c r="K79" s="140"/>
      <c r="L79" s="139"/>
    </row>
    <row r="80" spans="5:12" s="138" customFormat="1" x14ac:dyDescent="0.2">
      <c r="E80" s="141"/>
      <c r="K80" s="140"/>
      <c r="L80" s="139"/>
    </row>
    <row r="81" spans="5:12" s="138" customFormat="1" x14ac:dyDescent="0.2">
      <c r="E81" s="141"/>
      <c r="K81" s="140"/>
      <c r="L81" s="139"/>
    </row>
    <row r="82" spans="5:12" s="138" customFormat="1" x14ac:dyDescent="0.2">
      <c r="E82" s="141"/>
      <c r="K82" s="140"/>
      <c r="L82" s="139"/>
    </row>
    <row r="83" spans="5:12" s="138" customFormat="1" x14ac:dyDescent="0.2">
      <c r="E83" s="141"/>
      <c r="K83" s="140"/>
      <c r="L83" s="139"/>
    </row>
    <row r="84" spans="5:12" s="138" customFormat="1" x14ac:dyDescent="0.2">
      <c r="E84" s="141"/>
      <c r="K84" s="140"/>
      <c r="L84" s="139"/>
    </row>
    <row r="85" spans="5:12" s="138" customFormat="1" x14ac:dyDescent="0.2">
      <c r="E85" s="141"/>
      <c r="K85" s="140"/>
      <c r="L85" s="139"/>
    </row>
    <row r="86" spans="5:12" s="138" customFormat="1" x14ac:dyDescent="0.2">
      <c r="E86" s="141"/>
      <c r="K86" s="140"/>
      <c r="L86" s="139"/>
    </row>
    <row r="87" spans="5:12" s="138" customFormat="1" x14ac:dyDescent="0.2">
      <c r="E87" s="141"/>
      <c r="K87" s="140"/>
      <c r="L87" s="139"/>
    </row>
    <row r="88" spans="5:12" s="138" customFormat="1" x14ac:dyDescent="0.2">
      <c r="E88" s="141"/>
      <c r="K88" s="140"/>
      <c r="L88" s="139"/>
    </row>
    <row r="89" spans="5:12" s="138" customFormat="1" x14ac:dyDescent="0.2">
      <c r="E89" s="141"/>
      <c r="K89" s="140"/>
      <c r="L89" s="139"/>
    </row>
    <row r="90" spans="5:12" s="138" customFormat="1" x14ac:dyDescent="0.2">
      <c r="E90" s="141"/>
      <c r="K90" s="140"/>
      <c r="L90" s="139"/>
    </row>
    <row r="91" spans="5:12" s="138" customFormat="1" x14ac:dyDescent="0.2">
      <c r="E91" s="141"/>
      <c r="K91" s="140"/>
      <c r="L91" s="139"/>
    </row>
    <row r="92" spans="5:12" s="138" customFormat="1" x14ac:dyDescent="0.2">
      <c r="E92" s="141"/>
      <c r="K92" s="140"/>
      <c r="L92" s="139"/>
    </row>
    <row r="93" spans="5:12" s="138" customFormat="1" x14ac:dyDescent="0.2">
      <c r="E93" s="141"/>
      <c r="K93" s="140"/>
      <c r="L93" s="139"/>
    </row>
    <row r="94" spans="5:12" s="138" customFormat="1" x14ac:dyDescent="0.2">
      <c r="E94" s="141"/>
      <c r="K94" s="140"/>
      <c r="L94" s="139"/>
    </row>
    <row r="95" spans="5:12" s="138" customFormat="1" x14ac:dyDescent="0.2">
      <c r="E95" s="141"/>
      <c r="K95" s="140"/>
      <c r="L95" s="139"/>
    </row>
    <row r="96" spans="5:12" s="138" customFormat="1" x14ac:dyDescent="0.2">
      <c r="E96" s="141"/>
      <c r="K96" s="140"/>
      <c r="L96" s="139"/>
    </row>
    <row r="97" spans="5:12" s="138" customFormat="1" x14ac:dyDescent="0.2">
      <c r="E97" s="141"/>
      <c r="K97" s="140"/>
      <c r="L97" s="139"/>
    </row>
    <row r="98" spans="5:12" s="138" customFormat="1" x14ac:dyDescent="0.2">
      <c r="E98" s="141"/>
      <c r="K98" s="140"/>
      <c r="L98" s="139"/>
    </row>
    <row r="99" spans="5:12" s="138" customFormat="1" x14ac:dyDescent="0.2">
      <c r="E99" s="141"/>
      <c r="K99" s="140"/>
      <c r="L99" s="139"/>
    </row>
    <row r="100" spans="5:12" s="138" customFormat="1" x14ac:dyDescent="0.2">
      <c r="E100" s="141"/>
      <c r="K100" s="140"/>
      <c r="L100" s="139"/>
    </row>
    <row r="101" spans="5:12" s="138" customFormat="1" x14ac:dyDescent="0.2">
      <c r="E101" s="141"/>
      <c r="K101" s="140"/>
      <c r="L101" s="139"/>
    </row>
    <row r="102" spans="5:12" s="138" customFormat="1" x14ac:dyDescent="0.2">
      <c r="E102" s="141"/>
      <c r="K102" s="140"/>
      <c r="L102" s="139"/>
    </row>
    <row r="103" spans="5:12" s="138" customFormat="1" x14ac:dyDescent="0.2">
      <c r="E103" s="141"/>
      <c r="K103" s="140"/>
      <c r="L103" s="139"/>
    </row>
    <row r="104" spans="5:12" s="138" customFormat="1" x14ac:dyDescent="0.2">
      <c r="E104" s="141"/>
      <c r="K104" s="140"/>
      <c r="L104" s="139"/>
    </row>
    <row r="105" spans="5:12" s="138" customFormat="1" x14ac:dyDescent="0.2">
      <c r="E105" s="141"/>
      <c r="K105" s="140"/>
      <c r="L105" s="139"/>
    </row>
    <row r="106" spans="5:12" s="138" customFormat="1" x14ac:dyDescent="0.2">
      <c r="E106" s="141"/>
      <c r="K106" s="140"/>
      <c r="L106" s="139"/>
    </row>
    <row r="107" spans="5:12" s="138" customFormat="1" x14ac:dyDescent="0.2">
      <c r="E107" s="141"/>
      <c r="K107" s="140"/>
      <c r="L107" s="139"/>
    </row>
    <row r="108" spans="5:12" s="138" customFormat="1" x14ac:dyDescent="0.2">
      <c r="E108" s="141"/>
      <c r="K108" s="140"/>
      <c r="L108" s="139"/>
    </row>
    <row r="109" spans="5:12" s="138" customFormat="1" x14ac:dyDescent="0.2">
      <c r="E109" s="141"/>
      <c r="K109" s="140"/>
      <c r="L109" s="139"/>
    </row>
    <row r="110" spans="5:12" s="138" customFormat="1" x14ac:dyDescent="0.2">
      <c r="E110" s="141"/>
      <c r="K110" s="140"/>
      <c r="L110" s="139"/>
    </row>
    <row r="111" spans="5:12" s="138" customFormat="1" x14ac:dyDescent="0.2">
      <c r="E111" s="141"/>
      <c r="K111" s="140"/>
      <c r="L111" s="139"/>
    </row>
    <row r="112" spans="5:12" s="138" customFormat="1" x14ac:dyDescent="0.2">
      <c r="E112" s="141"/>
      <c r="K112" s="140"/>
      <c r="L112" s="139"/>
    </row>
    <row r="113" spans="5:12" s="138" customFormat="1" x14ac:dyDescent="0.2">
      <c r="E113" s="141"/>
      <c r="K113" s="140"/>
      <c r="L113" s="139"/>
    </row>
    <row r="114" spans="5:12" s="138" customFormat="1" x14ac:dyDescent="0.2">
      <c r="E114" s="141"/>
      <c r="K114" s="140"/>
      <c r="L114" s="139"/>
    </row>
    <row r="115" spans="5:12" s="138" customFormat="1" x14ac:dyDescent="0.2">
      <c r="E115" s="141"/>
      <c r="K115" s="140"/>
      <c r="L115" s="139"/>
    </row>
    <row r="116" spans="5:12" s="138" customFormat="1" x14ac:dyDescent="0.2">
      <c r="E116" s="141"/>
      <c r="K116" s="140"/>
      <c r="L116" s="139"/>
    </row>
    <row r="117" spans="5:12" s="138" customFormat="1" x14ac:dyDescent="0.2">
      <c r="E117" s="141"/>
      <c r="K117" s="140"/>
      <c r="L117" s="139"/>
    </row>
  </sheetData>
  <sheetProtection password="C5F7" sheet="1" objects="1" scenarios="1" autoFilter="0"/>
  <mergeCells count="13">
    <mergeCell ref="B1:L1"/>
    <mergeCell ref="A3:A4"/>
    <mergeCell ref="B3:B4"/>
    <mergeCell ref="C3:D3"/>
    <mergeCell ref="E3:E4"/>
    <mergeCell ref="F3:J3"/>
    <mergeCell ref="K3:L3"/>
    <mergeCell ref="E12:G12"/>
    <mergeCell ref="P3:Q3"/>
    <mergeCell ref="F5:J5"/>
    <mergeCell ref="F6:J6"/>
    <mergeCell ref="F7:J7"/>
    <mergeCell ref="E11:G11"/>
  </mergeCells>
  <pageMargins left="0.83" right="0.75" top="1" bottom="1" header="0.5" footer="0.5"/>
  <pageSetup scale="5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J30"/>
  <sheetViews>
    <sheetView showGridLines="0" workbookViewId="0">
      <selection activeCell="F8" sqref="F8:H11"/>
    </sheetView>
  </sheetViews>
  <sheetFormatPr defaultRowHeight="15" zeroHeight="1" x14ac:dyDescent="0.25"/>
  <cols>
    <col min="1" max="1" width="16.7109375" style="57" customWidth="1"/>
    <col min="2" max="2" width="18.28515625" style="58" customWidth="1"/>
    <col min="3" max="3" width="16" style="58" customWidth="1"/>
    <col min="4" max="4" width="15.42578125" style="58" customWidth="1"/>
    <col min="5" max="5" width="17.28515625" style="58" customWidth="1"/>
    <col min="6" max="6" width="18" style="58" customWidth="1"/>
    <col min="7" max="7" width="16.42578125" style="58" customWidth="1"/>
    <col min="8" max="8" width="15.5703125" style="58" customWidth="1"/>
    <col min="9" max="9" width="16.5703125" style="58" customWidth="1"/>
    <col min="10" max="10" width="13.5703125" style="58" customWidth="1"/>
    <col min="11" max="11" width="9.140625" customWidth="1"/>
  </cols>
  <sheetData>
    <row r="1" spans="1:10" s="84" customFormat="1" ht="29.25" x14ac:dyDescent="0.25">
      <c r="A1" s="51"/>
      <c r="B1" s="88"/>
      <c r="C1" s="196" t="s">
        <v>46</v>
      </c>
      <c r="D1" s="197"/>
      <c r="E1" s="197"/>
      <c r="F1" s="197"/>
      <c r="G1" s="197"/>
      <c r="H1" s="197"/>
      <c r="I1" s="88"/>
      <c r="J1" s="88"/>
    </row>
    <row r="2" spans="1:10" s="84" customFormat="1" ht="21" x14ac:dyDescent="0.25">
      <c r="A2" s="51"/>
      <c r="B2" s="88"/>
      <c r="C2" s="88"/>
      <c r="D2" s="198" t="s">
        <v>80</v>
      </c>
      <c r="E2" s="198"/>
      <c r="F2" s="198"/>
      <c r="G2" s="198"/>
      <c r="H2" s="88"/>
      <c r="I2" s="88"/>
      <c r="J2" s="88"/>
    </row>
    <row r="3" spans="1:10" s="60" customFormat="1" ht="21.75" thickBot="1" x14ac:dyDescent="0.3">
      <c r="A3" s="71"/>
      <c r="B3" s="72"/>
      <c r="C3" s="72"/>
      <c r="D3" s="199" t="s">
        <v>47</v>
      </c>
      <c r="E3" s="199"/>
      <c r="F3" s="199"/>
      <c r="G3" s="199"/>
      <c r="I3" s="132" t="s">
        <v>96</v>
      </c>
      <c r="J3" s="133" t="s">
        <v>97</v>
      </c>
    </row>
    <row r="4" spans="1:10" s="60" customFormat="1" ht="21.75" thickBot="1" x14ac:dyDescent="0.3">
      <c r="A4" s="71" t="s">
        <v>48</v>
      </c>
      <c r="B4" s="195"/>
      <c r="C4" s="195"/>
      <c r="D4" s="73"/>
      <c r="E4" s="73"/>
      <c r="F4" s="73"/>
      <c r="G4" s="73"/>
      <c r="H4" s="86" t="s">
        <v>49</v>
      </c>
      <c r="I4" s="50"/>
      <c r="J4" s="71" t="s">
        <v>50</v>
      </c>
    </row>
    <row r="5" spans="1:10" s="60" customFormat="1" ht="15.75" thickBot="1" x14ac:dyDescent="0.3">
      <c r="A5" s="71"/>
      <c r="B5" s="72"/>
      <c r="C5" s="72"/>
      <c r="D5" s="72"/>
      <c r="E5" s="72"/>
      <c r="F5" s="72"/>
      <c r="G5" s="72"/>
      <c r="H5" s="72"/>
      <c r="I5" s="72"/>
      <c r="J5" s="72"/>
    </row>
    <row r="6" spans="1:10" ht="26.25" customHeight="1" thickTop="1" thickBot="1" x14ac:dyDescent="0.3">
      <c r="A6" s="200" t="s">
        <v>51</v>
      </c>
      <c r="B6" s="200" t="s">
        <v>52</v>
      </c>
      <c r="C6" s="200"/>
      <c r="D6" s="200"/>
      <c r="E6" s="200"/>
      <c r="F6" s="200" t="s">
        <v>53</v>
      </c>
      <c r="G6" s="200"/>
      <c r="H6" s="200"/>
      <c r="I6" s="201"/>
      <c r="J6" s="192" t="s">
        <v>54</v>
      </c>
    </row>
    <row r="7" spans="1:10" ht="29.25" customHeight="1" thickTop="1" thickBot="1" x14ac:dyDescent="0.3">
      <c r="A7" s="200"/>
      <c r="B7" s="52" t="s">
        <v>55</v>
      </c>
      <c r="C7" s="52" t="s">
        <v>56</v>
      </c>
      <c r="D7" s="52" t="s">
        <v>57</v>
      </c>
      <c r="E7" s="52" t="s">
        <v>58</v>
      </c>
      <c r="F7" s="52" t="s">
        <v>55</v>
      </c>
      <c r="G7" s="52" t="s">
        <v>56</v>
      </c>
      <c r="H7" s="52" t="s">
        <v>57</v>
      </c>
      <c r="I7" s="53" t="s">
        <v>58</v>
      </c>
      <c r="J7" s="193"/>
    </row>
    <row r="8" spans="1:10" ht="28.5" customHeight="1" thickTop="1" x14ac:dyDescent="0.25">
      <c r="A8" s="54" t="s">
        <v>59</v>
      </c>
      <c r="B8" s="112"/>
      <c r="C8" s="112"/>
      <c r="D8" s="112"/>
      <c r="E8" s="109">
        <f>B8+C8-D8</f>
        <v>0</v>
      </c>
      <c r="F8" s="112"/>
      <c r="G8" s="112"/>
      <c r="H8" s="112"/>
      <c r="I8" s="113">
        <f>F8+G8-H8</f>
        <v>0</v>
      </c>
      <c r="J8" s="114">
        <f>E8+I8</f>
        <v>0</v>
      </c>
    </row>
    <row r="9" spans="1:10" ht="27" customHeight="1" x14ac:dyDescent="0.25">
      <c r="A9" s="55" t="s">
        <v>60</v>
      </c>
      <c r="B9" s="115"/>
      <c r="C9" s="115"/>
      <c r="D9" s="115"/>
      <c r="E9" s="110">
        <f>B9+C9-D9</f>
        <v>0</v>
      </c>
      <c r="F9" s="115"/>
      <c r="G9" s="115"/>
      <c r="H9" s="115"/>
      <c r="I9" s="113">
        <f>F9+G9-H9</f>
        <v>0</v>
      </c>
      <c r="J9" s="116">
        <f>E9+I9</f>
        <v>0</v>
      </c>
    </row>
    <row r="10" spans="1:10" ht="27" customHeight="1" x14ac:dyDescent="0.25">
      <c r="A10" s="55" t="s">
        <v>61</v>
      </c>
      <c r="B10" s="115"/>
      <c r="C10" s="115"/>
      <c r="D10" s="115"/>
      <c r="E10" s="110">
        <f>B10+C10-D10</f>
        <v>0</v>
      </c>
      <c r="F10" s="115"/>
      <c r="G10" s="115"/>
      <c r="H10" s="115"/>
      <c r="I10" s="113">
        <f>F10+G10-H10</f>
        <v>0</v>
      </c>
      <c r="J10" s="116">
        <f>E10+I10</f>
        <v>0</v>
      </c>
    </row>
    <row r="11" spans="1:10" ht="27" customHeight="1" x14ac:dyDescent="0.25">
      <c r="A11" s="55" t="s">
        <v>62</v>
      </c>
      <c r="B11" s="115"/>
      <c r="C11" s="115"/>
      <c r="D11" s="115"/>
      <c r="E11" s="110">
        <f>B11+C11-D11</f>
        <v>0</v>
      </c>
      <c r="F11" s="115"/>
      <c r="G11" s="115"/>
      <c r="H11" s="115"/>
      <c r="I11" s="113">
        <f>F11+G11-H11</f>
        <v>0</v>
      </c>
      <c r="J11" s="116">
        <f>E11+I11</f>
        <v>0</v>
      </c>
    </row>
    <row r="12" spans="1:10" ht="30.75" customHeight="1" thickBot="1" x14ac:dyDescent="0.3">
      <c r="A12" s="56" t="s">
        <v>54</v>
      </c>
      <c r="B12" s="111">
        <f t="shared" ref="B12:I12" si="0">SUM(B8:B11)</f>
        <v>0</v>
      </c>
      <c r="C12" s="111">
        <f t="shared" si="0"/>
        <v>0</v>
      </c>
      <c r="D12" s="111">
        <f t="shared" si="0"/>
        <v>0</v>
      </c>
      <c r="E12" s="111">
        <f t="shared" si="0"/>
        <v>0</v>
      </c>
      <c r="F12" s="111">
        <f t="shared" si="0"/>
        <v>0</v>
      </c>
      <c r="G12" s="111">
        <f t="shared" si="0"/>
        <v>0</v>
      </c>
      <c r="H12" s="111">
        <f t="shared" si="0"/>
        <v>0</v>
      </c>
      <c r="I12" s="111">
        <f t="shared" si="0"/>
        <v>0</v>
      </c>
      <c r="J12" s="117">
        <f>SUM(J8:J11)</f>
        <v>0</v>
      </c>
    </row>
    <row r="13" spans="1:10" s="60" customFormat="1" ht="15.75" thickTop="1" x14ac:dyDescent="0.25">
      <c r="A13" s="71"/>
      <c r="B13" s="72"/>
      <c r="C13" s="72"/>
      <c r="D13" s="72"/>
      <c r="E13" s="72"/>
      <c r="F13" s="72"/>
      <c r="G13" s="72"/>
      <c r="H13" s="72"/>
      <c r="I13" s="72"/>
      <c r="J13" s="72"/>
    </row>
    <row r="14" spans="1:10" s="60" customFormat="1" x14ac:dyDescent="0.25">
      <c r="A14" s="71"/>
      <c r="B14" s="72"/>
      <c r="C14" s="72"/>
      <c r="D14" s="72"/>
      <c r="E14" s="72"/>
      <c r="F14" s="72"/>
      <c r="G14" s="72"/>
      <c r="H14" s="72"/>
      <c r="I14" s="72"/>
      <c r="J14" s="72"/>
    </row>
    <row r="15" spans="1:10" s="70" customFormat="1" x14ac:dyDescent="0.25">
      <c r="A15" s="194" t="s">
        <v>63</v>
      </c>
      <c r="B15" s="194"/>
      <c r="C15" s="71"/>
      <c r="D15" s="194" t="s">
        <v>64</v>
      </c>
      <c r="E15" s="194"/>
      <c r="F15" s="71"/>
      <c r="G15" s="71"/>
      <c r="H15" s="71"/>
      <c r="I15" s="194" t="s">
        <v>47</v>
      </c>
      <c r="J15" s="194"/>
    </row>
    <row r="16" spans="1:10" s="70" customFormat="1" x14ac:dyDescent="0.25">
      <c r="A16" s="108"/>
      <c r="B16" s="108"/>
      <c r="C16" s="108"/>
      <c r="D16" s="108"/>
      <c r="E16" s="108"/>
      <c r="F16" s="108"/>
      <c r="G16" s="108"/>
      <c r="H16" s="108"/>
      <c r="I16" s="108"/>
      <c r="J16" s="108"/>
    </row>
    <row r="17" spans="1:10" s="70" customFormat="1" x14ac:dyDescent="0.25">
      <c r="A17" s="108"/>
      <c r="B17" s="108"/>
      <c r="C17" s="108"/>
      <c r="D17" s="108"/>
      <c r="E17" s="108"/>
      <c r="F17" s="108"/>
      <c r="G17" s="108"/>
      <c r="H17" s="108"/>
      <c r="I17" s="108"/>
      <c r="J17" s="108"/>
    </row>
    <row r="18" spans="1:10" s="70" customFormat="1" x14ac:dyDescent="0.25">
      <c r="A18" s="108"/>
      <c r="B18" s="108"/>
      <c r="C18" s="108"/>
      <c r="D18" s="108"/>
      <c r="E18" s="108"/>
      <c r="F18" s="108"/>
      <c r="G18" s="108"/>
      <c r="H18" s="108"/>
      <c r="I18" s="108"/>
      <c r="J18" s="108"/>
    </row>
    <row r="19" spans="1:10" s="70" customFormat="1" x14ac:dyDescent="0.25">
      <c r="A19" s="108"/>
      <c r="B19" s="108"/>
      <c r="C19" s="108"/>
      <c r="D19" s="108"/>
      <c r="E19" s="108"/>
      <c r="F19" s="108"/>
      <c r="G19" s="108"/>
      <c r="H19" s="108"/>
      <c r="I19" s="108"/>
      <c r="J19" s="108"/>
    </row>
    <row r="20" spans="1:10" s="70" customFormat="1" x14ac:dyDescent="0.25">
      <c r="A20" s="108"/>
      <c r="B20" s="108"/>
      <c r="C20" s="108"/>
      <c r="D20" s="108"/>
      <c r="E20" s="108"/>
      <c r="F20" s="108"/>
      <c r="G20" s="108"/>
      <c r="H20" s="108"/>
    </row>
    <row r="21" spans="1:10" s="70" customFormat="1" x14ac:dyDescent="0.25">
      <c r="A21" s="108"/>
      <c r="B21" s="108"/>
      <c r="C21" s="108"/>
      <c r="D21" s="108"/>
      <c r="E21" s="108"/>
      <c r="F21" s="108"/>
      <c r="G21" s="108"/>
      <c r="H21" s="108"/>
      <c r="I21" s="108"/>
      <c r="J21" s="108"/>
    </row>
    <row r="22" spans="1:10" s="70" customFormat="1" x14ac:dyDescent="0.25">
      <c r="A22" s="108"/>
      <c r="B22" s="108"/>
      <c r="C22" s="108"/>
      <c r="D22" s="108"/>
      <c r="E22" s="108"/>
      <c r="F22" s="108"/>
      <c r="G22" s="108"/>
      <c r="H22" s="108"/>
      <c r="I22" s="195" t="s">
        <v>65</v>
      </c>
      <c r="J22" s="195"/>
    </row>
    <row r="23" spans="1:10" s="70" customFormat="1" x14ac:dyDescent="0.25">
      <c r="A23" s="108"/>
      <c r="B23" s="108"/>
      <c r="C23" s="108"/>
      <c r="D23" s="108"/>
      <c r="E23" s="108"/>
      <c r="F23" s="108"/>
      <c r="G23" s="108"/>
      <c r="H23" s="108"/>
      <c r="I23" s="108"/>
      <c r="J23" s="108"/>
    </row>
    <row r="24" spans="1:10" s="70" customFormat="1" x14ac:dyDescent="0.25">
      <c r="A24" s="108"/>
      <c r="B24" s="108"/>
      <c r="C24" s="108"/>
      <c r="D24" s="108"/>
      <c r="E24" s="108"/>
      <c r="F24" s="108"/>
      <c r="G24" s="108"/>
      <c r="H24" s="108"/>
      <c r="I24" s="108"/>
      <c r="J24" s="108"/>
    </row>
    <row r="25" spans="1:10" s="70" customFormat="1" x14ac:dyDescent="0.25">
      <c r="A25" s="108"/>
      <c r="B25" s="108"/>
      <c r="C25" s="108"/>
      <c r="D25" s="108"/>
      <c r="E25" s="108"/>
      <c r="F25" s="108"/>
      <c r="G25" s="108"/>
      <c r="H25" s="108"/>
      <c r="I25" s="108"/>
      <c r="J25" s="108"/>
    </row>
    <row r="26" spans="1:10" s="70" customFormat="1" x14ac:dyDescent="0.25">
      <c r="A26" s="108"/>
      <c r="B26" s="108"/>
      <c r="C26" s="108"/>
      <c r="D26" s="108"/>
      <c r="E26" s="108"/>
      <c r="F26" s="108"/>
      <c r="G26" s="108"/>
      <c r="H26" s="108"/>
      <c r="I26" s="108"/>
      <c r="J26" s="108"/>
    </row>
    <row r="27" spans="1:10" s="60" customFormat="1" x14ac:dyDescent="0.25">
      <c r="A27" s="71"/>
      <c r="B27" s="72"/>
      <c r="C27" s="72"/>
      <c r="D27" s="72"/>
      <c r="E27" s="72"/>
      <c r="F27" s="72"/>
      <c r="G27" s="72"/>
      <c r="H27" s="72"/>
    </row>
    <row r="28" spans="1:10" s="60" customFormat="1" x14ac:dyDescent="0.25">
      <c r="A28" s="71"/>
      <c r="B28" s="72"/>
      <c r="C28" s="72"/>
      <c r="D28" s="72"/>
      <c r="E28" s="72"/>
      <c r="F28" s="72"/>
      <c r="G28" s="72"/>
      <c r="H28" s="72"/>
      <c r="I28" s="72"/>
      <c r="J28" s="72"/>
    </row>
    <row r="29" spans="1:10" s="60" customFormat="1" x14ac:dyDescent="0.25">
      <c r="A29" s="71"/>
      <c r="B29" s="72"/>
      <c r="C29" s="72"/>
      <c r="D29" s="72"/>
      <c r="E29" s="72"/>
      <c r="F29" s="72"/>
      <c r="G29" s="72"/>
      <c r="H29" s="72"/>
      <c r="I29" s="72"/>
      <c r="J29" s="72"/>
    </row>
    <row r="30" spans="1:10" s="60" customFormat="1" x14ac:dyDescent="0.25">
      <c r="A30" s="106"/>
      <c r="B30" s="107"/>
      <c r="C30" s="107" t="s">
        <v>94</v>
      </c>
      <c r="D30" s="72"/>
      <c r="E30" s="72"/>
      <c r="F30" s="72"/>
      <c r="G30" s="72"/>
      <c r="H30" s="72"/>
      <c r="I30" s="72"/>
      <c r="J30" s="72"/>
    </row>
  </sheetData>
  <sheetProtection password="C5F7" sheet="1" objects="1" scenarios="1"/>
  <mergeCells count="12">
    <mergeCell ref="C1:H1"/>
    <mergeCell ref="D2:G2"/>
    <mergeCell ref="D3:G3"/>
    <mergeCell ref="B4:C4"/>
    <mergeCell ref="A6:A7"/>
    <mergeCell ref="B6:E6"/>
    <mergeCell ref="F6:I6"/>
    <mergeCell ref="J6:J7"/>
    <mergeCell ref="A15:B15"/>
    <mergeCell ref="D15:E15"/>
    <mergeCell ref="I15:J15"/>
    <mergeCell ref="I22:J22"/>
  </mergeCells>
  <dataValidations count="2">
    <dataValidation type="decimal" operator="greaterThanOrEqual" allowBlank="1" showInputMessage="1" showErrorMessage="1" errorTitle="Validation Rule" sqref="I4 JE4 TA4 ACW4 AMS4 AWO4 BGK4 BQG4 CAC4 CJY4 CTU4 DDQ4 DNM4 DXI4 EHE4 ERA4 FAW4 FKS4 FUO4 GEK4 GOG4 GYC4 HHY4 HRU4 IBQ4 ILM4 IVI4 JFE4 JPA4 JYW4 KIS4 KSO4 LCK4 LMG4 LWC4 MFY4 MPU4 MZQ4 NJM4 NTI4 ODE4 ONA4 OWW4 PGS4 PQO4 QAK4 QKG4 QUC4 RDY4 RNU4 RXQ4 SHM4 SRI4 TBE4 TLA4 TUW4 UES4 UOO4 UYK4 VIG4 VSC4 WBY4 WLU4 WVQ4 I65551 JE65551 TA65551 ACW65551 AMS65551 AWO65551 BGK65551 BQG65551 CAC65551 CJY65551 CTU65551 DDQ65551 DNM65551 DXI65551 EHE65551 ERA65551 FAW65551 FKS65551 FUO65551 GEK65551 GOG65551 GYC65551 HHY65551 HRU65551 IBQ65551 ILM65551 IVI65551 JFE65551 JPA65551 JYW65551 KIS65551 KSO65551 LCK65551 LMG65551 LWC65551 MFY65551 MPU65551 MZQ65551 NJM65551 NTI65551 ODE65551 ONA65551 OWW65551 PGS65551 PQO65551 QAK65551 QKG65551 QUC65551 RDY65551 RNU65551 RXQ65551 SHM65551 SRI65551 TBE65551 TLA65551 TUW65551 UES65551 UOO65551 UYK65551 VIG65551 VSC65551 WBY65551 WLU65551 WVQ65551 I131087 JE131087 TA131087 ACW131087 AMS131087 AWO131087 BGK131087 BQG131087 CAC131087 CJY131087 CTU131087 DDQ131087 DNM131087 DXI131087 EHE131087 ERA131087 FAW131087 FKS131087 FUO131087 GEK131087 GOG131087 GYC131087 HHY131087 HRU131087 IBQ131087 ILM131087 IVI131087 JFE131087 JPA131087 JYW131087 KIS131087 KSO131087 LCK131087 LMG131087 LWC131087 MFY131087 MPU131087 MZQ131087 NJM131087 NTI131087 ODE131087 ONA131087 OWW131087 PGS131087 PQO131087 QAK131087 QKG131087 QUC131087 RDY131087 RNU131087 RXQ131087 SHM131087 SRI131087 TBE131087 TLA131087 TUW131087 UES131087 UOO131087 UYK131087 VIG131087 VSC131087 WBY131087 WLU131087 WVQ131087 I196623 JE196623 TA196623 ACW196623 AMS196623 AWO196623 BGK196623 BQG196623 CAC196623 CJY196623 CTU196623 DDQ196623 DNM196623 DXI196623 EHE196623 ERA196623 FAW196623 FKS196623 FUO196623 GEK196623 GOG196623 GYC196623 HHY196623 HRU196623 IBQ196623 ILM196623 IVI196623 JFE196623 JPA196623 JYW196623 KIS196623 KSO196623 LCK196623 LMG196623 LWC196623 MFY196623 MPU196623 MZQ196623 NJM196623 NTI196623 ODE196623 ONA196623 OWW196623 PGS196623 PQO196623 QAK196623 QKG196623 QUC196623 RDY196623 RNU196623 RXQ196623 SHM196623 SRI196623 TBE196623 TLA196623 TUW196623 UES196623 UOO196623 UYK196623 VIG196623 VSC196623 WBY196623 WLU196623 WVQ196623 I262159 JE262159 TA262159 ACW262159 AMS262159 AWO262159 BGK262159 BQG262159 CAC262159 CJY262159 CTU262159 DDQ262159 DNM262159 DXI262159 EHE262159 ERA262159 FAW262159 FKS262159 FUO262159 GEK262159 GOG262159 GYC262159 HHY262159 HRU262159 IBQ262159 ILM262159 IVI262159 JFE262159 JPA262159 JYW262159 KIS262159 KSO262159 LCK262159 LMG262159 LWC262159 MFY262159 MPU262159 MZQ262159 NJM262159 NTI262159 ODE262159 ONA262159 OWW262159 PGS262159 PQO262159 QAK262159 QKG262159 QUC262159 RDY262159 RNU262159 RXQ262159 SHM262159 SRI262159 TBE262159 TLA262159 TUW262159 UES262159 UOO262159 UYK262159 VIG262159 VSC262159 WBY262159 WLU262159 WVQ262159 I327695 JE327695 TA327695 ACW327695 AMS327695 AWO327695 BGK327695 BQG327695 CAC327695 CJY327695 CTU327695 DDQ327695 DNM327695 DXI327695 EHE327695 ERA327695 FAW327695 FKS327695 FUO327695 GEK327695 GOG327695 GYC327695 HHY327695 HRU327695 IBQ327695 ILM327695 IVI327695 JFE327695 JPA327695 JYW327695 KIS327695 KSO327695 LCK327695 LMG327695 LWC327695 MFY327695 MPU327695 MZQ327695 NJM327695 NTI327695 ODE327695 ONA327695 OWW327695 PGS327695 PQO327695 QAK327695 QKG327695 QUC327695 RDY327695 RNU327695 RXQ327695 SHM327695 SRI327695 TBE327695 TLA327695 TUW327695 UES327695 UOO327695 UYK327695 VIG327695 VSC327695 WBY327695 WLU327695 WVQ327695 I393231 JE393231 TA393231 ACW393231 AMS393231 AWO393231 BGK393231 BQG393231 CAC393231 CJY393231 CTU393231 DDQ393231 DNM393231 DXI393231 EHE393231 ERA393231 FAW393231 FKS393231 FUO393231 GEK393231 GOG393231 GYC393231 HHY393231 HRU393231 IBQ393231 ILM393231 IVI393231 JFE393231 JPA393231 JYW393231 KIS393231 KSO393231 LCK393231 LMG393231 LWC393231 MFY393231 MPU393231 MZQ393231 NJM393231 NTI393231 ODE393231 ONA393231 OWW393231 PGS393231 PQO393231 QAK393231 QKG393231 QUC393231 RDY393231 RNU393231 RXQ393231 SHM393231 SRI393231 TBE393231 TLA393231 TUW393231 UES393231 UOO393231 UYK393231 VIG393231 VSC393231 WBY393231 WLU393231 WVQ393231 I458767 JE458767 TA458767 ACW458767 AMS458767 AWO458767 BGK458767 BQG458767 CAC458767 CJY458767 CTU458767 DDQ458767 DNM458767 DXI458767 EHE458767 ERA458767 FAW458767 FKS458767 FUO458767 GEK458767 GOG458767 GYC458767 HHY458767 HRU458767 IBQ458767 ILM458767 IVI458767 JFE458767 JPA458767 JYW458767 KIS458767 KSO458767 LCK458767 LMG458767 LWC458767 MFY458767 MPU458767 MZQ458767 NJM458767 NTI458767 ODE458767 ONA458767 OWW458767 PGS458767 PQO458767 QAK458767 QKG458767 QUC458767 RDY458767 RNU458767 RXQ458767 SHM458767 SRI458767 TBE458767 TLA458767 TUW458767 UES458767 UOO458767 UYK458767 VIG458767 VSC458767 WBY458767 WLU458767 WVQ458767 I524303 JE524303 TA524303 ACW524303 AMS524303 AWO524303 BGK524303 BQG524303 CAC524303 CJY524303 CTU524303 DDQ524303 DNM524303 DXI524303 EHE524303 ERA524303 FAW524303 FKS524303 FUO524303 GEK524303 GOG524303 GYC524303 HHY524303 HRU524303 IBQ524303 ILM524303 IVI524303 JFE524303 JPA524303 JYW524303 KIS524303 KSO524303 LCK524303 LMG524303 LWC524303 MFY524303 MPU524303 MZQ524303 NJM524303 NTI524303 ODE524303 ONA524303 OWW524303 PGS524303 PQO524303 QAK524303 QKG524303 QUC524303 RDY524303 RNU524303 RXQ524303 SHM524303 SRI524303 TBE524303 TLA524303 TUW524303 UES524303 UOO524303 UYK524303 VIG524303 VSC524303 WBY524303 WLU524303 WVQ524303 I589839 JE589839 TA589839 ACW589839 AMS589839 AWO589839 BGK589839 BQG589839 CAC589839 CJY589839 CTU589839 DDQ589839 DNM589839 DXI589839 EHE589839 ERA589839 FAW589839 FKS589839 FUO589839 GEK589839 GOG589839 GYC589839 HHY589839 HRU589839 IBQ589839 ILM589839 IVI589839 JFE589839 JPA589839 JYW589839 KIS589839 KSO589839 LCK589839 LMG589839 LWC589839 MFY589839 MPU589839 MZQ589839 NJM589839 NTI589839 ODE589839 ONA589839 OWW589839 PGS589839 PQO589839 QAK589839 QKG589839 QUC589839 RDY589839 RNU589839 RXQ589839 SHM589839 SRI589839 TBE589839 TLA589839 TUW589839 UES589839 UOO589839 UYK589839 VIG589839 VSC589839 WBY589839 WLU589839 WVQ589839 I655375 JE655375 TA655375 ACW655375 AMS655375 AWO655375 BGK655375 BQG655375 CAC655375 CJY655375 CTU655375 DDQ655375 DNM655375 DXI655375 EHE655375 ERA655375 FAW655375 FKS655375 FUO655375 GEK655375 GOG655375 GYC655375 HHY655375 HRU655375 IBQ655375 ILM655375 IVI655375 JFE655375 JPA655375 JYW655375 KIS655375 KSO655375 LCK655375 LMG655375 LWC655375 MFY655375 MPU655375 MZQ655375 NJM655375 NTI655375 ODE655375 ONA655375 OWW655375 PGS655375 PQO655375 QAK655375 QKG655375 QUC655375 RDY655375 RNU655375 RXQ655375 SHM655375 SRI655375 TBE655375 TLA655375 TUW655375 UES655375 UOO655375 UYK655375 VIG655375 VSC655375 WBY655375 WLU655375 WVQ655375 I720911 JE720911 TA720911 ACW720911 AMS720911 AWO720911 BGK720911 BQG720911 CAC720911 CJY720911 CTU720911 DDQ720911 DNM720911 DXI720911 EHE720911 ERA720911 FAW720911 FKS720911 FUO720911 GEK720911 GOG720911 GYC720911 HHY720911 HRU720911 IBQ720911 ILM720911 IVI720911 JFE720911 JPA720911 JYW720911 KIS720911 KSO720911 LCK720911 LMG720911 LWC720911 MFY720911 MPU720911 MZQ720911 NJM720911 NTI720911 ODE720911 ONA720911 OWW720911 PGS720911 PQO720911 QAK720911 QKG720911 QUC720911 RDY720911 RNU720911 RXQ720911 SHM720911 SRI720911 TBE720911 TLA720911 TUW720911 UES720911 UOO720911 UYK720911 VIG720911 VSC720911 WBY720911 WLU720911 WVQ720911 I786447 JE786447 TA786447 ACW786447 AMS786447 AWO786447 BGK786447 BQG786447 CAC786447 CJY786447 CTU786447 DDQ786447 DNM786447 DXI786447 EHE786447 ERA786447 FAW786447 FKS786447 FUO786447 GEK786447 GOG786447 GYC786447 HHY786447 HRU786447 IBQ786447 ILM786447 IVI786447 JFE786447 JPA786447 JYW786447 KIS786447 KSO786447 LCK786447 LMG786447 LWC786447 MFY786447 MPU786447 MZQ786447 NJM786447 NTI786447 ODE786447 ONA786447 OWW786447 PGS786447 PQO786447 QAK786447 QKG786447 QUC786447 RDY786447 RNU786447 RXQ786447 SHM786447 SRI786447 TBE786447 TLA786447 TUW786447 UES786447 UOO786447 UYK786447 VIG786447 VSC786447 WBY786447 WLU786447 WVQ786447 I851983 JE851983 TA851983 ACW851983 AMS851983 AWO851983 BGK851983 BQG851983 CAC851983 CJY851983 CTU851983 DDQ851983 DNM851983 DXI851983 EHE851983 ERA851983 FAW851983 FKS851983 FUO851983 GEK851983 GOG851983 GYC851983 HHY851983 HRU851983 IBQ851983 ILM851983 IVI851983 JFE851983 JPA851983 JYW851983 KIS851983 KSO851983 LCK851983 LMG851983 LWC851983 MFY851983 MPU851983 MZQ851983 NJM851983 NTI851983 ODE851983 ONA851983 OWW851983 PGS851983 PQO851983 QAK851983 QKG851983 QUC851983 RDY851983 RNU851983 RXQ851983 SHM851983 SRI851983 TBE851983 TLA851983 TUW851983 UES851983 UOO851983 UYK851983 VIG851983 VSC851983 WBY851983 WLU851983 WVQ851983 I917519 JE917519 TA917519 ACW917519 AMS917519 AWO917519 BGK917519 BQG917519 CAC917519 CJY917519 CTU917519 DDQ917519 DNM917519 DXI917519 EHE917519 ERA917519 FAW917519 FKS917519 FUO917519 GEK917519 GOG917519 GYC917519 HHY917519 HRU917519 IBQ917519 ILM917519 IVI917519 JFE917519 JPA917519 JYW917519 KIS917519 KSO917519 LCK917519 LMG917519 LWC917519 MFY917519 MPU917519 MZQ917519 NJM917519 NTI917519 ODE917519 ONA917519 OWW917519 PGS917519 PQO917519 QAK917519 QKG917519 QUC917519 RDY917519 RNU917519 RXQ917519 SHM917519 SRI917519 TBE917519 TLA917519 TUW917519 UES917519 UOO917519 UYK917519 VIG917519 VSC917519 WBY917519 WLU917519 WVQ917519 I983055 JE983055 TA983055 ACW983055 AMS983055 AWO983055 BGK983055 BQG983055 CAC983055 CJY983055 CTU983055 DDQ983055 DNM983055 DXI983055 EHE983055 ERA983055 FAW983055 FKS983055 FUO983055 GEK983055 GOG983055 GYC983055 HHY983055 HRU983055 IBQ983055 ILM983055 IVI983055 JFE983055 JPA983055 JYW983055 KIS983055 KSO983055 LCK983055 LMG983055 LWC983055 MFY983055 MPU983055 MZQ983055 NJM983055 NTI983055 ODE983055 ONA983055 OWW983055 PGS983055 PQO983055 QAK983055 QKG983055 QUC983055 RDY983055 RNU983055 RXQ983055 SHM983055 SRI983055 TBE983055 TLA983055 TUW983055 UES983055 UOO983055 UYK983055 VIG983055 VSC983055 WBY983055 WLU983055 WVQ983055">
      <formula1>0</formula1>
    </dataValidation>
    <dataValidation type="decimal" operator="greaterThanOrEqual" allowBlank="1" showInputMessage="1" showErrorMessage="1" errorTitle="Validation Rule" error="Allow only number" sqref="B8:D11 IX8:IZ11 ST8:SV11 ACP8:ACR11 AML8:AMN11 AWH8:AWJ11 BGD8:BGF11 BPZ8:BQB11 BZV8:BZX11 CJR8:CJT11 CTN8:CTP11 DDJ8:DDL11 DNF8:DNH11 DXB8:DXD11 EGX8:EGZ11 EQT8:EQV11 FAP8:FAR11 FKL8:FKN11 FUH8:FUJ11 GED8:GEF11 GNZ8:GOB11 GXV8:GXX11 HHR8:HHT11 HRN8:HRP11 IBJ8:IBL11 ILF8:ILH11 IVB8:IVD11 JEX8:JEZ11 JOT8:JOV11 JYP8:JYR11 KIL8:KIN11 KSH8:KSJ11 LCD8:LCF11 LLZ8:LMB11 LVV8:LVX11 MFR8:MFT11 MPN8:MPP11 MZJ8:MZL11 NJF8:NJH11 NTB8:NTD11 OCX8:OCZ11 OMT8:OMV11 OWP8:OWR11 PGL8:PGN11 PQH8:PQJ11 QAD8:QAF11 QJZ8:QKB11 QTV8:QTX11 RDR8:RDT11 RNN8:RNP11 RXJ8:RXL11 SHF8:SHH11 SRB8:SRD11 TAX8:TAZ11 TKT8:TKV11 TUP8:TUR11 UEL8:UEN11 UOH8:UOJ11 UYD8:UYF11 VHZ8:VIB11 VRV8:VRX11 WBR8:WBT11 WLN8:WLP11 WVJ8:WVL11 B65555:D65558 IX65555:IZ65558 ST65555:SV65558 ACP65555:ACR65558 AML65555:AMN65558 AWH65555:AWJ65558 BGD65555:BGF65558 BPZ65555:BQB65558 BZV65555:BZX65558 CJR65555:CJT65558 CTN65555:CTP65558 DDJ65555:DDL65558 DNF65555:DNH65558 DXB65555:DXD65558 EGX65555:EGZ65558 EQT65555:EQV65558 FAP65555:FAR65558 FKL65555:FKN65558 FUH65555:FUJ65558 GED65555:GEF65558 GNZ65555:GOB65558 GXV65555:GXX65558 HHR65555:HHT65558 HRN65555:HRP65558 IBJ65555:IBL65558 ILF65555:ILH65558 IVB65555:IVD65558 JEX65555:JEZ65558 JOT65555:JOV65558 JYP65555:JYR65558 KIL65555:KIN65558 KSH65555:KSJ65558 LCD65555:LCF65558 LLZ65555:LMB65558 LVV65555:LVX65558 MFR65555:MFT65558 MPN65555:MPP65558 MZJ65555:MZL65558 NJF65555:NJH65558 NTB65555:NTD65558 OCX65555:OCZ65558 OMT65555:OMV65558 OWP65555:OWR65558 PGL65555:PGN65558 PQH65555:PQJ65558 QAD65555:QAF65558 QJZ65555:QKB65558 QTV65555:QTX65558 RDR65555:RDT65558 RNN65555:RNP65558 RXJ65555:RXL65558 SHF65555:SHH65558 SRB65555:SRD65558 TAX65555:TAZ65558 TKT65555:TKV65558 TUP65555:TUR65558 UEL65555:UEN65558 UOH65555:UOJ65558 UYD65555:UYF65558 VHZ65555:VIB65558 VRV65555:VRX65558 WBR65555:WBT65558 WLN65555:WLP65558 WVJ65555:WVL65558 B131091:D131094 IX131091:IZ131094 ST131091:SV131094 ACP131091:ACR131094 AML131091:AMN131094 AWH131091:AWJ131094 BGD131091:BGF131094 BPZ131091:BQB131094 BZV131091:BZX131094 CJR131091:CJT131094 CTN131091:CTP131094 DDJ131091:DDL131094 DNF131091:DNH131094 DXB131091:DXD131094 EGX131091:EGZ131094 EQT131091:EQV131094 FAP131091:FAR131094 FKL131091:FKN131094 FUH131091:FUJ131094 GED131091:GEF131094 GNZ131091:GOB131094 GXV131091:GXX131094 HHR131091:HHT131094 HRN131091:HRP131094 IBJ131091:IBL131094 ILF131091:ILH131094 IVB131091:IVD131094 JEX131091:JEZ131094 JOT131091:JOV131094 JYP131091:JYR131094 KIL131091:KIN131094 KSH131091:KSJ131094 LCD131091:LCF131094 LLZ131091:LMB131094 LVV131091:LVX131094 MFR131091:MFT131094 MPN131091:MPP131094 MZJ131091:MZL131094 NJF131091:NJH131094 NTB131091:NTD131094 OCX131091:OCZ131094 OMT131091:OMV131094 OWP131091:OWR131094 PGL131091:PGN131094 PQH131091:PQJ131094 QAD131091:QAF131094 QJZ131091:QKB131094 QTV131091:QTX131094 RDR131091:RDT131094 RNN131091:RNP131094 RXJ131091:RXL131094 SHF131091:SHH131094 SRB131091:SRD131094 TAX131091:TAZ131094 TKT131091:TKV131094 TUP131091:TUR131094 UEL131091:UEN131094 UOH131091:UOJ131094 UYD131091:UYF131094 VHZ131091:VIB131094 VRV131091:VRX131094 WBR131091:WBT131094 WLN131091:WLP131094 WVJ131091:WVL131094 B196627:D196630 IX196627:IZ196630 ST196627:SV196630 ACP196627:ACR196630 AML196627:AMN196630 AWH196627:AWJ196630 BGD196627:BGF196630 BPZ196627:BQB196630 BZV196627:BZX196630 CJR196627:CJT196630 CTN196627:CTP196630 DDJ196627:DDL196630 DNF196627:DNH196630 DXB196627:DXD196630 EGX196627:EGZ196630 EQT196627:EQV196630 FAP196627:FAR196630 FKL196627:FKN196630 FUH196627:FUJ196630 GED196627:GEF196630 GNZ196627:GOB196630 GXV196627:GXX196630 HHR196627:HHT196630 HRN196627:HRP196630 IBJ196627:IBL196630 ILF196627:ILH196630 IVB196627:IVD196630 JEX196627:JEZ196630 JOT196627:JOV196630 JYP196627:JYR196630 KIL196627:KIN196630 KSH196627:KSJ196630 LCD196627:LCF196630 LLZ196627:LMB196630 LVV196627:LVX196630 MFR196627:MFT196630 MPN196627:MPP196630 MZJ196627:MZL196630 NJF196627:NJH196630 NTB196627:NTD196630 OCX196627:OCZ196630 OMT196627:OMV196630 OWP196627:OWR196630 PGL196627:PGN196630 PQH196627:PQJ196630 QAD196627:QAF196630 QJZ196627:QKB196630 QTV196627:QTX196630 RDR196627:RDT196630 RNN196627:RNP196630 RXJ196627:RXL196630 SHF196627:SHH196630 SRB196627:SRD196630 TAX196627:TAZ196630 TKT196627:TKV196630 TUP196627:TUR196630 UEL196627:UEN196630 UOH196627:UOJ196630 UYD196627:UYF196630 VHZ196627:VIB196630 VRV196627:VRX196630 WBR196627:WBT196630 WLN196627:WLP196630 WVJ196627:WVL196630 B262163:D262166 IX262163:IZ262166 ST262163:SV262166 ACP262163:ACR262166 AML262163:AMN262166 AWH262163:AWJ262166 BGD262163:BGF262166 BPZ262163:BQB262166 BZV262163:BZX262166 CJR262163:CJT262166 CTN262163:CTP262166 DDJ262163:DDL262166 DNF262163:DNH262166 DXB262163:DXD262166 EGX262163:EGZ262166 EQT262163:EQV262166 FAP262163:FAR262166 FKL262163:FKN262166 FUH262163:FUJ262166 GED262163:GEF262166 GNZ262163:GOB262166 GXV262163:GXX262166 HHR262163:HHT262166 HRN262163:HRP262166 IBJ262163:IBL262166 ILF262163:ILH262166 IVB262163:IVD262166 JEX262163:JEZ262166 JOT262163:JOV262166 JYP262163:JYR262166 KIL262163:KIN262166 KSH262163:KSJ262166 LCD262163:LCF262166 LLZ262163:LMB262166 LVV262163:LVX262166 MFR262163:MFT262166 MPN262163:MPP262166 MZJ262163:MZL262166 NJF262163:NJH262166 NTB262163:NTD262166 OCX262163:OCZ262166 OMT262163:OMV262166 OWP262163:OWR262166 PGL262163:PGN262166 PQH262163:PQJ262166 QAD262163:QAF262166 QJZ262163:QKB262166 QTV262163:QTX262166 RDR262163:RDT262166 RNN262163:RNP262166 RXJ262163:RXL262166 SHF262163:SHH262166 SRB262163:SRD262166 TAX262163:TAZ262166 TKT262163:TKV262166 TUP262163:TUR262166 UEL262163:UEN262166 UOH262163:UOJ262166 UYD262163:UYF262166 VHZ262163:VIB262166 VRV262163:VRX262166 WBR262163:WBT262166 WLN262163:WLP262166 WVJ262163:WVL262166 B327699:D327702 IX327699:IZ327702 ST327699:SV327702 ACP327699:ACR327702 AML327699:AMN327702 AWH327699:AWJ327702 BGD327699:BGF327702 BPZ327699:BQB327702 BZV327699:BZX327702 CJR327699:CJT327702 CTN327699:CTP327702 DDJ327699:DDL327702 DNF327699:DNH327702 DXB327699:DXD327702 EGX327699:EGZ327702 EQT327699:EQV327702 FAP327699:FAR327702 FKL327699:FKN327702 FUH327699:FUJ327702 GED327699:GEF327702 GNZ327699:GOB327702 GXV327699:GXX327702 HHR327699:HHT327702 HRN327699:HRP327702 IBJ327699:IBL327702 ILF327699:ILH327702 IVB327699:IVD327702 JEX327699:JEZ327702 JOT327699:JOV327702 JYP327699:JYR327702 KIL327699:KIN327702 KSH327699:KSJ327702 LCD327699:LCF327702 LLZ327699:LMB327702 LVV327699:LVX327702 MFR327699:MFT327702 MPN327699:MPP327702 MZJ327699:MZL327702 NJF327699:NJH327702 NTB327699:NTD327702 OCX327699:OCZ327702 OMT327699:OMV327702 OWP327699:OWR327702 PGL327699:PGN327702 PQH327699:PQJ327702 QAD327699:QAF327702 QJZ327699:QKB327702 QTV327699:QTX327702 RDR327699:RDT327702 RNN327699:RNP327702 RXJ327699:RXL327702 SHF327699:SHH327702 SRB327699:SRD327702 TAX327699:TAZ327702 TKT327699:TKV327702 TUP327699:TUR327702 UEL327699:UEN327702 UOH327699:UOJ327702 UYD327699:UYF327702 VHZ327699:VIB327702 VRV327699:VRX327702 WBR327699:WBT327702 WLN327699:WLP327702 WVJ327699:WVL327702 B393235:D393238 IX393235:IZ393238 ST393235:SV393238 ACP393235:ACR393238 AML393235:AMN393238 AWH393235:AWJ393238 BGD393235:BGF393238 BPZ393235:BQB393238 BZV393235:BZX393238 CJR393235:CJT393238 CTN393235:CTP393238 DDJ393235:DDL393238 DNF393235:DNH393238 DXB393235:DXD393238 EGX393235:EGZ393238 EQT393235:EQV393238 FAP393235:FAR393238 FKL393235:FKN393238 FUH393235:FUJ393238 GED393235:GEF393238 GNZ393235:GOB393238 GXV393235:GXX393238 HHR393235:HHT393238 HRN393235:HRP393238 IBJ393235:IBL393238 ILF393235:ILH393238 IVB393235:IVD393238 JEX393235:JEZ393238 JOT393235:JOV393238 JYP393235:JYR393238 KIL393235:KIN393238 KSH393235:KSJ393238 LCD393235:LCF393238 LLZ393235:LMB393238 LVV393235:LVX393238 MFR393235:MFT393238 MPN393235:MPP393238 MZJ393235:MZL393238 NJF393235:NJH393238 NTB393235:NTD393238 OCX393235:OCZ393238 OMT393235:OMV393238 OWP393235:OWR393238 PGL393235:PGN393238 PQH393235:PQJ393238 QAD393235:QAF393238 QJZ393235:QKB393238 QTV393235:QTX393238 RDR393235:RDT393238 RNN393235:RNP393238 RXJ393235:RXL393238 SHF393235:SHH393238 SRB393235:SRD393238 TAX393235:TAZ393238 TKT393235:TKV393238 TUP393235:TUR393238 UEL393235:UEN393238 UOH393235:UOJ393238 UYD393235:UYF393238 VHZ393235:VIB393238 VRV393235:VRX393238 WBR393235:WBT393238 WLN393235:WLP393238 WVJ393235:WVL393238 B458771:D458774 IX458771:IZ458774 ST458771:SV458774 ACP458771:ACR458774 AML458771:AMN458774 AWH458771:AWJ458774 BGD458771:BGF458774 BPZ458771:BQB458774 BZV458771:BZX458774 CJR458771:CJT458774 CTN458771:CTP458774 DDJ458771:DDL458774 DNF458771:DNH458774 DXB458771:DXD458774 EGX458771:EGZ458774 EQT458771:EQV458774 FAP458771:FAR458774 FKL458771:FKN458774 FUH458771:FUJ458774 GED458771:GEF458774 GNZ458771:GOB458774 GXV458771:GXX458774 HHR458771:HHT458774 HRN458771:HRP458774 IBJ458771:IBL458774 ILF458771:ILH458774 IVB458771:IVD458774 JEX458771:JEZ458774 JOT458771:JOV458774 JYP458771:JYR458774 KIL458771:KIN458774 KSH458771:KSJ458774 LCD458771:LCF458774 LLZ458771:LMB458774 LVV458771:LVX458774 MFR458771:MFT458774 MPN458771:MPP458774 MZJ458771:MZL458774 NJF458771:NJH458774 NTB458771:NTD458774 OCX458771:OCZ458774 OMT458771:OMV458774 OWP458771:OWR458774 PGL458771:PGN458774 PQH458771:PQJ458774 QAD458771:QAF458774 QJZ458771:QKB458774 QTV458771:QTX458774 RDR458771:RDT458774 RNN458771:RNP458774 RXJ458771:RXL458774 SHF458771:SHH458774 SRB458771:SRD458774 TAX458771:TAZ458774 TKT458771:TKV458774 TUP458771:TUR458774 UEL458771:UEN458774 UOH458771:UOJ458774 UYD458771:UYF458774 VHZ458771:VIB458774 VRV458771:VRX458774 WBR458771:WBT458774 WLN458771:WLP458774 WVJ458771:WVL458774 B524307:D524310 IX524307:IZ524310 ST524307:SV524310 ACP524307:ACR524310 AML524307:AMN524310 AWH524307:AWJ524310 BGD524307:BGF524310 BPZ524307:BQB524310 BZV524307:BZX524310 CJR524307:CJT524310 CTN524307:CTP524310 DDJ524307:DDL524310 DNF524307:DNH524310 DXB524307:DXD524310 EGX524307:EGZ524310 EQT524307:EQV524310 FAP524307:FAR524310 FKL524307:FKN524310 FUH524307:FUJ524310 GED524307:GEF524310 GNZ524307:GOB524310 GXV524307:GXX524310 HHR524307:HHT524310 HRN524307:HRP524310 IBJ524307:IBL524310 ILF524307:ILH524310 IVB524307:IVD524310 JEX524307:JEZ524310 JOT524307:JOV524310 JYP524307:JYR524310 KIL524307:KIN524310 KSH524307:KSJ524310 LCD524307:LCF524310 LLZ524307:LMB524310 LVV524307:LVX524310 MFR524307:MFT524310 MPN524307:MPP524310 MZJ524307:MZL524310 NJF524307:NJH524310 NTB524307:NTD524310 OCX524307:OCZ524310 OMT524307:OMV524310 OWP524307:OWR524310 PGL524307:PGN524310 PQH524307:PQJ524310 QAD524307:QAF524310 QJZ524307:QKB524310 QTV524307:QTX524310 RDR524307:RDT524310 RNN524307:RNP524310 RXJ524307:RXL524310 SHF524307:SHH524310 SRB524307:SRD524310 TAX524307:TAZ524310 TKT524307:TKV524310 TUP524307:TUR524310 UEL524307:UEN524310 UOH524307:UOJ524310 UYD524307:UYF524310 VHZ524307:VIB524310 VRV524307:VRX524310 WBR524307:WBT524310 WLN524307:WLP524310 WVJ524307:WVL524310 B589843:D589846 IX589843:IZ589846 ST589843:SV589846 ACP589843:ACR589846 AML589843:AMN589846 AWH589843:AWJ589846 BGD589843:BGF589846 BPZ589843:BQB589846 BZV589843:BZX589846 CJR589843:CJT589846 CTN589843:CTP589846 DDJ589843:DDL589846 DNF589843:DNH589846 DXB589843:DXD589846 EGX589843:EGZ589846 EQT589843:EQV589846 FAP589843:FAR589846 FKL589843:FKN589846 FUH589843:FUJ589846 GED589843:GEF589846 GNZ589843:GOB589846 GXV589843:GXX589846 HHR589843:HHT589846 HRN589843:HRP589846 IBJ589843:IBL589846 ILF589843:ILH589846 IVB589843:IVD589846 JEX589843:JEZ589846 JOT589843:JOV589846 JYP589843:JYR589846 KIL589843:KIN589846 KSH589843:KSJ589846 LCD589843:LCF589846 LLZ589843:LMB589846 LVV589843:LVX589846 MFR589843:MFT589846 MPN589843:MPP589846 MZJ589843:MZL589846 NJF589843:NJH589846 NTB589843:NTD589846 OCX589843:OCZ589846 OMT589843:OMV589846 OWP589843:OWR589846 PGL589843:PGN589846 PQH589843:PQJ589846 QAD589843:QAF589846 QJZ589843:QKB589846 QTV589843:QTX589846 RDR589843:RDT589846 RNN589843:RNP589846 RXJ589843:RXL589846 SHF589843:SHH589846 SRB589843:SRD589846 TAX589843:TAZ589846 TKT589843:TKV589846 TUP589843:TUR589846 UEL589843:UEN589846 UOH589843:UOJ589846 UYD589843:UYF589846 VHZ589843:VIB589846 VRV589843:VRX589846 WBR589843:WBT589846 WLN589843:WLP589846 WVJ589843:WVL589846 B655379:D655382 IX655379:IZ655382 ST655379:SV655382 ACP655379:ACR655382 AML655379:AMN655382 AWH655379:AWJ655382 BGD655379:BGF655382 BPZ655379:BQB655382 BZV655379:BZX655382 CJR655379:CJT655382 CTN655379:CTP655382 DDJ655379:DDL655382 DNF655379:DNH655382 DXB655379:DXD655382 EGX655379:EGZ655382 EQT655379:EQV655382 FAP655379:FAR655382 FKL655379:FKN655382 FUH655379:FUJ655382 GED655379:GEF655382 GNZ655379:GOB655382 GXV655379:GXX655382 HHR655379:HHT655382 HRN655379:HRP655382 IBJ655379:IBL655382 ILF655379:ILH655382 IVB655379:IVD655382 JEX655379:JEZ655382 JOT655379:JOV655382 JYP655379:JYR655382 KIL655379:KIN655382 KSH655379:KSJ655382 LCD655379:LCF655382 LLZ655379:LMB655382 LVV655379:LVX655382 MFR655379:MFT655382 MPN655379:MPP655382 MZJ655379:MZL655382 NJF655379:NJH655382 NTB655379:NTD655382 OCX655379:OCZ655382 OMT655379:OMV655382 OWP655379:OWR655382 PGL655379:PGN655382 PQH655379:PQJ655382 QAD655379:QAF655382 QJZ655379:QKB655382 QTV655379:QTX655382 RDR655379:RDT655382 RNN655379:RNP655382 RXJ655379:RXL655382 SHF655379:SHH655382 SRB655379:SRD655382 TAX655379:TAZ655382 TKT655379:TKV655382 TUP655379:TUR655382 UEL655379:UEN655382 UOH655379:UOJ655382 UYD655379:UYF655382 VHZ655379:VIB655382 VRV655379:VRX655382 WBR655379:WBT655382 WLN655379:WLP655382 WVJ655379:WVL655382 B720915:D720918 IX720915:IZ720918 ST720915:SV720918 ACP720915:ACR720918 AML720915:AMN720918 AWH720915:AWJ720918 BGD720915:BGF720918 BPZ720915:BQB720918 BZV720915:BZX720918 CJR720915:CJT720918 CTN720915:CTP720918 DDJ720915:DDL720918 DNF720915:DNH720918 DXB720915:DXD720918 EGX720915:EGZ720918 EQT720915:EQV720918 FAP720915:FAR720918 FKL720915:FKN720918 FUH720915:FUJ720918 GED720915:GEF720918 GNZ720915:GOB720918 GXV720915:GXX720918 HHR720915:HHT720918 HRN720915:HRP720918 IBJ720915:IBL720918 ILF720915:ILH720918 IVB720915:IVD720918 JEX720915:JEZ720918 JOT720915:JOV720918 JYP720915:JYR720918 KIL720915:KIN720918 KSH720915:KSJ720918 LCD720915:LCF720918 LLZ720915:LMB720918 LVV720915:LVX720918 MFR720915:MFT720918 MPN720915:MPP720918 MZJ720915:MZL720918 NJF720915:NJH720918 NTB720915:NTD720918 OCX720915:OCZ720918 OMT720915:OMV720918 OWP720915:OWR720918 PGL720915:PGN720918 PQH720915:PQJ720918 QAD720915:QAF720918 QJZ720915:QKB720918 QTV720915:QTX720918 RDR720915:RDT720918 RNN720915:RNP720918 RXJ720915:RXL720918 SHF720915:SHH720918 SRB720915:SRD720918 TAX720915:TAZ720918 TKT720915:TKV720918 TUP720915:TUR720918 UEL720915:UEN720918 UOH720915:UOJ720918 UYD720915:UYF720918 VHZ720915:VIB720918 VRV720915:VRX720918 WBR720915:WBT720918 WLN720915:WLP720918 WVJ720915:WVL720918 B786451:D786454 IX786451:IZ786454 ST786451:SV786454 ACP786451:ACR786454 AML786451:AMN786454 AWH786451:AWJ786454 BGD786451:BGF786454 BPZ786451:BQB786454 BZV786451:BZX786454 CJR786451:CJT786454 CTN786451:CTP786454 DDJ786451:DDL786454 DNF786451:DNH786454 DXB786451:DXD786454 EGX786451:EGZ786454 EQT786451:EQV786454 FAP786451:FAR786454 FKL786451:FKN786454 FUH786451:FUJ786454 GED786451:GEF786454 GNZ786451:GOB786454 GXV786451:GXX786454 HHR786451:HHT786454 HRN786451:HRP786454 IBJ786451:IBL786454 ILF786451:ILH786454 IVB786451:IVD786454 JEX786451:JEZ786454 JOT786451:JOV786454 JYP786451:JYR786454 KIL786451:KIN786454 KSH786451:KSJ786454 LCD786451:LCF786454 LLZ786451:LMB786454 LVV786451:LVX786454 MFR786451:MFT786454 MPN786451:MPP786454 MZJ786451:MZL786454 NJF786451:NJH786454 NTB786451:NTD786454 OCX786451:OCZ786454 OMT786451:OMV786454 OWP786451:OWR786454 PGL786451:PGN786454 PQH786451:PQJ786454 QAD786451:QAF786454 QJZ786451:QKB786454 QTV786451:QTX786454 RDR786451:RDT786454 RNN786451:RNP786454 RXJ786451:RXL786454 SHF786451:SHH786454 SRB786451:SRD786454 TAX786451:TAZ786454 TKT786451:TKV786454 TUP786451:TUR786454 UEL786451:UEN786454 UOH786451:UOJ786454 UYD786451:UYF786454 VHZ786451:VIB786454 VRV786451:VRX786454 WBR786451:WBT786454 WLN786451:WLP786454 WVJ786451:WVL786454 B851987:D851990 IX851987:IZ851990 ST851987:SV851990 ACP851987:ACR851990 AML851987:AMN851990 AWH851987:AWJ851990 BGD851987:BGF851990 BPZ851987:BQB851990 BZV851987:BZX851990 CJR851987:CJT851990 CTN851987:CTP851990 DDJ851987:DDL851990 DNF851987:DNH851990 DXB851987:DXD851990 EGX851987:EGZ851990 EQT851987:EQV851990 FAP851987:FAR851990 FKL851987:FKN851990 FUH851987:FUJ851990 GED851987:GEF851990 GNZ851987:GOB851990 GXV851987:GXX851990 HHR851987:HHT851990 HRN851987:HRP851990 IBJ851987:IBL851990 ILF851987:ILH851990 IVB851987:IVD851990 JEX851987:JEZ851990 JOT851987:JOV851990 JYP851987:JYR851990 KIL851987:KIN851990 KSH851987:KSJ851990 LCD851987:LCF851990 LLZ851987:LMB851990 LVV851987:LVX851990 MFR851987:MFT851990 MPN851987:MPP851990 MZJ851987:MZL851990 NJF851987:NJH851990 NTB851987:NTD851990 OCX851987:OCZ851990 OMT851987:OMV851990 OWP851987:OWR851990 PGL851987:PGN851990 PQH851987:PQJ851990 QAD851987:QAF851990 QJZ851987:QKB851990 QTV851987:QTX851990 RDR851987:RDT851990 RNN851987:RNP851990 RXJ851987:RXL851990 SHF851987:SHH851990 SRB851987:SRD851990 TAX851987:TAZ851990 TKT851987:TKV851990 TUP851987:TUR851990 UEL851987:UEN851990 UOH851987:UOJ851990 UYD851987:UYF851990 VHZ851987:VIB851990 VRV851987:VRX851990 WBR851987:WBT851990 WLN851987:WLP851990 WVJ851987:WVL851990 B917523:D917526 IX917523:IZ917526 ST917523:SV917526 ACP917523:ACR917526 AML917523:AMN917526 AWH917523:AWJ917526 BGD917523:BGF917526 BPZ917523:BQB917526 BZV917523:BZX917526 CJR917523:CJT917526 CTN917523:CTP917526 DDJ917523:DDL917526 DNF917523:DNH917526 DXB917523:DXD917526 EGX917523:EGZ917526 EQT917523:EQV917526 FAP917523:FAR917526 FKL917523:FKN917526 FUH917523:FUJ917526 GED917523:GEF917526 GNZ917523:GOB917526 GXV917523:GXX917526 HHR917523:HHT917526 HRN917523:HRP917526 IBJ917523:IBL917526 ILF917523:ILH917526 IVB917523:IVD917526 JEX917523:JEZ917526 JOT917523:JOV917526 JYP917523:JYR917526 KIL917523:KIN917526 KSH917523:KSJ917526 LCD917523:LCF917526 LLZ917523:LMB917526 LVV917523:LVX917526 MFR917523:MFT917526 MPN917523:MPP917526 MZJ917523:MZL917526 NJF917523:NJH917526 NTB917523:NTD917526 OCX917523:OCZ917526 OMT917523:OMV917526 OWP917523:OWR917526 PGL917523:PGN917526 PQH917523:PQJ917526 QAD917523:QAF917526 QJZ917523:QKB917526 QTV917523:QTX917526 RDR917523:RDT917526 RNN917523:RNP917526 RXJ917523:RXL917526 SHF917523:SHH917526 SRB917523:SRD917526 TAX917523:TAZ917526 TKT917523:TKV917526 TUP917523:TUR917526 UEL917523:UEN917526 UOH917523:UOJ917526 UYD917523:UYF917526 VHZ917523:VIB917526 VRV917523:VRX917526 WBR917523:WBT917526 WLN917523:WLP917526 WVJ917523:WVL917526 B983059:D983062 IX983059:IZ983062 ST983059:SV983062 ACP983059:ACR983062 AML983059:AMN983062 AWH983059:AWJ983062 BGD983059:BGF983062 BPZ983059:BQB983062 BZV983059:BZX983062 CJR983059:CJT983062 CTN983059:CTP983062 DDJ983059:DDL983062 DNF983059:DNH983062 DXB983059:DXD983062 EGX983059:EGZ983062 EQT983059:EQV983062 FAP983059:FAR983062 FKL983059:FKN983062 FUH983059:FUJ983062 GED983059:GEF983062 GNZ983059:GOB983062 GXV983059:GXX983062 HHR983059:HHT983062 HRN983059:HRP983062 IBJ983059:IBL983062 ILF983059:ILH983062 IVB983059:IVD983062 JEX983059:JEZ983062 JOT983059:JOV983062 JYP983059:JYR983062 KIL983059:KIN983062 KSH983059:KSJ983062 LCD983059:LCF983062 LLZ983059:LMB983062 LVV983059:LVX983062 MFR983059:MFT983062 MPN983059:MPP983062 MZJ983059:MZL983062 NJF983059:NJH983062 NTB983059:NTD983062 OCX983059:OCZ983062 OMT983059:OMV983062 OWP983059:OWR983062 PGL983059:PGN983062 PQH983059:PQJ983062 QAD983059:QAF983062 QJZ983059:QKB983062 QTV983059:QTX983062 RDR983059:RDT983062 RNN983059:RNP983062 RXJ983059:RXL983062 SHF983059:SHH983062 SRB983059:SRD983062 TAX983059:TAZ983062 TKT983059:TKV983062 TUP983059:TUR983062 UEL983059:UEN983062 UOH983059:UOJ983062 UYD983059:UYF983062 VHZ983059:VIB983062 VRV983059:VRX983062 WBR983059:WBT983062 WLN983059:WLP983062 WVJ983059:WVL983062 F8:H11 JB8:JD11 SX8:SZ11 ACT8:ACV11 AMP8:AMR11 AWL8:AWN11 BGH8:BGJ11 BQD8:BQF11 BZZ8:CAB11 CJV8:CJX11 CTR8:CTT11 DDN8:DDP11 DNJ8:DNL11 DXF8:DXH11 EHB8:EHD11 EQX8:EQZ11 FAT8:FAV11 FKP8:FKR11 FUL8:FUN11 GEH8:GEJ11 GOD8:GOF11 GXZ8:GYB11 HHV8:HHX11 HRR8:HRT11 IBN8:IBP11 ILJ8:ILL11 IVF8:IVH11 JFB8:JFD11 JOX8:JOZ11 JYT8:JYV11 KIP8:KIR11 KSL8:KSN11 LCH8:LCJ11 LMD8:LMF11 LVZ8:LWB11 MFV8:MFX11 MPR8:MPT11 MZN8:MZP11 NJJ8:NJL11 NTF8:NTH11 ODB8:ODD11 OMX8:OMZ11 OWT8:OWV11 PGP8:PGR11 PQL8:PQN11 QAH8:QAJ11 QKD8:QKF11 QTZ8:QUB11 RDV8:RDX11 RNR8:RNT11 RXN8:RXP11 SHJ8:SHL11 SRF8:SRH11 TBB8:TBD11 TKX8:TKZ11 TUT8:TUV11 UEP8:UER11 UOL8:UON11 UYH8:UYJ11 VID8:VIF11 VRZ8:VSB11 WBV8:WBX11 WLR8:WLT11 WVN8:WVP11 F65555:H65558 JB65555:JD65558 SX65555:SZ65558 ACT65555:ACV65558 AMP65555:AMR65558 AWL65555:AWN65558 BGH65555:BGJ65558 BQD65555:BQF65558 BZZ65555:CAB65558 CJV65555:CJX65558 CTR65555:CTT65558 DDN65555:DDP65558 DNJ65555:DNL65558 DXF65555:DXH65558 EHB65555:EHD65558 EQX65555:EQZ65558 FAT65555:FAV65558 FKP65555:FKR65558 FUL65555:FUN65558 GEH65555:GEJ65558 GOD65555:GOF65558 GXZ65555:GYB65558 HHV65555:HHX65558 HRR65555:HRT65558 IBN65555:IBP65558 ILJ65555:ILL65558 IVF65555:IVH65558 JFB65555:JFD65558 JOX65555:JOZ65558 JYT65555:JYV65558 KIP65555:KIR65558 KSL65555:KSN65558 LCH65555:LCJ65558 LMD65555:LMF65558 LVZ65555:LWB65558 MFV65555:MFX65558 MPR65555:MPT65558 MZN65555:MZP65558 NJJ65555:NJL65558 NTF65555:NTH65558 ODB65555:ODD65558 OMX65555:OMZ65558 OWT65555:OWV65558 PGP65555:PGR65558 PQL65555:PQN65558 QAH65555:QAJ65558 QKD65555:QKF65558 QTZ65555:QUB65558 RDV65555:RDX65558 RNR65555:RNT65558 RXN65555:RXP65558 SHJ65555:SHL65558 SRF65555:SRH65558 TBB65555:TBD65558 TKX65555:TKZ65558 TUT65555:TUV65558 UEP65555:UER65558 UOL65555:UON65558 UYH65555:UYJ65558 VID65555:VIF65558 VRZ65555:VSB65558 WBV65555:WBX65558 WLR65555:WLT65558 WVN65555:WVP65558 F131091:H131094 JB131091:JD131094 SX131091:SZ131094 ACT131091:ACV131094 AMP131091:AMR131094 AWL131091:AWN131094 BGH131091:BGJ131094 BQD131091:BQF131094 BZZ131091:CAB131094 CJV131091:CJX131094 CTR131091:CTT131094 DDN131091:DDP131094 DNJ131091:DNL131094 DXF131091:DXH131094 EHB131091:EHD131094 EQX131091:EQZ131094 FAT131091:FAV131094 FKP131091:FKR131094 FUL131091:FUN131094 GEH131091:GEJ131094 GOD131091:GOF131094 GXZ131091:GYB131094 HHV131091:HHX131094 HRR131091:HRT131094 IBN131091:IBP131094 ILJ131091:ILL131094 IVF131091:IVH131094 JFB131091:JFD131094 JOX131091:JOZ131094 JYT131091:JYV131094 KIP131091:KIR131094 KSL131091:KSN131094 LCH131091:LCJ131094 LMD131091:LMF131094 LVZ131091:LWB131094 MFV131091:MFX131094 MPR131091:MPT131094 MZN131091:MZP131094 NJJ131091:NJL131094 NTF131091:NTH131094 ODB131091:ODD131094 OMX131091:OMZ131094 OWT131091:OWV131094 PGP131091:PGR131094 PQL131091:PQN131094 QAH131091:QAJ131094 QKD131091:QKF131094 QTZ131091:QUB131094 RDV131091:RDX131094 RNR131091:RNT131094 RXN131091:RXP131094 SHJ131091:SHL131094 SRF131091:SRH131094 TBB131091:TBD131094 TKX131091:TKZ131094 TUT131091:TUV131094 UEP131091:UER131094 UOL131091:UON131094 UYH131091:UYJ131094 VID131091:VIF131094 VRZ131091:VSB131094 WBV131091:WBX131094 WLR131091:WLT131094 WVN131091:WVP131094 F196627:H196630 JB196627:JD196630 SX196627:SZ196630 ACT196627:ACV196630 AMP196627:AMR196630 AWL196627:AWN196630 BGH196627:BGJ196630 BQD196627:BQF196630 BZZ196627:CAB196630 CJV196627:CJX196630 CTR196627:CTT196630 DDN196627:DDP196630 DNJ196627:DNL196630 DXF196627:DXH196630 EHB196627:EHD196630 EQX196627:EQZ196630 FAT196627:FAV196630 FKP196627:FKR196630 FUL196627:FUN196630 GEH196627:GEJ196630 GOD196627:GOF196630 GXZ196627:GYB196630 HHV196627:HHX196630 HRR196627:HRT196630 IBN196627:IBP196630 ILJ196627:ILL196630 IVF196627:IVH196630 JFB196627:JFD196630 JOX196627:JOZ196630 JYT196627:JYV196630 KIP196627:KIR196630 KSL196627:KSN196630 LCH196627:LCJ196630 LMD196627:LMF196630 LVZ196627:LWB196630 MFV196627:MFX196630 MPR196627:MPT196630 MZN196627:MZP196630 NJJ196627:NJL196630 NTF196627:NTH196630 ODB196627:ODD196630 OMX196627:OMZ196630 OWT196627:OWV196630 PGP196627:PGR196630 PQL196627:PQN196630 QAH196627:QAJ196630 QKD196627:QKF196630 QTZ196627:QUB196630 RDV196627:RDX196630 RNR196627:RNT196630 RXN196627:RXP196630 SHJ196627:SHL196630 SRF196627:SRH196630 TBB196627:TBD196630 TKX196627:TKZ196630 TUT196627:TUV196630 UEP196627:UER196630 UOL196627:UON196630 UYH196627:UYJ196630 VID196627:VIF196630 VRZ196627:VSB196630 WBV196627:WBX196630 WLR196627:WLT196630 WVN196627:WVP196630 F262163:H262166 JB262163:JD262166 SX262163:SZ262166 ACT262163:ACV262166 AMP262163:AMR262166 AWL262163:AWN262166 BGH262163:BGJ262166 BQD262163:BQF262166 BZZ262163:CAB262166 CJV262163:CJX262166 CTR262163:CTT262166 DDN262163:DDP262166 DNJ262163:DNL262166 DXF262163:DXH262166 EHB262163:EHD262166 EQX262163:EQZ262166 FAT262163:FAV262166 FKP262163:FKR262166 FUL262163:FUN262166 GEH262163:GEJ262166 GOD262163:GOF262166 GXZ262163:GYB262166 HHV262163:HHX262166 HRR262163:HRT262166 IBN262163:IBP262166 ILJ262163:ILL262166 IVF262163:IVH262166 JFB262163:JFD262166 JOX262163:JOZ262166 JYT262163:JYV262166 KIP262163:KIR262166 KSL262163:KSN262166 LCH262163:LCJ262166 LMD262163:LMF262166 LVZ262163:LWB262166 MFV262163:MFX262166 MPR262163:MPT262166 MZN262163:MZP262166 NJJ262163:NJL262166 NTF262163:NTH262166 ODB262163:ODD262166 OMX262163:OMZ262166 OWT262163:OWV262166 PGP262163:PGR262166 PQL262163:PQN262166 QAH262163:QAJ262166 QKD262163:QKF262166 QTZ262163:QUB262166 RDV262163:RDX262166 RNR262163:RNT262166 RXN262163:RXP262166 SHJ262163:SHL262166 SRF262163:SRH262166 TBB262163:TBD262166 TKX262163:TKZ262166 TUT262163:TUV262166 UEP262163:UER262166 UOL262163:UON262166 UYH262163:UYJ262166 VID262163:VIF262166 VRZ262163:VSB262166 WBV262163:WBX262166 WLR262163:WLT262166 WVN262163:WVP262166 F327699:H327702 JB327699:JD327702 SX327699:SZ327702 ACT327699:ACV327702 AMP327699:AMR327702 AWL327699:AWN327702 BGH327699:BGJ327702 BQD327699:BQF327702 BZZ327699:CAB327702 CJV327699:CJX327702 CTR327699:CTT327702 DDN327699:DDP327702 DNJ327699:DNL327702 DXF327699:DXH327702 EHB327699:EHD327702 EQX327699:EQZ327702 FAT327699:FAV327702 FKP327699:FKR327702 FUL327699:FUN327702 GEH327699:GEJ327702 GOD327699:GOF327702 GXZ327699:GYB327702 HHV327699:HHX327702 HRR327699:HRT327702 IBN327699:IBP327702 ILJ327699:ILL327702 IVF327699:IVH327702 JFB327699:JFD327702 JOX327699:JOZ327702 JYT327699:JYV327702 KIP327699:KIR327702 KSL327699:KSN327702 LCH327699:LCJ327702 LMD327699:LMF327702 LVZ327699:LWB327702 MFV327699:MFX327702 MPR327699:MPT327702 MZN327699:MZP327702 NJJ327699:NJL327702 NTF327699:NTH327702 ODB327699:ODD327702 OMX327699:OMZ327702 OWT327699:OWV327702 PGP327699:PGR327702 PQL327699:PQN327702 QAH327699:QAJ327702 QKD327699:QKF327702 QTZ327699:QUB327702 RDV327699:RDX327702 RNR327699:RNT327702 RXN327699:RXP327702 SHJ327699:SHL327702 SRF327699:SRH327702 TBB327699:TBD327702 TKX327699:TKZ327702 TUT327699:TUV327702 UEP327699:UER327702 UOL327699:UON327702 UYH327699:UYJ327702 VID327699:VIF327702 VRZ327699:VSB327702 WBV327699:WBX327702 WLR327699:WLT327702 WVN327699:WVP327702 F393235:H393238 JB393235:JD393238 SX393235:SZ393238 ACT393235:ACV393238 AMP393235:AMR393238 AWL393235:AWN393238 BGH393235:BGJ393238 BQD393235:BQF393238 BZZ393235:CAB393238 CJV393235:CJX393238 CTR393235:CTT393238 DDN393235:DDP393238 DNJ393235:DNL393238 DXF393235:DXH393238 EHB393235:EHD393238 EQX393235:EQZ393238 FAT393235:FAV393238 FKP393235:FKR393238 FUL393235:FUN393238 GEH393235:GEJ393238 GOD393235:GOF393238 GXZ393235:GYB393238 HHV393235:HHX393238 HRR393235:HRT393238 IBN393235:IBP393238 ILJ393235:ILL393238 IVF393235:IVH393238 JFB393235:JFD393238 JOX393235:JOZ393238 JYT393235:JYV393238 KIP393235:KIR393238 KSL393235:KSN393238 LCH393235:LCJ393238 LMD393235:LMF393238 LVZ393235:LWB393238 MFV393235:MFX393238 MPR393235:MPT393238 MZN393235:MZP393238 NJJ393235:NJL393238 NTF393235:NTH393238 ODB393235:ODD393238 OMX393235:OMZ393238 OWT393235:OWV393238 PGP393235:PGR393238 PQL393235:PQN393238 QAH393235:QAJ393238 QKD393235:QKF393238 QTZ393235:QUB393238 RDV393235:RDX393238 RNR393235:RNT393238 RXN393235:RXP393238 SHJ393235:SHL393238 SRF393235:SRH393238 TBB393235:TBD393238 TKX393235:TKZ393238 TUT393235:TUV393238 UEP393235:UER393238 UOL393235:UON393238 UYH393235:UYJ393238 VID393235:VIF393238 VRZ393235:VSB393238 WBV393235:WBX393238 WLR393235:WLT393238 WVN393235:WVP393238 F458771:H458774 JB458771:JD458774 SX458771:SZ458774 ACT458771:ACV458774 AMP458771:AMR458774 AWL458771:AWN458774 BGH458771:BGJ458774 BQD458771:BQF458774 BZZ458771:CAB458774 CJV458771:CJX458774 CTR458771:CTT458774 DDN458771:DDP458774 DNJ458771:DNL458774 DXF458771:DXH458774 EHB458771:EHD458774 EQX458771:EQZ458774 FAT458771:FAV458774 FKP458771:FKR458774 FUL458771:FUN458774 GEH458771:GEJ458774 GOD458771:GOF458774 GXZ458771:GYB458774 HHV458771:HHX458774 HRR458771:HRT458774 IBN458771:IBP458774 ILJ458771:ILL458774 IVF458771:IVH458774 JFB458771:JFD458774 JOX458771:JOZ458774 JYT458771:JYV458774 KIP458771:KIR458774 KSL458771:KSN458774 LCH458771:LCJ458774 LMD458771:LMF458774 LVZ458771:LWB458774 MFV458771:MFX458774 MPR458771:MPT458774 MZN458771:MZP458774 NJJ458771:NJL458774 NTF458771:NTH458774 ODB458771:ODD458774 OMX458771:OMZ458774 OWT458771:OWV458774 PGP458771:PGR458774 PQL458771:PQN458774 QAH458771:QAJ458774 QKD458771:QKF458774 QTZ458771:QUB458774 RDV458771:RDX458774 RNR458771:RNT458774 RXN458771:RXP458774 SHJ458771:SHL458774 SRF458771:SRH458774 TBB458771:TBD458774 TKX458771:TKZ458774 TUT458771:TUV458774 UEP458771:UER458774 UOL458771:UON458774 UYH458771:UYJ458774 VID458771:VIF458774 VRZ458771:VSB458774 WBV458771:WBX458774 WLR458771:WLT458774 WVN458771:WVP458774 F524307:H524310 JB524307:JD524310 SX524307:SZ524310 ACT524307:ACV524310 AMP524307:AMR524310 AWL524307:AWN524310 BGH524307:BGJ524310 BQD524307:BQF524310 BZZ524307:CAB524310 CJV524307:CJX524310 CTR524307:CTT524310 DDN524307:DDP524310 DNJ524307:DNL524310 DXF524307:DXH524310 EHB524307:EHD524310 EQX524307:EQZ524310 FAT524307:FAV524310 FKP524307:FKR524310 FUL524307:FUN524310 GEH524307:GEJ524310 GOD524307:GOF524310 GXZ524307:GYB524310 HHV524307:HHX524310 HRR524307:HRT524310 IBN524307:IBP524310 ILJ524307:ILL524310 IVF524307:IVH524310 JFB524307:JFD524310 JOX524307:JOZ524310 JYT524307:JYV524310 KIP524307:KIR524310 KSL524307:KSN524310 LCH524307:LCJ524310 LMD524307:LMF524310 LVZ524307:LWB524310 MFV524307:MFX524310 MPR524307:MPT524310 MZN524307:MZP524310 NJJ524307:NJL524310 NTF524307:NTH524310 ODB524307:ODD524310 OMX524307:OMZ524310 OWT524307:OWV524310 PGP524307:PGR524310 PQL524307:PQN524310 QAH524307:QAJ524310 QKD524307:QKF524310 QTZ524307:QUB524310 RDV524307:RDX524310 RNR524307:RNT524310 RXN524307:RXP524310 SHJ524307:SHL524310 SRF524307:SRH524310 TBB524307:TBD524310 TKX524307:TKZ524310 TUT524307:TUV524310 UEP524307:UER524310 UOL524307:UON524310 UYH524307:UYJ524310 VID524307:VIF524310 VRZ524307:VSB524310 WBV524307:WBX524310 WLR524307:WLT524310 WVN524307:WVP524310 F589843:H589846 JB589843:JD589846 SX589843:SZ589846 ACT589843:ACV589846 AMP589843:AMR589846 AWL589843:AWN589846 BGH589843:BGJ589846 BQD589843:BQF589846 BZZ589843:CAB589846 CJV589843:CJX589846 CTR589843:CTT589846 DDN589843:DDP589846 DNJ589843:DNL589846 DXF589843:DXH589846 EHB589843:EHD589846 EQX589843:EQZ589846 FAT589843:FAV589846 FKP589843:FKR589846 FUL589843:FUN589846 GEH589843:GEJ589846 GOD589843:GOF589846 GXZ589843:GYB589846 HHV589843:HHX589846 HRR589843:HRT589846 IBN589843:IBP589846 ILJ589843:ILL589846 IVF589843:IVH589846 JFB589843:JFD589846 JOX589843:JOZ589846 JYT589843:JYV589846 KIP589843:KIR589846 KSL589843:KSN589846 LCH589843:LCJ589846 LMD589843:LMF589846 LVZ589843:LWB589846 MFV589843:MFX589846 MPR589843:MPT589846 MZN589843:MZP589846 NJJ589843:NJL589846 NTF589843:NTH589846 ODB589843:ODD589846 OMX589843:OMZ589846 OWT589843:OWV589846 PGP589843:PGR589846 PQL589843:PQN589846 QAH589843:QAJ589846 QKD589843:QKF589846 QTZ589843:QUB589846 RDV589843:RDX589846 RNR589843:RNT589846 RXN589843:RXP589846 SHJ589843:SHL589846 SRF589843:SRH589846 TBB589843:TBD589846 TKX589843:TKZ589846 TUT589843:TUV589846 UEP589843:UER589846 UOL589843:UON589846 UYH589843:UYJ589846 VID589843:VIF589846 VRZ589843:VSB589846 WBV589843:WBX589846 WLR589843:WLT589846 WVN589843:WVP589846 F655379:H655382 JB655379:JD655382 SX655379:SZ655382 ACT655379:ACV655382 AMP655379:AMR655382 AWL655379:AWN655382 BGH655379:BGJ655382 BQD655379:BQF655382 BZZ655379:CAB655382 CJV655379:CJX655382 CTR655379:CTT655382 DDN655379:DDP655382 DNJ655379:DNL655382 DXF655379:DXH655382 EHB655379:EHD655382 EQX655379:EQZ655382 FAT655379:FAV655382 FKP655379:FKR655382 FUL655379:FUN655382 GEH655379:GEJ655382 GOD655379:GOF655382 GXZ655379:GYB655382 HHV655379:HHX655382 HRR655379:HRT655382 IBN655379:IBP655382 ILJ655379:ILL655382 IVF655379:IVH655382 JFB655379:JFD655382 JOX655379:JOZ655382 JYT655379:JYV655382 KIP655379:KIR655382 KSL655379:KSN655382 LCH655379:LCJ655382 LMD655379:LMF655382 LVZ655379:LWB655382 MFV655379:MFX655382 MPR655379:MPT655382 MZN655379:MZP655382 NJJ655379:NJL655382 NTF655379:NTH655382 ODB655379:ODD655382 OMX655379:OMZ655382 OWT655379:OWV655382 PGP655379:PGR655382 PQL655379:PQN655382 QAH655379:QAJ655382 QKD655379:QKF655382 QTZ655379:QUB655382 RDV655379:RDX655382 RNR655379:RNT655382 RXN655379:RXP655382 SHJ655379:SHL655382 SRF655379:SRH655382 TBB655379:TBD655382 TKX655379:TKZ655382 TUT655379:TUV655382 UEP655379:UER655382 UOL655379:UON655382 UYH655379:UYJ655382 VID655379:VIF655382 VRZ655379:VSB655382 WBV655379:WBX655382 WLR655379:WLT655382 WVN655379:WVP655382 F720915:H720918 JB720915:JD720918 SX720915:SZ720918 ACT720915:ACV720918 AMP720915:AMR720918 AWL720915:AWN720918 BGH720915:BGJ720918 BQD720915:BQF720918 BZZ720915:CAB720918 CJV720915:CJX720918 CTR720915:CTT720918 DDN720915:DDP720918 DNJ720915:DNL720918 DXF720915:DXH720918 EHB720915:EHD720918 EQX720915:EQZ720918 FAT720915:FAV720918 FKP720915:FKR720918 FUL720915:FUN720918 GEH720915:GEJ720918 GOD720915:GOF720918 GXZ720915:GYB720918 HHV720915:HHX720918 HRR720915:HRT720918 IBN720915:IBP720918 ILJ720915:ILL720918 IVF720915:IVH720918 JFB720915:JFD720918 JOX720915:JOZ720918 JYT720915:JYV720918 KIP720915:KIR720918 KSL720915:KSN720918 LCH720915:LCJ720918 LMD720915:LMF720918 LVZ720915:LWB720918 MFV720915:MFX720918 MPR720915:MPT720918 MZN720915:MZP720918 NJJ720915:NJL720918 NTF720915:NTH720918 ODB720915:ODD720918 OMX720915:OMZ720918 OWT720915:OWV720918 PGP720915:PGR720918 PQL720915:PQN720918 QAH720915:QAJ720918 QKD720915:QKF720918 QTZ720915:QUB720918 RDV720915:RDX720918 RNR720915:RNT720918 RXN720915:RXP720918 SHJ720915:SHL720918 SRF720915:SRH720918 TBB720915:TBD720918 TKX720915:TKZ720918 TUT720915:TUV720918 UEP720915:UER720918 UOL720915:UON720918 UYH720915:UYJ720918 VID720915:VIF720918 VRZ720915:VSB720918 WBV720915:WBX720918 WLR720915:WLT720918 WVN720915:WVP720918 F786451:H786454 JB786451:JD786454 SX786451:SZ786454 ACT786451:ACV786454 AMP786451:AMR786454 AWL786451:AWN786454 BGH786451:BGJ786454 BQD786451:BQF786454 BZZ786451:CAB786454 CJV786451:CJX786454 CTR786451:CTT786454 DDN786451:DDP786454 DNJ786451:DNL786454 DXF786451:DXH786454 EHB786451:EHD786454 EQX786451:EQZ786454 FAT786451:FAV786454 FKP786451:FKR786454 FUL786451:FUN786454 GEH786451:GEJ786454 GOD786451:GOF786454 GXZ786451:GYB786454 HHV786451:HHX786454 HRR786451:HRT786454 IBN786451:IBP786454 ILJ786451:ILL786454 IVF786451:IVH786454 JFB786451:JFD786454 JOX786451:JOZ786454 JYT786451:JYV786454 KIP786451:KIR786454 KSL786451:KSN786454 LCH786451:LCJ786454 LMD786451:LMF786454 LVZ786451:LWB786454 MFV786451:MFX786454 MPR786451:MPT786454 MZN786451:MZP786454 NJJ786451:NJL786454 NTF786451:NTH786454 ODB786451:ODD786454 OMX786451:OMZ786454 OWT786451:OWV786454 PGP786451:PGR786454 PQL786451:PQN786454 QAH786451:QAJ786454 QKD786451:QKF786454 QTZ786451:QUB786454 RDV786451:RDX786454 RNR786451:RNT786454 RXN786451:RXP786454 SHJ786451:SHL786454 SRF786451:SRH786454 TBB786451:TBD786454 TKX786451:TKZ786454 TUT786451:TUV786454 UEP786451:UER786454 UOL786451:UON786454 UYH786451:UYJ786454 VID786451:VIF786454 VRZ786451:VSB786454 WBV786451:WBX786454 WLR786451:WLT786454 WVN786451:WVP786454 F851987:H851990 JB851987:JD851990 SX851987:SZ851990 ACT851987:ACV851990 AMP851987:AMR851990 AWL851987:AWN851990 BGH851987:BGJ851990 BQD851987:BQF851990 BZZ851987:CAB851990 CJV851987:CJX851990 CTR851987:CTT851990 DDN851987:DDP851990 DNJ851987:DNL851990 DXF851987:DXH851990 EHB851987:EHD851990 EQX851987:EQZ851990 FAT851987:FAV851990 FKP851987:FKR851990 FUL851987:FUN851990 GEH851987:GEJ851990 GOD851987:GOF851990 GXZ851987:GYB851990 HHV851987:HHX851990 HRR851987:HRT851990 IBN851987:IBP851990 ILJ851987:ILL851990 IVF851987:IVH851990 JFB851987:JFD851990 JOX851987:JOZ851990 JYT851987:JYV851990 KIP851987:KIR851990 KSL851987:KSN851990 LCH851987:LCJ851990 LMD851987:LMF851990 LVZ851987:LWB851990 MFV851987:MFX851990 MPR851987:MPT851990 MZN851987:MZP851990 NJJ851987:NJL851990 NTF851987:NTH851990 ODB851987:ODD851990 OMX851987:OMZ851990 OWT851987:OWV851990 PGP851987:PGR851990 PQL851987:PQN851990 QAH851987:QAJ851990 QKD851987:QKF851990 QTZ851987:QUB851990 RDV851987:RDX851990 RNR851987:RNT851990 RXN851987:RXP851990 SHJ851987:SHL851990 SRF851987:SRH851990 TBB851987:TBD851990 TKX851987:TKZ851990 TUT851987:TUV851990 UEP851987:UER851990 UOL851987:UON851990 UYH851987:UYJ851990 VID851987:VIF851990 VRZ851987:VSB851990 WBV851987:WBX851990 WLR851987:WLT851990 WVN851987:WVP851990 F917523:H917526 JB917523:JD917526 SX917523:SZ917526 ACT917523:ACV917526 AMP917523:AMR917526 AWL917523:AWN917526 BGH917523:BGJ917526 BQD917523:BQF917526 BZZ917523:CAB917526 CJV917523:CJX917526 CTR917523:CTT917526 DDN917523:DDP917526 DNJ917523:DNL917526 DXF917523:DXH917526 EHB917523:EHD917526 EQX917523:EQZ917526 FAT917523:FAV917526 FKP917523:FKR917526 FUL917523:FUN917526 GEH917523:GEJ917526 GOD917523:GOF917526 GXZ917523:GYB917526 HHV917523:HHX917526 HRR917523:HRT917526 IBN917523:IBP917526 ILJ917523:ILL917526 IVF917523:IVH917526 JFB917523:JFD917526 JOX917523:JOZ917526 JYT917523:JYV917526 KIP917523:KIR917526 KSL917523:KSN917526 LCH917523:LCJ917526 LMD917523:LMF917526 LVZ917523:LWB917526 MFV917523:MFX917526 MPR917523:MPT917526 MZN917523:MZP917526 NJJ917523:NJL917526 NTF917523:NTH917526 ODB917523:ODD917526 OMX917523:OMZ917526 OWT917523:OWV917526 PGP917523:PGR917526 PQL917523:PQN917526 QAH917523:QAJ917526 QKD917523:QKF917526 QTZ917523:QUB917526 RDV917523:RDX917526 RNR917523:RNT917526 RXN917523:RXP917526 SHJ917523:SHL917526 SRF917523:SRH917526 TBB917523:TBD917526 TKX917523:TKZ917526 TUT917523:TUV917526 UEP917523:UER917526 UOL917523:UON917526 UYH917523:UYJ917526 VID917523:VIF917526 VRZ917523:VSB917526 WBV917523:WBX917526 WLR917523:WLT917526 WVN917523:WVP917526 F983059:H983062 JB983059:JD983062 SX983059:SZ983062 ACT983059:ACV983062 AMP983059:AMR983062 AWL983059:AWN983062 BGH983059:BGJ983062 BQD983059:BQF983062 BZZ983059:CAB983062 CJV983059:CJX983062 CTR983059:CTT983062 DDN983059:DDP983062 DNJ983059:DNL983062 DXF983059:DXH983062 EHB983059:EHD983062 EQX983059:EQZ983062 FAT983059:FAV983062 FKP983059:FKR983062 FUL983059:FUN983062 GEH983059:GEJ983062 GOD983059:GOF983062 GXZ983059:GYB983062 HHV983059:HHX983062 HRR983059:HRT983062 IBN983059:IBP983062 ILJ983059:ILL983062 IVF983059:IVH983062 JFB983059:JFD983062 JOX983059:JOZ983062 JYT983059:JYV983062 KIP983059:KIR983062 KSL983059:KSN983062 LCH983059:LCJ983062 LMD983059:LMF983062 LVZ983059:LWB983062 MFV983059:MFX983062 MPR983059:MPT983062 MZN983059:MZP983062 NJJ983059:NJL983062 NTF983059:NTH983062 ODB983059:ODD983062 OMX983059:OMZ983062 OWT983059:OWV983062 PGP983059:PGR983062 PQL983059:PQN983062 QAH983059:QAJ983062 QKD983059:QKF983062 QTZ983059:QUB983062 RDV983059:RDX983062 RNR983059:RNT983062 RXN983059:RXP983062 SHJ983059:SHL983062 SRF983059:SRH983062 TBB983059:TBD983062 TKX983059:TKZ983062 TUT983059:TUV983062 UEP983059:UER983062 UOL983059:UON983062 UYH983059:UYJ983062 VID983059:VIF983062 VRZ983059:VSB983062 WBV983059:WBX983062 WLR983059:WLT983062 WVN983059:WVP983062">
      <formula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L122"/>
  <sheetViews>
    <sheetView showGridLines="0" zoomScale="85" zoomScaleNormal="85" workbookViewId="0">
      <selection activeCell="B8" sqref="B8"/>
    </sheetView>
  </sheetViews>
  <sheetFormatPr defaultColWidth="0" defaultRowHeight="15" zeroHeight="1" x14ac:dyDescent="0.25"/>
  <cols>
    <col min="1" max="1" width="5.7109375" customWidth="1"/>
    <col min="2" max="2" width="22.28515625" customWidth="1"/>
    <col min="3" max="3" width="18.140625" customWidth="1"/>
    <col min="4" max="4" width="18.28515625" customWidth="1"/>
    <col min="5" max="5" width="16.42578125" customWidth="1"/>
    <col min="6" max="7" width="16.5703125" customWidth="1"/>
    <col min="8" max="8" width="15.85546875" customWidth="1"/>
    <col min="9" max="9" width="21" customWidth="1"/>
    <col min="10" max="10" width="16" customWidth="1"/>
    <col min="11" max="11" width="17.42578125" customWidth="1"/>
    <col min="12" max="12" width="9.140625" customWidth="1"/>
    <col min="13" max="16384" width="9.140625" hidden="1"/>
  </cols>
  <sheetData>
    <row r="1" spans="1:11" s="84" customFormat="1" ht="29.25" x14ac:dyDescent="0.8">
      <c r="D1" s="205" t="s">
        <v>67</v>
      </c>
      <c r="E1" s="205"/>
      <c r="F1" s="205"/>
      <c r="G1" s="205"/>
      <c r="H1" s="205"/>
      <c r="I1" s="205"/>
      <c r="J1" s="87"/>
      <c r="K1" s="87"/>
    </row>
    <row r="2" spans="1:11" s="84" customFormat="1" ht="21" x14ac:dyDescent="0.25">
      <c r="B2" s="51"/>
      <c r="C2" s="88"/>
      <c r="D2" s="198" t="s">
        <v>68</v>
      </c>
      <c r="E2" s="198"/>
      <c r="F2" s="198"/>
      <c r="G2" s="198"/>
      <c r="H2" s="198"/>
      <c r="I2" s="198"/>
      <c r="J2" s="88"/>
      <c r="K2" s="88"/>
    </row>
    <row r="3" spans="1:11" s="60" customFormat="1" ht="21.75" thickBot="1" x14ac:dyDescent="0.3">
      <c r="B3" s="71"/>
      <c r="C3" s="72"/>
      <c r="D3" s="199" t="s">
        <v>47</v>
      </c>
      <c r="E3" s="199"/>
      <c r="F3" s="199"/>
      <c r="G3" s="199"/>
      <c r="H3" s="199"/>
      <c r="I3" s="199"/>
      <c r="J3" s="132" t="s">
        <v>96</v>
      </c>
      <c r="K3" s="133" t="s">
        <v>97</v>
      </c>
    </row>
    <row r="4" spans="1:11" s="60" customFormat="1" ht="21.75" thickBot="1" x14ac:dyDescent="0.3">
      <c r="B4" s="71" t="s">
        <v>48</v>
      </c>
      <c r="C4" s="206"/>
      <c r="D4" s="206"/>
      <c r="E4" s="73"/>
      <c r="F4" s="73"/>
      <c r="G4" s="73"/>
      <c r="H4" s="73"/>
      <c r="I4" s="86" t="s">
        <v>49</v>
      </c>
      <c r="J4" s="50">
        <v>4000</v>
      </c>
      <c r="K4" s="71" t="s">
        <v>50</v>
      </c>
    </row>
    <row r="5" spans="1:11" s="60" customFormat="1" ht="15.75" thickBot="1" x14ac:dyDescent="0.3">
      <c r="B5" s="71"/>
      <c r="C5" s="72"/>
      <c r="D5" s="72"/>
      <c r="E5" s="72"/>
      <c r="F5" s="72"/>
      <c r="G5" s="72"/>
      <c r="H5" s="72"/>
      <c r="I5" s="72"/>
      <c r="J5" s="72"/>
      <c r="K5" s="72"/>
    </row>
    <row r="6" spans="1:11" ht="16.5" thickTop="1" thickBot="1" x14ac:dyDescent="0.3">
      <c r="A6" s="200" t="s">
        <v>69</v>
      </c>
      <c r="B6" s="200" t="s">
        <v>70</v>
      </c>
      <c r="C6" s="200" t="s">
        <v>71</v>
      </c>
      <c r="D6" s="200" t="s">
        <v>72</v>
      </c>
      <c r="E6" s="200" t="s">
        <v>73</v>
      </c>
      <c r="F6" s="200"/>
      <c r="G6" s="200"/>
      <c r="H6" s="200"/>
      <c r="I6" s="200"/>
      <c r="J6" s="200" t="s">
        <v>74</v>
      </c>
      <c r="K6" s="200" t="s">
        <v>54</v>
      </c>
    </row>
    <row r="7" spans="1:11" ht="16.5" thickTop="1" thickBot="1" x14ac:dyDescent="0.3">
      <c r="A7" s="200"/>
      <c r="B7" s="200"/>
      <c r="C7" s="200"/>
      <c r="D7" s="200"/>
      <c r="E7" s="52" t="s">
        <v>75</v>
      </c>
      <c r="F7" s="52" t="s">
        <v>79</v>
      </c>
      <c r="G7" s="52" t="s">
        <v>76</v>
      </c>
      <c r="H7" s="52" t="s">
        <v>77</v>
      </c>
      <c r="I7" s="52" t="s">
        <v>78</v>
      </c>
      <c r="J7" s="200"/>
      <c r="K7" s="200"/>
    </row>
    <row r="8" spans="1:11" ht="32.25" customHeight="1" thickTop="1" thickBot="1" x14ac:dyDescent="0.3">
      <c r="A8" s="61">
        <v>1</v>
      </c>
      <c r="B8" s="62"/>
      <c r="C8" s="63"/>
      <c r="D8" s="120"/>
      <c r="E8" s="120"/>
      <c r="F8" s="120"/>
      <c r="G8" s="120"/>
      <c r="H8" s="120"/>
      <c r="I8" s="120"/>
      <c r="J8" s="120"/>
      <c r="K8" s="121">
        <f>SUM(D8:J8)</f>
        <v>0</v>
      </c>
    </row>
    <row r="9" spans="1:11" ht="32.25" customHeight="1" thickTop="1" thickBot="1" x14ac:dyDescent="0.3">
      <c r="A9" s="64">
        <v>2</v>
      </c>
      <c r="B9" s="62"/>
      <c r="C9" s="63"/>
      <c r="D9" s="120"/>
      <c r="E9" s="122"/>
      <c r="F9" s="122"/>
      <c r="G9" s="122"/>
      <c r="H9" s="122"/>
      <c r="I9" s="122"/>
      <c r="J9" s="122"/>
      <c r="K9" s="121">
        <f t="shared" ref="K9:K107" si="0">SUM(D9:J9)</f>
        <v>0</v>
      </c>
    </row>
    <row r="10" spans="1:11" ht="32.25" customHeight="1" thickTop="1" thickBot="1" x14ac:dyDescent="0.3">
      <c r="A10" s="64">
        <v>3</v>
      </c>
      <c r="B10" s="62"/>
      <c r="C10" s="63"/>
      <c r="D10" s="120"/>
      <c r="E10" s="120"/>
      <c r="F10" s="120"/>
      <c r="G10" s="120"/>
      <c r="H10" s="120"/>
      <c r="I10" s="120"/>
      <c r="J10" s="120"/>
      <c r="K10" s="121">
        <f t="shared" si="0"/>
        <v>0</v>
      </c>
    </row>
    <row r="11" spans="1:11" ht="33" customHeight="1" thickTop="1" thickBot="1" x14ac:dyDescent="0.3">
      <c r="A11" s="64">
        <v>4</v>
      </c>
      <c r="B11" s="62"/>
      <c r="C11" s="63"/>
      <c r="D11" s="120"/>
      <c r="E11" s="122"/>
      <c r="F11" s="122"/>
      <c r="G11" s="122"/>
      <c r="H11" s="122"/>
      <c r="I11" s="122"/>
      <c r="J11" s="122"/>
      <c r="K11" s="121">
        <f t="shared" si="0"/>
        <v>0</v>
      </c>
    </row>
    <row r="12" spans="1:11" ht="32.25" customHeight="1" thickTop="1" thickBot="1" x14ac:dyDescent="0.3">
      <c r="A12" s="64">
        <v>5</v>
      </c>
      <c r="B12" s="62"/>
      <c r="C12" s="63"/>
      <c r="D12" s="120"/>
      <c r="E12" s="120"/>
      <c r="F12" s="120"/>
      <c r="G12" s="120"/>
      <c r="H12" s="120"/>
      <c r="I12" s="120"/>
      <c r="J12" s="120"/>
      <c r="K12" s="121">
        <f t="shared" si="0"/>
        <v>0</v>
      </c>
    </row>
    <row r="13" spans="1:11" ht="32.25" customHeight="1" thickTop="1" thickBot="1" x14ac:dyDescent="0.3">
      <c r="A13" s="65">
        <v>6</v>
      </c>
      <c r="B13" s="62"/>
      <c r="C13" s="63"/>
      <c r="D13" s="120"/>
      <c r="E13" s="122"/>
      <c r="F13" s="122"/>
      <c r="G13" s="122"/>
      <c r="H13" s="122"/>
      <c r="I13" s="122"/>
      <c r="J13" s="122"/>
      <c r="K13" s="121">
        <f t="shared" si="0"/>
        <v>0</v>
      </c>
    </row>
    <row r="14" spans="1:11" ht="32.25" customHeight="1" thickTop="1" thickBot="1" x14ac:dyDescent="0.3">
      <c r="A14" s="75">
        <v>7</v>
      </c>
      <c r="B14" s="62"/>
      <c r="C14" s="63"/>
      <c r="D14" s="120"/>
      <c r="E14" s="120"/>
      <c r="F14" s="120"/>
      <c r="G14" s="120"/>
      <c r="H14" s="120"/>
      <c r="I14" s="120"/>
      <c r="J14" s="120"/>
      <c r="K14" s="121">
        <f t="shared" si="0"/>
        <v>0</v>
      </c>
    </row>
    <row r="15" spans="1:11" ht="32.25" customHeight="1" thickTop="1" thickBot="1" x14ac:dyDescent="0.3">
      <c r="A15" s="64">
        <v>8</v>
      </c>
      <c r="B15" s="62"/>
      <c r="C15" s="63"/>
      <c r="D15" s="120"/>
      <c r="E15" s="122"/>
      <c r="F15" s="122"/>
      <c r="G15" s="122"/>
      <c r="H15" s="122"/>
      <c r="I15" s="122"/>
      <c r="J15" s="122"/>
      <c r="K15" s="121">
        <f t="shared" si="0"/>
        <v>0</v>
      </c>
    </row>
    <row r="16" spans="1:11" ht="32.25" customHeight="1" thickTop="1" thickBot="1" x14ac:dyDescent="0.3">
      <c r="A16" s="64">
        <v>9</v>
      </c>
      <c r="B16" s="62"/>
      <c r="C16" s="63"/>
      <c r="D16" s="120"/>
      <c r="E16" s="120"/>
      <c r="F16" s="120"/>
      <c r="G16" s="120"/>
      <c r="H16" s="120"/>
      <c r="I16" s="120"/>
      <c r="J16" s="120"/>
      <c r="K16" s="121">
        <f t="shared" si="0"/>
        <v>0</v>
      </c>
    </row>
    <row r="17" spans="1:11" ht="32.25" customHeight="1" thickTop="1" thickBot="1" x14ac:dyDescent="0.3">
      <c r="A17" s="64">
        <v>10</v>
      </c>
      <c r="B17" s="62"/>
      <c r="C17" s="63"/>
      <c r="D17" s="120"/>
      <c r="E17" s="122"/>
      <c r="F17" s="122"/>
      <c r="G17" s="122"/>
      <c r="H17" s="122"/>
      <c r="I17" s="122"/>
      <c r="J17" s="122"/>
      <c r="K17" s="121">
        <f t="shared" si="0"/>
        <v>0</v>
      </c>
    </row>
    <row r="18" spans="1:11" ht="32.25" customHeight="1" thickTop="1" thickBot="1" x14ac:dyDescent="0.3">
      <c r="A18" s="64">
        <v>11</v>
      </c>
      <c r="B18" s="62"/>
      <c r="C18" s="63"/>
      <c r="D18" s="120"/>
      <c r="E18" s="120"/>
      <c r="F18" s="120"/>
      <c r="G18" s="120"/>
      <c r="H18" s="120"/>
      <c r="I18" s="120"/>
      <c r="J18" s="120"/>
      <c r="K18" s="121">
        <f t="shared" si="0"/>
        <v>0</v>
      </c>
    </row>
    <row r="19" spans="1:11" ht="32.25" customHeight="1" thickTop="1" thickBot="1" x14ac:dyDescent="0.3">
      <c r="A19" s="65">
        <v>12</v>
      </c>
      <c r="B19" s="62"/>
      <c r="C19" s="63"/>
      <c r="D19" s="120"/>
      <c r="E19" s="122"/>
      <c r="F19" s="122"/>
      <c r="G19" s="122"/>
      <c r="H19" s="122"/>
      <c r="I19" s="122"/>
      <c r="J19" s="122"/>
      <c r="K19" s="121">
        <f t="shared" si="0"/>
        <v>0</v>
      </c>
    </row>
    <row r="20" spans="1:11" ht="32.25" customHeight="1" thickTop="1" thickBot="1" x14ac:dyDescent="0.3">
      <c r="A20" s="75">
        <v>13</v>
      </c>
      <c r="B20" s="62"/>
      <c r="C20" s="63"/>
      <c r="D20" s="120"/>
      <c r="E20" s="120"/>
      <c r="F20" s="120"/>
      <c r="G20" s="120"/>
      <c r="H20" s="120"/>
      <c r="I20" s="120"/>
      <c r="J20" s="120"/>
      <c r="K20" s="121">
        <f t="shared" si="0"/>
        <v>0</v>
      </c>
    </row>
    <row r="21" spans="1:11" ht="32.25" customHeight="1" thickTop="1" thickBot="1" x14ac:dyDescent="0.3">
      <c r="A21" s="64">
        <v>14</v>
      </c>
      <c r="B21" s="62"/>
      <c r="C21" s="63"/>
      <c r="D21" s="123"/>
      <c r="E21" s="122"/>
      <c r="F21" s="122"/>
      <c r="G21" s="122"/>
      <c r="H21" s="122"/>
      <c r="I21" s="122"/>
      <c r="J21" s="122"/>
      <c r="K21" s="121">
        <f t="shared" si="0"/>
        <v>0</v>
      </c>
    </row>
    <row r="22" spans="1:11" ht="32.25" customHeight="1" thickTop="1" thickBot="1" x14ac:dyDescent="0.3">
      <c r="A22" s="65">
        <v>15</v>
      </c>
      <c r="B22" s="62"/>
      <c r="C22" s="63"/>
      <c r="D22" s="123"/>
      <c r="E22" s="120"/>
      <c r="F22" s="120"/>
      <c r="G22" s="120"/>
      <c r="H22" s="120"/>
      <c r="I22" s="120"/>
      <c r="J22" s="120"/>
      <c r="K22" s="121">
        <f t="shared" si="0"/>
        <v>0</v>
      </c>
    </row>
    <row r="23" spans="1:11" ht="32.25" customHeight="1" thickTop="1" thickBot="1" x14ac:dyDescent="0.3">
      <c r="A23" s="75">
        <v>16</v>
      </c>
      <c r="B23" s="62"/>
      <c r="C23" s="63"/>
      <c r="D23" s="123"/>
      <c r="E23" s="122"/>
      <c r="F23" s="122"/>
      <c r="G23" s="122"/>
      <c r="H23" s="122"/>
      <c r="I23" s="122"/>
      <c r="J23" s="122"/>
      <c r="K23" s="121">
        <f t="shared" si="0"/>
        <v>0</v>
      </c>
    </row>
    <row r="24" spans="1:11" ht="32.25" customHeight="1" thickTop="1" thickBot="1" x14ac:dyDescent="0.3">
      <c r="A24" s="64">
        <v>17</v>
      </c>
      <c r="B24" s="62"/>
      <c r="C24" s="63"/>
      <c r="D24" s="123"/>
      <c r="E24" s="120"/>
      <c r="F24" s="120"/>
      <c r="G24" s="120"/>
      <c r="H24" s="120"/>
      <c r="I24" s="120"/>
      <c r="J24" s="120"/>
      <c r="K24" s="121">
        <f t="shared" si="0"/>
        <v>0</v>
      </c>
    </row>
    <row r="25" spans="1:11" ht="32.25" customHeight="1" thickTop="1" thickBot="1" x14ac:dyDescent="0.3">
      <c r="A25" s="65">
        <v>18</v>
      </c>
      <c r="B25" s="62"/>
      <c r="C25" s="63"/>
      <c r="D25" s="123"/>
      <c r="E25" s="122"/>
      <c r="F25" s="122"/>
      <c r="G25" s="122"/>
      <c r="H25" s="122"/>
      <c r="I25" s="122"/>
      <c r="J25" s="122"/>
      <c r="K25" s="121">
        <f t="shared" si="0"/>
        <v>0</v>
      </c>
    </row>
    <row r="26" spans="1:11" ht="32.25" customHeight="1" thickTop="1" thickBot="1" x14ac:dyDescent="0.3">
      <c r="A26" s="75">
        <v>19</v>
      </c>
      <c r="B26" s="62"/>
      <c r="C26" s="63"/>
      <c r="D26" s="123"/>
      <c r="E26" s="120"/>
      <c r="F26" s="120"/>
      <c r="G26" s="120"/>
      <c r="H26" s="120"/>
      <c r="I26" s="120"/>
      <c r="J26" s="120"/>
      <c r="K26" s="121">
        <f t="shared" si="0"/>
        <v>0</v>
      </c>
    </row>
    <row r="27" spans="1:11" ht="32.25" customHeight="1" thickTop="1" thickBot="1" x14ac:dyDescent="0.3">
      <c r="A27" s="126">
        <v>20</v>
      </c>
      <c r="B27" s="62"/>
      <c r="C27" s="63"/>
      <c r="D27" s="123"/>
      <c r="E27" s="120"/>
      <c r="F27" s="120"/>
      <c r="G27" s="120"/>
      <c r="H27" s="120"/>
      <c r="I27" s="120"/>
      <c r="J27" s="120"/>
      <c r="K27" s="121">
        <f t="shared" ref="K27:K90" si="1">SUM(D27:J27)</f>
        <v>0</v>
      </c>
    </row>
    <row r="28" spans="1:11" ht="32.25" customHeight="1" thickTop="1" thickBot="1" x14ac:dyDescent="0.3">
      <c r="A28" s="126">
        <v>21</v>
      </c>
      <c r="B28" s="62"/>
      <c r="C28" s="63"/>
      <c r="D28" s="123"/>
      <c r="E28" s="120"/>
      <c r="F28" s="120"/>
      <c r="G28" s="120"/>
      <c r="H28" s="120"/>
      <c r="I28" s="120"/>
      <c r="J28" s="120"/>
      <c r="K28" s="121">
        <f t="shared" si="1"/>
        <v>0</v>
      </c>
    </row>
    <row r="29" spans="1:11" ht="32.25" customHeight="1" thickTop="1" thickBot="1" x14ac:dyDescent="0.3">
      <c r="A29" s="126">
        <v>22</v>
      </c>
      <c r="B29" s="62"/>
      <c r="C29" s="63"/>
      <c r="D29" s="123"/>
      <c r="E29" s="120"/>
      <c r="F29" s="120"/>
      <c r="G29" s="120"/>
      <c r="H29" s="120"/>
      <c r="I29" s="120"/>
      <c r="J29" s="120"/>
      <c r="K29" s="121">
        <f t="shared" si="1"/>
        <v>0</v>
      </c>
    </row>
    <row r="30" spans="1:11" ht="32.25" customHeight="1" thickTop="1" thickBot="1" x14ac:dyDescent="0.3">
      <c r="A30" s="126">
        <v>23</v>
      </c>
      <c r="B30" s="62"/>
      <c r="C30" s="63"/>
      <c r="D30" s="123"/>
      <c r="E30" s="120"/>
      <c r="F30" s="120"/>
      <c r="G30" s="120"/>
      <c r="H30" s="120"/>
      <c r="I30" s="120"/>
      <c r="J30" s="120"/>
      <c r="K30" s="121">
        <f t="shared" si="1"/>
        <v>0</v>
      </c>
    </row>
    <row r="31" spans="1:11" ht="32.25" customHeight="1" thickTop="1" thickBot="1" x14ac:dyDescent="0.3">
      <c r="A31" s="126">
        <v>24</v>
      </c>
      <c r="B31" s="62"/>
      <c r="C31" s="63"/>
      <c r="D31" s="123"/>
      <c r="E31" s="120"/>
      <c r="F31" s="120"/>
      <c r="G31" s="120"/>
      <c r="H31" s="120"/>
      <c r="I31" s="120"/>
      <c r="J31" s="120"/>
      <c r="K31" s="121">
        <f t="shared" si="1"/>
        <v>0</v>
      </c>
    </row>
    <row r="32" spans="1:11" ht="32.25" customHeight="1" thickTop="1" thickBot="1" x14ac:dyDescent="0.3">
      <c r="A32" s="126">
        <v>25</v>
      </c>
      <c r="B32" s="62"/>
      <c r="C32" s="63"/>
      <c r="D32" s="123"/>
      <c r="E32" s="120"/>
      <c r="F32" s="120"/>
      <c r="G32" s="120"/>
      <c r="H32" s="120"/>
      <c r="I32" s="120"/>
      <c r="J32" s="120"/>
      <c r="K32" s="121">
        <f t="shared" si="1"/>
        <v>0</v>
      </c>
    </row>
    <row r="33" spans="1:11" ht="32.25" customHeight="1" thickTop="1" thickBot="1" x14ac:dyDescent="0.3">
      <c r="A33" s="126">
        <v>26</v>
      </c>
      <c r="B33" s="62"/>
      <c r="C33" s="63"/>
      <c r="D33" s="123"/>
      <c r="E33" s="120"/>
      <c r="F33" s="120"/>
      <c r="G33" s="120"/>
      <c r="H33" s="120"/>
      <c r="I33" s="120"/>
      <c r="J33" s="120"/>
      <c r="K33" s="121">
        <f t="shared" si="1"/>
        <v>0</v>
      </c>
    </row>
    <row r="34" spans="1:11" ht="32.25" customHeight="1" thickTop="1" thickBot="1" x14ac:dyDescent="0.3">
      <c r="A34" s="126">
        <v>27</v>
      </c>
      <c r="B34" s="62"/>
      <c r="C34" s="63"/>
      <c r="D34" s="123"/>
      <c r="E34" s="120"/>
      <c r="F34" s="120"/>
      <c r="G34" s="120"/>
      <c r="H34" s="120"/>
      <c r="I34" s="120"/>
      <c r="J34" s="120"/>
      <c r="K34" s="121">
        <f t="shared" si="1"/>
        <v>0</v>
      </c>
    </row>
    <row r="35" spans="1:11" ht="32.25" customHeight="1" thickTop="1" thickBot="1" x14ac:dyDescent="0.3">
      <c r="A35" s="126">
        <v>28</v>
      </c>
      <c r="B35" s="62"/>
      <c r="C35" s="63"/>
      <c r="D35" s="123"/>
      <c r="E35" s="120"/>
      <c r="F35" s="120"/>
      <c r="G35" s="120"/>
      <c r="H35" s="120"/>
      <c r="I35" s="120"/>
      <c r="J35" s="120"/>
      <c r="K35" s="121">
        <f t="shared" si="1"/>
        <v>0</v>
      </c>
    </row>
    <row r="36" spans="1:11" ht="32.25" customHeight="1" thickTop="1" thickBot="1" x14ac:dyDescent="0.3">
      <c r="A36" s="126">
        <v>29</v>
      </c>
      <c r="B36" s="62"/>
      <c r="C36" s="63"/>
      <c r="D36" s="123"/>
      <c r="E36" s="120"/>
      <c r="F36" s="120"/>
      <c r="G36" s="120"/>
      <c r="H36" s="120"/>
      <c r="I36" s="120"/>
      <c r="J36" s="120"/>
      <c r="K36" s="121">
        <f t="shared" si="1"/>
        <v>0</v>
      </c>
    </row>
    <row r="37" spans="1:11" ht="32.25" customHeight="1" thickTop="1" thickBot="1" x14ac:dyDescent="0.3">
      <c r="A37" s="126">
        <v>30</v>
      </c>
      <c r="B37" s="62"/>
      <c r="C37" s="63"/>
      <c r="D37" s="123"/>
      <c r="E37" s="120"/>
      <c r="F37" s="120"/>
      <c r="G37" s="120"/>
      <c r="H37" s="120"/>
      <c r="I37" s="120"/>
      <c r="J37" s="120"/>
      <c r="K37" s="121">
        <f t="shared" si="1"/>
        <v>0</v>
      </c>
    </row>
    <row r="38" spans="1:11" ht="32.25" customHeight="1" thickTop="1" thickBot="1" x14ac:dyDescent="0.3">
      <c r="A38" s="126">
        <v>31</v>
      </c>
      <c r="B38" s="62"/>
      <c r="C38" s="63"/>
      <c r="D38" s="123"/>
      <c r="E38" s="120"/>
      <c r="F38" s="120"/>
      <c r="G38" s="120"/>
      <c r="H38" s="120"/>
      <c r="I38" s="120"/>
      <c r="J38" s="120"/>
      <c r="K38" s="121">
        <f t="shared" si="1"/>
        <v>0</v>
      </c>
    </row>
    <row r="39" spans="1:11" ht="32.25" customHeight="1" thickTop="1" thickBot="1" x14ac:dyDescent="0.3">
      <c r="A39" s="126">
        <v>32</v>
      </c>
      <c r="B39" s="62"/>
      <c r="C39" s="63"/>
      <c r="D39" s="123"/>
      <c r="E39" s="120"/>
      <c r="F39" s="120"/>
      <c r="G39" s="120"/>
      <c r="H39" s="120"/>
      <c r="I39" s="120"/>
      <c r="J39" s="120"/>
      <c r="K39" s="121">
        <f t="shared" si="1"/>
        <v>0</v>
      </c>
    </row>
    <row r="40" spans="1:11" ht="32.25" customHeight="1" thickTop="1" thickBot="1" x14ac:dyDescent="0.3">
      <c r="A40" s="126">
        <v>33</v>
      </c>
      <c r="B40" s="62"/>
      <c r="C40" s="63"/>
      <c r="D40" s="123"/>
      <c r="E40" s="120"/>
      <c r="F40" s="120"/>
      <c r="G40" s="120"/>
      <c r="H40" s="120"/>
      <c r="I40" s="120"/>
      <c r="J40" s="120"/>
      <c r="K40" s="121">
        <f t="shared" si="1"/>
        <v>0</v>
      </c>
    </row>
    <row r="41" spans="1:11" ht="32.25" customHeight="1" thickTop="1" thickBot="1" x14ac:dyDescent="0.3">
      <c r="A41" s="126">
        <v>34</v>
      </c>
      <c r="B41" s="62"/>
      <c r="C41" s="63"/>
      <c r="D41" s="123"/>
      <c r="E41" s="120"/>
      <c r="F41" s="120"/>
      <c r="G41" s="120"/>
      <c r="H41" s="120"/>
      <c r="I41" s="120"/>
      <c r="J41" s="120"/>
      <c r="K41" s="121">
        <f t="shared" si="1"/>
        <v>0</v>
      </c>
    </row>
    <row r="42" spans="1:11" ht="32.25" customHeight="1" thickTop="1" thickBot="1" x14ac:dyDescent="0.3">
      <c r="A42" s="126">
        <v>35</v>
      </c>
      <c r="B42" s="62"/>
      <c r="C42" s="63"/>
      <c r="D42" s="123"/>
      <c r="E42" s="120"/>
      <c r="F42" s="120"/>
      <c r="G42" s="120"/>
      <c r="H42" s="120"/>
      <c r="I42" s="120"/>
      <c r="J42" s="120"/>
      <c r="K42" s="121">
        <f t="shared" si="1"/>
        <v>0</v>
      </c>
    </row>
    <row r="43" spans="1:11" ht="32.25" customHeight="1" thickTop="1" thickBot="1" x14ac:dyDescent="0.3">
      <c r="A43" s="126">
        <v>36</v>
      </c>
      <c r="B43" s="62"/>
      <c r="C43" s="63"/>
      <c r="D43" s="123"/>
      <c r="E43" s="120"/>
      <c r="F43" s="120"/>
      <c r="G43" s="120"/>
      <c r="H43" s="120"/>
      <c r="I43" s="120"/>
      <c r="J43" s="120"/>
      <c r="K43" s="121">
        <f t="shared" si="1"/>
        <v>0</v>
      </c>
    </row>
    <row r="44" spans="1:11" ht="32.25" customHeight="1" thickTop="1" thickBot="1" x14ac:dyDescent="0.3">
      <c r="A44" s="126">
        <v>37</v>
      </c>
      <c r="B44" s="62"/>
      <c r="C44" s="63"/>
      <c r="D44" s="123"/>
      <c r="E44" s="120"/>
      <c r="F44" s="120"/>
      <c r="G44" s="120"/>
      <c r="H44" s="120"/>
      <c r="I44" s="120"/>
      <c r="J44" s="120"/>
      <c r="K44" s="121">
        <f t="shared" si="1"/>
        <v>0</v>
      </c>
    </row>
    <row r="45" spans="1:11" ht="32.25" customHeight="1" thickTop="1" thickBot="1" x14ac:dyDescent="0.3">
      <c r="A45" s="126">
        <v>38</v>
      </c>
      <c r="B45" s="62"/>
      <c r="C45" s="63"/>
      <c r="D45" s="123"/>
      <c r="E45" s="120"/>
      <c r="F45" s="120"/>
      <c r="G45" s="120"/>
      <c r="H45" s="120"/>
      <c r="I45" s="120"/>
      <c r="J45" s="120"/>
      <c r="K45" s="121">
        <f t="shared" si="1"/>
        <v>0</v>
      </c>
    </row>
    <row r="46" spans="1:11" ht="32.25" customHeight="1" thickTop="1" thickBot="1" x14ac:dyDescent="0.3">
      <c r="A46" s="126">
        <v>39</v>
      </c>
      <c r="B46" s="62"/>
      <c r="C46" s="63"/>
      <c r="D46" s="123"/>
      <c r="E46" s="120"/>
      <c r="F46" s="120"/>
      <c r="G46" s="120"/>
      <c r="H46" s="120"/>
      <c r="I46" s="120"/>
      <c r="J46" s="120"/>
      <c r="K46" s="121">
        <f t="shared" si="1"/>
        <v>0</v>
      </c>
    </row>
    <row r="47" spans="1:11" ht="32.25" customHeight="1" thickTop="1" thickBot="1" x14ac:dyDescent="0.3">
      <c r="A47" s="126">
        <v>40</v>
      </c>
      <c r="B47" s="62"/>
      <c r="C47" s="63"/>
      <c r="D47" s="123"/>
      <c r="E47" s="120"/>
      <c r="F47" s="120"/>
      <c r="G47" s="120"/>
      <c r="H47" s="120"/>
      <c r="I47" s="120"/>
      <c r="J47" s="120"/>
      <c r="K47" s="121">
        <f t="shared" si="1"/>
        <v>0</v>
      </c>
    </row>
    <row r="48" spans="1:11" ht="32.25" customHeight="1" thickTop="1" thickBot="1" x14ac:dyDescent="0.3">
      <c r="A48" s="126">
        <v>41</v>
      </c>
      <c r="B48" s="62"/>
      <c r="C48" s="63"/>
      <c r="D48" s="123"/>
      <c r="E48" s="120"/>
      <c r="F48" s="120"/>
      <c r="G48" s="120"/>
      <c r="H48" s="120"/>
      <c r="I48" s="120"/>
      <c r="J48" s="120"/>
      <c r="K48" s="121">
        <f t="shared" si="1"/>
        <v>0</v>
      </c>
    </row>
    <row r="49" spans="1:11" ht="32.25" customHeight="1" thickTop="1" thickBot="1" x14ac:dyDescent="0.3">
      <c r="A49" s="126">
        <v>42</v>
      </c>
      <c r="B49" s="62"/>
      <c r="C49" s="63"/>
      <c r="D49" s="123"/>
      <c r="E49" s="120"/>
      <c r="F49" s="120"/>
      <c r="G49" s="120"/>
      <c r="H49" s="120"/>
      <c r="I49" s="120"/>
      <c r="J49" s="120"/>
      <c r="K49" s="121">
        <f t="shared" si="1"/>
        <v>0</v>
      </c>
    </row>
    <row r="50" spans="1:11" ht="32.25" customHeight="1" thickTop="1" thickBot="1" x14ac:dyDescent="0.3">
      <c r="A50" s="126">
        <v>43</v>
      </c>
      <c r="B50" s="62"/>
      <c r="C50" s="63"/>
      <c r="D50" s="123"/>
      <c r="E50" s="120"/>
      <c r="F50" s="120"/>
      <c r="G50" s="120"/>
      <c r="H50" s="120"/>
      <c r="I50" s="120"/>
      <c r="J50" s="120"/>
      <c r="K50" s="121">
        <f t="shared" si="1"/>
        <v>0</v>
      </c>
    </row>
    <row r="51" spans="1:11" ht="32.25" customHeight="1" thickTop="1" thickBot="1" x14ac:dyDescent="0.3">
      <c r="A51" s="126">
        <v>44</v>
      </c>
      <c r="B51" s="62"/>
      <c r="C51" s="63"/>
      <c r="D51" s="123"/>
      <c r="E51" s="120"/>
      <c r="F51" s="120"/>
      <c r="G51" s="120"/>
      <c r="H51" s="120"/>
      <c r="I51" s="120"/>
      <c r="J51" s="120"/>
      <c r="K51" s="121">
        <f t="shared" si="1"/>
        <v>0</v>
      </c>
    </row>
    <row r="52" spans="1:11" ht="32.25" customHeight="1" thickTop="1" thickBot="1" x14ac:dyDescent="0.3">
      <c r="A52" s="126">
        <v>45</v>
      </c>
      <c r="B52" s="62"/>
      <c r="C52" s="63"/>
      <c r="D52" s="123"/>
      <c r="E52" s="120"/>
      <c r="F52" s="120"/>
      <c r="G52" s="120"/>
      <c r="H52" s="120"/>
      <c r="I52" s="120"/>
      <c r="J52" s="120"/>
      <c r="K52" s="121">
        <f t="shared" si="1"/>
        <v>0</v>
      </c>
    </row>
    <row r="53" spans="1:11" ht="32.25" customHeight="1" thickTop="1" thickBot="1" x14ac:dyDescent="0.3">
      <c r="A53" s="126">
        <v>46</v>
      </c>
      <c r="B53" s="62"/>
      <c r="C53" s="63"/>
      <c r="D53" s="123"/>
      <c r="E53" s="120"/>
      <c r="F53" s="120"/>
      <c r="G53" s="120"/>
      <c r="H53" s="120"/>
      <c r="I53" s="120"/>
      <c r="J53" s="120"/>
      <c r="K53" s="121">
        <f t="shared" si="1"/>
        <v>0</v>
      </c>
    </row>
    <row r="54" spans="1:11" ht="32.25" customHeight="1" thickTop="1" thickBot="1" x14ac:dyDescent="0.3">
      <c r="A54" s="126">
        <v>47</v>
      </c>
      <c r="B54" s="62"/>
      <c r="C54" s="63"/>
      <c r="D54" s="123"/>
      <c r="E54" s="120"/>
      <c r="F54" s="120"/>
      <c r="G54" s="120"/>
      <c r="H54" s="120"/>
      <c r="I54" s="120"/>
      <c r="J54" s="120"/>
      <c r="K54" s="121">
        <f t="shared" si="1"/>
        <v>0</v>
      </c>
    </row>
    <row r="55" spans="1:11" ht="32.25" customHeight="1" thickTop="1" thickBot="1" x14ac:dyDescent="0.3">
      <c r="A55" s="126">
        <v>48</v>
      </c>
      <c r="B55" s="62"/>
      <c r="C55" s="63"/>
      <c r="D55" s="123"/>
      <c r="E55" s="120"/>
      <c r="F55" s="120"/>
      <c r="G55" s="120"/>
      <c r="H55" s="120"/>
      <c r="I55" s="120"/>
      <c r="J55" s="120"/>
      <c r="K55" s="121">
        <f t="shared" si="1"/>
        <v>0</v>
      </c>
    </row>
    <row r="56" spans="1:11" ht="32.25" customHeight="1" thickTop="1" thickBot="1" x14ac:dyDescent="0.3">
      <c r="A56" s="126">
        <v>49</v>
      </c>
      <c r="B56" s="62"/>
      <c r="C56" s="63"/>
      <c r="D56" s="123"/>
      <c r="E56" s="120"/>
      <c r="F56" s="120"/>
      <c r="G56" s="120"/>
      <c r="H56" s="120"/>
      <c r="I56" s="120"/>
      <c r="J56" s="120"/>
      <c r="K56" s="121">
        <f t="shared" si="1"/>
        <v>0</v>
      </c>
    </row>
    <row r="57" spans="1:11" ht="32.25" customHeight="1" thickTop="1" thickBot="1" x14ac:dyDescent="0.3">
      <c r="A57" s="126">
        <v>50</v>
      </c>
      <c r="B57" s="62"/>
      <c r="C57" s="63"/>
      <c r="D57" s="123"/>
      <c r="E57" s="120"/>
      <c r="F57" s="120"/>
      <c r="G57" s="120"/>
      <c r="H57" s="120"/>
      <c r="I57" s="120"/>
      <c r="J57" s="120"/>
      <c r="K57" s="121">
        <f t="shared" si="1"/>
        <v>0</v>
      </c>
    </row>
    <row r="58" spans="1:11" ht="32.25" customHeight="1" thickTop="1" thickBot="1" x14ac:dyDescent="0.3">
      <c r="A58" s="126">
        <v>51</v>
      </c>
      <c r="B58" s="62"/>
      <c r="C58" s="63"/>
      <c r="D58" s="123"/>
      <c r="E58" s="120"/>
      <c r="F58" s="120"/>
      <c r="G58" s="120"/>
      <c r="H58" s="120"/>
      <c r="I58" s="120"/>
      <c r="J58" s="120"/>
      <c r="K58" s="121">
        <f t="shared" si="1"/>
        <v>0</v>
      </c>
    </row>
    <row r="59" spans="1:11" ht="32.25" customHeight="1" thickTop="1" thickBot="1" x14ac:dyDescent="0.3">
      <c r="A59" s="126">
        <v>52</v>
      </c>
      <c r="B59" s="62"/>
      <c r="C59" s="63"/>
      <c r="D59" s="123"/>
      <c r="E59" s="120"/>
      <c r="F59" s="120"/>
      <c r="G59" s="120"/>
      <c r="H59" s="120"/>
      <c r="I59" s="120"/>
      <c r="J59" s="120"/>
      <c r="K59" s="121">
        <f t="shared" si="1"/>
        <v>0</v>
      </c>
    </row>
    <row r="60" spans="1:11" ht="32.25" customHeight="1" thickTop="1" thickBot="1" x14ac:dyDescent="0.3">
      <c r="A60" s="126">
        <v>53</v>
      </c>
      <c r="B60" s="62"/>
      <c r="C60" s="63"/>
      <c r="D60" s="123"/>
      <c r="E60" s="120"/>
      <c r="F60" s="120"/>
      <c r="G60" s="120"/>
      <c r="H60" s="120"/>
      <c r="I60" s="120"/>
      <c r="J60" s="120"/>
      <c r="K60" s="121">
        <f t="shared" si="1"/>
        <v>0</v>
      </c>
    </row>
    <row r="61" spans="1:11" ht="32.25" customHeight="1" thickTop="1" thickBot="1" x14ac:dyDescent="0.3">
      <c r="A61" s="126">
        <v>54</v>
      </c>
      <c r="B61" s="62"/>
      <c r="C61" s="63"/>
      <c r="D61" s="123"/>
      <c r="E61" s="120"/>
      <c r="F61" s="120"/>
      <c r="G61" s="120"/>
      <c r="H61" s="120"/>
      <c r="I61" s="120"/>
      <c r="J61" s="120"/>
      <c r="K61" s="121">
        <f t="shared" si="1"/>
        <v>0</v>
      </c>
    </row>
    <row r="62" spans="1:11" ht="32.25" customHeight="1" thickTop="1" thickBot="1" x14ac:dyDescent="0.3">
      <c r="A62" s="126">
        <v>55</v>
      </c>
      <c r="B62" s="62"/>
      <c r="C62" s="63"/>
      <c r="D62" s="123"/>
      <c r="E62" s="120"/>
      <c r="F62" s="120"/>
      <c r="G62" s="120"/>
      <c r="H62" s="120"/>
      <c r="I62" s="120"/>
      <c r="J62" s="120"/>
      <c r="K62" s="121">
        <f t="shared" si="1"/>
        <v>0</v>
      </c>
    </row>
    <row r="63" spans="1:11" ht="32.25" customHeight="1" thickTop="1" thickBot="1" x14ac:dyDescent="0.3">
      <c r="A63" s="126">
        <v>56</v>
      </c>
      <c r="B63" s="62"/>
      <c r="C63" s="63"/>
      <c r="D63" s="123"/>
      <c r="E63" s="120"/>
      <c r="F63" s="120"/>
      <c r="G63" s="120"/>
      <c r="H63" s="120"/>
      <c r="I63" s="120"/>
      <c r="J63" s="120"/>
      <c r="K63" s="121">
        <f t="shared" si="1"/>
        <v>0</v>
      </c>
    </row>
    <row r="64" spans="1:11" ht="32.25" customHeight="1" thickTop="1" thickBot="1" x14ac:dyDescent="0.3">
      <c r="A64" s="126">
        <v>57</v>
      </c>
      <c r="B64" s="62"/>
      <c r="C64" s="63"/>
      <c r="D64" s="123"/>
      <c r="E64" s="120"/>
      <c r="F64" s="120"/>
      <c r="G64" s="120"/>
      <c r="H64" s="120"/>
      <c r="I64" s="120"/>
      <c r="J64" s="120"/>
      <c r="K64" s="121">
        <f t="shared" si="1"/>
        <v>0</v>
      </c>
    </row>
    <row r="65" spans="1:11" ht="32.25" customHeight="1" thickTop="1" thickBot="1" x14ac:dyDescent="0.3">
      <c r="A65" s="126">
        <v>58</v>
      </c>
      <c r="B65" s="62"/>
      <c r="C65" s="63"/>
      <c r="D65" s="123"/>
      <c r="E65" s="120"/>
      <c r="F65" s="120"/>
      <c r="G65" s="120"/>
      <c r="H65" s="120"/>
      <c r="I65" s="120"/>
      <c r="J65" s="120"/>
      <c r="K65" s="121">
        <f t="shared" si="1"/>
        <v>0</v>
      </c>
    </row>
    <row r="66" spans="1:11" ht="32.25" customHeight="1" thickTop="1" thickBot="1" x14ac:dyDescent="0.3">
      <c r="A66" s="126">
        <v>59</v>
      </c>
      <c r="B66" s="62"/>
      <c r="C66" s="63"/>
      <c r="D66" s="123"/>
      <c r="E66" s="120"/>
      <c r="F66" s="120"/>
      <c r="G66" s="120"/>
      <c r="H66" s="120"/>
      <c r="I66" s="120"/>
      <c r="J66" s="120"/>
      <c r="K66" s="121">
        <f t="shared" si="1"/>
        <v>0</v>
      </c>
    </row>
    <row r="67" spans="1:11" ht="32.25" customHeight="1" thickTop="1" thickBot="1" x14ac:dyDescent="0.3">
      <c r="A67" s="126">
        <v>60</v>
      </c>
      <c r="B67" s="62"/>
      <c r="C67" s="63"/>
      <c r="D67" s="123"/>
      <c r="E67" s="120"/>
      <c r="F67" s="120"/>
      <c r="G67" s="120"/>
      <c r="H67" s="120"/>
      <c r="I67" s="120"/>
      <c r="J67" s="120"/>
      <c r="K67" s="121">
        <f t="shared" si="1"/>
        <v>0</v>
      </c>
    </row>
    <row r="68" spans="1:11" ht="32.25" customHeight="1" thickTop="1" thickBot="1" x14ac:dyDescent="0.3">
      <c r="A68" s="126">
        <v>61</v>
      </c>
      <c r="B68" s="62"/>
      <c r="C68" s="63"/>
      <c r="D68" s="123"/>
      <c r="E68" s="120"/>
      <c r="F68" s="120"/>
      <c r="G68" s="120"/>
      <c r="H68" s="120"/>
      <c r="I68" s="120"/>
      <c r="J68" s="120"/>
      <c r="K68" s="121">
        <f t="shared" si="1"/>
        <v>0</v>
      </c>
    </row>
    <row r="69" spans="1:11" ht="32.25" customHeight="1" thickTop="1" thickBot="1" x14ac:dyDescent="0.3">
      <c r="A69" s="126">
        <v>62</v>
      </c>
      <c r="B69" s="62"/>
      <c r="C69" s="63"/>
      <c r="D69" s="123"/>
      <c r="E69" s="120"/>
      <c r="F69" s="120"/>
      <c r="G69" s="120"/>
      <c r="H69" s="120"/>
      <c r="I69" s="120"/>
      <c r="J69" s="120"/>
      <c r="K69" s="121">
        <f t="shared" si="1"/>
        <v>0</v>
      </c>
    </row>
    <row r="70" spans="1:11" ht="32.25" customHeight="1" thickTop="1" thickBot="1" x14ac:dyDescent="0.3">
      <c r="A70" s="126">
        <v>63</v>
      </c>
      <c r="B70" s="62"/>
      <c r="C70" s="63"/>
      <c r="D70" s="123"/>
      <c r="E70" s="120"/>
      <c r="F70" s="120"/>
      <c r="G70" s="120"/>
      <c r="H70" s="120"/>
      <c r="I70" s="120"/>
      <c r="J70" s="120"/>
      <c r="K70" s="121">
        <f t="shared" si="1"/>
        <v>0</v>
      </c>
    </row>
    <row r="71" spans="1:11" ht="32.25" customHeight="1" thickTop="1" thickBot="1" x14ac:dyDescent="0.3">
      <c r="A71" s="126">
        <v>64</v>
      </c>
      <c r="B71" s="62"/>
      <c r="C71" s="63"/>
      <c r="D71" s="123"/>
      <c r="E71" s="120"/>
      <c r="F71" s="120"/>
      <c r="G71" s="120"/>
      <c r="H71" s="120"/>
      <c r="I71" s="120"/>
      <c r="J71" s="120"/>
      <c r="K71" s="121">
        <f t="shared" si="1"/>
        <v>0</v>
      </c>
    </row>
    <row r="72" spans="1:11" ht="32.25" customHeight="1" thickTop="1" thickBot="1" x14ac:dyDescent="0.3">
      <c r="A72" s="126">
        <v>65</v>
      </c>
      <c r="B72" s="62"/>
      <c r="C72" s="63"/>
      <c r="D72" s="123"/>
      <c r="E72" s="120"/>
      <c r="F72" s="120"/>
      <c r="G72" s="120"/>
      <c r="H72" s="120"/>
      <c r="I72" s="120"/>
      <c r="J72" s="120"/>
      <c r="K72" s="121">
        <f t="shared" si="1"/>
        <v>0</v>
      </c>
    </row>
    <row r="73" spans="1:11" ht="32.25" customHeight="1" thickTop="1" thickBot="1" x14ac:dyDescent="0.3">
      <c r="A73" s="126">
        <v>66</v>
      </c>
      <c r="B73" s="62"/>
      <c r="C73" s="63"/>
      <c r="D73" s="123"/>
      <c r="E73" s="120"/>
      <c r="F73" s="120"/>
      <c r="G73" s="120"/>
      <c r="H73" s="120"/>
      <c r="I73" s="120"/>
      <c r="J73" s="120"/>
      <c r="K73" s="121">
        <f t="shared" si="1"/>
        <v>0</v>
      </c>
    </row>
    <row r="74" spans="1:11" ht="32.25" customHeight="1" thickTop="1" thickBot="1" x14ac:dyDescent="0.3">
      <c r="A74" s="126">
        <v>67</v>
      </c>
      <c r="B74" s="62"/>
      <c r="C74" s="63"/>
      <c r="D74" s="123"/>
      <c r="E74" s="120"/>
      <c r="F74" s="120"/>
      <c r="G74" s="120"/>
      <c r="H74" s="120"/>
      <c r="I74" s="120"/>
      <c r="J74" s="120"/>
      <c r="K74" s="121">
        <f t="shared" si="1"/>
        <v>0</v>
      </c>
    </row>
    <row r="75" spans="1:11" ht="32.25" customHeight="1" thickTop="1" thickBot="1" x14ac:dyDescent="0.3">
      <c r="A75" s="126">
        <v>68</v>
      </c>
      <c r="B75" s="62"/>
      <c r="C75" s="63"/>
      <c r="D75" s="123"/>
      <c r="E75" s="120"/>
      <c r="F75" s="120"/>
      <c r="G75" s="120"/>
      <c r="H75" s="120"/>
      <c r="I75" s="120"/>
      <c r="J75" s="120"/>
      <c r="K75" s="121">
        <f t="shared" si="1"/>
        <v>0</v>
      </c>
    </row>
    <row r="76" spans="1:11" ht="32.25" customHeight="1" thickTop="1" thickBot="1" x14ac:dyDescent="0.3">
      <c r="A76" s="126">
        <v>69</v>
      </c>
      <c r="B76" s="62"/>
      <c r="C76" s="63"/>
      <c r="D76" s="123"/>
      <c r="E76" s="120"/>
      <c r="F76" s="120"/>
      <c r="G76" s="120"/>
      <c r="H76" s="120"/>
      <c r="I76" s="120"/>
      <c r="J76" s="120"/>
      <c r="K76" s="121">
        <f t="shared" si="1"/>
        <v>0</v>
      </c>
    </row>
    <row r="77" spans="1:11" ht="32.25" customHeight="1" thickTop="1" thickBot="1" x14ac:dyDescent="0.3">
      <c r="A77" s="126">
        <v>70</v>
      </c>
      <c r="B77" s="62"/>
      <c r="C77" s="63"/>
      <c r="D77" s="123"/>
      <c r="E77" s="120"/>
      <c r="F77" s="120"/>
      <c r="G77" s="120"/>
      <c r="H77" s="120"/>
      <c r="I77" s="120"/>
      <c r="J77" s="120"/>
      <c r="K77" s="121">
        <f t="shared" si="1"/>
        <v>0</v>
      </c>
    </row>
    <row r="78" spans="1:11" ht="32.25" customHeight="1" thickTop="1" thickBot="1" x14ac:dyDescent="0.3">
      <c r="A78" s="126">
        <v>71</v>
      </c>
      <c r="B78" s="62"/>
      <c r="C78" s="63"/>
      <c r="D78" s="123"/>
      <c r="E78" s="120"/>
      <c r="F78" s="120"/>
      <c r="G78" s="120"/>
      <c r="H78" s="120"/>
      <c r="I78" s="120"/>
      <c r="J78" s="120"/>
      <c r="K78" s="121">
        <f t="shared" si="1"/>
        <v>0</v>
      </c>
    </row>
    <row r="79" spans="1:11" ht="32.25" customHeight="1" thickTop="1" thickBot="1" x14ac:dyDescent="0.3">
      <c r="A79" s="126">
        <v>72</v>
      </c>
      <c r="B79" s="62"/>
      <c r="C79" s="63"/>
      <c r="D79" s="123"/>
      <c r="E79" s="120"/>
      <c r="F79" s="120"/>
      <c r="G79" s="120"/>
      <c r="H79" s="120"/>
      <c r="I79" s="120"/>
      <c r="J79" s="120"/>
      <c r="K79" s="121">
        <f t="shared" si="1"/>
        <v>0</v>
      </c>
    </row>
    <row r="80" spans="1:11" ht="32.25" customHeight="1" thickTop="1" thickBot="1" x14ac:dyDescent="0.3">
      <c r="A80" s="126">
        <v>73</v>
      </c>
      <c r="B80" s="62"/>
      <c r="C80" s="63"/>
      <c r="D80" s="123"/>
      <c r="E80" s="120"/>
      <c r="F80" s="120"/>
      <c r="G80" s="120"/>
      <c r="H80" s="120"/>
      <c r="I80" s="120"/>
      <c r="J80" s="120"/>
      <c r="K80" s="121">
        <f t="shared" si="1"/>
        <v>0</v>
      </c>
    </row>
    <row r="81" spans="1:11" ht="32.25" customHeight="1" thickTop="1" thickBot="1" x14ac:dyDescent="0.3">
      <c r="A81" s="126">
        <v>74</v>
      </c>
      <c r="B81" s="62"/>
      <c r="C81" s="63"/>
      <c r="D81" s="123"/>
      <c r="E81" s="120"/>
      <c r="F81" s="120"/>
      <c r="G81" s="120"/>
      <c r="H81" s="120"/>
      <c r="I81" s="120"/>
      <c r="J81" s="120"/>
      <c r="K81" s="121">
        <f t="shared" si="1"/>
        <v>0</v>
      </c>
    </row>
    <row r="82" spans="1:11" ht="32.25" customHeight="1" thickTop="1" thickBot="1" x14ac:dyDescent="0.3">
      <c r="A82" s="126">
        <v>75</v>
      </c>
      <c r="B82" s="62"/>
      <c r="C82" s="63"/>
      <c r="D82" s="123"/>
      <c r="E82" s="120"/>
      <c r="F82" s="120"/>
      <c r="G82" s="120"/>
      <c r="H82" s="120"/>
      <c r="I82" s="120"/>
      <c r="J82" s="120"/>
      <c r="K82" s="121">
        <f t="shared" si="1"/>
        <v>0</v>
      </c>
    </row>
    <row r="83" spans="1:11" ht="32.25" customHeight="1" thickTop="1" thickBot="1" x14ac:dyDescent="0.3">
      <c r="A83" s="126">
        <v>76</v>
      </c>
      <c r="B83" s="62"/>
      <c r="C83" s="63"/>
      <c r="D83" s="123"/>
      <c r="E83" s="120"/>
      <c r="F83" s="120"/>
      <c r="G83" s="120"/>
      <c r="H83" s="120"/>
      <c r="I83" s="120"/>
      <c r="J83" s="120"/>
      <c r="K83" s="121">
        <f t="shared" si="1"/>
        <v>0</v>
      </c>
    </row>
    <row r="84" spans="1:11" ht="32.25" customHeight="1" thickTop="1" thickBot="1" x14ac:dyDescent="0.3">
      <c r="A84" s="126">
        <v>77</v>
      </c>
      <c r="B84" s="62"/>
      <c r="C84" s="63"/>
      <c r="D84" s="123"/>
      <c r="E84" s="120"/>
      <c r="F84" s="120"/>
      <c r="G84" s="120"/>
      <c r="H84" s="120"/>
      <c r="I84" s="120"/>
      <c r="J84" s="120"/>
      <c r="K84" s="121">
        <f t="shared" si="1"/>
        <v>0</v>
      </c>
    </row>
    <row r="85" spans="1:11" ht="32.25" customHeight="1" thickTop="1" thickBot="1" x14ac:dyDescent="0.3">
      <c r="A85" s="126">
        <v>78</v>
      </c>
      <c r="B85" s="62"/>
      <c r="C85" s="63"/>
      <c r="D85" s="123"/>
      <c r="E85" s="120"/>
      <c r="F85" s="120"/>
      <c r="G85" s="120"/>
      <c r="H85" s="120"/>
      <c r="I85" s="120"/>
      <c r="J85" s="120"/>
      <c r="K85" s="121">
        <f t="shared" si="1"/>
        <v>0</v>
      </c>
    </row>
    <row r="86" spans="1:11" ht="32.25" customHeight="1" thickTop="1" thickBot="1" x14ac:dyDescent="0.3">
      <c r="A86" s="126">
        <v>79</v>
      </c>
      <c r="B86" s="62"/>
      <c r="C86" s="63"/>
      <c r="D86" s="123"/>
      <c r="E86" s="120"/>
      <c r="F86" s="120"/>
      <c r="G86" s="120"/>
      <c r="H86" s="120"/>
      <c r="I86" s="120"/>
      <c r="J86" s="120"/>
      <c r="K86" s="121">
        <f t="shared" si="1"/>
        <v>0</v>
      </c>
    </row>
    <row r="87" spans="1:11" ht="32.25" customHeight="1" thickTop="1" thickBot="1" x14ac:dyDescent="0.3">
      <c r="A87" s="126">
        <v>80</v>
      </c>
      <c r="B87" s="62"/>
      <c r="C87" s="63"/>
      <c r="D87" s="123"/>
      <c r="E87" s="120"/>
      <c r="F87" s="120"/>
      <c r="G87" s="120"/>
      <c r="H87" s="120"/>
      <c r="I87" s="120"/>
      <c r="J87" s="120"/>
      <c r="K87" s="121">
        <f t="shared" si="1"/>
        <v>0</v>
      </c>
    </row>
    <row r="88" spans="1:11" ht="32.25" customHeight="1" thickTop="1" thickBot="1" x14ac:dyDescent="0.3">
      <c r="A88" s="126">
        <v>81</v>
      </c>
      <c r="B88" s="62"/>
      <c r="C88" s="63"/>
      <c r="D88" s="123"/>
      <c r="E88" s="120"/>
      <c r="F88" s="120"/>
      <c r="G88" s="120"/>
      <c r="H88" s="120"/>
      <c r="I88" s="120"/>
      <c r="J88" s="120"/>
      <c r="K88" s="121">
        <f t="shared" si="1"/>
        <v>0</v>
      </c>
    </row>
    <row r="89" spans="1:11" ht="32.25" customHeight="1" thickTop="1" thickBot="1" x14ac:dyDescent="0.3">
      <c r="A89" s="126">
        <v>82</v>
      </c>
      <c r="B89" s="62"/>
      <c r="C89" s="63"/>
      <c r="D89" s="123"/>
      <c r="E89" s="120"/>
      <c r="F89" s="120"/>
      <c r="G89" s="120"/>
      <c r="H89" s="120"/>
      <c r="I89" s="120"/>
      <c r="J89" s="120"/>
      <c r="K89" s="121">
        <f t="shared" si="1"/>
        <v>0</v>
      </c>
    </row>
    <row r="90" spans="1:11" ht="32.25" customHeight="1" thickTop="1" thickBot="1" x14ac:dyDescent="0.3">
      <c r="A90" s="126">
        <v>83</v>
      </c>
      <c r="B90" s="62"/>
      <c r="C90" s="63"/>
      <c r="D90" s="123"/>
      <c r="E90" s="120"/>
      <c r="F90" s="120"/>
      <c r="G90" s="120"/>
      <c r="H90" s="120"/>
      <c r="I90" s="120"/>
      <c r="J90" s="120"/>
      <c r="K90" s="121">
        <f t="shared" si="1"/>
        <v>0</v>
      </c>
    </row>
    <row r="91" spans="1:11" ht="32.25" customHeight="1" thickTop="1" thickBot="1" x14ac:dyDescent="0.3">
      <c r="A91" s="126">
        <v>84</v>
      </c>
      <c r="B91" s="62"/>
      <c r="C91" s="63"/>
      <c r="D91" s="123"/>
      <c r="E91" s="120"/>
      <c r="F91" s="120"/>
      <c r="G91" s="120"/>
      <c r="H91" s="120"/>
      <c r="I91" s="120"/>
      <c r="J91" s="120"/>
      <c r="K91" s="121">
        <f t="shared" ref="K91:K106" si="2">SUM(D91:J91)</f>
        <v>0</v>
      </c>
    </row>
    <row r="92" spans="1:11" ht="32.25" customHeight="1" thickTop="1" thickBot="1" x14ac:dyDescent="0.3">
      <c r="A92" s="126">
        <v>85</v>
      </c>
      <c r="B92" s="62"/>
      <c r="C92" s="63"/>
      <c r="D92" s="123"/>
      <c r="E92" s="120"/>
      <c r="F92" s="120"/>
      <c r="G92" s="120"/>
      <c r="H92" s="120"/>
      <c r="I92" s="120"/>
      <c r="J92" s="120"/>
      <c r="K92" s="121">
        <f t="shared" si="2"/>
        <v>0</v>
      </c>
    </row>
    <row r="93" spans="1:11" ht="32.25" customHeight="1" thickTop="1" thickBot="1" x14ac:dyDescent="0.3">
      <c r="A93" s="126">
        <v>86</v>
      </c>
      <c r="B93" s="62"/>
      <c r="C93" s="63"/>
      <c r="D93" s="123"/>
      <c r="E93" s="120"/>
      <c r="F93" s="120"/>
      <c r="G93" s="120"/>
      <c r="H93" s="120"/>
      <c r="I93" s="120"/>
      <c r="J93" s="120"/>
      <c r="K93" s="121">
        <f t="shared" si="2"/>
        <v>0</v>
      </c>
    </row>
    <row r="94" spans="1:11" ht="32.25" customHeight="1" thickTop="1" thickBot="1" x14ac:dyDescent="0.3">
      <c r="A94" s="126">
        <v>87</v>
      </c>
      <c r="B94" s="62"/>
      <c r="C94" s="63"/>
      <c r="D94" s="123"/>
      <c r="E94" s="120"/>
      <c r="F94" s="120"/>
      <c r="G94" s="120"/>
      <c r="H94" s="120"/>
      <c r="I94" s="120"/>
      <c r="J94" s="120"/>
      <c r="K94" s="121">
        <f t="shared" si="2"/>
        <v>0</v>
      </c>
    </row>
    <row r="95" spans="1:11" ht="32.25" customHeight="1" thickTop="1" thickBot="1" x14ac:dyDescent="0.3">
      <c r="A95" s="126">
        <v>88</v>
      </c>
      <c r="B95" s="62"/>
      <c r="C95" s="63"/>
      <c r="D95" s="123"/>
      <c r="E95" s="120"/>
      <c r="F95" s="120"/>
      <c r="G95" s="120"/>
      <c r="H95" s="120"/>
      <c r="I95" s="120"/>
      <c r="J95" s="120"/>
      <c r="K95" s="121">
        <f t="shared" si="2"/>
        <v>0</v>
      </c>
    </row>
    <row r="96" spans="1:11" ht="32.25" customHeight="1" thickTop="1" thickBot="1" x14ac:dyDescent="0.3">
      <c r="A96" s="126">
        <v>89</v>
      </c>
      <c r="B96" s="62"/>
      <c r="C96" s="63"/>
      <c r="D96" s="123"/>
      <c r="E96" s="120"/>
      <c r="F96" s="120"/>
      <c r="G96" s="120"/>
      <c r="H96" s="120"/>
      <c r="I96" s="120"/>
      <c r="J96" s="120"/>
      <c r="K96" s="121">
        <f t="shared" si="2"/>
        <v>0</v>
      </c>
    </row>
    <row r="97" spans="1:11" ht="32.25" customHeight="1" thickTop="1" thickBot="1" x14ac:dyDescent="0.3">
      <c r="A97" s="126">
        <v>90</v>
      </c>
      <c r="B97" s="62"/>
      <c r="C97" s="63"/>
      <c r="D97" s="123"/>
      <c r="E97" s="120"/>
      <c r="F97" s="120"/>
      <c r="G97" s="120"/>
      <c r="H97" s="120"/>
      <c r="I97" s="120"/>
      <c r="J97" s="120"/>
      <c r="K97" s="121">
        <f t="shared" si="2"/>
        <v>0</v>
      </c>
    </row>
    <row r="98" spans="1:11" ht="32.25" customHeight="1" thickTop="1" thickBot="1" x14ac:dyDescent="0.3">
      <c r="A98" s="126">
        <v>91</v>
      </c>
      <c r="B98" s="62"/>
      <c r="C98" s="63"/>
      <c r="D98" s="123"/>
      <c r="E98" s="120"/>
      <c r="F98" s="120"/>
      <c r="G98" s="120"/>
      <c r="H98" s="120"/>
      <c r="I98" s="120"/>
      <c r="J98" s="120"/>
      <c r="K98" s="121">
        <f t="shared" si="2"/>
        <v>0</v>
      </c>
    </row>
    <row r="99" spans="1:11" ht="32.25" customHeight="1" thickTop="1" thickBot="1" x14ac:dyDescent="0.3">
      <c r="A99" s="126">
        <v>92</v>
      </c>
      <c r="B99" s="62"/>
      <c r="C99" s="63"/>
      <c r="D99" s="123"/>
      <c r="E99" s="120"/>
      <c r="F99" s="120"/>
      <c r="G99" s="120"/>
      <c r="H99" s="120"/>
      <c r="I99" s="120"/>
      <c r="J99" s="120"/>
      <c r="K99" s="121">
        <f t="shared" si="2"/>
        <v>0</v>
      </c>
    </row>
    <row r="100" spans="1:11" ht="32.25" customHeight="1" thickTop="1" thickBot="1" x14ac:dyDescent="0.3">
      <c r="A100" s="126">
        <v>93</v>
      </c>
      <c r="B100" s="62"/>
      <c r="C100" s="63"/>
      <c r="D100" s="123"/>
      <c r="E100" s="120"/>
      <c r="F100" s="120"/>
      <c r="G100" s="120"/>
      <c r="H100" s="120"/>
      <c r="I100" s="120"/>
      <c r="J100" s="120"/>
      <c r="K100" s="121">
        <f t="shared" si="2"/>
        <v>0</v>
      </c>
    </row>
    <row r="101" spans="1:11" ht="32.25" customHeight="1" thickTop="1" thickBot="1" x14ac:dyDescent="0.3">
      <c r="A101" s="126">
        <v>94</v>
      </c>
      <c r="B101" s="62"/>
      <c r="C101" s="63"/>
      <c r="D101" s="123"/>
      <c r="E101" s="120"/>
      <c r="F101" s="120"/>
      <c r="G101" s="120"/>
      <c r="H101" s="120"/>
      <c r="I101" s="120"/>
      <c r="J101" s="120"/>
      <c r="K101" s="121">
        <f t="shared" si="2"/>
        <v>0</v>
      </c>
    </row>
    <row r="102" spans="1:11" ht="32.25" customHeight="1" thickTop="1" thickBot="1" x14ac:dyDescent="0.3">
      <c r="A102" s="126">
        <v>95</v>
      </c>
      <c r="B102" s="62"/>
      <c r="C102" s="63"/>
      <c r="D102" s="123"/>
      <c r="E102" s="120"/>
      <c r="F102" s="120"/>
      <c r="G102" s="120"/>
      <c r="H102" s="120"/>
      <c r="I102" s="120"/>
      <c r="J102" s="120"/>
      <c r="K102" s="121">
        <f t="shared" si="2"/>
        <v>0</v>
      </c>
    </row>
    <row r="103" spans="1:11" ht="32.25" customHeight="1" thickTop="1" thickBot="1" x14ac:dyDescent="0.3">
      <c r="A103" s="126">
        <v>96</v>
      </c>
      <c r="B103" s="62"/>
      <c r="C103" s="63"/>
      <c r="D103" s="123"/>
      <c r="E103" s="120"/>
      <c r="F103" s="120"/>
      <c r="G103" s="120"/>
      <c r="H103" s="120"/>
      <c r="I103" s="120"/>
      <c r="J103" s="120"/>
      <c r="K103" s="121">
        <f t="shared" si="2"/>
        <v>0</v>
      </c>
    </row>
    <row r="104" spans="1:11" ht="32.25" customHeight="1" thickTop="1" thickBot="1" x14ac:dyDescent="0.3">
      <c r="A104" s="126">
        <v>97</v>
      </c>
      <c r="B104" s="62"/>
      <c r="C104" s="63"/>
      <c r="D104" s="123"/>
      <c r="E104" s="120"/>
      <c r="F104" s="120"/>
      <c r="G104" s="120"/>
      <c r="H104" s="120"/>
      <c r="I104" s="120"/>
      <c r="J104" s="120"/>
      <c r="K104" s="121">
        <f t="shared" si="2"/>
        <v>0</v>
      </c>
    </row>
    <row r="105" spans="1:11" ht="32.25" customHeight="1" thickTop="1" thickBot="1" x14ac:dyDescent="0.3">
      <c r="A105" s="126">
        <v>98</v>
      </c>
      <c r="B105" s="62"/>
      <c r="C105" s="63"/>
      <c r="D105" s="123"/>
      <c r="E105" s="120"/>
      <c r="F105" s="120"/>
      <c r="G105" s="120"/>
      <c r="H105" s="120"/>
      <c r="I105" s="120"/>
      <c r="J105" s="120"/>
      <c r="K105" s="121">
        <f t="shared" si="2"/>
        <v>0</v>
      </c>
    </row>
    <row r="106" spans="1:11" ht="32.25" customHeight="1" thickTop="1" thickBot="1" x14ac:dyDescent="0.3">
      <c r="A106" s="126">
        <v>99</v>
      </c>
      <c r="B106" s="62"/>
      <c r="C106" s="63"/>
      <c r="D106" s="123"/>
      <c r="E106" s="120"/>
      <c r="F106" s="120"/>
      <c r="G106" s="120"/>
      <c r="H106" s="120"/>
      <c r="I106" s="120"/>
      <c r="J106" s="120"/>
      <c r="K106" s="121">
        <f t="shared" si="2"/>
        <v>0</v>
      </c>
    </row>
    <row r="107" spans="1:11" ht="32.25" customHeight="1" thickTop="1" thickBot="1" x14ac:dyDescent="0.3">
      <c r="A107" s="126">
        <v>100</v>
      </c>
      <c r="B107" s="62"/>
      <c r="C107" s="63"/>
      <c r="D107" s="124"/>
      <c r="E107" s="122"/>
      <c r="F107" s="122"/>
      <c r="G107" s="122"/>
      <c r="H107" s="122"/>
      <c r="I107" s="122"/>
      <c r="J107" s="122"/>
      <c r="K107" s="121">
        <f t="shared" si="0"/>
        <v>0</v>
      </c>
    </row>
    <row r="108" spans="1:11" ht="32.25" customHeight="1" thickTop="1" thickBot="1" x14ac:dyDescent="0.3">
      <c r="A108" s="201" t="s">
        <v>54</v>
      </c>
      <c r="B108" s="203"/>
      <c r="C108" s="204"/>
      <c r="D108" s="125">
        <f>SUM(D8:D107)</f>
        <v>0</v>
      </c>
      <c r="E108" s="125">
        <f t="shared" ref="E108:J108" si="3">SUM(E8:E107)</f>
        <v>0</v>
      </c>
      <c r="F108" s="125">
        <f t="shared" si="3"/>
        <v>0</v>
      </c>
      <c r="G108" s="125">
        <f t="shared" si="3"/>
        <v>0</v>
      </c>
      <c r="H108" s="125">
        <f t="shared" si="3"/>
        <v>0</v>
      </c>
      <c r="I108" s="125">
        <f t="shared" si="3"/>
        <v>0</v>
      </c>
      <c r="J108" s="125">
        <f t="shared" si="3"/>
        <v>0</v>
      </c>
      <c r="K108" s="176">
        <f>SUM(K8:K107)</f>
        <v>0</v>
      </c>
    </row>
    <row r="109" spans="1:11" s="60" customFormat="1" ht="15.75" thickTop="1" x14ac:dyDescent="0.25">
      <c r="A109" s="89"/>
      <c r="B109" s="71"/>
      <c r="C109" s="90"/>
      <c r="D109" s="90"/>
      <c r="E109" s="90"/>
      <c r="F109" s="90"/>
      <c r="G109" s="90"/>
      <c r="H109" s="90"/>
      <c r="I109" s="90"/>
      <c r="J109" s="90"/>
      <c r="K109" s="90"/>
    </row>
    <row r="110" spans="1:11" s="60" customFormat="1" x14ac:dyDescent="0.25">
      <c r="A110" s="89"/>
      <c r="B110" s="71"/>
      <c r="C110" s="90"/>
      <c r="D110" s="90"/>
      <c r="E110" s="90"/>
      <c r="F110" s="90"/>
      <c r="G110" s="90"/>
      <c r="H110" s="90"/>
      <c r="I110" s="90"/>
      <c r="J110" s="90"/>
      <c r="K110" s="90"/>
    </row>
    <row r="111" spans="1:11" s="60" customFormat="1" x14ac:dyDescent="0.25">
      <c r="A111" s="89"/>
      <c r="B111" s="194" t="s">
        <v>63</v>
      </c>
      <c r="C111" s="194"/>
      <c r="D111" s="71"/>
      <c r="E111" s="194" t="s">
        <v>64</v>
      </c>
      <c r="F111" s="194"/>
      <c r="G111" s="71"/>
      <c r="H111" s="71"/>
      <c r="I111" s="71"/>
      <c r="J111" s="194" t="s">
        <v>47</v>
      </c>
      <c r="K111" s="194"/>
    </row>
    <row r="112" spans="1:11" s="60" customFormat="1" x14ac:dyDescent="0.25">
      <c r="A112" s="89"/>
      <c r="B112" s="71"/>
      <c r="C112" s="90"/>
      <c r="D112" s="90"/>
      <c r="E112" s="90"/>
      <c r="F112" s="90"/>
      <c r="G112" s="90"/>
      <c r="H112" s="90"/>
      <c r="I112" s="90"/>
      <c r="J112" s="202" t="s">
        <v>65</v>
      </c>
      <c r="K112" s="202"/>
    </row>
    <row r="113" spans="1:11" s="60" customFormat="1" x14ac:dyDescent="0.25">
      <c r="A113" s="89"/>
      <c r="B113" s="118"/>
      <c r="C113" s="119"/>
      <c r="D113" s="119"/>
      <c r="E113" s="119"/>
      <c r="F113" s="119"/>
      <c r="G113" s="119"/>
      <c r="H113" s="119"/>
      <c r="I113" s="119"/>
      <c r="J113" s="119"/>
      <c r="K113" s="119"/>
    </row>
    <row r="114" spans="1:11" s="60" customFormat="1" x14ac:dyDescent="0.25">
      <c r="A114" s="89"/>
      <c r="B114" s="118"/>
      <c r="C114" s="119"/>
      <c r="D114" s="119"/>
      <c r="E114" s="119"/>
      <c r="F114" s="119"/>
      <c r="G114" s="119"/>
      <c r="H114" s="119"/>
      <c r="I114" s="119"/>
      <c r="J114" s="119"/>
      <c r="K114" s="119"/>
    </row>
    <row r="115" spans="1:11" s="60" customFormat="1" x14ac:dyDescent="0.25">
      <c r="A115" s="89"/>
      <c r="B115" s="118"/>
      <c r="C115" s="119"/>
      <c r="D115" s="119"/>
      <c r="E115" s="119"/>
      <c r="F115" s="119"/>
      <c r="G115" s="119"/>
      <c r="H115" s="119"/>
      <c r="I115" s="119"/>
      <c r="J115" s="119"/>
      <c r="K115" s="119"/>
    </row>
    <row r="116" spans="1:11" s="60" customFormat="1" x14ac:dyDescent="0.25">
      <c r="A116" s="89"/>
      <c r="B116" s="118"/>
      <c r="C116" s="119"/>
      <c r="D116" s="119"/>
      <c r="E116" s="119"/>
      <c r="F116" s="119"/>
      <c r="G116" s="119"/>
      <c r="H116" s="119"/>
      <c r="I116" s="119"/>
      <c r="J116" s="119"/>
      <c r="K116" s="119"/>
    </row>
    <row r="117" spans="1:11" s="60" customFormat="1" x14ac:dyDescent="0.25">
      <c r="A117" s="89"/>
      <c r="B117" s="118"/>
      <c r="C117" s="119"/>
      <c r="D117" s="119"/>
      <c r="E117" s="119"/>
      <c r="F117" s="119"/>
      <c r="G117" s="119"/>
      <c r="H117" s="119"/>
      <c r="I117" s="119"/>
      <c r="J117" s="119"/>
      <c r="K117" s="119"/>
    </row>
    <row r="118" spans="1:11" s="60" customFormat="1" x14ac:dyDescent="0.25">
      <c r="A118" s="89"/>
      <c r="B118" s="118"/>
      <c r="C118" s="119"/>
      <c r="D118" s="119"/>
      <c r="E118" s="119"/>
      <c r="F118" s="119"/>
      <c r="G118" s="119"/>
      <c r="H118" s="119"/>
      <c r="I118" s="119"/>
      <c r="J118" s="119"/>
      <c r="K118" s="119"/>
    </row>
    <row r="119" spans="1:11" s="60" customFormat="1" x14ac:dyDescent="0.25"/>
    <row r="120" spans="1:11" s="60" customFormat="1" x14ac:dyDescent="0.25"/>
    <row r="121" spans="1:11" s="60" customFormat="1" x14ac:dyDescent="0.25"/>
    <row r="122" spans="1:11" s="60" customFormat="1" x14ac:dyDescent="0.25">
      <c r="A122" s="60" t="s">
        <v>94</v>
      </c>
    </row>
  </sheetData>
  <sheetProtection password="C5F7" sheet="1" objects="1" scenarios="1"/>
  <mergeCells count="16">
    <mergeCell ref="D1:I1"/>
    <mergeCell ref="D2:I2"/>
    <mergeCell ref="D3:I3"/>
    <mergeCell ref="C4:D4"/>
    <mergeCell ref="A6:A7"/>
    <mergeCell ref="B6:B7"/>
    <mergeCell ref="C6:C7"/>
    <mergeCell ref="D6:D7"/>
    <mergeCell ref="E6:I6"/>
    <mergeCell ref="J112:K112"/>
    <mergeCell ref="J6:J7"/>
    <mergeCell ref="K6:K7"/>
    <mergeCell ref="A108:C108"/>
    <mergeCell ref="B111:C111"/>
    <mergeCell ref="E111:F111"/>
    <mergeCell ref="J111:K111"/>
  </mergeCells>
  <dataValidations count="2">
    <dataValidation type="decimal" operator="greaterThanOrEqual" allowBlank="1" showInputMessage="1" showErrorMessage="1" errorTitle="Validation Rule" error="Allow only number" sqref="WVL983144:WVR983153 IZ8:JF107 SV8:TB107 ACR8:ACX107 AMN8:AMT107 AWJ8:AWP107 BGF8:BGL107 BQB8:BQH107 BZX8:CAD107 CJT8:CJZ107 CTP8:CTV107 DDL8:DDR107 DNH8:DNN107 DXD8:DXJ107 EGZ8:EHF107 EQV8:ERB107 FAR8:FAX107 FKN8:FKT107 FUJ8:FUP107 GEF8:GEL107 GOB8:GOH107 GXX8:GYD107 HHT8:HHZ107 HRP8:HRV107 IBL8:IBR107 ILH8:ILN107 IVD8:IVJ107 JEZ8:JFF107 JOV8:JPB107 JYR8:JYX107 KIN8:KIT107 KSJ8:KSP107 LCF8:LCL107 LMB8:LMH107 LVX8:LWD107 MFT8:MFZ107 MPP8:MPV107 MZL8:MZR107 NJH8:NJN107 NTD8:NTJ107 OCZ8:ODF107 OMV8:ONB107 OWR8:OWX107 PGN8:PGT107 PQJ8:PQP107 QAF8:QAL107 QKB8:QKH107 QTX8:QUD107 RDT8:RDZ107 RNP8:RNV107 RXL8:RXR107 SHH8:SHN107 SRD8:SRJ107 TAZ8:TBF107 TKV8:TLB107 TUR8:TUX107 UEN8:UET107 UOJ8:UOP107 UYF8:UYL107 VIB8:VIH107 VRX8:VSD107 WBT8:WBZ107 WLP8:WLV107 WVL8:WVR107 D65640:J65649 IZ65640:JF65649 SV65640:TB65649 ACR65640:ACX65649 AMN65640:AMT65649 AWJ65640:AWP65649 BGF65640:BGL65649 BQB65640:BQH65649 BZX65640:CAD65649 CJT65640:CJZ65649 CTP65640:CTV65649 DDL65640:DDR65649 DNH65640:DNN65649 DXD65640:DXJ65649 EGZ65640:EHF65649 EQV65640:ERB65649 FAR65640:FAX65649 FKN65640:FKT65649 FUJ65640:FUP65649 GEF65640:GEL65649 GOB65640:GOH65649 GXX65640:GYD65649 HHT65640:HHZ65649 HRP65640:HRV65649 IBL65640:IBR65649 ILH65640:ILN65649 IVD65640:IVJ65649 JEZ65640:JFF65649 JOV65640:JPB65649 JYR65640:JYX65649 KIN65640:KIT65649 KSJ65640:KSP65649 LCF65640:LCL65649 LMB65640:LMH65649 LVX65640:LWD65649 MFT65640:MFZ65649 MPP65640:MPV65649 MZL65640:MZR65649 NJH65640:NJN65649 NTD65640:NTJ65649 OCZ65640:ODF65649 OMV65640:ONB65649 OWR65640:OWX65649 PGN65640:PGT65649 PQJ65640:PQP65649 QAF65640:QAL65649 QKB65640:QKH65649 QTX65640:QUD65649 RDT65640:RDZ65649 RNP65640:RNV65649 RXL65640:RXR65649 SHH65640:SHN65649 SRD65640:SRJ65649 TAZ65640:TBF65649 TKV65640:TLB65649 TUR65640:TUX65649 UEN65640:UET65649 UOJ65640:UOP65649 UYF65640:UYL65649 VIB65640:VIH65649 VRX65640:VSD65649 WBT65640:WBZ65649 WLP65640:WLV65649 WVL65640:WVR65649 D131176:J131185 IZ131176:JF131185 SV131176:TB131185 ACR131176:ACX131185 AMN131176:AMT131185 AWJ131176:AWP131185 BGF131176:BGL131185 BQB131176:BQH131185 BZX131176:CAD131185 CJT131176:CJZ131185 CTP131176:CTV131185 DDL131176:DDR131185 DNH131176:DNN131185 DXD131176:DXJ131185 EGZ131176:EHF131185 EQV131176:ERB131185 FAR131176:FAX131185 FKN131176:FKT131185 FUJ131176:FUP131185 GEF131176:GEL131185 GOB131176:GOH131185 GXX131176:GYD131185 HHT131176:HHZ131185 HRP131176:HRV131185 IBL131176:IBR131185 ILH131176:ILN131185 IVD131176:IVJ131185 JEZ131176:JFF131185 JOV131176:JPB131185 JYR131176:JYX131185 KIN131176:KIT131185 KSJ131176:KSP131185 LCF131176:LCL131185 LMB131176:LMH131185 LVX131176:LWD131185 MFT131176:MFZ131185 MPP131176:MPV131185 MZL131176:MZR131185 NJH131176:NJN131185 NTD131176:NTJ131185 OCZ131176:ODF131185 OMV131176:ONB131185 OWR131176:OWX131185 PGN131176:PGT131185 PQJ131176:PQP131185 QAF131176:QAL131185 QKB131176:QKH131185 QTX131176:QUD131185 RDT131176:RDZ131185 RNP131176:RNV131185 RXL131176:RXR131185 SHH131176:SHN131185 SRD131176:SRJ131185 TAZ131176:TBF131185 TKV131176:TLB131185 TUR131176:TUX131185 UEN131176:UET131185 UOJ131176:UOP131185 UYF131176:UYL131185 VIB131176:VIH131185 VRX131176:VSD131185 WBT131176:WBZ131185 WLP131176:WLV131185 WVL131176:WVR131185 D196712:J196721 IZ196712:JF196721 SV196712:TB196721 ACR196712:ACX196721 AMN196712:AMT196721 AWJ196712:AWP196721 BGF196712:BGL196721 BQB196712:BQH196721 BZX196712:CAD196721 CJT196712:CJZ196721 CTP196712:CTV196721 DDL196712:DDR196721 DNH196712:DNN196721 DXD196712:DXJ196721 EGZ196712:EHF196721 EQV196712:ERB196721 FAR196712:FAX196721 FKN196712:FKT196721 FUJ196712:FUP196721 GEF196712:GEL196721 GOB196712:GOH196721 GXX196712:GYD196721 HHT196712:HHZ196721 HRP196712:HRV196721 IBL196712:IBR196721 ILH196712:ILN196721 IVD196712:IVJ196721 JEZ196712:JFF196721 JOV196712:JPB196721 JYR196712:JYX196721 KIN196712:KIT196721 KSJ196712:KSP196721 LCF196712:LCL196721 LMB196712:LMH196721 LVX196712:LWD196721 MFT196712:MFZ196721 MPP196712:MPV196721 MZL196712:MZR196721 NJH196712:NJN196721 NTD196712:NTJ196721 OCZ196712:ODF196721 OMV196712:ONB196721 OWR196712:OWX196721 PGN196712:PGT196721 PQJ196712:PQP196721 QAF196712:QAL196721 QKB196712:QKH196721 QTX196712:QUD196721 RDT196712:RDZ196721 RNP196712:RNV196721 RXL196712:RXR196721 SHH196712:SHN196721 SRD196712:SRJ196721 TAZ196712:TBF196721 TKV196712:TLB196721 TUR196712:TUX196721 UEN196712:UET196721 UOJ196712:UOP196721 UYF196712:UYL196721 VIB196712:VIH196721 VRX196712:VSD196721 WBT196712:WBZ196721 WLP196712:WLV196721 WVL196712:WVR196721 D262248:J262257 IZ262248:JF262257 SV262248:TB262257 ACR262248:ACX262257 AMN262248:AMT262257 AWJ262248:AWP262257 BGF262248:BGL262257 BQB262248:BQH262257 BZX262248:CAD262257 CJT262248:CJZ262257 CTP262248:CTV262257 DDL262248:DDR262257 DNH262248:DNN262257 DXD262248:DXJ262257 EGZ262248:EHF262257 EQV262248:ERB262257 FAR262248:FAX262257 FKN262248:FKT262257 FUJ262248:FUP262257 GEF262248:GEL262257 GOB262248:GOH262257 GXX262248:GYD262257 HHT262248:HHZ262257 HRP262248:HRV262257 IBL262248:IBR262257 ILH262248:ILN262257 IVD262248:IVJ262257 JEZ262248:JFF262257 JOV262248:JPB262257 JYR262248:JYX262257 KIN262248:KIT262257 KSJ262248:KSP262257 LCF262248:LCL262257 LMB262248:LMH262257 LVX262248:LWD262257 MFT262248:MFZ262257 MPP262248:MPV262257 MZL262248:MZR262257 NJH262248:NJN262257 NTD262248:NTJ262257 OCZ262248:ODF262257 OMV262248:ONB262257 OWR262248:OWX262257 PGN262248:PGT262257 PQJ262248:PQP262257 QAF262248:QAL262257 QKB262248:QKH262257 QTX262248:QUD262257 RDT262248:RDZ262257 RNP262248:RNV262257 RXL262248:RXR262257 SHH262248:SHN262257 SRD262248:SRJ262257 TAZ262248:TBF262257 TKV262248:TLB262257 TUR262248:TUX262257 UEN262248:UET262257 UOJ262248:UOP262257 UYF262248:UYL262257 VIB262248:VIH262257 VRX262248:VSD262257 WBT262248:WBZ262257 WLP262248:WLV262257 WVL262248:WVR262257 D327784:J327793 IZ327784:JF327793 SV327784:TB327793 ACR327784:ACX327793 AMN327784:AMT327793 AWJ327784:AWP327793 BGF327784:BGL327793 BQB327784:BQH327793 BZX327784:CAD327793 CJT327784:CJZ327793 CTP327784:CTV327793 DDL327784:DDR327793 DNH327784:DNN327793 DXD327784:DXJ327793 EGZ327784:EHF327793 EQV327784:ERB327793 FAR327784:FAX327793 FKN327784:FKT327793 FUJ327784:FUP327793 GEF327784:GEL327793 GOB327784:GOH327793 GXX327784:GYD327793 HHT327784:HHZ327793 HRP327784:HRV327793 IBL327784:IBR327793 ILH327784:ILN327793 IVD327784:IVJ327793 JEZ327784:JFF327793 JOV327784:JPB327793 JYR327784:JYX327793 KIN327784:KIT327793 KSJ327784:KSP327793 LCF327784:LCL327793 LMB327784:LMH327793 LVX327784:LWD327793 MFT327784:MFZ327793 MPP327784:MPV327793 MZL327784:MZR327793 NJH327784:NJN327793 NTD327784:NTJ327793 OCZ327784:ODF327793 OMV327784:ONB327793 OWR327784:OWX327793 PGN327784:PGT327793 PQJ327784:PQP327793 QAF327784:QAL327793 QKB327784:QKH327793 QTX327784:QUD327793 RDT327784:RDZ327793 RNP327784:RNV327793 RXL327784:RXR327793 SHH327784:SHN327793 SRD327784:SRJ327793 TAZ327784:TBF327793 TKV327784:TLB327793 TUR327784:TUX327793 UEN327784:UET327793 UOJ327784:UOP327793 UYF327784:UYL327793 VIB327784:VIH327793 VRX327784:VSD327793 WBT327784:WBZ327793 WLP327784:WLV327793 WVL327784:WVR327793 D393320:J393329 IZ393320:JF393329 SV393320:TB393329 ACR393320:ACX393329 AMN393320:AMT393329 AWJ393320:AWP393329 BGF393320:BGL393329 BQB393320:BQH393329 BZX393320:CAD393329 CJT393320:CJZ393329 CTP393320:CTV393329 DDL393320:DDR393329 DNH393320:DNN393329 DXD393320:DXJ393329 EGZ393320:EHF393329 EQV393320:ERB393329 FAR393320:FAX393329 FKN393320:FKT393329 FUJ393320:FUP393329 GEF393320:GEL393329 GOB393320:GOH393329 GXX393320:GYD393329 HHT393320:HHZ393329 HRP393320:HRV393329 IBL393320:IBR393329 ILH393320:ILN393329 IVD393320:IVJ393329 JEZ393320:JFF393329 JOV393320:JPB393329 JYR393320:JYX393329 KIN393320:KIT393329 KSJ393320:KSP393329 LCF393320:LCL393329 LMB393320:LMH393329 LVX393320:LWD393329 MFT393320:MFZ393329 MPP393320:MPV393329 MZL393320:MZR393329 NJH393320:NJN393329 NTD393320:NTJ393329 OCZ393320:ODF393329 OMV393320:ONB393329 OWR393320:OWX393329 PGN393320:PGT393329 PQJ393320:PQP393329 QAF393320:QAL393329 QKB393320:QKH393329 QTX393320:QUD393329 RDT393320:RDZ393329 RNP393320:RNV393329 RXL393320:RXR393329 SHH393320:SHN393329 SRD393320:SRJ393329 TAZ393320:TBF393329 TKV393320:TLB393329 TUR393320:TUX393329 UEN393320:UET393329 UOJ393320:UOP393329 UYF393320:UYL393329 VIB393320:VIH393329 VRX393320:VSD393329 WBT393320:WBZ393329 WLP393320:WLV393329 WVL393320:WVR393329 D458856:J458865 IZ458856:JF458865 SV458856:TB458865 ACR458856:ACX458865 AMN458856:AMT458865 AWJ458856:AWP458865 BGF458856:BGL458865 BQB458856:BQH458865 BZX458856:CAD458865 CJT458856:CJZ458865 CTP458856:CTV458865 DDL458856:DDR458865 DNH458856:DNN458865 DXD458856:DXJ458865 EGZ458856:EHF458865 EQV458856:ERB458865 FAR458856:FAX458865 FKN458856:FKT458865 FUJ458856:FUP458865 GEF458856:GEL458865 GOB458856:GOH458865 GXX458856:GYD458865 HHT458856:HHZ458865 HRP458856:HRV458865 IBL458856:IBR458865 ILH458856:ILN458865 IVD458856:IVJ458865 JEZ458856:JFF458865 JOV458856:JPB458865 JYR458856:JYX458865 KIN458856:KIT458865 KSJ458856:KSP458865 LCF458856:LCL458865 LMB458856:LMH458865 LVX458856:LWD458865 MFT458856:MFZ458865 MPP458856:MPV458865 MZL458856:MZR458865 NJH458856:NJN458865 NTD458856:NTJ458865 OCZ458856:ODF458865 OMV458856:ONB458865 OWR458856:OWX458865 PGN458856:PGT458865 PQJ458856:PQP458865 QAF458856:QAL458865 QKB458856:QKH458865 QTX458856:QUD458865 RDT458856:RDZ458865 RNP458856:RNV458865 RXL458856:RXR458865 SHH458856:SHN458865 SRD458856:SRJ458865 TAZ458856:TBF458865 TKV458856:TLB458865 TUR458856:TUX458865 UEN458856:UET458865 UOJ458856:UOP458865 UYF458856:UYL458865 VIB458856:VIH458865 VRX458856:VSD458865 WBT458856:WBZ458865 WLP458856:WLV458865 WVL458856:WVR458865 D524392:J524401 IZ524392:JF524401 SV524392:TB524401 ACR524392:ACX524401 AMN524392:AMT524401 AWJ524392:AWP524401 BGF524392:BGL524401 BQB524392:BQH524401 BZX524392:CAD524401 CJT524392:CJZ524401 CTP524392:CTV524401 DDL524392:DDR524401 DNH524392:DNN524401 DXD524392:DXJ524401 EGZ524392:EHF524401 EQV524392:ERB524401 FAR524392:FAX524401 FKN524392:FKT524401 FUJ524392:FUP524401 GEF524392:GEL524401 GOB524392:GOH524401 GXX524392:GYD524401 HHT524392:HHZ524401 HRP524392:HRV524401 IBL524392:IBR524401 ILH524392:ILN524401 IVD524392:IVJ524401 JEZ524392:JFF524401 JOV524392:JPB524401 JYR524392:JYX524401 KIN524392:KIT524401 KSJ524392:KSP524401 LCF524392:LCL524401 LMB524392:LMH524401 LVX524392:LWD524401 MFT524392:MFZ524401 MPP524392:MPV524401 MZL524392:MZR524401 NJH524392:NJN524401 NTD524392:NTJ524401 OCZ524392:ODF524401 OMV524392:ONB524401 OWR524392:OWX524401 PGN524392:PGT524401 PQJ524392:PQP524401 QAF524392:QAL524401 QKB524392:QKH524401 QTX524392:QUD524401 RDT524392:RDZ524401 RNP524392:RNV524401 RXL524392:RXR524401 SHH524392:SHN524401 SRD524392:SRJ524401 TAZ524392:TBF524401 TKV524392:TLB524401 TUR524392:TUX524401 UEN524392:UET524401 UOJ524392:UOP524401 UYF524392:UYL524401 VIB524392:VIH524401 VRX524392:VSD524401 WBT524392:WBZ524401 WLP524392:WLV524401 WVL524392:WVR524401 D589928:J589937 IZ589928:JF589937 SV589928:TB589937 ACR589928:ACX589937 AMN589928:AMT589937 AWJ589928:AWP589937 BGF589928:BGL589937 BQB589928:BQH589937 BZX589928:CAD589937 CJT589928:CJZ589937 CTP589928:CTV589937 DDL589928:DDR589937 DNH589928:DNN589937 DXD589928:DXJ589937 EGZ589928:EHF589937 EQV589928:ERB589937 FAR589928:FAX589937 FKN589928:FKT589937 FUJ589928:FUP589937 GEF589928:GEL589937 GOB589928:GOH589937 GXX589928:GYD589937 HHT589928:HHZ589937 HRP589928:HRV589937 IBL589928:IBR589937 ILH589928:ILN589937 IVD589928:IVJ589937 JEZ589928:JFF589937 JOV589928:JPB589937 JYR589928:JYX589937 KIN589928:KIT589937 KSJ589928:KSP589937 LCF589928:LCL589937 LMB589928:LMH589937 LVX589928:LWD589937 MFT589928:MFZ589937 MPP589928:MPV589937 MZL589928:MZR589937 NJH589928:NJN589937 NTD589928:NTJ589937 OCZ589928:ODF589937 OMV589928:ONB589937 OWR589928:OWX589937 PGN589928:PGT589937 PQJ589928:PQP589937 QAF589928:QAL589937 QKB589928:QKH589937 QTX589928:QUD589937 RDT589928:RDZ589937 RNP589928:RNV589937 RXL589928:RXR589937 SHH589928:SHN589937 SRD589928:SRJ589937 TAZ589928:TBF589937 TKV589928:TLB589937 TUR589928:TUX589937 UEN589928:UET589937 UOJ589928:UOP589937 UYF589928:UYL589937 VIB589928:VIH589937 VRX589928:VSD589937 WBT589928:WBZ589937 WLP589928:WLV589937 WVL589928:WVR589937 D655464:J655473 IZ655464:JF655473 SV655464:TB655473 ACR655464:ACX655473 AMN655464:AMT655473 AWJ655464:AWP655473 BGF655464:BGL655473 BQB655464:BQH655473 BZX655464:CAD655473 CJT655464:CJZ655473 CTP655464:CTV655473 DDL655464:DDR655473 DNH655464:DNN655473 DXD655464:DXJ655473 EGZ655464:EHF655473 EQV655464:ERB655473 FAR655464:FAX655473 FKN655464:FKT655473 FUJ655464:FUP655473 GEF655464:GEL655473 GOB655464:GOH655473 GXX655464:GYD655473 HHT655464:HHZ655473 HRP655464:HRV655473 IBL655464:IBR655473 ILH655464:ILN655473 IVD655464:IVJ655473 JEZ655464:JFF655473 JOV655464:JPB655473 JYR655464:JYX655473 KIN655464:KIT655473 KSJ655464:KSP655473 LCF655464:LCL655473 LMB655464:LMH655473 LVX655464:LWD655473 MFT655464:MFZ655473 MPP655464:MPV655473 MZL655464:MZR655473 NJH655464:NJN655473 NTD655464:NTJ655473 OCZ655464:ODF655473 OMV655464:ONB655473 OWR655464:OWX655473 PGN655464:PGT655473 PQJ655464:PQP655473 QAF655464:QAL655473 QKB655464:QKH655473 QTX655464:QUD655473 RDT655464:RDZ655473 RNP655464:RNV655473 RXL655464:RXR655473 SHH655464:SHN655473 SRD655464:SRJ655473 TAZ655464:TBF655473 TKV655464:TLB655473 TUR655464:TUX655473 UEN655464:UET655473 UOJ655464:UOP655473 UYF655464:UYL655473 VIB655464:VIH655473 VRX655464:VSD655473 WBT655464:WBZ655473 WLP655464:WLV655473 WVL655464:WVR655473 D721000:J721009 IZ721000:JF721009 SV721000:TB721009 ACR721000:ACX721009 AMN721000:AMT721009 AWJ721000:AWP721009 BGF721000:BGL721009 BQB721000:BQH721009 BZX721000:CAD721009 CJT721000:CJZ721009 CTP721000:CTV721009 DDL721000:DDR721009 DNH721000:DNN721009 DXD721000:DXJ721009 EGZ721000:EHF721009 EQV721000:ERB721009 FAR721000:FAX721009 FKN721000:FKT721009 FUJ721000:FUP721009 GEF721000:GEL721009 GOB721000:GOH721009 GXX721000:GYD721009 HHT721000:HHZ721009 HRP721000:HRV721009 IBL721000:IBR721009 ILH721000:ILN721009 IVD721000:IVJ721009 JEZ721000:JFF721009 JOV721000:JPB721009 JYR721000:JYX721009 KIN721000:KIT721009 KSJ721000:KSP721009 LCF721000:LCL721009 LMB721000:LMH721009 LVX721000:LWD721009 MFT721000:MFZ721009 MPP721000:MPV721009 MZL721000:MZR721009 NJH721000:NJN721009 NTD721000:NTJ721009 OCZ721000:ODF721009 OMV721000:ONB721009 OWR721000:OWX721009 PGN721000:PGT721009 PQJ721000:PQP721009 QAF721000:QAL721009 QKB721000:QKH721009 QTX721000:QUD721009 RDT721000:RDZ721009 RNP721000:RNV721009 RXL721000:RXR721009 SHH721000:SHN721009 SRD721000:SRJ721009 TAZ721000:TBF721009 TKV721000:TLB721009 TUR721000:TUX721009 UEN721000:UET721009 UOJ721000:UOP721009 UYF721000:UYL721009 VIB721000:VIH721009 VRX721000:VSD721009 WBT721000:WBZ721009 WLP721000:WLV721009 WVL721000:WVR721009 D786536:J786545 IZ786536:JF786545 SV786536:TB786545 ACR786536:ACX786545 AMN786536:AMT786545 AWJ786536:AWP786545 BGF786536:BGL786545 BQB786536:BQH786545 BZX786536:CAD786545 CJT786536:CJZ786545 CTP786536:CTV786545 DDL786536:DDR786545 DNH786536:DNN786545 DXD786536:DXJ786545 EGZ786536:EHF786545 EQV786536:ERB786545 FAR786536:FAX786545 FKN786536:FKT786545 FUJ786536:FUP786545 GEF786536:GEL786545 GOB786536:GOH786545 GXX786536:GYD786545 HHT786536:HHZ786545 HRP786536:HRV786545 IBL786536:IBR786545 ILH786536:ILN786545 IVD786536:IVJ786545 JEZ786536:JFF786545 JOV786536:JPB786545 JYR786536:JYX786545 KIN786536:KIT786545 KSJ786536:KSP786545 LCF786536:LCL786545 LMB786536:LMH786545 LVX786536:LWD786545 MFT786536:MFZ786545 MPP786536:MPV786545 MZL786536:MZR786545 NJH786536:NJN786545 NTD786536:NTJ786545 OCZ786536:ODF786545 OMV786536:ONB786545 OWR786536:OWX786545 PGN786536:PGT786545 PQJ786536:PQP786545 QAF786536:QAL786545 QKB786536:QKH786545 QTX786536:QUD786545 RDT786536:RDZ786545 RNP786536:RNV786545 RXL786536:RXR786545 SHH786536:SHN786545 SRD786536:SRJ786545 TAZ786536:TBF786545 TKV786536:TLB786545 TUR786536:TUX786545 UEN786536:UET786545 UOJ786536:UOP786545 UYF786536:UYL786545 VIB786536:VIH786545 VRX786536:VSD786545 WBT786536:WBZ786545 WLP786536:WLV786545 WVL786536:WVR786545 D852072:J852081 IZ852072:JF852081 SV852072:TB852081 ACR852072:ACX852081 AMN852072:AMT852081 AWJ852072:AWP852081 BGF852072:BGL852081 BQB852072:BQH852081 BZX852072:CAD852081 CJT852072:CJZ852081 CTP852072:CTV852081 DDL852072:DDR852081 DNH852072:DNN852081 DXD852072:DXJ852081 EGZ852072:EHF852081 EQV852072:ERB852081 FAR852072:FAX852081 FKN852072:FKT852081 FUJ852072:FUP852081 GEF852072:GEL852081 GOB852072:GOH852081 GXX852072:GYD852081 HHT852072:HHZ852081 HRP852072:HRV852081 IBL852072:IBR852081 ILH852072:ILN852081 IVD852072:IVJ852081 JEZ852072:JFF852081 JOV852072:JPB852081 JYR852072:JYX852081 KIN852072:KIT852081 KSJ852072:KSP852081 LCF852072:LCL852081 LMB852072:LMH852081 LVX852072:LWD852081 MFT852072:MFZ852081 MPP852072:MPV852081 MZL852072:MZR852081 NJH852072:NJN852081 NTD852072:NTJ852081 OCZ852072:ODF852081 OMV852072:ONB852081 OWR852072:OWX852081 PGN852072:PGT852081 PQJ852072:PQP852081 QAF852072:QAL852081 QKB852072:QKH852081 QTX852072:QUD852081 RDT852072:RDZ852081 RNP852072:RNV852081 RXL852072:RXR852081 SHH852072:SHN852081 SRD852072:SRJ852081 TAZ852072:TBF852081 TKV852072:TLB852081 TUR852072:TUX852081 UEN852072:UET852081 UOJ852072:UOP852081 UYF852072:UYL852081 VIB852072:VIH852081 VRX852072:VSD852081 WBT852072:WBZ852081 WLP852072:WLV852081 WVL852072:WVR852081 D917608:J917617 IZ917608:JF917617 SV917608:TB917617 ACR917608:ACX917617 AMN917608:AMT917617 AWJ917608:AWP917617 BGF917608:BGL917617 BQB917608:BQH917617 BZX917608:CAD917617 CJT917608:CJZ917617 CTP917608:CTV917617 DDL917608:DDR917617 DNH917608:DNN917617 DXD917608:DXJ917617 EGZ917608:EHF917617 EQV917608:ERB917617 FAR917608:FAX917617 FKN917608:FKT917617 FUJ917608:FUP917617 GEF917608:GEL917617 GOB917608:GOH917617 GXX917608:GYD917617 HHT917608:HHZ917617 HRP917608:HRV917617 IBL917608:IBR917617 ILH917608:ILN917617 IVD917608:IVJ917617 JEZ917608:JFF917617 JOV917608:JPB917617 JYR917608:JYX917617 KIN917608:KIT917617 KSJ917608:KSP917617 LCF917608:LCL917617 LMB917608:LMH917617 LVX917608:LWD917617 MFT917608:MFZ917617 MPP917608:MPV917617 MZL917608:MZR917617 NJH917608:NJN917617 NTD917608:NTJ917617 OCZ917608:ODF917617 OMV917608:ONB917617 OWR917608:OWX917617 PGN917608:PGT917617 PQJ917608:PQP917617 QAF917608:QAL917617 QKB917608:QKH917617 QTX917608:QUD917617 RDT917608:RDZ917617 RNP917608:RNV917617 RXL917608:RXR917617 SHH917608:SHN917617 SRD917608:SRJ917617 TAZ917608:TBF917617 TKV917608:TLB917617 TUR917608:TUX917617 UEN917608:UET917617 UOJ917608:UOP917617 UYF917608:UYL917617 VIB917608:VIH917617 VRX917608:VSD917617 WBT917608:WBZ917617 WLP917608:WLV917617 WVL917608:WVR917617 D983144:J983153 IZ983144:JF983153 SV983144:TB983153 ACR983144:ACX983153 AMN983144:AMT983153 AWJ983144:AWP983153 BGF983144:BGL983153 BQB983144:BQH983153 BZX983144:CAD983153 CJT983144:CJZ983153 CTP983144:CTV983153 DDL983144:DDR983153 DNH983144:DNN983153 DXD983144:DXJ983153 EGZ983144:EHF983153 EQV983144:ERB983153 FAR983144:FAX983153 FKN983144:FKT983153 FUJ983144:FUP983153 GEF983144:GEL983153 GOB983144:GOH983153 GXX983144:GYD983153 HHT983144:HHZ983153 HRP983144:HRV983153 IBL983144:IBR983153 ILH983144:ILN983153 IVD983144:IVJ983153 JEZ983144:JFF983153 JOV983144:JPB983153 JYR983144:JYX983153 KIN983144:KIT983153 KSJ983144:KSP983153 LCF983144:LCL983153 LMB983144:LMH983153 LVX983144:LWD983153 MFT983144:MFZ983153 MPP983144:MPV983153 MZL983144:MZR983153 NJH983144:NJN983153 NTD983144:NTJ983153 OCZ983144:ODF983153 OMV983144:ONB983153 OWR983144:OWX983153 PGN983144:PGT983153 PQJ983144:PQP983153 QAF983144:QAL983153 QKB983144:QKH983153 QTX983144:QUD983153 RDT983144:RDZ983153 RNP983144:RNV983153 RXL983144:RXR983153 SHH983144:SHN983153 SRD983144:SRJ983153 TAZ983144:TBF983153 TKV983144:TLB983153 TUR983144:TUX983153 UEN983144:UET983153 UOJ983144:UOP983153 UYF983144:UYL983153 VIB983144:VIH983153 VRX983144:VSD983153 WBT983144:WBZ983153 WLP983144:WLV983153 D8:J107">
      <formula1>0</formula1>
    </dataValidation>
    <dataValidation type="decimal" operator="greaterThanOrEqual" allowBlank="1" showInputMessage="1" showErrorMessage="1" errorTitle="Validation Rule" sqref="J4">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I373"/>
  <sheetViews>
    <sheetView showGridLines="0" topLeftCell="A22" zoomScale="115" zoomScaleNormal="115" workbookViewId="0">
      <selection activeCell="F10" sqref="F10:F11"/>
    </sheetView>
  </sheetViews>
  <sheetFormatPr defaultRowHeight="15" zeroHeight="1" x14ac:dyDescent="0.25"/>
  <cols>
    <col min="1" max="1" width="9.140625" customWidth="1"/>
    <col min="2" max="2" width="2.85546875" customWidth="1"/>
    <col min="3" max="3" width="8" customWidth="1"/>
    <col min="4" max="4" width="73.42578125" customWidth="1"/>
    <col min="5" max="5" width="18.42578125" customWidth="1"/>
    <col min="6" max="6" width="20.85546875" customWidth="1"/>
    <col min="7" max="7" width="9.140625" customWidth="1"/>
    <col min="8" max="8" width="0" hidden="1" customWidth="1"/>
  </cols>
  <sheetData>
    <row r="1" spans="1:8" ht="29.25" x14ac:dyDescent="0.25">
      <c r="A1" s="216" t="s">
        <v>93</v>
      </c>
      <c r="B1" s="216"/>
      <c r="C1" s="216"/>
      <c r="D1" s="216"/>
      <c r="E1" s="216"/>
      <c r="F1" s="216"/>
      <c r="G1" s="83"/>
      <c r="H1" s="83"/>
    </row>
    <row r="2" spans="1:8" ht="18.75" x14ac:dyDescent="0.25">
      <c r="A2" s="217" t="s">
        <v>66</v>
      </c>
      <c r="B2" s="217"/>
      <c r="C2" s="217"/>
      <c r="D2" s="217"/>
      <c r="E2" s="217"/>
      <c r="F2" s="217"/>
      <c r="G2" s="85"/>
      <c r="H2" s="83"/>
    </row>
    <row r="3" spans="1:8" ht="21" x14ac:dyDescent="0.6">
      <c r="A3" s="218" t="s">
        <v>0</v>
      </c>
      <c r="B3" s="218"/>
      <c r="C3" s="218"/>
      <c r="D3" s="218"/>
      <c r="E3" s="218"/>
      <c r="F3" s="218"/>
      <c r="G3" s="77"/>
      <c r="H3" s="76"/>
    </row>
    <row r="4" spans="1:8" ht="21" x14ac:dyDescent="0.25">
      <c r="A4" s="219" t="s">
        <v>1</v>
      </c>
      <c r="B4" s="219"/>
      <c r="C4" s="219"/>
      <c r="D4" s="219"/>
      <c r="E4" s="219"/>
      <c r="F4" s="219"/>
      <c r="G4" s="77"/>
      <c r="H4" s="76"/>
    </row>
    <row r="5" spans="1:8" ht="16.5" customHeight="1" x14ac:dyDescent="0.25">
      <c r="A5" s="38" t="s">
        <v>2</v>
      </c>
      <c r="B5" s="38"/>
      <c r="C5" s="236"/>
      <c r="D5" s="236"/>
      <c r="E5" s="27"/>
      <c r="F5" s="28" t="s">
        <v>3</v>
      </c>
      <c r="G5" s="77"/>
      <c r="H5" s="76"/>
    </row>
    <row r="6" spans="1:8" ht="21" x14ac:dyDescent="0.25">
      <c r="A6" s="29" t="s">
        <v>4</v>
      </c>
      <c r="B6" s="29"/>
      <c r="C6" s="212"/>
      <c r="D6" s="212"/>
      <c r="E6" s="76"/>
      <c r="F6" s="30"/>
      <c r="G6" s="74"/>
      <c r="H6" s="76"/>
    </row>
    <row r="7" spans="1:8" ht="18.75" thickBot="1" x14ac:dyDescent="0.5">
      <c r="A7" s="233"/>
      <c r="B7" s="233"/>
      <c r="C7" s="233"/>
      <c r="D7" s="67" t="s">
        <v>5</v>
      </c>
      <c r="E7" s="69" t="s">
        <v>6</v>
      </c>
      <c r="F7" s="31" t="s">
        <v>7</v>
      </c>
      <c r="G7" s="78"/>
      <c r="H7" s="76"/>
    </row>
    <row r="8" spans="1:8" ht="15.75" thickBot="1" x14ac:dyDescent="0.3">
      <c r="A8" s="32"/>
      <c r="B8" s="33"/>
      <c r="C8" s="33"/>
      <c r="D8" s="66" t="s">
        <v>8</v>
      </c>
      <c r="E8" s="68">
        <v>4000</v>
      </c>
      <c r="F8" s="34" t="s">
        <v>9</v>
      </c>
      <c r="G8" s="79"/>
      <c r="H8" s="76"/>
    </row>
    <row r="9" spans="1:8" ht="15.75" thickBot="1" x14ac:dyDescent="0.3">
      <c r="A9" s="33"/>
      <c r="B9" s="33"/>
      <c r="C9" s="33"/>
      <c r="D9" s="80"/>
      <c r="E9" s="81"/>
      <c r="F9" s="82"/>
      <c r="G9" s="79"/>
      <c r="H9" s="76"/>
    </row>
    <row r="10" spans="1:8" ht="15.75" customHeight="1" thickTop="1" x14ac:dyDescent="0.25">
      <c r="A10" s="222" t="s">
        <v>10</v>
      </c>
      <c r="B10" s="223"/>
      <c r="C10" s="223"/>
      <c r="D10" s="223"/>
      <c r="E10" s="234" t="s">
        <v>92</v>
      </c>
      <c r="F10" s="226" t="s">
        <v>11</v>
      </c>
      <c r="G10" s="2"/>
      <c r="H10" s="3"/>
    </row>
    <row r="11" spans="1:8" x14ac:dyDescent="0.25">
      <c r="A11" s="224"/>
      <c r="B11" s="225"/>
      <c r="C11" s="225"/>
      <c r="D11" s="225"/>
      <c r="E11" s="235"/>
      <c r="F11" s="227"/>
      <c r="G11" s="2"/>
      <c r="H11" s="3"/>
    </row>
    <row r="12" spans="1:8" ht="21.75" customHeight="1" x14ac:dyDescent="0.25">
      <c r="A12" s="9"/>
      <c r="B12" s="10" t="s">
        <v>12</v>
      </c>
      <c r="C12" s="10"/>
      <c r="D12" s="11"/>
      <c r="E12" s="39">
        <f>SUM(E13,E14,E15,E16)</f>
        <v>0</v>
      </c>
      <c r="F12" s="40">
        <f>E12*$E$8/1000000</f>
        <v>0</v>
      </c>
      <c r="G12" s="4"/>
      <c r="H12" s="5"/>
    </row>
    <row r="13" spans="1:8" ht="27" customHeight="1" x14ac:dyDescent="0.25">
      <c r="A13" s="12"/>
      <c r="B13" s="13"/>
      <c r="C13" s="13" t="s">
        <v>13</v>
      </c>
      <c r="D13" s="14" t="s">
        <v>14</v>
      </c>
      <c r="E13" s="59"/>
      <c r="F13" s="41">
        <f t="shared" ref="F13:F19" si="0">E13*$E$8/1000000</f>
        <v>0</v>
      </c>
      <c r="G13" s="6"/>
      <c r="H13" s="7"/>
    </row>
    <row r="14" spans="1:8" ht="25.5" customHeight="1" x14ac:dyDescent="0.25">
      <c r="A14" s="12"/>
      <c r="B14" s="13"/>
      <c r="C14" s="13" t="s">
        <v>15</v>
      </c>
      <c r="D14" s="14" t="s">
        <v>16</v>
      </c>
      <c r="E14" s="59"/>
      <c r="F14" s="41">
        <f t="shared" si="0"/>
        <v>0</v>
      </c>
      <c r="G14" s="6"/>
      <c r="H14" s="7"/>
    </row>
    <row r="15" spans="1:8" ht="24" customHeight="1" x14ac:dyDescent="0.25">
      <c r="A15" s="12"/>
      <c r="B15" s="13"/>
      <c r="C15" s="13" t="s">
        <v>17</v>
      </c>
      <c r="D15" s="14" t="s">
        <v>18</v>
      </c>
      <c r="E15" s="59"/>
      <c r="F15" s="41">
        <f t="shared" si="0"/>
        <v>0</v>
      </c>
      <c r="G15" s="6"/>
      <c r="H15" s="7"/>
    </row>
    <row r="16" spans="1:8" ht="64.5" customHeight="1" x14ac:dyDescent="0.25">
      <c r="A16" s="12"/>
      <c r="B16" s="13"/>
      <c r="C16" s="13" t="s">
        <v>19</v>
      </c>
      <c r="D16" s="14" t="s">
        <v>20</v>
      </c>
      <c r="E16" s="59"/>
      <c r="F16" s="41">
        <f t="shared" si="0"/>
        <v>0</v>
      </c>
      <c r="G16" s="6"/>
      <c r="H16" s="7"/>
    </row>
    <row r="17" spans="1:8" ht="21.75" customHeight="1" x14ac:dyDescent="0.25">
      <c r="A17" s="9"/>
      <c r="B17" s="10" t="s">
        <v>21</v>
      </c>
      <c r="C17" s="10" t="s">
        <v>22</v>
      </c>
      <c r="D17" s="11"/>
      <c r="E17" s="39">
        <f>SUM(E18,E19)</f>
        <v>0</v>
      </c>
      <c r="F17" s="40">
        <f t="shared" si="0"/>
        <v>0</v>
      </c>
      <c r="G17" s="4"/>
    </row>
    <row r="18" spans="1:8" ht="63.75" customHeight="1" x14ac:dyDescent="0.25">
      <c r="A18" s="12"/>
      <c r="B18" s="13"/>
      <c r="C18" s="13" t="s">
        <v>13</v>
      </c>
      <c r="D18" s="14" t="s">
        <v>23</v>
      </c>
      <c r="E18" s="59"/>
      <c r="F18" s="41">
        <f t="shared" si="0"/>
        <v>0</v>
      </c>
      <c r="G18" s="6"/>
    </row>
    <row r="19" spans="1:8" ht="51" customHeight="1" x14ac:dyDescent="0.25">
      <c r="A19" s="12"/>
      <c r="B19" s="13"/>
      <c r="C19" s="13" t="s">
        <v>15</v>
      </c>
      <c r="D19" s="14" t="s">
        <v>24</v>
      </c>
      <c r="E19" s="59"/>
      <c r="F19" s="41">
        <f t="shared" si="0"/>
        <v>0</v>
      </c>
      <c r="G19" s="6"/>
    </row>
    <row r="20" spans="1:8" ht="21" x14ac:dyDescent="0.25">
      <c r="A20" s="12"/>
      <c r="B20" s="15" t="s">
        <v>25</v>
      </c>
      <c r="C20" s="16" t="s">
        <v>26</v>
      </c>
      <c r="D20" s="17"/>
      <c r="E20" s="39">
        <f>E12-E17</f>
        <v>0</v>
      </c>
      <c r="F20" s="40">
        <f>F12-F17</f>
        <v>0</v>
      </c>
      <c r="G20" s="6"/>
    </row>
    <row r="21" spans="1:8" ht="19.5" x14ac:dyDescent="0.55000000000000004">
      <c r="A21" s="228" t="s">
        <v>27</v>
      </c>
      <c r="B21" s="229"/>
      <c r="C21" s="229"/>
      <c r="D21" s="229"/>
      <c r="E21" s="42">
        <f>SUM(E22,E23,E24)</f>
        <v>0</v>
      </c>
      <c r="F21" s="43">
        <f>SUM(F22,F23,F24)</f>
        <v>0</v>
      </c>
      <c r="G21" s="6"/>
    </row>
    <row r="22" spans="1:8" ht="21" x14ac:dyDescent="0.25">
      <c r="A22" s="18"/>
      <c r="B22" s="19" t="s">
        <v>13</v>
      </c>
      <c r="C22" s="20" t="s">
        <v>28</v>
      </c>
      <c r="D22" s="21"/>
      <c r="E22" s="44" t="str">
        <f>IF(E20&gt;0,E20,"")</f>
        <v/>
      </c>
      <c r="F22" s="45" t="str">
        <f>IF(F20&gt;0,F20,"")</f>
        <v/>
      </c>
      <c r="G22" s="8"/>
    </row>
    <row r="23" spans="1:8" ht="19.5" x14ac:dyDescent="0.25">
      <c r="A23" s="12"/>
      <c r="B23" s="19" t="s">
        <v>15</v>
      </c>
      <c r="C23" s="213" t="s">
        <v>29</v>
      </c>
      <c r="D23" s="213"/>
      <c r="E23" s="59"/>
      <c r="F23" s="45">
        <f>E23*$E$8/1000000</f>
        <v>0</v>
      </c>
      <c r="G23" s="6"/>
    </row>
    <row r="24" spans="1:8" ht="19.5" x14ac:dyDescent="0.25">
      <c r="A24" s="12"/>
      <c r="B24" s="19" t="s">
        <v>17</v>
      </c>
      <c r="C24" s="22" t="s">
        <v>30</v>
      </c>
      <c r="D24" s="17"/>
      <c r="E24" s="59"/>
      <c r="F24" s="45">
        <f>E24*$E$8/1000000</f>
        <v>0</v>
      </c>
      <c r="G24" s="6"/>
    </row>
    <row r="25" spans="1:8" ht="18" x14ac:dyDescent="0.45">
      <c r="A25" s="230" t="s">
        <v>31</v>
      </c>
      <c r="B25" s="231"/>
      <c r="C25" s="231"/>
      <c r="D25" s="232"/>
      <c r="E25" s="46">
        <f>SUM(E26,E27,E28,E29,E30)</f>
        <v>0</v>
      </c>
      <c r="F25" s="47">
        <f>SUM(F26,F27,F28,F29,F30)</f>
        <v>0</v>
      </c>
      <c r="G25" s="6"/>
    </row>
    <row r="26" spans="1:8" ht="19.5" x14ac:dyDescent="0.25">
      <c r="A26" s="23"/>
      <c r="B26" s="24" t="s">
        <v>13</v>
      </c>
      <c r="C26" s="20" t="s">
        <v>32</v>
      </c>
      <c r="D26" s="11"/>
      <c r="E26" s="48" t="str">
        <f>IF(E20&lt;0,ABS(E20),"")</f>
        <v/>
      </c>
      <c r="F26" s="49" t="str">
        <f>IF(F20&lt;0,ABS(F20),"")</f>
        <v/>
      </c>
      <c r="G26" s="6"/>
    </row>
    <row r="27" spans="1:8" ht="19.5" x14ac:dyDescent="0.25">
      <c r="A27" s="12"/>
      <c r="B27" s="19" t="s">
        <v>15</v>
      </c>
      <c r="C27" s="213" t="s">
        <v>33</v>
      </c>
      <c r="D27" s="213"/>
      <c r="E27" s="59"/>
      <c r="F27" s="45">
        <f>E27*$E$8/1000000</f>
        <v>0</v>
      </c>
      <c r="G27" s="1"/>
    </row>
    <row r="28" spans="1:8" ht="19.5" x14ac:dyDescent="0.25">
      <c r="A28" s="12"/>
      <c r="B28" s="19" t="s">
        <v>17</v>
      </c>
      <c r="C28" s="213" t="s">
        <v>34</v>
      </c>
      <c r="D28" s="213"/>
      <c r="E28" s="59"/>
      <c r="F28" s="45">
        <f t="shared" ref="F28:F30" si="1">E28*$E$8/1000000</f>
        <v>0</v>
      </c>
      <c r="G28" s="1"/>
    </row>
    <row r="29" spans="1:8" ht="19.5" x14ac:dyDescent="0.25">
      <c r="A29" s="12"/>
      <c r="B29" s="19" t="s">
        <v>19</v>
      </c>
      <c r="C29" s="213" t="s">
        <v>35</v>
      </c>
      <c r="D29" s="213"/>
      <c r="E29" s="59"/>
      <c r="F29" s="45">
        <f t="shared" si="1"/>
        <v>0</v>
      </c>
      <c r="G29" s="1"/>
    </row>
    <row r="30" spans="1:8" ht="19.5" x14ac:dyDescent="0.25">
      <c r="A30" s="25"/>
      <c r="B30" s="26" t="s">
        <v>36</v>
      </c>
      <c r="C30" s="214" t="s">
        <v>37</v>
      </c>
      <c r="D30" s="214"/>
      <c r="E30" s="59"/>
      <c r="F30" s="45">
        <f t="shared" si="1"/>
        <v>0</v>
      </c>
      <c r="G30" s="1"/>
    </row>
    <row r="31" spans="1:8" ht="20.25" thickBot="1" x14ac:dyDescent="0.3">
      <c r="A31" s="220" t="s">
        <v>38</v>
      </c>
      <c r="B31" s="221"/>
      <c r="C31" s="221"/>
      <c r="D31" s="221"/>
      <c r="E31" s="91" t="e">
        <f>E21/E25</f>
        <v>#DIV/0!</v>
      </c>
      <c r="F31" s="92" t="e">
        <f>F21/F25</f>
        <v>#DIV/0!</v>
      </c>
      <c r="G31" s="1"/>
    </row>
    <row r="32" spans="1:8" ht="15.75" thickTop="1" x14ac:dyDescent="0.25">
      <c r="A32" s="76"/>
      <c r="B32" s="76"/>
      <c r="C32" s="76"/>
      <c r="D32" s="76"/>
      <c r="E32" s="35"/>
      <c r="F32" s="36"/>
      <c r="G32" s="76"/>
      <c r="H32" s="60"/>
    </row>
    <row r="33" spans="1:9" ht="16.5" x14ac:dyDescent="0.25">
      <c r="A33" s="215" t="s">
        <v>39</v>
      </c>
      <c r="B33" s="215"/>
      <c r="C33" s="215"/>
      <c r="D33" s="215"/>
      <c r="E33" s="35"/>
      <c r="F33" s="36"/>
      <c r="G33" s="60"/>
      <c r="H33" s="60"/>
    </row>
    <row r="34" spans="1:9" x14ac:dyDescent="0.25">
      <c r="A34" s="208" t="s">
        <v>40</v>
      </c>
      <c r="B34" s="208"/>
      <c r="C34" s="208"/>
      <c r="D34" s="208"/>
      <c r="E34" s="35"/>
      <c r="F34" s="36"/>
      <c r="G34" s="60"/>
      <c r="H34" s="60"/>
    </row>
    <row r="35" spans="1:9" ht="16.5" x14ac:dyDescent="0.25">
      <c r="A35" s="208"/>
      <c r="B35" s="208"/>
      <c r="C35" s="208"/>
      <c r="D35" s="208"/>
      <c r="E35" s="207" t="s">
        <v>98</v>
      </c>
      <c r="F35" s="207"/>
      <c r="G35" s="60"/>
      <c r="H35" s="60"/>
    </row>
    <row r="36" spans="1:9" x14ac:dyDescent="0.25">
      <c r="A36" s="76"/>
      <c r="B36" s="76"/>
      <c r="C36" s="76"/>
      <c r="D36" s="76"/>
      <c r="E36" s="209" t="s">
        <v>41</v>
      </c>
      <c r="F36" s="209"/>
      <c r="G36" s="60"/>
      <c r="H36" s="60"/>
    </row>
    <row r="37" spans="1:9" ht="16.5" x14ac:dyDescent="0.25">
      <c r="A37" s="211" t="s">
        <v>42</v>
      </c>
      <c r="B37" s="211"/>
      <c r="C37" s="211"/>
      <c r="D37" s="211"/>
      <c r="E37" s="207" t="s">
        <v>43</v>
      </c>
      <c r="F37" s="207"/>
      <c r="G37" s="60"/>
      <c r="H37" s="60"/>
    </row>
    <row r="38" spans="1:9" x14ac:dyDescent="0.25">
      <c r="A38" s="210" t="s">
        <v>44</v>
      </c>
      <c r="B38" s="210"/>
      <c r="C38" s="210"/>
      <c r="D38" s="210"/>
      <c r="E38" s="209" t="s">
        <v>45</v>
      </c>
      <c r="F38" s="209"/>
      <c r="G38" s="60"/>
      <c r="H38" s="60"/>
    </row>
    <row r="39" spans="1:9" x14ac:dyDescent="0.25">
      <c r="A39" s="127"/>
      <c r="B39" s="127"/>
      <c r="C39" s="127"/>
      <c r="D39" s="127"/>
      <c r="E39" s="128"/>
      <c r="F39" s="129"/>
      <c r="G39" s="130"/>
      <c r="H39" s="130"/>
      <c r="I39" s="131"/>
    </row>
    <row r="40" spans="1:9" x14ac:dyDescent="0.25">
      <c r="A40" s="127"/>
      <c r="B40" s="127"/>
      <c r="C40" s="127"/>
      <c r="D40" s="127"/>
      <c r="E40" s="128"/>
      <c r="F40" s="129"/>
      <c r="G40" s="130"/>
      <c r="H40" s="130"/>
      <c r="I40" s="131"/>
    </row>
    <row r="41" spans="1:9" x14ac:dyDescent="0.25">
      <c r="A41" s="127"/>
      <c r="B41" s="127"/>
      <c r="C41" s="127"/>
      <c r="D41" s="127"/>
      <c r="E41" s="128"/>
      <c r="F41" s="129"/>
      <c r="G41" s="130"/>
      <c r="H41" s="130"/>
      <c r="I41" s="131"/>
    </row>
    <row r="42" spans="1:9" x14ac:dyDescent="0.25">
      <c r="A42" s="127"/>
      <c r="B42" s="127"/>
      <c r="C42" s="127"/>
      <c r="D42" s="127"/>
      <c r="E42" s="128"/>
      <c r="F42" s="129"/>
      <c r="G42" s="130"/>
      <c r="H42" s="130"/>
      <c r="I42" s="131"/>
    </row>
    <row r="43" spans="1:9" x14ac:dyDescent="0.25">
      <c r="A43" s="127"/>
      <c r="B43" s="127"/>
      <c r="C43" s="127"/>
      <c r="D43" s="127"/>
      <c r="E43" s="128"/>
      <c r="F43" s="129"/>
      <c r="G43" s="130"/>
      <c r="H43" s="130"/>
      <c r="I43" s="131"/>
    </row>
    <row r="44" spans="1:9" x14ac:dyDescent="0.25">
      <c r="A44" s="127"/>
      <c r="B44" s="127"/>
      <c r="C44" s="127"/>
      <c r="D44" s="127"/>
      <c r="E44" s="128"/>
      <c r="F44" s="129"/>
      <c r="G44" s="130"/>
      <c r="H44" s="130"/>
      <c r="I44" s="131"/>
    </row>
    <row r="45" spans="1:9" x14ac:dyDescent="0.25">
      <c r="A45" s="127"/>
      <c r="B45" s="127"/>
      <c r="C45" s="127"/>
      <c r="D45" s="127"/>
      <c r="E45" s="128"/>
      <c r="F45" s="129"/>
      <c r="G45" s="130"/>
      <c r="H45" s="130"/>
      <c r="I45" s="131"/>
    </row>
    <row r="46" spans="1:9" x14ac:dyDescent="0.25">
      <c r="A46" s="127"/>
      <c r="B46" s="127"/>
      <c r="C46" s="127"/>
      <c r="D46" s="127"/>
      <c r="E46" s="128"/>
      <c r="F46" s="129"/>
      <c r="G46" s="130"/>
      <c r="H46" s="130"/>
      <c r="I46" s="131"/>
    </row>
    <row r="47" spans="1:9" x14ac:dyDescent="0.25">
      <c r="A47" s="127"/>
      <c r="B47" s="127"/>
      <c r="C47" s="127"/>
      <c r="D47" s="127"/>
      <c r="E47" s="128"/>
      <c r="F47" s="129"/>
      <c r="G47" s="130"/>
      <c r="H47" s="130"/>
      <c r="I47" s="131"/>
    </row>
    <row r="48" spans="1:9" x14ac:dyDescent="0.25">
      <c r="A48" s="127"/>
      <c r="B48" s="127"/>
      <c r="C48" s="127"/>
      <c r="D48" s="127"/>
      <c r="E48" s="128"/>
      <c r="F48" s="129"/>
      <c r="G48" s="130"/>
      <c r="H48" s="130"/>
      <c r="I48" s="131"/>
    </row>
    <row r="49" spans="1:8" x14ac:dyDescent="0.25">
      <c r="A49" s="76"/>
      <c r="B49" s="76"/>
      <c r="C49" s="76"/>
      <c r="D49" s="76"/>
      <c r="E49" s="35"/>
      <c r="F49" s="36"/>
      <c r="G49" s="60"/>
      <c r="H49" s="60"/>
    </row>
    <row r="50" spans="1:8" x14ac:dyDescent="0.25">
      <c r="A50" s="83" t="s">
        <v>95</v>
      </c>
      <c r="B50" s="76"/>
      <c r="C50" s="76"/>
      <c r="D50" s="76"/>
      <c r="E50" s="35"/>
      <c r="F50" s="36"/>
      <c r="G50" s="60"/>
      <c r="H50" s="60"/>
    </row>
    <row r="51" spans="1:8" hidden="1" x14ac:dyDescent="0.25">
      <c r="A51" s="76"/>
      <c r="B51" s="76"/>
      <c r="C51" s="76"/>
      <c r="D51" s="76"/>
      <c r="E51" s="37"/>
      <c r="F51" s="76"/>
      <c r="G51" s="60"/>
      <c r="H51" s="60"/>
    </row>
    <row r="52" spans="1:8" hidden="1" x14ac:dyDescent="0.25">
      <c r="A52" s="1"/>
      <c r="B52" s="1"/>
      <c r="C52" s="1"/>
      <c r="D52" s="1"/>
      <c r="E52" s="37"/>
      <c r="F52" s="1"/>
    </row>
    <row r="53" spans="1:8" hidden="1" x14ac:dyDescent="0.25">
      <c r="A53" s="1"/>
      <c r="B53" s="1"/>
      <c r="C53" s="1"/>
      <c r="D53" s="1"/>
      <c r="E53" s="37"/>
      <c r="F53" s="1"/>
    </row>
    <row r="54" spans="1:8" hidden="1" x14ac:dyDescent="0.25">
      <c r="A54" s="1"/>
      <c r="B54" s="1"/>
      <c r="C54" s="1"/>
      <c r="D54" s="1"/>
      <c r="E54" s="37"/>
      <c r="F54" s="1"/>
    </row>
    <row r="55" spans="1:8" hidden="1" x14ac:dyDescent="0.25">
      <c r="A55" s="1"/>
      <c r="B55" s="1"/>
      <c r="C55" s="1"/>
      <c r="D55" s="1"/>
      <c r="E55" s="37"/>
      <c r="F55" s="1"/>
    </row>
    <row r="56" spans="1:8" hidden="1" x14ac:dyDescent="0.25">
      <c r="A56" s="1"/>
      <c r="B56" s="1"/>
      <c r="C56" s="1"/>
      <c r="D56" s="1"/>
      <c r="E56" s="37"/>
      <c r="F56" s="1"/>
    </row>
    <row r="57" spans="1:8" hidden="1" x14ac:dyDescent="0.25">
      <c r="A57" s="1"/>
      <c r="B57" s="1"/>
      <c r="C57" s="1"/>
      <c r="D57" s="1"/>
      <c r="E57" s="37"/>
      <c r="F57" s="1"/>
    </row>
    <row r="58" spans="1:8" hidden="1" x14ac:dyDescent="0.25">
      <c r="E58" s="37"/>
    </row>
    <row r="59" spans="1:8" hidden="1" x14ac:dyDescent="0.25">
      <c r="E59" s="37"/>
    </row>
    <row r="60" spans="1:8" hidden="1" x14ac:dyDescent="0.25">
      <c r="E60" s="37"/>
    </row>
    <row r="61" spans="1:8" hidden="1" x14ac:dyDescent="0.25">
      <c r="E61" s="37"/>
    </row>
    <row r="62" spans="1:8" hidden="1" x14ac:dyDescent="0.25">
      <c r="E62" s="37"/>
    </row>
    <row r="63" spans="1:8" hidden="1" x14ac:dyDescent="0.25">
      <c r="E63" s="37"/>
    </row>
    <row r="64" spans="1:8" hidden="1" x14ac:dyDescent="0.25">
      <c r="E64" s="37"/>
    </row>
    <row r="65" spans="5:5" hidden="1" x14ac:dyDescent="0.25">
      <c r="E65" s="37"/>
    </row>
    <row r="66" spans="5:5" hidden="1" x14ac:dyDescent="0.25">
      <c r="E66" s="37"/>
    </row>
    <row r="67" spans="5:5" hidden="1" x14ac:dyDescent="0.25">
      <c r="E67" s="37"/>
    </row>
    <row r="68" spans="5:5" hidden="1" x14ac:dyDescent="0.25">
      <c r="E68" s="37"/>
    </row>
    <row r="69" spans="5:5" hidden="1" x14ac:dyDescent="0.25">
      <c r="E69" s="37"/>
    </row>
    <row r="70" spans="5:5" hidden="1" x14ac:dyDescent="0.25">
      <c r="E70" s="37"/>
    </row>
    <row r="71" spans="5:5" hidden="1" x14ac:dyDescent="0.25">
      <c r="E71" s="37"/>
    </row>
    <row r="72" spans="5:5" hidden="1" x14ac:dyDescent="0.25">
      <c r="E72" s="37"/>
    </row>
    <row r="73" spans="5:5" hidden="1" x14ac:dyDescent="0.25">
      <c r="E73" s="37"/>
    </row>
    <row r="74" spans="5:5" hidden="1" x14ac:dyDescent="0.25">
      <c r="E74" s="37"/>
    </row>
    <row r="75" spans="5:5" hidden="1" x14ac:dyDescent="0.25">
      <c r="E75" s="37"/>
    </row>
    <row r="76" spans="5:5" hidden="1" x14ac:dyDescent="0.25">
      <c r="E76" s="37"/>
    </row>
    <row r="77" spans="5:5" hidden="1" x14ac:dyDescent="0.25">
      <c r="E77" s="37"/>
    </row>
    <row r="78" spans="5:5" hidden="1" x14ac:dyDescent="0.25">
      <c r="E78" s="37"/>
    </row>
    <row r="79" spans="5:5" hidden="1" x14ac:dyDescent="0.25">
      <c r="E79" s="37"/>
    </row>
    <row r="80" spans="5:5" hidden="1" x14ac:dyDescent="0.25">
      <c r="E80" s="37"/>
    </row>
    <row r="81" spans="5:5" hidden="1" x14ac:dyDescent="0.25">
      <c r="E81" s="37"/>
    </row>
    <row r="82" spans="5:5" hidden="1" x14ac:dyDescent="0.25">
      <c r="E82" s="37"/>
    </row>
    <row r="83" spans="5:5" hidden="1" x14ac:dyDescent="0.25">
      <c r="E83" s="37"/>
    </row>
    <row r="84" spans="5:5" hidden="1" x14ac:dyDescent="0.25">
      <c r="E84" s="37"/>
    </row>
    <row r="85" spans="5:5" hidden="1" x14ac:dyDescent="0.25">
      <c r="E85" s="37"/>
    </row>
    <row r="86" spans="5:5" hidden="1" x14ac:dyDescent="0.25">
      <c r="E86" s="37"/>
    </row>
    <row r="87" spans="5:5" hidden="1" x14ac:dyDescent="0.25">
      <c r="E87" s="37"/>
    </row>
    <row r="88" spans="5:5" hidden="1" x14ac:dyDescent="0.25">
      <c r="E88" s="37"/>
    </row>
    <row r="89" spans="5:5" hidden="1" x14ac:dyDescent="0.25">
      <c r="E89" s="37"/>
    </row>
    <row r="90" spans="5:5" hidden="1" x14ac:dyDescent="0.25">
      <c r="E90" s="37"/>
    </row>
    <row r="91" spans="5:5" hidden="1" x14ac:dyDescent="0.25">
      <c r="E91" s="37"/>
    </row>
    <row r="92" spans="5:5" hidden="1" x14ac:dyDescent="0.25">
      <c r="E92" s="37"/>
    </row>
    <row r="93" spans="5:5" hidden="1" x14ac:dyDescent="0.25">
      <c r="E93" s="37"/>
    </row>
    <row r="94" spans="5:5" hidden="1" x14ac:dyDescent="0.25">
      <c r="E94" s="37"/>
    </row>
    <row r="95" spans="5:5" hidden="1" x14ac:dyDescent="0.25">
      <c r="E95" s="37"/>
    </row>
    <row r="96" spans="5:5" hidden="1" x14ac:dyDescent="0.25">
      <c r="E96" s="37"/>
    </row>
    <row r="97" spans="5:5" hidden="1" x14ac:dyDescent="0.25">
      <c r="E97" s="37"/>
    </row>
    <row r="98" spans="5:5" hidden="1" x14ac:dyDescent="0.25">
      <c r="E98" s="37"/>
    </row>
    <row r="99" spans="5:5" hidden="1" x14ac:dyDescent="0.25">
      <c r="E99" s="37"/>
    </row>
    <row r="100" spans="5:5" hidden="1" x14ac:dyDescent="0.25">
      <c r="E100" s="37"/>
    </row>
    <row r="101" spans="5:5" hidden="1" x14ac:dyDescent="0.25">
      <c r="E101" s="37"/>
    </row>
    <row r="102" spans="5:5" hidden="1" x14ac:dyDescent="0.25">
      <c r="E102" s="37"/>
    </row>
    <row r="103" spans="5:5" hidden="1" x14ac:dyDescent="0.25">
      <c r="E103" s="37"/>
    </row>
    <row r="104" spans="5:5" hidden="1" x14ac:dyDescent="0.25">
      <c r="E104" s="37"/>
    </row>
    <row r="105" spans="5:5" hidden="1" x14ac:dyDescent="0.25">
      <c r="E105" s="37"/>
    </row>
    <row r="106" spans="5:5" hidden="1" x14ac:dyDescent="0.25">
      <c r="E106" s="37"/>
    </row>
    <row r="107" spans="5:5" hidden="1" x14ac:dyDescent="0.25">
      <c r="E107" s="37"/>
    </row>
    <row r="108" spans="5:5" hidden="1" x14ac:dyDescent="0.25">
      <c r="E108" s="37"/>
    </row>
    <row r="109" spans="5:5" hidden="1" x14ac:dyDescent="0.25">
      <c r="E109" s="37"/>
    </row>
    <row r="110" spans="5:5" hidden="1" x14ac:dyDescent="0.25">
      <c r="E110" s="37"/>
    </row>
    <row r="111" spans="5:5" hidden="1" x14ac:dyDescent="0.25">
      <c r="E111" s="37"/>
    </row>
    <row r="112" spans="5:5" hidden="1" x14ac:dyDescent="0.25">
      <c r="E112" s="37"/>
    </row>
    <row r="113" spans="5:5" hidden="1" x14ac:dyDescent="0.25">
      <c r="E113" s="37"/>
    </row>
    <row r="114" spans="5:5" hidden="1" x14ac:dyDescent="0.25">
      <c r="E114" s="37"/>
    </row>
    <row r="115" spans="5:5" hidden="1" x14ac:dyDescent="0.25">
      <c r="E115" s="37"/>
    </row>
    <row r="116" spans="5:5" hidden="1" x14ac:dyDescent="0.25">
      <c r="E116" s="37"/>
    </row>
    <row r="117" spans="5:5" hidden="1" x14ac:dyDescent="0.25">
      <c r="E117" s="37"/>
    </row>
    <row r="118" spans="5:5" hidden="1" x14ac:dyDescent="0.25">
      <c r="E118" s="37"/>
    </row>
    <row r="119" spans="5:5" hidden="1" x14ac:dyDescent="0.25">
      <c r="E119" s="37"/>
    </row>
    <row r="120" spans="5:5" hidden="1" x14ac:dyDescent="0.25">
      <c r="E120" s="37"/>
    </row>
    <row r="121" spans="5:5" hidden="1" x14ac:dyDescent="0.25">
      <c r="E121" s="37"/>
    </row>
    <row r="122" spans="5:5" hidden="1" x14ac:dyDescent="0.25">
      <c r="E122" s="37"/>
    </row>
    <row r="123" spans="5:5" hidden="1" x14ac:dyDescent="0.25">
      <c r="E123" s="37"/>
    </row>
    <row r="124" spans="5:5" hidden="1" x14ac:dyDescent="0.25">
      <c r="E124" s="37"/>
    </row>
    <row r="125" spans="5:5" hidden="1" x14ac:dyDescent="0.25">
      <c r="E125" s="37"/>
    </row>
    <row r="126" spans="5:5" hidden="1" x14ac:dyDescent="0.25">
      <c r="E126" s="37"/>
    </row>
    <row r="127" spans="5:5" hidden="1" x14ac:dyDescent="0.25">
      <c r="E127" s="37"/>
    </row>
    <row r="128" spans="5:5" hidden="1" x14ac:dyDescent="0.25">
      <c r="E128" s="37"/>
    </row>
    <row r="129" spans="5:5" hidden="1" x14ac:dyDescent="0.25">
      <c r="E129" s="37"/>
    </row>
    <row r="130" spans="5:5" hidden="1" x14ac:dyDescent="0.25">
      <c r="E130" s="37"/>
    </row>
    <row r="131" spans="5:5" hidden="1" x14ac:dyDescent="0.25">
      <c r="E131" s="37"/>
    </row>
    <row r="132" spans="5:5" hidden="1" x14ac:dyDescent="0.25">
      <c r="E132" s="37"/>
    </row>
    <row r="133" spans="5:5" hidden="1" x14ac:dyDescent="0.25">
      <c r="E133" s="37"/>
    </row>
    <row r="134" spans="5:5" hidden="1" x14ac:dyDescent="0.25">
      <c r="E134" s="37"/>
    </row>
    <row r="135" spans="5:5" hidden="1" x14ac:dyDescent="0.25">
      <c r="E135" s="37"/>
    </row>
    <row r="136" spans="5:5" hidden="1" x14ac:dyDescent="0.25">
      <c r="E136" s="37"/>
    </row>
    <row r="137" spans="5:5" hidden="1" x14ac:dyDescent="0.25">
      <c r="E137" s="37"/>
    </row>
    <row r="138" spans="5:5" hidden="1" x14ac:dyDescent="0.25">
      <c r="E138" s="37"/>
    </row>
    <row r="139" spans="5:5" hidden="1" x14ac:dyDescent="0.25">
      <c r="E139" s="37"/>
    </row>
    <row r="140" spans="5:5" hidden="1" x14ac:dyDescent="0.25">
      <c r="E140" s="37"/>
    </row>
    <row r="141" spans="5:5" hidden="1" x14ac:dyDescent="0.25">
      <c r="E141" s="37"/>
    </row>
    <row r="142" spans="5:5" hidden="1" x14ac:dyDescent="0.25">
      <c r="E142" s="37"/>
    </row>
    <row r="143" spans="5:5" hidden="1" x14ac:dyDescent="0.25">
      <c r="E143" s="37"/>
    </row>
    <row r="144" spans="5:5" hidden="1" x14ac:dyDescent="0.25">
      <c r="E144" s="37"/>
    </row>
    <row r="145" spans="5:5" hidden="1" x14ac:dyDescent="0.25">
      <c r="E145" s="37"/>
    </row>
    <row r="146" spans="5:5" hidden="1" x14ac:dyDescent="0.25">
      <c r="E146" s="37"/>
    </row>
    <row r="147" spans="5:5" hidden="1" x14ac:dyDescent="0.25">
      <c r="E147" s="37"/>
    </row>
    <row r="148" spans="5:5" hidden="1" x14ac:dyDescent="0.25">
      <c r="E148" s="37"/>
    </row>
    <row r="149" spans="5:5" hidden="1" x14ac:dyDescent="0.25">
      <c r="E149" s="37"/>
    </row>
    <row r="150" spans="5:5" hidden="1" x14ac:dyDescent="0.25">
      <c r="E150" s="37"/>
    </row>
    <row r="151" spans="5:5" hidden="1" x14ac:dyDescent="0.25">
      <c r="E151" s="37"/>
    </row>
    <row r="152" spans="5:5" hidden="1" x14ac:dyDescent="0.25">
      <c r="E152" s="37"/>
    </row>
    <row r="153" spans="5:5" hidden="1" x14ac:dyDescent="0.25">
      <c r="E153" s="37"/>
    </row>
    <row r="154" spans="5:5" hidden="1" x14ac:dyDescent="0.25">
      <c r="E154" s="37"/>
    </row>
    <row r="155" spans="5:5" hidden="1" x14ac:dyDescent="0.25">
      <c r="E155" s="37"/>
    </row>
    <row r="156" spans="5:5" hidden="1" x14ac:dyDescent="0.25">
      <c r="E156" s="37"/>
    </row>
    <row r="157" spans="5:5" hidden="1" x14ac:dyDescent="0.25">
      <c r="E157" s="37"/>
    </row>
    <row r="158" spans="5:5" hidden="1" x14ac:dyDescent="0.25">
      <c r="E158" s="37"/>
    </row>
    <row r="159" spans="5:5" hidden="1" x14ac:dyDescent="0.25">
      <c r="E159" s="37"/>
    </row>
    <row r="160" spans="5:5" hidden="1" x14ac:dyDescent="0.25">
      <c r="E160" s="37"/>
    </row>
    <row r="161" spans="5:5" hidden="1" x14ac:dyDescent="0.25">
      <c r="E161" s="37"/>
    </row>
    <row r="162" spans="5:5" hidden="1" x14ac:dyDescent="0.25">
      <c r="E162" s="37"/>
    </row>
    <row r="163" spans="5:5" hidden="1" x14ac:dyDescent="0.25">
      <c r="E163" s="37"/>
    </row>
    <row r="164" spans="5:5" hidden="1" x14ac:dyDescent="0.25">
      <c r="E164" s="37"/>
    </row>
    <row r="165" spans="5:5" hidden="1" x14ac:dyDescent="0.25">
      <c r="E165" s="37"/>
    </row>
    <row r="166" spans="5:5" hidden="1" x14ac:dyDescent="0.25">
      <c r="E166" s="37"/>
    </row>
    <row r="167" spans="5:5" hidden="1" x14ac:dyDescent="0.25">
      <c r="E167" s="37"/>
    </row>
    <row r="168" spans="5:5" hidden="1" x14ac:dyDescent="0.25">
      <c r="E168" s="37"/>
    </row>
    <row r="169" spans="5:5" hidden="1" x14ac:dyDescent="0.25">
      <c r="E169" s="37"/>
    </row>
    <row r="170" spans="5:5" hidden="1" x14ac:dyDescent="0.25">
      <c r="E170" s="37"/>
    </row>
    <row r="171" spans="5:5" hidden="1" x14ac:dyDescent="0.25">
      <c r="E171" s="37"/>
    </row>
    <row r="172" spans="5:5" hidden="1" x14ac:dyDescent="0.25">
      <c r="E172" s="37"/>
    </row>
    <row r="173" spans="5:5" hidden="1" x14ac:dyDescent="0.25">
      <c r="E173" s="37"/>
    </row>
    <row r="174" spans="5:5" hidden="1" x14ac:dyDescent="0.25">
      <c r="E174" s="37"/>
    </row>
    <row r="175" spans="5:5" hidden="1" x14ac:dyDescent="0.25">
      <c r="E175" s="37"/>
    </row>
    <row r="176" spans="5:5" hidden="1" x14ac:dyDescent="0.25">
      <c r="E176" s="37"/>
    </row>
    <row r="177" spans="5:5" hidden="1" x14ac:dyDescent="0.25">
      <c r="E177" s="37"/>
    </row>
    <row r="178" spans="5:5" hidden="1" x14ac:dyDescent="0.25">
      <c r="E178" s="37"/>
    </row>
    <row r="179" spans="5:5" hidden="1" x14ac:dyDescent="0.25">
      <c r="E179" s="37"/>
    </row>
    <row r="180" spans="5:5" hidden="1" x14ac:dyDescent="0.25">
      <c r="E180" s="37"/>
    </row>
    <row r="181" spans="5:5" hidden="1" x14ac:dyDescent="0.25">
      <c r="E181" s="37"/>
    </row>
    <row r="182" spans="5:5" hidden="1" x14ac:dyDescent="0.25">
      <c r="E182" s="37"/>
    </row>
    <row r="183" spans="5:5" hidden="1" x14ac:dyDescent="0.25">
      <c r="E183" s="37"/>
    </row>
    <row r="184" spans="5:5" hidden="1" x14ac:dyDescent="0.25">
      <c r="E184" s="37"/>
    </row>
    <row r="185" spans="5:5" hidden="1" x14ac:dyDescent="0.25">
      <c r="E185" s="37"/>
    </row>
    <row r="186" spans="5:5" hidden="1" x14ac:dyDescent="0.25">
      <c r="E186" s="37"/>
    </row>
    <row r="187" spans="5:5" hidden="1" x14ac:dyDescent="0.25">
      <c r="E187" s="37"/>
    </row>
    <row r="188" spans="5:5" hidden="1" x14ac:dyDescent="0.25">
      <c r="E188" s="37"/>
    </row>
    <row r="189" spans="5:5" hidden="1" x14ac:dyDescent="0.25">
      <c r="E189" s="37"/>
    </row>
    <row r="190" spans="5:5" hidden="1" x14ac:dyDescent="0.25">
      <c r="E190" s="37"/>
    </row>
    <row r="191" spans="5:5" hidden="1" x14ac:dyDescent="0.25">
      <c r="E191" s="37"/>
    </row>
    <row r="192" spans="5:5" hidden="1" x14ac:dyDescent="0.25">
      <c r="E192" s="37"/>
    </row>
    <row r="193" spans="5:5" hidden="1" x14ac:dyDescent="0.25">
      <c r="E193" s="37"/>
    </row>
    <row r="194" spans="5:5" hidden="1" x14ac:dyDescent="0.25">
      <c r="E194" s="37"/>
    </row>
    <row r="195" spans="5:5" hidden="1" x14ac:dyDescent="0.25">
      <c r="E195" s="37"/>
    </row>
    <row r="196" spans="5:5" hidden="1" x14ac:dyDescent="0.25">
      <c r="E196" s="37"/>
    </row>
    <row r="197" spans="5:5" hidden="1" x14ac:dyDescent="0.25">
      <c r="E197" s="37"/>
    </row>
    <row r="198" spans="5:5" hidden="1" x14ac:dyDescent="0.25">
      <c r="E198" s="37"/>
    </row>
    <row r="199" spans="5:5" hidden="1" x14ac:dyDescent="0.25">
      <c r="E199" s="37"/>
    </row>
    <row r="200" spans="5:5" hidden="1" x14ac:dyDescent="0.25">
      <c r="E200" s="37"/>
    </row>
    <row r="201" spans="5:5" hidden="1" x14ac:dyDescent="0.25">
      <c r="E201" s="37"/>
    </row>
    <row r="202" spans="5:5" hidden="1" x14ac:dyDescent="0.25">
      <c r="E202" s="37"/>
    </row>
    <row r="203" spans="5:5" hidden="1" x14ac:dyDescent="0.25">
      <c r="E203" s="37"/>
    </row>
    <row r="204" spans="5:5" hidden="1" x14ac:dyDescent="0.25">
      <c r="E204" s="37"/>
    </row>
    <row r="205" spans="5:5" hidden="1" x14ac:dyDescent="0.25">
      <c r="E205" s="37"/>
    </row>
    <row r="206" spans="5:5" hidden="1" x14ac:dyDescent="0.25">
      <c r="E206" s="37"/>
    </row>
    <row r="207" spans="5:5" hidden="1" x14ac:dyDescent="0.25">
      <c r="E207" s="37"/>
    </row>
    <row r="208" spans="5:5" hidden="1" x14ac:dyDescent="0.25">
      <c r="E208" s="37"/>
    </row>
    <row r="209" spans="5:5" hidden="1" x14ac:dyDescent="0.25">
      <c r="E209" s="37"/>
    </row>
    <row r="210" spans="5:5" hidden="1" x14ac:dyDescent="0.25">
      <c r="E210" s="37"/>
    </row>
    <row r="211" spans="5:5" hidden="1" x14ac:dyDescent="0.25">
      <c r="E211" s="37"/>
    </row>
    <row r="212" spans="5:5" hidden="1" x14ac:dyDescent="0.25">
      <c r="E212" s="37"/>
    </row>
    <row r="213" spans="5:5" hidden="1" x14ac:dyDescent="0.25">
      <c r="E213" s="37"/>
    </row>
    <row r="214" spans="5:5" hidden="1" x14ac:dyDescent="0.25">
      <c r="E214" s="37"/>
    </row>
    <row r="215" spans="5:5" hidden="1" x14ac:dyDescent="0.25">
      <c r="E215" s="37"/>
    </row>
    <row r="216" spans="5:5" hidden="1" x14ac:dyDescent="0.25">
      <c r="E216" s="37"/>
    </row>
    <row r="217" spans="5:5" hidden="1" x14ac:dyDescent="0.25">
      <c r="E217" s="37"/>
    </row>
    <row r="218" spans="5:5" hidden="1" x14ac:dyDescent="0.25">
      <c r="E218" s="37"/>
    </row>
    <row r="219" spans="5:5" hidden="1" x14ac:dyDescent="0.25">
      <c r="E219" s="37"/>
    </row>
    <row r="220" spans="5:5" hidden="1" x14ac:dyDescent="0.25">
      <c r="E220" s="37"/>
    </row>
    <row r="221" spans="5:5" hidden="1" x14ac:dyDescent="0.25">
      <c r="E221" s="37"/>
    </row>
    <row r="222" spans="5:5" hidden="1" x14ac:dyDescent="0.25">
      <c r="E222" s="37"/>
    </row>
    <row r="223" spans="5:5" hidden="1" x14ac:dyDescent="0.25">
      <c r="E223" s="37"/>
    </row>
    <row r="224" spans="5:5" hidden="1" x14ac:dyDescent="0.25">
      <c r="E224" s="37"/>
    </row>
    <row r="225" spans="5:5" hidden="1" x14ac:dyDescent="0.25">
      <c r="E225" s="37"/>
    </row>
    <row r="226" spans="5:5" hidden="1" x14ac:dyDescent="0.25">
      <c r="E226" s="37"/>
    </row>
    <row r="227" spans="5:5" hidden="1" x14ac:dyDescent="0.25">
      <c r="E227" s="37"/>
    </row>
    <row r="228" spans="5:5" hidden="1" x14ac:dyDescent="0.25">
      <c r="E228" s="37"/>
    </row>
    <row r="229" spans="5:5" hidden="1" x14ac:dyDescent="0.25">
      <c r="E229" s="37"/>
    </row>
    <row r="230" spans="5:5" hidden="1" x14ac:dyDescent="0.25">
      <c r="E230" s="37"/>
    </row>
    <row r="231" spans="5:5" hidden="1" x14ac:dyDescent="0.25">
      <c r="E231" s="37"/>
    </row>
    <row r="232" spans="5:5" hidden="1" x14ac:dyDescent="0.25">
      <c r="E232" s="37"/>
    </row>
    <row r="233" spans="5:5" hidden="1" x14ac:dyDescent="0.25">
      <c r="E233" s="37"/>
    </row>
    <row r="234" spans="5:5" hidden="1" x14ac:dyDescent="0.25">
      <c r="E234" s="37"/>
    </row>
    <row r="235" spans="5:5" hidden="1" x14ac:dyDescent="0.25">
      <c r="E235" s="37"/>
    </row>
    <row r="236" spans="5:5" hidden="1" x14ac:dyDescent="0.25">
      <c r="E236" s="37"/>
    </row>
    <row r="237" spans="5:5" hidden="1" x14ac:dyDescent="0.25">
      <c r="E237" s="37"/>
    </row>
    <row r="238" spans="5:5" hidden="1" x14ac:dyDescent="0.25">
      <c r="E238" s="37"/>
    </row>
    <row r="239" spans="5:5" hidden="1" x14ac:dyDescent="0.25">
      <c r="E239" s="37"/>
    </row>
    <row r="240" spans="5:5" hidden="1" x14ac:dyDescent="0.25">
      <c r="E240" s="37"/>
    </row>
    <row r="241" spans="5:5" hidden="1" x14ac:dyDescent="0.25">
      <c r="E241" s="37"/>
    </row>
    <row r="242" spans="5:5" hidden="1" x14ac:dyDescent="0.25">
      <c r="E242" s="37"/>
    </row>
    <row r="243" spans="5:5" hidden="1" x14ac:dyDescent="0.25">
      <c r="E243" s="37"/>
    </row>
    <row r="244" spans="5:5" hidden="1" x14ac:dyDescent="0.25">
      <c r="E244" s="37"/>
    </row>
    <row r="245" spans="5:5" hidden="1" x14ac:dyDescent="0.25">
      <c r="E245" s="37"/>
    </row>
    <row r="246" spans="5:5" hidden="1" x14ac:dyDescent="0.25">
      <c r="E246" s="37"/>
    </row>
    <row r="247" spans="5:5" hidden="1" x14ac:dyDescent="0.25">
      <c r="E247" s="37"/>
    </row>
    <row r="248" spans="5:5" hidden="1" x14ac:dyDescent="0.25">
      <c r="E248" s="37"/>
    </row>
    <row r="249" spans="5:5" hidden="1" x14ac:dyDescent="0.25">
      <c r="E249" s="37"/>
    </row>
    <row r="250" spans="5:5" hidden="1" x14ac:dyDescent="0.25">
      <c r="E250" s="37"/>
    </row>
    <row r="251" spans="5:5" hidden="1" x14ac:dyDescent="0.25">
      <c r="E251" s="37"/>
    </row>
    <row r="252" spans="5:5" hidden="1" x14ac:dyDescent="0.25">
      <c r="E252" s="37"/>
    </row>
    <row r="253" spans="5:5" hidden="1" x14ac:dyDescent="0.25">
      <c r="E253" s="37"/>
    </row>
    <row r="254" spans="5:5" hidden="1" x14ac:dyDescent="0.25">
      <c r="E254" s="37"/>
    </row>
    <row r="255" spans="5:5" hidden="1" x14ac:dyDescent="0.25">
      <c r="E255" s="37"/>
    </row>
    <row r="256" spans="5:5" hidden="1" x14ac:dyDescent="0.25">
      <c r="E256" s="37"/>
    </row>
    <row r="257" spans="5:5" hidden="1" x14ac:dyDescent="0.25">
      <c r="E257" s="37"/>
    </row>
    <row r="258" spans="5:5" hidden="1" x14ac:dyDescent="0.25">
      <c r="E258" s="37"/>
    </row>
    <row r="259" spans="5:5" hidden="1" x14ac:dyDescent="0.25">
      <c r="E259" s="37"/>
    </row>
    <row r="260" spans="5:5" hidden="1" x14ac:dyDescent="0.25">
      <c r="E260" s="37"/>
    </row>
    <row r="261" spans="5:5" hidden="1" x14ac:dyDescent="0.25">
      <c r="E261" s="37"/>
    </row>
    <row r="262" spans="5:5" hidden="1" x14ac:dyDescent="0.25">
      <c r="E262" s="37"/>
    </row>
    <row r="263" spans="5:5" hidden="1" x14ac:dyDescent="0.25">
      <c r="E263" s="37"/>
    </row>
    <row r="264" spans="5:5" hidden="1" x14ac:dyDescent="0.25">
      <c r="E264" s="37"/>
    </row>
    <row r="265" spans="5:5" hidden="1" x14ac:dyDescent="0.25">
      <c r="E265" s="37"/>
    </row>
    <row r="266" spans="5:5" hidden="1" x14ac:dyDescent="0.25">
      <c r="E266" s="37"/>
    </row>
    <row r="267" spans="5:5" hidden="1" x14ac:dyDescent="0.25">
      <c r="E267" s="37"/>
    </row>
    <row r="268" spans="5:5" hidden="1" x14ac:dyDescent="0.25">
      <c r="E268" s="37"/>
    </row>
    <row r="269" spans="5:5" hidden="1" x14ac:dyDescent="0.25">
      <c r="E269" s="37"/>
    </row>
    <row r="270" spans="5:5" hidden="1" x14ac:dyDescent="0.25">
      <c r="E270" s="37"/>
    </row>
    <row r="271" spans="5:5" hidden="1" x14ac:dyDescent="0.25">
      <c r="E271" s="37"/>
    </row>
    <row r="272" spans="5:5" hidden="1" x14ac:dyDescent="0.25">
      <c r="E272" s="37"/>
    </row>
    <row r="273" spans="5:5" hidden="1" x14ac:dyDescent="0.25">
      <c r="E273" s="37"/>
    </row>
    <row r="274" spans="5:5" hidden="1" x14ac:dyDescent="0.25">
      <c r="E274" s="37"/>
    </row>
    <row r="275" spans="5:5" hidden="1" x14ac:dyDescent="0.25">
      <c r="E275" s="37"/>
    </row>
    <row r="276" spans="5:5" hidden="1" x14ac:dyDescent="0.25">
      <c r="E276" s="37"/>
    </row>
    <row r="277" spans="5:5" hidden="1" x14ac:dyDescent="0.25">
      <c r="E277" s="37"/>
    </row>
    <row r="278" spans="5:5" hidden="1" x14ac:dyDescent="0.25">
      <c r="E278" s="37"/>
    </row>
    <row r="279" spans="5:5" hidden="1" x14ac:dyDescent="0.25">
      <c r="E279" s="37"/>
    </row>
    <row r="280" spans="5:5" hidden="1" x14ac:dyDescent="0.25">
      <c r="E280" s="37"/>
    </row>
    <row r="281" spans="5:5" hidden="1" x14ac:dyDescent="0.25">
      <c r="E281" s="37"/>
    </row>
    <row r="282" spans="5:5" hidden="1" x14ac:dyDescent="0.25">
      <c r="E282" s="37"/>
    </row>
    <row r="283" spans="5:5" hidden="1" x14ac:dyDescent="0.25">
      <c r="E283" s="37"/>
    </row>
    <row r="284" spans="5:5" hidden="1" x14ac:dyDescent="0.25">
      <c r="E284" s="37"/>
    </row>
    <row r="285" spans="5:5" hidden="1" x14ac:dyDescent="0.25">
      <c r="E285" s="37"/>
    </row>
    <row r="286" spans="5:5" hidden="1" x14ac:dyDescent="0.25">
      <c r="E286" s="37"/>
    </row>
    <row r="287" spans="5:5" hidden="1" x14ac:dyDescent="0.25">
      <c r="E287" s="37"/>
    </row>
    <row r="288" spans="5:5" hidden="1" x14ac:dyDescent="0.25">
      <c r="E288" s="37"/>
    </row>
    <row r="289" spans="5:5" hidden="1" x14ac:dyDescent="0.25">
      <c r="E289" s="37"/>
    </row>
    <row r="290" spans="5:5" hidden="1" x14ac:dyDescent="0.25">
      <c r="E290" s="37"/>
    </row>
    <row r="291" spans="5:5" hidden="1" x14ac:dyDescent="0.25">
      <c r="E291" s="37"/>
    </row>
    <row r="292" spans="5:5" hidden="1" x14ac:dyDescent="0.25">
      <c r="E292" s="37"/>
    </row>
    <row r="293" spans="5:5" hidden="1" x14ac:dyDescent="0.25">
      <c r="E293" s="37"/>
    </row>
    <row r="294" spans="5:5" hidden="1" x14ac:dyDescent="0.25">
      <c r="E294" s="37"/>
    </row>
    <row r="295" spans="5:5" hidden="1" x14ac:dyDescent="0.25">
      <c r="E295" s="37"/>
    </row>
    <row r="296" spans="5:5" hidden="1" x14ac:dyDescent="0.25">
      <c r="E296" s="37"/>
    </row>
    <row r="297" spans="5:5" hidden="1" x14ac:dyDescent="0.25">
      <c r="E297" s="37"/>
    </row>
    <row r="298" spans="5:5" hidden="1" x14ac:dyDescent="0.25">
      <c r="E298" s="37"/>
    </row>
    <row r="299" spans="5:5" hidden="1" x14ac:dyDescent="0.25">
      <c r="E299" s="37"/>
    </row>
    <row r="300" spans="5:5" hidden="1" x14ac:dyDescent="0.25">
      <c r="E300" s="37"/>
    </row>
    <row r="301" spans="5:5" hidden="1" x14ac:dyDescent="0.25">
      <c r="E301" s="37"/>
    </row>
    <row r="302" spans="5:5" hidden="1" x14ac:dyDescent="0.25">
      <c r="E302" s="37"/>
    </row>
    <row r="303" spans="5:5" hidden="1" x14ac:dyDescent="0.25">
      <c r="E303" s="37"/>
    </row>
    <row r="304" spans="5:5" hidden="1" x14ac:dyDescent="0.25">
      <c r="E304" s="37"/>
    </row>
    <row r="305" spans="5:5" hidden="1" x14ac:dyDescent="0.25">
      <c r="E305" s="37"/>
    </row>
    <row r="306" spans="5:5" hidden="1" x14ac:dyDescent="0.25">
      <c r="E306" s="37"/>
    </row>
    <row r="307" spans="5:5" hidden="1" x14ac:dyDescent="0.25">
      <c r="E307" s="37"/>
    </row>
    <row r="308" spans="5:5" hidden="1" x14ac:dyDescent="0.25">
      <c r="E308" s="37"/>
    </row>
    <row r="309" spans="5:5" hidden="1" x14ac:dyDescent="0.25">
      <c r="E309" s="37"/>
    </row>
    <row r="310" spans="5:5" hidden="1" x14ac:dyDescent="0.25">
      <c r="E310" s="37"/>
    </row>
    <row r="311" spans="5:5" hidden="1" x14ac:dyDescent="0.25">
      <c r="E311" s="37"/>
    </row>
    <row r="312" spans="5:5" hidden="1" x14ac:dyDescent="0.25">
      <c r="E312" s="37"/>
    </row>
    <row r="313" spans="5:5" hidden="1" x14ac:dyDescent="0.25">
      <c r="E313" s="37"/>
    </row>
    <row r="314" spans="5:5" hidden="1" x14ac:dyDescent="0.25">
      <c r="E314" s="37"/>
    </row>
    <row r="315" spans="5:5" hidden="1" x14ac:dyDescent="0.25">
      <c r="E315" s="37"/>
    </row>
    <row r="316" spans="5:5" hidden="1" x14ac:dyDescent="0.25">
      <c r="E316" s="37"/>
    </row>
    <row r="317" spans="5:5" hidden="1" x14ac:dyDescent="0.25">
      <c r="E317" s="37"/>
    </row>
    <row r="318" spans="5:5" hidden="1" x14ac:dyDescent="0.25">
      <c r="E318" s="37"/>
    </row>
    <row r="319" spans="5:5" hidden="1" x14ac:dyDescent="0.25">
      <c r="E319" s="37"/>
    </row>
    <row r="320" spans="5:5" hidden="1" x14ac:dyDescent="0.25">
      <c r="E320" s="37"/>
    </row>
    <row r="321" spans="5:5" hidden="1" x14ac:dyDescent="0.25">
      <c r="E321" s="37"/>
    </row>
    <row r="322" spans="5:5" hidden="1" x14ac:dyDescent="0.25">
      <c r="E322" s="37"/>
    </row>
    <row r="323" spans="5:5" hidden="1" x14ac:dyDescent="0.25">
      <c r="E323" s="37"/>
    </row>
    <row r="324" spans="5:5" hidden="1" x14ac:dyDescent="0.25">
      <c r="E324" s="37"/>
    </row>
    <row r="325" spans="5:5" hidden="1" x14ac:dyDescent="0.25">
      <c r="E325" s="37"/>
    </row>
    <row r="326" spans="5:5" hidden="1" x14ac:dyDescent="0.25">
      <c r="E326" s="37"/>
    </row>
    <row r="327" spans="5:5" hidden="1" x14ac:dyDescent="0.25">
      <c r="E327" s="37"/>
    </row>
    <row r="328" spans="5:5" hidden="1" x14ac:dyDescent="0.25">
      <c r="E328" s="37"/>
    </row>
    <row r="329" spans="5:5" hidden="1" x14ac:dyDescent="0.25">
      <c r="E329" s="37"/>
    </row>
    <row r="330" spans="5:5" hidden="1" x14ac:dyDescent="0.25">
      <c r="E330" s="37"/>
    </row>
    <row r="331" spans="5:5" hidden="1" x14ac:dyDescent="0.25">
      <c r="E331" s="37"/>
    </row>
    <row r="332" spans="5:5" hidden="1" x14ac:dyDescent="0.25">
      <c r="E332" s="37"/>
    </row>
    <row r="333" spans="5:5" hidden="1" x14ac:dyDescent="0.25">
      <c r="E333" s="37"/>
    </row>
    <row r="334" spans="5:5" hidden="1" x14ac:dyDescent="0.25">
      <c r="E334" s="37"/>
    </row>
    <row r="335" spans="5:5" hidden="1" x14ac:dyDescent="0.25">
      <c r="E335" s="37"/>
    </row>
    <row r="336" spans="5:5" hidden="1" x14ac:dyDescent="0.25">
      <c r="E336" s="37"/>
    </row>
    <row r="337" spans="5:5" hidden="1" x14ac:dyDescent="0.25">
      <c r="E337" s="37"/>
    </row>
    <row r="338" spans="5:5" hidden="1" x14ac:dyDescent="0.25">
      <c r="E338" s="37"/>
    </row>
    <row r="339" spans="5:5" hidden="1" x14ac:dyDescent="0.25">
      <c r="E339" s="37"/>
    </row>
    <row r="340" spans="5:5" hidden="1" x14ac:dyDescent="0.25">
      <c r="E340" s="37"/>
    </row>
    <row r="341" spans="5:5" hidden="1" x14ac:dyDescent="0.25">
      <c r="E341" s="37"/>
    </row>
    <row r="342" spans="5:5" hidden="1" x14ac:dyDescent="0.25">
      <c r="E342" s="37"/>
    </row>
    <row r="343" spans="5:5" hidden="1" x14ac:dyDescent="0.25">
      <c r="E343" s="37"/>
    </row>
    <row r="344" spans="5:5" hidden="1" x14ac:dyDescent="0.25">
      <c r="E344" s="37"/>
    </row>
    <row r="345" spans="5:5" hidden="1" x14ac:dyDescent="0.25">
      <c r="E345" s="37"/>
    </row>
    <row r="346" spans="5:5" hidden="1" x14ac:dyDescent="0.25">
      <c r="E346" s="37"/>
    </row>
    <row r="347" spans="5:5" hidden="1" x14ac:dyDescent="0.25">
      <c r="E347" s="37"/>
    </row>
    <row r="348" spans="5:5" hidden="1" x14ac:dyDescent="0.25">
      <c r="E348" s="37"/>
    </row>
    <row r="349" spans="5:5" hidden="1" x14ac:dyDescent="0.25">
      <c r="E349" s="37"/>
    </row>
    <row r="350" spans="5:5" hidden="1" x14ac:dyDescent="0.25">
      <c r="E350" s="37"/>
    </row>
    <row r="351" spans="5:5" hidden="1" x14ac:dyDescent="0.25">
      <c r="E351" s="37"/>
    </row>
    <row r="352" spans="5:5" hidden="1" x14ac:dyDescent="0.25">
      <c r="E352" s="37"/>
    </row>
    <row r="353" spans="5:5" hidden="1" x14ac:dyDescent="0.25">
      <c r="E353" s="37"/>
    </row>
    <row r="354" spans="5:5" hidden="1" x14ac:dyDescent="0.25">
      <c r="E354" s="37"/>
    </row>
    <row r="355" spans="5:5" hidden="1" x14ac:dyDescent="0.25">
      <c r="E355" s="37"/>
    </row>
    <row r="356" spans="5:5" hidden="1" x14ac:dyDescent="0.25">
      <c r="E356" s="37"/>
    </row>
    <row r="357" spans="5:5" hidden="1" x14ac:dyDescent="0.25">
      <c r="E357" s="37"/>
    </row>
    <row r="358" spans="5:5" hidden="1" x14ac:dyDescent="0.25">
      <c r="E358" s="37"/>
    </row>
    <row r="359" spans="5:5" hidden="1" x14ac:dyDescent="0.25">
      <c r="E359" s="37"/>
    </row>
    <row r="360" spans="5:5" hidden="1" x14ac:dyDescent="0.25">
      <c r="E360" s="37"/>
    </row>
    <row r="361" spans="5:5" hidden="1" x14ac:dyDescent="0.25">
      <c r="E361" s="37"/>
    </row>
    <row r="362" spans="5:5" hidden="1" x14ac:dyDescent="0.25">
      <c r="E362" s="37"/>
    </row>
    <row r="363" spans="5:5" hidden="1" x14ac:dyDescent="0.25">
      <c r="E363" s="37"/>
    </row>
    <row r="364" spans="5:5" hidden="1" x14ac:dyDescent="0.25">
      <c r="E364" s="37"/>
    </row>
    <row r="365" spans="5:5" hidden="1" x14ac:dyDescent="0.25">
      <c r="E365" s="37"/>
    </row>
    <row r="366" spans="5:5" hidden="1" x14ac:dyDescent="0.25">
      <c r="E366" s="37"/>
    </row>
    <row r="367" spans="5:5" hidden="1" x14ac:dyDescent="0.25">
      <c r="E367" s="37"/>
    </row>
    <row r="368" spans="5:5" hidden="1" x14ac:dyDescent="0.25">
      <c r="E368" s="37"/>
    </row>
    <row r="369" spans="5:5" hidden="1" x14ac:dyDescent="0.25">
      <c r="E369" s="37"/>
    </row>
    <row r="370" spans="5:5" hidden="1" x14ac:dyDescent="0.25">
      <c r="E370" s="37"/>
    </row>
    <row r="371" spans="5:5" hidden="1" x14ac:dyDescent="0.25">
      <c r="E371" s="37"/>
    </row>
    <row r="372" spans="5:5" hidden="1" x14ac:dyDescent="0.25">
      <c r="E372" s="37"/>
    </row>
    <row r="373" spans="5:5" hidden="1" x14ac:dyDescent="0.25">
      <c r="E373" s="37"/>
    </row>
  </sheetData>
  <sheetProtection password="C5F7" sheet="1" objects="1" scenarios="1" formatCells="0"/>
  <mergeCells count="27">
    <mergeCell ref="A1:F1"/>
    <mergeCell ref="A2:F2"/>
    <mergeCell ref="A3:F3"/>
    <mergeCell ref="A4:F4"/>
    <mergeCell ref="A31:D31"/>
    <mergeCell ref="A10:D11"/>
    <mergeCell ref="F10:F11"/>
    <mergeCell ref="C28:D28"/>
    <mergeCell ref="A21:D21"/>
    <mergeCell ref="C27:D27"/>
    <mergeCell ref="A25:D25"/>
    <mergeCell ref="C23:D23"/>
    <mergeCell ref="A7:C7"/>
    <mergeCell ref="E10:E11"/>
    <mergeCell ref="C5:D5"/>
    <mergeCell ref="C6:D6"/>
    <mergeCell ref="C29:D29"/>
    <mergeCell ref="C30:D30"/>
    <mergeCell ref="A33:D33"/>
    <mergeCell ref="A34:D34"/>
    <mergeCell ref="E35:F35"/>
    <mergeCell ref="A35:D35"/>
    <mergeCell ref="E38:F38"/>
    <mergeCell ref="A38:D38"/>
    <mergeCell ref="E37:F37"/>
    <mergeCell ref="A37:D37"/>
    <mergeCell ref="E36:F36"/>
  </mergeCells>
  <conditionalFormatting sqref="E22">
    <cfRule type="cellIs" priority="1" stopIfTrue="1" operator="greaterThan">
      <formula>0</formula>
    </cfRule>
    <cfRule type="cellIs" priority="2" stopIfTrue="1" operator="greaterThan">
      <formula>0</formula>
    </cfRule>
  </conditionalFormatting>
  <dataValidations count="2">
    <dataValidation type="decimal" operator="greaterThanOrEqual" allowBlank="1" showInputMessage="1" showErrorMessage="1" errorTitle="Validation Rule" error="Allow only number" sqref="E13:E16 E18:E19 E23:E24 E27:E30">
      <formula1>0</formula1>
    </dataValidation>
    <dataValidation type="decimal" operator="greaterThanOrEqual" allowBlank="1" showInputMessage="1" showErrorMessage="1" errorTitle="Validation Rule" sqref="E8">
      <formula1>0</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20"/>
  <sheetViews>
    <sheetView tabSelected="1" workbookViewId="0">
      <selection activeCell="H20" sqref="H20"/>
    </sheetView>
  </sheetViews>
  <sheetFormatPr defaultRowHeight="15" x14ac:dyDescent="0.25"/>
  <sheetData>
    <row r="2" spans="1:15" ht="26.25" x14ac:dyDescent="0.4">
      <c r="A2" s="237" t="s">
        <v>81</v>
      </c>
      <c r="B2" s="237"/>
      <c r="C2" s="237"/>
      <c r="D2" s="237"/>
      <c r="E2" s="237"/>
      <c r="F2" s="237"/>
      <c r="G2" s="237"/>
      <c r="H2" s="237"/>
      <c r="I2" s="237"/>
      <c r="J2" s="237"/>
      <c r="K2" s="237"/>
      <c r="L2" s="93"/>
      <c r="M2" s="93"/>
      <c r="N2" s="93"/>
    </row>
    <row r="3" spans="1:15" ht="26.25" x14ac:dyDescent="0.4">
      <c r="A3" s="237"/>
      <c r="B3" s="237"/>
      <c r="C3" s="237"/>
      <c r="D3" s="237"/>
      <c r="E3" s="237"/>
      <c r="F3" s="237"/>
      <c r="G3" s="237"/>
      <c r="H3" s="237"/>
      <c r="I3" s="237"/>
      <c r="J3" s="237"/>
      <c r="K3" s="237"/>
      <c r="L3" s="93"/>
      <c r="M3" s="93"/>
      <c r="N3" s="93"/>
    </row>
    <row r="4" spans="1:15" ht="26.25" x14ac:dyDescent="0.4">
      <c r="A4" s="237" t="s">
        <v>82</v>
      </c>
      <c r="B4" s="237"/>
      <c r="C4" s="237"/>
      <c r="D4" s="237"/>
      <c r="E4" s="237"/>
      <c r="F4" s="237"/>
      <c r="G4" s="237"/>
      <c r="H4" s="237"/>
      <c r="I4" s="237"/>
      <c r="J4" s="237"/>
      <c r="K4" s="237"/>
      <c r="L4" s="93"/>
      <c r="M4" s="93"/>
      <c r="N4" s="93"/>
    </row>
    <row r="5" spans="1:15" x14ac:dyDescent="0.25">
      <c r="A5" s="93"/>
      <c r="B5" s="93"/>
      <c r="C5" s="93"/>
      <c r="D5" s="93"/>
      <c r="E5" s="93"/>
      <c r="F5" s="93"/>
      <c r="G5" s="93"/>
      <c r="H5" s="93"/>
      <c r="I5" s="93"/>
      <c r="J5" s="93"/>
      <c r="K5" s="93"/>
      <c r="L5" s="93"/>
      <c r="M5" s="93"/>
      <c r="N5" s="93"/>
    </row>
    <row r="6" spans="1:15" x14ac:dyDescent="0.25">
      <c r="A6" s="93"/>
      <c r="B6" s="93"/>
      <c r="C6" s="93"/>
      <c r="D6" s="93"/>
      <c r="E6" s="93"/>
      <c r="F6" s="93"/>
      <c r="G6" s="93"/>
      <c r="H6" s="93"/>
      <c r="I6" s="93"/>
      <c r="J6" s="93"/>
      <c r="K6" s="93"/>
      <c r="L6" s="93"/>
      <c r="M6" s="93"/>
      <c r="N6" s="93"/>
    </row>
    <row r="7" spans="1:15" ht="15.75" x14ac:dyDescent="0.25">
      <c r="A7" s="94" t="s">
        <v>83</v>
      </c>
      <c r="B7" s="95"/>
      <c r="C7" s="95"/>
      <c r="D7" s="95"/>
      <c r="E7" s="95"/>
      <c r="F7" s="95"/>
      <c r="G7" s="95"/>
      <c r="H7" s="96"/>
      <c r="I7" s="96"/>
      <c r="J7" s="96"/>
      <c r="K7" s="96"/>
      <c r="L7" s="96"/>
      <c r="M7" s="96"/>
      <c r="N7" s="96"/>
      <c r="O7" s="97"/>
    </row>
    <row r="8" spans="1:15" ht="15.75" x14ac:dyDescent="0.25">
      <c r="A8" s="94" t="s">
        <v>84</v>
      </c>
      <c r="B8" s="95"/>
      <c r="C8" s="95"/>
      <c r="D8" s="95"/>
      <c r="E8" s="95"/>
      <c r="F8" s="95"/>
      <c r="G8" s="95"/>
      <c r="H8" s="96"/>
      <c r="I8" s="96"/>
      <c r="J8" s="96"/>
      <c r="K8" s="96"/>
      <c r="L8" s="96"/>
      <c r="M8" s="96"/>
      <c r="N8" s="96"/>
      <c r="O8" s="97"/>
    </row>
    <row r="9" spans="1:15" ht="15.75" x14ac:dyDescent="0.25">
      <c r="A9" s="94" t="s">
        <v>85</v>
      </c>
      <c r="B9" s="95"/>
      <c r="C9" s="95"/>
      <c r="D9" s="95"/>
      <c r="E9" s="95"/>
      <c r="F9" s="95"/>
      <c r="G9" s="95"/>
      <c r="H9" s="96"/>
      <c r="I9" s="96"/>
      <c r="J9" s="96"/>
      <c r="K9" s="96"/>
      <c r="L9" s="96"/>
      <c r="M9" s="96"/>
      <c r="N9" s="96"/>
      <c r="O9" s="97"/>
    </row>
    <row r="10" spans="1:15" ht="15.75" x14ac:dyDescent="0.25">
      <c r="A10" s="94" t="s">
        <v>86</v>
      </c>
      <c r="B10" s="95"/>
      <c r="C10" s="95"/>
      <c r="D10" s="95"/>
      <c r="E10" s="95"/>
      <c r="F10" s="95"/>
      <c r="G10" s="95"/>
      <c r="H10" s="96"/>
      <c r="I10" s="96"/>
      <c r="J10" s="96"/>
      <c r="K10" s="96"/>
      <c r="L10" s="96"/>
      <c r="M10" s="96"/>
      <c r="N10" s="96"/>
      <c r="O10" s="97"/>
    </row>
    <row r="11" spans="1:15" x14ac:dyDescent="0.25">
      <c r="A11" s="98"/>
      <c r="B11" s="96"/>
      <c r="C11" s="96"/>
      <c r="D11" s="96"/>
      <c r="E11" s="96"/>
      <c r="F11" s="96"/>
      <c r="G11" s="96"/>
      <c r="H11" s="96"/>
      <c r="I11" s="96"/>
      <c r="J11" s="96"/>
      <c r="K11" s="96"/>
      <c r="L11" s="96"/>
      <c r="M11" s="96"/>
      <c r="N11" s="96"/>
      <c r="O11" s="97"/>
    </row>
    <row r="12" spans="1:15" ht="15.75" x14ac:dyDescent="0.25">
      <c r="A12" s="99"/>
      <c r="B12" s="100" t="s">
        <v>87</v>
      </c>
      <c r="C12" s="95"/>
      <c r="D12" s="95"/>
      <c r="E12" s="95"/>
      <c r="F12" s="95"/>
      <c r="G12" s="95"/>
      <c r="H12" s="95"/>
      <c r="I12" s="95"/>
      <c r="J12" s="95"/>
      <c r="K12" s="95"/>
      <c r="L12" s="95"/>
      <c r="M12" s="96"/>
      <c r="N12" s="96"/>
      <c r="O12" s="97"/>
    </row>
    <row r="13" spans="1:15" ht="15.75" x14ac:dyDescent="0.25">
      <c r="A13" s="99"/>
      <c r="B13" s="95" t="s">
        <v>88</v>
      </c>
      <c r="C13" s="95"/>
      <c r="D13" s="95"/>
      <c r="E13" s="95"/>
      <c r="F13" s="95"/>
      <c r="G13" s="95"/>
      <c r="H13" s="95"/>
      <c r="I13" s="95"/>
      <c r="J13" s="95"/>
      <c r="K13" s="95"/>
      <c r="L13" s="95"/>
      <c r="M13" s="96"/>
      <c r="N13" s="96"/>
      <c r="O13" s="97"/>
    </row>
    <row r="14" spans="1:15" ht="15.75" x14ac:dyDescent="0.25">
      <c r="A14" s="99"/>
      <c r="B14" s="95"/>
      <c r="C14" s="95"/>
      <c r="D14" s="95"/>
      <c r="E14" s="95"/>
      <c r="F14" s="95"/>
      <c r="G14" s="95"/>
      <c r="H14" s="95"/>
      <c r="I14" s="95"/>
      <c r="J14" s="95"/>
      <c r="K14" s="95"/>
      <c r="L14" s="95"/>
      <c r="M14" s="96"/>
      <c r="N14" s="96"/>
      <c r="O14" s="97"/>
    </row>
    <row r="15" spans="1:15" ht="15.75" x14ac:dyDescent="0.25">
      <c r="A15" s="99"/>
      <c r="B15" s="95" t="s">
        <v>89</v>
      </c>
      <c r="C15" s="95"/>
      <c r="D15" s="95"/>
      <c r="E15" s="95"/>
      <c r="F15" s="95"/>
      <c r="G15" s="95"/>
      <c r="H15" s="95"/>
      <c r="I15" s="95"/>
      <c r="J15" s="95"/>
      <c r="K15" s="95"/>
      <c r="L15" s="95"/>
      <c r="M15" s="96"/>
      <c r="N15" s="96"/>
      <c r="O15" s="97"/>
    </row>
    <row r="16" spans="1:15" x14ac:dyDescent="0.25">
      <c r="A16" s="101"/>
      <c r="B16" s="101"/>
      <c r="C16" s="101"/>
      <c r="D16" s="101"/>
      <c r="E16" s="101"/>
      <c r="F16" s="101"/>
      <c r="G16" s="101"/>
      <c r="H16" s="101"/>
      <c r="I16" s="101"/>
      <c r="J16" s="101"/>
      <c r="K16" s="101"/>
      <c r="L16" s="101"/>
      <c r="M16" s="101"/>
      <c r="N16" s="101"/>
      <c r="O16" s="101"/>
    </row>
    <row r="17" spans="1:15" ht="15.75" x14ac:dyDescent="0.25">
      <c r="A17" s="101"/>
      <c r="B17" s="100" t="s">
        <v>90</v>
      </c>
      <c r="C17" s="102"/>
      <c r="D17" s="102"/>
      <c r="E17" s="102"/>
      <c r="F17" s="102"/>
      <c r="G17" s="101"/>
      <c r="H17" s="101"/>
      <c r="I17" s="101"/>
      <c r="J17" s="101"/>
      <c r="K17" s="101"/>
      <c r="L17" s="101"/>
      <c r="M17" s="101"/>
      <c r="N17" s="101"/>
      <c r="O17" s="101"/>
    </row>
    <row r="20" spans="1:15" ht="19.5" x14ac:dyDescent="0.35">
      <c r="A20" s="103" t="s">
        <v>91</v>
      </c>
      <c r="B20" s="103"/>
      <c r="C20" s="103"/>
      <c r="D20" s="103"/>
      <c r="E20" s="103"/>
      <c r="F20" s="103"/>
      <c r="G20" s="103"/>
      <c r="H20" s="103"/>
      <c r="I20" s="104"/>
      <c r="J20" s="105"/>
      <c r="K20" s="105"/>
    </row>
  </sheetData>
  <sheetProtection password="C5F7" sheet="1" objects="1" scenarios="1"/>
  <mergeCells count="3">
    <mergeCell ref="A2:K2"/>
    <mergeCell ref="A3:K3"/>
    <mergeCell ref="A4:K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2011-11-28T07:53:30Z</dcterms:created>
  <dcterms:modified xsi:type="dcterms:W3CDTF">2012-07-17T07:44:16Z</dcterms:modified>
</cp:coreProperties>
</file>