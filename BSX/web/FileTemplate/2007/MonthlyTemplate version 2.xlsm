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2.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workbookProtection workbookPassword="C5F7" lockStructure="1"/>
  <bookViews>
    <workbookView xWindow="0" yWindow="405" windowWidth="12510" windowHeight="6465" tabRatio="858" firstSheet="8" activeTab="12"/>
  </bookViews>
  <sheets>
    <sheet name="List of Monthly Reports " sheetId="49" r:id="rId1"/>
    <sheet name="Balance Sheet" sheetId="46" r:id="rId2"/>
    <sheet name="Income Statement" sheetId="42" r:id="rId3"/>
    <sheet name="Off-Bal" sheetId="43" r:id="rId4"/>
    <sheet name="Networth" sheetId="28" r:id="rId5"/>
    <sheet name="Solvency Ratio" sheetId="13" r:id="rId6"/>
    <sheet name="Net Open Position" sheetId="14" r:id="rId7"/>
    <sheet name="Large Exp." sheetId="40" r:id="rId8"/>
    <sheet name="Loan2Related Parties" sheetId="17" r:id="rId9"/>
    <sheet name="List of Foreclosed Prop" sheetId="50" r:id="rId10"/>
    <sheet name="Source of Funds" sheetId="8" r:id="rId11"/>
    <sheet name="Normal" sheetId="56" r:id="rId12"/>
    <sheet name="Special" sheetId="52" r:id="rId13"/>
    <sheet name="Substandard" sheetId="53" r:id="rId14"/>
    <sheet name="Doubful Loan" sheetId="54" r:id="rId15"/>
    <sheet name="Loss" sheetId="55" r:id="rId16"/>
    <sheet name="Latest Credit by Sectors" sheetId="18" r:id="rId17"/>
    <sheet name="Top 20 Depositor" sheetId="19" r:id="rId18"/>
    <sheet name="classify customer depo" sheetId="20" r:id="rId19"/>
    <sheet name="classify amount Depo (L)" sheetId="21" r:id="rId20"/>
    <sheet name="Maturity" sheetId="25" r:id="rId21"/>
    <sheet name="Remuneration" sheetId="32" r:id="rId22"/>
    <sheet name="Net Liabilities" sheetId="9" r:id="rId23"/>
    <sheet name="Interest Rate" sheetId="10" r:id="rId24"/>
    <sheet name="Int. Sensitivity" sheetId="11" r:id="rId25"/>
    <sheet name="InterBank" sheetId="57" r:id="rId26"/>
    <sheet name="Network Info" sheetId="45" r:id="rId27"/>
  </sheets>
  <externalReferences>
    <externalReference r:id="rId28"/>
    <externalReference r:id="rId29"/>
    <externalReference r:id="rId30"/>
    <externalReference r:id="rId31"/>
    <externalReference r:id="rId32"/>
    <externalReference r:id="rId33"/>
    <externalReference r:id="rId34"/>
  </externalReferences>
  <definedNames>
    <definedName name="_xlnm._FilterDatabase" localSheetId="6" hidden="1">'Net Open Position'!$A$17:$J$33</definedName>
    <definedName name="_ftb1099" localSheetId="1" hidden="1">{#N/A,#N/A,FALSE,"P&amp;LVN H2";#N/A,#N/A,FALSE,"P&amp;LVIETNAM";#N/A,#N/A,FALSE,"P&amp;LVN H1";#N/A,#N/A,FALSE,"P&amp;L summary";#N/A,#N/A,FALSE,"CB";#N/A,#N/A,FALSE,"CEO ";#N/A,#N/A,FALSE,"Treasury";#N/A,#N/A,FALSE,"IBG";#N/A,#N/A,FALSE,"FIN";#N/A,#N/A,FALSE,"INDO";#N/A,#N/A,FALSE,"BS97"}</definedName>
    <definedName name="_ftb1099" localSheetId="19" hidden="1">{#N/A,#N/A,FALSE,"P&amp;LVN H2";#N/A,#N/A,FALSE,"P&amp;LVIETNAM";#N/A,#N/A,FALSE,"P&amp;LVN H1";#N/A,#N/A,FALSE,"P&amp;L summary";#N/A,#N/A,FALSE,"CB";#N/A,#N/A,FALSE,"CEO ";#N/A,#N/A,FALSE,"Treasury";#N/A,#N/A,FALSE,"IBG";#N/A,#N/A,FALSE,"FIN";#N/A,#N/A,FALSE,"INDO";#N/A,#N/A,FALSE,"BS97"}</definedName>
    <definedName name="_ftb1099" localSheetId="18" hidden="1">{#N/A,#N/A,FALSE,"P&amp;LVN H2";#N/A,#N/A,FALSE,"P&amp;LVIETNAM";#N/A,#N/A,FALSE,"P&amp;LVN H1";#N/A,#N/A,FALSE,"P&amp;L summary";#N/A,#N/A,FALSE,"CB";#N/A,#N/A,FALSE,"CEO ";#N/A,#N/A,FALSE,"Treasury";#N/A,#N/A,FALSE,"IBG";#N/A,#N/A,FALSE,"FIN";#N/A,#N/A,FALSE,"INDO";#N/A,#N/A,FALSE,"BS97"}</definedName>
    <definedName name="_ftb1099" localSheetId="14" hidden="1">{#N/A,#N/A,FALSE,"P&amp;LVN H2";#N/A,#N/A,FALSE,"P&amp;LVIETNAM";#N/A,#N/A,FALSE,"P&amp;LVN H1";#N/A,#N/A,FALSE,"P&amp;L summary";#N/A,#N/A,FALSE,"CB";#N/A,#N/A,FALSE,"CEO ";#N/A,#N/A,FALSE,"Treasury";#N/A,#N/A,FALSE,"IBG";#N/A,#N/A,FALSE,"FIN";#N/A,#N/A,FALSE,"INDO";#N/A,#N/A,FALSE,"BS97"}</definedName>
    <definedName name="_ftb1099" localSheetId="24" hidden="1">{#N/A,#N/A,FALSE,"P&amp;LVN H2";#N/A,#N/A,FALSE,"P&amp;LVIETNAM";#N/A,#N/A,FALSE,"P&amp;LVN H1";#N/A,#N/A,FALSE,"P&amp;L summary";#N/A,#N/A,FALSE,"CB";#N/A,#N/A,FALSE,"CEO ";#N/A,#N/A,FALSE,"Treasury";#N/A,#N/A,FALSE,"IBG";#N/A,#N/A,FALSE,"FIN";#N/A,#N/A,FALSE,"INDO";#N/A,#N/A,FALSE,"BS97"}</definedName>
    <definedName name="_ftb1099" localSheetId="25" hidden="1">{#N/A,#N/A,FALSE,"P&amp;LVN H2";#N/A,#N/A,FALSE,"P&amp;LVIETNAM";#N/A,#N/A,FALSE,"P&amp;LVN H1";#N/A,#N/A,FALSE,"P&amp;L summary";#N/A,#N/A,FALSE,"CB";#N/A,#N/A,FALSE,"CEO ";#N/A,#N/A,FALSE,"Treasury";#N/A,#N/A,FALSE,"IBG";#N/A,#N/A,FALSE,"FIN";#N/A,#N/A,FALSE,"INDO";#N/A,#N/A,FALSE,"BS97"}</definedName>
    <definedName name="_ftb1099" localSheetId="23" hidden="1">{#N/A,#N/A,FALSE,"P&amp;LVN H2";#N/A,#N/A,FALSE,"P&amp;LVIETNAM";#N/A,#N/A,FALSE,"P&amp;LVN H1";#N/A,#N/A,FALSE,"P&amp;L summary";#N/A,#N/A,FALSE,"CB";#N/A,#N/A,FALSE,"CEO ";#N/A,#N/A,FALSE,"Treasury";#N/A,#N/A,FALSE,"IBG";#N/A,#N/A,FALSE,"FIN";#N/A,#N/A,FALSE,"INDO";#N/A,#N/A,FALSE,"BS97"}</definedName>
    <definedName name="_ftb1099" localSheetId="16" hidden="1">{#N/A,#N/A,FALSE,"P&amp;LVN H2";#N/A,#N/A,FALSE,"P&amp;LVIETNAM";#N/A,#N/A,FALSE,"P&amp;LVN H1";#N/A,#N/A,FALSE,"P&amp;L summary";#N/A,#N/A,FALSE,"CB";#N/A,#N/A,FALSE,"CEO ";#N/A,#N/A,FALSE,"Treasury";#N/A,#N/A,FALSE,"IBG";#N/A,#N/A,FALSE,"FIN";#N/A,#N/A,FALSE,"INDO";#N/A,#N/A,FALSE,"BS97"}</definedName>
    <definedName name="_ftb1099" localSheetId="9" hidden="1">{#N/A,#N/A,FALSE,"P&amp;LVN H2";#N/A,#N/A,FALSE,"P&amp;LVIETNAM";#N/A,#N/A,FALSE,"P&amp;LVN H1";#N/A,#N/A,FALSE,"P&amp;L summary";#N/A,#N/A,FALSE,"CB";#N/A,#N/A,FALSE,"CEO ";#N/A,#N/A,FALSE,"Treasury";#N/A,#N/A,FALSE,"IBG";#N/A,#N/A,FALSE,"FIN";#N/A,#N/A,FALSE,"INDO";#N/A,#N/A,FALSE,"BS97"}</definedName>
    <definedName name="_ftb1099" localSheetId="0" hidden="1">{#N/A,#N/A,FALSE,"P&amp;LVN H2";#N/A,#N/A,FALSE,"P&amp;LVIETNAM";#N/A,#N/A,FALSE,"P&amp;LVN H1";#N/A,#N/A,FALSE,"P&amp;L summary";#N/A,#N/A,FALSE,"CB";#N/A,#N/A,FALSE,"CEO ";#N/A,#N/A,FALSE,"Treasury";#N/A,#N/A,FALSE,"IBG";#N/A,#N/A,FALSE,"FIN";#N/A,#N/A,FALSE,"INDO";#N/A,#N/A,FALSE,"BS97"}</definedName>
    <definedName name="_ftb1099" localSheetId="8" hidden="1">{#N/A,#N/A,FALSE,"P&amp;LVN H2";#N/A,#N/A,FALSE,"P&amp;LVIETNAM";#N/A,#N/A,FALSE,"P&amp;LVN H1";#N/A,#N/A,FALSE,"P&amp;L summary";#N/A,#N/A,FALSE,"CB";#N/A,#N/A,FALSE,"CEO ";#N/A,#N/A,FALSE,"Treasury";#N/A,#N/A,FALSE,"IBG";#N/A,#N/A,FALSE,"FIN";#N/A,#N/A,FALSE,"INDO";#N/A,#N/A,FALSE,"BS97"}</definedName>
    <definedName name="_ftb1099" localSheetId="15" hidden="1">{#N/A,#N/A,FALSE,"P&amp;LVN H2";#N/A,#N/A,FALSE,"P&amp;LVIETNAM";#N/A,#N/A,FALSE,"P&amp;LVN H1";#N/A,#N/A,FALSE,"P&amp;L summary";#N/A,#N/A,FALSE,"CB";#N/A,#N/A,FALSE,"CEO ";#N/A,#N/A,FALSE,"Treasury";#N/A,#N/A,FALSE,"IBG";#N/A,#N/A,FALSE,"FIN";#N/A,#N/A,FALSE,"INDO";#N/A,#N/A,FALSE,"BS97"}</definedName>
    <definedName name="_ftb1099" localSheetId="22" hidden="1">{#N/A,#N/A,FALSE,"P&amp;LVN H2";#N/A,#N/A,FALSE,"P&amp;LVIETNAM";#N/A,#N/A,FALSE,"P&amp;LVN H1";#N/A,#N/A,FALSE,"P&amp;L summary";#N/A,#N/A,FALSE,"CB";#N/A,#N/A,FALSE,"CEO ";#N/A,#N/A,FALSE,"Treasury";#N/A,#N/A,FALSE,"IBG";#N/A,#N/A,FALSE,"FIN";#N/A,#N/A,FALSE,"INDO";#N/A,#N/A,FALSE,"BS97"}</definedName>
    <definedName name="_ftb1099" localSheetId="6" hidden="1">{#N/A,#N/A,FALSE,"P&amp;LVN H2";#N/A,#N/A,FALSE,"P&amp;LVIETNAM";#N/A,#N/A,FALSE,"P&amp;LVN H1";#N/A,#N/A,FALSE,"P&amp;L summary";#N/A,#N/A,FALSE,"CB";#N/A,#N/A,FALSE,"CEO ";#N/A,#N/A,FALSE,"Treasury";#N/A,#N/A,FALSE,"IBG";#N/A,#N/A,FALSE,"FIN";#N/A,#N/A,FALSE,"INDO";#N/A,#N/A,FALSE,"BS97"}</definedName>
    <definedName name="_ftb1099" localSheetId="11" hidden="1">{#N/A,#N/A,FALSE,"P&amp;LVN H2";#N/A,#N/A,FALSE,"P&amp;LVIETNAM";#N/A,#N/A,FALSE,"P&amp;LVN H1";#N/A,#N/A,FALSE,"P&amp;L summary";#N/A,#N/A,FALSE,"CB";#N/A,#N/A,FALSE,"CEO ";#N/A,#N/A,FALSE,"Treasury";#N/A,#N/A,FALSE,"IBG";#N/A,#N/A,FALSE,"FIN";#N/A,#N/A,FALSE,"INDO";#N/A,#N/A,FALSE,"BS97"}</definedName>
    <definedName name="_ftb1099" localSheetId="5" hidden="1">{#N/A,#N/A,FALSE,"P&amp;LVN H2";#N/A,#N/A,FALSE,"P&amp;LVIETNAM";#N/A,#N/A,FALSE,"P&amp;LVN H1";#N/A,#N/A,FALSE,"P&amp;L summary";#N/A,#N/A,FALSE,"CB";#N/A,#N/A,FALSE,"CEO ";#N/A,#N/A,FALSE,"Treasury";#N/A,#N/A,FALSE,"IBG";#N/A,#N/A,FALSE,"FIN";#N/A,#N/A,FALSE,"INDO";#N/A,#N/A,FALSE,"BS97"}</definedName>
    <definedName name="_ftb1099" localSheetId="10" hidden="1">{#N/A,#N/A,FALSE,"P&amp;LVN H2";#N/A,#N/A,FALSE,"P&amp;LVIETNAM";#N/A,#N/A,FALSE,"P&amp;LVN H1";#N/A,#N/A,FALSE,"P&amp;L summary";#N/A,#N/A,FALSE,"CB";#N/A,#N/A,FALSE,"CEO ";#N/A,#N/A,FALSE,"Treasury";#N/A,#N/A,FALSE,"IBG";#N/A,#N/A,FALSE,"FIN";#N/A,#N/A,FALSE,"INDO";#N/A,#N/A,FALSE,"BS97"}</definedName>
    <definedName name="_ftb1099" localSheetId="12" hidden="1">{#N/A,#N/A,FALSE,"P&amp;LVN H2";#N/A,#N/A,FALSE,"P&amp;LVIETNAM";#N/A,#N/A,FALSE,"P&amp;LVN H1";#N/A,#N/A,FALSE,"P&amp;L summary";#N/A,#N/A,FALSE,"CB";#N/A,#N/A,FALSE,"CEO ";#N/A,#N/A,FALSE,"Treasury";#N/A,#N/A,FALSE,"IBG";#N/A,#N/A,FALSE,"FIN";#N/A,#N/A,FALSE,"INDO";#N/A,#N/A,FALSE,"BS97"}</definedName>
    <definedName name="_ftb1099" localSheetId="13" hidden="1">{#N/A,#N/A,FALSE,"P&amp;LVN H2";#N/A,#N/A,FALSE,"P&amp;LVIETNAM";#N/A,#N/A,FALSE,"P&amp;LVN H1";#N/A,#N/A,FALSE,"P&amp;L summary";#N/A,#N/A,FALSE,"CB";#N/A,#N/A,FALSE,"CEO ";#N/A,#N/A,FALSE,"Treasury";#N/A,#N/A,FALSE,"IBG";#N/A,#N/A,FALSE,"FIN";#N/A,#N/A,FALSE,"INDO";#N/A,#N/A,FALSE,"BS97"}</definedName>
    <definedName name="_ftb1099" localSheetId="17" hidden="1">{#N/A,#N/A,FALSE,"P&amp;LVN H2";#N/A,#N/A,FALSE,"P&amp;LVIETNAM";#N/A,#N/A,FALSE,"P&amp;LVN H1";#N/A,#N/A,FALSE,"P&amp;L summary";#N/A,#N/A,FALSE,"CB";#N/A,#N/A,FALSE,"CEO ";#N/A,#N/A,FALSE,"Treasury";#N/A,#N/A,FALSE,"IBG";#N/A,#N/A,FALSE,"FIN";#N/A,#N/A,FALSE,"INDO";#N/A,#N/A,FALSE,"BS97"}</definedName>
    <definedName name="_ftb1099" hidden="1">{#N/A,#N/A,FALSE,"P&amp;LVN H2";#N/A,#N/A,FALSE,"P&amp;LVIETNAM";#N/A,#N/A,FALSE,"P&amp;LVN H1";#N/A,#N/A,FALSE,"P&amp;L summary";#N/A,#N/A,FALSE,"CB";#N/A,#N/A,FALSE,"CEO ";#N/A,#N/A,FALSE,"Treasury";#N/A,#N/A,FALSE,"IBG";#N/A,#N/A,FALSE,"FIN";#N/A,#N/A,FALSE,"INDO";#N/A,#N/A,FALSE,"BS97"}</definedName>
    <definedName name="_oct1099" localSheetId="1" hidden="1">{#N/A,#N/A,FALSE,"P&amp;LVIETNAM";#N/A,#N/A,FALSE,"P&amp;L summary";#N/A,#N/A,FALSE,"Treasury";#N/A,#N/A,FALSE,"CB";#N/A,#N/A,FALSE,"CEO ";#N/A,#N/A,FALSE,"IBG";#N/A,#N/A,FALSE,"FIN";#N/A,#N/A,FALSE,"BS97"}</definedName>
    <definedName name="_oct1099" localSheetId="19" hidden="1">{#N/A,#N/A,FALSE,"P&amp;LVIETNAM";#N/A,#N/A,FALSE,"P&amp;L summary";#N/A,#N/A,FALSE,"Treasury";#N/A,#N/A,FALSE,"CB";#N/A,#N/A,FALSE,"CEO ";#N/A,#N/A,FALSE,"IBG";#N/A,#N/A,FALSE,"FIN";#N/A,#N/A,FALSE,"BS97"}</definedName>
    <definedName name="_oct1099" localSheetId="18" hidden="1">{#N/A,#N/A,FALSE,"P&amp;LVIETNAM";#N/A,#N/A,FALSE,"P&amp;L summary";#N/A,#N/A,FALSE,"Treasury";#N/A,#N/A,FALSE,"CB";#N/A,#N/A,FALSE,"CEO ";#N/A,#N/A,FALSE,"IBG";#N/A,#N/A,FALSE,"FIN";#N/A,#N/A,FALSE,"BS97"}</definedName>
    <definedName name="_oct1099" localSheetId="14" hidden="1">{#N/A,#N/A,FALSE,"P&amp;LVIETNAM";#N/A,#N/A,FALSE,"P&amp;L summary";#N/A,#N/A,FALSE,"Treasury";#N/A,#N/A,FALSE,"CB";#N/A,#N/A,FALSE,"CEO ";#N/A,#N/A,FALSE,"IBG";#N/A,#N/A,FALSE,"FIN";#N/A,#N/A,FALSE,"BS97"}</definedName>
    <definedName name="_oct1099" localSheetId="24" hidden="1">{#N/A,#N/A,FALSE,"P&amp;LVIETNAM";#N/A,#N/A,FALSE,"P&amp;L summary";#N/A,#N/A,FALSE,"Treasury";#N/A,#N/A,FALSE,"CB";#N/A,#N/A,FALSE,"CEO ";#N/A,#N/A,FALSE,"IBG";#N/A,#N/A,FALSE,"FIN";#N/A,#N/A,FALSE,"BS97"}</definedName>
    <definedName name="_oct1099" localSheetId="25" hidden="1">{#N/A,#N/A,FALSE,"P&amp;LVIETNAM";#N/A,#N/A,FALSE,"P&amp;L summary";#N/A,#N/A,FALSE,"Treasury";#N/A,#N/A,FALSE,"CB";#N/A,#N/A,FALSE,"CEO ";#N/A,#N/A,FALSE,"IBG";#N/A,#N/A,FALSE,"FIN";#N/A,#N/A,FALSE,"BS97"}</definedName>
    <definedName name="_oct1099" localSheetId="23" hidden="1">{#N/A,#N/A,FALSE,"P&amp;LVIETNAM";#N/A,#N/A,FALSE,"P&amp;L summary";#N/A,#N/A,FALSE,"Treasury";#N/A,#N/A,FALSE,"CB";#N/A,#N/A,FALSE,"CEO ";#N/A,#N/A,FALSE,"IBG";#N/A,#N/A,FALSE,"FIN";#N/A,#N/A,FALSE,"BS97"}</definedName>
    <definedName name="_oct1099" localSheetId="16" hidden="1">{#N/A,#N/A,FALSE,"P&amp;LVIETNAM";#N/A,#N/A,FALSE,"P&amp;L summary";#N/A,#N/A,FALSE,"Treasury";#N/A,#N/A,FALSE,"CB";#N/A,#N/A,FALSE,"CEO ";#N/A,#N/A,FALSE,"IBG";#N/A,#N/A,FALSE,"FIN";#N/A,#N/A,FALSE,"BS97"}</definedName>
    <definedName name="_oct1099" localSheetId="9" hidden="1">{#N/A,#N/A,FALSE,"P&amp;LVIETNAM";#N/A,#N/A,FALSE,"P&amp;L summary";#N/A,#N/A,FALSE,"Treasury";#N/A,#N/A,FALSE,"CB";#N/A,#N/A,FALSE,"CEO ";#N/A,#N/A,FALSE,"IBG";#N/A,#N/A,FALSE,"FIN";#N/A,#N/A,FALSE,"BS97"}</definedName>
    <definedName name="_oct1099" localSheetId="0" hidden="1">{#N/A,#N/A,FALSE,"P&amp;LVIETNAM";#N/A,#N/A,FALSE,"P&amp;L summary";#N/A,#N/A,FALSE,"Treasury";#N/A,#N/A,FALSE,"CB";#N/A,#N/A,FALSE,"CEO ";#N/A,#N/A,FALSE,"IBG";#N/A,#N/A,FALSE,"FIN";#N/A,#N/A,FALSE,"BS97"}</definedName>
    <definedName name="_oct1099" localSheetId="8" hidden="1">{#N/A,#N/A,FALSE,"P&amp;LVIETNAM";#N/A,#N/A,FALSE,"P&amp;L summary";#N/A,#N/A,FALSE,"Treasury";#N/A,#N/A,FALSE,"CB";#N/A,#N/A,FALSE,"CEO ";#N/A,#N/A,FALSE,"IBG";#N/A,#N/A,FALSE,"FIN";#N/A,#N/A,FALSE,"BS97"}</definedName>
    <definedName name="_oct1099" localSheetId="15" hidden="1">{#N/A,#N/A,FALSE,"P&amp;LVIETNAM";#N/A,#N/A,FALSE,"P&amp;L summary";#N/A,#N/A,FALSE,"Treasury";#N/A,#N/A,FALSE,"CB";#N/A,#N/A,FALSE,"CEO ";#N/A,#N/A,FALSE,"IBG";#N/A,#N/A,FALSE,"FIN";#N/A,#N/A,FALSE,"BS97"}</definedName>
    <definedName name="_oct1099" localSheetId="22" hidden="1">{#N/A,#N/A,FALSE,"P&amp;LVIETNAM";#N/A,#N/A,FALSE,"P&amp;L summary";#N/A,#N/A,FALSE,"Treasury";#N/A,#N/A,FALSE,"CB";#N/A,#N/A,FALSE,"CEO ";#N/A,#N/A,FALSE,"IBG";#N/A,#N/A,FALSE,"FIN";#N/A,#N/A,FALSE,"BS97"}</definedName>
    <definedName name="_oct1099" localSheetId="6" hidden="1">{#N/A,#N/A,FALSE,"P&amp;LVIETNAM";#N/A,#N/A,FALSE,"P&amp;L summary";#N/A,#N/A,FALSE,"Treasury";#N/A,#N/A,FALSE,"CB";#N/A,#N/A,FALSE,"CEO ";#N/A,#N/A,FALSE,"IBG";#N/A,#N/A,FALSE,"FIN";#N/A,#N/A,FALSE,"BS97"}</definedName>
    <definedName name="_oct1099" localSheetId="11" hidden="1">{#N/A,#N/A,FALSE,"P&amp;LVIETNAM";#N/A,#N/A,FALSE,"P&amp;L summary";#N/A,#N/A,FALSE,"Treasury";#N/A,#N/A,FALSE,"CB";#N/A,#N/A,FALSE,"CEO ";#N/A,#N/A,FALSE,"IBG";#N/A,#N/A,FALSE,"FIN";#N/A,#N/A,FALSE,"BS97"}</definedName>
    <definedName name="_oct1099" localSheetId="5" hidden="1">{#N/A,#N/A,FALSE,"P&amp;LVIETNAM";#N/A,#N/A,FALSE,"P&amp;L summary";#N/A,#N/A,FALSE,"Treasury";#N/A,#N/A,FALSE,"CB";#N/A,#N/A,FALSE,"CEO ";#N/A,#N/A,FALSE,"IBG";#N/A,#N/A,FALSE,"FIN";#N/A,#N/A,FALSE,"BS97"}</definedName>
    <definedName name="_oct1099" localSheetId="10" hidden="1">{#N/A,#N/A,FALSE,"P&amp;LVIETNAM";#N/A,#N/A,FALSE,"P&amp;L summary";#N/A,#N/A,FALSE,"Treasury";#N/A,#N/A,FALSE,"CB";#N/A,#N/A,FALSE,"CEO ";#N/A,#N/A,FALSE,"IBG";#N/A,#N/A,FALSE,"FIN";#N/A,#N/A,FALSE,"BS97"}</definedName>
    <definedName name="_oct1099" localSheetId="12" hidden="1">{#N/A,#N/A,FALSE,"P&amp;LVIETNAM";#N/A,#N/A,FALSE,"P&amp;L summary";#N/A,#N/A,FALSE,"Treasury";#N/A,#N/A,FALSE,"CB";#N/A,#N/A,FALSE,"CEO ";#N/A,#N/A,FALSE,"IBG";#N/A,#N/A,FALSE,"FIN";#N/A,#N/A,FALSE,"BS97"}</definedName>
    <definedName name="_oct1099" localSheetId="13" hidden="1">{#N/A,#N/A,FALSE,"P&amp;LVIETNAM";#N/A,#N/A,FALSE,"P&amp;L summary";#N/A,#N/A,FALSE,"Treasury";#N/A,#N/A,FALSE,"CB";#N/A,#N/A,FALSE,"CEO ";#N/A,#N/A,FALSE,"IBG";#N/A,#N/A,FALSE,"FIN";#N/A,#N/A,FALSE,"BS97"}</definedName>
    <definedName name="_oct1099" localSheetId="17" hidden="1">{#N/A,#N/A,FALSE,"P&amp;LVIETNAM";#N/A,#N/A,FALSE,"P&amp;L summary";#N/A,#N/A,FALSE,"Treasury";#N/A,#N/A,FALSE,"CB";#N/A,#N/A,FALSE,"CEO ";#N/A,#N/A,FALSE,"IBG";#N/A,#N/A,FALSE,"FIN";#N/A,#N/A,FALSE,"BS97"}</definedName>
    <definedName name="_oct1099" hidden="1">{#N/A,#N/A,FALSE,"P&amp;LVIETNAM";#N/A,#N/A,FALSE,"P&amp;L summary";#N/A,#N/A,FALSE,"Treasury";#N/A,#N/A,FALSE,"CB";#N/A,#N/A,FALSE,"CEO ";#N/A,#N/A,FALSE,"IBG";#N/A,#N/A,FALSE,"FIN";#N/A,#N/A,FALSE,"BS97"}</definedName>
    <definedName name="a">'Interest Rate'!$F$14:$F$22</definedName>
    <definedName name="aaaaa" localSheetId="1" hidden="1">{#N/A,#N/A,FALSE,"P&amp;LVIETNAM";#N/A,#N/A,FALSE,"P&amp;L summary";#N/A,#N/A,FALSE,"Treasury";#N/A,#N/A,FALSE,"CB";#N/A,#N/A,FALSE,"CEO ";#N/A,#N/A,FALSE,"IBG";#N/A,#N/A,FALSE,"FIN";#N/A,#N/A,FALSE,"BS97"}</definedName>
    <definedName name="aaaaa" localSheetId="19" hidden="1">{#N/A,#N/A,FALSE,"P&amp;LVIETNAM";#N/A,#N/A,FALSE,"P&amp;L summary";#N/A,#N/A,FALSE,"Treasury";#N/A,#N/A,FALSE,"CB";#N/A,#N/A,FALSE,"CEO ";#N/A,#N/A,FALSE,"IBG";#N/A,#N/A,FALSE,"FIN";#N/A,#N/A,FALSE,"BS97"}</definedName>
    <definedName name="aaaaa" localSheetId="18" hidden="1">{#N/A,#N/A,FALSE,"P&amp;LVIETNAM";#N/A,#N/A,FALSE,"P&amp;L summary";#N/A,#N/A,FALSE,"Treasury";#N/A,#N/A,FALSE,"CB";#N/A,#N/A,FALSE,"CEO ";#N/A,#N/A,FALSE,"IBG";#N/A,#N/A,FALSE,"FIN";#N/A,#N/A,FALSE,"BS97"}</definedName>
    <definedName name="aaaaa" localSheetId="14" hidden="1">{#N/A,#N/A,FALSE,"P&amp;LVIETNAM";#N/A,#N/A,FALSE,"P&amp;L summary";#N/A,#N/A,FALSE,"Treasury";#N/A,#N/A,FALSE,"CB";#N/A,#N/A,FALSE,"CEO ";#N/A,#N/A,FALSE,"IBG";#N/A,#N/A,FALSE,"FIN";#N/A,#N/A,FALSE,"BS97"}</definedName>
    <definedName name="aaaaa" localSheetId="24" hidden="1">{#N/A,#N/A,FALSE,"P&amp;LVIETNAM";#N/A,#N/A,FALSE,"P&amp;L summary";#N/A,#N/A,FALSE,"Treasury";#N/A,#N/A,FALSE,"CB";#N/A,#N/A,FALSE,"CEO ";#N/A,#N/A,FALSE,"IBG";#N/A,#N/A,FALSE,"FIN";#N/A,#N/A,FALSE,"BS97"}</definedName>
    <definedName name="aaaaa" localSheetId="25" hidden="1">{#N/A,#N/A,FALSE,"P&amp;LVIETNAM";#N/A,#N/A,FALSE,"P&amp;L summary";#N/A,#N/A,FALSE,"Treasury";#N/A,#N/A,FALSE,"CB";#N/A,#N/A,FALSE,"CEO ";#N/A,#N/A,FALSE,"IBG";#N/A,#N/A,FALSE,"FIN";#N/A,#N/A,FALSE,"BS97"}</definedName>
    <definedName name="aaaaa" localSheetId="23" hidden="1">{#N/A,#N/A,FALSE,"P&amp;LVIETNAM";#N/A,#N/A,FALSE,"P&amp;L summary";#N/A,#N/A,FALSE,"Treasury";#N/A,#N/A,FALSE,"CB";#N/A,#N/A,FALSE,"CEO ";#N/A,#N/A,FALSE,"IBG";#N/A,#N/A,FALSE,"FIN";#N/A,#N/A,FALSE,"BS97"}</definedName>
    <definedName name="aaaaa" localSheetId="16" hidden="1">{#N/A,#N/A,FALSE,"P&amp;LVIETNAM";#N/A,#N/A,FALSE,"P&amp;L summary";#N/A,#N/A,FALSE,"Treasury";#N/A,#N/A,FALSE,"CB";#N/A,#N/A,FALSE,"CEO ";#N/A,#N/A,FALSE,"IBG";#N/A,#N/A,FALSE,"FIN";#N/A,#N/A,FALSE,"BS97"}</definedName>
    <definedName name="aaaaa" localSheetId="9" hidden="1">{#N/A,#N/A,FALSE,"P&amp;LVIETNAM";#N/A,#N/A,FALSE,"P&amp;L summary";#N/A,#N/A,FALSE,"Treasury";#N/A,#N/A,FALSE,"CB";#N/A,#N/A,FALSE,"CEO ";#N/A,#N/A,FALSE,"IBG";#N/A,#N/A,FALSE,"FIN";#N/A,#N/A,FALSE,"BS97"}</definedName>
    <definedName name="aaaaa" localSheetId="0" hidden="1">{#N/A,#N/A,FALSE,"P&amp;LVIETNAM";#N/A,#N/A,FALSE,"P&amp;L summary";#N/A,#N/A,FALSE,"Treasury";#N/A,#N/A,FALSE,"CB";#N/A,#N/A,FALSE,"CEO ";#N/A,#N/A,FALSE,"IBG";#N/A,#N/A,FALSE,"FIN";#N/A,#N/A,FALSE,"BS97"}</definedName>
    <definedName name="aaaaa" localSheetId="8" hidden="1">{#N/A,#N/A,FALSE,"P&amp;LVIETNAM";#N/A,#N/A,FALSE,"P&amp;L summary";#N/A,#N/A,FALSE,"Treasury";#N/A,#N/A,FALSE,"CB";#N/A,#N/A,FALSE,"CEO ";#N/A,#N/A,FALSE,"IBG";#N/A,#N/A,FALSE,"FIN";#N/A,#N/A,FALSE,"BS97"}</definedName>
    <definedName name="aaaaa" localSheetId="15" hidden="1">{#N/A,#N/A,FALSE,"P&amp;LVIETNAM";#N/A,#N/A,FALSE,"P&amp;L summary";#N/A,#N/A,FALSE,"Treasury";#N/A,#N/A,FALSE,"CB";#N/A,#N/A,FALSE,"CEO ";#N/A,#N/A,FALSE,"IBG";#N/A,#N/A,FALSE,"FIN";#N/A,#N/A,FALSE,"BS97"}</definedName>
    <definedName name="aaaaa" localSheetId="22" hidden="1">{#N/A,#N/A,FALSE,"P&amp;LVIETNAM";#N/A,#N/A,FALSE,"P&amp;L summary";#N/A,#N/A,FALSE,"Treasury";#N/A,#N/A,FALSE,"CB";#N/A,#N/A,FALSE,"CEO ";#N/A,#N/A,FALSE,"IBG";#N/A,#N/A,FALSE,"FIN";#N/A,#N/A,FALSE,"BS97"}</definedName>
    <definedName name="aaaaa" localSheetId="6" hidden="1">{#N/A,#N/A,FALSE,"P&amp;LVIETNAM";#N/A,#N/A,FALSE,"P&amp;L summary";#N/A,#N/A,FALSE,"Treasury";#N/A,#N/A,FALSE,"CB";#N/A,#N/A,FALSE,"CEO ";#N/A,#N/A,FALSE,"IBG";#N/A,#N/A,FALSE,"FIN";#N/A,#N/A,FALSE,"BS97"}</definedName>
    <definedName name="aaaaa" localSheetId="11" hidden="1">{#N/A,#N/A,FALSE,"P&amp;LVIETNAM";#N/A,#N/A,FALSE,"P&amp;L summary";#N/A,#N/A,FALSE,"Treasury";#N/A,#N/A,FALSE,"CB";#N/A,#N/A,FALSE,"CEO ";#N/A,#N/A,FALSE,"IBG";#N/A,#N/A,FALSE,"FIN";#N/A,#N/A,FALSE,"BS97"}</definedName>
    <definedName name="aaaaa" localSheetId="5" hidden="1">{#N/A,#N/A,FALSE,"P&amp;LVIETNAM";#N/A,#N/A,FALSE,"P&amp;L summary";#N/A,#N/A,FALSE,"Treasury";#N/A,#N/A,FALSE,"CB";#N/A,#N/A,FALSE,"CEO ";#N/A,#N/A,FALSE,"IBG";#N/A,#N/A,FALSE,"FIN";#N/A,#N/A,FALSE,"BS97"}</definedName>
    <definedName name="aaaaa" localSheetId="10" hidden="1">{#N/A,#N/A,FALSE,"P&amp;LVIETNAM";#N/A,#N/A,FALSE,"P&amp;L summary";#N/A,#N/A,FALSE,"Treasury";#N/A,#N/A,FALSE,"CB";#N/A,#N/A,FALSE,"CEO ";#N/A,#N/A,FALSE,"IBG";#N/A,#N/A,FALSE,"FIN";#N/A,#N/A,FALSE,"BS97"}</definedName>
    <definedName name="aaaaa" localSheetId="12" hidden="1">{#N/A,#N/A,FALSE,"P&amp;LVIETNAM";#N/A,#N/A,FALSE,"P&amp;L summary";#N/A,#N/A,FALSE,"Treasury";#N/A,#N/A,FALSE,"CB";#N/A,#N/A,FALSE,"CEO ";#N/A,#N/A,FALSE,"IBG";#N/A,#N/A,FALSE,"FIN";#N/A,#N/A,FALSE,"BS97"}</definedName>
    <definedName name="aaaaa" localSheetId="13" hidden="1">{#N/A,#N/A,FALSE,"P&amp;LVIETNAM";#N/A,#N/A,FALSE,"P&amp;L summary";#N/A,#N/A,FALSE,"Treasury";#N/A,#N/A,FALSE,"CB";#N/A,#N/A,FALSE,"CEO ";#N/A,#N/A,FALSE,"IBG";#N/A,#N/A,FALSE,"FIN";#N/A,#N/A,FALSE,"BS97"}</definedName>
    <definedName name="aaaaa" localSheetId="17" hidden="1">{#N/A,#N/A,FALSE,"P&amp;LVIETNAM";#N/A,#N/A,FALSE,"P&amp;L summary";#N/A,#N/A,FALSE,"Treasury";#N/A,#N/A,FALSE,"CB";#N/A,#N/A,FALSE,"CEO ";#N/A,#N/A,FALSE,"IBG";#N/A,#N/A,FALSE,"FIN";#N/A,#N/A,FALSE,"BS97"}</definedName>
    <definedName name="aaaaa" hidden="1">{#N/A,#N/A,FALSE,"P&amp;LVIETNAM";#N/A,#N/A,FALSE,"P&amp;L summary";#N/A,#N/A,FALSE,"Treasury";#N/A,#N/A,FALSE,"CB";#N/A,#N/A,FALSE,"CEO ";#N/A,#N/A,FALSE,"IBG";#N/A,#N/A,FALSE,"FIN";#N/A,#N/A,FALSE,"BS97"}</definedName>
    <definedName name="ABS_ACC" localSheetId="14">[1]ACBS!$Z$4:$Z$9125</definedName>
    <definedName name="ABS_ACC" localSheetId="9">[1]ACBS!$Z$4:$Z$9125</definedName>
    <definedName name="ABS_ACC" localSheetId="0">[1]ACBS!$Z$4:$Z$9125</definedName>
    <definedName name="ABS_ACC" localSheetId="15">[1]ACBS!$Z$4:$Z$9125</definedName>
    <definedName name="ABS_ACC" localSheetId="11">[1]ACBS!$Z$4:$Z$9125</definedName>
    <definedName name="ABS_ACC" localSheetId="12">[1]ACBS!$Z$4:$Z$9125</definedName>
    <definedName name="ABS_ACC" localSheetId="13">[1]ACBS!$Z$4:$Z$9125</definedName>
    <definedName name="ABS_ACC">[1]ACBS!$Z$4:$Z$9125</definedName>
    <definedName name="Absolute_Amount_khr" localSheetId="14">#REF!</definedName>
    <definedName name="Absolute_Amount_khr" localSheetId="9">#REF!</definedName>
    <definedName name="Absolute_Amount_khr" localSheetId="15">#REF!</definedName>
    <definedName name="Absolute_Amount_khr" localSheetId="11">#REF!</definedName>
    <definedName name="Absolute_Amount_khr" localSheetId="12">#REF!</definedName>
    <definedName name="Absolute_Amount_khr" localSheetId="13">#REF!</definedName>
    <definedName name="Absolute_Amount_khr">#REF!</definedName>
    <definedName name="Absolute_Amount_usd" localSheetId="14">#REF!</definedName>
    <definedName name="Absolute_Amount_usd" localSheetId="9">#REF!</definedName>
    <definedName name="Absolute_Amount_usd" localSheetId="15">#REF!</definedName>
    <definedName name="Absolute_Amount_usd" localSheetId="11">#REF!</definedName>
    <definedName name="Absolute_Amount_usd" localSheetId="12">#REF!</definedName>
    <definedName name="Absolute_Amount_usd" localSheetId="13">#REF!</definedName>
    <definedName name="Absolute_Amount_usd">#REF!</definedName>
    <definedName name="accumulated_losses_khr">Networth!$L$34</definedName>
    <definedName name="accumulated_losses_usd">Networth!$J$34</definedName>
    <definedName name="Asset" localSheetId="14">[1]ACBS!$L$4</definedName>
    <definedName name="Asset" localSheetId="9">[1]ACBS!$L$4</definedName>
    <definedName name="Asset" localSheetId="0">[1]ACBS!$L$4</definedName>
    <definedName name="Asset" localSheetId="15">[1]ACBS!$L$4</definedName>
    <definedName name="Asset" localSheetId="11">[1]ACBS!$L$4</definedName>
    <definedName name="Asset" localSheetId="12">[1]ACBS!$L$4</definedName>
    <definedName name="Asset" localSheetId="13">[1]ACBS!$L$4</definedName>
    <definedName name="Asset">[1]ACBS!$L$4</definedName>
    <definedName name="assets_guaranteed_by_banks_khr">'Solvency Ratio'!$I$23</definedName>
    <definedName name="assets_guaranteed_by_banks_tusd">'Solvency Ratio'!$H$23</definedName>
    <definedName name="assets_guaranteed_by_banks_usd">'Solvency Ratio'!$F$23</definedName>
    <definedName name="assets_guaranteed_by_banks_wt">'Solvency Ratio'!$G$23</definedName>
    <definedName name="assets_guaranteed_by_sovereigns_khr">'Solvency Ratio'!$I$22</definedName>
    <definedName name="assets_guaranteed_by_sovereigns_tusd">'Solvency Ratio'!$H$22</definedName>
    <definedName name="assets_guaranteed_by_sovereigns_usd">'Solvency Ratio'!$F$22</definedName>
    <definedName name="assets_guaranteed_by_sovereigns_wt">'Solvency Ratio'!$G$22</definedName>
    <definedName name="assets_low_by_sovereigns_khr">'Solvency Ratio'!$I$17</definedName>
    <definedName name="assets_low_by_sovereigns_tusd">'Solvency Ratio'!$H$17</definedName>
    <definedName name="assets_low_by_sovereigns_usd">'Solvency Ratio'!$F$17</definedName>
    <definedName name="assets_low_by_sovereigns_wt">'Solvency Ratio'!$G$17</definedName>
    <definedName name="assets_low_cash_khr">'Solvency Ratio'!$I$13</definedName>
    <definedName name="assets_low_cash_tusd">'Solvency Ratio'!$H$13</definedName>
    <definedName name="assets_low_cash_usd">'Solvency Ratio'!$F$13</definedName>
    <definedName name="assets_low_cash_wt">'Solvency Ratio'!$G$13</definedName>
    <definedName name="assets_low_claimonNBC_khr">'Solvency Ratio'!$I$15</definedName>
    <definedName name="assets_low_claimonNBC_tusd">'Solvency Ratio'!$H$15</definedName>
    <definedName name="assets_low_claimonNBC_usd">'Solvency Ratio'!$F$15</definedName>
    <definedName name="assets_low_claimonNBC_wt">'Solvency Ratio'!$G$15</definedName>
    <definedName name="assets_low_collateralDeposits_khr">'Solvency Ratio'!$I$16</definedName>
    <definedName name="assets_low_collateralDeposits_tusd">'Solvency Ratio'!$H$16</definedName>
    <definedName name="assets_low_collateralDeposits_usd">'Solvency Ratio'!$F$16</definedName>
    <definedName name="assets_low_collateralDeposits_wt">'Solvency Ratio'!$G$16</definedName>
    <definedName name="assets_low_gold_khr">'Solvency Ratio'!$I$14</definedName>
    <definedName name="assets_low_gold_tusd">'Solvency Ratio'!$H$14</definedName>
    <definedName name="assets_low_gold_usd">'Solvency Ratio'!$F$14</definedName>
    <definedName name="assets_low_gold_wt">'Solvency Ratio'!$G$14</definedName>
    <definedName name="assets_low_risk_khr">'Solvency Ratio'!$I$12</definedName>
    <definedName name="assets_low_risk_tusd">'Solvency Ratio'!$H$12</definedName>
    <definedName name="assets_low_risk_usd">'Solvency Ratio'!$F$12</definedName>
    <definedName name="assets_low_risk_wt">'Solvency Ratio'!$G$12</definedName>
    <definedName name="assets_medium_risk_khr">'Solvency Ratio'!$I$21</definedName>
    <definedName name="assets_medium_risk_tusd">'Solvency Ratio'!$H$21</definedName>
    <definedName name="assets_medium_risk_usd">'Solvency Ratio'!$F$21</definedName>
    <definedName name="assets_medium_risk_wt">'Solvency Ratio'!$G$21</definedName>
    <definedName name="assets_medium_warranties_tusd">'Solvency Ratio'!$H$23</definedName>
    <definedName name="assets_moderate_guranteed_bank_khr">'Solvency Ratio'!$I$20</definedName>
    <definedName name="assets_moderate_guranteed_bank_tusd">'Solvency Ratio'!$H$20</definedName>
    <definedName name="assets_moderate_guranteed_bank_usd">'Solvency Ratio'!$F$20</definedName>
    <definedName name="assets_moderate_guranteed_bank_wt">'Solvency Ratio'!$G$20</definedName>
    <definedName name="assets_moderate_risk_khr">'Solvency Ratio'!$I$18</definedName>
    <definedName name="assets_moderate_risk_tusd">'Solvency Ratio'!$H$18</definedName>
    <definedName name="assets_moderate_risk_usd">'Solvency Ratio'!$F$18</definedName>
    <definedName name="assets_moderate_risk_wt">'Solvency Ratio'!$G$18</definedName>
    <definedName name="assets_moderate_sovereign_khr">'Solvency Ratio'!$I$19</definedName>
    <definedName name="assets_moderate_sovereign_tusd">'Solvency Ratio'!$H$19</definedName>
    <definedName name="assets_moderate_sovereign_usd">'Solvency Ratio'!$F$19</definedName>
    <definedName name="assets_moderate_sovereign_wt">'Solvency Ratio'!$G$19</definedName>
    <definedName name="assets_with_parent_tusd">'Net Liabilities'!$I$9</definedName>
    <definedName name="audited_net_profit_khr">Networth!$L$19</definedName>
    <definedName name="audited_net_profit_usd">Networth!$J$19</definedName>
    <definedName name="awp_debt_securities">'Net Liabilities'!$I$17</definedName>
    <definedName name="awp_due_from_parent">'Net Liabilities'!$I$10</definedName>
    <definedName name="awp_equity_securities">'Net Liabilities'!$I$18</definedName>
    <definedName name="awp_interest_demand_deposit">'Net Liabilities'!$I$12</definedName>
    <definedName name="awp_loan_and_placement">'Net Liabilities'!$I$13</definedName>
    <definedName name="awp_long_term_loan">'Net Liabilities'!$I$15</definedName>
    <definedName name="awp_non_interest_demand">'Net Liabilities'!$I$11</definedName>
    <definedName name="awp_others">'Net Liabilities'!$I$19</definedName>
    <definedName name="awp_securitie">'Net Liabilities'!$I$16</definedName>
    <definedName name="awp_short_term_loan">'Net Liabilities'!$I$14</definedName>
    <definedName name="bank_placements_fcs">'Interest Rate'!$H$29</definedName>
    <definedName name="bank_placements_gold">'Interest Rate'!$I$29</definedName>
    <definedName name="bank_placements_khr">'Interest Rate'!$F$29</definedName>
    <definedName name="bank_placements_usd">'Interest Rate'!$G$29</definedName>
    <definedName name="BS_Balance" localSheetId="14">'[1]BS-Input'!$C$8:$C$65536</definedName>
    <definedName name="BS_Balance" localSheetId="9">'[1]BS-Input'!$C$8:$C$65536</definedName>
    <definedName name="BS_Balance" localSheetId="0">'[1]BS-Input'!$C$8:$C$65536</definedName>
    <definedName name="BS_Balance" localSheetId="15">'[1]BS-Input'!$C$8:$C$65536</definedName>
    <definedName name="BS_Balance" localSheetId="11">'[1]BS-Input'!$C$8:$C$65536</definedName>
    <definedName name="BS_Balance" localSheetId="12">'[1]BS-Input'!$C$8:$C$65536</definedName>
    <definedName name="BS_Balance" localSheetId="13">'[1]BS-Input'!$C$8:$C$65536</definedName>
    <definedName name="BS_Balance">'[1]BS-Input'!$C$8:$C$65536</definedName>
    <definedName name="BS_Code" localSheetId="14">'[1]BS-Input'!$D$8:$D$65536</definedName>
    <definedName name="BS_Code" localSheetId="9">'[1]BS-Input'!$D$8:$D$65536</definedName>
    <definedName name="BS_Code" localSheetId="0">'[1]BS-Input'!$D$8:$D$65536</definedName>
    <definedName name="BS_Code" localSheetId="15">'[1]BS-Input'!$D$8:$D$65536</definedName>
    <definedName name="BS_Code" localSheetId="11">'[1]BS-Input'!$D$8:$D$65536</definedName>
    <definedName name="BS_Code" localSheetId="12">'[1]BS-Input'!$D$8:$D$65536</definedName>
    <definedName name="BS_Code" localSheetId="13">'[1]BS-Input'!$D$8:$D$65536</definedName>
    <definedName name="BS_Code">'[1]BS-Input'!$D$8:$D$65536</definedName>
    <definedName name="BS_KHR">[2]BS!$S$6:$S$969</definedName>
    <definedName name="BS_TOT">[2]BS!$W$6:$W$969</definedName>
    <definedName name="BSCode">[2]BS!$F$6:$F$969</definedName>
    <definedName name="BSCode_ALNew">[2]BS!$H$6:$H$970</definedName>
    <definedName name="BSCode_ALOld">[2]BS!$I$6:$I$969</definedName>
    <definedName name="BSCode_ALOld1">[2]BS!$J$6:$J$969</definedName>
    <definedName name="BSCode1">[2]BS!$G$6:$G$969</definedName>
    <definedName name="BSNbc_Code">'Balance Sheet'!$A$14:$A$283</definedName>
    <definedName name="BSNbc_FOR">'Balance Sheet'!$J$14:$J$283</definedName>
    <definedName name="BSNbc_KHR">'Balance Sheet'!$I$14:$I$283</definedName>
    <definedName name="BSNbc_TOT">'Balance Sheet'!$K$14:$K$283</definedName>
    <definedName name="clerk_female">Remuneration!$G$46</definedName>
    <definedName name="clerk_male">Remuneration!$F$46</definedName>
    <definedName name="clerk_other">Remuneration!$H$46</definedName>
    <definedName name="commitment_from_parent">'Net Liabilities'!$I$35</definedName>
    <definedName name="commitment_to_parent">'Net Liabilities'!$I$34</definedName>
    <definedName name="Contra" localSheetId="14">[1]OBS!$F$226</definedName>
    <definedName name="Contra" localSheetId="9">[1]OBS!$F$226</definedName>
    <definedName name="Contra" localSheetId="0">[1]OBS!$F$226</definedName>
    <definedName name="Contra" localSheetId="15">[1]OBS!$F$226</definedName>
    <definedName name="Contra" localSheetId="11">[1]OBS!$F$226</definedName>
    <definedName name="Contra" localSheetId="12">[1]OBS!$F$226</definedName>
    <definedName name="Contra" localSheetId="13">[1]OBS!$F$226</definedName>
    <definedName name="Contra">[1]OBS!$F$226</definedName>
    <definedName name="credit_card_fcs">'Interest Rate'!$H$28</definedName>
    <definedName name="credit_card_gold">'Interest Rate'!$I$28</definedName>
    <definedName name="credit_card_khr">'Interest Rate'!$F$28</definedName>
    <definedName name="credit_card_usd">'Interest Rate'!$G$28</definedName>
    <definedName name="debt_instruments_shareholders_khr">Networth!$L$40</definedName>
    <definedName name="debt_instruments_shareholders_usd">Networth!$J$40</definedName>
    <definedName name="demand_deposits_fcs">'Interest Rate'!$H$14</definedName>
    <definedName name="demand_deposits_gold">'Interest Rate'!$I$14</definedName>
    <definedName name="demand_deposits_khr">'Interest Rate'!$F$14</definedName>
    <definedName name="demand_deposits_usd">'Interest Rate'!$G$14</definedName>
    <definedName name="DepositorTypeID1">'classify customer depo'!$B$15</definedName>
    <definedName name="DepositorTypeID10">'classify customer depo'!$B$27</definedName>
    <definedName name="DepositorTypeID11">'classify customer depo'!$B$28</definedName>
    <definedName name="DepositorTypeID2">'classify customer depo'!$B$16</definedName>
    <definedName name="DepositorTypeID3">'classify customer depo'!$B$17</definedName>
    <definedName name="DepositorTypeID4">'classify customer depo'!$B$18</definedName>
    <definedName name="DepositorTypeID5">'classify customer depo'!$B$19</definedName>
    <definedName name="DepositorTypeID6">'classify customer depo'!$B$20</definedName>
    <definedName name="DepositorTypeID7">'classify customer depo'!$B$21</definedName>
    <definedName name="DepositorTypeID8">'classify customer depo'!$B$25</definedName>
    <definedName name="DepositorTypeID9">'classify customer depo'!$B$26</definedName>
    <definedName name="deposits_one_month_less_fcs">'Interest Rate'!$H$17</definedName>
    <definedName name="deposits_one_month_less_gold">'Interest Rate'!$I$17</definedName>
    <definedName name="deposits_one_month_less_khr">'Interest Rate'!$F$17</definedName>
    <definedName name="deposits_one_month_less_usd">'Interest Rate'!$G$17</definedName>
    <definedName name="deposits_one_three_month_fcs">'Interest Rate'!$H$18</definedName>
    <definedName name="deposits_one_three_month_gold">'Interest Rate'!$I$18</definedName>
    <definedName name="deposits_one_three_month_khr">'Interest Rate'!$F$18</definedName>
    <definedName name="deposits_one_three_month_usd">'Interest Rate'!$G$18</definedName>
    <definedName name="deposits_one_year_up_fcs">'Interest Rate'!$H$21</definedName>
    <definedName name="deposits_one_year_up_gold">'Interest Rate'!$I$21</definedName>
    <definedName name="deposits_one_year_up_khr">'Interest Rate'!$F$21</definedName>
    <definedName name="deposits_one_year_up_usd">'Interest Rate'!$G$21</definedName>
    <definedName name="deposits_six_one_year_fcs">'Interest Rate'!$H$20</definedName>
    <definedName name="deposits_six_one_year_gold">'Interest Rate'!$I$20</definedName>
    <definedName name="deposits_six_one_year_khr">'Interest Rate'!$F$20</definedName>
    <definedName name="deposits_six_one_year_usd">'Interest Rate'!$G$20</definedName>
    <definedName name="deposits_three_six_month_fcs">'Interest Rate'!$H$19</definedName>
    <definedName name="deposits_three_six_month_gold">'Interest Rate'!$I$19</definedName>
    <definedName name="deposits_three_six_month_khr">'Interest Rate'!$F$19</definedName>
    <definedName name="deposits_three_six_month_usd">'Interest Rate'!$G$19</definedName>
    <definedName name="Differ_A_and_B_khr" localSheetId="14">#REF!</definedName>
    <definedName name="Differ_A_and_B_khr" localSheetId="15">#REF!</definedName>
    <definedName name="Differ_A_and_B_khr" localSheetId="11">#REF!</definedName>
    <definedName name="Differ_A_and_B_khr" localSheetId="12">#REF!</definedName>
    <definedName name="Differ_A_and_B_khr" localSheetId="13">#REF!</definedName>
    <definedName name="Differ_A_and_B_khr">#REF!</definedName>
    <definedName name="Differ_A_and_B_usd" localSheetId="14">#REF!</definedName>
    <definedName name="Differ_A_and_B_usd" localSheetId="9">#REF!</definedName>
    <definedName name="Differ_A_and_B_usd" localSheetId="15">#REF!</definedName>
    <definedName name="Differ_A_and_B_usd" localSheetId="11">#REF!</definedName>
    <definedName name="Differ_A_and_B_usd" localSheetId="12">#REF!</definedName>
    <definedName name="Differ_A_and_B_usd" localSheetId="13">#REF!</definedName>
    <definedName name="Differ_A_and_B_usd">#REF!</definedName>
    <definedName name="Equity" localSheetId="14">[1]ACBS!$L$105</definedName>
    <definedName name="Equity" localSheetId="9">[1]ACBS!$L$105</definedName>
    <definedName name="Equity" localSheetId="0">[1]ACBS!$L$105</definedName>
    <definedName name="Equity" localSheetId="15">[1]ACBS!$L$105</definedName>
    <definedName name="Equity" localSheetId="11">[1]ACBS!$L$105</definedName>
    <definedName name="Equity" localSheetId="12">[1]ACBS!$L$105</definedName>
    <definedName name="Equity" localSheetId="13">[1]ACBS!$L$105</definedName>
    <definedName name="Equity">[1]ACBS!$L$105</definedName>
    <definedName name="equity_participations_bank_khr">Networth!$L$72</definedName>
    <definedName name="equity_participations_bank_usd">Networth!$J$72</definedName>
    <definedName name="Expense" localSheetId="14">[1]ACIS!$F$3200</definedName>
    <definedName name="Expense" localSheetId="9">[1]ACIS!$F$3200</definedName>
    <definedName name="Expense" localSheetId="0">[1]ACIS!$F$3200</definedName>
    <definedName name="Expense" localSheetId="15">[1]ACIS!$F$3200</definedName>
    <definedName name="Expense" localSheetId="11">[1]ACIS!$F$3200</definedName>
    <definedName name="Expense" localSheetId="12">[1]ACIS!$F$3200</definedName>
    <definedName name="Expense" localSheetId="13">[1]ACIS!$F$3200</definedName>
    <definedName name="Expense">[1]ACIS!$F$3200</definedName>
    <definedName name="general_provision_khr">Networth!$L$56</definedName>
    <definedName name="general_provision_usd">Networth!$J$56</definedName>
    <definedName name="If_A_Minus_B_khr" localSheetId="14">#REF!</definedName>
    <definedName name="If_A_Minus_B_khr" localSheetId="9">#REF!</definedName>
    <definedName name="If_A_Minus_B_khr" localSheetId="15">#REF!</definedName>
    <definedName name="If_A_Minus_B_khr" localSheetId="11">#REF!</definedName>
    <definedName name="If_A_Minus_B_khr" localSheetId="12">#REF!</definedName>
    <definedName name="If_A_Minus_B_khr" localSheetId="13">#REF!</definedName>
    <definedName name="If_A_Minus_B_khr">#REF!</definedName>
    <definedName name="If_A_Minus_B_usd" localSheetId="14">#REF!</definedName>
    <definedName name="If_A_Minus_B_usd" localSheetId="9">#REF!</definedName>
    <definedName name="If_A_Minus_B_usd" localSheetId="15">#REF!</definedName>
    <definedName name="If_A_Minus_B_usd" localSheetId="11">#REF!</definedName>
    <definedName name="If_A_Minus_B_usd" localSheetId="12">#REF!</definedName>
    <definedName name="If_A_Minus_B_usd" localSheetId="13">#REF!</definedName>
    <definedName name="If_A_Minus_B_usd">#REF!</definedName>
    <definedName name="Income" localSheetId="14">[1]ACIS!$F$2</definedName>
    <definedName name="Income" localSheetId="9">[1]ACIS!$F$2</definedName>
    <definedName name="Income" localSheetId="0">[1]ACIS!$F$2</definedName>
    <definedName name="Income" localSheetId="15">[1]ACIS!$F$2</definedName>
    <definedName name="Income" localSheetId="11">[1]ACIS!$F$2</definedName>
    <definedName name="Income" localSheetId="12">[1]ACIS!$F$2</definedName>
    <definedName name="Income" localSheetId="13">[1]ACIS!$F$2</definedName>
    <definedName name="Income">[1]ACIS!$F$2</definedName>
    <definedName name="irrevocable_credit_lines_khr">'Solvency Ratio'!$I$44</definedName>
    <definedName name="irrevocable_credit_lines_tusd">'Solvency Ratio'!$H$44</definedName>
    <definedName name="irrevocable_credit_lines_usd">'Solvency Ratio'!$F$44</definedName>
    <definedName name="irrevocable_credit_lines_wt">'Solvency Ratio'!$G$44</definedName>
    <definedName name="IS_Balance" localSheetId="14">'[1]IS-Input'!$C$8:$C$400</definedName>
    <definedName name="IS_Balance" localSheetId="9">'[1]IS-Input'!$C$8:$C$400</definedName>
    <definedName name="IS_Balance" localSheetId="0">'[1]IS-Input'!$C$8:$C$400</definedName>
    <definedName name="IS_Balance" localSheetId="15">'[1]IS-Input'!$C$8:$C$400</definedName>
    <definedName name="IS_Balance" localSheetId="11">'[1]IS-Input'!$C$8:$C$400</definedName>
    <definedName name="IS_Balance" localSheetId="12">'[1]IS-Input'!$C$8:$C$400</definedName>
    <definedName name="IS_Balance" localSheetId="13">'[1]IS-Input'!$C$8:$C$400</definedName>
    <definedName name="IS_Balance">'[1]IS-Input'!$C$8:$C$400</definedName>
    <definedName name="IS_Code" localSheetId="14">'[1]IS-Input'!$D$8:$D$400</definedName>
    <definedName name="IS_Code" localSheetId="9">'[1]IS-Input'!$D$8:$D$400</definedName>
    <definedName name="IS_Code" localSheetId="0">'[1]IS-Input'!$D$8:$D$400</definedName>
    <definedName name="IS_Code" localSheetId="15">'[1]IS-Input'!$D$8:$D$400</definedName>
    <definedName name="IS_Code" localSheetId="11">'[1]IS-Input'!$D$8:$D$400</definedName>
    <definedName name="IS_Code" localSheetId="12">'[1]IS-Input'!$D$8:$D$400</definedName>
    <definedName name="IS_Code" localSheetId="13">'[1]IS-Input'!$D$8:$D$400</definedName>
    <definedName name="IS_Code">'[1]IS-Input'!$D$8:$D$400</definedName>
    <definedName name="IS_KHR">[2]IS!$N$6:$N$791</definedName>
    <definedName name="IS_TOT">[2]IS!$Q$6:$Q$791</definedName>
    <definedName name="ISCode">[2]IS!$F$6:$F$791</definedName>
    <definedName name="ISCodeOld">[2]IS!#REF!</definedName>
    <definedName name="itimized_an_attachment_khr">Networth!$L$41</definedName>
    <definedName name="itimized_an_attachment_usd">Networth!$J$41</definedName>
    <definedName name="junior_staffs_female">Remuneration!$G$45</definedName>
    <definedName name="junior_staffs_male">Remuneration!$F$45</definedName>
    <definedName name="junior_staffs_other">Remuneration!$H$45</definedName>
    <definedName name="Liabilities" localSheetId="14">[1]ACBS!$L$24</definedName>
    <definedName name="Liabilities" localSheetId="9">[1]ACBS!$L$24</definedName>
    <definedName name="Liabilities" localSheetId="0">[1]ACBS!$L$24</definedName>
    <definedName name="Liabilities" localSheetId="15">[1]ACBS!$L$24</definedName>
    <definedName name="Liabilities" localSheetId="11">[1]ACBS!$L$24</definedName>
    <definedName name="Liabilities" localSheetId="12">[1]ACBS!$L$24</definedName>
    <definedName name="Liabilities" localSheetId="13">[1]ACBS!$L$24</definedName>
    <definedName name="Liabilities">[1]ACBS!$L$24</definedName>
    <definedName name="liabilities_with_parent">'Net Liabilities'!$I$20</definedName>
    <definedName name="Liability" localSheetId="14">[3]ACBS!$U$848</definedName>
    <definedName name="Liability" localSheetId="9">[3]ACBS!$U$848</definedName>
    <definedName name="Liability" localSheetId="0">[3]ACBS!$U$848</definedName>
    <definedName name="Liability" localSheetId="15">[3]ACBS!$U$848</definedName>
    <definedName name="Liability" localSheetId="11">[3]ACBS!$U$848</definedName>
    <definedName name="Liability" localSheetId="12">[3]ACBS!$U$848</definedName>
    <definedName name="Liability" localSheetId="13">[3]ACBS!$U$848</definedName>
    <definedName name="Liability">[3]ACBS!$U$848</definedName>
    <definedName name="limit_check_tier2_capital_khr">Networth!$L$79</definedName>
    <definedName name="limit_check_tier2_capital_usd">Networth!$J$79</definedName>
    <definedName name="limited_check_retained_earning_khr">Networth!$L$29</definedName>
    <definedName name="limited_check_retained_earning_usd">Networth!$J$29</definedName>
    <definedName name="Liquidity_Ratio_khr" localSheetId="14">#REF!</definedName>
    <definedName name="Liquidity_Ratio_khr" localSheetId="9">#REF!</definedName>
    <definedName name="Liquidity_Ratio_khr" localSheetId="15">#REF!</definedName>
    <definedName name="Liquidity_Ratio_khr" localSheetId="11">#REF!</definedName>
    <definedName name="Liquidity_Ratio_khr" localSheetId="12">#REF!</definedName>
    <definedName name="Liquidity_Ratio_khr" localSheetId="13">#REF!</definedName>
    <definedName name="Liquidity_Ratio_khr">#REF!</definedName>
    <definedName name="Liquidity_Ratio_usd" localSheetId="14">#REF!</definedName>
    <definedName name="Liquidity_Ratio_usd" localSheetId="9">#REF!</definedName>
    <definedName name="Liquidity_Ratio_usd" localSheetId="15">#REF!</definedName>
    <definedName name="Liquidity_Ratio_usd" localSheetId="11">#REF!</definedName>
    <definedName name="Liquidity_Ratio_usd" localSheetId="12">#REF!</definedName>
    <definedName name="Liquidity_Ratio_usd" localSheetId="13">#REF!</definedName>
    <definedName name="Liquidity_Ratio_usd">#REF!</definedName>
    <definedName name="loan_a_year_up_fcs">'Interest Rate'!$H$35</definedName>
    <definedName name="loan_a_year_up_gold">'Interest Rate'!$I$35</definedName>
    <definedName name="loan_a_year_up_khr">'Interest Rate'!$F$35</definedName>
    <definedName name="loan_a_year_up_usd">'Interest Rate'!$G$35</definedName>
    <definedName name="loan_less_a_year_fcs">'Interest Rate'!$H$34</definedName>
    <definedName name="loan_less_a_year_gold">'Interest Rate'!$I$34</definedName>
    <definedName name="loan_less_a_year_khr">'Interest Rate'!$F$34</definedName>
    <definedName name="loan_less_a_year_usd">'Interest Rate'!$G$34</definedName>
    <definedName name="loan_one_month_less_fcs">'Interest Rate'!$H$30</definedName>
    <definedName name="loan_one_month_less_gold">'Interest Rate'!$I$30</definedName>
    <definedName name="loan_one_month_less_khr">'Interest Rate'!$F$30</definedName>
    <definedName name="loan_one_month_less_usd">'Interest Rate'!$G$30</definedName>
    <definedName name="loan_one_month_up_fcs">'Interest Rate'!$H$31</definedName>
    <definedName name="loan_one_month_up_gold">'Interest Rate'!$I$31</definedName>
    <definedName name="loan_one_month_up_khr">'Interest Rate'!$F$31</definedName>
    <definedName name="loan_one_month_up_usd">'Interest Rate'!$G$31</definedName>
    <definedName name="LR_Cr_Bal_Financial_Instit_khr" localSheetId="14">#REF!</definedName>
    <definedName name="LR_Cr_Bal_Financial_Instit_khr" localSheetId="15">#REF!</definedName>
    <definedName name="LR_Cr_Bal_Financial_Instit_khr" localSheetId="11">#REF!</definedName>
    <definedName name="LR_Cr_Bal_Financial_Instit_khr" localSheetId="12">#REF!</definedName>
    <definedName name="LR_Cr_Bal_Financial_Instit_khr" localSheetId="13">#REF!</definedName>
    <definedName name="LR_Cr_Bal_Financial_Instit_khr">#REF!</definedName>
    <definedName name="LR_Cr_Bal_Financial_Instit_usd" localSheetId="14">#REF!</definedName>
    <definedName name="LR_Cr_Bal_Financial_Instit_usd" localSheetId="9">#REF!</definedName>
    <definedName name="LR_Cr_Bal_Financial_Instit_usd" localSheetId="15">#REF!</definedName>
    <definedName name="LR_Cr_Bal_Financial_Instit_usd" localSheetId="11">#REF!</definedName>
    <definedName name="LR_Cr_Bal_Financial_Instit_usd" localSheetId="12">#REF!</definedName>
    <definedName name="LR_Cr_Bal_Financial_Instit_usd" localSheetId="13">#REF!</definedName>
    <definedName name="LR_Cr_Bal_Financial_Instit_usd">#REF!</definedName>
    <definedName name="LR_Cr_Borrow_Financial_Instit_khr" localSheetId="14">#REF!</definedName>
    <definedName name="LR_Cr_Borrow_Financial_Instit_khr" localSheetId="9">#REF!</definedName>
    <definedName name="LR_Cr_Borrow_Financial_Instit_khr" localSheetId="15">#REF!</definedName>
    <definedName name="LR_Cr_Borrow_Financial_Instit_khr" localSheetId="11">#REF!</definedName>
    <definedName name="LR_Cr_Borrow_Financial_Instit_khr" localSheetId="12">#REF!</definedName>
    <definedName name="LR_Cr_Borrow_Financial_Instit_khr" localSheetId="13">#REF!</definedName>
    <definedName name="LR_Cr_Borrow_Financial_Instit_khr">#REF!</definedName>
    <definedName name="LR_Cr_Borrow_Financial_Instit_usd" localSheetId="14">#REF!</definedName>
    <definedName name="LR_Cr_Borrow_Financial_Instit_usd" localSheetId="9">#REF!</definedName>
    <definedName name="LR_Cr_Borrow_Financial_Instit_usd" localSheetId="15">#REF!</definedName>
    <definedName name="LR_Cr_Borrow_Financial_Instit_usd" localSheetId="11">#REF!</definedName>
    <definedName name="LR_Cr_Borrow_Financial_Instit_usd" localSheetId="12">#REF!</definedName>
    <definedName name="LR_Cr_Borrow_Financial_Instit_usd" localSheetId="13">#REF!</definedName>
    <definedName name="LR_Cr_Borrow_Financial_Instit_usd">#REF!</definedName>
    <definedName name="LR_Deno_50Saving_Depo_khr" localSheetId="14">#REF!</definedName>
    <definedName name="LR_Deno_50Saving_Depo_khr" localSheetId="9">#REF!</definedName>
    <definedName name="LR_Deno_50Saving_Depo_khr" localSheetId="15">#REF!</definedName>
    <definedName name="LR_Deno_50Saving_Depo_khr" localSheetId="11">#REF!</definedName>
    <definedName name="LR_Deno_50Saving_Depo_khr" localSheetId="12">#REF!</definedName>
    <definedName name="LR_Deno_50Saving_Depo_khr" localSheetId="13">#REF!</definedName>
    <definedName name="LR_Deno_50Saving_Depo_khr">#REF!</definedName>
    <definedName name="LR_Deno_50Saving_Depo_usd" localSheetId="14">#REF!</definedName>
    <definedName name="LR_Deno_50Saving_Depo_usd" localSheetId="9">#REF!</definedName>
    <definedName name="LR_Deno_50Saving_Depo_usd" localSheetId="15">#REF!</definedName>
    <definedName name="LR_Deno_50Saving_Depo_usd" localSheetId="11">#REF!</definedName>
    <definedName name="LR_Deno_50Saving_Depo_usd" localSheetId="12">#REF!</definedName>
    <definedName name="LR_Deno_50Saving_Depo_usd" localSheetId="13">#REF!</definedName>
    <definedName name="LR_Deno_50Saving_Depo_usd">#REF!</definedName>
    <definedName name="LR_Deno_60Demand_Depo_khr" localSheetId="14">#REF!</definedName>
    <definedName name="LR_Deno_60Demand_Depo_khr" localSheetId="9">#REF!</definedName>
    <definedName name="LR_Deno_60Demand_Depo_khr" localSheetId="15">#REF!</definedName>
    <definedName name="LR_Deno_60Demand_Depo_khr" localSheetId="11">#REF!</definedName>
    <definedName name="LR_Deno_60Demand_Depo_khr" localSheetId="12">#REF!</definedName>
    <definedName name="LR_Deno_60Demand_Depo_khr" localSheetId="13">#REF!</definedName>
    <definedName name="LR_Deno_60Demand_Depo_khr">#REF!</definedName>
    <definedName name="LR_Deno_60Demand_Depo_usd" localSheetId="14">#REF!</definedName>
    <definedName name="LR_Deno_60Demand_Depo_usd" localSheetId="9">#REF!</definedName>
    <definedName name="LR_Deno_60Demand_Depo_usd" localSheetId="15">#REF!</definedName>
    <definedName name="LR_Deno_60Demand_Depo_usd" localSheetId="11">#REF!</definedName>
    <definedName name="LR_Deno_60Demand_Depo_usd" localSheetId="12">#REF!</definedName>
    <definedName name="LR_Deno_60Demand_Depo_usd" localSheetId="13">#REF!</definedName>
    <definedName name="LR_Deno_60Demand_Depo_usd">#REF!</definedName>
    <definedName name="LR_Deno_LessThan1M_80FD_khr" localSheetId="14">#REF!</definedName>
    <definedName name="LR_Deno_LessThan1M_80FD_khr" localSheetId="9">#REF!</definedName>
    <definedName name="LR_Deno_LessThan1M_80FD_khr" localSheetId="15">#REF!</definedName>
    <definedName name="LR_Deno_LessThan1M_80FD_khr" localSheetId="11">#REF!</definedName>
    <definedName name="LR_Deno_LessThan1M_80FD_khr" localSheetId="12">#REF!</definedName>
    <definedName name="LR_Deno_LessThan1M_80FD_khr" localSheetId="13">#REF!</definedName>
    <definedName name="LR_Deno_LessThan1M_80FD_khr">#REF!</definedName>
    <definedName name="LR_Deno_LessThan1M_80FD_usd" localSheetId="14">#REF!</definedName>
    <definedName name="LR_Deno_LessThan1M_80FD_usd" localSheetId="9">#REF!</definedName>
    <definedName name="LR_Deno_LessThan1M_80FD_usd" localSheetId="15">#REF!</definedName>
    <definedName name="LR_Deno_LessThan1M_80FD_usd" localSheetId="11">#REF!</definedName>
    <definedName name="LR_Deno_LessThan1M_80FD_usd" localSheetId="12">#REF!</definedName>
    <definedName name="LR_Deno_LessThan1M_80FD_usd" localSheetId="13">#REF!</definedName>
    <definedName name="LR_Deno_LessThan1M_80FD_usd">#REF!</definedName>
    <definedName name="LR_Deno_MoreThan1M_50FD_khr" localSheetId="14">#REF!</definedName>
    <definedName name="LR_Deno_MoreThan1M_50FD_khr" localSheetId="9">#REF!</definedName>
    <definedName name="LR_Deno_MoreThan1M_50FD_khr" localSheetId="15">#REF!</definedName>
    <definedName name="LR_Deno_MoreThan1M_50FD_khr" localSheetId="11">#REF!</definedName>
    <definedName name="LR_Deno_MoreThan1M_50FD_khr" localSheetId="12">#REF!</definedName>
    <definedName name="LR_Deno_MoreThan1M_50FD_khr" localSheetId="13">#REF!</definedName>
    <definedName name="LR_Deno_MoreThan1M_50FD_khr">#REF!</definedName>
    <definedName name="LR_Deno_MoreThan1M_50FD_usd" localSheetId="14">#REF!</definedName>
    <definedName name="LR_Deno_MoreThan1M_50FD_usd" localSheetId="9">#REF!</definedName>
    <definedName name="LR_Deno_MoreThan1M_50FD_usd" localSheetId="15">#REF!</definedName>
    <definedName name="LR_Deno_MoreThan1M_50FD_usd" localSheetId="11">#REF!</definedName>
    <definedName name="LR_Deno_MoreThan1M_50FD_usd" localSheetId="12">#REF!</definedName>
    <definedName name="LR_Deno_MoreThan1M_50FD_usd" localSheetId="13">#REF!</definedName>
    <definedName name="LR_Deno_MoreThan1M_50FD_usd">#REF!</definedName>
    <definedName name="LR_Dr_Cash_Gold_khr" localSheetId="14">#REF!</definedName>
    <definedName name="LR_Dr_Cash_Gold_khr" localSheetId="9">#REF!</definedName>
    <definedName name="LR_Dr_Cash_Gold_khr" localSheetId="15">#REF!</definedName>
    <definedName name="LR_Dr_Cash_Gold_khr" localSheetId="11">#REF!</definedName>
    <definedName name="LR_Dr_Cash_Gold_khr" localSheetId="12">#REF!</definedName>
    <definedName name="LR_Dr_Cash_Gold_khr" localSheetId="13">#REF!</definedName>
    <definedName name="LR_Dr_Cash_Gold_khr">#REF!</definedName>
    <definedName name="LR_Dr_Cash_Gold_usd" localSheetId="14">#REF!</definedName>
    <definedName name="LR_Dr_Cash_Gold_usd" localSheetId="9">#REF!</definedName>
    <definedName name="LR_Dr_Cash_Gold_usd" localSheetId="15">#REF!</definedName>
    <definedName name="LR_Dr_Cash_Gold_usd" localSheetId="11">#REF!</definedName>
    <definedName name="LR_Dr_Cash_Gold_usd" localSheetId="12">#REF!</definedName>
    <definedName name="LR_Dr_Cash_Gold_usd" localSheetId="13">#REF!</definedName>
    <definedName name="LR_Dr_Cash_Gold_usd">#REF!</definedName>
    <definedName name="LR_Dr_Depo_Bank_khr" localSheetId="14">#REF!</definedName>
    <definedName name="LR_Dr_Depo_Bank_khr" localSheetId="9">#REF!</definedName>
    <definedName name="LR_Dr_Depo_Bank_khr" localSheetId="15">#REF!</definedName>
    <definedName name="LR_Dr_Depo_Bank_khr" localSheetId="11">#REF!</definedName>
    <definedName name="LR_Dr_Depo_Bank_khr" localSheetId="12">#REF!</definedName>
    <definedName name="LR_Dr_Depo_Bank_khr" localSheetId="13">#REF!</definedName>
    <definedName name="LR_Dr_Depo_Bank_khr">#REF!</definedName>
    <definedName name="LR_Dr_Depo_Bank_usd" localSheetId="14">#REF!</definedName>
    <definedName name="LR_Dr_Depo_Bank_usd" localSheetId="9">#REF!</definedName>
    <definedName name="LR_Dr_Depo_Bank_usd" localSheetId="15">#REF!</definedName>
    <definedName name="LR_Dr_Depo_Bank_usd" localSheetId="11">#REF!</definedName>
    <definedName name="LR_Dr_Depo_Bank_usd" localSheetId="12">#REF!</definedName>
    <definedName name="LR_Dr_Depo_Bank_usd" localSheetId="13">#REF!</definedName>
    <definedName name="LR_Dr_Depo_Bank_usd">#REF!</definedName>
    <definedName name="LR_Dr_Depo_NBC_khr" localSheetId="14">#REF!</definedName>
    <definedName name="LR_Dr_Depo_NBC_khr" localSheetId="9">#REF!</definedName>
    <definedName name="LR_Dr_Depo_NBC_khr" localSheetId="15">#REF!</definedName>
    <definedName name="LR_Dr_Depo_NBC_khr" localSheetId="11">#REF!</definedName>
    <definedName name="LR_Dr_Depo_NBC_khr" localSheetId="12">#REF!</definedName>
    <definedName name="LR_Dr_Depo_NBC_khr" localSheetId="13">#REF!</definedName>
    <definedName name="LR_Dr_Depo_NBC_khr">#REF!</definedName>
    <definedName name="LR_Dr_Depo_NBC_usd" localSheetId="14">#REF!</definedName>
    <definedName name="LR_Dr_Depo_NBC_usd" localSheetId="9">#REF!</definedName>
    <definedName name="LR_Dr_Depo_NBC_usd" localSheetId="15">#REF!</definedName>
    <definedName name="LR_Dr_Depo_NBC_usd" localSheetId="11">#REF!</definedName>
    <definedName name="LR_Dr_Depo_NBC_usd" localSheetId="12">#REF!</definedName>
    <definedName name="LR_Dr_Depo_NBC_usd" localSheetId="13">#REF!</definedName>
    <definedName name="LR_Dr_Depo_NBC_usd">#REF!</definedName>
    <definedName name="LR_Dr_Interbank_Loan_khr" localSheetId="14">#REF!</definedName>
    <definedName name="LR_Dr_Interbank_Loan_khr" localSheetId="9">#REF!</definedName>
    <definedName name="LR_Dr_Interbank_Loan_khr" localSheetId="15">#REF!</definedName>
    <definedName name="LR_Dr_Interbank_Loan_khr" localSheetId="11">#REF!</definedName>
    <definedName name="LR_Dr_Interbank_Loan_khr" localSheetId="12">#REF!</definedName>
    <definedName name="LR_Dr_Interbank_Loan_khr" localSheetId="13">#REF!</definedName>
    <definedName name="LR_Dr_Interbank_Loan_khr">#REF!</definedName>
    <definedName name="LR_Dr_Interbank_Loan_usd" localSheetId="14">#REF!</definedName>
    <definedName name="LR_Dr_Interbank_Loan_usd" localSheetId="9">#REF!</definedName>
    <definedName name="LR_Dr_Interbank_Loan_usd" localSheetId="15">#REF!</definedName>
    <definedName name="LR_Dr_Interbank_Loan_usd" localSheetId="11">#REF!</definedName>
    <definedName name="LR_Dr_Interbank_Loan_usd" localSheetId="12">#REF!</definedName>
    <definedName name="LR_Dr_Interbank_Loan_usd" localSheetId="13">#REF!</definedName>
    <definedName name="LR_Dr_Interbank_Loan_usd">#REF!</definedName>
    <definedName name="LR_Num_LessThan1M_Loan_khr" localSheetId="14">#REF!</definedName>
    <definedName name="LR_Num_LessThan1M_Loan_khr" localSheetId="9">#REF!</definedName>
    <definedName name="LR_Num_LessThan1M_Loan_khr" localSheetId="15">#REF!</definedName>
    <definedName name="LR_Num_LessThan1M_Loan_khr" localSheetId="11">#REF!</definedName>
    <definedName name="LR_Num_LessThan1M_Loan_khr" localSheetId="12">#REF!</definedName>
    <definedName name="LR_Num_LessThan1M_Loan_khr" localSheetId="13">#REF!</definedName>
    <definedName name="LR_Num_LessThan1M_Loan_khr">#REF!</definedName>
    <definedName name="LR_Num_LessThan1M_Loan_usd" localSheetId="14">#REF!</definedName>
    <definedName name="LR_Num_LessThan1M_Loan_usd" localSheetId="9">#REF!</definedName>
    <definedName name="LR_Num_LessThan1M_Loan_usd" localSheetId="15">#REF!</definedName>
    <definedName name="LR_Num_LessThan1M_Loan_usd" localSheetId="11">#REF!</definedName>
    <definedName name="LR_Num_LessThan1M_Loan_usd" localSheetId="12">#REF!</definedName>
    <definedName name="LR_Num_LessThan1M_Loan_usd" localSheetId="13">#REF!</definedName>
    <definedName name="LR_Num_LessThan1M_Loan_usd">#REF!</definedName>
    <definedName name="LR_Num_LessThan1M_TB_khr" localSheetId="14">#REF!</definedName>
    <definedName name="LR_Num_LessThan1M_TB_khr" localSheetId="9">#REF!</definedName>
    <definedName name="LR_Num_LessThan1M_TB_khr" localSheetId="15">#REF!</definedName>
    <definedName name="LR_Num_LessThan1M_TB_khr" localSheetId="11">#REF!</definedName>
    <definedName name="LR_Num_LessThan1M_TB_khr" localSheetId="12">#REF!</definedName>
    <definedName name="LR_Num_LessThan1M_TB_khr" localSheetId="13">#REF!</definedName>
    <definedName name="LR_Num_LessThan1M_TB_khr">#REF!</definedName>
    <definedName name="LR_Num_LessThan1M_TB_usd" localSheetId="14">#REF!</definedName>
    <definedName name="LR_Num_LessThan1M_TB_usd" localSheetId="9">#REF!</definedName>
    <definedName name="LR_Num_LessThan1M_TB_usd" localSheetId="15">#REF!</definedName>
    <definedName name="LR_Num_LessThan1M_TB_usd" localSheetId="11">#REF!</definedName>
    <definedName name="LR_Num_LessThan1M_TB_usd" localSheetId="12">#REF!</definedName>
    <definedName name="LR_Num_LessThan1M_TB_usd" localSheetId="13">#REF!</definedName>
    <definedName name="LR_Num_LessThan1M_TB_usd">#REF!</definedName>
    <definedName name="lwp_borrowed_Funds_from_parent">'Net Liabilities'!$I$25</definedName>
    <definedName name="lwp_debt_securities">'Net Liabilities'!$I$30</definedName>
    <definedName name="lwp_demand_deposit">'Net Liabilities'!$I$22</definedName>
    <definedName name="lwp_demand_time_deposits">'Net Liabilities'!$I$21</definedName>
    <definedName name="lwp_long_term_borrowed_funds">'Net Liabilities'!$I$28</definedName>
    <definedName name="lwp_money_market_deposit">'Net Liabilities'!$I$24</definedName>
    <definedName name="lwp_other">'Net Liabilities'!$I$31</definedName>
    <definedName name="lwp_overdraft_on_corresponden">'Net Liabilities'!$I$26</definedName>
    <definedName name="lwp_securities">'Net Liabilities'!$I$29</definedName>
    <definedName name="lwp_short_term_borrowed_funds">'Net Liabilities'!$I$27</definedName>
    <definedName name="lwp_time_deposit">'Net Liabilities'!$I$23</definedName>
    <definedName name="N" localSheetId="1" hidden="1">{#N/A,#N/A,FALSE,"Sub-Mekong";#N/A,#N/A,FALSE,"IB";#N/A,#N/A,FALSE,"CB";#N/A,#N/A,FALSE,"CIB";#N/A,#N/A,FALSE,"Tsy - seg";#N/A,#N/A,FALSE,"Fin";#N/A,#N/A,FALSE,"CEO";#N/A,#N/A,FALSE,"VN"}</definedName>
    <definedName name="N" localSheetId="19" hidden="1">{#N/A,#N/A,FALSE,"Sub-Mekong";#N/A,#N/A,FALSE,"IB";#N/A,#N/A,FALSE,"CB";#N/A,#N/A,FALSE,"CIB";#N/A,#N/A,FALSE,"Tsy - seg";#N/A,#N/A,FALSE,"Fin";#N/A,#N/A,FALSE,"CEO";#N/A,#N/A,FALSE,"VN"}</definedName>
    <definedName name="N" localSheetId="18" hidden="1">{#N/A,#N/A,FALSE,"Sub-Mekong";#N/A,#N/A,FALSE,"IB";#N/A,#N/A,FALSE,"CB";#N/A,#N/A,FALSE,"CIB";#N/A,#N/A,FALSE,"Tsy - seg";#N/A,#N/A,FALSE,"Fin";#N/A,#N/A,FALSE,"CEO";#N/A,#N/A,FALSE,"VN"}</definedName>
    <definedName name="N" localSheetId="14" hidden="1">{#N/A,#N/A,FALSE,"Sub-Mekong";#N/A,#N/A,FALSE,"IB";#N/A,#N/A,FALSE,"CB";#N/A,#N/A,FALSE,"CIB";#N/A,#N/A,FALSE,"Tsy - seg";#N/A,#N/A,FALSE,"Fin";#N/A,#N/A,FALSE,"CEO";#N/A,#N/A,FALSE,"VN"}</definedName>
    <definedName name="N" localSheetId="24" hidden="1">{#N/A,#N/A,FALSE,"Sub-Mekong";#N/A,#N/A,FALSE,"IB";#N/A,#N/A,FALSE,"CB";#N/A,#N/A,FALSE,"CIB";#N/A,#N/A,FALSE,"Tsy - seg";#N/A,#N/A,FALSE,"Fin";#N/A,#N/A,FALSE,"CEO";#N/A,#N/A,FALSE,"VN"}</definedName>
    <definedName name="N" localSheetId="25" hidden="1">{#N/A,#N/A,FALSE,"Sub-Mekong";#N/A,#N/A,FALSE,"IB";#N/A,#N/A,FALSE,"CB";#N/A,#N/A,FALSE,"CIB";#N/A,#N/A,FALSE,"Tsy - seg";#N/A,#N/A,FALSE,"Fin";#N/A,#N/A,FALSE,"CEO";#N/A,#N/A,FALSE,"VN"}</definedName>
    <definedName name="N" localSheetId="23" hidden="1">{#N/A,#N/A,FALSE,"Sub-Mekong";#N/A,#N/A,FALSE,"IB";#N/A,#N/A,FALSE,"CB";#N/A,#N/A,FALSE,"CIB";#N/A,#N/A,FALSE,"Tsy - seg";#N/A,#N/A,FALSE,"Fin";#N/A,#N/A,FALSE,"CEO";#N/A,#N/A,FALSE,"VN"}</definedName>
    <definedName name="N" localSheetId="16" hidden="1">{#N/A,#N/A,FALSE,"Sub-Mekong";#N/A,#N/A,FALSE,"IB";#N/A,#N/A,FALSE,"CB";#N/A,#N/A,FALSE,"CIB";#N/A,#N/A,FALSE,"Tsy - seg";#N/A,#N/A,FALSE,"Fin";#N/A,#N/A,FALSE,"CEO";#N/A,#N/A,FALSE,"VN"}</definedName>
    <definedName name="N" localSheetId="9" hidden="1">{#N/A,#N/A,FALSE,"Sub-Mekong";#N/A,#N/A,FALSE,"IB";#N/A,#N/A,FALSE,"CB";#N/A,#N/A,FALSE,"CIB";#N/A,#N/A,FALSE,"Tsy - seg";#N/A,#N/A,FALSE,"Fin";#N/A,#N/A,FALSE,"CEO";#N/A,#N/A,FALSE,"VN"}</definedName>
    <definedName name="N" localSheetId="0" hidden="1">{#N/A,#N/A,FALSE,"Sub-Mekong";#N/A,#N/A,FALSE,"IB";#N/A,#N/A,FALSE,"CB";#N/A,#N/A,FALSE,"CIB";#N/A,#N/A,FALSE,"Tsy - seg";#N/A,#N/A,FALSE,"Fin";#N/A,#N/A,FALSE,"CEO";#N/A,#N/A,FALSE,"VN"}</definedName>
    <definedName name="N" localSheetId="8" hidden="1">{#N/A,#N/A,FALSE,"Sub-Mekong";#N/A,#N/A,FALSE,"IB";#N/A,#N/A,FALSE,"CB";#N/A,#N/A,FALSE,"CIB";#N/A,#N/A,FALSE,"Tsy - seg";#N/A,#N/A,FALSE,"Fin";#N/A,#N/A,FALSE,"CEO";#N/A,#N/A,FALSE,"VN"}</definedName>
    <definedName name="N" localSheetId="15" hidden="1">{#N/A,#N/A,FALSE,"Sub-Mekong";#N/A,#N/A,FALSE,"IB";#N/A,#N/A,FALSE,"CB";#N/A,#N/A,FALSE,"CIB";#N/A,#N/A,FALSE,"Tsy - seg";#N/A,#N/A,FALSE,"Fin";#N/A,#N/A,FALSE,"CEO";#N/A,#N/A,FALSE,"VN"}</definedName>
    <definedName name="N" localSheetId="22" hidden="1">{#N/A,#N/A,FALSE,"Sub-Mekong";#N/A,#N/A,FALSE,"IB";#N/A,#N/A,FALSE,"CB";#N/A,#N/A,FALSE,"CIB";#N/A,#N/A,FALSE,"Tsy - seg";#N/A,#N/A,FALSE,"Fin";#N/A,#N/A,FALSE,"CEO";#N/A,#N/A,FALSE,"VN"}</definedName>
    <definedName name="N" localSheetId="6" hidden="1">{#N/A,#N/A,FALSE,"Sub-Mekong";#N/A,#N/A,FALSE,"IB";#N/A,#N/A,FALSE,"CB";#N/A,#N/A,FALSE,"CIB";#N/A,#N/A,FALSE,"Tsy - seg";#N/A,#N/A,FALSE,"Fin";#N/A,#N/A,FALSE,"CEO";#N/A,#N/A,FALSE,"VN"}</definedName>
    <definedName name="N" localSheetId="11" hidden="1">{#N/A,#N/A,FALSE,"Sub-Mekong";#N/A,#N/A,FALSE,"IB";#N/A,#N/A,FALSE,"CB";#N/A,#N/A,FALSE,"CIB";#N/A,#N/A,FALSE,"Tsy - seg";#N/A,#N/A,FALSE,"Fin";#N/A,#N/A,FALSE,"CEO";#N/A,#N/A,FALSE,"VN"}</definedName>
    <definedName name="N" localSheetId="5" hidden="1">{#N/A,#N/A,FALSE,"Sub-Mekong";#N/A,#N/A,FALSE,"IB";#N/A,#N/A,FALSE,"CB";#N/A,#N/A,FALSE,"CIB";#N/A,#N/A,FALSE,"Tsy - seg";#N/A,#N/A,FALSE,"Fin";#N/A,#N/A,FALSE,"CEO";#N/A,#N/A,FALSE,"VN"}</definedName>
    <definedName name="N" localSheetId="10" hidden="1">{#N/A,#N/A,FALSE,"Sub-Mekong";#N/A,#N/A,FALSE,"IB";#N/A,#N/A,FALSE,"CB";#N/A,#N/A,FALSE,"CIB";#N/A,#N/A,FALSE,"Tsy - seg";#N/A,#N/A,FALSE,"Fin";#N/A,#N/A,FALSE,"CEO";#N/A,#N/A,FALSE,"VN"}</definedName>
    <definedName name="N" localSheetId="12" hidden="1">{#N/A,#N/A,FALSE,"Sub-Mekong";#N/A,#N/A,FALSE,"IB";#N/A,#N/A,FALSE,"CB";#N/A,#N/A,FALSE,"CIB";#N/A,#N/A,FALSE,"Tsy - seg";#N/A,#N/A,FALSE,"Fin";#N/A,#N/A,FALSE,"CEO";#N/A,#N/A,FALSE,"VN"}</definedName>
    <definedName name="N" localSheetId="13" hidden="1">{#N/A,#N/A,FALSE,"Sub-Mekong";#N/A,#N/A,FALSE,"IB";#N/A,#N/A,FALSE,"CB";#N/A,#N/A,FALSE,"CIB";#N/A,#N/A,FALSE,"Tsy - seg";#N/A,#N/A,FALSE,"Fin";#N/A,#N/A,FALSE,"CEO";#N/A,#N/A,FALSE,"VN"}</definedName>
    <definedName name="N" localSheetId="17" hidden="1">{#N/A,#N/A,FALSE,"Sub-Mekong";#N/A,#N/A,FALSE,"IB";#N/A,#N/A,FALSE,"CB";#N/A,#N/A,FALSE,"CIB";#N/A,#N/A,FALSE,"Tsy - seg";#N/A,#N/A,FALSE,"Fin";#N/A,#N/A,FALSE,"CEO";#N/A,#N/A,FALSE,"VN"}</definedName>
    <definedName name="N" hidden="1">{#N/A,#N/A,FALSE,"Sub-Mekong";#N/A,#N/A,FALSE,"IB";#N/A,#N/A,FALSE,"CB";#N/A,#N/A,FALSE,"CIB";#N/A,#N/A,FALSE,"Tsy - seg";#N/A,#N/A,FALSE,"Fin";#N/A,#N/A,FALSE,"CEO";#N/A,#N/A,FALSE,"VN"}</definedName>
    <definedName name="NBC_authority_approval_khr">Networth!$L$24</definedName>
    <definedName name="NBC_authority_approval_usd">Networth!$J$24</definedName>
    <definedName name="net_assets_balance_sheet">'Net Liabilities'!$I$32</definedName>
    <definedName name="NewName" localSheetId="1" hidden="1">{#N/A,#N/A,FALSE,"P&amp;LVN H2";#N/A,#N/A,FALSE,"P&amp;LVIETNAM";#N/A,#N/A,FALSE,"P&amp;LVN H1";#N/A,#N/A,FALSE,"P&amp;L summary";#N/A,#N/A,FALSE,"CB";#N/A,#N/A,FALSE,"CEO ";#N/A,#N/A,FALSE,"Treasury";#N/A,#N/A,FALSE,"IBG";#N/A,#N/A,FALSE,"FIN";#N/A,#N/A,FALSE,"INDO";#N/A,#N/A,FALSE,"BS97"}</definedName>
    <definedName name="NewName" localSheetId="19" hidden="1">{#N/A,#N/A,FALSE,"P&amp;LVN H2";#N/A,#N/A,FALSE,"P&amp;LVIETNAM";#N/A,#N/A,FALSE,"P&amp;LVN H1";#N/A,#N/A,FALSE,"P&amp;L summary";#N/A,#N/A,FALSE,"CB";#N/A,#N/A,FALSE,"CEO ";#N/A,#N/A,FALSE,"Treasury";#N/A,#N/A,FALSE,"IBG";#N/A,#N/A,FALSE,"FIN";#N/A,#N/A,FALSE,"INDO";#N/A,#N/A,FALSE,"BS97"}</definedName>
    <definedName name="NewName" localSheetId="18" hidden="1">{#N/A,#N/A,FALSE,"P&amp;LVN H2";#N/A,#N/A,FALSE,"P&amp;LVIETNAM";#N/A,#N/A,FALSE,"P&amp;LVN H1";#N/A,#N/A,FALSE,"P&amp;L summary";#N/A,#N/A,FALSE,"CB";#N/A,#N/A,FALSE,"CEO ";#N/A,#N/A,FALSE,"Treasury";#N/A,#N/A,FALSE,"IBG";#N/A,#N/A,FALSE,"FIN";#N/A,#N/A,FALSE,"INDO";#N/A,#N/A,FALSE,"BS97"}</definedName>
    <definedName name="NewName" localSheetId="14" hidden="1">{#N/A,#N/A,FALSE,"P&amp;LVN H2";#N/A,#N/A,FALSE,"P&amp;LVIETNAM";#N/A,#N/A,FALSE,"P&amp;LVN H1";#N/A,#N/A,FALSE,"P&amp;L summary";#N/A,#N/A,FALSE,"CB";#N/A,#N/A,FALSE,"CEO ";#N/A,#N/A,FALSE,"Treasury";#N/A,#N/A,FALSE,"IBG";#N/A,#N/A,FALSE,"FIN";#N/A,#N/A,FALSE,"INDO";#N/A,#N/A,FALSE,"BS97"}</definedName>
    <definedName name="NewName" localSheetId="24" hidden="1">{#N/A,#N/A,FALSE,"P&amp;LVN H2";#N/A,#N/A,FALSE,"P&amp;LVIETNAM";#N/A,#N/A,FALSE,"P&amp;LVN H1";#N/A,#N/A,FALSE,"P&amp;L summary";#N/A,#N/A,FALSE,"CB";#N/A,#N/A,FALSE,"CEO ";#N/A,#N/A,FALSE,"Treasury";#N/A,#N/A,FALSE,"IBG";#N/A,#N/A,FALSE,"FIN";#N/A,#N/A,FALSE,"INDO";#N/A,#N/A,FALSE,"BS97"}</definedName>
    <definedName name="NewName" localSheetId="25" hidden="1">{#N/A,#N/A,FALSE,"P&amp;LVN H2";#N/A,#N/A,FALSE,"P&amp;LVIETNAM";#N/A,#N/A,FALSE,"P&amp;LVN H1";#N/A,#N/A,FALSE,"P&amp;L summary";#N/A,#N/A,FALSE,"CB";#N/A,#N/A,FALSE,"CEO ";#N/A,#N/A,FALSE,"Treasury";#N/A,#N/A,FALSE,"IBG";#N/A,#N/A,FALSE,"FIN";#N/A,#N/A,FALSE,"INDO";#N/A,#N/A,FALSE,"BS97"}</definedName>
    <definedName name="NewName" localSheetId="23" hidden="1">{#N/A,#N/A,FALSE,"P&amp;LVN H2";#N/A,#N/A,FALSE,"P&amp;LVIETNAM";#N/A,#N/A,FALSE,"P&amp;LVN H1";#N/A,#N/A,FALSE,"P&amp;L summary";#N/A,#N/A,FALSE,"CB";#N/A,#N/A,FALSE,"CEO ";#N/A,#N/A,FALSE,"Treasury";#N/A,#N/A,FALSE,"IBG";#N/A,#N/A,FALSE,"FIN";#N/A,#N/A,FALSE,"INDO";#N/A,#N/A,FALSE,"BS97"}</definedName>
    <definedName name="NewName" localSheetId="16" hidden="1">{#N/A,#N/A,FALSE,"P&amp;LVN H2";#N/A,#N/A,FALSE,"P&amp;LVIETNAM";#N/A,#N/A,FALSE,"P&amp;LVN H1";#N/A,#N/A,FALSE,"P&amp;L summary";#N/A,#N/A,FALSE,"CB";#N/A,#N/A,FALSE,"CEO ";#N/A,#N/A,FALSE,"Treasury";#N/A,#N/A,FALSE,"IBG";#N/A,#N/A,FALSE,"FIN";#N/A,#N/A,FALSE,"INDO";#N/A,#N/A,FALSE,"BS97"}</definedName>
    <definedName name="NewName" localSheetId="9" hidden="1">{#N/A,#N/A,FALSE,"P&amp;LVN H2";#N/A,#N/A,FALSE,"P&amp;LVIETNAM";#N/A,#N/A,FALSE,"P&amp;LVN H1";#N/A,#N/A,FALSE,"P&amp;L summary";#N/A,#N/A,FALSE,"CB";#N/A,#N/A,FALSE,"CEO ";#N/A,#N/A,FALSE,"Treasury";#N/A,#N/A,FALSE,"IBG";#N/A,#N/A,FALSE,"FIN";#N/A,#N/A,FALSE,"INDO";#N/A,#N/A,FALSE,"BS97"}</definedName>
    <definedName name="NewName" localSheetId="0" hidden="1">{#N/A,#N/A,FALSE,"P&amp;LVN H2";#N/A,#N/A,FALSE,"P&amp;LVIETNAM";#N/A,#N/A,FALSE,"P&amp;LVN H1";#N/A,#N/A,FALSE,"P&amp;L summary";#N/A,#N/A,FALSE,"CB";#N/A,#N/A,FALSE,"CEO ";#N/A,#N/A,FALSE,"Treasury";#N/A,#N/A,FALSE,"IBG";#N/A,#N/A,FALSE,"FIN";#N/A,#N/A,FALSE,"INDO";#N/A,#N/A,FALSE,"BS97"}</definedName>
    <definedName name="NewName" localSheetId="8" hidden="1">{#N/A,#N/A,FALSE,"P&amp;LVN H2";#N/A,#N/A,FALSE,"P&amp;LVIETNAM";#N/A,#N/A,FALSE,"P&amp;LVN H1";#N/A,#N/A,FALSE,"P&amp;L summary";#N/A,#N/A,FALSE,"CB";#N/A,#N/A,FALSE,"CEO ";#N/A,#N/A,FALSE,"Treasury";#N/A,#N/A,FALSE,"IBG";#N/A,#N/A,FALSE,"FIN";#N/A,#N/A,FALSE,"INDO";#N/A,#N/A,FALSE,"BS97"}</definedName>
    <definedName name="NewName" localSheetId="15" hidden="1">{#N/A,#N/A,FALSE,"P&amp;LVN H2";#N/A,#N/A,FALSE,"P&amp;LVIETNAM";#N/A,#N/A,FALSE,"P&amp;LVN H1";#N/A,#N/A,FALSE,"P&amp;L summary";#N/A,#N/A,FALSE,"CB";#N/A,#N/A,FALSE,"CEO ";#N/A,#N/A,FALSE,"Treasury";#N/A,#N/A,FALSE,"IBG";#N/A,#N/A,FALSE,"FIN";#N/A,#N/A,FALSE,"INDO";#N/A,#N/A,FALSE,"BS97"}</definedName>
    <definedName name="NewName" localSheetId="22" hidden="1">{#N/A,#N/A,FALSE,"P&amp;LVN H2";#N/A,#N/A,FALSE,"P&amp;LVIETNAM";#N/A,#N/A,FALSE,"P&amp;LVN H1";#N/A,#N/A,FALSE,"P&amp;L summary";#N/A,#N/A,FALSE,"CB";#N/A,#N/A,FALSE,"CEO ";#N/A,#N/A,FALSE,"Treasury";#N/A,#N/A,FALSE,"IBG";#N/A,#N/A,FALSE,"FIN";#N/A,#N/A,FALSE,"INDO";#N/A,#N/A,FALSE,"BS97"}</definedName>
    <definedName name="NewName" localSheetId="6" hidden="1">{#N/A,#N/A,FALSE,"P&amp;LVN H2";#N/A,#N/A,FALSE,"P&amp;LVIETNAM";#N/A,#N/A,FALSE,"P&amp;LVN H1";#N/A,#N/A,FALSE,"P&amp;L summary";#N/A,#N/A,FALSE,"CB";#N/A,#N/A,FALSE,"CEO ";#N/A,#N/A,FALSE,"Treasury";#N/A,#N/A,FALSE,"IBG";#N/A,#N/A,FALSE,"FIN";#N/A,#N/A,FALSE,"INDO";#N/A,#N/A,FALSE,"BS97"}</definedName>
    <definedName name="NewName" localSheetId="11" hidden="1">{#N/A,#N/A,FALSE,"P&amp;LVN H2";#N/A,#N/A,FALSE,"P&amp;LVIETNAM";#N/A,#N/A,FALSE,"P&amp;LVN H1";#N/A,#N/A,FALSE,"P&amp;L summary";#N/A,#N/A,FALSE,"CB";#N/A,#N/A,FALSE,"CEO ";#N/A,#N/A,FALSE,"Treasury";#N/A,#N/A,FALSE,"IBG";#N/A,#N/A,FALSE,"FIN";#N/A,#N/A,FALSE,"INDO";#N/A,#N/A,FALSE,"BS97"}</definedName>
    <definedName name="NewName" localSheetId="5" hidden="1">{#N/A,#N/A,FALSE,"P&amp;LVN H2";#N/A,#N/A,FALSE,"P&amp;LVIETNAM";#N/A,#N/A,FALSE,"P&amp;LVN H1";#N/A,#N/A,FALSE,"P&amp;L summary";#N/A,#N/A,FALSE,"CB";#N/A,#N/A,FALSE,"CEO ";#N/A,#N/A,FALSE,"Treasury";#N/A,#N/A,FALSE,"IBG";#N/A,#N/A,FALSE,"FIN";#N/A,#N/A,FALSE,"INDO";#N/A,#N/A,FALSE,"BS97"}</definedName>
    <definedName name="NewName" localSheetId="10" hidden="1">{#N/A,#N/A,FALSE,"P&amp;LVN H2";#N/A,#N/A,FALSE,"P&amp;LVIETNAM";#N/A,#N/A,FALSE,"P&amp;LVN H1";#N/A,#N/A,FALSE,"P&amp;L summary";#N/A,#N/A,FALSE,"CB";#N/A,#N/A,FALSE,"CEO ";#N/A,#N/A,FALSE,"Treasury";#N/A,#N/A,FALSE,"IBG";#N/A,#N/A,FALSE,"FIN";#N/A,#N/A,FALSE,"INDO";#N/A,#N/A,FALSE,"BS97"}</definedName>
    <definedName name="NewName" localSheetId="12" hidden="1">{#N/A,#N/A,FALSE,"P&amp;LVN H2";#N/A,#N/A,FALSE,"P&amp;LVIETNAM";#N/A,#N/A,FALSE,"P&amp;LVN H1";#N/A,#N/A,FALSE,"P&amp;L summary";#N/A,#N/A,FALSE,"CB";#N/A,#N/A,FALSE,"CEO ";#N/A,#N/A,FALSE,"Treasury";#N/A,#N/A,FALSE,"IBG";#N/A,#N/A,FALSE,"FIN";#N/A,#N/A,FALSE,"INDO";#N/A,#N/A,FALSE,"BS97"}</definedName>
    <definedName name="NewName" localSheetId="13" hidden="1">{#N/A,#N/A,FALSE,"P&amp;LVN H2";#N/A,#N/A,FALSE,"P&amp;LVIETNAM";#N/A,#N/A,FALSE,"P&amp;LVN H1";#N/A,#N/A,FALSE,"P&amp;L summary";#N/A,#N/A,FALSE,"CB";#N/A,#N/A,FALSE,"CEO ";#N/A,#N/A,FALSE,"Treasury";#N/A,#N/A,FALSE,"IBG";#N/A,#N/A,FALSE,"FIN";#N/A,#N/A,FALSE,"INDO";#N/A,#N/A,FALSE,"BS97"}</definedName>
    <definedName name="NewName" localSheetId="17" hidden="1">{#N/A,#N/A,FALSE,"P&amp;LVN H2";#N/A,#N/A,FALSE,"P&amp;LVIETNAM";#N/A,#N/A,FALSE,"P&amp;LVN H1";#N/A,#N/A,FALSE,"P&amp;L summary";#N/A,#N/A,FALSE,"CB";#N/A,#N/A,FALSE,"CEO ";#N/A,#N/A,FALSE,"Treasury";#N/A,#N/A,FALSE,"IBG";#N/A,#N/A,FALSE,"FIN";#N/A,#N/A,FALSE,"INDO";#N/A,#N/A,FALSE,"BS97"}</definedName>
    <definedName name="NewName" hidden="1">{#N/A,#N/A,FALSE,"P&amp;LVN H2";#N/A,#N/A,FALSE,"P&amp;LVIETNAM";#N/A,#N/A,FALSE,"P&amp;LVN H1";#N/A,#N/A,FALSE,"P&amp;L summary";#N/A,#N/A,FALSE,"CB";#N/A,#N/A,FALSE,"CEO ";#N/A,#N/A,FALSE,"Treasury";#N/A,#N/A,FALSE,"IBG";#N/A,#N/A,FALSE,"FIN";#N/A,#N/A,FALSE,"INDO";#N/A,#N/A,FALSE,"BS97"}</definedName>
    <definedName name="OBS" localSheetId="14">[1]OBS!$F$2</definedName>
    <definedName name="OBS" localSheetId="9">[1]OBS!$F$2</definedName>
    <definedName name="OBS" localSheetId="0">[1]OBS!$F$2</definedName>
    <definedName name="OBS" localSheetId="15">[1]OBS!$F$2</definedName>
    <definedName name="OBS" localSheetId="11">[1]OBS!$F$2</definedName>
    <definedName name="OBS" localSheetId="12">[1]OBS!$F$2</definedName>
    <definedName name="OBS" localSheetId="13">[1]OBS!$F$2</definedName>
    <definedName name="OBS">[1]OBS!$F$2</definedName>
    <definedName name="off_balance_sheet_item">'Net Liabilities'!$I$33</definedName>
    <definedName name="off_balance_sheet_items_khr">'Solvency Ratio'!$I$27</definedName>
    <definedName name="off_balance_sheet_items_tusd">'Solvency Ratio'!$H$27</definedName>
    <definedName name="off_balance_sheet_items_usd">'Solvency Ratio'!$F$27</definedName>
    <definedName name="off_balance_sheet_items_wt">'Solvency Ratio'!$G$27</definedName>
    <definedName name="off_bs_acceptances_khr">'Solvency Ratio'!$I$41</definedName>
    <definedName name="off_bs_acceptances_tusd">'Solvency Ratio'!$H$41</definedName>
    <definedName name="off_bs_acceptances_usd">'Solvency Ratio'!$F$41</definedName>
    <definedName name="off_bs_acceptances_wt">'Solvency Ratio'!$G$41</definedName>
    <definedName name="off_bs_bills_not_bearing_khr">'Solvency Ratio'!$I$42</definedName>
    <definedName name="off_bs_bills_not_bearing_tusd">'Solvency Ratio'!$H$42</definedName>
    <definedName name="off_bs_bills_not_bearing_usd">'Solvency Ratio'!$F$42</definedName>
    <definedName name="off_bs_bills_not_bearing_wt">'Solvency Ratio'!$G$42</definedName>
    <definedName name="off_bs_commitments_khr">'Solvency Ratio'!$I$35</definedName>
    <definedName name="off_bs_commitments_tusd">'Solvency Ratio'!$H$35</definedName>
    <definedName name="off_bs_commitments_usd">'Solvency Ratio'!$F$35</definedName>
    <definedName name="off_bs_commitments_wt">'Solvency Ratio'!$G$35</definedName>
    <definedName name="off_bs_documentary_credits_khr">'Solvency Ratio'!$I$32</definedName>
    <definedName name="off_bs_documentary_credits_tusd">'Solvency Ratio'!$H$32</definedName>
    <definedName name="off_bs_documentary_credits_usd">'Solvency Ratio'!$F$32</definedName>
    <definedName name="off_bs_documentary_credits_wt">'Solvency Ratio'!$G$32</definedName>
    <definedName name="off_bs_loan_guarantees_khr">'Solvency Ratio'!$I$40</definedName>
    <definedName name="off_bs_loan_guarantees_tusd">'Solvency Ratio'!$H$40</definedName>
    <definedName name="off_bs_loan_guarantees_usd">'Solvency Ratio'!$F$40</definedName>
    <definedName name="off_bs_loan_guarantees_wt">'Solvency Ratio'!$G$40</definedName>
    <definedName name="off_bs_low_risk_khr">'Solvency Ratio'!$I$30</definedName>
    <definedName name="off_bs_low_risk_tusd">'Solvency Ratio'!$H$30</definedName>
    <definedName name="off_bs_low_risk_usd">'Solvency Ratio'!$F$30</definedName>
    <definedName name="off_bs_low_risk_wt">'Solvency Ratio'!$G$30</definedName>
    <definedName name="off_bs_moderate_risk_khr">'Solvency Ratio'!$I$31</definedName>
    <definedName name="off_bs_moderate_risk_tusd">'Solvency Ratio'!$H$31</definedName>
    <definedName name="off_bs_moderate_risk_usd">'Solvency Ratio'!$F$31</definedName>
    <definedName name="off_bs_moderate_risk_wt">'Solvency Ratio'!$G$31</definedName>
    <definedName name="off_bs_operations_full_risk_khr">'Solvency Ratio'!$I$39</definedName>
    <definedName name="off_bs_operations_full_risk_tusd">'Solvency Ratio'!$H$39</definedName>
    <definedName name="off_bs_operations_full_risk_usd">'Solvency Ratio'!$F$39</definedName>
    <definedName name="off_bs_operations_full_risk_wt">'Solvency Ratio'!$G$39</definedName>
    <definedName name="off_bs_operations_low_risk_khr">'Solvency Ratio'!$I$28</definedName>
    <definedName name="off_bs_operations_low_risk_tusd">'Solvency Ratio'!$H$28</definedName>
    <definedName name="off_bs_operations_low_risk_usd">'Solvency Ratio'!$F$28</definedName>
    <definedName name="off_bs_operations_low_risk_wt">'Solvency Ratio'!$G$28</definedName>
    <definedName name="off_bs_operations_medium_risk_khr">'Solvency Ratio'!$I$34</definedName>
    <definedName name="off_bs_operations_medium_risk_tusd">'Solvency Ratio'!$H$34</definedName>
    <definedName name="off_bs_operations_medium_risk_usd">'Solvency Ratio'!$F$34</definedName>
    <definedName name="off_bs_operations_medium_risk_wt">'Solvency Ratio'!$G$34</definedName>
    <definedName name="off_bs_other_medium_risk_khr">'Solvency Ratio'!$I$38</definedName>
    <definedName name="off_bs_other_medium_risk_tusd">'Solvency Ratio'!$H$38</definedName>
    <definedName name="off_bs_other_medium_risk_usd">'Solvency Ratio'!$F$38</definedName>
    <definedName name="off_bs_other_medium_risk_wt">'Solvency Ratio'!$G$38</definedName>
    <definedName name="off_bs_other_moderate_risk_khr">'Solvency Ratio'!$I$33</definedName>
    <definedName name="off_bs_other_moderate_risk_tusd">'Solvency Ratio'!$H$33</definedName>
    <definedName name="off_bs_other_moderate_risk_usd">'Solvency Ratio'!$F$33</definedName>
    <definedName name="off_bs_other_moderate_risk_wt">'Solvency Ratio'!$G$33</definedName>
    <definedName name="off_bs_overdrafts_commitments_khr">'Solvency Ratio'!$I$29</definedName>
    <definedName name="off_bs_overdrafts_commitments_one_year_khr">'Solvency Ratio'!$I$37</definedName>
    <definedName name="off_bs_overdrafts_commitments_one_year_tusd">'Solvency Ratio'!$H$37</definedName>
    <definedName name="off_bs_overdrafts_commitments_one_year_usd">'Solvency Ratio'!$F$37</definedName>
    <definedName name="off_bs_overdrafts_commitments_one_year_wt">'Solvency Ratio'!$G$37</definedName>
    <definedName name="off_bs_overdrafts_commitments_tusd">'Solvency Ratio'!$H$29</definedName>
    <definedName name="off_bs_overdrafts_commitments_usd">'Solvency Ratio'!$F$29</definedName>
    <definedName name="off_bs_overdrafts_commitments_wt">'Solvency Ratio'!$G$29</definedName>
    <definedName name="off_bs_warranties_idemnity_khr">'Solvency Ratio'!$I$36</definedName>
    <definedName name="off_bs_warranties_idemnity_tusd">'Solvency Ratio'!$H$36</definedName>
    <definedName name="off_bs_warranties_idemnity_usd">'Solvency Ratio'!$F$36</definedName>
    <definedName name="off_bs_warranties_idemnity_wt">'Solvency Ratio'!$G$36</definedName>
    <definedName name="OLE_LINK1" localSheetId="10">'Source of Funds'!$A$2</definedName>
    <definedName name="other​_loans_fcs">'Interest Rate'!$H$46</definedName>
    <definedName name="other​_loans_gold">'Interest Rate'!$I$46</definedName>
    <definedName name="other​_loans_khr">'Interest Rate'!$F$46</definedName>
    <definedName name="other​_loans_usd">'Interest Rate'!$G$46</definedName>
    <definedName name="other_deposits_fcs">'Interest Rate'!$H$22</definedName>
    <definedName name="other_deposits_gold">'Interest Rate'!$I$22</definedName>
    <definedName name="other_deposits_khr">'Interest Rate'!$F$22</definedName>
    <definedName name="other_deposits_usd">'Interest Rate'!$G$22</definedName>
    <definedName name="other_high_risk_khr">'Solvency Ratio'!$I$45</definedName>
    <definedName name="other_high_risk_tusd">'Solvency Ratio'!$H$45</definedName>
    <definedName name="other_high_risk_usd">'Solvency Ratio'!$F$45</definedName>
    <definedName name="other_high_risk_wt">'Solvency Ratio'!$G$45</definedName>
    <definedName name="other_ssets_khr">'Solvency Ratio'!$I$25</definedName>
    <definedName name="other_ssets_tusd">'Solvency Ratio'!$H$25</definedName>
    <definedName name="other_ssets_usd">'Solvency Ratio'!$F$25</definedName>
    <definedName name="other_ssets_wt">'Solvency Ratio'!$G$25</definedName>
    <definedName name="overdraft_business_fcs">'Interest Rate'!$H$27</definedName>
    <definedName name="overdraft_business_gold">'Interest Rate'!$I$27</definedName>
    <definedName name="overdraft_business_khr">'Interest Rate'!$F$27</definedName>
    <definedName name="overdraft_business_usd">'Interest Rate'!$G$27</definedName>
    <definedName name="overdraft_consumer_fcs">'Interest Rate'!$H$26</definedName>
    <definedName name="overdraft_consumer_gold">'Interest Rate'!$I$26</definedName>
    <definedName name="overdraft_consumer_khr">'Interest Rate'!$F$26</definedName>
    <definedName name="overdraft_consumer_usd">'Interest Rate'!$G$26</definedName>
    <definedName name="overdrafts_other_advances_khr">Networth!$L$38</definedName>
    <definedName name="overdrafts_other_advances_usd">Networth!$J$38</definedName>
    <definedName name="own_shares_held_khr">Networth!$L$33</definedName>
    <definedName name="own_shares_held_usd">Networth!$J$33</definedName>
    <definedName name="paid_capital_endowment_khr">Networth!$L$17</definedName>
    <definedName name="paid_capital_endowment_usd">Networth!$J$17</definedName>
    <definedName name="_xlnm.Print_Area" localSheetId="1">'Balance Sheet'!$C$1:$K$312</definedName>
    <definedName name="_xlnm.Print_Area" localSheetId="18">'classify customer depo'!$A$1:$S$41</definedName>
    <definedName name="_xlnm.Print_Area" localSheetId="10">'Source of Funds'!$A$1:$J$31</definedName>
    <definedName name="_xlnm.Print_Titles" localSheetId="16">'Latest Credit by Sectors'!$A:$V,'Latest Credit by Sectors'!$11:$14</definedName>
    <definedName name="_xlnm.Print_Titles" localSheetId="6">'Net Open Position'!$8:$16</definedName>
    <definedName name="provide_reference_NBC_authority_khr">Networth!$L$25</definedName>
    <definedName name="provide_reference_NBC_authority_usd">Networth!$J$25</definedName>
    <definedName name="provisions_general_banking_khr">Networth!$L$54</definedName>
    <definedName name="provisions_general_banking_usd">Networth!$J$54</definedName>
    <definedName name="reevaluation_reserves_NBC_khr">Networth!$L$52</definedName>
    <definedName name="reevaluation_reserves_NBC_usd">Networth!$J$52</definedName>
    <definedName name="regulation_networth_khr">Networth!$L$82</definedName>
    <definedName name="regulation_networth_usd">Networth!$J$82</definedName>
    <definedName name="related_parties_deduct_khr">Networth!$L$36</definedName>
    <definedName name="related_parties_deduct_usd">Networth!$J$36</definedName>
    <definedName name="reserves_revaluation_reserves_khr">Networth!$L$18</definedName>
    <definedName name="reserves_revaluation_reserves_usd">Networth!$J$18</definedName>
    <definedName name="retained_earnings_khr">Networth!$L$20</definedName>
    <definedName name="retained_earnings_usd">Networth!$J$20</definedName>
    <definedName name="saving_deposits_fcs">'Interest Rate'!$H$15</definedName>
    <definedName name="saving_deposits_gold">'Interest Rate'!$I$15</definedName>
    <definedName name="saving_deposits_khr">'Interest Rate'!$F$15</definedName>
    <definedName name="saving_deposits_usd">'Interest Rate'!$G$15</definedName>
    <definedName name="secured_loan_a_year_fcs">'Interest Rate'!$H$37</definedName>
    <definedName name="secured_loan_a_year_gold">'Interest Rate'!$I$37</definedName>
    <definedName name="secured_loan_a_year_khr">'Interest Rate'!$F$37</definedName>
    <definedName name="secured_loan_a_year_up_fcs">'Interest Rate'!$H$38</definedName>
    <definedName name="secured_loan_a_year_up_gold">'Interest Rate'!$I$38</definedName>
    <definedName name="secured_loan_a_year_up_khr">'Interest Rate'!$F$38</definedName>
    <definedName name="secured_loan_a_year_up_usd">'Interest Rate'!$G$38</definedName>
    <definedName name="secured_loan_a_year_usd">'Interest Rate'!$G$37</definedName>
    <definedName name="secured_loan_fcs">'Interest Rate'!$H$36</definedName>
    <definedName name="secured_loan_gold">'Interest Rate'!$I$36</definedName>
    <definedName name="secured_loan_khr">'Interest Rate'!$F$36</definedName>
    <definedName name="secured_loan_usd">'Interest Rate'!$G$36</definedName>
    <definedName name="senior_staffs">Remuneration!$E$44:$I$44</definedName>
    <definedName name="senior_staffs_female">Remuneration!$G$44</definedName>
    <definedName name="senior_staffs_male">Remuneration!$F$44</definedName>
    <definedName name="senior_staffs_other">Remuneration!$H$44</definedName>
    <definedName name="sn_cash_on_hand_KHR">'Source of Funds'!$I$17</definedName>
    <definedName name="sn_cash_on_hand_t">'Source of Funds'!$J$17</definedName>
    <definedName name="sn_cash_on_hand_USD">'Source of Funds'!$H$17</definedName>
    <definedName name="sn_customers_deposits_KHR">'Source of Funds'!$I$12</definedName>
    <definedName name="sn_customers_deposits_t">'Source of Funds'!$J$12</definedName>
    <definedName name="sn_customers_deposits_USD">'Source of Funds'!$H$12</definedName>
    <definedName name="sn_deposits_local_banks_KH">'Source of Funds'!$I$18</definedName>
    <definedName name="sn_deposits_local_banks_t">'Source of Funds'!$J$18</definedName>
    <definedName name="sn_deposits_local_banks_USD">'Source of Funds'!$H$18</definedName>
    <definedName name="sn_deposits_with_NBC_KHR">'Source of Funds'!$I$19</definedName>
    <definedName name="sn_deposits_with_NBC_t">'Source of Funds'!$J$19</definedName>
    <definedName name="sn_deposits_with_NBC_USD">'Source of Funds'!$H$19</definedName>
    <definedName name="sn_funds_over_sources_KHR">'Source of Funds'!$H$21</definedName>
    <definedName name="sn_funds_over_sources_t">'Source of Funds'!$J$21</definedName>
    <definedName name="sn_funds_over_sources_USD">'Source of Funds'!$I$21</definedName>
    <definedName name="sn_loans_and_advances_KHR">'Source of Funds'!$I$20</definedName>
    <definedName name="sn_loans_and_advances_t">'Source of Funds'!$J$20</definedName>
    <definedName name="sn_loans_and_advances_USD">'Source of Funds'!$H$20</definedName>
    <definedName name="sn_local_interbank_deposits_KHR">'Source of Funds'!$I$15</definedName>
    <definedName name="sn_local_interbank_deposits_t">'Source of Funds'!$J$15</definedName>
    <definedName name="sn_local_interbank_deposits_USD">'Source of Funds'!$H$15</definedName>
    <definedName name="sn_local_uses_of_funds_KHR">'Source of Funds'!$I$16</definedName>
    <definedName name="sn_local_uses_of_funds_t" localSheetId="14">'[4]Source of Funds'!$J$16</definedName>
    <definedName name="sn_local_uses_of_funds_t" localSheetId="25">'[5]Source of Funds'!$J$16</definedName>
    <definedName name="sn_local_uses_of_funds_t" localSheetId="9">'[6]Source of Funds'!$J$16</definedName>
    <definedName name="sn_local_uses_of_funds_t" localSheetId="0">'[7]Source of Funds'!$J$16</definedName>
    <definedName name="sn_local_uses_of_funds_t" localSheetId="15">'[4]Source of Funds'!$J$16</definedName>
    <definedName name="sn_local_uses_of_funds_t" localSheetId="11">'[4]Source of Funds'!$J$16</definedName>
    <definedName name="sn_local_uses_of_funds_t" localSheetId="12">'[4]Source of Funds'!$J$16</definedName>
    <definedName name="sn_local_uses_of_funds_t" localSheetId="13">'[4]Source of Funds'!$J$16</definedName>
    <definedName name="sn_local_uses_of_funds_t">'Source of Funds'!$J$16</definedName>
    <definedName name="sn_local_uses_of_funds_USD">'Source of Funds'!$H$16</definedName>
    <definedName name="sn_locally_collected_KHR">'Source of Funds'!$I$11</definedName>
    <definedName name="sn_locally_collected_t" localSheetId="14">'[4]Source of Funds'!$J$11</definedName>
    <definedName name="sn_locally_collected_t" localSheetId="25">'[5]Source of Funds'!$J$11</definedName>
    <definedName name="sn_locally_collected_t" localSheetId="9">'[6]Source of Funds'!$J$11</definedName>
    <definedName name="sn_locally_collected_t" localSheetId="0">'[7]Source of Funds'!$J$11</definedName>
    <definedName name="sn_locally_collected_t" localSheetId="15">'[4]Source of Funds'!$J$11</definedName>
    <definedName name="sn_locally_collected_t" localSheetId="11">'[4]Source of Funds'!$J$11</definedName>
    <definedName name="sn_locally_collected_t" localSheetId="12">'[4]Source of Funds'!$J$11</definedName>
    <definedName name="sn_locally_collected_t" localSheetId="13">'[4]Source of Funds'!$J$11</definedName>
    <definedName name="sn_locally_collected_t">'Source of Funds'!$J$11</definedName>
    <definedName name="sn_locally_collected_USD">'Source of Funds'!$H$11</definedName>
    <definedName name="sn_non_resident_KHR">'Source of Funds'!$I$14</definedName>
    <definedName name="sn_non_resident_t">'Source of Funds'!$J$14</definedName>
    <definedName name="sn_non_resident_USD">'Source of Funds'!$H$14</definedName>
    <definedName name="sn_resident_KHR">'Source of Funds'!$I$13</definedName>
    <definedName name="sn_resident_t">'Source of Funds'!$J$13</definedName>
    <definedName name="sn_resident_USD">'Source of Funds'!$H$13</definedName>
    <definedName name="solvency_ratio_khr">'Solvency Ratio'!$I$48</definedName>
    <definedName name="solvency_ratio_tusd">'Solvency Ratio'!$H$48</definedName>
    <definedName name="sources_of_funds_locally_collected_khr">'Source of Funds'!$I$11:$I$15</definedName>
    <definedName name="sources_of_funds_locally_collected_total">'Source of Funds'!$J$11:$J$15</definedName>
    <definedName name="sources_of_funds_locally_collected_usd">'Source of Funds'!$H$11:$H$15</definedName>
    <definedName name="staff_level">Remuneration!$A$43</definedName>
    <definedName name="sub_total_A_khr">Networth!$L$27</definedName>
    <definedName name="sub_total_A_usd">Networth!$J$27</definedName>
    <definedName name="subordinated_debt_instruments_khr">Networth!$L$58</definedName>
    <definedName name="subordinated_debt_instruments_usd">Networth!$J$58</definedName>
    <definedName name="term_loans_a_year_fcs">'Interest Rate'!$H$41</definedName>
    <definedName name="term_loans_a_year_gold">'Interest Rate'!$I$41</definedName>
    <definedName name="term_loans_a_year_khr">'Interest Rate'!$F$41</definedName>
    <definedName name="term_loans_a_year_up_fcs">'Interest Rate'!$H$42</definedName>
    <definedName name="term_loans_a_year_up_gold">'Interest Rate'!$I$42</definedName>
    <definedName name="term_loans_a_year_up_khr">'Interest Rate'!$F$42</definedName>
    <definedName name="term_loans_a_year_up_usd">'Interest Rate'!$G$42</definedName>
    <definedName name="term_loans_a_year_usd">'Interest Rate'!$G$41</definedName>
    <definedName name="term_loans_business_fcs">'Interest Rate'!$H$39</definedName>
    <definedName name="term_loans_business_gold">'Interest Rate'!$I$39</definedName>
    <definedName name="term_loans_business_khr">'Interest Rate'!$F$39</definedName>
    <definedName name="term_loans_business_usd">'Interest Rate'!$G$39</definedName>
    <definedName name="term_loans_consumer_fcs">'Interest Rate'!$H$32</definedName>
    <definedName name="term_loans_consumer_gold">'Interest Rate'!$I$32</definedName>
    <definedName name="term_loans_consumer_khr">'Interest Rate'!$F$32</definedName>
    <definedName name="term_loans_consumer_usd">'Interest Rate'!$G$32</definedName>
    <definedName name="term_loans_secured_a_year_fcs">'Interest Rate'!$H$44</definedName>
    <definedName name="term_loans_secured_a_year_gold">'Interest Rate'!$I$44</definedName>
    <definedName name="term_loans_secured_a_year_khr">'Interest Rate'!$F$44</definedName>
    <definedName name="term_loans_secured_a_year_up_fcs">'Interest Rate'!$H$45</definedName>
    <definedName name="term_loans_secured_a_year_up_gold">'Interest Rate'!$I$45</definedName>
    <definedName name="term_loans_secured_a_year_up_khr">'Interest Rate'!$F$45</definedName>
    <definedName name="term_loans_secured_a_year_up_usd">'Interest Rate'!$G$45</definedName>
    <definedName name="term_loans_secured_a_year_usd">'Interest Rate'!$G$44</definedName>
    <definedName name="term_loans_secured_fcs">'Interest Rate'!$H$43</definedName>
    <definedName name="term_loans_secured_gold">'Interest Rate'!$I$43</definedName>
    <definedName name="term_loans_secured_khr">'Interest Rate'!$F$43</definedName>
    <definedName name="term_loans_secured_usd">'Interest Rate'!$G$43</definedName>
    <definedName name="term_loans_unsecured_fcs">'Interest Rate'!$H$40</definedName>
    <definedName name="term_loans_unsecured_gold">'Interest Rate'!$I$40</definedName>
    <definedName name="term_loans_unsecured_khr">'Interest Rate'!$F$40</definedName>
    <definedName name="term_loans_unsecured_usd">'Interest Rate'!$G$40</definedName>
    <definedName name="tier2_NBC_authority_khr">Networth!$L$62</definedName>
    <definedName name="tier2_NBC_authority_usd">Networth!$J$62</definedName>
    <definedName name="tier2_other_deducted_items_khr">Networth!$L$73</definedName>
    <definedName name="tier2_other_deducted_items_usd">Networth!$J$73</definedName>
    <definedName name="tier2_provide_NBC_authority_khr">Networth!$L$63</definedName>
    <definedName name="tier2_provide_NBC_authority_usd">Networth!$J$63</definedName>
    <definedName name="tier2_subordinated_debt_khr">Networth!$L$67</definedName>
    <definedName name="tier2_subordinated_debt_usd">Networth!$J$67</definedName>
    <definedName name="tier2_subtoal_c_khr">Networth!$L$65</definedName>
    <definedName name="tier2_subtoal_c_usd">Networth!$J$65</definedName>
    <definedName name="time_deposits_fcs">'Interest Rate'!$H$16</definedName>
    <definedName name="time_deposits_gold">'Interest Rate'!$I$16</definedName>
    <definedName name="time_deposits_khr">'Interest Rate'!$F$16</definedName>
    <definedName name="time_deposits_usd">'Interest Rate'!$G$16</definedName>
    <definedName name="total_assets_operations_khr">'Solvency Ratio'!$I$47</definedName>
    <definedName name="total_assets_operations_tusd">'Solvency Ratio'!$H$47</definedName>
    <definedName name="Total_Credit_Line_khr" localSheetId="14">#REF!</definedName>
    <definedName name="Total_Credit_Line_khr" localSheetId="9">#REF!</definedName>
    <definedName name="Total_Credit_Line_khr" localSheetId="15">#REF!</definedName>
    <definedName name="Total_Credit_Line_khr" localSheetId="11">#REF!</definedName>
    <definedName name="Total_Credit_Line_khr" localSheetId="12">#REF!</definedName>
    <definedName name="Total_Credit_Line_khr" localSheetId="13">#REF!</definedName>
    <definedName name="Total_Credit_Line_khr">#REF!</definedName>
    <definedName name="Total_Credit_Line_usd" localSheetId="14">#REF!</definedName>
    <definedName name="Total_Credit_Line_usd" localSheetId="9">#REF!</definedName>
    <definedName name="Total_Credit_Line_usd" localSheetId="15">#REF!</definedName>
    <definedName name="Total_Credit_Line_usd" localSheetId="11">#REF!</definedName>
    <definedName name="Total_Credit_Line_usd" localSheetId="12">#REF!</definedName>
    <definedName name="Total_Credit_Line_usd" localSheetId="13">#REF!</definedName>
    <definedName name="Total_Credit_Line_usd">#REF!</definedName>
    <definedName name="Total_Debit_Line_khr" localSheetId="14">#REF!</definedName>
    <definedName name="Total_Debit_Line_khr" localSheetId="9">#REF!</definedName>
    <definedName name="Total_Debit_Line_khr" localSheetId="15">#REF!</definedName>
    <definedName name="Total_Debit_Line_khr" localSheetId="11">#REF!</definedName>
    <definedName name="Total_Debit_Line_khr" localSheetId="12">#REF!</definedName>
    <definedName name="Total_Debit_Line_khr" localSheetId="13">#REF!</definedName>
    <definedName name="Total_Debit_Line_khr">#REF!</definedName>
    <definedName name="Total_Debit_Line_usd" localSheetId="14">#REF!</definedName>
    <definedName name="Total_Debit_Line_usd" localSheetId="9">#REF!</definedName>
    <definedName name="Total_Debit_Line_usd" localSheetId="15">#REF!</definedName>
    <definedName name="Total_Debit_Line_usd" localSheetId="11">#REF!</definedName>
    <definedName name="Total_Debit_Line_usd" localSheetId="12">#REF!</definedName>
    <definedName name="Total_Debit_Line_usd" localSheetId="13">#REF!</definedName>
    <definedName name="Total_Debit_Line_usd">#REF!</definedName>
    <definedName name="Total_Denominator_Items_khr" localSheetId="14">#REF!</definedName>
    <definedName name="Total_Denominator_Items_khr" localSheetId="9">#REF!</definedName>
    <definedName name="Total_Denominator_Items_khr" localSheetId="15">#REF!</definedName>
    <definedName name="Total_Denominator_Items_khr" localSheetId="11">#REF!</definedName>
    <definedName name="Total_Denominator_Items_khr" localSheetId="12">#REF!</definedName>
    <definedName name="Total_Denominator_Items_khr" localSheetId="13">#REF!</definedName>
    <definedName name="Total_Denominator_Items_khr">#REF!</definedName>
    <definedName name="Total_Denominator_Items_usd" localSheetId="14">#REF!</definedName>
    <definedName name="Total_Denominator_Items_usd" localSheetId="9">#REF!</definedName>
    <definedName name="Total_Denominator_Items_usd" localSheetId="15">#REF!</definedName>
    <definedName name="Total_Denominator_Items_usd" localSheetId="11">#REF!</definedName>
    <definedName name="Total_Denominator_Items_usd" localSheetId="12">#REF!</definedName>
    <definedName name="Total_Denominator_Items_usd" localSheetId="13">#REF!</definedName>
    <definedName name="Total_Denominator_Items_usd">#REF!</definedName>
    <definedName name="total_i_khr">'Solvency Ratio'!$I$26</definedName>
    <definedName name="total_i_tusd">'Solvency Ratio'!$H$26</definedName>
    <definedName name="total_i_usd">'Solvency Ratio'!$F$26</definedName>
    <definedName name="total_i_wt">'Solvency Ratio'!$G$26</definedName>
    <definedName name="total_ii_khr">'Solvency Ratio'!$I$46</definedName>
    <definedName name="total_ii_tusd">'Solvency Ratio'!$H$46</definedName>
    <definedName name="total_ii_usd">'Solvency Ratio'!$F$46</definedName>
    <definedName name="total_ii_wt">'Solvency Ratio'!$G$46</definedName>
    <definedName name="total_net_assets_off_balance">'Net Liabilities'!$I$36</definedName>
    <definedName name="Total_Numerator_Items_khr" localSheetId="14">#REF!</definedName>
    <definedName name="Total_Numerator_Items_khr" localSheetId="9">#REF!</definedName>
    <definedName name="Total_Numerator_Items_khr" localSheetId="15">#REF!</definedName>
    <definedName name="Total_Numerator_Items_khr" localSheetId="11">#REF!</definedName>
    <definedName name="Total_Numerator_Items_khr" localSheetId="12">#REF!</definedName>
    <definedName name="Total_Numerator_Items_khr" localSheetId="13">#REF!</definedName>
    <definedName name="Total_Numerator_Items_khr">#REF!</definedName>
    <definedName name="Total_Numerator_Items_usd" localSheetId="14">#REF!</definedName>
    <definedName name="Total_Numerator_Items_usd" localSheetId="9">#REF!</definedName>
    <definedName name="Total_Numerator_Items_usd" localSheetId="15">#REF!</definedName>
    <definedName name="Total_Numerator_Items_usd" localSheetId="11">#REF!</definedName>
    <definedName name="Total_Numerator_Items_usd" localSheetId="12">#REF!</definedName>
    <definedName name="Total_Numerator_Items_usd" localSheetId="13">#REF!</definedName>
    <definedName name="Total_Numerator_Items_usd">#REF!</definedName>
    <definedName name="total_teir2_khr">Networth!$L$77</definedName>
    <definedName name="total_teir2_usd">Networth!$J$77</definedName>
    <definedName name="total_tier1_core_capital_khr">Networth!$L$46</definedName>
    <definedName name="total_tier1_core_capital_usd">Networth!$J$46</definedName>
    <definedName name="transactions_with_recours_tusd">'Solvency Ratio'!$H$43</definedName>
    <definedName name="transactions_with_recourse_khr">'Solvency Ratio'!$I$43</definedName>
    <definedName name="transactions_with_recourse_usd">'Solvency Ratio'!$F$43</definedName>
    <definedName name="transactions_with_recourse_wt">'Solvency Ratio'!$G$43</definedName>
    <definedName name="unpaid_portion_capital_khr">Networth!$L$37</definedName>
    <definedName name="unpaid_portion_capital_usd">Networth!$J$37</definedName>
    <definedName name="unsecured_loan_fcs">'Interest Rate'!$H$33</definedName>
    <definedName name="unsecured_loan_gold">'Interest Rate'!$I$33</definedName>
    <definedName name="unsecured_loan_khr">'Interest Rate'!$F$33</definedName>
    <definedName name="unsecured_loan_usd">'Interest Rate'!$G$33</definedName>
    <definedName name="weighting_assets_full_risk_khr">'Solvency Ratio'!$I$24</definedName>
    <definedName name="weighting_assets_full_risk_tusd">'Solvency Ratio'!$H$24</definedName>
    <definedName name="weighting_assets_full_risk_usd">'Solvency Ratio'!$F$24</definedName>
    <definedName name="weighting_assets_full_risk_wt">'Solvency Ratio'!$G$24</definedName>
    <definedName name="wrn.budget." localSheetId="1" hidden="1">{#N/A,#N/A,FALSE,"P&amp;LVIETNAM";#N/A,#N/A,FALSE,"P&amp;L summary";#N/A,#N/A,FALSE,"Treasury";#N/A,#N/A,FALSE,"CB";#N/A,#N/A,FALSE,"CEO ";#N/A,#N/A,FALSE,"IBG";#N/A,#N/A,FALSE,"FIN";#N/A,#N/A,FALSE,"BS97"}</definedName>
    <definedName name="wrn.budget." localSheetId="19" hidden="1">{#N/A,#N/A,FALSE,"P&amp;LVIETNAM";#N/A,#N/A,FALSE,"P&amp;L summary";#N/A,#N/A,FALSE,"Treasury";#N/A,#N/A,FALSE,"CB";#N/A,#N/A,FALSE,"CEO ";#N/A,#N/A,FALSE,"IBG";#N/A,#N/A,FALSE,"FIN";#N/A,#N/A,FALSE,"BS97"}</definedName>
    <definedName name="wrn.budget." localSheetId="18" hidden="1">{#N/A,#N/A,FALSE,"P&amp;LVIETNAM";#N/A,#N/A,FALSE,"P&amp;L summary";#N/A,#N/A,FALSE,"Treasury";#N/A,#N/A,FALSE,"CB";#N/A,#N/A,FALSE,"CEO ";#N/A,#N/A,FALSE,"IBG";#N/A,#N/A,FALSE,"FIN";#N/A,#N/A,FALSE,"BS97"}</definedName>
    <definedName name="wrn.budget." localSheetId="14" hidden="1">{#N/A,#N/A,FALSE,"P&amp;LVIETNAM";#N/A,#N/A,FALSE,"P&amp;L summary";#N/A,#N/A,FALSE,"Treasury";#N/A,#N/A,FALSE,"CB";#N/A,#N/A,FALSE,"CEO ";#N/A,#N/A,FALSE,"IBG";#N/A,#N/A,FALSE,"FIN";#N/A,#N/A,FALSE,"BS97"}</definedName>
    <definedName name="wrn.budget." localSheetId="24" hidden="1">{#N/A,#N/A,FALSE,"P&amp;LVIETNAM";#N/A,#N/A,FALSE,"P&amp;L summary";#N/A,#N/A,FALSE,"Treasury";#N/A,#N/A,FALSE,"CB";#N/A,#N/A,FALSE,"CEO ";#N/A,#N/A,FALSE,"IBG";#N/A,#N/A,FALSE,"FIN";#N/A,#N/A,FALSE,"BS97"}</definedName>
    <definedName name="wrn.budget." localSheetId="25" hidden="1">{#N/A,#N/A,FALSE,"P&amp;LVIETNAM";#N/A,#N/A,FALSE,"P&amp;L summary";#N/A,#N/A,FALSE,"Treasury";#N/A,#N/A,FALSE,"CB";#N/A,#N/A,FALSE,"CEO ";#N/A,#N/A,FALSE,"IBG";#N/A,#N/A,FALSE,"FIN";#N/A,#N/A,FALSE,"BS97"}</definedName>
    <definedName name="wrn.budget." localSheetId="23" hidden="1">{#N/A,#N/A,FALSE,"P&amp;LVIETNAM";#N/A,#N/A,FALSE,"P&amp;L summary";#N/A,#N/A,FALSE,"Treasury";#N/A,#N/A,FALSE,"CB";#N/A,#N/A,FALSE,"CEO ";#N/A,#N/A,FALSE,"IBG";#N/A,#N/A,FALSE,"FIN";#N/A,#N/A,FALSE,"BS97"}</definedName>
    <definedName name="wrn.budget." localSheetId="16" hidden="1">{#N/A,#N/A,FALSE,"P&amp;LVIETNAM";#N/A,#N/A,FALSE,"P&amp;L summary";#N/A,#N/A,FALSE,"Treasury";#N/A,#N/A,FALSE,"CB";#N/A,#N/A,FALSE,"CEO ";#N/A,#N/A,FALSE,"IBG";#N/A,#N/A,FALSE,"FIN";#N/A,#N/A,FALSE,"BS97"}</definedName>
    <definedName name="wrn.budget." localSheetId="9" hidden="1">{#N/A,#N/A,FALSE,"P&amp;LVIETNAM";#N/A,#N/A,FALSE,"P&amp;L summary";#N/A,#N/A,FALSE,"Treasury";#N/A,#N/A,FALSE,"CB";#N/A,#N/A,FALSE,"CEO ";#N/A,#N/A,FALSE,"IBG";#N/A,#N/A,FALSE,"FIN";#N/A,#N/A,FALSE,"BS97"}</definedName>
    <definedName name="wrn.budget." localSheetId="0" hidden="1">{#N/A,#N/A,FALSE,"P&amp;LVIETNAM";#N/A,#N/A,FALSE,"P&amp;L summary";#N/A,#N/A,FALSE,"Treasury";#N/A,#N/A,FALSE,"CB";#N/A,#N/A,FALSE,"CEO ";#N/A,#N/A,FALSE,"IBG";#N/A,#N/A,FALSE,"FIN";#N/A,#N/A,FALSE,"BS97"}</definedName>
    <definedName name="wrn.budget." localSheetId="8" hidden="1">{#N/A,#N/A,FALSE,"P&amp;LVIETNAM";#N/A,#N/A,FALSE,"P&amp;L summary";#N/A,#N/A,FALSE,"Treasury";#N/A,#N/A,FALSE,"CB";#N/A,#N/A,FALSE,"CEO ";#N/A,#N/A,FALSE,"IBG";#N/A,#N/A,FALSE,"FIN";#N/A,#N/A,FALSE,"BS97"}</definedName>
    <definedName name="wrn.budget." localSheetId="15" hidden="1">{#N/A,#N/A,FALSE,"P&amp;LVIETNAM";#N/A,#N/A,FALSE,"P&amp;L summary";#N/A,#N/A,FALSE,"Treasury";#N/A,#N/A,FALSE,"CB";#N/A,#N/A,FALSE,"CEO ";#N/A,#N/A,FALSE,"IBG";#N/A,#N/A,FALSE,"FIN";#N/A,#N/A,FALSE,"BS97"}</definedName>
    <definedName name="wrn.budget." localSheetId="22" hidden="1">{#N/A,#N/A,FALSE,"P&amp;LVIETNAM";#N/A,#N/A,FALSE,"P&amp;L summary";#N/A,#N/A,FALSE,"Treasury";#N/A,#N/A,FALSE,"CB";#N/A,#N/A,FALSE,"CEO ";#N/A,#N/A,FALSE,"IBG";#N/A,#N/A,FALSE,"FIN";#N/A,#N/A,FALSE,"BS97"}</definedName>
    <definedName name="wrn.budget." localSheetId="6" hidden="1">{#N/A,#N/A,FALSE,"P&amp;LVIETNAM";#N/A,#N/A,FALSE,"P&amp;L summary";#N/A,#N/A,FALSE,"Treasury";#N/A,#N/A,FALSE,"CB";#N/A,#N/A,FALSE,"CEO ";#N/A,#N/A,FALSE,"IBG";#N/A,#N/A,FALSE,"FIN";#N/A,#N/A,FALSE,"BS97"}</definedName>
    <definedName name="wrn.budget." localSheetId="11" hidden="1">{#N/A,#N/A,FALSE,"P&amp;LVIETNAM";#N/A,#N/A,FALSE,"P&amp;L summary";#N/A,#N/A,FALSE,"Treasury";#N/A,#N/A,FALSE,"CB";#N/A,#N/A,FALSE,"CEO ";#N/A,#N/A,FALSE,"IBG";#N/A,#N/A,FALSE,"FIN";#N/A,#N/A,FALSE,"BS97"}</definedName>
    <definedName name="wrn.budget." localSheetId="5" hidden="1">{#N/A,#N/A,FALSE,"P&amp;LVIETNAM";#N/A,#N/A,FALSE,"P&amp;L summary";#N/A,#N/A,FALSE,"Treasury";#N/A,#N/A,FALSE,"CB";#N/A,#N/A,FALSE,"CEO ";#N/A,#N/A,FALSE,"IBG";#N/A,#N/A,FALSE,"FIN";#N/A,#N/A,FALSE,"BS97"}</definedName>
    <definedName name="wrn.budget." localSheetId="10" hidden="1">{#N/A,#N/A,FALSE,"P&amp;LVIETNAM";#N/A,#N/A,FALSE,"P&amp;L summary";#N/A,#N/A,FALSE,"Treasury";#N/A,#N/A,FALSE,"CB";#N/A,#N/A,FALSE,"CEO ";#N/A,#N/A,FALSE,"IBG";#N/A,#N/A,FALSE,"FIN";#N/A,#N/A,FALSE,"BS97"}</definedName>
    <definedName name="wrn.budget." localSheetId="12" hidden="1">{#N/A,#N/A,FALSE,"P&amp;LVIETNAM";#N/A,#N/A,FALSE,"P&amp;L summary";#N/A,#N/A,FALSE,"Treasury";#N/A,#N/A,FALSE,"CB";#N/A,#N/A,FALSE,"CEO ";#N/A,#N/A,FALSE,"IBG";#N/A,#N/A,FALSE,"FIN";#N/A,#N/A,FALSE,"BS97"}</definedName>
    <definedName name="wrn.budget." localSheetId="13" hidden="1">{#N/A,#N/A,FALSE,"P&amp;LVIETNAM";#N/A,#N/A,FALSE,"P&amp;L summary";#N/A,#N/A,FALSE,"Treasury";#N/A,#N/A,FALSE,"CB";#N/A,#N/A,FALSE,"CEO ";#N/A,#N/A,FALSE,"IBG";#N/A,#N/A,FALSE,"FIN";#N/A,#N/A,FALSE,"BS97"}</definedName>
    <definedName name="wrn.budget." localSheetId="17" hidden="1">{#N/A,#N/A,FALSE,"P&amp;LVIETNAM";#N/A,#N/A,FALSE,"P&amp;L summary";#N/A,#N/A,FALSE,"Treasury";#N/A,#N/A,FALSE,"CB";#N/A,#N/A,FALSE,"CEO ";#N/A,#N/A,FALSE,"IBG";#N/A,#N/A,FALSE,"FIN";#N/A,#N/A,FALSE,"BS97"}</definedName>
    <definedName name="wrn.budget." hidden="1">{#N/A,#N/A,FALSE,"P&amp;LVIETNAM";#N/A,#N/A,FALSE,"P&amp;L summary";#N/A,#N/A,FALSE,"Treasury";#N/A,#N/A,FALSE,"CB";#N/A,#N/A,FALSE,"CEO ";#N/A,#N/A,FALSE,"IBG";#N/A,#N/A,FALSE,"FIN";#N/A,#N/A,FALSE,"BS97"}</definedName>
    <definedName name="wrn.hanh." localSheetId="1" hidden="1">{#N/A,#N/A,FALSE,"P&amp;LVN H2";#N/A,#N/A,FALSE,"P&amp;LVIETNAM";#N/A,#N/A,FALSE,"P&amp;LVN H1";#N/A,#N/A,FALSE,"P&amp;L summary";#N/A,#N/A,FALSE,"CB";#N/A,#N/A,FALSE,"CEO ";#N/A,#N/A,FALSE,"Treasury";#N/A,#N/A,FALSE,"IBG";#N/A,#N/A,FALSE,"FIN";#N/A,#N/A,FALSE,"INDO";#N/A,#N/A,FALSE,"BS97"}</definedName>
    <definedName name="wrn.hanh." localSheetId="19" hidden="1">{#N/A,#N/A,FALSE,"P&amp;LVN H2";#N/A,#N/A,FALSE,"P&amp;LVIETNAM";#N/A,#N/A,FALSE,"P&amp;LVN H1";#N/A,#N/A,FALSE,"P&amp;L summary";#N/A,#N/A,FALSE,"CB";#N/A,#N/A,FALSE,"CEO ";#N/A,#N/A,FALSE,"Treasury";#N/A,#N/A,FALSE,"IBG";#N/A,#N/A,FALSE,"FIN";#N/A,#N/A,FALSE,"INDO";#N/A,#N/A,FALSE,"BS97"}</definedName>
    <definedName name="wrn.hanh." localSheetId="18" hidden="1">{#N/A,#N/A,FALSE,"P&amp;LVN H2";#N/A,#N/A,FALSE,"P&amp;LVIETNAM";#N/A,#N/A,FALSE,"P&amp;LVN H1";#N/A,#N/A,FALSE,"P&amp;L summary";#N/A,#N/A,FALSE,"CB";#N/A,#N/A,FALSE,"CEO ";#N/A,#N/A,FALSE,"Treasury";#N/A,#N/A,FALSE,"IBG";#N/A,#N/A,FALSE,"FIN";#N/A,#N/A,FALSE,"INDO";#N/A,#N/A,FALSE,"BS97"}</definedName>
    <definedName name="wrn.hanh." localSheetId="14" hidden="1">{#N/A,#N/A,FALSE,"P&amp;LVN H2";#N/A,#N/A,FALSE,"P&amp;LVIETNAM";#N/A,#N/A,FALSE,"P&amp;LVN H1";#N/A,#N/A,FALSE,"P&amp;L summary";#N/A,#N/A,FALSE,"CB";#N/A,#N/A,FALSE,"CEO ";#N/A,#N/A,FALSE,"Treasury";#N/A,#N/A,FALSE,"IBG";#N/A,#N/A,FALSE,"FIN";#N/A,#N/A,FALSE,"INDO";#N/A,#N/A,FALSE,"BS97"}</definedName>
    <definedName name="wrn.hanh." localSheetId="24" hidden="1">{#N/A,#N/A,FALSE,"P&amp;LVN H2";#N/A,#N/A,FALSE,"P&amp;LVIETNAM";#N/A,#N/A,FALSE,"P&amp;LVN H1";#N/A,#N/A,FALSE,"P&amp;L summary";#N/A,#N/A,FALSE,"CB";#N/A,#N/A,FALSE,"CEO ";#N/A,#N/A,FALSE,"Treasury";#N/A,#N/A,FALSE,"IBG";#N/A,#N/A,FALSE,"FIN";#N/A,#N/A,FALSE,"INDO";#N/A,#N/A,FALSE,"BS97"}</definedName>
    <definedName name="wrn.hanh." localSheetId="25" hidden="1">{#N/A,#N/A,FALSE,"P&amp;LVN H2";#N/A,#N/A,FALSE,"P&amp;LVIETNAM";#N/A,#N/A,FALSE,"P&amp;LVN H1";#N/A,#N/A,FALSE,"P&amp;L summary";#N/A,#N/A,FALSE,"CB";#N/A,#N/A,FALSE,"CEO ";#N/A,#N/A,FALSE,"Treasury";#N/A,#N/A,FALSE,"IBG";#N/A,#N/A,FALSE,"FIN";#N/A,#N/A,FALSE,"INDO";#N/A,#N/A,FALSE,"BS97"}</definedName>
    <definedName name="wrn.hanh." localSheetId="23" hidden="1">{#N/A,#N/A,FALSE,"P&amp;LVN H2";#N/A,#N/A,FALSE,"P&amp;LVIETNAM";#N/A,#N/A,FALSE,"P&amp;LVN H1";#N/A,#N/A,FALSE,"P&amp;L summary";#N/A,#N/A,FALSE,"CB";#N/A,#N/A,FALSE,"CEO ";#N/A,#N/A,FALSE,"Treasury";#N/A,#N/A,FALSE,"IBG";#N/A,#N/A,FALSE,"FIN";#N/A,#N/A,FALSE,"INDO";#N/A,#N/A,FALSE,"BS97"}</definedName>
    <definedName name="wrn.hanh." localSheetId="16" hidden="1">{#N/A,#N/A,FALSE,"P&amp;LVN H2";#N/A,#N/A,FALSE,"P&amp;LVIETNAM";#N/A,#N/A,FALSE,"P&amp;LVN H1";#N/A,#N/A,FALSE,"P&amp;L summary";#N/A,#N/A,FALSE,"CB";#N/A,#N/A,FALSE,"CEO ";#N/A,#N/A,FALSE,"Treasury";#N/A,#N/A,FALSE,"IBG";#N/A,#N/A,FALSE,"FIN";#N/A,#N/A,FALSE,"INDO";#N/A,#N/A,FALSE,"BS97"}</definedName>
    <definedName name="wrn.hanh." localSheetId="9" hidden="1">{#N/A,#N/A,FALSE,"P&amp;LVN H2";#N/A,#N/A,FALSE,"P&amp;LVIETNAM";#N/A,#N/A,FALSE,"P&amp;LVN H1";#N/A,#N/A,FALSE,"P&amp;L summary";#N/A,#N/A,FALSE,"CB";#N/A,#N/A,FALSE,"CEO ";#N/A,#N/A,FALSE,"Treasury";#N/A,#N/A,FALSE,"IBG";#N/A,#N/A,FALSE,"FIN";#N/A,#N/A,FALSE,"INDO";#N/A,#N/A,FALSE,"BS97"}</definedName>
    <definedName name="wrn.hanh." localSheetId="0" hidden="1">{#N/A,#N/A,FALSE,"P&amp;LVN H2";#N/A,#N/A,FALSE,"P&amp;LVIETNAM";#N/A,#N/A,FALSE,"P&amp;LVN H1";#N/A,#N/A,FALSE,"P&amp;L summary";#N/A,#N/A,FALSE,"CB";#N/A,#N/A,FALSE,"CEO ";#N/A,#N/A,FALSE,"Treasury";#N/A,#N/A,FALSE,"IBG";#N/A,#N/A,FALSE,"FIN";#N/A,#N/A,FALSE,"INDO";#N/A,#N/A,FALSE,"BS97"}</definedName>
    <definedName name="wrn.hanh." localSheetId="8" hidden="1">{#N/A,#N/A,FALSE,"P&amp;LVN H2";#N/A,#N/A,FALSE,"P&amp;LVIETNAM";#N/A,#N/A,FALSE,"P&amp;LVN H1";#N/A,#N/A,FALSE,"P&amp;L summary";#N/A,#N/A,FALSE,"CB";#N/A,#N/A,FALSE,"CEO ";#N/A,#N/A,FALSE,"Treasury";#N/A,#N/A,FALSE,"IBG";#N/A,#N/A,FALSE,"FIN";#N/A,#N/A,FALSE,"INDO";#N/A,#N/A,FALSE,"BS97"}</definedName>
    <definedName name="wrn.hanh." localSheetId="15" hidden="1">{#N/A,#N/A,FALSE,"P&amp;LVN H2";#N/A,#N/A,FALSE,"P&amp;LVIETNAM";#N/A,#N/A,FALSE,"P&amp;LVN H1";#N/A,#N/A,FALSE,"P&amp;L summary";#N/A,#N/A,FALSE,"CB";#N/A,#N/A,FALSE,"CEO ";#N/A,#N/A,FALSE,"Treasury";#N/A,#N/A,FALSE,"IBG";#N/A,#N/A,FALSE,"FIN";#N/A,#N/A,FALSE,"INDO";#N/A,#N/A,FALSE,"BS97"}</definedName>
    <definedName name="wrn.hanh." localSheetId="22" hidden="1">{#N/A,#N/A,FALSE,"P&amp;LVN H2";#N/A,#N/A,FALSE,"P&amp;LVIETNAM";#N/A,#N/A,FALSE,"P&amp;LVN H1";#N/A,#N/A,FALSE,"P&amp;L summary";#N/A,#N/A,FALSE,"CB";#N/A,#N/A,FALSE,"CEO ";#N/A,#N/A,FALSE,"Treasury";#N/A,#N/A,FALSE,"IBG";#N/A,#N/A,FALSE,"FIN";#N/A,#N/A,FALSE,"INDO";#N/A,#N/A,FALSE,"BS97"}</definedName>
    <definedName name="wrn.hanh." localSheetId="6" hidden="1">{#N/A,#N/A,FALSE,"P&amp;LVN H2";#N/A,#N/A,FALSE,"P&amp;LVIETNAM";#N/A,#N/A,FALSE,"P&amp;LVN H1";#N/A,#N/A,FALSE,"P&amp;L summary";#N/A,#N/A,FALSE,"CB";#N/A,#N/A,FALSE,"CEO ";#N/A,#N/A,FALSE,"Treasury";#N/A,#N/A,FALSE,"IBG";#N/A,#N/A,FALSE,"FIN";#N/A,#N/A,FALSE,"INDO";#N/A,#N/A,FALSE,"BS97"}</definedName>
    <definedName name="wrn.hanh." localSheetId="11" hidden="1">{#N/A,#N/A,FALSE,"P&amp;LVN H2";#N/A,#N/A,FALSE,"P&amp;LVIETNAM";#N/A,#N/A,FALSE,"P&amp;LVN H1";#N/A,#N/A,FALSE,"P&amp;L summary";#N/A,#N/A,FALSE,"CB";#N/A,#N/A,FALSE,"CEO ";#N/A,#N/A,FALSE,"Treasury";#N/A,#N/A,FALSE,"IBG";#N/A,#N/A,FALSE,"FIN";#N/A,#N/A,FALSE,"INDO";#N/A,#N/A,FALSE,"BS97"}</definedName>
    <definedName name="wrn.hanh." localSheetId="5" hidden="1">{#N/A,#N/A,FALSE,"P&amp;LVN H2";#N/A,#N/A,FALSE,"P&amp;LVIETNAM";#N/A,#N/A,FALSE,"P&amp;LVN H1";#N/A,#N/A,FALSE,"P&amp;L summary";#N/A,#N/A,FALSE,"CB";#N/A,#N/A,FALSE,"CEO ";#N/A,#N/A,FALSE,"Treasury";#N/A,#N/A,FALSE,"IBG";#N/A,#N/A,FALSE,"FIN";#N/A,#N/A,FALSE,"INDO";#N/A,#N/A,FALSE,"BS97"}</definedName>
    <definedName name="wrn.hanh." localSheetId="10" hidden="1">{#N/A,#N/A,FALSE,"P&amp;LVN H2";#N/A,#N/A,FALSE,"P&amp;LVIETNAM";#N/A,#N/A,FALSE,"P&amp;LVN H1";#N/A,#N/A,FALSE,"P&amp;L summary";#N/A,#N/A,FALSE,"CB";#N/A,#N/A,FALSE,"CEO ";#N/A,#N/A,FALSE,"Treasury";#N/A,#N/A,FALSE,"IBG";#N/A,#N/A,FALSE,"FIN";#N/A,#N/A,FALSE,"INDO";#N/A,#N/A,FALSE,"BS97"}</definedName>
    <definedName name="wrn.hanh." localSheetId="12" hidden="1">{#N/A,#N/A,FALSE,"P&amp;LVN H2";#N/A,#N/A,FALSE,"P&amp;LVIETNAM";#N/A,#N/A,FALSE,"P&amp;LVN H1";#N/A,#N/A,FALSE,"P&amp;L summary";#N/A,#N/A,FALSE,"CB";#N/A,#N/A,FALSE,"CEO ";#N/A,#N/A,FALSE,"Treasury";#N/A,#N/A,FALSE,"IBG";#N/A,#N/A,FALSE,"FIN";#N/A,#N/A,FALSE,"INDO";#N/A,#N/A,FALSE,"BS97"}</definedName>
    <definedName name="wrn.hanh." localSheetId="13" hidden="1">{#N/A,#N/A,FALSE,"P&amp;LVN H2";#N/A,#N/A,FALSE,"P&amp;LVIETNAM";#N/A,#N/A,FALSE,"P&amp;LVN H1";#N/A,#N/A,FALSE,"P&amp;L summary";#N/A,#N/A,FALSE,"CB";#N/A,#N/A,FALSE,"CEO ";#N/A,#N/A,FALSE,"Treasury";#N/A,#N/A,FALSE,"IBG";#N/A,#N/A,FALSE,"FIN";#N/A,#N/A,FALSE,"INDO";#N/A,#N/A,FALSE,"BS97"}</definedName>
    <definedName name="wrn.hanh." localSheetId="17" hidden="1">{#N/A,#N/A,FALSE,"P&amp;LVN H2";#N/A,#N/A,FALSE,"P&amp;LVIETNAM";#N/A,#N/A,FALSE,"P&amp;LVN H1";#N/A,#N/A,FALSE,"P&amp;L summary";#N/A,#N/A,FALSE,"CB";#N/A,#N/A,FALSE,"CEO ";#N/A,#N/A,FALSE,"Treasury";#N/A,#N/A,FALSE,"IBG";#N/A,#N/A,FALSE,"FIN";#N/A,#N/A,FALSE,"INDO";#N/A,#N/A,FALSE,"BS97"}</definedName>
    <definedName name="wrn.hanh." hidden="1">{#N/A,#N/A,FALSE,"P&amp;LVN H2";#N/A,#N/A,FALSE,"P&amp;LVIETNAM";#N/A,#N/A,FALSE,"P&amp;LVN H1";#N/A,#N/A,FALSE,"P&amp;L summary";#N/A,#N/A,FALSE,"CB";#N/A,#N/A,FALSE,"CEO ";#N/A,#N/A,FALSE,"Treasury";#N/A,#N/A,FALSE,"IBG";#N/A,#N/A,FALSE,"FIN";#N/A,#N/A,FALSE,"INDO";#N/A,#N/A,FALSE,"BS97"}</definedName>
    <definedName name="wrn.SEGMENT." localSheetId="1" hidden="1">{#N/A,#N/A,FALSE,"Sub-Mekong";#N/A,#N/A,FALSE,"IB";#N/A,#N/A,FALSE,"CB";#N/A,#N/A,FALSE,"CIB";#N/A,#N/A,FALSE,"Tsy - seg";#N/A,#N/A,FALSE,"Fin";#N/A,#N/A,FALSE,"CEO";#N/A,#N/A,FALSE,"VN"}</definedName>
    <definedName name="wrn.SEGMENT." localSheetId="19" hidden="1">{#N/A,#N/A,FALSE,"Sub-Mekong";#N/A,#N/A,FALSE,"IB";#N/A,#N/A,FALSE,"CB";#N/A,#N/A,FALSE,"CIB";#N/A,#N/A,FALSE,"Tsy - seg";#N/A,#N/A,FALSE,"Fin";#N/A,#N/A,FALSE,"CEO";#N/A,#N/A,FALSE,"VN"}</definedName>
    <definedName name="wrn.SEGMENT." localSheetId="18" hidden="1">{#N/A,#N/A,FALSE,"Sub-Mekong";#N/A,#N/A,FALSE,"IB";#N/A,#N/A,FALSE,"CB";#N/A,#N/A,FALSE,"CIB";#N/A,#N/A,FALSE,"Tsy - seg";#N/A,#N/A,FALSE,"Fin";#N/A,#N/A,FALSE,"CEO";#N/A,#N/A,FALSE,"VN"}</definedName>
    <definedName name="wrn.SEGMENT." localSheetId="14" hidden="1">{#N/A,#N/A,FALSE,"Sub-Mekong";#N/A,#N/A,FALSE,"IB";#N/A,#N/A,FALSE,"CB";#N/A,#N/A,FALSE,"CIB";#N/A,#N/A,FALSE,"Tsy - seg";#N/A,#N/A,FALSE,"Fin";#N/A,#N/A,FALSE,"CEO";#N/A,#N/A,FALSE,"VN"}</definedName>
    <definedName name="wrn.SEGMENT." localSheetId="24" hidden="1">{#N/A,#N/A,FALSE,"Sub-Mekong";#N/A,#N/A,FALSE,"IB";#N/A,#N/A,FALSE,"CB";#N/A,#N/A,FALSE,"CIB";#N/A,#N/A,FALSE,"Tsy - seg";#N/A,#N/A,FALSE,"Fin";#N/A,#N/A,FALSE,"CEO";#N/A,#N/A,FALSE,"VN"}</definedName>
    <definedName name="wrn.SEGMENT." localSheetId="25" hidden="1">{#N/A,#N/A,FALSE,"Sub-Mekong";#N/A,#N/A,FALSE,"IB";#N/A,#N/A,FALSE,"CB";#N/A,#N/A,FALSE,"CIB";#N/A,#N/A,FALSE,"Tsy - seg";#N/A,#N/A,FALSE,"Fin";#N/A,#N/A,FALSE,"CEO";#N/A,#N/A,FALSE,"VN"}</definedName>
    <definedName name="wrn.SEGMENT." localSheetId="23" hidden="1">{#N/A,#N/A,FALSE,"Sub-Mekong";#N/A,#N/A,FALSE,"IB";#N/A,#N/A,FALSE,"CB";#N/A,#N/A,FALSE,"CIB";#N/A,#N/A,FALSE,"Tsy - seg";#N/A,#N/A,FALSE,"Fin";#N/A,#N/A,FALSE,"CEO";#N/A,#N/A,FALSE,"VN"}</definedName>
    <definedName name="wrn.SEGMENT." localSheetId="16" hidden="1">{#N/A,#N/A,FALSE,"Sub-Mekong";#N/A,#N/A,FALSE,"IB";#N/A,#N/A,FALSE,"CB";#N/A,#N/A,FALSE,"CIB";#N/A,#N/A,FALSE,"Tsy - seg";#N/A,#N/A,FALSE,"Fin";#N/A,#N/A,FALSE,"CEO";#N/A,#N/A,FALSE,"VN"}</definedName>
    <definedName name="wrn.SEGMENT." localSheetId="9" hidden="1">{#N/A,#N/A,FALSE,"Sub-Mekong";#N/A,#N/A,FALSE,"IB";#N/A,#N/A,FALSE,"CB";#N/A,#N/A,FALSE,"CIB";#N/A,#N/A,FALSE,"Tsy - seg";#N/A,#N/A,FALSE,"Fin";#N/A,#N/A,FALSE,"CEO";#N/A,#N/A,FALSE,"VN"}</definedName>
    <definedName name="wrn.SEGMENT." localSheetId="0" hidden="1">{#N/A,#N/A,FALSE,"Sub-Mekong";#N/A,#N/A,FALSE,"IB";#N/A,#N/A,FALSE,"CB";#N/A,#N/A,FALSE,"CIB";#N/A,#N/A,FALSE,"Tsy - seg";#N/A,#N/A,FALSE,"Fin";#N/A,#N/A,FALSE,"CEO";#N/A,#N/A,FALSE,"VN"}</definedName>
    <definedName name="wrn.SEGMENT." localSheetId="8" hidden="1">{#N/A,#N/A,FALSE,"Sub-Mekong";#N/A,#N/A,FALSE,"IB";#N/A,#N/A,FALSE,"CB";#N/A,#N/A,FALSE,"CIB";#N/A,#N/A,FALSE,"Tsy - seg";#N/A,#N/A,FALSE,"Fin";#N/A,#N/A,FALSE,"CEO";#N/A,#N/A,FALSE,"VN"}</definedName>
    <definedName name="wrn.SEGMENT." localSheetId="15" hidden="1">{#N/A,#N/A,FALSE,"Sub-Mekong";#N/A,#N/A,FALSE,"IB";#N/A,#N/A,FALSE,"CB";#N/A,#N/A,FALSE,"CIB";#N/A,#N/A,FALSE,"Tsy - seg";#N/A,#N/A,FALSE,"Fin";#N/A,#N/A,FALSE,"CEO";#N/A,#N/A,FALSE,"VN"}</definedName>
    <definedName name="wrn.SEGMENT." localSheetId="22" hidden="1">{#N/A,#N/A,FALSE,"Sub-Mekong";#N/A,#N/A,FALSE,"IB";#N/A,#N/A,FALSE,"CB";#N/A,#N/A,FALSE,"CIB";#N/A,#N/A,FALSE,"Tsy - seg";#N/A,#N/A,FALSE,"Fin";#N/A,#N/A,FALSE,"CEO";#N/A,#N/A,FALSE,"VN"}</definedName>
    <definedName name="wrn.SEGMENT." localSheetId="6" hidden="1">{#N/A,#N/A,FALSE,"Sub-Mekong";#N/A,#N/A,FALSE,"IB";#N/A,#N/A,FALSE,"CB";#N/A,#N/A,FALSE,"CIB";#N/A,#N/A,FALSE,"Tsy - seg";#N/A,#N/A,FALSE,"Fin";#N/A,#N/A,FALSE,"CEO";#N/A,#N/A,FALSE,"VN"}</definedName>
    <definedName name="wrn.SEGMENT." localSheetId="11" hidden="1">{#N/A,#N/A,FALSE,"Sub-Mekong";#N/A,#N/A,FALSE,"IB";#N/A,#N/A,FALSE,"CB";#N/A,#N/A,FALSE,"CIB";#N/A,#N/A,FALSE,"Tsy - seg";#N/A,#N/A,FALSE,"Fin";#N/A,#N/A,FALSE,"CEO";#N/A,#N/A,FALSE,"VN"}</definedName>
    <definedName name="wrn.SEGMENT." localSheetId="5" hidden="1">{#N/A,#N/A,FALSE,"Sub-Mekong";#N/A,#N/A,FALSE,"IB";#N/A,#N/A,FALSE,"CB";#N/A,#N/A,FALSE,"CIB";#N/A,#N/A,FALSE,"Tsy - seg";#N/A,#N/A,FALSE,"Fin";#N/A,#N/A,FALSE,"CEO";#N/A,#N/A,FALSE,"VN"}</definedName>
    <definedName name="wrn.SEGMENT." localSheetId="10" hidden="1">{#N/A,#N/A,FALSE,"Sub-Mekong";#N/A,#N/A,FALSE,"IB";#N/A,#N/A,FALSE,"CB";#N/A,#N/A,FALSE,"CIB";#N/A,#N/A,FALSE,"Tsy - seg";#N/A,#N/A,FALSE,"Fin";#N/A,#N/A,FALSE,"CEO";#N/A,#N/A,FALSE,"VN"}</definedName>
    <definedName name="wrn.SEGMENT." localSheetId="12" hidden="1">{#N/A,#N/A,FALSE,"Sub-Mekong";#N/A,#N/A,FALSE,"IB";#N/A,#N/A,FALSE,"CB";#N/A,#N/A,FALSE,"CIB";#N/A,#N/A,FALSE,"Tsy - seg";#N/A,#N/A,FALSE,"Fin";#N/A,#N/A,FALSE,"CEO";#N/A,#N/A,FALSE,"VN"}</definedName>
    <definedName name="wrn.SEGMENT." localSheetId="13" hidden="1">{#N/A,#N/A,FALSE,"Sub-Mekong";#N/A,#N/A,FALSE,"IB";#N/A,#N/A,FALSE,"CB";#N/A,#N/A,FALSE,"CIB";#N/A,#N/A,FALSE,"Tsy - seg";#N/A,#N/A,FALSE,"Fin";#N/A,#N/A,FALSE,"CEO";#N/A,#N/A,FALSE,"VN"}</definedName>
    <definedName name="wrn.SEGMENT." localSheetId="17" hidden="1">{#N/A,#N/A,FALSE,"Sub-Mekong";#N/A,#N/A,FALSE,"IB";#N/A,#N/A,FALSE,"CB";#N/A,#N/A,FALSE,"CIB";#N/A,#N/A,FALSE,"Tsy - seg";#N/A,#N/A,FALSE,"Fin";#N/A,#N/A,FALSE,"CEO";#N/A,#N/A,FALSE,"VN"}</definedName>
    <definedName name="wrn.SEGMENT." hidden="1">{#N/A,#N/A,FALSE,"Sub-Mekong";#N/A,#N/A,FALSE,"IB";#N/A,#N/A,FALSE,"CB";#N/A,#N/A,FALSE,"CIB";#N/A,#N/A,FALSE,"Tsy - seg";#N/A,#N/A,FALSE,"Fin";#N/A,#N/A,FALSE,"CEO";#N/A,#N/A,FALSE,"VN"}</definedName>
    <definedName name="XXX" localSheetId="14">#REF!</definedName>
    <definedName name="XXX" localSheetId="15">#REF!</definedName>
    <definedName name="XXX" localSheetId="11">#REF!</definedName>
    <definedName name="XXX" localSheetId="12">#REF!</definedName>
    <definedName name="XXX" localSheetId="13">#REF!</definedName>
    <definedName name="XXX">#REF!</definedName>
  </definedNames>
  <calcPr calcId="144525"/>
</workbook>
</file>

<file path=xl/calcChain.xml><?xml version="1.0" encoding="utf-8"?>
<calcChain xmlns="http://schemas.openxmlformats.org/spreadsheetml/2006/main">
  <c r="G115" i="52" l="1"/>
  <c r="G122" i="52"/>
  <c r="H115" i="52"/>
  <c r="J13" i="17"/>
  <c r="G145" i="57" l="1"/>
  <c r="C145" i="57"/>
  <c r="G118" i="57"/>
  <c r="C118" i="57"/>
  <c r="G117" i="57"/>
  <c r="C117" i="57"/>
  <c r="G106" i="57"/>
  <c r="C106" i="57"/>
  <c r="G96" i="57"/>
  <c r="C96" i="57"/>
  <c r="G95" i="57"/>
  <c r="C95" i="57"/>
  <c r="G86" i="57"/>
  <c r="C86" i="57"/>
  <c r="G74" i="57"/>
  <c r="C74" i="57"/>
  <c r="G73" i="57"/>
  <c r="C73" i="57"/>
  <c r="G57" i="57"/>
  <c r="C57" i="57"/>
  <c r="G16" i="57"/>
  <c r="C16" i="57"/>
  <c r="G15" i="57"/>
  <c r="C15" i="57"/>
  <c r="J15" i="19" l="1"/>
  <c r="G17" i="14"/>
  <c r="H17" i="14" s="1"/>
  <c r="B10" i="43"/>
  <c r="J115" i="52" l="1"/>
  <c r="K115" i="52"/>
  <c r="O115" i="52"/>
  <c r="E16" i="56" l="1"/>
  <c r="E14" i="56" s="1"/>
  <c r="F16" i="56"/>
  <c r="F14" i="56" s="1"/>
  <c r="H16" i="56"/>
  <c r="H14" i="56" s="1"/>
  <c r="I16" i="56"/>
  <c r="I14" i="56" s="1"/>
  <c r="J16" i="56"/>
  <c r="J14" i="56" s="1"/>
  <c r="K16" i="56"/>
  <c r="K14" i="56" s="1"/>
  <c r="E23" i="56"/>
  <c r="E21" i="56" s="1"/>
  <c r="F23" i="56"/>
  <c r="F21" i="56" s="1"/>
  <c r="H23" i="56"/>
  <c r="H21" i="56" s="1"/>
  <c r="I23" i="56"/>
  <c r="I21" i="56" s="1"/>
  <c r="J23" i="56"/>
  <c r="J21" i="56" s="1"/>
  <c r="K23" i="56"/>
  <c r="K21" i="56" s="1"/>
  <c r="G115" i="55" l="1"/>
  <c r="H115" i="55"/>
  <c r="J115" i="55"/>
  <c r="K115" i="55"/>
  <c r="K176" i="55" s="1"/>
  <c r="O115" i="55"/>
  <c r="G175" i="55"/>
  <c r="H175" i="55"/>
  <c r="J175" i="55"/>
  <c r="K175" i="55"/>
  <c r="O175" i="55"/>
  <c r="H176" i="55"/>
  <c r="G115" i="54"/>
  <c r="H115" i="54"/>
  <c r="J115" i="54"/>
  <c r="K115" i="54"/>
  <c r="O115" i="54"/>
  <c r="G175" i="54"/>
  <c r="H175" i="54"/>
  <c r="J175" i="54"/>
  <c r="K175" i="54"/>
  <c r="O175" i="54"/>
  <c r="G115" i="53"/>
  <c r="H115" i="53"/>
  <c r="J115" i="53"/>
  <c r="K115" i="53"/>
  <c r="O115" i="53"/>
  <c r="G175" i="53"/>
  <c r="H175" i="53"/>
  <c r="J175" i="53"/>
  <c r="J176" i="53" s="1"/>
  <c r="K175" i="53"/>
  <c r="K176" i="53" s="1"/>
  <c r="O175" i="53"/>
  <c r="O176" i="53" s="1"/>
  <c r="H122" i="52"/>
  <c r="J122" i="52"/>
  <c r="K122" i="52"/>
  <c r="O122" i="52"/>
  <c r="O123" i="52" s="1"/>
  <c r="H176" i="54" l="1"/>
  <c r="J176" i="54"/>
  <c r="G176" i="53"/>
  <c r="O176" i="55"/>
  <c r="G176" i="55"/>
  <c r="J176" i="55"/>
  <c r="O176" i="54"/>
  <c r="G176" i="54"/>
  <c r="K176" i="54"/>
  <c r="H176" i="53"/>
  <c r="H123" i="52"/>
  <c r="K123" i="52"/>
  <c r="G123" i="52"/>
  <c r="J123" i="52"/>
  <c r="I14" i="50"/>
  <c r="K14" i="50"/>
  <c r="L14" i="50"/>
  <c r="I25" i="50"/>
  <c r="K25" i="50"/>
  <c r="L25" i="50"/>
  <c r="J41" i="50"/>
  <c r="K41" i="50"/>
  <c r="L41" i="50"/>
  <c r="M41" i="50"/>
  <c r="J52" i="50"/>
  <c r="K52" i="50"/>
  <c r="L52" i="50"/>
  <c r="M52" i="50"/>
  <c r="W47" i="18" l="1"/>
  <c r="E47" i="18"/>
  <c r="J300" i="40" l="1"/>
  <c r="L300" i="40" s="1"/>
  <c r="M300" i="40" s="1"/>
  <c r="O300" i="40" s="1"/>
  <c r="J301" i="40"/>
  <c r="L301" i="40"/>
  <c r="M301" i="40" s="1"/>
  <c r="O301" i="40" s="1"/>
  <c r="J302" i="40"/>
  <c r="L302" i="40"/>
  <c r="M302" i="40" s="1"/>
  <c r="O302" i="40" s="1"/>
  <c r="J303" i="40"/>
  <c r="L303" i="40"/>
  <c r="M303" i="40" s="1"/>
  <c r="O303" i="40" s="1"/>
  <c r="J304" i="40"/>
  <c r="L304" i="40"/>
  <c r="M304" i="40" s="1"/>
  <c r="O304" i="40" s="1"/>
  <c r="J305" i="40"/>
  <c r="L305" i="40"/>
  <c r="M305" i="40" s="1"/>
  <c r="O305" i="40" s="1"/>
  <c r="J306" i="40"/>
  <c r="L306" i="40"/>
  <c r="M306" i="40" s="1"/>
  <c r="O306" i="40" s="1"/>
  <c r="J307" i="40"/>
  <c r="L307" i="40"/>
  <c r="M307" i="40" s="1"/>
  <c r="O307" i="40" s="1"/>
  <c r="J308" i="40"/>
  <c r="L308" i="40"/>
  <c r="M308" i="40" s="1"/>
  <c r="O308" i="40" s="1"/>
  <c r="J309" i="40"/>
  <c r="L309" i="40"/>
  <c r="M309" i="40" s="1"/>
  <c r="O309" i="40" s="1"/>
  <c r="J310" i="40"/>
  <c r="L310" i="40"/>
  <c r="M310" i="40" s="1"/>
  <c r="O310" i="40" s="1"/>
  <c r="J311" i="40"/>
  <c r="L311" i="40"/>
  <c r="M311" i="40" s="1"/>
  <c r="O311" i="40" s="1"/>
  <c r="J312" i="40"/>
  <c r="L312" i="40"/>
  <c r="M312" i="40" s="1"/>
  <c r="O312" i="40" s="1"/>
  <c r="J313" i="40"/>
  <c r="L313" i="40"/>
  <c r="M313" i="40" s="1"/>
  <c r="O313" i="40" s="1"/>
  <c r="J314" i="40"/>
  <c r="L314" i="40"/>
  <c r="M314" i="40" s="1"/>
  <c r="O314" i="40" s="1"/>
  <c r="J315" i="40"/>
  <c r="L315" i="40"/>
  <c r="M315" i="40" s="1"/>
  <c r="O315" i="40" s="1"/>
  <c r="J316" i="40"/>
  <c r="L316" i="40"/>
  <c r="M316" i="40" s="1"/>
  <c r="O316" i="40" s="1"/>
  <c r="J317" i="40"/>
  <c r="L317" i="40"/>
  <c r="M317" i="40" s="1"/>
  <c r="O317" i="40" s="1"/>
  <c r="J318" i="40"/>
  <c r="L318" i="40"/>
  <c r="M318" i="40" s="1"/>
  <c r="O318" i="40" s="1"/>
  <c r="J319" i="40"/>
  <c r="L319" i="40"/>
  <c r="M319" i="40" s="1"/>
  <c r="O319" i="40" s="1"/>
  <c r="J320" i="40"/>
  <c r="L320" i="40"/>
  <c r="M320" i="40" s="1"/>
  <c r="O320" i="40" s="1"/>
  <c r="J321" i="40"/>
  <c r="L321" i="40"/>
  <c r="M321" i="40" s="1"/>
  <c r="O321" i="40" s="1"/>
  <c r="J322" i="40"/>
  <c r="L322" i="40" s="1"/>
  <c r="M322" i="40" s="1"/>
  <c r="O322" i="40" s="1"/>
  <c r="J323" i="40"/>
  <c r="L323" i="40" s="1"/>
  <c r="M323" i="40" s="1"/>
  <c r="O323" i="40" s="1"/>
  <c r="J324" i="40"/>
  <c r="L324" i="40" s="1"/>
  <c r="M324" i="40" s="1"/>
  <c r="O324" i="40" s="1"/>
  <c r="J325" i="40"/>
  <c r="L325" i="40" s="1"/>
  <c r="M325" i="40" s="1"/>
  <c r="O325" i="40" s="1"/>
  <c r="J326" i="40"/>
  <c r="L326" i="40" s="1"/>
  <c r="M326" i="40" s="1"/>
  <c r="O326" i="40" s="1"/>
  <c r="J327" i="40"/>
  <c r="L327" i="40" s="1"/>
  <c r="M327" i="40" s="1"/>
  <c r="O327" i="40" s="1"/>
  <c r="J328" i="40"/>
  <c r="L328" i="40" s="1"/>
  <c r="M328" i="40" s="1"/>
  <c r="O328" i="40" s="1"/>
  <c r="J329" i="40"/>
  <c r="L329" i="40" s="1"/>
  <c r="M329" i="40" s="1"/>
  <c r="O329" i="40" s="1"/>
  <c r="J330" i="40"/>
  <c r="L330" i="40" s="1"/>
  <c r="M330" i="40" s="1"/>
  <c r="O330" i="40" s="1"/>
  <c r="J331" i="40"/>
  <c r="L331" i="40" s="1"/>
  <c r="M331" i="40" s="1"/>
  <c r="O331" i="40" s="1"/>
  <c r="J332" i="40"/>
  <c r="L332" i="40" s="1"/>
  <c r="M332" i="40" s="1"/>
  <c r="O332" i="40" s="1"/>
  <c r="J333" i="40"/>
  <c r="L333" i="40" s="1"/>
  <c r="M333" i="40" s="1"/>
  <c r="O333" i="40" s="1"/>
  <c r="J334" i="40"/>
  <c r="L334" i="40" s="1"/>
  <c r="M334" i="40" s="1"/>
  <c r="O334" i="40" s="1"/>
  <c r="J335" i="40"/>
  <c r="L335" i="40" s="1"/>
  <c r="M335" i="40" s="1"/>
  <c r="O335" i="40" s="1"/>
  <c r="J336" i="40"/>
  <c r="L336" i="40" s="1"/>
  <c r="M336" i="40" s="1"/>
  <c r="O336" i="40" s="1"/>
  <c r="J337" i="40"/>
  <c r="L337" i="40" s="1"/>
  <c r="M337" i="40" s="1"/>
  <c r="O337" i="40" s="1"/>
  <c r="J338" i="40"/>
  <c r="L338" i="40" s="1"/>
  <c r="M338" i="40" s="1"/>
  <c r="O338" i="40" s="1"/>
  <c r="J339" i="40"/>
  <c r="L339" i="40" s="1"/>
  <c r="M339" i="40" s="1"/>
  <c r="O339" i="40" s="1"/>
  <c r="J340" i="40"/>
  <c r="L340" i="40" s="1"/>
  <c r="M340" i="40" s="1"/>
  <c r="O340" i="40" s="1"/>
  <c r="J341" i="40"/>
  <c r="L341" i="40" s="1"/>
  <c r="M341" i="40" s="1"/>
  <c r="O341" i="40" s="1"/>
  <c r="J342" i="40"/>
  <c r="L342" i="40" s="1"/>
  <c r="M342" i="40" s="1"/>
  <c r="O342" i="40" s="1"/>
  <c r="J343" i="40"/>
  <c r="L343" i="40" s="1"/>
  <c r="M343" i="40" s="1"/>
  <c r="O343" i="40" s="1"/>
  <c r="J344" i="40"/>
  <c r="L344" i="40" s="1"/>
  <c r="M344" i="40" s="1"/>
  <c r="O344" i="40" s="1"/>
  <c r="J345" i="40"/>
  <c r="L345" i="40" s="1"/>
  <c r="M345" i="40" s="1"/>
  <c r="O345" i="40" s="1"/>
  <c r="J346" i="40"/>
  <c r="L346" i="40" s="1"/>
  <c r="M346" i="40" s="1"/>
  <c r="O346" i="40" s="1"/>
  <c r="J347" i="40"/>
  <c r="L347" i="40" s="1"/>
  <c r="M347" i="40" s="1"/>
  <c r="O347" i="40" s="1"/>
  <c r="J348" i="40"/>
  <c r="L348" i="40" s="1"/>
  <c r="M348" i="40" s="1"/>
  <c r="O348" i="40" s="1"/>
  <c r="J349" i="40"/>
  <c r="L349" i="40" s="1"/>
  <c r="M349" i="40" s="1"/>
  <c r="O349" i="40" s="1"/>
  <c r="J350" i="40"/>
  <c r="L350" i="40" s="1"/>
  <c r="M350" i="40" s="1"/>
  <c r="O350" i="40" s="1"/>
  <c r="J351" i="40"/>
  <c r="L351" i="40" s="1"/>
  <c r="M351" i="40" s="1"/>
  <c r="O351" i="40" s="1"/>
  <c r="J352" i="40"/>
  <c r="L352" i="40" s="1"/>
  <c r="M352" i="40" s="1"/>
  <c r="O352" i="40" s="1"/>
  <c r="J353" i="40"/>
  <c r="L353" i="40" s="1"/>
  <c r="M353" i="40" s="1"/>
  <c r="O353" i="40" s="1"/>
  <c r="J354" i="40"/>
  <c r="L354" i="40" s="1"/>
  <c r="M354" i="40" s="1"/>
  <c r="O354" i="40" s="1"/>
  <c r="J355" i="40"/>
  <c r="L355" i="40" s="1"/>
  <c r="M355" i="40" s="1"/>
  <c r="O355" i="40" s="1"/>
  <c r="J356" i="40"/>
  <c r="L356" i="40" s="1"/>
  <c r="M356" i="40" s="1"/>
  <c r="O356" i="40" s="1"/>
  <c r="J357" i="40"/>
  <c r="L357" i="40" s="1"/>
  <c r="M357" i="40" s="1"/>
  <c r="O357" i="40" s="1"/>
  <c r="J358" i="40"/>
  <c r="L358" i="40" s="1"/>
  <c r="M358" i="40" s="1"/>
  <c r="O358" i="40" s="1"/>
  <c r="J359" i="40"/>
  <c r="L359" i="40" s="1"/>
  <c r="M359" i="40" s="1"/>
  <c r="O359" i="40" s="1"/>
  <c r="J360" i="40"/>
  <c r="L360" i="40" s="1"/>
  <c r="M360" i="40" s="1"/>
  <c r="O360" i="40" s="1"/>
  <c r="J361" i="40"/>
  <c r="L361" i="40" s="1"/>
  <c r="M361" i="40" s="1"/>
  <c r="O361" i="40" s="1"/>
  <c r="J362" i="40"/>
  <c r="L362" i="40" s="1"/>
  <c r="M362" i="40" s="1"/>
  <c r="O362" i="40" s="1"/>
  <c r="J363" i="40"/>
  <c r="L363" i="40" s="1"/>
  <c r="M363" i="40" s="1"/>
  <c r="O363" i="40" s="1"/>
  <c r="J364" i="40"/>
  <c r="L364" i="40" s="1"/>
  <c r="M364" i="40" s="1"/>
  <c r="O364" i="40" s="1"/>
  <c r="J365" i="40"/>
  <c r="L365" i="40" s="1"/>
  <c r="M365" i="40" s="1"/>
  <c r="O365" i="40" s="1"/>
  <c r="J366" i="40"/>
  <c r="L366" i="40" s="1"/>
  <c r="M366" i="40" s="1"/>
  <c r="O366" i="40" s="1"/>
  <c r="J367" i="40"/>
  <c r="L367" i="40" s="1"/>
  <c r="M367" i="40" s="1"/>
  <c r="O367" i="40" s="1"/>
  <c r="J368" i="40"/>
  <c r="L368" i="40" s="1"/>
  <c r="M368" i="40" s="1"/>
  <c r="O368" i="40" s="1"/>
  <c r="J369" i="40"/>
  <c r="L369" i="40" s="1"/>
  <c r="M369" i="40" s="1"/>
  <c r="O369" i="40" s="1"/>
  <c r="J370" i="40"/>
  <c r="L370" i="40" s="1"/>
  <c r="M370" i="40" s="1"/>
  <c r="O370" i="40" s="1"/>
  <c r="J371" i="40"/>
  <c r="L371" i="40" s="1"/>
  <c r="M371" i="40" s="1"/>
  <c r="O371" i="40" s="1"/>
  <c r="J372" i="40"/>
  <c r="L372" i="40" s="1"/>
  <c r="M372" i="40" s="1"/>
  <c r="O372" i="40" s="1"/>
  <c r="J373" i="40"/>
  <c r="L373" i="40" s="1"/>
  <c r="M373" i="40" s="1"/>
  <c r="O373" i="40" s="1"/>
  <c r="J374" i="40"/>
  <c r="L374" i="40" s="1"/>
  <c r="M374" i="40" s="1"/>
  <c r="O374" i="40" s="1"/>
  <c r="J375" i="40"/>
  <c r="L375" i="40" s="1"/>
  <c r="M375" i="40" s="1"/>
  <c r="O375" i="40" s="1"/>
  <c r="J376" i="40"/>
  <c r="L376" i="40" s="1"/>
  <c r="M376" i="40" s="1"/>
  <c r="O376" i="40" s="1"/>
  <c r="J377" i="40"/>
  <c r="L377" i="40" s="1"/>
  <c r="M377" i="40" s="1"/>
  <c r="O377" i="40" s="1"/>
  <c r="J378" i="40"/>
  <c r="L378" i="40" s="1"/>
  <c r="M378" i="40" s="1"/>
  <c r="O378" i="40" s="1"/>
  <c r="J379" i="40"/>
  <c r="L379" i="40" s="1"/>
  <c r="M379" i="40" s="1"/>
  <c r="O379" i="40" s="1"/>
  <c r="J380" i="40"/>
  <c r="L380" i="40" s="1"/>
  <c r="M380" i="40" s="1"/>
  <c r="O380" i="40" s="1"/>
  <c r="J381" i="40"/>
  <c r="L381" i="40" s="1"/>
  <c r="M381" i="40" s="1"/>
  <c r="O381" i="40" s="1"/>
  <c r="J382" i="40"/>
  <c r="L382" i="40" s="1"/>
  <c r="M382" i="40" s="1"/>
  <c r="O382" i="40" s="1"/>
  <c r="J383" i="40"/>
  <c r="L383" i="40" s="1"/>
  <c r="M383" i="40" s="1"/>
  <c r="O383" i="40" s="1"/>
  <c r="J384" i="40"/>
  <c r="L384" i="40" s="1"/>
  <c r="M384" i="40" s="1"/>
  <c r="O384" i="40" s="1"/>
  <c r="J385" i="40"/>
  <c r="L385" i="40" s="1"/>
  <c r="M385" i="40" s="1"/>
  <c r="O385" i="40" s="1"/>
  <c r="J386" i="40"/>
  <c r="L386" i="40" s="1"/>
  <c r="M386" i="40" s="1"/>
  <c r="O386" i="40" s="1"/>
  <c r="J387" i="40"/>
  <c r="L387" i="40" s="1"/>
  <c r="M387" i="40" s="1"/>
  <c r="O387" i="40" s="1"/>
  <c r="J388" i="40"/>
  <c r="L388" i="40" s="1"/>
  <c r="M388" i="40" s="1"/>
  <c r="O388" i="40" s="1"/>
  <c r="J389" i="40"/>
  <c r="L389" i="40" s="1"/>
  <c r="M389" i="40" s="1"/>
  <c r="O389" i="40" s="1"/>
  <c r="J390" i="40"/>
  <c r="L390" i="40" s="1"/>
  <c r="M390" i="40" s="1"/>
  <c r="O390" i="40" s="1"/>
  <c r="J391" i="40"/>
  <c r="L391" i="40" s="1"/>
  <c r="M391" i="40" s="1"/>
  <c r="O391" i="40" s="1"/>
  <c r="J392" i="40"/>
  <c r="L392" i="40" s="1"/>
  <c r="M392" i="40" s="1"/>
  <c r="O392" i="40" s="1"/>
  <c r="J393" i="40"/>
  <c r="L393" i="40" s="1"/>
  <c r="M393" i="40" s="1"/>
  <c r="O393" i="40" s="1"/>
  <c r="J394" i="40"/>
  <c r="L394" i="40" s="1"/>
  <c r="M394" i="40" s="1"/>
  <c r="O394" i="40" s="1"/>
  <c r="J395" i="40"/>
  <c r="L395" i="40" s="1"/>
  <c r="M395" i="40" s="1"/>
  <c r="O395" i="40" s="1"/>
  <c r="J396" i="40"/>
  <c r="L396" i="40" s="1"/>
  <c r="M396" i="40" s="1"/>
  <c r="O396" i="40" s="1"/>
  <c r="J397" i="40"/>
  <c r="L397" i="40" s="1"/>
  <c r="M397" i="40" s="1"/>
  <c r="O397" i="40" s="1"/>
  <c r="J398" i="40"/>
  <c r="L398" i="40" s="1"/>
  <c r="M398" i="40" s="1"/>
  <c r="O398" i="40" s="1"/>
  <c r="J399" i="40"/>
  <c r="L399" i="40" s="1"/>
  <c r="M399" i="40" s="1"/>
  <c r="O399" i="40" s="1"/>
  <c r="J400" i="40"/>
  <c r="L400" i="40" s="1"/>
  <c r="M400" i="40" s="1"/>
  <c r="O400" i="40" s="1"/>
  <c r="J401" i="40"/>
  <c r="L401" i="40" s="1"/>
  <c r="M401" i="40" s="1"/>
  <c r="O401" i="40" s="1"/>
  <c r="J402" i="40"/>
  <c r="L402" i="40" s="1"/>
  <c r="M402" i="40" s="1"/>
  <c r="O402" i="40" s="1"/>
  <c r="J403" i="40"/>
  <c r="L403" i="40" s="1"/>
  <c r="M403" i="40" s="1"/>
  <c r="O403" i="40" s="1"/>
  <c r="J404" i="40"/>
  <c r="L404" i="40" s="1"/>
  <c r="M404" i="40" s="1"/>
  <c r="O404" i="40" s="1"/>
  <c r="J405" i="40"/>
  <c r="L405" i="40" s="1"/>
  <c r="M405" i="40" s="1"/>
  <c r="O405" i="40" s="1"/>
  <c r="J406" i="40"/>
  <c r="L406" i="40" s="1"/>
  <c r="M406" i="40" s="1"/>
  <c r="O406" i="40" s="1"/>
  <c r="J407" i="40"/>
  <c r="L407" i="40" s="1"/>
  <c r="M407" i="40" s="1"/>
  <c r="O407" i="40" s="1"/>
  <c r="J408" i="40"/>
  <c r="L408" i="40" s="1"/>
  <c r="M408" i="40" s="1"/>
  <c r="O408" i="40" s="1"/>
  <c r="J409" i="40"/>
  <c r="L409" i="40" s="1"/>
  <c r="M409" i="40" s="1"/>
  <c r="O409" i="40" s="1"/>
  <c r="J410" i="40"/>
  <c r="L410" i="40" s="1"/>
  <c r="M410" i="40" s="1"/>
  <c r="O410" i="40" s="1"/>
  <c r="J411" i="40"/>
  <c r="L411" i="40" s="1"/>
  <c r="M411" i="40" s="1"/>
  <c r="O411" i="40" s="1"/>
  <c r="J412" i="40"/>
  <c r="L412" i="40" s="1"/>
  <c r="M412" i="40" s="1"/>
  <c r="O412" i="40" s="1"/>
  <c r="J413" i="40"/>
  <c r="L413" i="40" s="1"/>
  <c r="M413" i="40" s="1"/>
  <c r="O413" i="40" s="1"/>
  <c r="J414" i="40"/>
  <c r="L414" i="40" s="1"/>
  <c r="M414" i="40" s="1"/>
  <c r="O414" i="40" s="1"/>
  <c r="J415" i="40"/>
  <c r="L415" i="40" s="1"/>
  <c r="M415" i="40" s="1"/>
  <c r="O415" i="40" s="1"/>
  <c r="J416" i="40"/>
  <c r="L416" i="40" s="1"/>
  <c r="M416" i="40" s="1"/>
  <c r="O416" i="40" s="1"/>
  <c r="J417" i="40"/>
  <c r="L417" i="40" s="1"/>
  <c r="M417" i="40" s="1"/>
  <c r="O417" i="40" s="1"/>
  <c r="J418" i="40"/>
  <c r="L418" i="40" s="1"/>
  <c r="M418" i="40" s="1"/>
  <c r="O418" i="40" s="1"/>
  <c r="J419" i="40"/>
  <c r="L419" i="40" s="1"/>
  <c r="M419" i="40" s="1"/>
  <c r="O419" i="40" s="1"/>
  <c r="J420" i="40"/>
  <c r="L420" i="40" s="1"/>
  <c r="M420" i="40" s="1"/>
  <c r="O420" i="40" s="1"/>
  <c r="J421" i="40"/>
  <c r="L421" i="40" s="1"/>
  <c r="M421" i="40" s="1"/>
  <c r="O421" i="40" s="1"/>
  <c r="J422" i="40"/>
  <c r="L422" i="40" s="1"/>
  <c r="M422" i="40" s="1"/>
  <c r="O422" i="40" s="1"/>
  <c r="J423" i="40"/>
  <c r="L423" i="40" s="1"/>
  <c r="M423" i="40" s="1"/>
  <c r="O423" i="40" s="1"/>
  <c r="J424" i="40"/>
  <c r="L424" i="40" s="1"/>
  <c r="M424" i="40" s="1"/>
  <c r="O424" i="40" s="1"/>
  <c r="J425" i="40"/>
  <c r="L425" i="40" s="1"/>
  <c r="M425" i="40" s="1"/>
  <c r="O425" i="40" s="1"/>
  <c r="J426" i="40"/>
  <c r="L426" i="40" s="1"/>
  <c r="M426" i="40" s="1"/>
  <c r="O426" i="40" s="1"/>
  <c r="J427" i="40"/>
  <c r="L427" i="40" s="1"/>
  <c r="M427" i="40" s="1"/>
  <c r="O427" i="40" s="1"/>
  <c r="J428" i="40"/>
  <c r="L428" i="40" s="1"/>
  <c r="M428" i="40" s="1"/>
  <c r="O428" i="40" s="1"/>
  <c r="J429" i="40"/>
  <c r="L429" i="40" s="1"/>
  <c r="M429" i="40" s="1"/>
  <c r="O429" i="40" s="1"/>
  <c r="J430" i="40"/>
  <c r="L430" i="40" s="1"/>
  <c r="M430" i="40" s="1"/>
  <c r="O430" i="40" s="1"/>
  <c r="J431" i="40"/>
  <c r="L431" i="40" s="1"/>
  <c r="M431" i="40" s="1"/>
  <c r="O431" i="40" s="1"/>
  <c r="J432" i="40"/>
  <c r="L432" i="40" s="1"/>
  <c r="M432" i="40" s="1"/>
  <c r="O432" i="40" s="1"/>
  <c r="J433" i="40"/>
  <c r="L433" i="40" s="1"/>
  <c r="M433" i="40" s="1"/>
  <c r="O433" i="40" s="1"/>
  <c r="J434" i="40"/>
  <c r="L434" i="40" s="1"/>
  <c r="M434" i="40" s="1"/>
  <c r="O434" i="40" s="1"/>
  <c r="J435" i="40"/>
  <c r="L435" i="40" s="1"/>
  <c r="M435" i="40" s="1"/>
  <c r="O435" i="40" s="1"/>
  <c r="J436" i="40"/>
  <c r="L436" i="40" s="1"/>
  <c r="M436" i="40" s="1"/>
  <c r="O436" i="40" s="1"/>
  <c r="J437" i="40"/>
  <c r="L437" i="40" s="1"/>
  <c r="M437" i="40" s="1"/>
  <c r="O437" i="40" s="1"/>
  <c r="J438" i="40"/>
  <c r="L438" i="40" s="1"/>
  <c r="M438" i="40" s="1"/>
  <c r="O438" i="40" s="1"/>
  <c r="J439" i="40"/>
  <c r="L439" i="40" s="1"/>
  <c r="M439" i="40" s="1"/>
  <c r="O439" i="40" s="1"/>
  <c r="J440" i="40"/>
  <c r="L440" i="40" s="1"/>
  <c r="M440" i="40" s="1"/>
  <c r="O440" i="40" s="1"/>
  <c r="J441" i="40"/>
  <c r="L441" i="40" s="1"/>
  <c r="M441" i="40" s="1"/>
  <c r="O441" i="40" s="1"/>
  <c r="J442" i="40"/>
  <c r="L442" i="40" s="1"/>
  <c r="M442" i="40" s="1"/>
  <c r="O442" i="40" s="1"/>
  <c r="J443" i="40"/>
  <c r="L443" i="40" s="1"/>
  <c r="M443" i="40" s="1"/>
  <c r="O443" i="40" s="1"/>
  <c r="J444" i="40"/>
  <c r="L444" i="40" s="1"/>
  <c r="M444" i="40" s="1"/>
  <c r="O444" i="40" s="1"/>
  <c r="J445" i="40"/>
  <c r="L445" i="40" s="1"/>
  <c r="M445" i="40" s="1"/>
  <c r="O445" i="40" s="1"/>
  <c r="J446" i="40"/>
  <c r="L446" i="40" s="1"/>
  <c r="M446" i="40" s="1"/>
  <c r="O446" i="40" s="1"/>
  <c r="J447" i="40"/>
  <c r="L447" i="40" s="1"/>
  <c r="M447" i="40" s="1"/>
  <c r="O447" i="40" s="1"/>
  <c r="J448" i="40"/>
  <c r="L448" i="40" s="1"/>
  <c r="M448" i="40" s="1"/>
  <c r="O448" i="40" s="1"/>
  <c r="J449" i="40"/>
  <c r="L449" i="40" s="1"/>
  <c r="M449" i="40" s="1"/>
  <c r="O449" i="40" s="1"/>
  <c r="J450" i="40"/>
  <c r="L450" i="40" s="1"/>
  <c r="M450" i="40" s="1"/>
  <c r="O450" i="40" s="1"/>
  <c r="J451" i="40"/>
  <c r="L451" i="40" s="1"/>
  <c r="M451" i="40" s="1"/>
  <c r="O451" i="40" s="1"/>
  <c r="J452" i="40"/>
  <c r="L452" i="40" s="1"/>
  <c r="M452" i="40" s="1"/>
  <c r="O452" i="40" s="1"/>
  <c r="J453" i="40"/>
  <c r="L453" i="40" s="1"/>
  <c r="M453" i="40" s="1"/>
  <c r="O453" i="40" s="1"/>
  <c r="J454" i="40"/>
  <c r="L454" i="40" s="1"/>
  <c r="M454" i="40" s="1"/>
  <c r="O454" i="40" s="1"/>
  <c r="J455" i="40"/>
  <c r="L455" i="40" s="1"/>
  <c r="M455" i="40" s="1"/>
  <c r="O455" i="40" s="1"/>
  <c r="J456" i="40"/>
  <c r="L456" i="40" s="1"/>
  <c r="M456" i="40" s="1"/>
  <c r="O456" i="40" s="1"/>
  <c r="J457" i="40"/>
  <c r="L457" i="40" s="1"/>
  <c r="M457" i="40" s="1"/>
  <c r="O457" i="40" s="1"/>
  <c r="J458" i="40"/>
  <c r="L458" i="40" s="1"/>
  <c r="M458" i="40" s="1"/>
  <c r="O458" i="40" s="1"/>
  <c r="J459" i="40"/>
  <c r="L459" i="40" s="1"/>
  <c r="M459" i="40" s="1"/>
  <c r="O459" i="40" s="1"/>
  <c r="J460" i="40"/>
  <c r="L460" i="40" s="1"/>
  <c r="M460" i="40" s="1"/>
  <c r="O460" i="40" s="1"/>
  <c r="J461" i="40"/>
  <c r="L461" i="40" s="1"/>
  <c r="M461" i="40" s="1"/>
  <c r="O461" i="40" s="1"/>
  <c r="J462" i="40"/>
  <c r="L462" i="40" s="1"/>
  <c r="M462" i="40" s="1"/>
  <c r="O462" i="40" s="1"/>
  <c r="J463" i="40"/>
  <c r="L463" i="40" s="1"/>
  <c r="M463" i="40" s="1"/>
  <c r="O463" i="40" s="1"/>
  <c r="J464" i="40"/>
  <c r="L464" i="40" s="1"/>
  <c r="M464" i="40" s="1"/>
  <c r="O464" i="40" s="1"/>
  <c r="J465" i="40"/>
  <c r="L465" i="40" s="1"/>
  <c r="M465" i="40" s="1"/>
  <c r="O465" i="40" s="1"/>
  <c r="J466" i="40"/>
  <c r="L466" i="40" s="1"/>
  <c r="M466" i="40" s="1"/>
  <c r="O466" i="40" s="1"/>
  <c r="J467" i="40"/>
  <c r="L467" i="40" s="1"/>
  <c r="M467" i="40" s="1"/>
  <c r="O467" i="40" s="1"/>
  <c r="J468" i="40"/>
  <c r="L468" i="40" s="1"/>
  <c r="M468" i="40" s="1"/>
  <c r="O468" i="40" s="1"/>
  <c r="J469" i="40"/>
  <c r="L469" i="40" s="1"/>
  <c r="M469" i="40" s="1"/>
  <c r="O469" i="40" s="1"/>
  <c r="J470" i="40"/>
  <c r="L470" i="40" s="1"/>
  <c r="M470" i="40" s="1"/>
  <c r="O470" i="40" s="1"/>
  <c r="J471" i="40"/>
  <c r="L471" i="40" s="1"/>
  <c r="M471" i="40" s="1"/>
  <c r="O471" i="40" s="1"/>
  <c r="J472" i="40"/>
  <c r="L472" i="40" s="1"/>
  <c r="M472" i="40" s="1"/>
  <c r="O472" i="40" s="1"/>
  <c r="J473" i="40"/>
  <c r="L473" i="40" s="1"/>
  <c r="M473" i="40" s="1"/>
  <c r="O473" i="40" s="1"/>
  <c r="J474" i="40"/>
  <c r="L474" i="40" s="1"/>
  <c r="M474" i="40" s="1"/>
  <c r="O474" i="40" s="1"/>
  <c r="J475" i="40"/>
  <c r="L475" i="40" s="1"/>
  <c r="M475" i="40" s="1"/>
  <c r="O475" i="40" s="1"/>
  <c r="J476" i="40"/>
  <c r="L476" i="40" s="1"/>
  <c r="M476" i="40" s="1"/>
  <c r="O476" i="40" s="1"/>
  <c r="J477" i="40"/>
  <c r="L477" i="40" s="1"/>
  <c r="M477" i="40" s="1"/>
  <c r="O477" i="40" s="1"/>
  <c r="J478" i="40"/>
  <c r="L478" i="40" s="1"/>
  <c r="M478" i="40" s="1"/>
  <c r="O478" i="40" s="1"/>
  <c r="J479" i="40"/>
  <c r="L479" i="40" s="1"/>
  <c r="M479" i="40" s="1"/>
  <c r="O479" i="40" s="1"/>
  <c r="J480" i="40"/>
  <c r="L480" i="40" s="1"/>
  <c r="M480" i="40" s="1"/>
  <c r="O480" i="40" s="1"/>
  <c r="J481" i="40"/>
  <c r="L481" i="40" s="1"/>
  <c r="M481" i="40" s="1"/>
  <c r="O481" i="40" s="1"/>
  <c r="J482" i="40"/>
  <c r="L482" i="40" s="1"/>
  <c r="M482" i="40" s="1"/>
  <c r="O482" i="40" s="1"/>
  <c r="J483" i="40"/>
  <c r="L483" i="40" s="1"/>
  <c r="M483" i="40" s="1"/>
  <c r="O483" i="40" s="1"/>
  <c r="J484" i="40"/>
  <c r="L484" i="40" s="1"/>
  <c r="M484" i="40" s="1"/>
  <c r="O484" i="40" s="1"/>
  <c r="J485" i="40"/>
  <c r="L485" i="40" s="1"/>
  <c r="M485" i="40" s="1"/>
  <c r="O485" i="40" s="1"/>
  <c r="J486" i="40"/>
  <c r="L486" i="40" s="1"/>
  <c r="M486" i="40" s="1"/>
  <c r="O486" i="40" s="1"/>
  <c r="J487" i="40"/>
  <c r="L487" i="40" s="1"/>
  <c r="M487" i="40" s="1"/>
  <c r="O487" i="40" s="1"/>
  <c r="J488" i="40"/>
  <c r="L488" i="40" s="1"/>
  <c r="M488" i="40" s="1"/>
  <c r="O488" i="40" s="1"/>
  <c r="J489" i="40"/>
  <c r="L489" i="40" s="1"/>
  <c r="M489" i="40" s="1"/>
  <c r="O489" i="40" s="1"/>
  <c r="J490" i="40"/>
  <c r="L490" i="40" s="1"/>
  <c r="M490" i="40" s="1"/>
  <c r="O490" i="40" s="1"/>
  <c r="J491" i="40"/>
  <c r="L491" i="40" s="1"/>
  <c r="M491" i="40" s="1"/>
  <c r="O491" i="40" s="1"/>
  <c r="J492" i="40"/>
  <c r="L492" i="40" s="1"/>
  <c r="M492" i="40" s="1"/>
  <c r="O492" i="40" s="1"/>
  <c r="J493" i="40"/>
  <c r="L493" i="40" s="1"/>
  <c r="M493" i="40" s="1"/>
  <c r="O493" i="40" s="1"/>
  <c r="J494" i="40"/>
  <c r="L494" i="40" s="1"/>
  <c r="M494" i="40" s="1"/>
  <c r="O494" i="40" s="1"/>
  <c r="J495" i="40"/>
  <c r="L495" i="40" s="1"/>
  <c r="M495" i="40" s="1"/>
  <c r="O495" i="40" s="1"/>
  <c r="J496" i="40"/>
  <c r="L496" i="40" s="1"/>
  <c r="M496" i="40" s="1"/>
  <c r="O496" i="40" s="1"/>
  <c r="J497" i="40"/>
  <c r="L497" i="40" s="1"/>
  <c r="M497" i="40" s="1"/>
  <c r="O497" i="40" s="1"/>
  <c r="J498" i="40"/>
  <c r="L498" i="40" s="1"/>
  <c r="M498" i="40" s="1"/>
  <c r="O498" i="40" s="1"/>
  <c r="J499" i="40"/>
  <c r="L499" i="40" s="1"/>
  <c r="M499" i="40" s="1"/>
  <c r="O499" i="40" s="1"/>
  <c r="J500" i="40"/>
  <c r="L500" i="40" s="1"/>
  <c r="M500" i="40" s="1"/>
  <c r="O500" i="40" s="1"/>
  <c r="J501" i="40"/>
  <c r="L501" i="40" s="1"/>
  <c r="M501" i="40" s="1"/>
  <c r="O501" i="40" s="1"/>
  <c r="J502" i="40"/>
  <c r="L502" i="40" s="1"/>
  <c r="M502" i="40" s="1"/>
  <c r="O502" i="40" s="1"/>
  <c r="J503" i="40"/>
  <c r="L503" i="40" s="1"/>
  <c r="M503" i="40" s="1"/>
  <c r="O503" i="40" s="1"/>
  <c r="J504" i="40"/>
  <c r="L504" i="40" s="1"/>
  <c r="M504" i="40" s="1"/>
  <c r="O504" i="40" s="1"/>
  <c r="J505" i="40"/>
  <c r="L505" i="40" s="1"/>
  <c r="M505" i="40" s="1"/>
  <c r="O505" i="40" s="1"/>
  <c r="J506" i="40"/>
  <c r="L506" i="40" s="1"/>
  <c r="M506" i="40" s="1"/>
  <c r="O506" i="40" s="1"/>
  <c r="J507" i="40"/>
  <c r="L507" i="40" s="1"/>
  <c r="M507" i="40" s="1"/>
  <c r="O507" i="40" s="1"/>
  <c r="J508" i="40"/>
  <c r="L508" i="40" s="1"/>
  <c r="M508" i="40" s="1"/>
  <c r="O508" i="40" s="1"/>
  <c r="J509" i="40"/>
  <c r="L509" i="40" s="1"/>
  <c r="M509" i="40" s="1"/>
  <c r="O509" i="40" s="1"/>
  <c r="J510" i="40"/>
  <c r="L510" i="40" s="1"/>
  <c r="M510" i="40" s="1"/>
  <c r="O510" i="40" s="1"/>
  <c r="J511" i="40"/>
  <c r="L511" i="40" s="1"/>
  <c r="M511" i="40" s="1"/>
  <c r="O511" i="40" s="1"/>
  <c r="J512" i="40"/>
  <c r="L512" i="40" s="1"/>
  <c r="M512" i="40" s="1"/>
  <c r="O512" i="40" s="1"/>
  <c r="J513" i="40"/>
  <c r="L513" i="40" s="1"/>
  <c r="M513" i="40" s="1"/>
  <c r="O513" i="40" s="1"/>
  <c r="J514" i="40"/>
  <c r="L514" i="40" s="1"/>
  <c r="M514" i="40" s="1"/>
  <c r="O514" i="40" s="1"/>
  <c r="J515" i="40"/>
  <c r="L515" i="40" s="1"/>
  <c r="M515" i="40" s="1"/>
  <c r="O515" i="40" s="1"/>
  <c r="J516" i="40"/>
  <c r="L516" i="40" s="1"/>
  <c r="M516" i="40" s="1"/>
  <c r="O516" i="40" s="1"/>
  <c r="J517" i="40"/>
  <c r="L517" i="40" s="1"/>
  <c r="M517" i="40" s="1"/>
  <c r="O517" i="40" s="1"/>
  <c r="J518" i="40"/>
  <c r="L518" i="40" s="1"/>
  <c r="M518" i="40" s="1"/>
  <c r="O518" i="40" s="1"/>
  <c r="J519" i="40"/>
  <c r="L519" i="40" s="1"/>
  <c r="M519" i="40" s="1"/>
  <c r="O519" i="40" s="1"/>
  <c r="J520" i="40"/>
  <c r="L520" i="40" s="1"/>
  <c r="M520" i="40" s="1"/>
  <c r="O520" i="40" s="1"/>
  <c r="J521" i="40"/>
  <c r="L521" i="40" s="1"/>
  <c r="M521" i="40" s="1"/>
  <c r="O521" i="40" s="1"/>
  <c r="J522" i="40"/>
  <c r="L522" i="40" s="1"/>
  <c r="M522" i="40" s="1"/>
  <c r="O522" i="40" s="1"/>
  <c r="J523" i="40"/>
  <c r="L523" i="40" s="1"/>
  <c r="M523" i="40" s="1"/>
  <c r="O523" i="40" s="1"/>
  <c r="J524" i="40"/>
  <c r="L524" i="40"/>
  <c r="M524" i="40" s="1"/>
  <c r="O524" i="40" s="1"/>
  <c r="J525" i="40"/>
  <c r="L525" i="40"/>
  <c r="M525" i="40" s="1"/>
  <c r="O525" i="40" s="1"/>
  <c r="J526" i="40"/>
  <c r="L526" i="40"/>
  <c r="M526" i="40" s="1"/>
  <c r="O526" i="40" s="1"/>
  <c r="J527" i="40"/>
  <c r="L527" i="40"/>
  <c r="M527" i="40" s="1"/>
  <c r="O527" i="40" s="1"/>
  <c r="J528" i="40"/>
  <c r="L528" i="40"/>
  <c r="M528" i="40" s="1"/>
  <c r="O528" i="40" s="1"/>
  <c r="J529" i="40"/>
  <c r="L529" i="40"/>
  <c r="M529" i="40" s="1"/>
  <c r="O529" i="40" s="1"/>
  <c r="J530" i="40"/>
  <c r="L530" i="40"/>
  <c r="M530" i="40" s="1"/>
  <c r="O530" i="40" s="1"/>
  <c r="J531" i="40"/>
  <c r="L531" i="40" s="1"/>
  <c r="M531" i="40" s="1"/>
  <c r="O531" i="40" s="1"/>
  <c r="J532" i="40"/>
  <c r="L532" i="40" s="1"/>
  <c r="M532" i="40" s="1"/>
  <c r="O532" i="40" s="1"/>
  <c r="J533" i="40"/>
  <c r="L533" i="40" s="1"/>
  <c r="M533" i="40" s="1"/>
  <c r="O533" i="40" s="1"/>
  <c r="J534" i="40"/>
  <c r="L534" i="40" s="1"/>
  <c r="M534" i="40" s="1"/>
  <c r="O534" i="40" s="1"/>
  <c r="J535" i="40"/>
  <c r="L535" i="40" s="1"/>
  <c r="M535" i="40" s="1"/>
  <c r="O535" i="40" s="1"/>
  <c r="J536" i="40"/>
  <c r="L536" i="40" s="1"/>
  <c r="M536" i="40" s="1"/>
  <c r="O536" i="40" s="1"/>
  <c r="J537" i="40"/>
  <c r="L537" i="40" s="1"/>
  <c r="M537" i="40" s="1"/>
  <c r="O537" i="40" s="1"/>
  <c r="J538" i="40"/>
  <c r="L538" i="40" s="1"/>
  <c r="M538" i="40" s="1"/>
  <c r="O538" i="40" s="1"/>
  <c r="J539" i="40"/>
  <c r="L539" i="40" s="1"/>
  <c r="M539" i="40" s="1"/>
  <c r="O539" i="40" s="1"/>
  <c r="J540" i="40"/>
  <c r="L540" i="40" s="1"/>
  <c r="M540" i="40" s="1"/>
  <c r="O540" i="40" s="1"/>
  <c r="J541" i="40"/>
  <c r="L541" i="40" s="1"/>
  <c r="M541" i="40" s="1"/>
  <c r="O541" i="40" s="1"/>
  <c r="J542" i="40"/>
  <c r="L542" i="40" s="1"/>
  <c r="M542" i="40" s="1"/>
  <c r="O542" i="40" s="1"/>
  <c r="J543" i="40"/>
  <c r="L543" i="40" s="1"/>
  <c r="M543" i="40" s="1"/>
  <c r="O543" i="40" s="1"/>
  <c r="J544" i="40"/>
  <c r="L544" i="40" s="1"/>
  <c r="M544" i="40" s="1"/>
  <c r="O544" i="40" s="1"/>
  <c r="J545" i="40"/>
  <c r="L545" i="40" s="1"/>
  <c r="M545" i="40" s="1"/>
  <c r="O545" i="40" s="1"/>
  <c r="J546" i="40"/>
  <c r="L546" i="40" s="1"/>
  <c r="M546" i="40" s="1"/>
  <c r="O546" i="40" s="1"/>
  <c r="J547" i="40"/>
  <c r="L547" i="40" s="1"/>
  <c r="M547" i="40" s="1"/>
  <c r="O547" i="40" s="1"/>
  <c r="J548" i="40"/>
  <c r="L548" i="40" s="1"/>
  <c r="M548" i="40" s="1"/>
  <c r="O548" i="40" s="1"/>
  <c r="J549" i="40"/>
  <c r="L549" i="40" s="1"/>
  <c r="M549" i="40" s="1"/>
  <c r="O549" i="40" s="1"/>
  <c r="J550" i="40"/>
  <c r="L550" i="40" s="1"/>
  <c r="M550" i="40" s="1"/>
  <c r="O550" i="40" s="1"/>
  <c r="J551" i="40"/>
  <c r="L551" i="40" s="1"/>
  <c r="M551" i="40" s="1"/>
  <c r="O551" i="40" s="1"/>
  <c r="J552" i="40"/>
  <c r="L552" i="40" s="1"/>
  <c r="M552" i="40" s="1"/>
  <c r="O552" i="40" s="1"/>
  <c r="J553" i="40"/>
  <c r="L553" i="40" s="1"/>
  <c r="M553" i="40" s="1"/>
  <c r="O553" i="40" s="1"/>
  <c r="J554" i="40"/>
  <c r="L554" i="40" s="1"/>
  <c r="M554" i="40" s="1"/>
  <c r="O554" i="40" s="1"/>
  <c r="J555" i="40"/>
  <c r="L555" i="40" s="1"/>
  <c r="M555" i="40" s="1"/>
  <c r="O555" i="40" s="1"/>
  <c r="J556" i="40"/>
  <c r="L556" i="40" s="1"/>
  <c r="M556" i="40" s="1"/>
  <c r="O556" i="40" s="1"/>
  <c r="J557" i="40"/>
  <c r="L557" i="40" s="1"/>
  <c r="M557" i="40" s="1"/>
  <c r="O557" i="40" s="1"/>
  <c r="J558" i="40"/>
  <c r="L558" i="40" s="1"/>
  <c r="M558" i="40" s="1"/>
  <c r="O558" i="40" s="1"/>
  <c r="J559" i="40"/>
  <c r="L559" i="40" s="1"/>
  <c r="M559" i="40" s="1"/>
  <c r="O559" i="40" s="1"/>
  <c r="J560" i="40"/>
  <c r="L560" i="40" s="1"/>
  <c r="M560" i="40" s="1"/>
  <c r="O560" i="40" s="1"/>
  <c r="J561" i="40"/>
  <c r="L561" i="40"/>
  <c r="M561" i="40" s="1"/>
  <c r="O561" i="40" s="1"/>
  <c r="J562" i="40"/>
  <c r="L562" i="40" s="1"/>
  <c r="M562" i="40" s="1"/>
  <c r="O562" i="40" s="1"/>
  <c r="J563" i="40"/>
  <c r="L563" i="40" s="1"/>
  <c r="M563" i="40" s="1"/>
  <c r="O563" i="40" s="1"/>
  <c r="J564" i="40"/>
  <c r="L564" i="40" s="1"/>
  <c r="M564" i="40" s="1"/>
  <c r="O564" i="40" s="1"/>
  <c r="J565" i="40"/>
  <c r="L565" i="40" s="1"/>
  <c r="M565" i="40" s="1"/>
  <c r="O565" i="40" s="1"/>
  <c r="J566" i="40"/>
  <c r="L566" i="40" s="1"/>
  <c r="M566" i="40" s="1"/>
  <c r="O566" i="40" s="1"/>
  <c r="J567" i="40"/>
  <c r="L567" i="40" s="1"/>
  <c r="M567" i="40" s="1"/>
  <c r="O567" i="40" s="1"/>
  <c r="J568" i="40"/>
  <c r="L568" i="40" s="1"/>
  <c r="M568" i="40" s="1"/>
  <c r="O568" i="40" s="1"/>
  <c r="J569" i="40"/>
  <c r="L569" i="40" s="1"/>
  <c r="M569" i="40" s="1"/>
  <c r="O569" i="40" s="1"/>
  <c r="J570" i="40"/>
  <c r="L570" i="40" s="1"/>
  <c r="M570" i="40" s="1"/>
  <c r="O570" i="40" s="1"/>
  <c r="J571" i="40"/>
  <c r="L571" i="40" s="1"/>
  <c r="M571" i="40" s="1"/>
  <c r="O571" i="40" s="1"/>
  <c r="J572" i="40"/>
  <c r="L572" i="40" s="1"/>
  <c r="M572" i="40" s="1"/>
  <c r="O572" i="40" s="1"/>
  <c r="J573" i="40"/>
  <c r="L573" i="40" s="1"/>
  <c r="M573" i="40" s="1"/>
  <c r="O573" i="40" s="1"/>
  <c r="J574" i="40"/>
  <c r="L574" i="40" s="1"/>
  <c r="M574" i="40" s="1"/>
  <c r="O574" i="40" s="1"/>
  <c r="J575" i="40"/>
  <c r="L575" i="40" s="1"/>
  <c r="M575" i="40" s="1"/>
  <c r="O575" i="40" s="1"/>
  <c r="J576" i="40"/>
  <c r="L576" i="40" s="1"/>
  <c r="M576" i="40" s="1"/>
  <c r="O576" i="40" s="1"/>
  <c r="J577" i="40"/>
  <c r="L577" i="40" s="1"/>
  <c r="M577" i="40" s="1"/>
  <c r="O577" i="40" s="1"/>
  <c r="J578" i="40"/>
  <c r="L578" i="40" s="1"/>
  <c r="M578" i="40" s="1"/>
  <c r="O578" i="40" s="1"/>
  <c r="J579" i="40"/>
  <c r="L579" i="40" s="1"/>
  <c r="M579" i="40" s="1"/>
  <c r="O579" i="40" s="1"/>
  <c r="J580" i="40"/>
  <c r="L580" i="40" s="1"/>
  <c r="M580" i="40" s="1"/>
  <c r="O580" i="40" s="1"/>
  <c r="J581" i="40"/>
  <c r="L581" i="40" s="1"/>
  <c r="M581" i="40" s="1"/>
  <c r="O581" i="40" s="1"/>
  <c r="J582" i="40"/>
  <c r="L582" i="40" s="1"/>
  <c r="M582" i="40" s="1"/>
  <c r="O582" i="40" s="1"/>
  <c r="J583" i="40"/>
  <c r="L583" i="40" s="1"/>
  <c r="M583" i="40" s="1"/>
  <c r="O583" i="40" s="1"/>
  <c r="J584" i="40"/>
  <c r="L584" i="40" s="1"/>
  <c r="M584" i="40" s="1"/>
  <c r="O584" i="40" s="1"/>
  <c r="J585" i="40"/>
  <c r="L585" i="40" s="1"/>
  <c r="M585" i="40" s="1"/>
  <c r="O585" i="40" s="1"/>
  <c r="J586" i="40"/>
  <c r="L586" i="40" s="1"/>
  <c r="M586" i="40" s="1"/>
  <c r="O586" i="40" s="1"/>
  <c r="J587" i="40"/>
  <c r="L587" i="40" s="1"/>
  <c r="M587" i="40" s="1"/>
  <c r="O587" i="40" s="1"/>
  <c r="J588" i="40"/>
  <c r="L588" i="40" s="1"/>
  <c r="M588" i="40" s="1"/>
  <c r="O588" i="40" s="1"/>
  <c r="J589" i="40"/>
  <c r="L589" i="40" s="1"/>
  <c r="M589" i="40" s="1"/>
  <c r="O589" i="40" s="1"/>
  <c r="J590" i="40"/>
  <c r="L590" i="40" s="1"/>
  <c r="M590" i="40" s="1"/>
  <c r="O590" i="40" s="1"/>
  <c r="J591" i="40"/>
  <c r="L591" i="40" s="1"/>
  <c r="M591" i="40" s="1"/>
  <c r="O591" i="40" s="1"/>
  <c r="J592" i="40"/>
  <c r="L592" i="40" s="1"/>
  <c r="M592" i="40" s="1"/>
  <c r="O592" i="40" s="1"/>
  <c r="J593" i="40"/>
  <c r="L593" i="40" s="1"/>
  <c r="M593" i="40" s="1"/>
  <c r="O593" i="40" s="1"/>
  <c r="J594" i="40"/>
  <c r="L594" i="40" s="1"/>
  <c r="M594" i="40" s="1"/>
  <c r="O594" i="40" s="1"/>
  <c r="J595" i="40"/>
  <c r="L595" i="40" s="1"/>
  <c r="M595" i="40" s="1"/>
  <c r="O595" i="40" s="1"/>
  <c r="J596" i="40"/>
  <c r="L596" i="40" s="1"/>
  <c r="M596" i="40" s="1"/>
  <c r="O596" i="40" s="1"/>
  <c r="J597" i="40"/>
  <c r="L597" i="40" s="1"/>
  <c r="M597" i="40" s="1"/>
  <c r="O597" i="40" s="1"/>
  <c r="J598" i="40"/>
  <c r="L598" i="40" s="1"/>
  <c r="M598" i="40" s="1"/>
  <c r="O598" i="40" s="1"/>
  <c r="J599" i="40"/>
  <c r="L599" i="40" s="1"/>
  <c r="M599" i="40" s="1"/>
  <c r="O599" i="40" s="1"/>
  <c r="J600" i="40"/>
  <c r="L600" i="40" s="1"/>
  <c r="M600" i="40" s="1"/>
  <c r="O600" i="40" s="1"/>
  <c r="J601" i="40"/>
  <c r="L601" i="40" s="1"/>
  <c r="M601" i="40" s="1"/>
  <c r="O601" i="40" s="1"/>
  <c r="J602" i="40"/>
  <c r="L602" i="40" s="1"/>
  <c r="M602" i="40" s="1"/>
  <c r="O602" i="40" s="1"/>
  <c r="J603" i="40"/>
  <c r="L603" i="40" s="1"/>
  <c r="M603" i="40" s="1"/>
  <c r="O603" i="40" s="1"/>
  <c r="J604" i="40"/>
  <c r="L604" i="40" s="1"/>
  <c r="M604" i="40" s="1"/>
  <c r="O604" i="40" s="1"/>
  <c r="J605" i="40"/>
  <c r="L605" i="40" s="1"/>
  <c r="M605" i="40" s="1"/>
  <c r="O605" i="40" s="1"/>
  <c r="J606" i="40"/>
  <c r="L606" i="40" s="1"/>
  <c r="M606" i="40" s="1"/>
  <c r="O606" i="40" s="1"/>
  <c r="J607" i="40"/>
  <c r="L607" i="40" s="1"/>
  <c r="M607" i="40" s="1"/>
  <c r="O607" i="40" s="1"/>
  <c r="J608" i="40"/>
  <c r="L608" i="40" s="1"/>
  <c r="M608" i="40" s="1"/>
  <c r="O608" i="40" s="1"/>
  <c r="J609" i="40"/>
  <c r="L609" i="40" s="1"/>
  <c r="M609" i="40" s="1"/>
  <c r="O609" i="40" s="1"/>
  <c r="J610" i="40"/>
  <c r="L610" i="40" s="1"/>
  <c r="M610" i="40" s="1"/>
  <c r="O610" i="40" s="1"/>
  <c r="J611" i="40"/>
  <c r="L611" i="40" s="1"/>
  <c r="M611" i="40" s="1"/>
  <c r="O611" i="40" s="1"/>
  <c r="J612" i="40"/>
  <c r="L612" i="40" s="1"/>
  <c r="M612" i="40"/>
  <c r="O612" i="40" s="1"/>
  <c r="J613" i="40"/>
  <c r="L613" i="40" s="1"/>
  <c r="M613" i="40" s="1"/>
  <c r="O613" i="40" s="1"/>
  <c r="J614" i="40"/>
  <c r="L614" i="40" s="1"/>
  <c r="M614" i="40" s="1"/>
  <c r="O614" i="40" s="1"/>
  <c r="J615" i="40"/>
  <c r="L615" i="40" s="1"/>
  <c r="M615" i="40" s="1"/>
  <c r="O615" i="40" s="1"/>
  <c r="J616" i="40"/>
  <c r="L616" i="40" s="1"/>
  <c r="M616" i="40" s="1"/>
  <c r="O616" i="40" s="1"/>
  <c r="J617" i="40"/>
  <c r="L617" i="40" s="1"/>
  <c r="M617" i="40" s="1"/>
  <c r="O617" i="40" s="1"/>
  <c r="J618" i="40"/>
  <c r="L618" i="40" s="1"/>
  <c r="M618" i="40" s="1"/>
  <c r="O618" i="40" s="1"/>
  <c r="J619" i="40"/>
  <c r="L619" i="40" s="1"/>
  <c r="M619" i="40" s="1"/>
  <c r="O619" i="40" s="1"/>
  <c r="J620" i="40"/>
  <c r="L620" i="40" s="1"/>
  <c r="M620" i="40" s="1"/>
  <c r="O620" i="40" s="1"/>
  <c r="J621" i="40"/>
  <c r="L621" i="40" s="1"/>
  <c r="M621" i="40" s="1"/>
  <c r="O621" i="40" s="1"/>
  <c r="J622" i="40"/>
  <c r="L622" i="40" s="1"/>
  <c r="M622" i="40" s="1"/>
  <c r="O622" i="40" s="1"/>
  <c r="J623" i="40"/>
  <c r="L623" i="40" s="1"/>
  <c r="M623" i="40" s="1"/>
  <c r="O623" i="40" s="1"/>
  <c r="J624" i="40"/>
  <c r="L624" i="40" s="1"/>
  <c r="M624" i="40" s="1"/>
  <c r="O624" i="40" s="1"/>
  <c r="J625" i="40"/>
  <c r="L625" i="40" s="1"/>
  <c r="M625" i="40" s="1"/>
  <c r="O625" i="40" s="1"/>
  <c r="J626" i="40"/>
  <c r="L626" i="40" s="1"/>
  <c r="M626" i="40" s="1"/>
  <c r="O626" i="40" s="1"/>
  <c r="J627" i="40"/>
  <c r="L627" i="40" s="1"/>
  <c r="M627" i="40" s="1"/>
  <c r="O627" i="40" s="1"/>
  <c r="J628" i="40"/>
  <c r="L628" i="40" s="1"/>
  <c r="M628" i="40" s="1"/>
  <c r="O628" i="40" s="1"/>
  <c r="J629" i="40"/>
  <c r="L629" i="40" s="1"/>
  <c r="M629" i="40" s="1"/>
  <c r="O629" i="40" s="1"/>
  <c r="J630" i="40"/>
  <c r="L630" i="40" s="1"/>
  <c r="M630" i="40" s="1"/>
  <c r="O630" i="40" s="1"/>
  <c r="J631" i="40"/>
  <c r="L631" i="40" s="1"/>
  <c r="M631" i="40" s="1"/>
  <c r="O631" i="40" s="1"/>
  <c r="J632" i="40"/>
  <c r="L632" i="40" s="1"/>
  <c r="M632" i="40" s="1"/>
  <c r="O632" i="40" s="1"/>
  <c r="J633" i="40"/>
  <c r="L633" i="40" s="1"/>
  <c r="M633" i="40" s="1"/>
  <c r="O633" i="40" s="1"/>
  <c r="J634" i="40"/>
  <c r="L634" i="40" s="1"/>
  <c r="M634" i="40" s="1"/>
  <c r="O634" i="40" s="1"/>
  <c r="J635" i="40"/>
  <c r="L635" i="40" s="1"/>
  <c r="M635" i="40" s="1"/>
  <c r="O635" i="40" s="1"/>
  <c r="J636" i="40"/>
  <c r="L636" i="40" s="1"/>
  <c r="M636" i="40" s="1"/>
  <c r="O636" i="40" s="1"/>
  <c r="J637" i="40"/>
  <c r="L637" i="40" s="1"/>
  <c r="M637" i="40" s="1"/>
  <c r="O637" i="40" s="1"/>
  <c r="J638" i="40"/>
  <c r="L638" i="40" s="1"/>
  <c r="M638" i="40" s="1"/>
  <c r="O638" i="40" s="1"/>
  <c r="J639" i="40"/>
  <c r="L639" i="40" s="1"/>
  <c r="M639" i="40" s="1"/>
  <c r="O639" i="40" s="1"/>
  <c r="J640" i="40"/>
  <c r="L640" i="40" s="1"/>
  <c r="M640" i="40" s="1"/>
  <c r="O640" i="40" s="1"/>
  <c r="J641" i="40"/>
  <c r="L641" i="40" s="1"/>
  <c r="M641" i="40" s="1"/>
  <c r="O641" i="40" s="1"/>
  <c r="J642" i="40"/>
  <c r="L642" i="40" s="1"/>
  <c r="M642" i="40" s="1"/>
  <c r="O642" i="40" s="1"/>
  <c r="J643" i="40"/>
  <c r="L643" i="40" s="1"/>
  <c r="M643" i="40" s="1"/>
  <c r="O643" i="40" s="1"/>
  <c r="J644" i="40"/>
  <c r="L644" i="40" s="1"/>
  <c r="M644" i="40" s="1"/>
  <c r="O644" i="40" s="1"/>
  <c r="J645" i="40"/>
  <c r="L645" i="40" s="1"/>
  <c r="M645" i="40" s="1"/>
  <c r="O645" i="40" s="1"/>
  <c r="J646" i="40"/>
  <c r="L646" i="40" s="1"/>
  <c r="M646" i="40" s="1"/>
  <c r="O646" i="40" s="1"/>
  <c r="J647" i="40"/>
  <c r="L647" i="40" s="1"/>
  <c r="M647" i="40" s="1"/>
  <c r="O647" i="40" s="1"/>
  <c r="J648" i="40"/>
  <c r="L648" i="40" s="1"/>
  <c r="M648" i="40" s="1"/>
  <c r="O648" i="40" s="1"/>
  <c r="J649" i="40"/>
  <c r="L649" i="40" s="1"/>
  <c r="M649" i="40" s="1"/>
  <c r="O649" i="40" s="1"/>
  <c r="J650" i="40"/>
  <c r="L650" i="40" s="1"/>
  <c r="M650" i="40" s="1"/>
  <c r="O650" i="40" s="1"/>
  <c r="J651" i="40"/>
  <c r="L651" i="40" s="1"/>
  <c r="M651" i="40" s="1"/>
  <c r="O651" i="40" s="1"/>
  <c r="J652" i="40"/>
  <c r="L652" i="40" s="1"/>
  <c r="M652" i="40" s="1"/>
  <c r="O652" i="40" s="1"/>
  <c r="J653" i="40"/>
  <c r="L653" i="40" s="1"/>
  <c r="M653" i="40" s="1"/>
  <c r="O653" i="40" s="1"/>
  <c r="J654" i="40"/>
  <c r="L654" i="40" s="1"/>
  <c r="M654" i="40" s="1"/>
  <c r="O654" i="40" s="1"/>
  <c r="J655" i="40"/>
  <c r="L655" i="40" s="1"/>
  <c r="M655" i="40" s="1"/>
  <c r="O655" i="40" s="1"/>
  <c r="J656" i="40"/>
  <c r="L656" i="40" s="1"/>
  <c r="M656" i="40" s="1"/>
  <c r="O656" i="40" s="1"/>
  <c r="J657" i="40"/>
  <c r="L657" i="40" s="1"/>
  <c r="M657" i="40" s="1"/>
  <c r="O657" i="40" s="1"/>
  <c r="J658" i="40"/>
  <c r="L658" i="40" s="1"/>
  <c r="M658" i="40" s="1"/>
  <c r="O658" i="40" s="1"/>
  <c r="J659" i="40"/>
  <c r="L659" i="40" s="1"/>
  <c r="M659" i="40" s="1"/>
  <c r="O659" i="40" s="1"/>
  <c r="J660" i="40"/>
  <c r="L660" i="40" s="1"/>
  <c r="M660" i="40" s="1"/>
  <c r="O660" i="40" s="1"/>
  <c r="J661" i="40"/>
  <c r="L661" i="40" s="1"/>
  <c r="M661" i="40" s="1"/>
  <c r="O661" i="40" s="1"/>
  <c r="J662" i="40"/>
  <c r="L662" i="40" s="1"/>
  <c r="M662" i="40" s="1"/>
  <c r="O662" i="40" s="1"/>
  <c r="J663" i="40"/>
  <c r="L663" i="40" s="1"/>
  <c r="M663" i="40" s="1"/>
  <c r="O663" i="40" s="1"/>
  <c r="J664" i="40"/>
  <c r="L664" i="40" s="1"/>
  <c r="M664" i="40" s="1"/>
  <c r="O664" i="40" s="1"/>
  <c r="J665" i="40"/>
  <c r="L665" i="40" s="1"/>
  <c r="M665" i="40" s="1"/>
  <c r="O665" i="40" s="1"/>
  <c r="J666" i="40"/>
  <c r="L666" i="40" s="1"/>
  <c r="M666" i="40" s="1"/>
  <c r="O666" i="40" s="1"/>
  <c r="J667" i="40"/>
  <c r="L667" i="40" s="1"/>
  <c r="M667" i="40" s="1"/>
  <c r="O667" i="40" s="1"/>
  <c r="J668" i="40"/>
  <c r="L668" i="40" s="1"/>
  <c r="M668" i="40" s="1"/>
  <c r="O668" i="40" s="1"/>
  <c r="J669" i="40"/>
  <c r="L669" i="40" s="1"/>
  <c r="M669" i="40" s="1"/>
  <c r="O669" i="40" s="1"/>
  <c r="J670" i="40"/>
  <c r="L670" i="40" s="1"/>
  <c r="M670" i="40" s="1"/>
  <c r="O670" i="40" s="1"/>
  <c r="J671" i="40"/>
  <c r="L671" i="40" s="1"/>
  <c r="M671" i="40" s="1"/>
  <c r="O671" i="40" s="1"/>
  <c r="J672" i="40"/>
  <c r="L672" i="40" s="1"/>
  <c r="M672" i="40" s="1"/>
  <c r="O672" i="40" s="1"/>
  <c r="J673" i="40"/>
  <c r="L673" i="40" s="1"/>
  <c r="M673" i="40" s="1"/>
  <c r="O673" i="40" s="1"/>
  <c r="J674" i="40"/>
  <c r="L674" i="40" s="1"/>
  <c r="M674" i="40" s="1"/>
  <c r="O674" i="40" s="1"/>
  <c r="J675" i="40"/>
  <c r="L675" i="40" s="1"/>
  <c r="M675" i="40" s="1"/>
  <c r="O675" i="40" s="1"/>
  <c r="J676" i="40"/>
  <c r="L676" i="40" s="1"/>
  <c r="M676" i="40" s="1"/>
  <c r="O676" i="40" s="1"/>
  <c r="J677" i="40"/>
  <c r="L677" i="40" s="1"/>
  <c r="M677" i="40" s="1"/>
  <c r="O677" i="40" s="1"/>
  <c r="J678" i="40"/>
  <c r="L678" i="40" s="1"/>
  <c r="M678" i="40" s="1"/>
  <c r="O678" i="40" s="1"/>
  <c r="J679" i="40"/>
  <c r="L679" i="40" s="1"/>
  <c r="M679" i="40" s="1"/>
  <c r="O679" i="40" s="1"/>
  <c r="J680" i="40"/>
  <c r="L680" i="40" s="1"/>
  <c r="M680" i="40" s="1"/>
  <c r="O680" i="40" s="1"/>
  <c r="J681" i="40"/>
  <c r="L681" i="40" s="1"/>
  <c r="M681" i="40" s="1"/>
  <c r="O681" i="40" s="1"/>
  <c r="J682" i="40"/>
  <c r="L682" i="40" s="1"/>
  <c r="M682" i="40" s="1"/>
  <c r="O682" i="40" s="1"/>
  <c r="J683" i="40"/>
  <c r="L683" i="40" s="1"/>
  <c r="M683" i="40" s="1"/>
  <c r="O683" i="40" s="1"/>
  <c r="J684" i="40"/>
  <c r="L684" i="40" s="1"/>
  <c r="M684" i="40" s="1"/>
  <c r="O684" i="40" s="1"/>
  <c r="J685" i="40"/>
  <c r="L685" i="40" s="1"/>
  <c r="M685" i="40" s="1"/>
  <c r="O685" i="40" s="1"/>
  <c r="J686" i="40"/>
  <c r="L686" i="40" s="1"/>
  <c r="M686" i="40" s="1"/>
  <c r="O686" i="40" s="1"/>
  <c r="J687" i="40"/>
  <c r="L687" i="40" s="1"/>
  <c r="M687" i="40" s="1"/>
  <c r="O687" i="40" s="1"/>
  <c r="J688" i="40"/>
  <c r="L688" i="40" s="1"/>
  <c r="M688" i="40" s="1"/>
  <c r="O688" i="40" s="1"/>
  <c r="J689" i="40"/>
  <c r="L689" i="40"/>
  <c r="M689" i="40" s="1"/>
  <c r="O689" i="40" s="1"/>
  <c r="J690" i="40"/>
  <c r="L690" i="40" s="1"/>
  <c r="M690" i="40" s="1"/>
  <c r="O690" i="40" s="1"/>
  <c r="J691" i="40"/>
  <c r="L691" i="40" s="1"/>
  <c r="M691" i="40" s="1"/>
  <c r="O691" i="40" s="1"/>
  <c r="J692" i="40"/>
  <c r="L692" i="40" s="1"/>
  <c r="M692" i="40" s="1"/>
  <c r="O692" i="40" s="1"/>
  <c r="J693" i="40"/>
  <c r="L693" i="40" s="1"/>
  <c r="M693" i="40" s="1"/>
  <c r="O693" i="40" s="1"/>
  <c r="J694" i="40"/>
  <c r="L694" i="40" s="1"/>
  <c r="M694" i="40" s="1"/>
  <c r="O694" i="40" s="1"/>
  <c r="J695" i="40"/>
  <c r="L695" i="40" s="1"/>
  <c r="M695" i="40" s="1"/>
  <c r="O695" i="40" s="1"/>
  <c r="J696" i="40"/>
  <c r="L696" i="40" s="1"/>
  <c r="M696" i="40" s="1"/>
  <c r="O696" i="40" s="1"/>
  <c r="J697" i="40"/>
  <c r="L697" i="40" s="1"/>
  <c r="M697" i="40" s="1"/>
  <c r="O697" i="40" s="1"/>
  <c r="J698" i="40"/>
  <c r="L698" i="40" s="1"/>
  <c r="M698" i="40" s="1"/>
  <c r="O698" i="40" s="1"/>
  <c r="J699" i="40"/>
  <c r="L699" i="40" s="1"/>
  <c r="M699" i="40" s="1"/>
  <c r="O699" i="40" s="1"/>
  <c r="J700" i="40"/>
  <c r="L700" i="40" s="1"/>
  <c r="M700" i="40" s="1"/>
  <c r="O700" i="40" s="1"/>
  <c r="J701" i="40"/>
  <c r="L701" i="40" s="1"/>
  <c r="M701" i="40" s="1"/>
  <c r="O701" i="40" s="1"/>
  <c r="J702" i="40"/>
  <c r="L702" i="40" s="1"/>
  <c r="M702" i="40" s="1"/>
  <c r="O702" i="40" s="1"/>
  <c r="J703" i="40"/>
  <c r="L703" i="40" s="1"/>
  <c r="M703" i="40" s="1"/>
  <c r="O703" i="40" s="1"/>
  <c r="J704" i="40"/>
  <c r="L704" i="40" s="1"/>
  <c r="M704" i="40" s="1"/>
  <c r="O704" i="40" s="1"/>
  <c r="J705" i="40"/>
  <c r="L705" i="40" s="1"/>
  <c r="M705" i="40" s="1"/>
  <c r="O705" i="40" s="1"/>
  <c r="J706" i="40"/>
  <c r="L706" i="40" s="1"/>
  <c r="M706" i="40" s="1"/>
  <c r="O706" i="40" s="1"/>
  <c r="J707" i="40"/>
  <c r="L707" i="40" s="1"/>
  <c r="M707" i="40" s="1"/>
  <c r="O707" i="40" s="1"/>
  <c r="J708" i="40"/>
  <c r="L708" i="40" s="1"/>
  <c r="M708" i="40" s="1"/>
  <c r="O708" i="40" s="1"/>
  <c r="J709" i="40"/>
  <c r="L709" i="40" s="1"/>
  <c r="M709" i="40" s="1"/>
  <c r="O709" i="40" s="1"/>
  <c r="J710" i="40"/>
  <c r="L710" i="40" s="1"/>
  <c r="M710" i="40" s="1"/>
  <c r="O710" i="40" s="1"/>
  <c r="J711" i="40"/>
  <c r="L711" i="40" s="1"/>
  <c r="M711" i="40" s="1"/>
  <c r="O711" i="40" s="1"/>
  <c r="J712" i="40"/>
  <c r="L712" i="40" s="1"/>
  <c r="M712" i="40" s="1"/>
  <c r="O712" i="40" s="1"/>
  <c r="J713" i="40"/>
  <c r="L713" i="40" s="1"/>
  <c r="M713" i="40" s="1"/>
  <c r="O713" i="40" s="1"/>
  <c r="J714" i="40"/>
  <c r="L714" i="40" s="1"/>
  <c r="M714" i="40" s="1"/>
  <c r="O714" i="40" s="1"/>
  <c r="J715" i="40"/>
  <c r="L715" i="40" s="1"/>
  <c r="M715" i="40" s="1"/>
  <c r="O715" i="40" s="1"/>
  <c r="J716" i="40"/>
  <c r="L716" i="40" s="1"/>
  <c r="M716" i="40" s="1"/>
  <c r="O716" i="40" s="1"/>
  <c r="J717" i="40"/>
  <c r="L717" i="40" s="1"/>
  <c r="M717" i="40" s="1"/>
  <c r="O717" i="40" s="1"/>
  <c r="J718" i="40"/>
  <c r="L718" i="40" s="1"/>
  <c r="M718" i="40" s="1"/>
  <c r="O718" i="40" s="1"/>
  <c r="J719" i="40"/>
  <c r="L719" i="40" s="1"/>
  <c r="M719" i="40" s="1"/>
  <c r="O719" i="40" s="1"/>
  <c r="J720" i="40"/>
  <c r="L720" i="40" s="1"/>
  <c r="M720" i="40" s="1"/>
  <c r="O720" i="40" s="1"/>
  <c r="J721" i="40"/>
  <c r="L721" i="40" s="1"/>
  <c r="M721" i="40" s="1"/>
  <c r="O721" i="40" s="1"/>
  <c r="J722" i="40"/>
  <c r="L722" i="40" s="1"/>
  <c r="M722" i="40" s="1"/>
  <c r="O722" i="40" s="1"/>
  <c r="J723" i="40"/>
  <c r="L723" i="40" s="1"/>
  <c r="M723" i="40" s="1"/>
  <c r="O723" i="40" s="1"/>
  <c r="J724" i="40"/>
  <c r="L724" i="40" s="1"/>
  <c r="M724" i="40" s="1"/>
  <c r="O724" i="40" s="1"/>
  <c r="J725" i="40"/>
  <c r="L725" i="40" s="1"/>
  <c r="M725" i="40" s="1"/>
  <c r="O725" i="40" s="1"/>
  <c r="J726" i="40"/>
  <c r="L726" i="40" s="1"/>
  <c r="M726" i="40" s="1"/>
  <c r="O726" i="40" s="1"/>
  <c r="J727" i="40"/>
  <c r="L727" i="40" s="1"/>
  <c r="M727" i="40" s="1"/>
  <c r="O727" i="40" s="1"/>
  <c r="J728" i="40"/>
  <c r="L728" i="40" s="1"/>
  <c r="M728" i="40" s="1"/>
  <c r="O728" i="40" s="1"/>
  <c r="J729" i="40"/>
  <c r="L729" i="40" s="1"/>
  <c r="M729" i="40" s="1"/>
  <c r="O729" i="40" s="1"/>
  <c r="J730" i="40"/>
  <c r="L730" i="40" s="1"/>
  <c r="M730" i="40" s="1"/>
  <c r="O730" i="40" s="1"/>
  <c r="J731" i="40"/>
  <c r="L731" i="40" s="1"/>
  <c r="M731" i="40" s="1"/>
  <c r="O731" i="40" s="1"/>
  <c r="J732" i="40"/>
  <c r="L732" i="40" s="1"/>
  <c r="M732" i="40" s="1"/>
  <c r="O732" i="40" s="1"/>
  <c r="J733" i="40"/>
  <c r="L733" i="40" s="1"/>
  <c r="M733" i="40" s="1"/>
  <c r="O733" i="40" s="1"/>
  <c r="J734" i="40"/>
  <c r="L734" i="40" s="1"/>
  <c r="M734" i="40" s="1"/>
  <c r="O734" i="40" s="1"/>
  <c r="J735" i="40"/>
  <c r="L735" i="40" s="1"/>
  <c r="M735" i="40" s="1"/>
  <c r="O735" i="40" s="1"/>
  <c r="J736" i="40"/>
  <c r="L736" i="40" s="1"/>
  <c r="M736" i="40" s="1"/>
  <c r="O736" i="40" s="1"/>
  <c r="J737" i="40"/>
  <c r="L737" i="40" s="1"/>
  <c r="M737" i="40" s="1"/>
  <c r="O737" i="40" s="1"/>
  <c r="J738" i="40"/>
  <c r="L738" i="40" s="1"/>
  <c r="M738" i="40" s="1"/>
  <c r="O738" i="40" s="1"/>
  <c r="J739" i="40"/>
  <c r="L739" i="40" s="1"/>
  <c r="M739" i="40" s="1"/>
  <c r="O739" i="40" s="1"/>
  <c r="J740" i="40"/>
  <c r="L740" i="40" s="1"/>
  <c r="M740" i="40" s="1"/>
  <c r="O740" i="40" s="1"/>
  <c r="J741" i="40"/>
  <c r="L741" i="40" s="1"/>
  <c r="M741" i="40" s="1"/>
  <c r="O741" i="40" s="1"/>
  <c r="J742" i="40"/>
  <c r="L742" i="40" s="1"/>
  <c r="M742" i="40" s="1"/>
  <c r="O742" i="40" s="1"/>
  <c r="J743" i="40"/>
  <c r="L743" i="40" s="1"/>
  <c r="M743" i="40" s="1"/>
  <c r="O743" i="40" s="1"/>
  <c r="J744" i="40"/>
  <c r="L744" i="40" s="1"/>
  <c r="M744" i="40" s="1"/>
  <c r="O744" i="40" s="1"/>
  <c r="J745" i="40"/>
  <c r="L745" i="40" s="1"/>
  <c r="M745" i="40" s="1"/>
  <c r="O745" i="40" s="1"/>
  <c r="J746" i="40"/>
  <c r="L746" i="40" s="1"/>
  <c r="M746" i="40" s="1"/>
  <c r="O746" i="40" s="1"/>
  <c r="J747" i="40"/>
  <c r="L747" i="40" s="1"/>
  <c r="M747" i="40" s="1"/>
  <c r="O747" i="40" s="1"/>
  <c r="J748" i="40"/>
  <c r="L748" i="40" s="1"/>
  <c r="M748" i="40" s="1"/>
  <c r="O748" i="40" s="1"/>
  <c r="J749" i="40"/>
  <c r="L749" i="40" s="1"/>
  <c r="M749" i="40" s="1"/>
  <c r="O749" i="40" s="1"/>
  <c r="J750" i="40"/>
  <c r="L750" i="40" s="1"/>
  <c r="M750" i="40" s="1"/>
  <c r="O750" i="40" s="1"/>
  <c r="J751" i="40"/>
  <c r="L751" i="40" s="1"/>
  <c r="M751" i="40" s="1"/>
  <c r="O751" i="40" s="1"/>
  <c r="J752" i="40"/>
  <c r="L752" i="40" s="1"/>
  <c r="M752" i="40" s="1"/>
  <c r="O752" i="40" s="1"/>
  <c r="J753" i="40"/>
  <c r="L753" i="40" s="1"/>
  <c r="M753" i="40" s="1"/>
  <c r="O753" i="40" s="1"/>
  <c r="J754" i="40"/>
  <c r="L754" i="40" s="1"/>
  <c r="M754" i="40" s="1"/>
  <c r="O754" i="40" s="1"/>
  <c r="J755" i="40"/>
  <c r="L755" i="40" s="1"/>
  <c r="M755" i="40" s="1"/>
  <c r="O755" i="40" s="1"/>
  <c r="J756" i="40"/>
  <c r="L756" i="40" s="1"/>
  <c r="M756" i="40" s="1"/>
  <c r="O756" i="40" s="1"/>
  <c r="J757" i="40"/>
  <c r="L757" i="40" s="1"/>
  <c r="M757" i="40" s="1"/>
  <c r="O757" i="40" s="1"/>
  <c r="J758" i="40"/>
  <c r="L758" i="40" s="1"/>
  <c r="M758" i="40" s="1"/>
  <c r="O758" i="40" s="1"/>
  <c r="J759" i="40"/>
  <c r="L759" i="40" s="1"/>
  <c r="M759" i="40" s="1"/>
  <c r="O759" i="40" s="1"/>
  <c r="J760" i="40"/>
  <c r="L760" i="40" s="1"/>
  <c r="M760" i="40" s="1"/>
  <c r="O760" i="40" s="1"/>
  <c r="J761" i="40"/>
  <c r="L761" i="40" s="1"/>
  <c r="M761" i="40" s="1"/>
  <c r="O761" i="40" s="1"/>
  <c r="J762" i="40"/>
  <c r="L762" i="40" s="1"/>
  <c r="M762" i="40" s="1"/>
  <c r="O762" i="40" s="1"/>
  <c r="J763" i="40"/>
  <c r="L763" i="40" s="1"/>
  <c r="M763" i="40" s="1"/>
  <c r="O763" i="40" s="1"/>
  <c r="J764" i="40"/>
  <c r="L764" i="40" s="1"/>
  <c r="M764" i="40" s="1"/>
  <c r="O764" i="40" s="1"/>
  <c r="J765" i="40"/>
  <c r="L765" i="40" s="1"/>
  <c r="M765" i="40" s="1"/>
  <c r="O765" i="40" s="1"/>
  <c r="J766" i="40"/>
  <c r="L766" i="40" s="1"/>
  <c r="M766" i="40" s="1"/>
  <c r="O766" i="40" s="1"/>
  <c r="J767" i="40"/>
  <c r="L767" i="40" s="1"/>
  <c r="M767" i="40" s="1"/>
  <c r="O767" i="40" s="1"/>
  <c r="J768" i="40"/>
  <c r="L768" i="40" s="1"/>
  <c r="M768" i="40" s="1"/>
  <c r="O768" i="40" s="1"/>
  <c r="J769" i="40"/>
  <c r="L769" i="40" s="1"/>
  <c r="M769" i="40" s="1"/>
  <c r="O769" i="40" s="1"/>
  <c r="J770" i="40"/>
  <c r="L770" i="40" s="1"/>
  <c r="M770" i="40" s="1"/>
  <c r="O770" i="40" s="1"/>
  <c r="J771" i="40"/>
  <c r="L771" i="40" s="1"/>
  <c r="M771" i="40" s="1"/>
  <c r="O771" i="40" s="1"/>
  <c r="J772" i="40"/>
  <c r="L772" i="40" s="1"/>
  <c r="M772" i="40" s="1"/>
  <c r="O772" i="40" s="1"/>
  <c r="J773" i="40"/>
  <c r="L773" i="40" s="1"/>
  <c r="M773" i="40" s="1"/>
  <c r="O773" i="40" s="1"/>
  <c r="J774" i="40"/>
  <c r="L774" i="40" s="1"/>
  <c r="M774" i="40" s="1"/>
  <c r="O774" i="40" s="1"/>
  <c r="J775" i="40"/>
  <c r="L775" i="40" s="1"/>
  <c r="M775" i="40" s="1"/>
  <c r="O775" i="40" s="1"/>
  <c r="J776" i="40"/>
  <c r="L776" i="40" s="1"/>
  <c r="M776" i="40" s="1"/>
  <c r="O776" i="40" s="1"/>
  <c r="J777" i="40"/>
  <c r="L777" i="40" s="1"/>
  <c r="M777" i="40" s="1"/>
  <c r="O777" i="40" s="1"/>
  <c r="J778" i="40"/>
  <c r="L778" i="40" s="1"/>
  <c r="M778" i="40" s="1"/>
  <c r="O778" i="40" s="1"/>
  <c r="J779" i="40"/>
  <c r="L779" i="40"/>
  <c r="M779" i="40" s="1"/>
  <c r="O779" i="40" s="1"/>
  <c r="J780" i="40"/>
  <c r="L780" i="40" s="1"/>
  <c r="M780" i="40" s="1"/>
  <c r="O780" i="40" s="1"/>
  <c r="J781" i="40"/>
  <c r="L781" i="40" s="1"/>
  <c r="M781" i="40" s="1"/>
  <c r="O781" i="40" s="1"/>
  <c r="J782" i="40"/>
  <c r="L782" i="40" s="1"/>
  <c r="M782" i="40" s="1"/>
  <c r="O782" i="40" s="1"/>
  <c r="J783" i="40"/>
  <c r="L783" i="40" s="1"/>
  <c r="M783" i="40" s="1"/>
  <c r="O783" i="40" s="1"/>
  <c r="J784" i="40"/>
  <c r="L784" i="40" s="1"/>
  <c r="M784" i="40" s="1"/>
  <c r="O784" i="40" s="1"/>
  <c r="J785" i="40"/>
  <c r="L785" i="40"/>
  <c r="M785" i="40" s="1"/>
  <c r="O785" i="40" s="1"/>
  <c r="J786" i="40"/>
  <c r="L786" i="40"/>
  <c r="M786" i="40" s="1"/>
  <c r="O786" i="40" s="1"/>
  <c r="J787" i="40"/>
  <c r="L787" i="40"/>
  <c r="M787" i="40" s="1"/>
  <c r="O787" i="40" s="1"/>
  <c r="J788" i="40"/>
  <c r="L788" i="40"/>
  <c r="M788" i="40" s="1"/>
  <c r="O788" i="40" s="1"/>
  <c r="J789" i="40"/>
  <c r="L789" i="40"/>
  <c r="M789" i="40" s="1"/>
  <c r="O789" i="40" s="1"/>
  <c r="J790" i="40"/>
  <c r="L790" i="40"/>
  <c r="M790" i="40" s="1"/>
  <c r="O790" i="40" s="1"/>
  <c r="J791" i="40"/>
  <c r="L791" i="40"/>
  <c r="M791" i="40" s="1"/>
  <c r="O791" i="40" s="1"/>
  <c r="J792" i="40"/>
  <c r="L792" i="40"/>
  <c r="M792" i="40" s="1"/>
  <c r="O792" i="40" s="1"/>
  <c r="J793" i="40"/>
  <c r="L793" i="40"/>
  <c r="M793" i="40" s="1"/>
  <c r="O793" i="40" s="1"/>
  <c r="J794" i="40"/>
  <c r="L794" i="40"/>
  <c r="M794" i="40" s="1"/>
  <c r="O794" i="40" s="1"/>
  <c r="J795" i="40"/>
  <c r="L795" i="40"/>
  <c r="M795" i="40" s="1"/>
  <c r="O795" i="40" s="1"/>
  <c r="J796" i="40"/>
  <c r="L796" i="40"/>
  <c r="M796" i="40" s="1"/>
  <c r="O796" i="40" s="1"/>
  <c r="J797" i="40"/>
  <c r="L797" i="40"/>
  <c r="M797" i="40" s="1"/>
  <c r="O797" i="40" s="1"/>
  <c r="J798" i="40"/>
  <c r="L798" i="40"/>
  <c r="M798" i="40" s="1"/>
  <c r="O798" i="40" s="1"/>
  <c r="J799" i="40"/>
  <c r="L799" i="40"/>
  <c r="M799" i="40" s="1"/>
  <c r="O799" i="40" s="1"/>
  <c r="J800" i="40"/>
  <c r="L800" i="40"/>
  <c r="M800" i="40" s="1"/>
  <c r="O800" i="40" s="1"/>
  <c r="J801" i="40"/>
  <c r="L801" i="40"/>
  <c r="M801" i="40" s="1"/>
  <c r="O801" i="40" s="1"/>
  <c r="J802" i="40"/>
  <c r="L802" i="40"/>
  <c r="M802" i="40" s="1"/>
  <c r="O802" i="40" s="1"/>
  <c r="J803" i="40"/>
  <c r="L803" i="40"/>
  <c r="M803" i="40" s="1"/>
  <c r="O803" i="40" s="1"/>
  <c r="J804" i="40"/>
  <c r="L804" i="40"/>
  <c r="M804" i="40" s="1"/>
  <c r="O804" i="40" s="1"/>
  <c r="J805" i="40"/>
  <c r="L805" i="40"/>
  <c r="M805" i="40" s="1"/>
  <c r="O805" i="40" s="1"/>
  <c r="J806" i="40"/>
  <c r="L806" i="40"/>
  <c r="M806" i="40" s="1"/>
  <c r="O806" i="40" s="1"/>
  <c r="J807" i="40"/>
  <c r="L807" i="40"/>
  <c r="M807" i="40" s="1"/>
  <c r="O807" i="40" s="1"/>
  <c r="J808" i="40"/>
  <c r="L808" i="40" s="1"/>
  <c r="M808" i="40" s="1"/>
  <c r="O808" i="40" s="1"/>
  <c r="J809" i="40"/>
  <c r="L809" i="40" s="1"/>
  <c r="M809" i="40" s="1"/>
  <c r="O809" i="40" s="1"/>
  <c r="J810" i="40"/>
  <c r="L810" i="40" s="1"/>
  <c r="M810" i="40" s="1"/>
  <c r="O810" i="40" s="1"/>
  <c r="J811" i="40"/>
  <c r="L811" i="40" s="1"/>
  <c r="M811" i="40" s="1"/>
  <c r="O811" i="40" s="1"/>
  <c r="J812" i="40"/>
  <c r="L812" i="40" s="1"/>
  <c r="M812" i="40" s="1"/>
  <c r="O812" i="40" s="1"/>
  <c r="J813" i="40"/>
  <c r="L813" i="40" s="1"/>
  <c r="M813" i="40" s="1"/>
  <c r="O813" i="40" s="1"/>
  <c r="J814" i="40"/>
  <c r="L814" i="40" s="1"/>
  <c r="M814" i="40" s="1"/>
  <c r="O814" i="40" s="1"/>
  <c r="J815" i="40"/>
  <c r="L815" i="40" s="1"/>
  <c r="M815" i="40" s="1"/>
  <c r="O815" i="40" s="1"/>
  <c r="J816" i="40"/>
  <c r="L816" i="40" s="1"/>
  <c r="M816" i="40" s="1"/>
  <c r="O816" i="40" s="1"/>
  <c r="J817" i="40"/>
  <c r="L817" i="40" s="1"/>
  <c r="M817" i="40" s="1"/>
  <c r="O817" i="40" s="1"/>
  <c r="J818" i="40"/>
  <c r="L818" i="40" s="1"/>
  <c r="M818" i="40" s="1"/>
  <c r="O818" i="40" s="1"/>
  <c r="J819" i="40"/>
  <c r="L819" i="40" s="1"/>
  <c r="M819" i="40" s="1"/>
  <c r="O819" i="40" s="1"/>
  <c r="J820" i="40"/>
  <c r="L820" i="40" s="1"/>
  <c r="M820" i="40" s="1"/>
  <c r="O820" i="40" s="1"/>
  <c r="J821" i="40"/>
  <c r="L821" i="40" s="1"/>
  <c r="M821" i="40" s="1"/>
  <c r="O821" i="40" s="1"/>
  <c r="J822" i="40"/>
  <c r="L822" i="40" s="1"/>
  <c r="M822" i="40" s="1"/>
  <c r="O822" i="40" s="1"/>
  <c r="J823" i="40"/>
  <c r="L823" i="40" s="1"/>
  <c r="M823" i="40" s="1"/>
  <c r="O823" i="40" s="1"/>
  <c r="J824" i="40"/>
  <c r="L824" i="40" s="1"/>
  <c r="M824" i="40" s="1"/>
  <c r="O824" i="40" s="1"/>
  <c r="J825" i="40"/>
  <c r="L825" i="40" s="1"/>
  <c r="M825" i="40" s="1"/>
  <c r="O825" i="40" s="1"/>
  <c r="J826" i="40"/>
  <c r="L826" i="40" s="1"/>
  <c r="M826" i="40" s="1"/>
  <c r="O826" i="40" s="1"/>
  <c r="J827" i="40"/>
  <c r="L827" i="40" s="1"/>
  <c r="M827" i="40" s="1"/>
  <c r="O827" i="40" s="1"/>
  <c r="J828" i="40"/>
  <c r="L828" i="40" s="1"/>
  <c r="M828" i="40" s="1"/>
  <c r="O828" i="40" s="1"/>
  <c r="J829" i="40"/>
  <c r="L829" i="40" s="1"/>
  <c r="M829" i="40" s="1"/>
  <c r="O829" i="40" s="1"/>
  <c r="J830" i="40"/>
  <c r="L830" i="40" s="1"/>
  <c r="M830" i="40" s="1"/>
  <c r="O830" i="40" s="1"/>
  <c r="J831" i="40"/>
  <c r="L831" i="40" s="1"/>
  <c r="M831" i="40" s="1"/>
  <c r="O831" i="40" s="1"/>
  <c r="J832" i="40"/>
  <c r="L832" i="40" s="1"/>
  <c r="M832" i="40" s="1"/>
  <c r="O832" i="40" s="1"/>
  <c r="J833" i="40"/>
  <c r="L833" i="40" s="1"/>
  <c r="M833" i="40" s="1"/>
  <c r="O833" i="40" s="1"/>
  <c r="J834" i="40"/>
  <c r="L834" i="40" s="1"/>
  <c r="M834" i="40" s="1"/>
  <c r="O834" i="40" s="1"/>
  <c r="J835" i="40"/>
  <c r="L835" i="40" s="1"/>
  <c r="M835" i="40" s="1"/>
  <c r="O835" i="40" s="1"/>
  <c r="J836" i="40"/>
  <c r="L836" i="40" s="1"/>
  <c r="M836" i="40" s="1"/>
  <c r="O836" i="40" s="1"/>
  <c r="J837" i="40"/>
  <c r="L837" i="40" s="1"/>
  <c r="M837" i="40" s="1"/>
  <c r="O837" i="40" s="1"/>
  <c r="J838" i="40"/>
  <c r="L838" i="40" s="1"/>
  <c r="M838" i="40" s="1"/>
  <c r="O838" i="40" s="1"/>
  <c r="J839" i="40"/>
  <c r="L839" i="40" s="1"/>
  <c r="M839" i="40" s="1"/>
  <c r="O839" i="40" s="1"/>
  <c r="J840" i="40"/>
  <c r="L840" i="40" s="1"/>
  <c r="M840" i="40" s="1"/>
  <c r="O840" i="40" s="1"/>
  <c r="J841" i="40"/>
  <c r="L841" i="40" s="1"/>
  <c r="M841" i="40" s="1"/>
  <c r="O841" i="40" s="1"/>
  <c r="J842" i="40"/>
  <c r="L842" i="40" s="1"/>
  <c r="M842" i="40" s="1"/>
  <c r="O842" i="40" s="1"/>
  <c r="J843" i="40"/>
  <c r="L843" i="40" s="1"/>
  <c r="M843" i="40" s="1"/>
  <c r="O843" i="40" s="1"/>
  <c r="J844" i="40"/>
  <c r="L844" i="40" s="1"/>
  <c r="M844" i="40" s="1"/>
  <c r="O844" i="40" s="1"/>
  <c r="J845" i="40"/>
  <c r="L845" i="40" s="1"/>
  <c r="M845" i="40" s="1"/>
  <c r="O845" i="40" s="1"/>
  <c r="J846" i="40"/>
  <c r="L846" i="40" s="1"/>
  <c r="M846" i="40" s="1"/>
  <c r="O846" i="40" s="1"/>
  <c r="J847" i="40"/>
  <c r="L847" i="40" s="1"/>
  <c r="M847" i="40" s="1"/>
  <c r="O847" i="40" s="1"/>
  <c r="J848" i="40"/>
  <c r="L848" i="40" s="1"/>
  <c r="M848" i="40" s="1"/>
  <c r="O848" i="40" s="1"/>
  <c r="J849" i="40"/>
  <c r="L849" i="40" s="1"/>
  <c r="M849" i="40" s="1"/>
  <c r="O849" i="40" s="1"/>
  <c r="J850" i="40"/>
  <c r="L850" i="40" s="1"/>
  <c r="M850" i="40" s="1"/>
  <c r="O850" i="40" s="1"/>
  <c r="J851" i="40"/>
  <c r="L851" i="40" s="1"/>
  <c r="M851" i="40" s="1"/>
  <c r="O851" i="40" s="1"/>
  <c r="J852" i="40"/>
  <c r="L852" i="40" s="1"/>
  <c r="M852" i="40" s="1"/>
  <c r="O852" i="40" s="1"/>
  <c r="J853" i="40"/>
  <c r="L853" i="40" s="1"/>
  <c r="M853" i="40" s="1"/>
  <c r="O853" i="40" s="1"/>
  <c r="J854" i="40"/>
  <c r="L854" i="40" s="1"/>
  <c r="M854" i="40" s="1"/>
  <c r="O854" i="40" s="1"/>
  <c r="J855" i="40"/>
  <c r="L855" i="40" s="1"/>
  <c r="M855" i="40" s="1"/>
  <c r="O855" i="40" s="1"/>
  <c r="J856" i="40"/>
  <c r="L856" i="40" s="1"/>
  <c r="M856" i="40" s="1"/>
  <c r="O856" i="40" s="1"/>
  <c r="J857" i="40"/>
  <c r="L857" i="40" s="1"/>
  <c r="M857" i="40" s="1"/>
  <c r="O857" i="40" s="1"/>
  <c r="J858" i="40"/>
  <c r="L858" i="40" s="1"/>
  <c r="M858" i="40" s="1"/>
  <c r="O858" i="40" s="1"/>
  <c r="J859" i="40"/>
  <c r="L859" i="40" s="1"/>
  <c r="M859" i="40" s="1"/>
  <c r="O859" i="40" s="1"/>
  <c r="J860" i="40"/>
  <c r="L860" i="40" s="1"/>
  <c r="M860" i="40" s="1"/>
  <c r="O860" i="40" s="1"/>
  <c r="J861" i="40"/>
  <c r="L861" i="40" s="1"/>
  <c r="M861" i="40" s="1"/>
  <c r="O861" i="40" s="1"/>
  <c r="J862" i="40"/>
  <c r="L862" i="40" s="1"/>
  <c r="M862" i="40" s="1"/>
  <c r="O862" i="40" s="1"/>
  <c r="J863" i="40"/>
  <c r="L863" i="40" s="1"/>
  <c r="M863" i="40" s="1"/>
  <c r="O863" i="40" s="1"/>
  <c r="J864" i="40"/>
  <c r="L864" i="40" s="1"/>
  <c r="M864" i="40" s="1"/>
  <c r="O864" i="40" s="1"/>
  <c r="J865" i="40"/>
  <c r="L865" i="40" s="1"/>
  <c r="M865" i="40" s="1"/>
  <c r="O865" i="40" s="1"/>
  <c r="J866" i="40"/>
  <c r="L866" i="40" s="1"/>
  <c r="M866" i="40" s="1"/>
  <c r="O866" i="40" s="1"/>
  <c r="J867" i="40"/>
  <c r="L867" i="40" s="1"/>
  <c r="M867" i="40" s="1"/>
  <c r="O867" i="40" s="1"/>
  <c r="J868" i="40"/>
  <c r="L868" i="40" s="1"/>
  <c r="M868" i="40" s="1"/>
  <c r="O868" i="40" s="1"/>
  <c r="J869" i="40"/>
  <c r="L869" i="40" s="1"/>
  <c r="M869" i="40" s="1"/>
  <c r="O869" i="40" s="1"/>
  <c r="J870" i="40"/>
  <c r="L870" i="40" s="1"/>
  <c r="M870" i="40" s="1"/>
  <c r="O870" i="40" s="1"/>
  <c r="J871" i="40"/>
  <c r="L871" i="40" s="1"/>
  <c r="M871" i="40" s="1"/>
  <c r="O871" i="40" s="1"/>
  <c r="J872" i="40"/>
  <c r="L872" i="40" s="1"/>
  <c r="M872" i="40" s="1"/>
  <c r="O872" i="40" s="1"/>
  <c r="J873" i="40"/>
  <c r="L873" i="40" s="1"/>
  <c r="M873" i="40" s="1"/>
  <c r="O873" i="40" s="1"/>
  <c r="J874" i="40"/>
  <c r="L874" i="40" s="1"/>
  <c r="M874" i="40" s="1"/>
  <c r="O874" i="40" s="1"/>
  <c r="J875" i="40"/>
  <c r="L875" i="40" s="1"/>
  <c r="M875" i="40" s="1"/>
  <c r="O875" i="40" s="1"/>
  <c r="J876" i="40"/>
  <c r="L876" i="40" s="1"/>
  <c r="M876" i="40" s="1"/>
  <c r="O876" i="40" s="1"/>
  <c r="J877" i="40"/>
  <c r="L877" i="40" s="1"/>
  <c r="M877" i="40" s="1"/>
  <c r="O877" i="40" s="1"/>
  <c r="J878" i="40"/>
  <c r="L878" i="40" s="1"/>
  <c r="M878" i="40" s="1"/>
  <c r="O878" i="40" s="1"/>
  <c r="J879" i="40"/>
  <c r="L879" i="40" s="1"/>
  <c r="M879" i="40" s="1"/>
  <c r="O879" i="40" s="1"/>
  <c r="J880" i="40"/>
  <c r="L880" i="40" s="1"/>
  <c r="M880" i="40" s="1"/>
  <c r="O880" i="40" s="1"/>
  <c r="J881" i="40"/>
  <c r="L881" i="40"/>
  <c r="M881" i="40" s="1"/>
  <c r="O881" i="40" s="1"/>
  <c r="J882" i="40"/>
  <c r="L882" i="40"/>
  <c r="M882" i="40" s="1"/>
  <c r="O882" i="40" s="1"/>
  <c r="J883" i="40"/>
  <c r="L883" i="40"/>
  <c r="M883" i="40" s="1"/>
  <c r="O883" i="40" s="1"/>
  <c r="J884" i="40"/>
  <c r="L884" i="40"/>
  <c r="M884" i="40" s="1"/>
  <c r="O884" i="40" s="1"/>
  <c r="J885" i="40"/>
  <c r="L885" i="40"/>
  <c r="M885" i="40" s="1"/>
  <c r="O885" i="40" s="1"/>
  <c r="J886" i="40"/>
  <c r="L886" i="40" s="1"/>
  <c r="M886" i="40" s="1"/>
  <c r="O886" i="40" s="1"/>
  <c r="J887" i="40"/>
  <c r="L887" i="40" s="1"/>
  <c r="M887" i="40" s="1"/>
  <c r="O887" i="40" s="1"/>
  <c r="J888" i="40"/>
  <c r="L888" i="40" s="1"/>
  <c r="M888" i="40" s="1"/>
  <c r="O888" i="40" s="1"/>
  <c r="J889" i="40"/>
  <c r="L889" i="40" s="1"/>
  <c r="M889" i="40" s="1"/>
  <c r="O889" i="40" s="1"/>
  <c r="J890" i="40"/>
  <c r="L890" i="40" s="1"/>
  <c r="M890" i="40" s="1"/>
  <c r="O890" i="40" s="1"/>
  <c r="J891" i="40"/>
  <c r="L891" i="40" s="1"/>
  <c r="M891" i="40" s="1"/>
  <c r="O891" i="40" s="1"/>
  <c r="J892" i="40"/>
  <c r="L892" i="40" s="1"/>
  <c r="M892" i="40" s="1"/>
  <c r="O892" i="40" s="1"/>
  <c r="J893" i="40"/>
  <c r="L893" i="40" s="1"/>
  <c r="M893" i="40" s="1"/>
  <c r="O893" i="40" s="1"/>
  <c r="J894" i="40"/>
  <c r="L894" i="40" s="1"/>
  <c r="M894" i="40" s="1"/>
  <c r="O894" i="40" s="1"/>
  <c r="J895" i="40"/>
  <c r="L895" i="40" s="1"/>
  <c r="M895" i="40" s="1"/>
  <c r="O895" i="40" s="1"/>
  <c r="J896" i="40"/>
  <c r="L896" i="40" s="1"/>
  <c r="M896" i="40" s="1"/>
  <c r="O896" i="40" s="1"/>
  <c r="J897" i="40"/>
  <c r="L897" i="40" s="1"/>
  <c r="M897" i="40" s="1"/>
  <c r="O897" i="40" s="1"/>
  <c r="J898" i="40"/>
  <c r="L898" i="40" s="1"/>
  <c r="M898" i="40" s="1"/>
  <c r="O898" i="40" s="1"/>
  <c r="J899" i="40"/>
  <c r="L899" i="40" s="1"/>
  <c r="M899" i="40" s="1"/>
  <c r="O899" i="40" s="1"/>
  <c r="J900" i="40"/>
  <c r="L900" i="40" s="1"/>
  <c r="M900" i="40" s="1"/>
  <c r="O900" i="40" s="1"/>
  <c r="J901" i="40"/>
  <c r="L901" i="40" s="1"/>
  <c r="M901" i="40" s="1"/>
  <c r="O901" i="40" s="1"/>
  <c r="J902" i="40"/>
  <c r="L902" i="40" s="1"/>
  <c r="M902" i="40" s="1"/>
  <c r="O902" i="40" s="1"/>
  <c r="J903" i="40"/>
  <c r="L903" i="40" s="1"/>
  <c r="M903" i="40" s="1"/>
  <c r="O903" i="40" s="1"/>
  <c r="J904" i="40"/>
  <c r="L904" i="40" s="1"/>
  <c r="M904" i="40" s="1"/>
  <c r="O904" i="40" s="1"/>
  <c r="J905" i="40"/>
  <c r="L905" i="40" s="1"/>
  <c r="M905" i="40" s="1"/>
  <c r="O905" i="40" s="1"/>
  <c r="J906" i="40"/>
  <c r="L906" i="40" s="1"/>
  <c r="M906" i="40" s="1"/>
  <c r="O906" i="40" s="1"/>
  <c r="J907" i="40"/>
  <c r="L907" i="40" s="1"/>
  <c r="M907" i="40" s="1"/>
  <c r="O907" i="40" s="1"/>
  <c r="J908" i="40"/>
  <c r="L908" i="40" s="1"/>
  <c r="M908" i="40" s="1"/>
  <c r="O908" i="40" s="1"/>
  <c r="J909" i="40"/>
  <c r="L909" i="40" s="1"/>
  <c r="M909" i="40" s="1"/>
  <c r="O909" i="40" s="1"/>
  <c r="J910" i="40"/>
  <c r="L910" i="40" s="1"/>
  <c r="M910" i="40" s="1"/>
  <c r="O910" i="40" s="1"/>
  <c r="J911" i="40"/>
  <c r="L911" i="40" s="1"/>
  <c r="M911" i="40" s="1"/>
  <c r="O911" i="40" s="1"/>
  <c r="J912" i="40"/>
  <c r="L912" i="40" s="1"/>
  <c r="M912" i="40" s="1"/>
  <c r="O912" i="40" s="1"/>
  <c r="J913" i="40"/>
  <c r="L913" i="40" s="1"/>
  <c r="M913" i="40" s="1"/>
  <c r="O913" i="40" s="1"/>
  <c r="J914" i="40"/>
  <c r="L914" i="40" s="1"/>
  <c r="M914" i="40" s="1"/>
  <c r="O914" i="40" s="1"/>
  <c r="J915" i="40"/>
  <c r="L915" i="40" s="1"/>
  <c r="M915" i="40" s="1"/>
  <c r="O915" i="40" s="1"/>
  <c r="J916" i="40"/>
  <c r="L916" i="40" s="1"/>
  <c r="M916" i="40" s="1"/>
  <c r="O916" i="40" s="1"/>
  <c r="J917" i="40"/>
  <c r="L917" i="40" s="1"/>
  <c r="M917" i="40" s="1"/>
  <c r="O917" i="40" s="1"/>
  <c r="J918" i="40"/>
  <c r="L918" i="40" s="1"/>
  <c r="M918" i="40" s="1"/>
  <c r="O918" i="40" s="1"/>
  <c r="J919" i="40"/>
  <c r="L919" i="40" s="1"/>
  <c r="M919" i="40" s="1"/>
  <c r="O919" i="40" s="1"/>
  <c r="J920" i="40"/>
  <c r="L920" i="40" s="1"/>
  <c r="M920" i="40" s="1"/>
  <c r="O920" i="40" s="1"/>
  <c r="J921" i="40"/>
  <c r="L921" i="40" s="1"/>
  <c r="M921" i="40" s="1"/>
  <c r="O921" i="40" s="1"/>
  <c r="J922" i="40"/>
  <c r="L922" i="40" s="1"/>
  <c r="M922" i="40" s="1"/>
  <c r="O922" i="40" s="1"/>
  <c r="J923" i="40"/>
  <c r="L923" i="40" s="1"/>
  <c r="M923" i="40" s="1"/>
  <c r="O923" i="40" s="1"/>
  <c r="J924" i="40"/>
  <c r="L924" i="40" s="1"/>
  <c r="M924" i="40" s="1"/>
  <c r="O924" i="40" s="1"/>
  <c r="J925" i="40"/>
  <c r="L925" i="40" s="1"/>
  <c r="M925" i="40" s="1"/>
  <c r="O925" i="40" s="1"/>
  <c r="J926" i="40"/>
  <c r="L926" i="40" s="1"/>
  <c r="M926" i="40" s="1"/>
  <c r="O926" i="40" s="1"/>
  <c r="J927" i="40"/>
  <c r="L927" i="40" s="1"/>
  <c r="M927" i="40" s="1"/>
  <c r="O927" i="40" s="1"/>
  <c r="J928" i="40"/>
  <c r="L928" i="40" s="1"/>
  <c r="M928" i="40" s="1"/>
  <c r="O928" i="40" s="1"/>
  <c r="J929" i="40"/>
  <c r="L929" i="40" s="1"/>
  <c r="M929" i="40" s="1"/>
  <c r="O929" i="40" s="1"/>
  <c r="J930" i="40"/>
  <c r="L930" i="40" s="1"/>
  <c r="M930" i="40" s="1"/>
  <c r="O930" i="40" s="1"/>
  <c r="J931" i="40"/>
  <c r="L931" i="40" s="1"/>
  <c r="M931" i="40" s="1"/>
  <c r="O931" i="40" s="1"/>
  <c r="J932" i="40"/>
  <c r="L932" i="40" s="1"/>
  <c r="M932" i="40" s="1"/>
  <c r="O932" i="40" s="1"/>
  <c r="J933" i="40"/>
  <c r="L933" i="40" s="1"/>
  <c r="M933" i="40" s="1"/>
  <c r="O933" i="40" s="1"/>
  <c r="J934" i="40"/>
  <c r="L934" i="40" s="1"/>
  <c r="M934" i="40" s="1"/>
  <c r="O934" i="40" s="1"/>
  <c r="J935" i="40"/>
  <c r="L935" i="40" s="1"/>
  <c r="M935" i="40" s="1"/>
  <c r="O935" i="40" s="1"/>
  <c r="J936" i="40"/>
  <c r="L936" i="40" s="1"/>
  <c r="M936" i="40" s="1"/>
  <c r="O936" i="40" s="1"/>
  <c r="J937" i="40"/>
  <c r="L937" i="40" s="1"/>
  <c r="M937" i="40" s="1"/>
  <c r="O937" i="40" s="1"/>
  <c r="J938" i="40"/>
  <c r="L938" i="40" s="1"/>
  <c r="M938" i="40" s="1"/>
  <c r="O938" i="40" s="1"/>
  <c r="J939" i="40"/>
  <c r="L939" i="40" s="1"/>
  <c r="M939" i="40" s="1"/>
  <c r="O939" i="40" s="1"/>
  <c r="J940" i="40"/>
  <c r="L940" i="40" s="1"/>
  <c r="M940" i="40" s="1"/>
  <c r="O940" i="40" s="1"/>
  <c r="J941" i="40"/>
  <c r="L941" i="40" s="1"/>
  <c r="M941" i="40" s="1"/>
  <c r="O941" i="40" s="1"/>
  <c r="J942" i="40"/>
  <c r="L942" i="40" s="1"/>
  <c r="M942" i="40" s="1"/>
  <c r="O942" i="40" s="1"/>
  <c r="J943" i="40"/>
  <c r="L943" i="40" s="1"/>
  <c r="M943" i="40" s="1"/>
  <c r="O943" i="40" s="1"/>
  <c r="J944" i="40"/>
  <c r="L944" i="40" s="1"/>
  <c r="M944" i="40" s="1"/>
  <c r="O944" i="40" s="1"/>
  <c r="J945" i="40"/>
  <c r="L945" i="40" s="1"/>
  <c r="M945" i="40" s="1"/>
  <c r="O945" i="40" s="1"/>
  <c r="J946" i="40"/>
  <c r="L946" i="40" s="1"/>
  <c r="M946" i="40" s="1"/>
  <c r="O946" i="40" s="1"/>
  <c r="J947" i="40"/>
  <c r="L947" i="40" s="1"/>
  <c r="M947" i="40" s="1"/>
  <c r="O947" i="40" s="1"/>
  <c r="J948" i="40"/>
  <c r="L948" i="40" s="1"/>
  <c r="M948" i="40" s="1"/>
  <c r="O948" i="40" s="1"/>
  <c r="J949" i="40"/>
  <c r="L949" i="40" s="1"/>
  <c r="M949" i="40" s="1"/>
  <c r="O949" i="40" s="1"/>
  <c r="J950" i="40"/>
  <c r="L950" i="40" s="1"/>
  <c r="M950" i="40" s="1"/>
  <c r="O950" i="40" s="1"/>
  <c r="J951" i="40"/>
  <c r="L951" i="40" s="1"/>
  <c r="M951" i="40" s="1"/>
  <c r="O951" i="40" s="1"/>
  <c r="J952" i="40"/>
  <c r="L952" i="40" s="1"/>
  <c r="M952" i="40" s="1"/>
  <c r="O952" i="40" s="1"/>
  <c r="J953" i="40"/>
  <c r="L953" i="40" s="1"/>
  <c r="M953" i="40" s="1"/>
  <c r="O953" i="40" s="1"/>
  <c r="J954" i="40"/>
  <c r="L954" i="40" s="1"/>
  <c r="M954" i="40" s="1"/>
  <c r="O954" i="40" s="1"/>
  <c r="J955" i="40"/>
  <c r="L955" i="40" s="1"/>
  <c r="M955" i="40" s="1"/>
  <c r="O955" i="40" s="1"/>
  <c r="J956" i="40"/>
  <c r="L956" i="40" s="1"/>
  <c r="M956" i="40" s="1"/>
  <c r="O956" i="40" s="1"/>
  <c r="J957" i="40"/>
  <c r="L957" i="40" s="1"/>
  <c r="M957" i="40" s="1"/>
  <c r="O957" i="40" s="1"/>
  <c r="J958" i="40"/>
  <c r="L958" i="40" s="1"/>
  <c r="M958" i="40" s="1"/>
  <c r="O958" i="40" s="1"/>
  <c r="J959" i="40"/>
  <c r="L959" i="40" s="1"/>
  <c r="M959" i="40" s="1"/>
  <c r="O959" i="40" s="1"/>
  <c r="J960" i="40"/>
  <c r="L960" i="40" s="1"/>
  <c r="M960" i="40" s="1"/>
  <c r="O960" i="40" s="1"/>
  <c r="J961" i="40"/>
  <c r="L961" i="40" s="1"/>
  <c r="M961" i="40" s="1"/>
  <c r="O961" i="40" s="1"/>
  <c r="J962" i="40"/>
  <c r="L962" i="40" s="1"/>
  <c r="M962" i="40" s="1"/>
  <c r="O962" i="40" s="1"/>
  <c r="J963" i="40"/>
  <c r="L963" i="40" s="1"/>
  <c r="M963" i="40" s="1"/>
  <c r="O963" i="40" s="1"/>
  <c r="J964" i="40"/>
  <c r="L964" i="40" s="1"/>
  <c r="M964" i="40" s="1"/>
  <c r="O964" i="40" s="1"/>
  <c r="J965" i="40"/>
  <c r="L965" i="40" s="1"/>
  <c r="M965" i="40" s="1"/>
  <c r="O965" i="40" s="1"/>
  <c r="J966" i="40"/>
  <c r="L966" i="40" s="1"/>
  <c r="M966" i="40" s="1"/>
  <c r="O966" i="40" s="1"/>
  <c r="J967" i="40"/>
  <c r="L967" i="40" s="1"/>
  <c r="M967" i="40" s="1"/>
  <c r="O967" i="40" s="1"/>
  <c r="J968" i="40"/>
  <c r="L968" i="40" s="1"/>
  <c r="M968" i="40" s="1"/>
  <c r="O968" i="40" s="1"/>
  <c r="J969" i="40"/>
  <c r="L969" i="40"/>
  <c r="M969" i="40" s="1"/>
  <c r="O969" i="40" s="1"/>
  <c r="J970" i="40"/>
  <c r="L970" i="40"/>
  <c r="M970" i="40" s="1"/>
  <c r="O970" i="40" s="1"/>
  <c r="J971" i="40"/>
  <c r="L971" i="40"/>
  <c r="M971" i="40" s="1"/>
  <c r="O971" i="40" s="1"/>
  <c r="J972" i="40"/>
  <c r="L972" i="40"/>
  <c r="M972" i="40" s="1"/>
  <c r="O972" i="40" s="1"/>
  <c r="J973" i="40"/>
  <c r="L973" i="40"/>
  <c r="M973" i="40" s="1"/>
  <c r="O973" i="40" s="1"/>
  <c r="J974" i="40"/>
  <c r="L974" i="40"/>
  <c r="M974" i="40" s="1"/>
  <c r="O974" i="40" s="1"/>
  <c r="J975" i="40"/>
  <c r="L975" i="40"/>
  <c r="M975" i="40" s="1"/>
  <c r="O975" i="40" s="1"/>
  <c r="J976" i="40"/>
  <c r="L976" i="40"/>
  <c r="M976" i="40" s="1"/>
  <c r="O976" i="40" s="1"/>
  <c r="J977" i="40"/>
  <c r="L977" i="40" s="1"/>
  <c r="M977" i="40" s="1"/>
  <c r="O977" i="40" s="1"/>
  <c r="J978" i="40"/>
  <c r="L978" i="40" s="1"/>
  <c r="M978" i="40" s="1"/>
  <c r="O978" i="40" s="1"/>
  <c r="J979" i="40"/>
  <c r="L979" i="40" s="1"/>
  <c r="M979" i="40" s="1"/>
  <c r="O979" i="40" s="1"/>
  <c r="J980" i="40"/>
  <c r="L980" i="40" s="1"/>
  <c r="M980" i="40" s="1"/>
  <c r="O980" i="40" s="1"/>
  <c r="J981" i="40"/>
  <c r="L981" i="40" s="1"/>
  <c r="M981" i="40" s="1"/>
  <c r="O981" i="40" s="1"/>
  <c r="J982" i="40"/>
  <c r="L982" i="40" s="1"/>
  <c r="M982" i="40" s="1"/>
  <c r="O982" i="40" s="1"/>
  <c r="J983" i="40"/>
  <c r="L983" i="40" s="1"/>
  <c r="M983" i="40" s="1"/>
  <c r="O983" i="40" s="1"/>
  <c r="J984" i="40"/>
  <c r="L984" i="40" s="1"/>
  <c r="M984" i="40" s="1"/>
  <c r="O984" i="40" s="1"/>
  <c r="J985" i="40"/>
  <c r="L985" i="40" s="1"/>
  <c r="M985" i="40" s="1"/>
  <c r="O985" i="40" s="1"/>
  <c r="J986" i="40"/>
  <c r="L986" i="40" s="1"/>
  <c r="M986" i="40" s="1"/>
  <c r="O986" i="40" s="1"/>
  <c r="J987" i="40"/>
  <c r="L987" i="40" s="1"/>
  <c r="M987" i="40" s="1"/>
  <c r="O987" i="40" s="1"/>
  <c r="J988" i="40"/>
  <c r="L988" i="40" s="1"/>
  <c r="M988" i="40" s="1"/>
  <c r="O988" i="40" s="1"/>
  <c r="J989" i="40"/>
  <c r="L989" i="40" s="1"/>
  <c r="M989" i="40" s="1"/>
  <c r="O989" i="40" s="1"/>
  <c r="J990" i="40"/>
  <c r="L990" i="40" s="1"/>
  <c r="M990" i="40" s="1"/>
  <c r="O990" i="40" s="1"/>
  <c r="J991" i="40"/>
  <c r="L991" i="40" s="1"/>
  <c r="M991" i="40" s="1"/>
  <c r="O991" i="40" s="1"/>
  <c r="J992" i="40"/>
  <c r="L992" i="40" s="1"/>
  <c r="M992" i="40" s="1"/>
  <c r="O992" i="40" s="1"/>
  <c r="J993" i="40"/>
  <c r="L993" i="40" s="1"/>
  <c r="M993" i="40" s="1"/>
  <c r="O993" i="40" s="1"/>
  <c r="J994" i="40"/>
  <c r="L994" i="40" s="1"/>
  <c r="M994" i="40" s="1"/>
  <c r="O994" i="40" s="1"/>
  <c r="J995" i="40"/>
  <c r="L995" i="40" s="1"/>
  <c r="M995" i="40" s="1"/>
  <c r="O995" i="40" s="1"/>
  <c r="J996" i="40"/>
  <c r="L996" i="40" s="1"/>
  <c r="M996" i="40" s="1"/>
  <c r="O996" i="40" s="1"/>
  <c r="J997" i="40"/>
  <c r="L997" i="40" s="1"/>
  <c r="M997" i="40" s="1"/>
  <c r="O997" i="40" s="1"/>
  <c r="J998" i="40"/>
  <c r="L998" i="40" s="1"/>
  <c r="M998" i="40" s="1"/>
  <c r="O998" i="40" s="1"/>
  <c r="J999" i="40"/>
  <c r="L999" i="40" s="1"/>
  <c r="M999" i="40" s="1"/>
  <c r="O999" i="40" s="1"/>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J302" i="17"/>
  <c r="J303" i="17"/>
  <c r="J304" i="17"/>
  <c r="J305" i="17"/>
  <c r="J306" i="17"/>
  <c r="J307" i="17"/>
  <c r="J308" i="17"/>
  <c r="J309" i="17"/>
  <c r="J310" i="17"/>
  <c r="J311" i="17"/>
  <c r="J312" i="17"/>
  <c r="J313" i="17"/>
  <c r="J314" i="17"/>
  <c r="J315" i="17"/>
  <c r="J316" i="17"/>
  <c r="J317" i="17"/>
  <c r="J318" i="17"/>
  <c r="J319" i="17"/>
  <c r="J320" i="17"/>
  <c r="J321" i="17"/>
  <c r="J322" i="17"/>
  <c r="J323" i="17"/>
  <c r="J324" i="17"/>
  <c r="J325" i="17"/>
  <c r="J326" i="17"/>
  <c r="J327" i="17"/>
  <c r="J328" i="17"/>
  <c r="J329" i="17"/>
  <c r="J330" i="17"/>
  <c r="J331" i="17"/>
  <c r="J332" i="17"/>
  <c r="J333" i="17"/>
  <c r="J334" i="17"/>
  <c r="J335" i="17"/>
  <c r="J336" i="17"/>
  <c r="J337" i="17"/>
  <c r="J338" i="17"/>
  <c r="J339" i="17"/>
  <c r="J340" i="17"/>
  <c r="J341" i="17"/>
  <c r="J342" i="17"/>
  <c r="J343" i="17"/>
  <c r="J344" i="17"/>
  <c r="J345" i="17"/>
  <c r="J346" i="17"/>
  <c r="J347" i="17"/>
  <c r="J348" i="17"/>
  <c r="J349" i="17"/>
  <c r="J350" i="17"/>
  <c r="J351" i="17"/>
  <c r="J352" i="17"/>
  <c r="J353" i="17"/>
  <c r="J354" i="17"/>
  <c r="J355" i="17"/>
  <c r="J356" i="17"/>
  <c r="J357" i="17"/>
  <c r="J358" i="17"/>
  <c r="J359" i="17"/>
  <c r="J360" i="17"/>
  <c r="J361" i="17"/>
  <c r="J362" i="17"/>
  <c r="J363" i="17"/>
  <c r="J364" i="17"/>
  <c r="J365" i="17"/>
  <c r="J366" i="17"/>
  <c r="J367" i="17"/>
  <c r="J368" i="17"/>
  <c r="J369" i="17"/>
  <c r="J370" i="17"/>
  <c r="J371" i="17"/>
  <c r="J372" i="17"/>
  <c r="J373" i="17"/>
  <c r="J374" i="17"/>
  <c r="J375" i="17"/>
  <c r="J376" i="17"/>
  <c r="J377" i="17"/>
  <c r="J378" i="17"/>
  <c r="J379" i="17"/>
  <c r="J380" i="17"/>
  <c r="J381" i="17"/>
  <c r="J382" i="17"/>
  <c r="J383" i="17"/>
  <c r="J384" i="17"/>
  <c r="J385" i="17"/>
  <c r="J386" i="17"/>
  <c r="J387" i="17"/>
  <c r="J388" i="17"/>
  <c r="J389" i="17"/>
  <c r="J390" i="17"/>
  <c r="J391" i="17"/>
  <c r="J392" i="17"/>
  <c r="J393" i="17"/>
  <c r="J394" i="17"/>
  <c r="J395" i="17"/>
  <c r="J396" i="17"/>
  <c r="J397" i="17"/>
  <c r="J398" i="17"/>
  <c r="J399" i="17"/>
  <c r="J400" i="17"/>
  <c r="J401" i="17"/>
  <c r="J402" i="17"/>
  <c r="J403" i="17"/>
  <c r="J404" i="17"/>
  <c r="J405" i="17"/>
  <c r="J406" i="17"/>
  <c r="J407" i="17"/>
  <c r="J408" i="17"/>
  <c r="J409" i="17"/>
  <c r="J410" i="17"/>
  <c r="J411" i="17"/>
  <c r="J412" i="17"/>
  <c r="J413" i="17"/>
  <c r="J414" i="17"/>
  <c r="J415" i="17"/>
  <c r="J416" i="17"/>
  <c r="J417" i="17"/>
  <c r="J418" i="17"/>
  <c r="J419" i="17"/>
  <c r="J420" i="17"/>
  <c r="J421" i="17"/>
  <c r="J422" i="17"/>
  <c r="J423" i="17"/>
  <c r="J424" i="17"/>
  <c r="J425" i="17"/>
  <c r="J426" i="17"/>
  <c r="J427" i="17"/>
  <c r="J428" i="17"/>
  <c r="J429" i="17"/>
  <c r="J430" i="17"/>
  <c r="J431" i="17"/>
  <c r="J432" i="17"/>
  <c r="J433" i="17"/>
  <c r="J434" i="17"/>
  <c r="J435" i="17"/>
  <c r="J436" i="17"/>
  <c r="J437" i="17"/>
  <c r="J438" i="17"/>
  <c r="J439" i="17"/>
  <c r="J440" i="17"/>
  <c r="J441" i="17"/>
  <c r="J442" i="17"/>
  <c r="J443" i="17"/>
  <c r="J444" i="17"/>
  <c r="J445" i="17"/>
  <c r="J446" i="17"/>
  <c r="J447" i="17"/>
  <c r="J448" i="17"/>
  <c r="J449" i="17"/>
  <c r="J450" i="17"/>
  <c r="J451" i="17"/>
  <c r="J452" i="17"/>
  <c r="J453" i="17"/>
  <c r="J454" i="17"/>
  <c r="J455" i="17"/>
  <c r="J456" i="17"/>
  <c r="J457" i="17"/>
  <c r="J458" i="17"/>
  <c r="J459" i="17"/>
  <c r="J460" i="17"/>
  <c r="J461" i="17"/>
  <c r="J462" i="17"/>
  <c r="J463" i="17"/>
  <c r="J464" i="17"/>
  <c r="J465" i="17"/>
  <c r="J466" i="17"/>
  <c r="J467" i="17"/>
  <c r="J468" i="17"/>
  <c r="J469" i="17"/>
  <c r="J470" i="17"/>
  <c r="J471" i="17"/>
  <c r="J472" i="17"/>
  <c r="J473" i="17"/>
  <c r="J474" i="17"/>
  <c r="J475" i="17"/>
  <c r="J476" i="17"/>
  <c r="J477" i="17"/>
  <c r="J478" i="17"/>
  <c r="J479" i="17"/>
  <c r="J480" i="17"/>
  <c r="J481" i="17"/>
  <c r="J482" i="17"/>
  <c r="J483" i="17"/>
  <c r="J484" i="17"/>
  <c r="J485" i="17"/>
  <c r="J486" i="17"/>
  <c r="J487" i="17"/>
  <c r="J488" i="17"/>
  <c r="J489" i="17"/>
  <c r="J490" i="17"/>
  <c r="J491" i="17"/>
  <c r="J492" i="17"/>
  <c r="J493" i="17"/>
  <c r="J494" i="17"/>
  <c r="J495" i="17"/>
  <c r="J496" i="17"/>
  <c r="J497" i="17"/>
  <c r="J498" i="17"/>
  <c r="J499" i="17"/>
  <c r="J500" i="17"/>
  <c r="J501" i="17"/>
  <c r="J502" i="17"/>
  <c r="J503" i="17"/>
  <c r="J504" i="17"/>
  <c r="J505" i="17"/>
  <c r="J506" i="17"/>
  <c r="J507" i="17"/>
  <c r="J508" i="17"/>
  <c r="J509" i="17"/>
  <c r="J510" i="17"/>
  <c r="J511" i="17"/>
  <c r="J512" i="17"/>
  <c r="J513" i="17"/>
  <c r="J514" i="17"/>
  <c r="J515" i="17"/>
  <c r="J516" i="17"/>
  <c r="J517" i="17"/>
  <c r="J518" i="17"/>
  <c r="J519" i="17"/>
  <c r="J520" i="17"/>
  <c r="J521" i="17"/>
  <c r="J522" i="17"/>
  <c r="J523" i="17"/>
  <c r="J524" i="17"/>
  <c r="J525" i="17"/>
  <c r="J526" i="17"/>
  <c r="J527" i="17"/>
  <c r="J528" i="17"/>
  <c r="J529" i="17"/>
  <c r="J530" i="17"/>
  <c r="J531" i="17"/>
  <c r="J532" i="17"/>
  <c r="J533" i="17"/>
  <c r="J534" i="17"/>
  <c r="J535" i="17"/>
  <c r="J536" i="17"/>
  <c r="J537" i="17"/>
  <c r="J538" i="17"/>
  <c r="J539" i="17"/>
  <c r="J540" i="17"/>
  <c r="J541" i="17"/>
  <c r="J542" i="17"/>
  <c r="J543" i="17"/>
  <c r="J544" i="17"/>
  <c r="J545" i="17"/>
  <c r="J546" i="17"/>
  <c r="J547" i="17"/>
  <c r="J548" i="17"/>
  <c r="J549" i="17"/>
  <c r="J550" i="17"/>
  <c r="J551" i="17"/>
  <c r="J552" i="17"/>
  <c r="J553" i="17"/>
  <c r="J554" i="17"/>
  <c r="J555" i="17"/>
  <c r="J556" i="17"/>
  <c r="J557" i="17"/>
  <c r="J558" i="17"/>
  <c r="J559" i="17"/>
  <c r="J560" i="17"/>
  <c r="J561" i="17"/>
  <c r="J562" i="17"/>
  <c r="J563" i="17"/>
  <c r="J564" i="17"/>
  <c r="J565" i="17"/>
  <c r="J566" i="17"/>
  <c r="J567" i="17"/>
  <c r="J568" i="17"/>
  <c r="J569" i="17"/>
  <c r="J570" i="17"/>
  <c r="J571" i="17"/>
  <c r="J572" i="17"/>
  <c r="J573" i="17"/>
  <c r="J574" i="17"/>
  <c r="J575" i="17"/>
  <c r="J576" i="17"/>
  <c r="J577" i="17"/>
  <c r="J578" i="17"/>
  <c r="J579" i="17"/>
  <c r="J580" i="17"/>
  <c r="J581" i="17"/>
  <c r="J582" i="17"/>
  <c r="J583" i="17"/>
  <c r="J584" i="17"/>
  <c r="J585" i="17"/>
  <c r="J586" i="17"/>
  <c r="J587" i="17"/>
  <c r="J588" i="17"/>
  <c r="J589" i="17"/>
  <c r="J590" i="17"/>
  <c r="J591" i="17"/>
  <c r="J592" i="17"/>
  <c r="J593" i="17"/>
  <c r="J594" i="17"/>
  <c r="J595" i="17"/>
  <c r="J596" i="17"/>
  <c r="J597" i="17"/>
  <c r="J598" i="17"/>
  <c r="J599" i="17"/>
  <c r="J600" i="17"/>
  <c r="J601" i="17"/>
  <c r="J602" i="17"/>
  <c r="J603" i="17"/>
  <c r="J604" i="17"/>
  <c r="J605" i="17"/>
  <c r="J606" i="17"/>
  <c r="J607" i="17"/>
  <c r="J608" i="17"/>
  <c r="J609" i="17"/>
  <c r="J610" i="17"/>
  <c r="J611" i="17"/>
  <c r="J612" i="17"/>
  <c r="J613" i="17"/>
  <c r="J614" i="17"/>
  <c r="J615" i="17"/>
  <c r="J616" i="17"/>
  <c r="J617" i="17"/>
  <c r="J618" i="17"/>
  <c r="J619" i="17"/>
  <c r="J620" i="17"/>
  <c r="J621" i="17"/>
  <c r="J622" i="17"/>
  <c r="J623" i="17"/>
  <c r="J624" i="17"/>
  <c r="J625" i="17"/>
  <c r="J626" i="17"/>
  <c r="J627" i="17"/>
  <c r="J628" i="17"/>
  <c r="J629" i="17"/>
  <c r="J630" i="17"/>
  <c r="J631" i="17"/>
  <c r="J632" i="17"/>
  <c r="J633" i="17"/>
  <c r="J634" i="17"/>
  <c r="J635" i="17"/>
  <c r="J636" i="17"/>
  <c r="J637" i="17"/>
  <c r="J638" i="17"/>
  <c r="J639" i="17"/>
  <c r="J640" i="17"/>
  <c r="J641" i="17"/>
  <c r="J642" i="17"/>
  <c r="J643" i="17"/>
  <c r="J644" i="17"/>
  <c r="J645" i="17"/>
  <c r="J646" i="17"/>
  <c r="J647" i="17"/>
  <c r="J648" i="17"/>
  <c r="J649" i="17"/>
  <c r="J650" i="17"/>
  <c r="J651" i="17"/>
  <c r="J652" i="17"/>
  <c r="J653" i="17"/>
  <c r="J654" i="17"/>
  <c r="J655" i="17"/>
  <c r="J656" i="17"/>
  <c r="J657" i="17"/>
  <c r="J658" i="17"/>
  <c r="J659" i="17"/>
  <c r="J660" i="17"/>
  <c r="J661" i="17"/>
  <c r="J662" i="17"/>
  <c r="J663" i="17"/>
  <c r="J664" i="17"/>
  <c r="J665" i="17"/>
  <c r="J666" i="17"/>
  <c r="J667" i="17"/>
  <c r="J668" i="17"/>
  <c r="J669" i="17"/>
  <c r="J670" i="17"/>
  <c r="J671" i="17"/>
  <c r="J672" i="17"/>
  <c r="J673" i="17"/>
  <c r="J674" i="17"/>
  <c r="J675" i="17"/>
  <c r="J676" i="17"/>
  <c r="J677" i="17"/>
  <c r="J678" i="17"/>
  <c r="J679" i="17"/>
  <c r="J680" i="17"/>
  <c r="J681" i="17"/>
  <c r="J682" i="17"/>
  <c r="J683" i="17"/>
  <c r="J684" i="17"/>
  <c r="J685" i="17"/>
  <c r="J686" i="17"/>
  <c r="J687" i="17"/>
  <c r="J688" i="17"/>
  <c r="J689" i="17"/>
  <c r="J690" i="17"/>
  <c r="J691" i="17"/>
  <c r="J692" i="17"/>
  <c r="J693" i="17"/>
  <c r="J694" i="17"/>
  <c r="J695" i="17"/>
  <c r="J696" i="17"/>
  <c r="J697" i="17"/>
  <c r="J698" i="17"/>
  <c r="J699" i="17"/>
  <c r="J700" i="17"/>
  <c r="J701" i="17"/>
  <c r="J702" i="17"/>
  <c r="J703" i="17"/>
  <c r="J704" i="17"/>
  <c r="J705" i="17"/>
  <c r="J706" i="17"/>
  <c r="J707" i="17"/>
  <c r="J708" i="17"/>
  <c r="J709" i="17"/>
  <c r="J710" i="17"/>
  <c r="J711" i="17"/>
  <c r="J712" i="17"/>
  <c r="J713" i="17"/>
  <c r="J714" i="17"/>
  <c r="J715" i="17"/>
  <c r="J716" i="17"/>
  <c r="J717" i="17"/>
  <c r="J718" i="17"/>
  <c r="J719" i="17"/>
  <c r="J720" i="17"/>
  <c r="J721" i="17"/>
  <c r="J722" i="17"/>
  <c r="J723" i="17"/>
  <c r="J724" i="17"/>
  <c r="J725" i="17"/>
  <c r="J726" i="17"/>
  <c r="J727" i="17"/>
  <c r="J728" i="17"/>
  <c r="J729" i="17"/>
  <c r="J730" i="17"/>
  <c r="J731" i="17"/>
  <c r="J732" i="17"/>
  <c r="J733" i="17"/>
  <c r="J734" i="17"/>
  <c r="J735" i="17"/>
  <c r="J736" i="17"/>
  <c r="J737" i="17"/>
  <c r="J738" i="17"/>
  <c r="J739" i="17"/>
  <c r="J740" i="17"/>
  <c r="J741" i="17"/>
  <c r="J742" i="17"/>
  <c r="J743" i="17"/>
  <c r="J744" i="17"/>
  <c r="J745" i="17"/>
  <c r="J746" i="17"/>
  <c r="J747" i="17"/>
  <c r="J748" i="17"/>
  <c r="J749" i="17"/>
  <c r="J750" i="17"/>
  <c r="J751" i="17"/>
  <c r="J752" i="17"/>
  <c r="J753" i="17"/>
  <c r="J754" i="17"/>
  <c r="J755" i="17"/>
  <c r="J756" i="17"/>
  <c r="J757" i="17"/>
  <c r="J758" i="17"/>
  <c r="J759" i="17"/>
  <c r="J760" i="17"/>
  <c r="J761" i="17"/>
  <c r="J762" i="17"/>
  <c r="J763" i="17"/>
  <c r="J764" i="17"/>
  <c r="J765" i="17"/>
  <c r="J766" i="17"/>
  <c r="J767" i="17"/>
  <c r="J768" i="17"/>
  <c r="J769" i="17"/>
  <c r="J770" i="17"/>
  <c r="J771" i="17"/>
  <c r="J772" i="17"/>
  <c r="J773" i="17"/>
  <c r="J774" i="17"/>
  <c r="J775" i="17"/>
  <c r="J776" i="17"/>
  <c r="J777" i="17"/>
  <c r="J778" i="17"/>
  <c r="J779" i="17"/>
  <c r="J780" i="17"/>
  <c r="J781" i="17"/>
  <c r="J782" i="17"/>
  <c r="J783" i="17"/>
  <c r="J784" i="17"/>
  <c r="J785" i="17"/>
  <c r="J786" i="17"/>
  <c r="J787" i="17"/>
  <c r="J788" i="17"/>
  <c r="J789" i="17"/>
  <c r="J790" i="17"/>
  <c r="J791" i="17"/>
  <c r="J792" i="17"/>
  <c r="J793" i="17"/>
  <c r="J794" i="17"/>
  <c r="J795" i="17"/>
  <c r="J796" i="17"/>
  <c r="J797" i="17"/>
  <c r="J798" i="17"/>
  <c r="J799" i="17"/>
  <c r="J800" i="17"/>
  <c r="J801" i="17"/>
  <c r="J802" i="17"/>
  <c r="J803" i="17"/>
  <c r="J804" i="17"/>
  <c r="J805" i="17"/>
  <c r="J806" i="17"/>
  <c r="J807" i="17"/>
  <c r="J808" i="17"/>
  <c r="J809" i="17"/>
  <c r="J810" i="17"/>
  <c r="J811" i="17"/>
  <c r="J812" i="17"/>
  <c r="J813" i="17"/>
  <c r="J814" i="17"/>
  <c r="J815" i="17"/>
  <c r="J816" i="17"/>
  <c r="J817" i="17"/>
  <c r="J818" i="17"/>
  <c r="J819" i="17"/>
  <c r="J820" i="17"/>
  <c r="J821" i="17"/>
  <c r="J822" i="17"/>
  <c r="J823" i="17"/>
  <c r="J824" i="17"/>
  <c r="J825" i="17"/>
  <c r="J826" i="17"/>
  <c r="J827" i="17"/>
  <c r="J828" i="17"/>
  <c r="J829" i="17"/>
  <c r="J830" i="17"/>
  <c r="J831" i="17"/>
  <c r="J832" i="17"/>
  <c r="J833" i="17"/>
  <c r="J834" i="17"/>
  <c r="J835" i="17"/>
  <c r="J836" i="17"/>
  <c r="J837" i="17"/>
  <c r="J838" i="17"/>
  <c r="J839" i="17"/>
  <c r="J840" i="17"/>
  <c r="J841" i="17"/>
  <c r="J842" i="17"/>
  <c r="J843" i="17"/>
  <c r="J844" i="17"/>
  <c r="J845" i="17"/>
  <c r="J846" i="17"/>
  <c r="J847" i="17"/>
  <c r="J848" i="17"/>
  <c r="J849" i="17"/>
  <c r="J850" i="17"/>
  <c r="J851" i="17"/>
  <c r="J852" i="17"/>
  <c r="J853" i="17"/>
  <c r="J854" i="17"/>
  <c r="J855" i="17"/>
  <c r="J856" i="17"/>
  <c r="J857" i="17"/>
  <c r="J858" i="17"/>
  <c r="J859" i="17"/>
  <c r="J860" i="17"/>
  <c r="J861" i="17"/>
  <c r="J862" i="17"/>
  <c r="J863" i="17"/>
  <c r="J864" i="17"/>
  <c r="J865" i="17"/>
  <c r="J866" i="17"/>
  <c r="J867" i="17"/>
  <c r="J868" i="17"/>
  <c r="J869" i="17"/>
  <c r="J870" i="17"/>
  <c r="J871" i="17"/>
  <c r="J872" i="17"/>
  <c r="J873" i="17"/>
  <c r="J874" i="17"/>
  <c r="J875" i="17"/>
  <c r="J876" i="17"/>
  <c r="J877" i="17"/>
  <c r="J878" i="17"/>
  <c r="J879" i="17"/>
  <c r="J880" i="17"/>
  <c r="J881" i="17"/>
  <c r="J882" i="17"/>
  <c r="J883" i="17"/>
  <c r="J884" i="17"/>
  <c r="J885" i="17"/>
  <c r="J886" i="17"/>
  <c r="J887" i="17"/>
  <c r="J888" i="17"/>
  <c r="J889" i="17"/>
  <c r="J890" i="17"/>
  <c r="J891" i="17"/>
  <c r="J892" i="17"/>
  <c r="J893" i="17"/>
  <c r="J894" i="17"/>
  <c r="J895" i="17"/>
  <c r="J896" i="17"/>
  <c r="J897" i="17"/>
  <c r="J898" i="17"/>
  <c r="J899" i="17"/>
  <c r="J900" i="17"/>
  <c r="J901" i="17"/>
  <c r="J902" i="17"/>
  <c r="J903" i="17"/>
  <c r="J904" i="17"/>
  <c r="J905" i="17"/>
  <c r="J906" i="17"/>
  <c r="J907" i="17"/>
  <c r="J908" i="17"/>
  <c r="J909" i="17"/>
  <c r="J910" i="17"/>
  <c r="J911" i="17"/>
  <c r="J912" i="17"/>
  <c r="J913" i="17"/>
  <c r="J914" i="17"/>
  <c r="J915" i="17"/>
  <c r="J916" i="17"/>
  <c r="J917" i="17"/>
  <c r="J918" i="17"/>
  <c r="J919" i="17"/>
  <c r="J920" i="17"/>
  <c r="J921" i="17"/>
  <c r="J922" i="17"/>
  <c r="J923" i="17"/>
  <c r="J924" i="17"/>
  <c r="J925" i="17"/>
  <c r="J926" i="17"/>
  <c r="J927" i="17"/>
  <c r="J928" i="17"/>
  <c r="J929" i="17"/>
  <c r="J930" i="17"/>
  <c r="J931" i="17"/>
  <c r="J932" i="17"/>
  <c r="J933" i="17"/>
  <c r="J934" i="17"/>
  <c r="J935" i="17"/>
  <c r="J936" i="17"/>
  <c r="J937" i="17"/>
  <c r="J938" i="17"/>
  <c r="J939" i="17"/>
  <c r="J940" i="17"/>
  <c r="J941" i="17"/>
  <c r="J942" i="17"/>
  <c r="J943" i="17"/>
  <c r="J944" i="17"/>
  <c r="J945" i="17"/>
  <c r="J946" i="17"/>
  <c r="J947" i="17"/>
  <c r="J948" i="17"/>
  <c r="J949" i="17"/>
  <c r="J950" i="17"/>
  <c r="J951" i="17"/>
  <c r="J952" i="17"/>
  <c r="J953" i="17"/>
  <c r="J954" i="17"/>
  <c r="J955" i="17"/>
  <c r="J956" i="17"/>
  <c r="J957" i="17"/>
  <c r="J958" i="17"/>
  <c r="J959" i="17"/>
  <c r="J960" i="17"/>
  <c r="J961" i="17"/>
  <c r="J962" i="17"/>
  <c r="J963" i="17"/>
  <c r="J964" i="17"/>
  <c r="J965" i="17"/>
  <c r="J966" i="17"/>
  <c r="J967" i="17"/>
  <c r="J968" i="17"/>
  <c r="J969" i="17"/>
  <c r="J970" i="17"/>
  <c r="J971" i="17"/>
  <c r="J972" i="17"/>
  <c r="J973" i="17"/>
  <c r="J974" i="17"/>
  <c r="J975" i="17"/>
  <c r="J976" i="17"/>
  <c r="J977" i="17"/>
  <c r="J978" i="17"/>
  <c r="J979" i="17"/>
  <c r="J980" i="17"/>
  <c r="J981" i="17"/>
  <c r="J982" i="17"/>
  <c r="J983" i="17"/>
  <c r="J984" i="17"/>
  <c r="J985" i="17"/>
  <c r="J986" i="17"/>
  <c r="J987" i="17"/>
  <c r="J988" i="17"/>
  <c r="J989" i="17"/>
  <c r="J990" i="17"/>
  <c r="J991" i="17"/>
  <c r="J992" i="17"/>
  <c r="J993" i="17"/>
  <c r="J994" i="17"/>
  <c r="J995" i="17"/>
  <c r="J996" i="17"/>
  <c r="J997" i="17"/>
  <c r="J998" i="17"/>
  <c r="H34" i="45"/>
  <c r="M34" i="45"/>
  <c r="N34" i="45"/>
  <c r="H35" i="45"/>
  <c r="M35" i="45"/>
  <c r="N35" i="45"/>
  <c r="H36" i="45"/>
  <c r="M36" i="45"/>
  <c r="N36" i="45"/>
  <c r="H37" i="45"/>
  <c r="M37" i="45"/>
  <c r="N37" i="45"/>
  <c r="H38" i="45"/>
  <c r="M38" i="45"/>
  <c r="N38" i="45"/>
  <c r="H39" i="45"/>
  <c r="M39" i="45"/>
  <c r="N39" i="45"/>
  <c r="H40" i="45"/>
  <c r="M40" i="45"/>
  <c r="N40" i="45"/>
  <c r="H41" i="45"/>
  <c r="M41" i="45"/>
  <c r="N41" i="45"/>
  <c r="H42" i="45"/>
  <c r="M42" i="45"/>
  <c r="N42" i="45"/>
  <c r="H43" i="45"/>
  <c r="M43" i="45"/>
  <c r="N43" i="45"/>
  <c r="H44" i="45"/>
  <c r="M44" i="45"/>
  <c r="N44" i="45"/>
  <c r="H45" i="45"/>
  <c r="M45" i="45"/>
  <c r="N45" i="45"/>
  <c r="H46" i="45"/>
  <c r="M46" i="45"/>
  <c r="N46" i="45"/>
  <c r="H47" i="45"/>
  <c r="M47" i="45"/>
  <c r="N47" i="45"/>
  <c r="H48" i="45"/>
  <c r="M48" i="45"/>
  <c r="N48" i="45"/>
  <c r="H49" i="45"/>
  <c r="M49" i="45"/>
  <c r="N49" i="45"/>
  <c r="H50" i="45"/>
  <c r="M50" i="45"/>
  <c r="N50" i="45"/>
  <c r="H51" i="45"/>
  <c r="M51" i="45"/>
  <c r="N51" i="45"/>
  <c r="H52" i="45"/>
  <c r="M52" i="45"/>
  <c r="N52" i="45"/>
  <c r="H53" i="45"/>
  <c r="M53" i="45"/>
  <c r="N53" i="45"/>
  <c r="H54" i="45"/>
  <c r="M54" i="45"/>
  <c r="N54" i="45"/>
  <c r="H55" i="45"/>
  <c r="M55" i="45"/>
  <c r="N55" i="45"/>
  <c r="H56" i="45"/>
  <c r="M56" i="45"/>
  <c r="N56" i="45"/>
  <c r="H57" i="45"/>
  <c r="M57" i="45"/>
  <c r="N57" i="45"/>
  <c r="H58" i="45"/>
  <c r="M58" i="45"/>
  <c r="N58" i="45"/>
  <c r="H59" i="45"/>
  <c r="M59" i="45"/>
  <c r="N59" i="45"/>
  <c r="H60" i="45"/>
  <c r="M60" i="45"/>
  <c r="N60" i="45"/>
  <c r="H61" i="45"/>
  <c r="M61" i="45"/>
  <c r="N61" i="45"/>
  <c r="H62" i="45"/>
  <c r="M62" i="45"/>
  <c r="N62" i="45"/>
  <c r="H63" i="45"/>
  <c r="M63" i="45"/>
  <c r="N63" i="45"/>
  <c r="H64" i="45"/>
  <c r="M64" i="45"/>
  <c r="N64" i="45"/>
  <c r="H65" i="45"/>
  <c r="M65" i="45"/>
  <c r="N65" i="45"/>
  <c r="H66" i="45"/>
  <c r="M66" i="45"/>
  <c r="N66" i="45"/>
  <c r="H67" i="45"/>
  <c r="M67" i="45"/>
  <c r="N67" i="45"/>
  <c r="H68" i="45"/>
  <c r="M68" i="45"/>
  <c r="N68" i="45"/>
  <c r="H69" i="45"/>
  <c r="M69" i="45"/>
  <c r="N69" i="45"/>
  <c r="H70" i="45"/>
  <c r="M70" i="45"/>
  <c r="N70" i="45"/>
  <c r="H71" i="45"/>
  <c r="M71" i="45"/>
  <c r="N71" i="45"/>
  <c r="H72" i="45"/>
  <c r="M72" i="45"/>
  <c r="N72" i="45"/>
  <c r="H73" i="45"/>
  <c r="M73" i="45"/>
  <c r="N73" i="45"/>
  <c r="H74" i="45"/>
  <c r="M74" i="45"/>
  <c r="N74" i="45"/>
  <c r="H75" i="45"/>
  <c r="M75" i="45"/>
  <c r="N75" i="45"/>
  <c r="H76" i="45"/>
  <c r="M76" i="45"/>
  <c r="N76" i="45"/>
  <c r="H77" i="45"/>
  <c r="M77" i="45"/>
  <c r="N77" i="45"/>
  <c r="H78" i="45"/>
  <c r="M78" i="45"/>
  <c r="N78" i="45"/>
  <c r="H79" i="45"/>
  <c r="M79" i="45"/>
  <c r="N79" i="45"/>
  <c r="H80" i="45"/>
  <c r="M80" i="45"/>
  <c r="N80" i="45"/>
  <c r="H81" i="45"/>
  <c r="M81" i="45"/>
  <c r="N81" i="45"/>
  <c r="H82" i="45"/>
  <c r="M82" i="45"/>
  <c r="N82" i="45"/>
  <c r="H83" i="45"/>
  <c r="M83" i="45"/>
  <c r="N83" i="45"/>
  <c r="H84" i="45"/>
  <c r="M84" i="45"/>
  <c r="N84" i="45"/>
  <c r="H85" i="45"/>
  <c r="M85" i="45"/>
  <c r="N85" i="45"/>
  <c r="H86" i="45"/>
  <c r="M86" i="45"/>
  <c r="N86" i="45"/>
  <c r="H87" i="45"/>
  <c r="M87" i="45"/>
  <c r="N87" i="45"/>
  <c r="H88" i="45"/>
  <c r="M88" i="45"/>
  <c r="N88" i="45"/>
  <c r="H89" i="45"/>
  <c r="M89" i="45"/>
  <c r="N89" i="45"/>
  <c r="H90" i="45"/>
  <c r="M90" i="45"/>
  <c r="N90" i="45"/>
  <c r="H91" i="45"/>
  <c r="M91" i="45"/>
  <c r="N91" i="45"/>
  <c r="H92" i="45"/>
  <c r="M92" i="45"/>
  <c r="N92" i="45"/>
  <c r="H93" i="45"/>
  <c r="M93" i="45"/>
  <c r="N93" i="45"/>
  <c r="H94" i="45"/>
  <c r="M94" i="45"/>
  <c r="N94" i="45"/>
  <c r="H95" i="45"/>
  <c r="M95" i="45"/>
  <c r="N95" i="45"/>
  <c r="H96" i="45"/>
  <c r="M96" i="45"/>
  <c r="N96" i="45"/>
  <c r="H97" i="45"/>
  <c r="M97" i="45"/>
  <c r="N97" i="45"/>
  <c r="H98" i="45"/>
  <c r="M98" i="45"/>
  <c r="N98" i="45"/>
  <c r="H99" i="45"/>
  <c r="M99" i="45"/>
  <c r="N99" i="45"/>
  <c r="H100" i="45"/>
  <c r="M100" i="45"/>
  <c r="N100" i="45"/>
  <c r="H101" i="45"/>
  <c r="M101" i="45"/>
  <c r="N101" i="45"/>
  <c r="H102" i="45"/>
  <c r="M102" i="45"/>
  <c r="N102" i="45"/>
  <c r="H103" i="45"/>
  <c r="M103" i="45"/>
  <c r="N103" i="45"/>
  <c r="H104" i="45"/>
  <c r="M104" i="45"/>
  <c r="N104" i="45"/>
  <c r="H105" i="45"/>
  <c r="M105" i="45"/>
  <c r="N105" i="45"/>
  <c r="H106" i="45"/>
  <c r="M106" i="45"/>
  <c r="N106" i="45"/>
  <c r="H107" i="45"/>
  <c r="M107" i="45"/>
  <c r="N107" i="45"/>
  <c r="H108" i="45"/>
  <c r="M108" i="45"/>
  <c r="N108" i="45"/>
  <c r="H109" i="45"/>
  <c r="M109" i="45"/>
  <c r="N109" i="45"/>
  <c r="H110" i="45"/>
  <c r="M110" i="45"/>
  <c r="N110" i="45"/>
  <c r="H111" i="45"/>
  <c r="M111" i="45"/>
  <c r="N111" i="45"/>
  <c r="H112" i="45"/>
  <c r="M112" i="45"/>
  <c r="N112" i="45"/>
  <c r="H113" i="45"/>
  <c r="M113" i="45"/>
  <c r="N113" i="45"/>
  <c r="H114" i="45"/>
  <c r="M114" i="45"/>
  <c r="N114" i="45"/>
  <c r="H115" i="45"/>
  <c r="M115" i="45"/>
  <c r="N115" i="45"/>
  <c r="H116" i="45"/>
  <c r="M116" i="45"/>
  <c r="N116" i="45"/>
  <c r="H117" i="45"/>
  <c r="M117" i="45"/>
  <c r="N117" i="45"/>
  <c r="H118" i="45"/>
  <c r="M118" i="45"/>
  <c r="N118" i="45"/>
  <c r="H119" i="45"/>
  <c r="M119" i="45"/>
  <c r="N119" i="45"/>
  <c r="H120" i="45"/>
  <c r="M120" i="45"/>
  <c r="N120" i="45"/>
  <c r="H121" i="45"/>
  <c r="M121" i="45"/>
  <c r="N121" i="45"/>
  <c r="H122" i="45"/>
  <c r="M122" i="45"/>
  <c r="N122" i="45"/>
  <c r="H123" i="45"/>
  <c r="M123" i="45"/>
  <c r="N123" i="45"/>
  <c r="H124" i="45"/>
  <c r="M124" i="45"/>
  <c r="N124" i="45"/>
  <c r="H125" i="45"/>
  <c r="M125" i="45"/>
  <c r="N125" i="45"/>
  <c r="H126" i="45"/>
  <c r="M126" i="45"/>
  <c r="N126" i="45"/>
  <c r="H127" i="45"/>
  <c r="M127" i="45"/>
  <c r="N127" i="45"/>
  <c r="H128" i="45"/>
  <c r="M128" i="45"/>
  <c r="N128" i="45"/>
  <c r="H129" i="45"/>
  <c r="M129" i="45"/>
  <c r="N129" i="45"/>
  <c r="H130" i="45"/>
  <c r="M130" i="45"/>
  <c r="N130" i="45"/>
  <c r="H131" i="45"/>
  <c r="M131" i="45"/>
  <c r="N131" i="45"/>
  <c r="H132" i="45"/>
  <c r="M132" i="45"/>
  <c r="N132" i="45"/>
  <c r="H133" i="45"/>
  <c r="M133" i="45"/>
  <c r="N133" i="45"/>
  <c r="H134" i="45"/>
  <c r="M134" i="45"/>
  <c r="N134" i="45"/>
  <c r="H135" i="45"/>
  <c r="M135" i="45"/>
  <c r="N135" i="45"/>
  <c r="H136" i="45"/>
  <c r="M136" i="45"/>
  <c r="N136" i="45"/>
  <c r="H137" i="45"/>
  <c r="M137" i="45"/>
  <c r="N137" i="45"/>
  <c r="H138" i="45"/>
  <c r="M138" i="45"/>
  <c r="N138" i="45"/>
  <c r="H139" i="45"/>
  <c r="M139" i="45"/>
  <c r="N139" i="45"/>
  <c r="H140" i="45"/>
  <c r="M140" i="45"/>
  <c r="N140" i="45"/>
  <c r="H141" i="45"/>
  <c r="M141" i="45"/>
  <c r="N141" i="45"/>
  <c r="H142" i="45"/>
  <c r="M142" i="45"/>
  <c r="N142" i="45"/>
  <c r="H143" i="45"/>
  <c r="M143" i="45"/>
  <c r="N143" i="45"/>
  <c r="H144" i="45"/>
  <c r="M144" i="45"/>
  <c r="N144" i="45"/>
  <c r="H145" i="45"/>
  <c r="M145" i="45"/>
  <c r="N145" i="45"/>
  <c r="H146" i="45"/>
  <c r="M146" i="45"/>
  <c r="N146" i="45"/>
  <c r="H147" i="45"/>
  <c r="M147" i="45"/>
  <c r="N147" i="45"/>
  <c r="H148" i="45"/>
  <c r="M148" i="45"/>
  <c r="N148" i="45"/>
  <c r="H149" i="45"/>
  <c r="M149" i="45"/>
  <c r="N149" i="45"/>
  <c r="H150" i="45"/>
  <c r="M150" i="45"/>
  <c r="N150" i="45"/>
  <c r="H151" i="45"/>
  <c r="M151" i="45"/>
  <c r="N151" i="45"/>
  <c r="H152" i="45"/>
  <c r="M152" i="45"/>
  <c r="N152" i="45"/>
  <c r="H153" i="45"/>
  <c r="M153" i="45"/>
  <c r="N153" i="45"/>
  <c r="H154" i="45"/>
  <c r="M154" i="45"/>
  <c r="N154" i="45"/>
  <c r="H155" i="45"/>
  <c r="M155" i="45"/>
  <c r="N155" i="45"/>
  <c r="H156" i="45"/>
  <c r="M156" i="45"/>
  <c r="N156" i="45"/>
  <c r="H157" i="45"/>
  <c r="M157" i="45"/>
  <c r="N157" i="45"/>
  <c r="H158" i="45"/>
  <c r="M158" i="45"/>
  <c r="N158" i="45"/>
  <c r="H159" i="45"/>
  <c r="M159" i="45"/>
  <c r="N159" i="45"/>
  <c r="H160" i="45"/>
  <c r="M160" i="45"/>
  <c r="N160" i="45"/>
  <c r="H161" i="45"/>
  <c r="M161" i="45"/>
  <c r="N161" i="45"/>
  <c r="H162" i="45"/>
  <c r="M162" i="45"/>
  <c r="N162" i="45"/>
  <c r="H163" i="45"/>
  <c r="M163" i="45"/>
  <c r="N163" i="45"/>
  <c r="H164" i="45"/>
  <c r="M164" i="45"/>
  <c r="N164" i="45"/>
  <c r="H165" i="45"/>
  <c r="M165" i="45"/>
  <c r="N165" i="45"/>
  <c r="H166" i="45"/>
  <c r="M166" i="45"/>
  <c r="N166" i="45"/>
  <c r="H167" i="45"/>
  <c r="M167" i="45"/>
  <c r="N167" i="45"/>
  <c r="H168" i="45"/>
  <c r="M168" i="45"/>
  <c r="N168" i="45"/>
  <c r="H169" i="45"/>
  <c r="M169" i="45"/>
  <c r="N169" i="45"/>
  <c r="H170" i="45"/>
  <c r="M170" i="45"/>
  <c r="N170" i="45"/>
  <c r="H171" i="45"/>
  <c r="M171" i="45"/>
  <c r="N171" i="45"/>
  <c r="H172" i="45"/>
  <c r="M172" i="45"/>
  <c r="N172" i="45"/>
  <c r="H173" i="45"/>
  <c r="M173" i="45"/>
  <c r="N173" i="45"/>
  <c r="H174" i="45"/>
  <c r="M174" i="45"/>
  <c r="N174" i="45"/>
  <c r="H175" i="45"/>
  <c r="M175" i="45"/>
  <c r="N175" i="45"/>
  <c r="H176" i="45"/>
  <c r="M176" i="45"/>
  <c r="N176" i="45"/>
  <c r="H177" i="45"/>
  <c r="M177" i="45"/>
  <c r="N177" i="45"/>
  <c r="H178" i="45"/>
  <c r="M178" i="45"/>
  <c r="N178" i="45"/>
  <c r="H179" i="45"/>
  <c r="M179" i="45"/>
  <c r="N179" i="45"/>
  <c r="H180" i="45"/>
  <c r="M180" i="45"/>
  <c r="N180" i="45"/>
  <c r="H181" i="45"/>
  <c r="M181" i="45"/>
  <c r="N181" i="45"/>
  <c r="H182" i="45"/>
  <c r="M182" i="45"/>
  <c r="N182" i="45"/>
  <c r="H183" i="45"/>
  <c r="M183" i="45"/>
  <c r="N183" i="45"/>
  <c r="H184" i="45"/>
  <c r="M184" i="45"/>
  <c r="N184" i="45"/>
  <c r="H185" i="45"/>
  <c r="M185" i="45"/>
  <c r="N185" i="45"/>
  <c r="H186" i="45"/>
  <c r="M186" i="45"/>
  <c r="N186" i="45"/>
  <c r="H187" i="45"/>
  <c r="M187" i="45"/>
  <c r="N187" i="45"/>
  <c r="H188" i="45"/>
  <c r="M188" i="45"/>
  <c r="N188" i="45"/>
  <c r="H189" i="45"/>
  <c r="M189" i="45"/>
  <c r="N189" i="45"/>
  <c r="H190" i="45"/>
  <c r="M190" i="45"/>
  <c r="N190" i="45"/>
  <c r="H191" i="45"/>
  <c r="M191" i="45"/>
  <c r="N191" i="45"/>
  <c r="H192" i="45"/>
  <c r="M192" i="45"/>
  <c r="N192" i="45"/>
  <c r="H193" i="45"/>
  <c r="M193" i="45"/>
  <c r="N193" i="45"/>
  <c r="H194" i="45"/>
  <c r="M194" i="45"/>
  <c r="N194" i="45"/>
  <c r="H195" i="45"/>
  <c r="M195" i="45"/>
  <c r="N195" i="45"/>
  <c r="H196" i="45"/>
  <c r="M196" i="45"/>
  <c r="N196" i="45"/>
  <c r="H197" i="45"/>
  <c r="M197" i="45"/>
  <c r="N197" i="45"/>
  <c r="H198" i="45"/>
  <c r="M198" i="45"/>
  <c r="N198" i="45"/>
  <c r="H199" i="45"/>
  <c r="M199" i="45"/>
  <c r="N199" i="45"/>
  <c r="H200" i="45"/>
  <c r="M200" i="45"/>
  <c r="N200" i="45"/>
  <c r="H201" i="45"/>
  <c r="M201" i="45"/>
  <c r="N201" i="45"/>
  <c r="H202" i="45"/>
  <c r="M202" i="45"/>
  <c r="N202" i="45"/>
  <c r="H203" i="45"/>
  <c r="M203" i="45"/>
  <c r="N203" i="45"/>
  <c r="H204" i="45"/>
  <c r="M204" i="45"/>
  <c r="N204" i="45"/>
  <c r="H205" i="45"/>
  <c r="M205" i="45"/>
  <c r="N205" i="45"/>
  <c r="H206" i="45"/>
  <c r="M206" i="45"/>
  <c r="N206" i="45"/>
  <c r="H207" i="45"/>
  <c r="M207" i="45"/>
  <c r="N207" i="45"/>
  <c r="H208" i="45"/>
  <c r="M208" i="45"/>
  <c r="N208" i="45"/>
  <c r="H209" i="45"/>
  <c r="M209" i="45"/>
  <c r="N209" i="45"/>
  <c r="H210" i="45"/>
  <c r="M210" i="45"/>
  <c r="N210" i="45"/>
  <c r="H211" i="45"/>
  <c r="M211" i="45"/>
  <c r="N211" i="45"/>
  <c r="H212" i="45"/>
  <c r="M212" i="45"/>
  <c r="N212" i="45"/>
  <c r="H213" i="45"/>
  <c r="M213" i="45"/>
  <c r="N213" i="45"/>
  <c r="J61" i="17" l="1"/>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53" i="40"/>
  <c r="L53" i="40" s="1"/>
  <c r="M53" i="40" s="1"/>
  <c r="O53" i="40"/>
  <c r="J54" i="40"/>
  <c r="L54" i="40" s="1"/>
  <c r="M54" i="40" s="1"/>
  <c r="O54" i="40" s="1"/>
  <c r="J55" i="40"/>
  <c r="L55" i="40" s="1"/>
  <c r="M55" i="40" s="1"/>
  <c r="O55" i="40" s="1"/>
  <c r="J56" i="40"/>
  <c r="L56" i="40" s="1"/>
  <c r="M56" i="40"/>
  <c r="O56" i="40"/>
  <c r="J57" i="40"/>
  <c r="L57" i="40" s="1"/>
  <c r="M57" i="40" s="1"/>
  <c r="O57" i="40"/>
  <c r="J58" i="40"/>
  <c r="L58" i="40" s="1"/>
  <c r="M58" i="40" s="1"/>
  <c r="O58" i="40" s="1"/>
  <c r="J59" i="40"/>
  <c r="L59" i="40" s="1"/>
  <c r="M59" i="40" s="1"/>
  <c r="O59" i="40" s="1"/>
  <c r="J60" i="40"/>
  <c r="L60" i="40" s="1"/>
  <c r="M60" i="40"/>
  <c r="O60" i="40"/>
  <c r="J61" i="40"/>
  <c r="L61" i="40" s="1"/>
  <c r="M61" i="40" s="1"/>
  <c r="O61" i="40"/>
  <c r="J62" i="40"/>
  <c r="L62" i="40" s="1"/>
  <c r="M62" i="40" s="1"/>
  <c r="O62" i="40" s="1"/>
  <c r="J63" i="40"/>
  <c r="L63" i="40" s="1"/>
  <c r="M63" i="40" s="1"/>
  <c r="O63" i="40" s="1"/>
  <c r="J64" i="40"/>
  <c r="L64" i="40" s="1"/>
  <c r="M64" i="40"/>
  <c r="O64" i="40"/>
  <c r="J65" i="40"/>
  <c r="L65" i="40" s="1"/>
  <c r="M65" i="40" s="1"/>
  <c r="O65" i="40"/>
  <c r="J66" i="40"/>
  <c r="L66" i="40" s="1"/>
  <c r="M66" i="40" s="1"/>
  <c r="O66" i="40" s="1"/>
  <c r="J67" i="40"/>
  <c r="L67" i="40" s="1"/>
  <c r="M67" i="40" s="1"/>
  <c r="O67" i="40" s="1"/>
  <c r="J68" i="40"/>
  <c r="L68" i="40" s="1"/>
  <c r="M68" i="40"/>
  <c r="O68" i="40"/>
  <c r="J69" i="40"/>
  <c r="L69" i="40" s="1"/>
  <c r="M69" i="40" s="1"/>
  <c r="O69" i="40"/>
  <c r="J70" i="40"/>
  <c r="L70" i="40" s="1"/>
  <c r="M70" i="40" s="1"/>
  <c r="O70" i="40" s="1"/>
  <c r="J71" i="40"/>
  <c r="L71" i="40" s="1"/>
  <c r="M71" i="40" s="1"/>
  <c r="O71" i="40" s="1"/>
  <c r="J72" i="40"/>
  <c r="L72" i="40" s="1"/>
  <c r="M72" i="40"/>
  <c r="O72" i="40"/>
  <c r="J73" i="40"/>
  <c r="L73" i="40" s="1"/>
  <c r="M73" i="40" s="1"/>
  <c r="O73" i="40"/>
  <c r="J74" i="40"/>
  <c r="L74" i="40" s="1"/>
  <c r="M74" i="40" s="1"/>
  <c r="O74" i="40" s="1"/>
  <c r="J75" i="40"/>
  <c r="L75" i="40" s="1"/>
  <c r="M75" i="40" s="1"/>
  <c r="O75" i="40" s="1"/>
  <c r="J76" i="40"/>
  <c r="L76" i="40" s="1"/>
  <c r="M76" i="40"/>
  <c r="O76" i="40"/>
  <c r="J77" i="40"/>
  <c r="L77" i="40" s="1"/>
  <c r="M77" i="40" s="1"/>
  <c r="O77" i="40"/>
  <c r="J78" i="40"/>
  <c r="L78" i="40" s="1"/>
  <c r="M78" i="40" s="1"/>
  <c r="O78" i="40" s="1"/>
  <c r="J79" i="40"/>
  <c r="L79" i="40" s="1"/>
  <c r="M79" i="40" s="1"/>
  <c r="O79" i="40" s="1"/>
  <c r="J80" i="40"/>
  <c r="L80" i="40" s="1"/>
  <c r="M80" i="40"/>
  <c r="O80" i="40"/>
  <c r="J81" i="40"/>
  <c r="L81" i="40" s="1"/>
  <c r="M81" i="40" s="1"/>
  <c r="O81" i="40"/>
  <c r="J82" i="40"/>
  <c r="L82" i="40" s="1"/>
  <c r="M82" i="40" s="1"/>
  <c r="O82" i="40" s="1"/>
  <c r="J83" i="40"/>
  <c r="L83" i="40" s="1"/>
  <c r="M83" i="40" s="1"/>
  <c r="O83" i="40" s="1"/>
  <c r="J84" i="40"/>
  <c r="L84" i="40" s="1"/>
  <c r="M84" i="40"/>
  <c r="O84" i="40"/>
  <c r="J85" i="40"/>
  <c r="L85" i="40" s="1"/>
  <c r="M85" i="40" s="1"/>
  <c r="O85" i="40"/>
  <c r="J86" i="40"/>
  <c r="L86" i="40" s="1"/>
  <c r="M86" i="40" s="1"/>
  <c r="O86" i="40" s="1"/>
  <c r="J87" i="40"/>
  <c r="L87" i="40" s="1"/>
  <c r="M87" i="40" s="1"/>
  <c r="O87" i="40" s="1"/>
  <c r="J88" i="40"/>
  <c r="L88" i="40" s="1"/>
  <c r="M88" i="40"/>
  <c r="O88" i="40"/>
  <c r="J89" i="40"/>
  <c r="L89" i="40" s="1"/>
  <c r="M89" i="40" s="1"/>
  <c r="O89" i="40"/>
  <c r="J90" i="40"/>
  <c r="L90" i="40" s="1"/>
  <c r="M90" i="40" s="1"/>
  <c r="O90" i="40" s="1"/>
  <c r="J91" i="40"/>
  <c r="L91" i="40" s="1"/>
  <c r="M91" i="40" s="1"/>
  <c r="O91" i="40" s="1"/>
  <c r="J92" i="40"/>
  <c r="L92" i="40" s="1"/>
  <c r="M92" i="40"/>
  <c r="O92" i="40"/>
  <c r="J93" i="40"/>
  <c r="L93" i="40" s="1"/>
  <c r="M93" i="40" s="1"/>
  <c r="O93" i="40"/>
  <c r="J94" i="40"/>
  <c r="L94" i="40" s="1"/>
  <c r="M94" i="40" s="1"/>
  <c r="O94" i="40" s="1"/>
  <c r="J95" i="40"/>
  <c r="L95" i="40" s="1"/>
  <c r="M95" i="40" s="1"/>
  <c r="O95" i="40" s="1"/>
  <c r="J96" i="40"/>
  <c r="L96" i="40" s="1"/>
  <c r="M96" i="40"/>
  <c r="O96" i="40"/>
  <c r="J97" i="40"/>
  <c r="L97" i="40" s="1"/>
  <c r="M97" i="40" s="1"/>
  <c r="O97" i="40"/>
  <c r="J98" i="40"/>
  <c r="L98" i="40" s="1"/>
  <c r="M98" i="40" s="1"/>
  <c r="O98" i="40" s="1"/>
  <c r="J99" i="40"/>
  <c r="L99" i="40" s="1"/>
  <c r="M99" i="40" s="1"/>
  <c r="O99" i="40" s="1"/>
  <c r="J100" i="40"/>
  <c r="L100" i="40" s="1"/>
  <c r="M100" i="40"/>
  <c r="O100" i="40"/>
  <c r="J101" i="40"/>
  <c r="L101" i="40" s="1"/>
  <c r="M101" i="40" s="1"/>
  <c r="O101" i="40"/>
  <c r="J102" i="40"/>
  <c r="L102" i="40" s="1"/>
  <c r="M102" i="40" s="1"/>
  <c r="O102" i="40" s="1"/>
  <c r="J103" i="40"/>
  <c r="L103" i="40" s="1"/>
  <c r="M103" i="40" s="1"/>
  <c r="O103" i="40" s="1"/>
  <c r="J104" i="40"/>
  <c r="L104" i="40" s="1"/>
  <c r="M104" i="40"/>
  <c r="O104" i="40"/>
  <c r="J105" i="40"/>
  <c r="L105" i="40" s="1"/>
  <c r="M105" i="40" s="1"/>
  <c r="O105" i="40"/>
  <c r="J106" i="40"/>
  <c r="L106" i="40" s="1"/>
  <c r="M106" i="40" s="1"/>
  <c r="O106" i="40" s="1"/>
  <c r="J107" i="40"/>
  <c r="L107" i="40" s="1"/>
  <c r="M107" i="40" s="1"/>
  <c r="O107" i="40" s="1"/>
  <c r="J108" i="40"/>
  <c r="L108" i="40" s="1"/>
  <c r="M108" i="40"/>
  <c r="O108" i="40"/>
  <c r="J109" i="40"/>
  <c r="L109" i="40" s="1"/>
  <c r="M109" i="40" s="1"/>
  <c r="O109" i="40"/>
  <c r="J110" i="40"/>
  <c r="L110" i="40" s="1"/>
  <c r="M110" i="40" s="1"/>
  <c r="O110" i="40" s="1"/>
  <c r="J111" i="40"/>
  <c r="L111" i="40" s="1"/>
  <c r="M111" i="40" s="1"/>
  <c r="O111" i="40" s="1"/>
  <c r="J112" i="40"/>
  <c r="L112" i="40" s="1"/>
  <c r="M112" i="40"/>
  <c r="O112" i="40"/>
  <c r="J113" i="40"/>
  <c r="L113" i="40" s="1"/>
  <c r="M113" i="40" s="1"/>
  <c r="O113" i="40"/>
  <c r="J114" i="40"/>
  <c r="L114" i="40" s="1"/>
  <c r="M114" i="40" s="1"/>
  <c r="O114" i="40" s="1"/>
  <c r="J115" i="40"/>
  <c r="L115" i="40" s="1"/>
  <c r="M115" i="40" s="1"/>
  <c r="O115" i="40" s="1"/>
  <c r="J116" i="40"/>
  <c r="L116" i="40" s="1"/>
  <c r="M116" i="40"/>
  <c r="O116" i="40"/>
  <c r="J117" i="40"/>
  <c r="L117" i="40" s="1"/>
  <c r="M117" i="40" s="1"/>
  <c r="O117" i="40"/>
  <c r="J118" i="40"/>
  <c r="L118" i="40" s="1"/>
  <c r="M118" i="40" s="1"/>
  <c r="O118" i="40" s="1"/>
  <c r="J119" i="40"/>
  <c r="L119" i="40" s="1"/>
  <c r="M119" i="40" s="1"/>
  <c r="O119" i="40" s="1"/>
  <c r="J120" i="40"/>
  <c r="L120" i="40" s="1"/>
  <c r="M120" i="40"/>
  <c r="O120" i="40"/>
  <c r="J121" i="40"/>
  <c r="L121" i="40" s="1"/>
  <c r="M121" i="40" s="1"/>
  <c r="O121" i="40"/>
  <c r="J122" i="40"/>
  <c r="L122" i="40" s="1"/>
  <c r="M122" i="40" s="1"/>
  <c r="O122" i="40" s="1"/>
  <c r="J123" i="40"/>
  <c r="L123" i="40" s="1"/>
  <c r="M123" i="40" s="1"/>
  <c r="O123" i="40" s="1"/>
  <c r="J124" i="40"/>
  <c r="L124" i="40" s="1"/>
  <c r="M124" i="40"/>
  <c r="O124" i="40"/>
  <c r="J125" i="40"/>
  <c r="L125" i="40" s="1"/>
  <c r="M125" i="40" s="1"/>
  <c r="O125" i="40"/>
  <c r="J126" i="40"/>
  <c r="L126" i="40" s="1"/>
  <c r="M126" i="40" s="1"/>
  <c r="O126" i="40" s="1"/>
  <c r="J127" i="40"/>
  <c r="L127" i="40" s="1"/>
  <c r="M127" i="40" s="1"/>
  <c r="O127" i="40" s="1"/>
  <c r="J128" i="40"/>
  <c r="L128" i="40" s="1"/>
  <c r="M128" i="40"/>
  <c r="O128" i="40"/>
  <c r="J129" i="40"/>
  <c r="L129" i="40" s="1"/>
  <c r="M129" i="40" s="1"/>
  <c r="O129" i="40"/>
  <c r="J130" i="40"/>
  <c r="L130" i="40" s="1"/>
  <c r="M130" i="40" s="1"/>
  <c r="O130" i="40" s="1"/>
  <c r="J131" i="40"/>
  <c r="L131" i="40" s="1"/>
  <c r="M131" i="40" s="1"/>
  <c r="O131" i="40" s="1"/>
  <c r="J132" i="40"/>
  <c r="L132" i="40" s="1"/>
  <c r="M132" i="40"/>
  <c r="O132" i="40"/>
  <c r="J133" i="40"/>
  <c r="L133" i="40" s="1"/>
  <c r="M133" i="40" s="1"/>
  <c r="O133" i="40"/>
  <c r="J134" i="40"/>
  <c r="L134" i="40" s="1"/>
  <c r="M134" i="40" s="1"/>
  <c r="O134" i="40" s="1"/>
  <c r="J135" i="40"/>
  <c r="L135" i="40" s="1"/>
  <c r="M135" i="40" s="1"/>
  <c r="O135" i="40" s="1"/>
  <c r="J136" i="40"/>
  <c r="L136" i="40" s="1"/>
  <c r="M136" i="40"/>
  <c r="O136" i="40"/>
  <c r="J137" i="40"/>
  <c r="L137" i="40" s="1"/>
  <c r="M137" i="40" s="1"/>
  <c r="O137" i="40"/>
  <c r="J138" i="40"/>
  <c r="L138" i="40"/>
  <c r="M138" i="40" s="1"/>
  <c r="O138" i="40" s="1"/>
  <c r="J139" i="40"/>
  <c r="L139" i="40" s="1"/>
  <c r="M139" i="40" s="1"/>
  <c r="O139" i="40" s="1"/>
  <c r="J140" i="40"/>
  <c r="L140" i="40" s="1"/>
  <c r="M140" i="40" s="1"/>
  <c r="O140" i="40" s="1"/>
  <c r="J141" i="40"/>
  <c r="L141" i="40" s="1"/>
  <c r="M141" i="40" s="1"/>
  <c r="O141" i="40" s="1"/>
  <c r="J142" i="40"/>
  <c r="L142" i="40" s="1"/>
  <c r="M142" i="40" s="1"/>
  <c r="O142" i="40" s="1"/>
  <c r="J143" i="40"/>
  <c r="L143" i="40" s="1"/>
  <c r="M143" i="40" s="1"/>
  <c r="O143" i="40" s="1"/>
  <c r="J144" i="40"/>
  <c r="L144" i="40" s="1"/>
  <c r="M144" i="40" s="1"/>
  <c r="O144" i="40" s="1"/>
  <c r="J145" i="40"/>
  <c r="L145" i="40" s="1"/>
  <c r="M145" i="40" s="1"/>
  <c r="O145" i="40" s="1"/>
  <c r="J146" i="40"/>
  <c r="L146" i="40" s="1"/>
  <c r="M146" i="40" s="1"/>
  <c r="O146" i="40" s="1"/>
  <c r="J147" i="40"/>
  <c r="L147" i="40" s="1"/>
  <c r="M147" i="40" s="1"/>
  <c r="O147" i="40" s="1"/>
  <c r="J148" i="40"/>
  <c r="L148" i="40" s="1"/>
  <c r="M148" i="40" s="1"/>
  <c r="O148" i="40" s="1"/>
  <c r="J149" i="40"/>
  <c r="L149" i="40" s="1"/>
  <c r="M149" i="40" s="1"/>
  <c r="O149" i="40" s="1"/>
  <c r="J150" i="40"/>
  <c r="L150" i="40" s="1"/>
  <c r="M150" i="40" s="1"/>
  <c r="O150" i="40" s="1"/>
  <c r="J151" i="40"/>
  <c r="L151" i="40" s="1"/>
  <c r="M151" i="40" s="1"/>
  <c r="O151" i="40" s="1"/>
  <c r="J152" i="40"/>
  <c r="L152" i="40" s="1"/>
  <c r="M152" i="40" s="1"/>
  <c r="O152" i="40" s="1"/>
  <c r="J153" i="40"/>
  <c r="L153" i="40" s="1"/>
  <c r="M153" i="40" s="1"/>
  <c r="O153" i="40" s="1"/>
  <c r="J154" i="40"/>
  <c r="L154" i="40" s="1"/>
  <c r="M154" i="40" s="1"/>
  <c r="O154" i="40" s="1"/>
  <c r="J155" i="40"/>
  <c r="L155" i="40" s="1"/>
  <c r="M155" i="40" s="1"/>
  <c r="O155" i="40" s="1"/>
  <c r="J156" i="40"/>
  <c r="L156" i="40" s="1"/>
  <c r="M156" i="40" s="1"/>
  <c r="O156" i="40" s="1"/>
  <c r="J157" i="40"/>
  <c r="L157" i="40" s="1"/>
  <c r="M157" i="40" s="1"/>
  <c r="O157" i="40" s="1"/>
  <c r="J158" i="40"/>
  <c r="L158" i="40" s="1"/>
  <c r="M158" i="40" s="1"/>
  <c r="O158" i="40" s="1"/>
  <c r="J159" i="40"/>
  <c r="L159" i="40" s="1"/>
  <c r="M159" i="40" s="1"/>
  <c r="O159" i="40" s="1"/>
  <c r="J160" i="40"/>
  <c r="L160" i="40" s="1"/>
  <c r="M160" i="40" s="1"/>
  <c r="O160" i="40" s="1"/>
  <c r="J161" i="40"/>
  <c r="L161" i="40" s="1"/>
  <c r="M161" i="40" s="1"/>
  <c r="O161" i="40" s="1"/>
  <c r="J162" i="40"/>
  <c r="L162" i="40" s="1"/>
  <c r="M162" i="40" s="1"/>
  <c r="O162" i="40" s="1"/>
  <c r="J163" i="40"/>
  <c r="L163" i="40" s="1"/>
  <c r="M163" i="40" s="1"/>
  <c r="O163" i="40" s="1"/>
  <c r="J164" i="40"/>
  <c r="L164" i="40" s="1"/>
  <c r="M164" i="40" s="1"/>
  <c r="O164" i="40" s="1"/>
  <c r="J165" i="40"/>
  <c r="L165" i="40" s="1"/>
  <c r="M165" i="40" s="1"/>
  <c r="O165" i="40" s="1"/>
  <c r="J166" i="40"/>
  <c r="L166" i="40" s="1"/>
  <c r="M166" i="40" s="1"/>
  <c r="O166" i="40" s="1"/>
  <c r="J167" i="40"/>
  <c r="L167" i="40" s="1"/>
  <c r="M167" i="40" s="1"/>
  <c r="O167" i="40" s="1"/>
  <c r="J168" i="40"/>
  <c r="L168" i="40" s="1"/>
  <c r="M168" i="40" s="1"/>
  <c r="O168" i="40" s="1"/>
  <c r="J169" i="40"/>
  <c r="L169" i="40" s="1"/>
  <c r="M169" i="40" s="1"/>
  <c r="O169" i="40" s="1"/>
  <c r="J170" i="40"/>
  <c r="L170" i="40" s="1"/>
  <c r="M170" i="40" s="1"/>
  <c r="O170" i="40" s="1"/>
  <c r="J171" i="40"/>
  <c r="L171" i="40" s="1"/>
  <c r="M171" i="40" s="1"/>
  <c r="O171" i="40" s="1"/>
  <c r="J172" i="40"/>
  <c r="L172" i="40" s="1"/>
  <c r="M172" i="40" s="1"/>
  <c r="O172" i="40" s="1"/>
  <c r="J173" i="40"/>
  <c r="L173" i="40" s="1"/>
  <c r="M173" i="40" s="1"/>
  <c r="O173" i="40" s="1"/>
  <c r="J174" i="40"/>
  <c r="L174" i="40" s="1"/>
  <c r="M174" i="40" s="1"/>
  <c r="O174" i="40" s="1"/>
  <c r="J175" i="40"/>
  <c r="L175" i="40" s="1"/>
  <c r="M175" i="40" s="1"/>
  <c r="O175" i="40" s="1"/>
  <c r="J176" i="40"/>
  <c r="L176" i="40" s="1"/>
  <c r="M176" i="40" s="1"/>
  <c r="O176" i="40" s="1"/>
  <c r="J177" i="40"/>
  <c r="L177" i="40" s="1"/>
  <c r="M177" i="40" s="1"/>
  <c r="O177" i="40" s="1"/>
  <c r="J178" i="40"/>
  <c r="L178" i="40" s="1"/>
  <c r="M178" i="40" s="1"/>
  <c r="O178" i="40" s="1"/>
  <c r="J179" i="40"/>
  <c r="L179" i="40" s="1"/>
  <c r="M179" i="40" s="1"/>
  <c r="O179" i="40" s="1"/>
  <c r="J180" i="40"/>
  <c r="L180" i="40" s="1"/>
  <c r="M180" i="40" s="1"/>
  <c r="O180" i="40" s="1"/>
  <c r="J181" i="40"/>
  <c r="L181" i="40" s="1"/>
  <c r="M181" i="40" s="1"/>
  <c r="O181" i="40" s="1"/>
  <c r="J182" i="40"/>
  <c r="L182" i="40" s="1"/>
  <c r="M182" i="40" s="1"/>
  <c r="O182" i="40" s="1"/>
  <c r="J183" i="40"/>
  <c r="L183" i="40"/>
  <c r="M183" i="40" s="1"/>
  <c r="O183" i="40" s="1"/>
  <c r="J184" i="40"/>
  <c r="L184" i="40"/>
  <c r="M184" i="40" s="1"/>
  <c r="O184" i="40" s="1"/>
  <c r="J185" i="40"/>
  <c r="L185" i="40"/>
  <c r="M185" i="40" s="1"/>
  <c r="O185" i="40" s="1"/>
  <c r="J186" i="40"/>
  <c r="L186" i="40"/>
  <c r="M186" i="40" s="1"/>
  <c r="O186" i="40" s="1"/>
  <c r="J187" i="40"/>
  <c r="L187" i="40"/>
  <c r="M187" i="40" s="1"/>
  <c r="O187" i="40" s="1"/>
  <c r="J188" i="40"/>
  <c r="L188" i="40"/>
  <c r="M188" i="40" s="1"/>
  <c r="O188" i="40" s="1"/>
  <c r="J189" i="40"/>
  <c r="L189" i="40"/>
  <c r="M189" i="40" s="1"/>
  <c r="O189" i="40" s="1"/>
  <c r="J190" i="40"/>
  <c r="L190" i="40"/>
  <c r="M190" i="40" s="1"/>
  <c r="O190" i="40" s="1"/>
  <c r="J191" i="40"/>
  <c r="L191" i="40"/>
  <c r="M191" i="40" s="1"/>
  <c r="O191" i="40" s="1"/>
  <c r="J192" i="40"/>
  <c r="L192" i="40"/>
  <c r="M192" i="40" s="1"/>
  <c r="O192" i="40"/>
  <c r="J193" i="40"/>
  <c r="L193" i="40"/>
  <c r="M193" i="40" s="1"/>
  <c r="O193" i="40"/>
  <c r="J194" i="40"/>
  <c r="L194" i="40"/>
  <c r="M194" i="40" s="1"/>
  <c r="O194" i="40" s="1"/>
  <c r="J195" i="40"/>
  <c r="L195" i="40"/>
  <c r="M195" i="40" s="1"/>
  <c r="O195" i="40" s="1"/>
  <c r="J196" i="40"/>
  <c r="L196" i="40"/>
  <c r="M196" i="40" s="1"/>
  <c r="O196" i="40"/>
  <c r="J197" i="40"/>
  <c r="L197" i="40"/>
  <c r="M197" i="40" s="1"/>
  <c r="O197" i="40"/>
  <c r="J198" i="40"/>
  <c r="L198" i="40"/>
  <c r="M198" i="40" s="1"/>
  <c r="O198" i="40" s="1"/>
  <c r="J199" i="40"/>
  <c r="L199" i="40"/>
  <c r="M199" i="40" s="1"/>
  <c r="O199" i="40" s="1"/>
  <c r="J200" i="40"/>
  <c r="L200" i="40"/>
  <c r="M200" i="40" s="1"/>
  <c r="O200" i="40"/>
  <c r="J201" i="40"/>
  <c r="L201" i="40"/>
  <c r="M201" i="40" s="1"/>
  <c r="O201" i="40"/>
  <c r="J202" i="40"/>
  <c r="L202" i="40"/>
  <c r="M202" i="40" s="1"/>
  <c r="O202" i="40" s="1"/>
  <c r="J203" i="40"/>
  <c r="L203" i="40"/>
  <c r="M203" i="40" s="1"/>
  <c r="O203" i="40" s="1"/>
  <c r="J204" i="40"/>
  <c r="L204" i="40"/>
  <c r="M204" i="40" s="1"/>
  <c r="O204" i="40"/>
  <c r="J205" i="40"/>
  <c r="L205" i="40"/>
  <c r="M205" i="40" s="1"/>
  <c r="O205" i="40"/>
  <c r="J206" i="40"/>
  <c r="L206" i="40"/>
  <c r="M206" i="40" s="1"/>
  <c r="O206" i="40" s="1"/>
  <c r="J207" i="40"/>
  <c r="L207" i="40"/>
  <c r="M207" i="40" s="1"/>
  <c r="O207" i="40" s="1"/>
  <c r="J208" i="40"/>
  <c r="L208" i="40"/>
  <c r="M208" i="40" s="1"/>
  <c r="O208" i="40"/>
  <c r="J209" i="40"/>
  <c r="L209" i="40"/>
  <c r="M209" i="40" s="1"/>
  <c r="O209" i="40"/>
  <c r="J210" i="40"/>
  <c r="L210" i="40"/>
  <c r="M210" i="40" s="1"/>
  <c r="O210" i="40" s="1"/>
  <c r="J211" i="40"/>
  <c r="L211" i="40"/>
  <c r="M211" i="40" s="1"/>
  <c r="O211" i="40" s="1"/>
  <c r="J212" i="40"/>
  <c r="L212" i="40"/>
  <c r="M212" i="40" s="1"/>
  <c r="O212" i="40"/>
  <c r="J213" i="40"/>
  <c r="L213" i="40"/>
  <c r="M213" i="40" s="1"/>
  <c r="O213" i="40"/>
  <c r="J214" i="40"/>
  <c r="L214" i="40"/>
  <c r="M214" i="40" s="1"/>
  <c r="O214" i="40" s="1"/>
  <c r="J215" i="40"/>
  <c r="L215" i="40"/>
  <c r="M215" i="40" s="1"/>
  <c r="O215" i="40" s="1"/>
  <c r="J216" i="40"/>
  <c r="L216" i="40"/>
  <c r="M216" i="40" s="1"/>
  <c r="O216" i="40"/>
  <c r="J217" i="40"/>
  <c r="L217" i="40"/>
  <c r="M217" i="40" s="1"/>
  <c r="O217" i="40"/>
  <c r="J218" i="40"/>
  <c r="L218" i="40"/>
  <c r="M218" i="40" s="1"/>
  <c r="O218" i="40" s="1"/>
  <c r="J219" i="40"/>
  <c r="L219" i="40"/>
  <c r="M219" i="40" s="1"/>
  <c r="O219" i="40" s="1"/>
  <c r="J220" i="40"/>
  <c r="L220" i="40"/>
  <c r="M220" i="40" s="1"/>
  <c r="O220" i="40"/>
  <c r="J221" i="40"/>
  <c r="L221" i="40"/>
  <c r="M221" i="40" s="1"/>
  <c r="O221" i="40"/>
  <c r="J222" i="40"/>
  <c r="L222" i="40"/>
  <c r="M222" i="40" s="1"/>
  <c r="O222" i="40" s="1"/>
  <c r="J223" i="40"/>
  <c r="L223" i="40"/>
  <c r="M223" i="40" s="1"/>
  <c r="O223" i="40" s="1"/>
  <c r="J224" i="40"/>
  <c r="L224" i="40"/>
  <c r="M224" i="40" s="1"/>
  <c r="O224" i="40"/>
  <c r="J225" i="40"/>
  <c r="L225" i="40"/>
  <c r="M225" i="40" s="1"/>
  <c r="O225" i="40"/>
  <c r="J226" i="40"/>
  <c r="L226" i="40"/>
  <c r="M226" i="40" s="1"/>
  <c r="O226" i="40" s="1"/>
  <c r="J227" i="40"/>
  <c r="L227" i="40"/>
  <c r="M227" i="40" s="1"/>
  <c r="O227" i="40" s="1"/>
  <c r="J228" i="40"/>
  <c r="L228" i="40"/>
  <c r="M228" i="40" s="1"/>
  <c r="O228" i="40"/>
  <c r="J229" i="40"/>
  <c r="L229" i="40"/>
  <c r="M229" i="40" s="1"/>
  <c r="O229" i="40"/>
  <c r="J230" i="40"/>
  <c r="L230" i="40"/>
  <c r="M230" i="40" s="1"/>
  <c r="O230" i="40" s="1"/>
  <c r="J231" i="40"/>
  <c r="L231" i="40"/>
  <c r="M231" i="40" s="1"/>
  <c r="O231" i="40" s="1"/>
  <c r="J232" i="40"/>
  <c r="L232" i="40"/>
  <c r="M232" i="40" s="1"/>
  <c r="O232" i="40"/>
  <c r="J233" i="40"/>
  <c r="L233" i="40"/>
  <c r="M233" i="40" s="1"/>
  <c r="O233" i="40"/>
  <c r="J234" i="40"/>
  <c r="L234" i="40"/>
  <c r="M234" i="40" s="1"/>
  <c r="O234" i="40" s="1"/>
  <c r="J235" i="40"/>
  <c r="L235" i="40"/>
  <c r="M235" i="40" s="1"/>
  <c r="O235" i="40" s="1"/>
  <c r="J236" i="40"/>
  <c r="L236" i="40"/>
  <c r="M236" i="40" s="1"/>
  <c r="O236" i="40"/>
  <c r="J237" i="40"/>
  <c r="L237" i="40"/>
  <c r="M237" i="40" s="1"/>
  <c r="O237" i="40"/>
  <c r="J238" i="40"/>
  <c r="L238" i="40"/>
  <c r="M238" i="40" s="1"/>
  <c r="O238" i="40" s="1"/>
  <c r="J239" i="40"/>
  <c r="L239" i="40"/>
  <c r="M239" i="40" s="1"/>
  <c r="O239" i="40" s="1"/>
  <c r="J240" i="40"/>
  <c r="L240" i="40"/>
  <c r="M240" i="40" s="1"/>
  <c r="O240" i="40"/>
  <c r="J241" i="40"/>
  <c r="L241" i="40"/>
  <c r="M241" i="40" s="1"/>
  <c r="O241" i="40"/>
  <c r="J242" i="40"/>
  <c r="L242" i="40"/>
  <c r="M242" i="40" s="1"/>
  <c r="O242" i="40" s="1"/>
  <c r="J243" i="40"/>
  <c r="L243" i="40"/>
  <c r="M243" i="40" s="1"/>
  <c r="O243" i="40" s="1"/>
  <c r="J244" i="40"/>
  <c r="L244" i="40"/>
  <c r="M244" i="40" s="1"/>
  <c r="O244" i="40"/>
  <c r="J245" i="40"/>
  <c r="L245" i="40"/>
  <c r="M245" i="40" s="1"/>
  <c r="O245" i="40"/>
  <c r="J246" i="40"/>
  <c r="L246" i="40"/>
  <c r="M246" i="40" s="1"/>
  <c r="O246" i="40" s="1"/>
  <c r="J247" i="40"/>
  <c r="L247" i="40"/>
  <c r="M247" i="40" s="1"/>
  <c r="O247" i="40" s="1"/>
  <c r="J248" i="40"/>
  <c r="L248" i="40"/>
  <c r="M248" i="40" s="1"/>
  <c r="O248" i="40"/>
  <c r="J249" i="40"/>
  <c r="L249" i="40"/>
  <c r="M249" i="40" s="1"/>
  <c r="O249" i="40"/>
  <c r="J250" i="40"/>
  <c r="L250" i="40"/>
  <c r="M250" i="40" s="1"/>
  <c r="O250" i="40" s="1"/>
  <c r="J251" i="40"/>
  <c r="L251" i="40"/>
  <c r="M251" i="40" s="1"/>
  <c r="O251" i="40" s="1"/>
  <c r="J252" i="40"/>
  <c r="L252" i="40"/>
  <c r="M252" i="40" s="1"/>
  <c r="O252" i="40"/>
  <c r="J253" i="40"/>
  <c r="L253" i="40"/>
  <c r="M253" i="40" s="1"/>
  <c r="O253" i="40"/>
  <c r="J254" i="40"/>
  <c r="L254" i="40"/>
  <c r="M254" i="40" s="1"/>
  <c r="O254" i="40" s="1"/>
  <c r="J255" i="40"/>
  <c r="L255" i="40"/>
  <c r="M255" i="40" s="1"/>
  <c r="O255" i="40" s="1"/>
  <c r="J256" i="40"/>
  <c r="L256" i="40"/>
  <c r="M256" i="40" s="1"/>
  <c r="O256" i="40"/>
  <c r="J257" i="40"/>
  <c r="L257" i="40"/>
  <c r="M257" i="40" s="1"/>
  <c r="O257" i="40"/>
  <c r="J258" i="40"/>
  <c r="L258" i="40"/>
  <c r="M258" i="40" s="1"/>
  <c r="O258" i="40" s="1"/>
  <c r="J259" i="40"/>
  <c r="L259" i="40"/>
  <c r="M259" i="40" s="1"/>
  <c r="O259" i="40" s="1"/>
  <c r="J260" i="40"/>
  <c r="L260" i="40"/>
  <c r="M260" i="40" s="1"/>
  <c r="O260" i="40"/>
  <c r="J261" i="40"/>
  <c r="L261" i="40"/>
  <c r="M261" i="40" s="1"/>
  <c r="O261" i="40"/>
  <c r="J262" i="40"/>
  <c r="L262" i="40"/>
  <c r="M262" i="40" s="1"/>
  <c r="O262" i="40" s="1"/>
  <c r="J263" i="40"/>
  <c r="L263" i="40"/>
  <c r="M263" i="40" s="1"/>
  <c r="O263" i="40" s="1"/>
  <c r="J264" i="40"/>
  <c r="L264" i="40"/>
  <c r="M264" i="40" s="1"/>
  <c r="O264" i="40"/>
  <c r="J265" i="40"/>
  <c r="L265" i="40"/>
  <c r="M265" i="40" s="1"/>
  <c r="O265" i="40"/>
  <c r="J266" i="40"/>
  <c r="L266" i="40"/>
  <c r="M266" i="40" s="1"/>
  <c r="O266" i="40" s="1"/>
  <c r="J267" i="40"/>
  <c r="L267" i="40"/>
  <c r="M267" i="40" s="1"/>
  <c r="O267" i="40" s="1"/>
  <c r="J268" i="40"/>
  <c r="L268" i="40"/>
  <c r="M268" i="40" s="1"/>
  <c r="O268" i="40"/>
  <c r="J269" i="40"/>
  <c r="L269" i="40"/>
  <c r="M269" i="40" s="1"/>
  <c r="O269" i="40"/>
  <c r="J270" i="40"/>
  <c r="L270" i="40"/>
  <c r="M270" i="40" s="1"/>
  <c r="O270" i="40" s="1"/>
  <c r="J271" i="40"/>
  <c r="L271" i="40"/>
  <c r="M271" i="40" s="1"/>
  <c r="O271" i="40" s="1"/>
  <c r="J272" i="40"/>
  <c r="L272" i="40"/>
  <c r="M272" i="40" s="1"/>
  <c r="O272" i="40"/>
  <c r="J273" i="40"/>
  <c r="L273" i="40"/>
  <c r="M273" i="40" s="1"/>
  <c r="O273" i="40"/>
  <c r="J274" i="40"/>
  <c r="L274" i="40"/>
  <c r="M274" i="40" s="1"/>
  <c r="O274" i="40" s="1"/>
  <c r="J275" i="40"/>
  <c r="L275" i="40"/>
  <c r="M275" i="40" s="1"/>
  <c r="O275" i="40" s="1"/>
  <c r="J276" i="40"/>
  <c r="L276" i="40"/>
  <c r="M276" i="40" s="1"/>
  <c r="O276" i="40"/>
  <c r="J277" i="40"/>
  <c r="L277" i="40"/>
  <c r="M277" i="40" s="1"/>
  <c r="O277" i="40"/>
  <c r="J278" i="40"/>
  <c r="L278" i="40"/>
  <c r="M278" i="40" s="1"/>
  <c r="O278" i="40" s="1"/>
  <c r="J279" i="40"/>
  <c r="L279" i="40"/>
  <c r="M279" i="40" s="1"/>
  <c r="O279" i="40" s="1"/>
  <c r="J280" i="40"/>
  <c r="L280" i="40"/>
  <c r="M280" i="40" s="1"/>
  <c r="O280" i="40"/>
  <c r="J281" i="40"/>
  <c r="L281" i="40"/>
  <c r="M281" i="40" s="1"/>
  <c r="O281" i="40"/>
  <c r="J282" i="40"/>
  <c r="L282" i="40"/>
  <c r="M282" i="40" s="1"/>
  <c r="O282" i="40" s="1"/>
  <c r="J283" i="40"/>
  <c r="L283" i="40"/>
  <c r="M283" i="40" s="1"/>
  <c r="O283" i="40" s="1"/>
  <c r="J284" i="40"/>
  <c r="L284" i="40"/>
  <c r="M284" i="40" s="1"/>
  <c r="O284" i="40"/>
  <c r="J285" i="40"/>
  <c r="L285" i="40"/>
  <c r="M285" i="40" s="1"/>
  <c r="O285" i="40"/>
  <c r="J286" i="40"/>
  <c r="L286" i="40"/>
  <c r="M286" i="40" s="1"/>
  <c r="O286" i="40" s="1"/>
  <c r="J287" i="40"/>
  <c r="L287" i="40"/>
  <c r="M287" i="40" s="1"/>
  <c r="O287" i="40" s="1"/>
  <c r="J288" i="40"/>
  <c r="L288" i="40"/>
  <c r="M288" i="40" s="1"/>
  <c r="O288" i="40"/>
  <c r="J289" i="40"/>
  <c r="L289" i="40"/>
  <c r="M289" i="40" s="1"/>
  <c r="O289" i="40"/>
  <c r="J290" i="40"/>
  <c r="L290" i="40"/>
  <c r="M290" i="40" s="1"/>
  <c r="O290" i="40" s="1"/>
  <c r="J291" i="40"/>
  <c r="L291" i="40"/>
  <c r="M291" i="40" s="1"/>
  <c r="O291" i="40" s="1"/>
  <c r="J292" i="40"/>
  <c r="L292" i="40"/>
  <c r="M292" i="40" s="1"/>
  <c r="O292" i="40"/>
  <c r="J293" i="40"/>
  <c r="L293" i="40"/>
  <c r="M293" i="40" s="1"/>
  <c r="O293" i="40"/>
  <c r="J294" i="40"/>
  <c r="L294" i="40"/>
  <c r="M294" i="40" s="1"/>
  <c r="O294" i="40" s="1"/>
  <c r="J295" i="40"/>
  <c r="L295" i="40"/>
  <c r="M295" i="40" s="1"/>
  <c r="O295" i="40" s="1"/>
  <c r="J296" i="40"/>
  <c r="L296" i="40"/>
  <c r="M296" i="40" s="1"/>
  <c r="O296" i="40"/>
  <c r="J297" i="40"/>
  <c r="L297" i="40"/>
  <c r="M297" i="40" s="1"/>
  <c r="O297" i="40"/>
  <c r="J298" i="40"/>
  <c r="L298" i="40"/>
  <c r="M298" i="40" s="1"/>
  <c r="O298" i="40" s="1"/>
  <c r="J46" i="40" l="1"/>
  <c r="L46" i="40" s="1"/>
  <c r="M46" i="40" s="1"/>
  <c r="O46" i="40" s="1"/>
  <c r="J47" i="40"/>
  <c r="L47" i="40" s="1"/>
  <c r="M47" i="40" s="1"/>
  <c r="O47" i="40" s="1"/>
  <c r="J48" i="40"/>
  <c r="L48" i="40" s="1"/>
  <c r="M48" i="40" s="1"/>
  <c r="O48" i="40" s="1"/>
  <c r="J49" i="40"/>
  <c r="L49" i="40" s="1"/>
  <c r="M49" i="40" s="1"/>
  <c r="O49" i="40" s="1"/>
  <c r="J50" i="40"/>
  <c r="L50" i="40" s="1"/>
  <c r="M50" i="40" s="1"/>
  <c r="O50" i="40" s="1"/>
  <c r="J51" i="40"/>
  <c r="L51" i="40" s="1"/>
  <c r="M51" i="40" s="1"/>
  <c r="O51" i="40" s="1"/>
  <c r="J52" i="40"/>
  <c r="L52" i="40" s="1"/>
  <c r="M52" i="40" s="1"/>
  <c r="O52" i="40" s="1"/>
  <c r="J299" i="40"/>
  <c r="L299" i="40" s="1"/>
  <c r="M299" i="40" s="1"/>
  <c r="O299" i="40" s="1"/>
  <c r="J1000" i="40"/>
  <c r="L1000" i="40" s="1"/>
  <c r="M1000" i="40" s="1"/>
  <c r="O1000" i="40" s="1"/>
  <c r="M28" i="11" l="1"/>
  <c r="L215" i="45"/>
  <c r="K215" i="45"/>
  <c r="M17" i="45"/>
  <c r="M18" i="45"/>
  <c r="M19" i="45"/>
  <c r="M20" i="45"/>
  <c r="M21" i="45"/>
  <c r="M22" i="45"/>
  <c r="M23" i="45"/>
  <c r="M24" i="45"/>
  <c r="M25" i="45"/>
  <c r="M26" i="45"/>
  <c r="M27" i="45"/>
  <c r="M28" i="45"/>
  <c r="M29" i="45"/>
  <c r="M30" i="45"/>
  <c r="M31" i="45"/>
  <c r="M32" i="45"/>
  <c r="M33" i="45"/>
  <c r="M214" i="45"/>
  <c r="M16" i="45"/>
  <c r="H214" i="45"/>
  <c r="G215" i="45"/>
  <c r="F215" i="45"/>
  <c r="H22" i="45"/>
  <c r="H23" i="45"/>
  <c r="H24" i="45"/>
  <c r="H25" i="45"/>
  <c r="H26" i="45"/>
  <c r="H27" i="45"/>
  <c r="H28" i="45"/>
  <c r="H29" i="45"/>
  <c r="H30" i="45"/>
  <c r="H31" i="45"/>
  <c r="H32" i="45"/>
  <c r="H33" i="45"/>
  <c r="H21" i="45"/>
  <c r="H20" i="45"/>
  <c r="H19" i="45"/>
  <c r="H18" i="45"/>
  <c r="H17" i="45"/>
  <c r="H16" i="45"/>
  <c r="E16" i="11"/>
  <c r="E11" i="11" s="1"/>
  <c r="F22" i="11"/>
  <c r="G22" i="11"/>
  <c r="H22" i="11"/>
  <c r="I22" i="11"/>
  <c r="J22" i="11"/>
  <c r="K22" i="11"/>
  <c r="L22" i="11"/>
  <c r="E22" i="11"/>
  <c r="L148" i="42"/>
  <c r="K106" i="42"/>
  <c r="L106" i="42"/>
  <c r="K93" i="42"/>
  <c r="L93" i="42"/>
  <c r="C31" i="25"/>
  <c r="H25" i="13"/>
  <c r="C10" i="43"/>
  <c r="N17" i="45"/>
  <c r="N18" i="45"/>
  <c r="N19" i="45"/>
  <c r="N20" i="45"/>
  <c r="N21" i="45"/>
  <c r="N22" i="45"/>
  <c r="J215" i="45"/>
  <c r="C76" i="43"/>
  <c r="C68" i="43" s="1"/>
  <c r="C58" i="43"/>
  <c r="W21" i="18"/>
  <c r="W17" i="18"/>
  <c r="W15" i="18" s="1"/>
  <c r="L33" i="28"/>
  <c r="J36" i="28"/>
  <c r="C32" i="14"/>
  <c r="D32" i="14"/>
  <c r="E32" i="14"/>
  <c r="F32" i="14"/>
  <c r="L16" i="42"/>
  <c r="C26" i="43"/>
  <c r="C20" i="43" s="1"/>
  <c r="J13" i="8"/>
  <c r="J14" i="8"/>
  <c r="J15" i="8"/>
  <c r="J17" i="8"/>
  <c r="J18" i="8"/>
  <c r="J19" i="8"/>
  <c r="J20" i="8"/>
  <c r="G28" i="14"/>
  <c r="H28" i="14" s="1"/>
  <c r="J28" i="14" s="1"/>
  <c r="G29" i="14"/>
  <c r="H29" i="14" s="1"/>
  <c r="J29" i="14" s="1"/>
  <c r="G30" i="14"/>
  <c r="H30" i="14" s="1"/>
  <c r="J30" i="14" s="1"/>
  <c r="G31" i="14"/>
  <c r="H31" i="14" s="1"/>
  <c r="J31" i="14" s="1"/>
  <c r="F39" i="13"/>
  <c r="F34" i="13"/>
  <c r="F31" i="13"/>
  <c r="F28" i="13"/>
  <c r="F46" i="13" s="1"/>
  <c r="F24" i="13"/>
  <c r="F21" i="13"/>
  <c r="F18" i="13"/>
  <c r="F12" i="13"/>
  <c r="F26" i="13" s="1"/>
  <c r="L41" i="28"/>
  <c r="L39" i="28"/>
  <c r="L37" i="28"/>
  <c r="J72" i="46"/>
  <c r="I72" i="46"/>
  <c r="H72" i="46"/>
  <c r="T215" i="45"/>
  <c r="V215" i="45"/>
  <c r="I215" i="45"/>
  <c r="W215" i="45"/>
  <c r="U215" i="45"/>
  <c r="S215" i="45"/>
  <c r="R215" i="45"/>
  <c r="Q215" i="45"/>
  <c r="P215" i="45"/>
  <c r="O215" i="45"/>
  <c r="D215" i="45"/>
  <c r="C215" i="45"/>
  <c r="B215" i="45"/>
  <c r="H215" i="45" l="1"/>
  <c r="M215" i="45"/>
  <c r="E29" i="11"/>
  <c r="M22" i="11"/>
  <c r="I10" i="9"/>
  <c r="I36" i="9"/>
  <c r="I21" i="9"/>
  <c r="O27" i="21"/>
  <c r="N27" i="21"/>
  <c r="M27" i="21"/>
  <c r="L27" i="21"/>
  <c r="K27" i="21"/>
  <c r="J27" i="21"/>
  <c r="H27" i="21"/>
  <c r="G27" i="21"/>
  <c r="F27" i="21"/>
  <c r="E27" i="21"/>
  <c r="D27" i="21"/>
  <c r="O23" i="21"/>
  <c r="O28" i="21" s="1"/>
  <c r="N23" i="21"/>
  <c r="N28" i="21" s="1"/>
  <c r="M23" i="21"/>
  <c r="M28" i="21" s="1"/>
  <c r="L23" i="21"/>
  <c r="L28" i="21" s="1"/>
  <c r="K23" i="21"/>
  <c r="K28" i="21" s="1"/>
  <c r="J23" i="21"/>
  <c r="J28" i="21" s="1"/>
  <c r="H23" i="21"/>
  <c r="H28" i="21" s="1"/>
  <c r="G23" i="21"/>
  <c r="G28" i="21" s="1"/>
  <c r="F23" i="21"/>
  <c r="F28" i="21" s="1"/>
  <c r="E23" i="21"/>
  <c r="D23" i="21"/>
  <c r="I1001" i="40"/>
  <c r="G1001" i="40"/>
  <c r="L73" i="28"/>
  <c r="L72" i="28"/>
  <c r="L63" i="28"/>
  <c r="L62" i="28"/>
  <c r="L58" i="28"/>
  <c r="L56" i="28"/>
  <c r="L54" i="28"/>
  <c r="L52" i="28"/>
  <c r="L38" i="28"/>
  <c r="L36" i="28" s="1"/>
  <c r="L35" i="28"/>
  <c r="L34" i="28"/>
  <c r="L25" i="28"/>
  <c r="L24" i="28"/>
  <c r="L20" i="28"/>
  <c r="L19" i="28"/>
  <c r="L18" i="28"/>
  <c r="L17" i="28"/>
  <c r="B76" i="43"/>
  <c r="B68" i="43" s="1"/>
  <c r="C52" i="43"/>
  <c r="B52" i="43"/>
  <c r="L85" i="42"/>
  <c r="K85" i="42"/>
  <c r="G150" i="46"/>
  <c r="K150" i="46" s="1"/>
  <c r="G148" i="46"/>
  <c r="K148" i="46" s="1"/>
  <c r="G128" i="46"/>
  <c r="K128" i="46" s="1"/>
  <c r="H124" i="46"/>
  <c r="G136" i="46"/>
  <c r="G126" i="46"/>
  <c r="K126" i="46" s="1"/>
  <c r="G86" i="46"/>
  <c r="G74" i="46"/>
  <c r="K74" i="46" s="1"/>
  <c r="J32" i="46"/>
  <c r="I32" i="46"/>
  <c r="H32" i="46"/>
  <c r="K280" i="46"/>
  <c r="K278" i="46"/>
  <c r="K276" i="46"/>
  <c r="K274" i="46"/>
  <c r="K272" i="46"/>
  <c r="K270" i="46"/>
  <c r="K268" i="46"/>
  <c r="K266" i="46"/>
  <c r="J264" i="46"/>
  <c r="J262" i="46" s="1"/>
  <c r="I264" i="46"/>
  <c r="I262" i="46" s="1"/>
  <c r="K260" i="46"/>
  <c r="K258" i="46"/>
  <c r="K256" i="46"/>
  <c r="K254" i="46"/>
  <c r="J252" i="46"/>
  <c r="I252" i="46"/>
  <c r="K250" i="46"/>
  <c r="K248" i="46"/>
  <c r="J246" i="46"/>
  <c r="I246" i="46"/>
  <c r="K244" i="46"/>
  <c r="K242" i="46"/>
  <c r="K240" i="46"/>
  <c r="K238" i="46"/>
  <c r="K236" i="46"/>
  <c r="K234" i="46"/>
  <c r="J232" i="46"/>
  <c r="I232" i="46"/>
  <c r="K232" i="46" s="1"/>
  <c r="K230" i="46"/>
  <c r="K228" i="46"/>
  <c r="K226" i="46"/>
  <c r="K224" i="46"/>
  <c r="K222" i="46"/>
  <c r="K220" i="46"/>
  <c r="J218" i="46"/>
  <c r="I218" i="46"/>
  <c r="K214" i="46"/>
  <c r="K212" i="46"/>
  <c r="J210" i="46"/>
  <c r="I210" i="46"/>
  <c r="K208" i="46"/>
  <c r="K206" i="46"/>
  <c r="J204" i="46"/>
  <c r="I204" i="46"/>
  <c r="K200" i="46"/>
  <c r="K198" i="46"/>
  <c r="J196" i="46"/>
  <c r="I196" i="46"/>
  <c r="K194" i="46"/>
  <c r="K192" i="46"/>
  <c r="K190" i="46"/>
  <c r="K188" i="46"/>
  <c r="K186" i="46"/>
  <c r="K184" i="46"/>
  <c r="K182" i="46"/>
  <c r="J180" i="46"/>
  <c r="I180" i="46"/>
  <c r="K178" i="46"/>
  <c r="K176" i="46"/>
  <c r="K174" i="46"/>
  <c r="K172" i="46"/>
  <c r="K170" i="46"/>
  <c r="K168" i="46"/>
  <c r="K166" i="46"/>
  <c r="J164" i="46"/>
  <c r="I164" i="46"/>
  <c r="K160" i="46"/>
  <c r="G146" i="46"/>
  <c r="K146" i="46" s="1"/>
  <c r="J144" i="46"/>
  <c r="I144" i="46"/>
  <c r="H144" i="46"/>
  <c r="G142" i="46"/>
  <c r="K142" i="46" s="1"/>
  <c r="G140" i="46"/>
  <c r="K140" i="46" s="1"/>
  <c r="G138" i="46"/>
  <c r="K138" i="46" s="1"/>
  <c r="K136" i="46"/>
  <c r="G134" i="46"/>
  <c r="K134" i="46" s="1"/>
  <c r="K132" i="46"/>
  <c r="G132" i="46"/>
  <c r="G130" i="46"/>
  <c r="K130" i="46" s="1"/>
  <c r="J124" i="46"/>
  <c r="I124" i="46"/>
  <c r="G122" i="46"/>
  <c r="K122" i="46" s="1"/>
  <c r="G120" i="46"/>
  <c r="K120" i="46" s="1"/>
  <c r="G118" i="46"/>
  <c r="K118" i="46" s="1"/>
  <c r="J116" i="46"/>
  <c r="I116" i="46"/>
  <c r="H116" i="46"/>
  <c r="G116" i="46"/>
  <c r="G114" i="46"/>
  <c r="K114" i="46" s="1"/>
  <c r="G112" i="46"/>
  <c r="K112" i="46" s="1"/>
  <c r="G110" i="46"/>
  <c r="K110" i="46" s="1"/>
  <c r="G108" i="46"/>
  <c r="K108" i="46" s="1"/>
  <c r="G106" i="46"/>
  <c r="K106" i="46" s="1"/>
  <c r="G104" i="46"/>
  <c r="K104" i="46" s="1"/>
  <c r="G102" i="46"/>
  <c r="K102" i="46" s="1"/>
  <c r="G100" i="46"/>
  <c r="K100" i="46" s="1"/>
  <c r="J98" i="46"/>
  <c r="J96" i="46" s="1"/>
  <c r="I98" i="46"/>
  <c r="I96" i="46" s="1"/>
  <c r="H98" i="46"/>
  <c r="H96" i="46" s="1"/>
  <c r="G94" i="46"/>
  <c r="K94" i="46" s="1"/>
  <c r="G92" i="46"/>
  <c r="K92" i="46" s="1"/>
  <c r="G90" i="46"/>
  <c r="K90" i="46" s="1"/>
  <c r="G88" i="46"/>
  <c r="K88" i="46" s="1"/>
  <c r="K86" i="46"/>
  <c r="K84" i="46"/>
  <c r="G84" i="46"/>
  <c r="G82" i="46"/>
  <c r="K82" i="46" s="1"/>
  <c r="G80" i="46"/>
  <c r="K80" i="46" s="1"/>
  <c r="G78" i="46"/>
  <c r="K78" i="46" s="1"/>
  <c r="G76" i="46"/>
  <c r="K76" i="46" s="1"/>
  <c r="G70" i="46"/>
  <c r="K70" i="46" s="1"/>
  <c r="G68" i="46"/>
  <c r="K68" i="46" s="1"/>
  <c r="G66" i="46"/>
  <c r="K66" i="46" s="1"/>
  <c r="J64" i="46"/>
  <c r="I64" i="46"/>
  <c r="H64" i="46"/>
  <c r="G60" i="46"/>
  <c r="K60" i="46" s="1"/>
  <c r="G58" i="46"/>
  <c r="K58" i="46" s="1"/>
  <c r="G56" i="46"/>
  <c r="K56" i="46" s="1"/>
  <c r="G54" i="46"/>
  <c r="K54" i="46" s="1"/>
  <c r="G52" i="46"/>
  <c r="K52" i="46" s="1"/>
  <c r="G50" i="46"/>
  <c r="K50" i="46" s="1"/>
  <c r="J48" i="46"/>
  <c r="I48" i="46"/>
  <c r="H48" i="46"/>
  <c r="G46" i="46"/>
  <c r="K46" i="46" s="1"/>
  <c r="G44" i="46"/>
  <c r="K44" i="46" s="1"/>
  <c r="G42" i="46"/>
  <c r="K42" i="46" s="1"/>
  <c r="J40" i="46"/>
  <c r="I40" i="46"/>
  <c r="H40" i="46"/>
  <c r="G36" i="46"/>
  <c r="K36" i="46" s="1"/>
  <c r="G34" i="46"/>
  <c r="K34" i="46" s="1"/>
  <c r="G30" i="46"/>
  <c r="K30" i="46" s="1"/>
  <c r="G28" i="46"/>
  <c r="K28" i="46" s="1"/>
  <c r="G26" i="46"/>
  <c r="K26" i="46" s="1"/>
  <c r="G24" i="46"/>
  <c r="K24" i="46" s="1"/>
  <c r="J22" i="46"/>
  <c r="J20" i="46" s="1"/>
  <c r="I22" i="46"/>
  <c r="I20" i="46" s="1"/>
  <c r="H22" i="46"/>
  <c r="H20" i="46" s="1"/>
  <c r="G18" i="46"/>
  <c r="K18" i="46" s="1"/>
  <c r="G16" i="46"/>
  <c r="K16" i="46" s="1"/>
  <c r="D28" i="21" l="1"/>
  <c r="J162" i="46"/>
  <c r="J158" i="46" s="1"/>
  <c r="K180" i="46"/>
  <c r="I38" i="46"/>
  <c r="H38" i="46"/>
  <c r="H14" i="46" s="1"/>
  <c r="K252" i="46"/>
  <c r="K246" i="46"/>
  <c r="J216" i="46"/>
  <c r="K218" i="46"/>
  <c r="I216" i="46"/>
  <c r="J202" i="46"/>
  <c r="K210" i="46"/>
  <c r="K204" i="46"/>
  <c r="K196" i="46"/>
  <c r="K164" i="46"/>
  <c r="K116" i="46"/>
  <c r="G48" i="46"/>
  <c r="K48" i="46" s="1"/>
  <c r="J38" i="46"/>
  <c r="J14" i="46" s="1"/>
  <c r="G32" i="46"/>
  <c r="K32" i="46" s="1"/>
  <c r="G20" i="46"/>
  <c r="K20" i="46" s="1"/>
  <c r="I14" i="46"/>
  <c r="K262" i="46"/>
  <c r="G98" i="46"/>
  <c r="E28" i="21"/>
  <c r="G40" i="46"/>
  <c r="I162" i="46"/>
  <c r="I202" i="46"/>
  <c r="K264" i="46"/>
  <c r="G22" i="46"/>
  <c r="K22" i="46" s="1"/>
  <c r="G124" i="46"/>
  <c r="K124" i="46" s="1"/>
  <c r="G144" i="46"/>
  <c r="K144" i="46" s="1"/>
  <c r="G64" i="46"/>
  <c r="G72" i="46"/>
  <c r="N214" i="45"/>
  <c r="N33" i="45"/>
  <c r="N32" i="45"/>
  <c r="N31" i="45"/>
  <c r="N30" i="45"/>
  <c r="N29" i="45"/>
  <c r="N28" i="45"/>
  <c r="N27" i="45"/>
  <c r="N26" i="45"/>
  <c r="N25" i="45"/>
  <c r="N24" i="45"/>
  <c r="N23" i="45"/>
  <c r="N16" i="45"/>
  <c r="E215" i="45"/>
  <c r="K216" i="46" l="1"/>
  <c r="J282" i="46"/>
  <c r="K202" i="46"/>
  <c r="N215" i="45"/>
  <c r="K162" i="46"/>
  <c r="K158" i="46" s="1"/>
  <c r="I158" i="46"/>
  <c r="I282" i="46" s="1"/>
  <c r="K64" i="46"/>
  <c r="G62" i="46"/>
  <c r="K98" i="46"/>
  <c r="G96" i="46"/>
  <c r="K96" i="46" s="1"/>
  <c r="K40" i="46"/>
  <c r="G38" i="46"/>
  <c r="L126" i="42"/>
  <c r="K126" i="42"/>
  <c r="L67" i="42"/>
  <c r="K67" i="42"/>
  <c r="L53" i="42"/>
  <c r="K53" i="42"/>
  <c r="L24" i="42"/>
  <c r="K24" i="42"/>
  <c r="M97" i="42"/>
  <c r="M95" i="42"/>
  <c r="M89" i="42"/>
  <c r="M87" i="42"/>
  <c r="M187" i="42"/>
  <c r="M185" i="42"/>
  <c r="M183" i="42"/>
  <c r="M181" i="42"/>
  <c r="M177" i="42"/>
  <c r="M173" i="42"/>
  <c r="M171" i="42"/>
  <c r="M169" i="42"/>
  <c r="L167" i="42"/>
  <c r="K167" i="42"/>
  <c r="M163" i="42"/>
  <c r="M161" i="42"/>
  <c r="M159" i="42"/>
  <c r="M157" i="42"/>
  <c r="M155" i="42"/>
  <c r="M153" i="42"/>
  <c r="M151" i="42"/>
  <c r="K148" i="42"/>
  <c r="M93" i="42"/>
  <c r="H1001" i="40"/>
  <c r="D82" i="43"/>
  <c r="D80" i="43"/>
  <c r="D78" i="43"/>
  <c r="D76" i="43"/>
  <c r="D74" i="43"/>
  <c r="D72" i="43"/>
  <c r="D70" i="43"/>
  <c r="D66" i="43"/>
  <c r="D64" i="43"/>
  <c r="D62" i="43"/>
  <c r="D60" i="43"/>
  <c r="D56" i="43"/>
  <c r="D54" i="43"/>
  <c r="D52" i="43"/>
  <c r="D50" i="43"/>
  <c r="D48" i="43"/>
  <c r="D42" i="43"/>
  <c r="D40" i="43"/>
  <c r="D38" i="43"/>
  <c r="D36" i="43"/>
  <c r="D34" i="43"/>
  <c r="D32" i="43"/>
  <c r="D30" i="43"/>
  <c r="D28" i="43"/>
  <c r="D24" i="43"/>
  <c r="D22" i="43"/>
  <c r="D18" i="43"/>
  <c r="D16" i="43"/>
  <c r="D14" i="43"/>
  <c r="D12" i="43"/>
  <c r="C46" i="43"/>
  <c r="B46" i="43"/>
  <c r="D46" i="43" s="1"/>
  <c r="B26" i="43"/>
  <c r="D26" i="43" s="1"/>
  <c r="V34" i="19"/>
  <c r="P34" i="19"/>
  <c r="J34" i="19"/>
  <c r="V33" i="19"/>
  <c r="P33" i="19"/>
  <c r="J33" i="19"/>
  <c r="E35" i="19"/>
  <c r="F35" i="19"/>
  <c r="G35" i="19"/>
  <c r="H35" i="19"/>
  <c r="I35" i="19"/>
  <c r="K35" i="19"/>
  <c r="L35" i="19"/>
  <c r="M35" i="19"/>
  <c r="N35" i="19"/>
  <c r="O35" i="19"/>
  <c r="Q35" i="19"/>
  <c r="R35" i="19"/>
  <c r="S35" i="19"/>
  <c r="T35" i="19"/>
  <c r="U35" i="19"/>
  <c r="J60" i="17"/>
  <c r="J59" i="17"/>
  <c r="J58" i="17"/>
  <c r="J57" i="17"/>
  <c r="J56" i="17"/>
  <c r="J55" i="17"/>
  <c r="J54" i="17"/>
  <c r="J53" i="17"/>
  <c r="J52" i="17"/>
  <c r="J51" i="17"/>
  <c r="J50" i="17"/>
  <c r="J49" i="17"/>
  <c r="J48" i="17"/>
  <c r="J47" i="17"/>
  <c r="J46" i="17"/>
  <c r="J45" i="17"/>
  <c r="J44" i="17"/>
  <c r="J43" i="17"/>
  <c r="J42" i="17"/>
  <c r="J41" i="17"/>
  <c r="J40" i="17"/>
  <c r="J39" i="17"/>
  <c r="J38" i="17"/>
  <c r="J37" i="17"/>
  <c r="J36" i="17"/>
  <c r="J35" i="17"/>
  <c r="J34" i="17"/>
  <c r="J33" i="17"/>
  <c r="J32" i="17"/>
  <c r="J31" i="17"/>
  <c r="J30" i="17"/>
  <c r="J29" i="17"/>
  <c r="J28" i="17"/>
  <c r="J27" i="17"/>
  <c r="J26" i="17"/>
  <c r="J25" i="17"/>
  <c r="J24" i="17"/>
  <c r="J23" i="17"/>
  <c r="J45" i="40"/>
  <c r="L45" i="40" s="1"/>
  <c r="M45" i="40" s="1"/>
  <c r="O45" i="40" s="1"/>
  <c r="J44" i="40"/>
  <c r="L44" i="40" s="1"/>
  <c r="M44" i="40" s="1"/>
  <c r="O44" i="40" s="1"/>
  <c r="J43" i="40"/>
  <c r="L43" i="40" s="1"/>
  <c r="M43" i="40" s="1"/>
  <c r="O43" i="40" s="1"/>
  <c r="J42" i="40"/>
  <c r="L42" i="40" s="1"/>
  <c r="M42" i="40" s="1"/>
  <c r="O42" i="40" s="1"/>
  <c r="J41" i="40"/>
  <c r="L41" i="40" s="1"/>
  <c r="M41" i="40" s="1"/>
  <c r="O41" i="40" s="1"/>
  <c r="J40" i="40"/>
  <c r="L40" i="40" s="1"/>
  <c r="M40" i="40" s="1"/>
  <c r="O40" i="40" s="1"/>
  <c r="L44" i="28"/>
  <c r="J44" i="28"/>
  <c r="J36" i="40"/>
  <c r="L36" i="40" s="1"/>
  <c r="M36" i="40" s="1"/>
  <c r="O36" i="40" s="1"/>
  <c r="J39" i="40"/>
  <c r="L39" i="40" s="1"/>
  <c r="M39" i="40" s="1"/>
  <c r="O39" i="40" s="1"/>
  <c r="J38" i="40"/>
  <c r="L38" i="40" s="1"/>
  <c r="M38" i="40" s="1"/>
  <c r="O38" i="40" s="1"/>
  <c r="J37" i="40"/>
  <c r="L37" i="40" s="1"/>
  <c r="M37" i="40" s="1"/>
  <c r="O37" i="40" s="1"/>
  <c r="J35" i="40"/>
  <c r="L35" i="40" s="1"/>
  <c r="M35" i="40" s="1"/>
  <c r="O35" i="40" s="1"/>
  <c r="J34" i="40"/>
  <c r="L34" i="40" s="1"/>
  <c r="M34" i="40" s="1"/>
  <c r="O34" i="40" s="1"/>
  <c r="J33" i="40"/>
  <c r="L33" i="40" s="1"/>
  <c r="M33" i="40" s="1"/>
  <c r="O33" i="40" s="1"/>
  <c r="J32" i="40"/>
  <c r="L32" i="40" s="1"/>
  <c r="M32" i="40" s="1"/>
  <c r="O32" i="40" s="1"/>
  <c r="J31" i="40"/>
  <c r="L31" i="40" s="1"/>
  <c r="M31" i="40" s="1"/>
  <c r="O31" i="40" s="1"/>
  <c r="J30" i="40"/>
  <c r="L30" i="40" s="1"/>
  <c r="M30" i="40" s="1"/>
  <c r="O30" i="40" s="1"/>
  <c r="J29" i="40"/>
  <c r="L29" i="40" s="1"/>
  <c r="M29" i="40" s="1"/>
  <c r="O29" i="40" s="1"/>
  <c r="J28" i="40"/>
  <c r="J27" i="40"/>
  <c r="L27" i="40" s="1"/>
  <c r="J26" i="40"/>
  <c r="L26" i="40" s="1"/>
  <c r="M26" i="40" s="1"/>
  <c r="J25" i="40"/>
  <c r="J24" i="40"/>
  <c r="J23" i="40"/>
  <c r="J22" i="40"/>
  <c r="J21" i="40"/>
  <c r="L21" i="40" s="1"/>
  <c r="M21" i="40" s="1"/>
  <c r="O21" i="40" s="1"/>
  <c r="J20" i="40"/>
  <c r="J19" i="40"/>
  <c r="J18" i="40"/>
  <c r="J17" i="40"/>
  <c r="J16" i="40"/>
  <c r="L16" i="40" s="1"/>
  <c r="M16" i="40" s="1"/>
  <c r="O16" i="40" s="1"/>
  <c r="M75" i="42"/>
  <c r="M27" i="40" l="1"/>
  <c r="O27" i="40" s="1"/>
  <c r="K282" i="46"/>
  <c r="K38" i="46"/>
  <c r="G14" i="46"/>
  <c r="W33" i="19"/>
  <c r="M24" i="42"/>
  <c r="K51" i="42"/>
  <c r="M167" i="42"/>
  <c r="W34" i="19"/>
  <c r="B58" i="43"/>
  <c r="D58" i="43" s="1"/>
  <c r="C44" i="43"/>
  <c r="B44" i="43"/>
  <c r="B20" i="43"/>
  <c r="M144" i="42"/>
  <c r="M142" i="42"/>
  <c r="L140" i="42"/>
  <c r="K140" i="42"/>
  <c r="M138" i="42"/>
  <c r="M136" i="42"/>
  <c r="M134" i="42"/>
  <c r="M132" i="42"/>
  <c r="M130" i="42"/>
  <c r="M128" i="42"/>
  <c r="L118" i="42"/>
  <c r="M124" i="42"/>
  <c r="M122" i="42"/>
  <c r="M120" i="42"/>
  <c r="M114" i="42"/>
  <c r="M112" i="42"/>
  <c r="M110" i="42"/>
  <c r="M108" i="42"/>
  <c r="M104" i="42"/>
  <c r="M102" i="42"/>
  <c r="M100" i="42"/>
  <c r="L91" i="42"/>
  <c r="L83" i="42" s="1"/>
  <c r="K91" i="42"/>
  <c r="K83" i="42" s="1"/>
  <c r="M85" i="42"/>
  <c r="M79" i="42"/>
  <c r="M77" i="42"/>
  <c r="M73" i="42"/>
  <c r="M71" i="42"/>
  <c r="M69" i="42"/>
  <c r="M65" i="42"/>
  <c r="M63" i="42"/>
  <c r="M61" i="42"/>
  <c r="M59" i="42"/>
  <c r="M57" i="42"/>
  <c r="M55" i="42"/>
  <c r="L51" i="42"/>
  <c r="M48" i="42"/>
  <c r="M46" i="42"/>
  <c r="M44" i="42"/>
  <c r="M42" i="42"/>
  <c r="M40" i="42"/>
  <c r="M38" i="42"/>
  <c r="L36" i="42"/>
  <c r="K36" i="42"/>
  <c r="M34" i="42"/>
  <c r="M32" i="42"/>
  <c r="M30" i="42"/>
  <c r="M28" i="42"/>
  <c r="M26" i="42"/>
  <c r="M22" i="42"/>
  <c r="M20" i="42"/>
  <c r="M18" i="42"/>
  <c r="K16" i="42"/>
  <c r="G152" i="46" l="1"/>
  <c r="K14" i="46"/>
  <c r="D10" i="43"/>
  <c r="D68" i="43"/>
  <c r="M83" i="42"/>
  <c r="D44" i="43"/>
  <c r="D20" i="43"/>
  <c r="M16" i="42"/>
  <c r="M36" i="42"/>
  <c r="M51" i="42"/>
  <c r="M53" i="42"/>
  <c r="M126" i="42"/>
  <c r="M140" i="42"/>
  <c r="M148" i="42"/>
  <c r="K14" i="42"/>
  <c r="K81" i="42" s="1"/>
  <c r="L14" i="42"/>
  <c r="M91" i="42"/>
  <c r="M106" i="42"/>
  <c r="K118" i="42"/>
  <c r="M118" i="42" s="1"/>
  <c r="M67" i="42"/>
  <c r="L81" i="42" l="1"/>
  <c r="L116" i="42" s="1"/>
  <c r="L146" i="42" s="1"/>
  <c r="M14" i="42"/>
  <c r="K116" i="42"/>
  <c r="L165" i="42" l="1"/>
  <c r="L175" i="42" s="1"/>
  <c r="L179" i="42" s="1"/>
  <c r="L189" i="42" s="1"/>
  <c r="K146" i="42"/>
  <c r="K165" i="42" s="1"/>
  <c r="M81" i="42"/>
  <c r="M116" i="42"/>
  <c r="M146" i="42" l="1"/>
  <c r="M165" i="42" s="1"/>
  <c r="K175" i="42"/>
  <c r="K179" i="42" l="1"/>
  <c r="K189" i="42" s="1"/>
  <c r="M175" i="42"/>
  <c r="O26" i="40"/>
  <c r="L24" i="40"/>
  <c r="M24" i="40" s="1"/>
  <c r="O24" i="40" s="1"/>
  <c r="L23" i="40"/>
  <c r="M23" i="40" s="1"/>
  <c r="O23" i="40" s="1"/>
  <c r="L20" i="40"/>
  <c r="M20" i="40" s="1"/>
  <c r="O20" i="40" s="1"/>
  <c r="L19" i="40"/>
  <c r="M19" i="40" s="1"/>
  <c r="O19" i="40" s="1"/>
  <c r="L18" i="40"/>
  <c r="L28" i="40"/>
  <c r="M28" i="40" s="1"/>
  <c r="O28" i="40" s="1"/>
  <c r="L25" i="40"/>
  <c r="M25" i="40" s="1"/>
  <c r="O25" i="40" s="1"/>
  <c r="L22" i="40"/>
  <c r="M22" i="40" s="1"/>
  <c r="O22" i="40" s="1"/>
  <c r="L17" i="40"/>
  <c r="J15" i="40"/>
  <c r="L15" i="40" s="1"/>
  <c r="M15" i="40" s="1"/>
  <c r="O15" i="40" s="1"/>
  <c r="J14" i="40"/>
  <c r="M27" i="11"/>
  <c r="M26" i="11"/>
  <c r="M25" i="11"/>
  <c r="M24" i="11"/>
  <c r="M23" i="11"/>
  <c r="M21" i="11"/>
  <c r="M20" i="11"/>
  <c r="M19" i="11"/>
  <c r="M18" i="11"/>
  <c r="M17" i="11"/>
  <c r="M15" i="11"/>
  <c r="M14" i="11"/>
  <c r="M13" i="11"/>
  <c r="M12" i="11"/>
  <c r="L16" i="11"/>
  <c r="L11" i="11" s="1"/>
  <c r="L29" i="11" s="1"/>
  <c r="K16" i="11"/>
  <c r="K11" i="11" s="1"/>
  <c r="K29" i="11" s="1"/>
  <c r="J16" i="11"/>
  <c r="J11" i="11" s="1"/>
  <c r="I16" i="11"/>
  <c r="I11" i="11" s="1"/>
  <c r="H16" i="11"/>
  <c r="H11" i="11" s="1"/>
  <c r="H29" i="11" s="1"/>
  <c r="G16" i="11"/>
  <c r="G11" i="11" s="1"/>
  <c r="G29" i="11" s="1"/>
  <c r="F16" i="11"/>
  <c r="F11" i="11" s="1"/>
  <c r="L27" i="28"/>
  <c r="L29" i="28" s="1"/>
  <c r="J27" i="28"/>
  <c r="J29" i="28" s="1"/>
  <c r="L28" i="20"/>
  <c r="L27" i="20"/>
  <c r="L26" i="20"/>
  <c r="B30" i="25"/>
  <c r="B29" i="25"/>
  <c r="B28" i="25"/>
  <c r="B27" i="25"/>
  <c r="B26" i="25"/>
  <c r="B25" i="25"/>
  <c r="B24" i="25"/>
  <c r="B23" i="25"/>
  <c r="J31" i="25"/>
  <c r="I31" i="25"/>
  <c r="H31" i="25"/>
  <c r="G31" i="25"/>
  <c r="F31" i="25"/>
  <c r="E31" i="25"/>
  <c r="D31" i="25"/>
  <c r="J22" i="25"/>
  <c r="I22" i="25"/>
  <c r="H22" i="25"/>
  <c r="G22" i="25"/>
  <c r="F22" i="25"/>
  <c r="E22" i="25"/>
  <c r="D22" i="25"/>
  <c r="C22" i="25"/>
  <c r="B22" i="25" s="1"/>
  <c r="J20" i="25"/>
  <c r="J32" i="25" s="1"/>
  <c r="I20" i="25"/>
  <c r="H20" i="25"/>
  <c r="G20" i="25"/>
  <c r="G32" i="25" s="1"/>
  <c r="F20" i="25"/>
  <c r="F32" i="25" s="1"/>
  <c r="E20" i="25"/>
  <c r="D20" i="25"/>
  <c r="C20" i="25"/>
  <c r="B19" i="25"/>
  <c r="B18" i="25"/>
  <c r="J15" i="25"/>
  <c r="I15" i="25"/>
  <c r="H15" i="25"/>
  <c r="G15" i="25"/>
  <c r="F15" i="25"/>
  <c r="E15" i="25"/>
  <c r="D15" i="25"/>
  <c r="C15" i="25"/>
  <c r="B17" i="25"/>
  <c r="B16" i="25"/>
  <c r="B14" i="25"/>
  <c r="B13" i="25"/>
  <c r="B12" i="25"/>
  <c r="B11" i="25"/>
  <c r="H45" i="13"/>
  <c r="I45" i="13" s="1"/>
  <c r="H44" i="13"/>
  <c r="I44" i="13" s="1"/>
  <c r="H43" i="13"/>
  <c r="I43" i="13" s="1"/>
  <c r="H42" i="13"/>
  <c r="I42" i="13" s="1"/>
  <c r="H41" i="13"/>
  <c r="I41" i="13" s="1"/>
  <c r="H40" i="13"/>
  <c r="H38" i="13"/>
  <c r="I38" i="13" s="1"/>
  <c r="H37" i="13"/>
  <c r="I37" i="13" s="1"/>
  <c r="H36" i="13"/>
  <c r="I36" i="13" s="1"/>
  <c r="H35" i="13"/>
  <c r="H33" i="13"/>
  <c r="I33" i="13" s="1"/>
  <c r="H32" i="13"/>
  <c r="I32" i="13" s="1"/>
  <c r="H30" i="13"/>
  <c r="I30" i="13" s="1"/>
  <c r="H29" i="13"/>
  <c r="I29" i="13" s="1"/>
  <c r="I25" i="13"/>
  <c r="I24" i="13" s="1"/>
  <c r="H23" i="13"/>
  <c r="I23" i="13" s="1"/>
  <c r="H22" i="13"/>
  <c r="I22" i="13" s="1"/>
  <c r="H20" i="13"/>
  <c r="H19" i="13"/>
  <c r="I19" i="13" s="1"/>
  <c r="H17" i="13"/>
  <c r="I17" i="13" s="1"/>
  <c r="H16" i="13"/>
  <c r="I16" i="13" s="1"/>
  <c r="H15" i="13"/>
  <c r="I15" i="13" s="1"/>
  <c r="H14" i="13"/>
  <c r="I14" i="13" s="1"/>
  <c r="H13" i="13"/>
  <c r="I13" i="13" s="1"/>
  <c r="H24" i="13"/>
  <c r="I40" i="13"/>
  <c r="C29" i="20"/>
  <c r="K22" i="20"/>
  <c r="J22" i="20"/>
  <c r="I22" i="20"/>
  <c r="F22" i="20"/>
  <c r="E22" i="20"/>
  <c r="E30" i="20" s="1"/>
  <c r="D22" i="20"/>
  <c r="H22" i="20"/>
  <c r="C22" i="20"/>
  <c r="C30" i="20" s="1"/>
  <c r="Q21" i="20"/>
  <c r="Q20" i="20"/>
  <c r="Q19" i="20"/>
  <c r="Q18" i="20"/>
  <c r="Q17" i="20"/>
  <c r="Q16" i="20"/>
  <c r="Q15" i="20"/>
  <c r="L21" i="20"/>
  <c r="L20" i="20"/>
  <c r="L19" i="20"/>
  <c r="L18" i="20"/>
  <c r="L17" i="20"/>
  <c r="L16" i="20"/>
  <c r="L15" i="20"/>
  <c r="G21" i="20"/>
  <c r="R21" i="20" s="1"/>
  <c r="G20" i="20"/>
  <c r="G19" i="20"/>
  <c r="G18" i="20"/>
  <c r="G17" i="20"/>
  <c r="G16" i="20"/>
  <c r="G15" i="20"/>
  <c r="C27" i="21"/>
  <c r="C23" i="21"/>
  <c r="P26" i="21"/>
  <c r="P25" i="21"/>
  <c r="I26" i="21"/>
  <c r="I25" i="21"/>
  <c r="I27" i="21" s="1"/>
  <c r="P22" i="21"/>
  <c r="P21" i="21"/>
  <c r="P20" i="21"/>
  <c r="P19" i="21"/>
  <c r="P18" i="21"/>
  <c r="P17" i="21"/>
  <c r="P16" i="21"/>
  <c r="I22" i="21"/>
  <c r="I21" i="21"/>
  <c r="I20" i="21"/>
  <c r="I19" i="21"/>
  <c r="I18" i="21"/>
  <c r="I17" i="21"/>
  <c r="I16" i="21"/>
  <c r="V15" i="19"/>
  <c r="V16" i="19"/>
  <c r="V32" i="19"/>
  <c r="V31" i="19"/>
  <c r="V30" i="19"/>
  <c r="V29" i="19"/>
  <c r="V28" i="19"/>
  <c r="V27" i="19"/>
  <c r="V26" i="19"/>
  <c r="V25" i="19"/>
  <c r="V24" i="19"/>
  <c r="V23" i="19"/>
  <c r="V22" i="19"/>
  <c r="V21" i="19"/>
  <c r="V20" i="19"/>
  <c r="V19" i="19"/>
  <c r="V18" i="19"/>
  <c r="V17" i="19"/>
  <c r="P32" i="19"/>
  <c r="P31" i="19"/>
  <c r="P30" i="19"/>
  <c r="P29" i="19"/>
  <c r="P28" i="19"/>
  <c r="P27" i="19"/>
  <c r="P26" i="19"/>
  <c r="P25" i="19"/>
  <c r="P24" i="19"/>
  <c r="P23" i="19"/>
  <c r="P22" i="19"/>
  <c r="P21" i="19"/>
  <c r="P20" i="19"/>
  <c r="P19" i="19"/>
  <c r="P18" i="19"/>
  <c r="P17" i="19"/>
  <c r="P16" i="19"/>
  <c r="J32" i="19"/>
  <c r="J31" i="19"/>
  <c r="J30" i="19"/>
  <c r="W30" i="19" s="1"/>
  <c r="J29" i="19"/>
  <c r="J28" i="19"/>
  <c r="J27" i="19"/>
  <c r="J26" i="19"/>
  <c r="W26" i="19" s="1"/>
  <c r="J25" i="19"/>
  <c r="J24" i="19"/>
  <c r="J23" i="19"/>
  <c r="J22" i="19"/>
  <c r="W22" i="19" s="1"/>
  <c r="J21" i="19"/>
  <c r="J20" i="19"/>
  <c r="J19" i="19"/>
  <c r="J18" i="19"/>
  <c r="W18" i="19" s="1"/>
  <c r="J17" i="19"/>
  <c r="J16" i="19"/>
  <c r="E46" i="32"/>
  <c r="E45" i="32"/>
  <c r="E44" i="32"/>
  <c r="I29" i="9"/>
  <c r="I25" i="9"/>
  <c r="I20" i="9" s="1"/>
  <c r="I16" i="9"/>
  <c r="I13" i="9"/>
  <c r="I9" i="9" s="1"/>
  <c r="I32" i="9" s="1"/>
  <c r="I16" i="8"/>
  <c r="H16" i="8"/>
  <c r="I12" i="8"/>
  <c r="I11" i="8" s="1"/>
  <c r="H12" i="8"/>
  <c r="W79" i="18"/>
  <c r="U70" i="18"/>
  <c r="W70" i="18"/>
  <c r="W61" i="18"/>
  <c r="W52" i="18"/>
  <c r="W35" i="18"/>
  <c r="W30" i="18"/>
  <c r="W29" i="18" s="1"/>
  <c r="M22" i="20"/>
  <c r="N22" i="20"/>
  <c r="O22" i="20"/>
  <c r="O30" i="20" s="1"/>
  <c r="P22" i="20"/>
  <c r="G25" i="20"/>
  <c r="G29" i="20" s="1"/>
  <c r="L25" i="20"/>
  <c r="Q25" i="20"/>
  <c r="G26" i="20"/>
  <c r="Q26" i="20"/>
  <c r="G27" i="20"/>
  <c r="Q27" i="20"/>
  <c r="G28" i="20"/>
  <c r="Q28" i="20"/>
  <c r="R28" i="20" s="1"/>
  <c r="D29" i="20"/>
  <c r="E29" i="20"/>
  <c r="F29" i="20"/>
  <c r="H29" i="20"/>
  <c r="I29" i="20"/>
  <c r="J29" i="20"/>
  <c r="J30" i="20" s="1"/>
  <c r="K29" i="20"/>
  <c r="M29" i="20"/>
  <c r="N29" i="20"/>
  <c r="O29" i="20"/>
  <c r="P29" i="20"/>
  <c r="P15" i="19"/>
  <c r="W17" i="19"/>
  <c r="Q16" i="18"/>
  <c r="S16" i="18" s="1"/>
  <c r="V16" i="18" s="1"/>
  <c r="E17" i="18"/>
  <c r="F17" i="18"/>
  <c r="G17" i="18"/>
  <c r="H17" i="18"/>
  <c r="I17" i="18"/>
  <c r="J17" i="18"/>
  <c r="K17" i="18"/>
  <c r="L17" i="18"/>
  <c r="M17" i="18"/>
  <c r="N17" i="18"/>
  <c r="O17" i="18"/>
  <c r="P17" i="18"/>
  <c r="R17" i="18"/>
  <c r="T17" i="18"/>
  <c r="U17" i="18"/>
  <c r="Q18" i="18"/>
  <c r="S18" i="18" s="1"/>
  <c r="V18" i="18" s="1"/>
  <c r="Q19" i="18"/>
  <c r="S19" i="18" s="1"/>
  <c r="V19" i="18" s="1"/>
  <c r="Q20" i="18"/>
  <c r="S20" i="18" s="1"/>
  <c r="V20" i="18" s="1"/>
  <c r="E21" i="18"/>
  <c r="E15" i="18" s="1"/>
  <c r="F21" i="18"/>
  <c r="G21" i="18"/>
  <c r="H21" i="18"/>
  <c r="I21" i="18"/>
  <c r="J21" i="18"/>
  <c r="K21" i="18"/>
  <c r="L21" i="18"/>
  <c r="M21" i="18"/>
  <c r="N21" i="18"/>
  <c r="O21" i="18"/>
  <c r="P21" i="18"/>
  <c r="R21" i="18"/>
  <c r="R15" i="18" s="1"/>
  <c r="T21" i="18"/>
  <c r="U21" i="18"/>
  <c r="Q22" i="18"/>
  <c r="S22" i="18" s="1"/>
  <c r="V22" i="18" s="1"/>
  <c r="Q23" i="18"/>
  <c r="S23" i="18" s="1"/>
  <c r="V23" i="18" s="1"/>
  <c r="Q24" i="18"/>
  <c r="S24" i="18" s="1"/>
  <c r="V24" i="18" s="1"/>
  <c r="Q25" i="18"/>
  <c r="S25" i="18" s="1"/>
  <c r="V25" i="18" s="1"/>
  <c r="Q26" i="18"/>
  <c r="S26" i="18"/>
  <c r="V26" i="18" s="1"/>
  <c r="Q27" i="18"/>
  <c r="S27" i="18" s="1"/>
  <c r="V27" i="18" s="1"/>
  <c r="Q28" i="18"/>
  <c r="S28" i="18" s="1"/>
  <c r="V28" i="18" s="1"/>
  <c r="E30" i="18"/>
  <c r="F30" i="18"/>
  <c r="G30" i="18"/>
  <c r="H30" i="18"/>
  <c r="I30" i="18"/>
  <c r="J30" i="18"/>
  <c r="K30" i="18"/>
  <c r="L30" i="18"/>
  <c r="M30" i="18"/>
  <c r="N30" i="18"/>
  <c r="O30" i="18"/>
  <c r="P30" i="18"/>
  <c r="R30" i="18"/>
  <c r="T30" i="18"/>
  <c r="U30" i="18"/>
  <c r="Q31" i="18"/>
  <c r="S31" i="18" s="1"/>
  <c r="V31" i="18" s="1"/>
  <c r="Q32" i="18"/>
  <c r="S32" i="18" s="1"/>
  <c r="V32" i="18" s="1"/>
  <c r="Q33" i="18"/>
  <c r="S33" i="18" s="1"/>
  <c r="V33" i="18" s="1"/>
  <c r="Q34" i="18"/>
  <c r="S34" i="18"/>
  <c r="V34" i="18" s="1"/>
  <c r="E35" i="18"/>
  <c r="F35" i="18"/>
  <c r="G35" i="18"/>
  <c r="H35" i="18"/>
  <c r="I35" i="18"/>
  <c r="J35" i="18"/>
  <c r="K35" i="18"/>
  <c r="L35" i="18"/>
  <c r="M35" i="18"/>
  <c r="N35" i="18"/>
  <c r="O35" i="18"/>
  <c r="P35" i="18"/>
  <c r="R35" i="18"/>
  <c r="T35" i="18"/>
  <c r="U35" i="18"/>
  <c r="Q36" i="18"/>
  <c r="S36" i="18" s="1"/>
  <c r="V36" i="18" s="1"/>
  <c r="Q37" i="18"/>
  <c r="S37" i="18" s="1"/>
  <c r="V37" i="18" s="1"/>
  <c r="Q38" i="18"/>
  <c r="S38" i="18" s="1"/>
  <c r="V38" i="18" s="1"/>
  <c r="Q39" i="18"/>
  <c r="S39" i="18" s="1"/>
  <c r="V39" i="18" s="1"/>
  <c r="Q40" i="18"/>
  <c r="S40" i="18" s="1"/>
  <c r="V40" i="18" s="1"/>
  <c r="Q41" i="18"/>
  <c r="S41" i="18" s="1"/>
  <c r="V41" i="18" s="1"/>
  <c r="Q42" i="18"/>
  <c r="S42" i="18" s="1"/>
  <c r="V42" i="18" s="1"/>
  <c r="Q43" i="18"/>
  <c r="S43" i="18" s="1"/>
  <c r="V43" i="18" s="1"/>
  <c r="Q44" i="18"/>
  <c r="S44" i="18" s="1"/>
  <c r="V44" i="18" s="1"/>
  <c r="Q45" i="18"/>
  <c r="S45" i="18"/>
  <c r="V45" i="18" s="1"/>
  <c r="Q46" i="18"/>
  <c r="S46" i="18" s="1"/>
  <c r="V46" i="18" s="1"/>
  <c r="F47" i="18"/>
  <c r="G47" i="18"/>
  <c r="H47" i="18"/>
  <c r="I47" i="18"/>
  <c r="J47" i="18"/>
  <c r="K47" i="18"/>
  <c r="L47" i="18"/>
  <c r="M47" i="18"/>
  <c r="N47" i="18"/>
  <c r="O47" i="18"/>
  <c r="P47" i="18"/>
  <c r="R47" i="18"/>
  <c r="T47" i="18"/>
  <c r="U47" i="18"/>
  <c r="Q48" i="18"/>
  <c r="S48" i="18" s="1"/>
  <c r="V48" i="18" s="1"/>
  <c r="Q49" i="18"/>
  <c r="S49" i="18" s="1"/>
  <c r="V49" i="18" s="1"/>
  <c r="Q50" i="18"/>
  <c r="S50" i="18" s="1"/>
  <c r="V50" i="18" s="1"/>
  <c r="Q51" i="18"/>
  <c r="S51" i="18" s="1"/>
  <c r="V51" i="18" s="1"/>
  <c r="E52" i="18"/>
  <c r="F52" i="18"/>
  <c r="G52" i="18"/>
  <c r="H52" i="18"/>
  <c r="I52" i="18"/>
  <c r="J52" i="18"/>
  <c r="K52" i="18"/>
  <c r="L52" i="18"/>
  <c r="M52" i="18"/>
  <c r="N52" i="18"/>
  <c r="O52" i="18"/>
  <c r="P52" i="18"/>
  <c r="R52" i="18"/>
  <c r="T52" i="18"/>
  <c r="U52" i="18"/>
  <c r="Q53" i="18"/>
  <c r="S53" i="18" s="1"/>
  <c r="V53" i="18" s="1"/>
  <c r="Q54" i="18"/>
  <c r="S54" i="18" s="1"/>
  <c r="V54" i="18" s="1"/>
  <c r="Q55" i="18"/>
  <c r="S55" i="18" s="1"/>
  <c r="V55" i="18" s="1"/>
  <c r="Q56" i="18"/>
  <c r="S56" i="18" s="1"/>
  <c r="V56" i="18" s="1"/>
  <c r="Q57" i="18"/>
  <c r="S57" i="18" s="1"/>
  <c r="V57" i="18" s="1"/>
  <c r="Q58" i="18"/>
  <c r="S58" i="18" s="1"/>
  <c r="V58" i="18" s="1"/>
  <c r="Q59" i="18"/>
  <c r="S59" i="18" s="1"/>
  <c r="V59" i="18" s="1"/>
  <c r="Q60" i="18"/>
  <c r="S60" i="18" s="1"/>
  <c r="V60" i="18" s="1"/>
  <c r="E61" i="18"/>
  <c r="F61" i="18"/>
  <c r="G61" i="18"/>
  <c r="H61" i="18"/>
  <c r="I61" i="18"/>
  <c r="J61" i="18"/>
  <c r="K61" i="18"/>
  <c r="L61" i="18"/>
  <c r="M61" i="18"/>
  <c r="N61" i="18"/>
  <c r="O61" i="18"/>
  <c r="P61" i="18"/>
  <c r="R61" i="18"/>
  <c r="T61" i="18"/>
  <c r="U61" i="18"/>
  <c r="Q62" i="18"/>
  <c r="S62" i="18" s="1"/>
  <c r="V62" i="18" s="1"/>
  <c r="Q63" i="18"/>
  <c r="S63" i="18" s="1"/>
  <c r="V63" i="18" s="1"/>
  <c r="Q64" i="18"/>
  <c r="S64" i="18" s="1"/>
  <c r="V64" i="18" s="1"/>
  <c r="Q65" i="18"/>
  <c r="S65" i="18" s="1"/>
  <c r="V65" i="18" s="1"/>
  <c r="Q66" i="18"/>
  <c r="S66" i="18" s="1"/>
  <c r="V66" i="18" s="1"/>
  <c r="Q67" i="18"/>
  <c r="S67" i="18" s="1"/>
  <c r="V67" i="18" s="1"/>
  <c r="Q68" i="18"/>
  <c r="S68" i="18" s="1"/>
  <c r="V68" i="18" s="1"/>
  <c r="Q69" i="18"/>
  <c r="S69" i="18" s="1"/>
  <c r="V69" i="18" s="1"/>
  <c r="E70" i="18"/>
  <c r="F70" i="18"/>
  <c r="G70" i="18"/>
  <c r="H70" i="18"/>
  <c r="I70" i="18"/>
  <c r="J70" i="18"/>
  <c r="K70" i="18"/>
  <c r="L70" i="18"/>
  <c r="M70" i="18"/>
  <c r="N70" i="18"/>
  <c r="O70" i="18"/>
  <c r="P70" i="18"/>
  <c r="R70" i="18"/>
  <c r="T70" i="18"/>
  <c r="Q71" i="18"/>
  <c r="S71" i="18" s="1"/>
  <c r="V71" i="18" s="1"/>
  <c r="Q72" i="18"/>
  <c r="S72" i="18" s="1"/>
  <c r="V72" i="18" s="1"/>
  <c r="Q73" i="18"/>
  <c r="S73" i="18" s="1"/>
  <c r="V73" i="18" s="1"/>
  <c r="Q74" i="18"/>
  <c r="S74" i="18" s="1"/>
  <c r="V74" i="18" s="1"/>
  <c r="Q75" i="18"/>
  <c r="S75" i="18" s="1"/>
  <c r="V75" i="18" s="1"/>
  <c r="Q76" i="18"/>
  <c r="S76" i="18" s="1"/>
  <c r="V76" i="18" s="1"/>
  <c r="Q77" i="18"/>
  <c r="S77" i="18" s="1"/>
  <c r="V77" i="18" s="1"/>
  <c r="E79" i="18"/>
  <c r="E78" i="18" s="1"/>
  <c r="F79" i="18"/>
  <c r="F78" i="18" s="1"/>
  <c r="G79" i="18"/>
  <c r="G78" i="18" s="1"/>
  <c r="H79" i="18"/>
  <c r="H78" i="18" s="1"/>
  <c r="I79" i="18"/>
  <c r="I78" i="18" s="1"/>
  <c r="J79" i="18"/>
  <c r="J78" i="18" s="1"/>
  <c r="K79" i="18"/>
  <c r="K78" i="18" s="1"/>
  <c r="L79" i="18"/>
  <c r="L78" i="18" s="1"/>
  <c r="M79" i="18"/>
  <c r="M78" i="18" s="1"/>
  <c r="N79" i="18"/>
  <c r="N78" i="18" s="1"/>
  <c r="O79" i="18"/>
  <c r="O78" i="18" s="1"/>
  <c r="P79" i="18"/>
  <c r="P78" i="18" s="1"/>
  <c r="R79" i="18"/>
  <c r="R78" i="18" s="1"/>
  <c r="T79" i="18"/>
  <c r="T78" i="18"/>
  <c r="U79" i="18"/>
  <c r="U78" i="18" s="1"/>
  <c r="Q80" i="18"/>
  <c r="S80" i="18" s="1"/>
  <c r="V80" i="18" s="1"/>
  <c r="Q81" i="18"/>
  <c r="S81" i="18" s="1"/>
  <c r="V81" i="18" s="1"/>
  <c r="Q82" i="18"/>
  <c r="S82" i="18" s="1"/>
  <c r="V82" i="18" s="1"/>
  <c r="Q83" i="18"/>
  <c r="S83" i="18" s="1"/>
  <c r="V83" i="18" s="1"/>
  <c r="Q84" i="18"/>
  <c r="S84" i="18" s="1"/>
  <c r="V84" i="18" s="1"/>
  <c r="Q86" i="18"/>
  <c r="S88" i="18"/>
  <c r="T89" i="18"/>
  <c r="J14" i="17"/>
  <c r="J15" i="17"/>
  <c r="J16" i="17"/>
  <c r="J17" i="17"/>
  <c r="J18" i="17"/>
  <c r="J19" i="17"/>
  <c r="J20" i="17"/>
  <c r="J21" i="17"/>
  <c r="J22" i="17"/>
  <c r="J999" i="17"/>
  <c r="F1000" i="17"/>
  <c r="G1000" i="17"/>
  <c r="K1000" i="17"/>
  <c r="L1000" i="17"/>
  <c r="M1000" i="17"/>
  <c r="G18" i="14"/>
  <c r="H18" i="14" s="1"/>
  <c r="J18" i="14" s="1"/>
  <c r="G19" i="14"/>
  <c r="H19" i="14" s="1"/>
  <c r="J19" i="14" s="1"/>
  <c r="G20" i="14"/>
  <c r="H20" i="14" s="1"/>
  <c r="J20" i="14" s="1"/>
  <c r="G21" i="14"/>
  <c r="H21" i="14" s="1"/>
  <c r="J21" i="14" s="1"/>
  <c r="G22" i="14"/>
  <c r="H22" i="14" s="1"/>
  <c r="J22" i="14" s="1"/>
  <c r="G23" i="14"/>
  <c r="H23" i="14" s="1"/>
  <c r="J23" i="14" s="1"/>
  <c r="G24" i="14"/>
  <c r="H24" i="14" s="1"/>
  <c r="J24" i="14" s="1"/>
  <c r="G25" i="14"/>
  <c r="H25" i="14" s="1"/>
  <c r="J25" i="14" s="1"/>
  <c r="G26" i="14"/>
  <c r="H26" i="14" s="1"/>
  <c r="J26" i="14" s="1"/>
  <c r="G27" i="14"/>
  <c r="H27" i="14" s="1"/>
  <c r="J27" i="14" s="1"/>
  <c r="J65" i="28"/>
  <c r="L65" i="28"/>
  <c r="J75" i="28"/>
  <c r="L75" i="28"/>
  <c r="P30" i="20"/>
  <c r="W78" i="18"/>
  <c r="B31" i="25"/>
  <c r="Q22" i="20"/>
  <c r="E30" i="11"/>
  <c r="U29" i="18"/>
  <c r="E29" i="18"/>
  <c r="F15" i="18"/>
  <c r="C28" i="21" l="1"/>
  <c r="B20" i="25"/>
  <c r="H30" i="20"/>
  <c r="D30" i="20"/>
  <c r="C32" i="25"/>
  <c r="Q29" i="20"/>
  <c r="R19" i="20"/>
  <c r="R27" i="20"/>
  <c r="M30" i="20"/>
  <c r="R15" i="20"/>
  <c r="K30" i="20"/>
  <c r="R26" i="20"/>
  <c r="L29" i="20"/>
  <c r="N30" i="20"/>
  <c r="R16" i="20"/>
  <c r="Q17" i="18"/>
  <c r="S17" i="18" s="1"/>
  <c r="V17" i="18" s="1"/>
  <c r="Q70" i="18"/>
  <c r="S70" i="18" s="1"/>
  <c r="V70" i="18" s="1"/>
  <c r="P29" i="18"/>
  <c r="U15" i="18"/>
  <c r="Q30" i="20"/>
  <c r="R25" i="20"/>
  <c r="R29" i="20" s="1"/>
  <c r="F30" i="20"/>
  <c r="R17" i="20"/>
  <c r="D32" i="25"/>
  <c r="T29" i="18"/>
  <c r="Q47" i="18"/>
  <c r="S47" i="18" s="1"/>
  <c r="V47" i="18" s="1"/>
  <c r="J35" i="19"/>
  <c r="R18" i="20"/>
  <c r="E32" i="25"/>
  <c r="I32" i="25"/>
  <c r="Q35" i="18"/>
  <c r="S35" i="18" s="1"/>
  <c r="V35" i="18" s="1"/>
  <c r="R29" i="18"/>
  <c r="H32" i="25"/>
  <c r="G32" i="14"/>
  <c r="Q61" i="18"/>
  <c r="S61" i="18" s="1"/>
  <c r="V61" i="18" s="1"/>
  <c r="T15" i="18"/>
  <c r="I30" i="20"/>
  <c r="I21" i="8"/>
  <c r="W16" i="19"/>
  <c r="W20" i="19"/>
  <c r="W24" i="19"/>
  <c r="W28" i="19"/>
  <c r="W32" i="19"/>
  <c r="I23" i="21"/>
  <c r="I28" i="21" s="1"/>
  <c r="F29" i="11"/>
  <c r="F30" i="11" s="1"/>
  <c r="G30" i="11" s="1"/>
  <c r="H30" i="11" s="1"/>
  <c r="J29" i="11"/>
  <c r="I29" i="11"/>
  <c r="H31" i="13"/>
  <c r="H18" i="13"/>
  <c r="H12" i="13"/>
  <c r="H26" i="13" s="1"/>
  <c r="H39" i="13"/>
  <c r="I20" i="13"/>
  <c r="I28" i="13"/>
  <c r="H28" i="13"/>
  <c r="H34" i="13"/>
  <c r="H21" i="13"/>
  <c r="I35" i="13"/>
  <c r="I34" i="13" s="1"/>
  <c r="G22" i="20"/>
  <c r="G30" i="20" s="1"/>
  <c r="J16" i="8"/>
  <c r="H11" i="8"/>
  <c r="J12" i="8"/>
  <c r="L14" i="40"/>
  <c r="J1001" i="40"/>
  <c r="M189" i="42"/>
  <c r="M179" i="42"/>
  <c r="W19" i="19"/>
  <c r="V35" i="19"/>
  <c r="P35" i="19"/>
  <c r="W21" i="19"/>
  <c r="W23" i="19"/>
  <c r="W25" i="19"/>
  <c r="W27" i="19"/>
  <c r="W29" i="19"/>
  <c r="W31" i="19"/>
  <c r="F29" i="18"/>
  <c r="F85" i="18" s="1"/>
  <c r="F87" i="18" s="1"/>
  <c r="F90" i="18" s="1"/>
  <c r="T88" i="18"/>
  <c r="P15" i="18"/>
  <c r="P85" i="18" s="1"/>
  <c r="P87" i="18" s="1"/>
  <c r="P90" i="18" s="1"/>
  <c r="N15" i="18"/>
  <c r="L15" i="18"/>
  <c r="J15" i="18"/>
  <c r="I21" i="13"/>
  <c r="E85" i="18"/>
  <c r="E87" i="18" s="1"/>
  <c r="E90" i="18" s="1"/>
  <c r="J77" i="28"/>
  <c r="N29" i="18"/>
  <c r="L29" i="18"/>
  <c r="J29" i="18"/>
  <c r="H29" i="18"/>
  <c r="L77" i="28"/>
  <c r="U89" i="18"/>
  <c r="Q52" i="18"/>
  <c r="Q30" i="18"/>
  <c r="S30" i="18" s="1"/>
  <c r="V30" i="18" s="1"/>
  <c r="O29" i="18"/>
  <c r="M29" i="18"/>
  <c r="K29" i="18"/>
  <c r="G29" i="18"/>
  <c r="O15" i="18"/>
  <c r="O85" i="18" s="1"/>
  <c r="O87" i="18" s="1"/>
  <c r="O90" i="18" s="1"/>
  <c r="M15" i="18"/>
  <c r="M85" i="18" s="1"/>
  <c r="M87" i="18" s="1"/>
  <c r="M90" i="18" s="1"/>
  <c r="W15" i="19"/>
  <c r="I39" i="13"/>
  <c r="B15" i="25"/>
  <c r="J17" i="14"/>
  <c r="M16" i="11"/>
  <c r="P23" i="21"/>
  <c r="P27" i="21"/>
  <c r="R20" i="20"/>
  <c r="L22" i="20"/>
  <c r="I15" i="18"/>
  <c r="H15" i="18"/>
  <c r="H85" i="18" s="1"/>
  <c r="H87" i="18" s="1"/>
  <c r="H90" i="18" s="1"/>
  <c r="I29" i="18"/>
  <c r="W91" i="18"/>
  <c r="R86" i="18"/>
  <c r="Q79" i="18"/>
  <c r="Q21" i="18"/>
  <c r="S21" i="18" s="1"/>
  <c r="V21" i="18" s="1"/>
  <c r="G15" i="18"/>
  <c r="G85" i="18" s="1"/>
  <c r="G87" i="18" s="1"/>
  <c r="G90" i="18" s="1"/>
  <c r="K15" i="18"/>
  <c r="J1000" i="17"/>
  <c r="J1001" i="17" s="1"/>
  <c r="M17" i="40"/>
  <c r="O17" i="40" s="1"/>
  <c r="I18" i="13"/>
  <c r="I12" i="13"/>
  <c r="L46" i="28"/>
  <c r="J46" i="28"/>
  <c r="J67" i="28" s="1"/>
  <c r="M18" i="40"/>
  <c r="O18" i="40" s="1"/>
  <c r="Q29" i="18"/>
  <c r="S29" i="18" s="1"/>
  <c r="V29" i="18" s="1"/>
  <c r="S52" i="18"/>
  <c r="V52" i="18" s="1"/>
  <c r="K85" i="18"/>
  <c r="K87" i="18" s="1"/>
  <c r="K90" i="18" s="1"/>
  <c r="J85" i="18"/>
  <c r="J87" i="18" s="1"/>
  <c r="J90" i="18" s="1"/>
  <c r="I31" i="13"/>
  <c r="M11" i="11"/>
  <c r="M29" i="11" s="1"/>
  <c r="B32" i="25" l="1"/>
  <c r="L30" i="20"/>
  <c r="L85" i="18"/>
  <c r="L87" i="18" s="1"/>
  <c r="L90" i="18" s="1"/>
  <c r="N85" i="18"/>
  <c r="N87" i="18" s="1"/>
  <c r="N90" i="18" s="1"/>
  <c r="P28" i="21"/>
  <c r="I85" i="18"/>
  <c r="I87" i="18" s="1"/>
  <c r="I90" i="18" s="1"/>
  <c r="R22" i="20"/>
  <c r="R30" i="20" s="1"/>
  <c r="H46" i="13"/>
  <c r="H47" i="13" s="1"/>
  <c r="H48" i="13" s="1"/>
  <c r="I30" i="11"/>
  <c r="J30" i="11" s="1"/>
  <c r="K30" i="11" s="1"/>
  <c r="I46" i="13"/>
  <c r="Q15" i="18"/>
  <c r="S15" i="18" s="1"/>
  <c r="V15" i="18" s="1"/>
  <c r="J11" i="8"/>
  <c r="J21" i="8" s="1"/>
  <c r="H21" i="8"/>
  <c r="L67" i="28"/>
  <c r="L82" i="28"/>
  <c r="M14" i="40"/>
  <c r="L1001" i="40"/>
  <c r="W35" i="19"/>
  <c r="L79" i="28"/>
  <c r="Q78" i="18"/>
  <c r="S78" i="18" s="1"/>
  <c r="V78" i="18" s="1"/>
  <c r="S79" i="18"/>
  <c r="V79" i="18" s="1"/>
  <c r="I26" i="13"/>
  <c r="J79" i="28"/>
  <c r="J82" i="28"/>
  <c r="U90" i="18" l="1"/>
  <c r="R87" i="18"/>
  <c r="I47" i="13"/>
  <c r="I48" i="13" s="1"/>
  <c r="S87" i="18"/>
  <c r="V90" i="18" s="1"/>
  <c r="V89" i="18"/>
  <c r="M1001" i="40"/>
  <c r="O1001" i="40" s="1"/>
  <c r="O14" i="40"/>
  <c r="Q85" i="18"/>
  <c r="K72" i="46"/>
  <c r="H62" i="46"/>
  <c r="K62" i="46" s="1"/>
  <c r="K152" i="46" s="1"/>
  <c r="I62" i="46"/>
  <c r="I152" i="46" s="1"/>
  <c r="J62" i="46"/>
  <c r="J152" i="46" s="1"/>
  <c r="H152" i="46" l="1"/>
</calcChain>
</file>

<file path=xl/comments1.xml><?xml version="1.0" encoding="utf-8"?>
<comments xmlns="http://schemas.openxmlformats.org/spreadsheetml/2006/main">
  <authors>
    <author>mak vannak</author>
  </authors>
  <commentList>
    <comment ref="L9" authorId="0">
      <text>
        <r>
          <rPr>
            <b/>
            <sz val="12"/>
            <color indexed="81"/>
            <rFont val="Tahoma"/>
            <family val="2"/>
          </rPr>
          <t>In Additional Reports Required of Sarat List</t>
        </r>
      </text>
    </comment>
    <comment ref="L10" authorId="0">
      <text>
        <r>
          <rPr>
            <b/>
            <sz val="12"/>
            <color indexed="81"/>
            <rFont val="Tahoma"/>
            <family val="2"/>
          </rPr>
          <t xml:space="preserve">in Additional Reports Required of Sarat List
</t>
        </r>
      </text>
    </comment>
    <comment ref="L19" authorId="0">
      <text>
        <r>
          <rPr>
            <b/>
            <sz val="12"/>
            <color indexed="81"/>
            <rFont val="Tahoma"/>
            <family val="2"/>
          </rPr>
          <t>In Additional Reports Required</t>
        </r>
      </text>
    </comment>
  </commentList>
</comments>
</file>

<file path=xl/comments2.xml><?xml version="1.0" encoding="utf-8"?>
<comments xmlns="http://schemas.openxmlformats.org/spreadsheetml/2006/main">
  <authors>
    <author>sokhomoliyuth</author>
  </authors>
  <commentList>
    <comment ref="D8" authorId="0">
      <text>
        <r>
          <rPr>
            <b/>
            <sz val="9"/>
            <color indexed="81"/>
            <rFont val="Tahoma"/>
            <family val="2"/>
          </rPr>
          <t xml:space="preserve">Small bank:
Networth is in KHR Riel (In Million Riel)
</t>
        </r>
        <r>
          <rPr>
            <sz val="9"/>
            <color indexed="81"/>
            <rFont val="Tahoma"/>
            <family val="2"/>
          </rPr>
          <t xml:space="preserve">
</t>
        </r>
      </text>
    </comment>
  </commentList>
</comments>
</file>

<file path=xl/comments3.xml><?xml version="1.0" encoding="utf-8"?>
<comments xmlns="http://schemas.openxmlformats.org/spreadsheetml/2006/main">
  <authors>
    <author>mak vannak</author>
  </authors>
  <commentList>
    <comment ref="H16" authorId="0">
      <text>
        <r>
          <rPr>
            <b/>
            <sz val="8"/>
            <color indexed="81"/>
            <rFont val="Tahoma"/>
            <family val="2"/>
          </rPr>
          <t>can be withdrawn and put back unexpectedly</t>
        </r>
      </text>
    </comment>
    <comment ref="I16" authorId="0">
      <text>
        <r>
          <rPr>
            <b/>
            <sz val="8"/>
            <color indexed="81"/>
            <rFont val="Tahoma"/>
            <family val="2"/>
          </rPr>
          <t>= Fixed Loans + Revolving Loans + Trust Receipts</t>
        </r>
      </text>
    </comment>
    <comment ref="J16" authorId="0">
      <text>
        <r>
          <rPr>
            <b/>
            <sz val="8"/>
            <color indexed="81"/>
            <rFont val="Tahoma"/>
            <family val="2"/>
          </rPr>
          <t>= Letter of Credits + Acceptance Bills + Banker's Garantees.</t>
        </r>
      </text>
    </comment>
  </commentList>
</comments>
</file>

<file path=xl/comments4.xml><?xml version="1.0" encoding="utf-8"?>
<comments xmlns="http://schemas.openxmlformats.org/spreadsheetml/2006/main">
  <authors>
    <author>Administrator</author>
    <author>sokhomoliyuth</author>
  </authors>
  <commentList>
    <comment ref="B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B46" authorId="1">
      <text>
        <r>
          <rPr>
            <b/>
            <sz val="8"/>
            <color indexed="81"/>
            <rFont val="Tahoma"/>
            <family val="2"/>
          </rPr>
          <t xml:space="preserve">Administrator:
If a person (Single beneficiary) who has many loan types, please list in same number.
</t>
        </r>
        <r>
          <rPr>
            <sz val="8"/>
            <color indexed="81"/>
            <rFont val="Tahoma"/>
            <family val="2"/>
          </rPr>
          <t xml:space="preserve">
</t>
        </r>
      </text>
    </comment>
    <comment ref="B47" authorId="1">
      <text>
        <r>
          <rPr>
            <b/>
            <sz val="8"/>
            <color indexed="81"/>
            <rFont val="Tahoma"/>
            <family val="2"/>
          </rPr>
          <t>Administrator:
If a person (Single beneficiary) who has many loan types, please list in same number.
:</t>
        </r>
        <r>
          <rPr>
            <sz val="8"/>
            <color indexed="81"/>
            <rFont val="Tahoma"/>
            <family val="2"/>
          </rPr>
          <t xml:space="preserve">
</t>
        </r>
      </text>
    </comment>
    <comment ref="B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 authorId="1">
      <text>
        <r>
          <rPr>
            <b/>
            <sz val="8"/>
            <color indexed="81"/>
            <rFont val="Tahoma"/>
            <family val="2"/>
          </rPr>
          <t>Administrator:
If a person (Single beneficiary) who has many loan types, please list in same number.</t>
        </r>
      </text>
    </comment>
    <comment ref="B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 authorId="1">
      <text>
        <r>
          <rPr>
            <b/>
            <sz val="8"/>
            <color indexed="81"/>
            <rFont val="Tahoma"/>
            <family val="2"/>
          </rPr>
          <t>sokhomoliyuth:</t>
        </r>
        <r>
          <rPr>
            <sz val="8"/>
            <color indexed="81"/>
            <rFont val="Tahoma"/>
            <family val="2"/>
          </rPr>
          <t xml:space="preserve">
</t>
        </r>
      </text>
    </comment>
    <comment ref="B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 authorId="1">
      <text>
        <r>
          <rPr>
            <b/>
            <sz val="8"/>
            <color indexed="81"/>
            <rFont val="Tahoma"/>
            <family val="2"/>
          </rPr>
          <t>.AddComment ("Administrator: If a person (Single beneficiary) who has many loan types, please list in same number.")</t>
        </r>
      </text>
    </comment>
    <comment ref="B54" authorId="1">
      <text>
        <r>
          <rPr>
            <b/>
            <sz val="8"/>
            <color indexed="81"/>
            <rFont val="Tahoma"/>
            <family val="2"/>
          </rPr>
          <t xml:space="preserve">.AddComment ("Administrator: If a person (Single beneficiary) who has many loan types, please list in same number.")
</t>
        </r>
      </text>
    </comment>
    <comment ref="B55" authorId="1">
      <text>
        <r>
          <rPr>
            <b/>
            <sz val="8"/>
            <color indexed="81"/>
            <rFont val="Tahoma"/>
            <family val="2"/>
          </rPr>
          <t xml:space="preserve">.AddComment ("Administrator: If a person (Single beneficiary) who has many loan types, please list in same number.")
</t>
        </r>
      </text>
    </comment>
    <comment ref="B56" authorId="1">
      <text>
        <r>
          <rPr>
            <b/>
            <sz val="8"/>
            <color indexed="81"/>
            <rFont val="Tahoma"/>
            <family val="2"/>
          </rPr>
          <t xml:space="preserve">.AddComment ("Administrator: If a person (Single beneficiary) who has many loan types, please list in same number.")
</t>
        </r>
      </text>
    </comment>
    <comment ref="B57" authorId="1">
      <text>
        <r>
          <rPr>
            <b/>
            <sz val="8"/>
            <color indexed="81"/>
            <rFont val="Tahoma"/>
            <family val="2"/>
          </rPr>
          <t xml:space="preserve">.AddComment ("Administrator: If a person (Single beneficiary) who has many loan types, please list in same number.")
</t>
        </r>
      </text>
    </comment>
    <comment ref="B58" authorId="1">
      <text>
        <r>
          <rPr>
            <b/>
            <sz val="8"/>
            <color indexed="81"/>
            <rFont val="Tahoma"/>
            <family val="2"/>
          </rPr>
          <t xml:space="preserve">.AddComment ("Administrator: If a person (Single beneficiary) who has many loan types, please list in same number.")
</t>
        </r>
      </text>
    </comment>
    <comment ref="B59" authorId="1">
      <text>
        <r>
          <rPr>
            <b/>
            <sz val="8"/>
            <color indexed="81"/>
            <rFont val="Tahoma"/>
            <family val="2"/>
          </rPr>
          <t xml:space="preserve">.AddComment ("Administrator: If a person (Single beneficiary) who has many loan types, please list in same number.")
</t>
        </r>
      </text>
    </comment>
    <comment ref="B60" authorId="1">
      <text>
        <r>
          <rPr>
            <b/>
            <sz val="8"/>
            <color indexed="81"/>
            <rFont val="Tahoma"/>
            <family val="2"/>
          </rPr>
          <t xml:space="preserve">.AddComment ("Administrator: If a person (Single beneficiary) who has many loan types, please list in same number.")
</t>
        </r>
      </text>
    </comment>
    <comment ref="B61" authorId="1">
      <text>
        <r>
          <rPr>
            <b/>
            <sz val="8"/>
            <color indexed="81"/>
            <rFont val="Tahoma"/>
            <family val="2"/>
          </rPr>
          <t xml:space="preserve">.AddComment ("Administrator: If a person (Single beneficiary) who has many loan types, please list in same number.")
</t>
        </r>
      </text>
    </comment>
    <comment ref="B62" authorId="1">
      <text>
        <r>
          <rPr>
            <b/>
            <sz val="8"/>
            <color indexed="81"/>
            <rFont val="Tahoma"/>
            <family val="2"/>
          </rPr>
          <t xml:space="preserve">.AddComment ("Administrator: If a person (Single beneficiary) who has many loan types, please list in same number.")
</t>
        </r>
      </text>
    </comment>
    <comment ref="B63" authorId="1">
      <text>
        <r>
          <rPr>
            <b/>
            <sz val="8"/>
            <color indexed="81"/>
            <rFont val="Tahoma"/>
            <family val="2"/>
          </rPr>
          <t xml:space="preserve">.AddComment ("Administrator: If a person (Single beneficiary) who has many loan types, please list in same number.")
</t>
        </r>
      </text>
    </comment>
    <comment ref="B64" authorId="1">
      <text>
        <r>
          <rPr>
            <b/>
            <sz val="8"/>
            <color indexed="81"/>
            <rFont val="Tahoma"/>
            <family val="2"/>
          </rPr>
          <t xml:space="preserve">.AddComment ("Administrator: If a person (Single beneficiary) who has many loan types, please list in same number.")
</t>
        </r>
      </text>
    </comment>
    <comment ref="B65" authorId="1">
      <text>
        <r>
          <rPr>
            <b/>
            <sz val="8"/>
            <color indexed="81"/>
            <rFont val="Tahoma"/>
            <family val="2"/>
          </rPr>
          <t xml:space="preserve">.AddComment ("Administrator: If a person (Single beneficiary) who has many loan types, please list in same number.")
</t>
        </r>
      </text>
    </comment>
    <comment ref="B66" authorId="1">
      <text>
        <r>
          <rPr>
            <b/>
            <sz val="8"/>
            <color indexed="81"/>
            <rFont val="Tahoma"/>
            <family val="2"/>
          </rPr>
          <t xml:space="preserve">.AddComment ("Administrator: If a person (Single beneficiary) who has many loan types, please list in same number.")
</t>
        </r>
      </text>
    </comment>
    <comment ref="B67" authorId="1">
      <text>
        <r>
          <rPr>
            <b/>
            <sz val="8"/>
            <color indexed="81"/>
            <rFont val="Tahoma"/>
            <family val="2"/>
          </rPr>
          <t xml:space="preserve">.AddComment ("Administrator: If a person (Single beneficiary) who has many loan types, please list in same number.")
</t>
        </r>
      </text>
    </comment>
    <comment ref="B68" authorId="1">
      <text>
        <r>
          <rPr>
            <b/>
            <sz val="8"/>
            <color indexed="81"/>
            <rFont val="Tahoma"/>
            <family val="2"/>
          </rPr>
          <t xml:space="preserve">.AddComment ("Administrator: If a person (Single beneficiary) who has many loan types, please list in same number.")
</t>
        </r>
      </text>
    </comment>
    <comment ref="B69" authorId="1">
      <text>
        <r>
          <rPr>
            <b/>
            <sz val="8"/>
            <color indexed="81"/>
            <rFont val="Tahoma"/>
            <family val="2"/>
          </rPr>
          <t xml:space="preserve">.AddComment ("Administrator: If a person (Single beneficiary) who has many loan types, please list in same number.")
</t>
        </r>
      </text>
    </comment>
    <comment ref="B70" authorId="1">
      <text>
        <r>
          <rPr>
            <b/>
            <sz val="8"/>
            <color indexed="81"/>
            <rFont val="Tahoma"/>
            <family val="2"/>
          </rPr>
          <t xml:space="preserve">.AddComment ("Administrator: If a person (Single beneficiary) who has many loan types, please list in same number.")
</t>
        </r>
      </text>
    </comment>
    <comment ref="B71" authorId="1">
      <text>
        <r>
          <rPr>
            <b/>
            <sz val="8"/>
            <color indexed="81"/>
            <rFont val="Tahoma"/>
            <family val="2"/>
          </rPr>
          <t xml:space="preserve">.AddComment ("Administrator: If a person (Single beneficiary) who has many loan types, please list in same number.")
</t>
        </r>
      </text>
    </comment>
    <comment ref="B72" authorId="1">
      <text>
        <r>
          <rPr>
            <b/>
            <sz val="8"/>
            <color indexed="81"/>
            <rFont val="Tahoma"/>
            <family val="2"/>
          </rPr>
          <t xml:space="preserve">.AddComment ("Administrator: If a person (Single beneficiary) who has many loan types, please list in same number.")
</t>
        </r>
      </text>
    </comment>
    <comment ref="B73" authorId="1">
      <text>
        <r>
          <rPr>
            <b/>
            <sz val="8"/>
            <color indexed="81"/>
            <rFont val="Tahoma"/>
            <family val="2"/>
          </rPr>
          <t xml:space="preserve">.AddComment ("Administrator: If a person (Single beneficiary) who has many loan types, please list in same number.")
</t>
        </r>
      </text>
    </comment>
    <comment ref="B74" authorId="1">
      <text>
        <r>
          <rPr>
            <b/>
            <sz val="8"/>
            <color indexed="81"/>
            <rFont val="Tahoma"/>
            <family val="2"/>
          </rPr>
          <t xml:space="preserve">.AddComment ("Administrator: If a person (Single beneficiary) who has many loan types, please list in same number.")
</t>
        </r>
      </text>
    </comment>
    <comment ref="B75" authorId="1">
      <text>
        <r>
          <rPr>
            <b/>
            <sz val="8"/>
            <color indexed="81"/>
            <rFont val="Tahoma"/>
            <family val="2"/>
          </rPr>
          <t xml:space="preserve">.AddComment ("Administrator: If a person (Single beneficiary) who has many loan types, please list in same number.")
</t>
        </r>
      </text>
    </comment>
    <comment ref="B76" authorId="1">
      <text>
        <r>
          <rPr>
            <b/>
            <sz val="8"/>
            <color indexed="81"/>
            <rFont val="Tahoma"/>
            <family val="2"/>
          </rPr>
          <t xml:space="preserve">.AddComment ("Administrator: If a person (Single beneficiary) who has many loan types, please list in same number.")
</t>
        </r>
      </text>
    </comment>
    <comment ref="B77" authorId="1">
      <text>
        <r>
          <rPr>
            <b/>
            <sz val="8"/>
            <color indexed="81"/>
            <rFont val="Tahoma"/>
            <family val="2"/>
          </rPr>
          <t xml:space="preserve">.AddComment ("Administrator: If a person (Single beneficiary) who has many loan types, please list in same number.")
</t>
        </r>
      </text>
    </comment>
    <comment ref="B78" authorId="1">
      <text>
        <r>
          <rPr>
            <b/>
            <sz val="8"/>
            <color indexed="81"/>
            <rFont val="Tahoma"/>
            <family val="2"/>
          </rPr>
          <t xml:space="preserve">.AddComment ("Administrator: If a person (Single beneficiary) who has many loan types, please list in same number.")
</t>
        </r>
      </text>
    </comment>
    <comment ref="B79" authorId="1">
      <text>
        <r>
          <rPr>
            <b/>
            <sz val="8"/>
            <color indexed="81"/>
            <rFont val="Tahoma"/>
            <family val="2"/>
          </rPr>
          <t xml:space="preserve">.AddComment ("Administrator: If a person (Single beneficiary) who has many loan types, please list in same number.")
</t>
        </r>
      </text>
    </comment>
    <comment ref="B80" authorId="1">
      <text>
        <r>
          <rPr>
            <b/>
            <sz val="8"/>
            <color indexed="81"/>
            <rFont val="Tahoma"/>
            <family val="2"/>
          </rPr>
          <t xml:space="preserve">.AddComment ("Administrator: If a person (Single beneficiary) who has many loan types, please list in same number.")
</t>
        </r>
      </text>
    </comment>
    <comment ref="B81" authorId="1">
      <text>
        <r>
          <rPr>
            <b/>
            <sz val="8"/>
            <color indexed="81"/>
            <rFont val="Tahoma"/>
            <family val="2"/>
          </rPr>
          <t xml:space="preserve">.AddComment ("Administrator: If a person (Single beneficiary) who has many loan types, please list in same number.")
</t>
        </r>
      </text>
    </comment>
    <comment ref="B82" authorId="1">
      <text>
        <r>
          <rPr>
            <b/>
            <sz val="8"/>
            <color indexed="81"/>
            <rFont val="Tahoma"/>
            <family val="2"/>
          </rPr>
          <t xml:space="preserve">.AddComment ("Administrator: If a person (Single beneficiary) who has many loan types, please list in same number.")
</t>
        </r>
      </text>
    </comment>
    <comment ref="B83" authorId="1">
      <text>
        <r>
          <rPr>
            <b/>
            <sz val="8"/>
            <color indexed="81"/>
            <rFont val="Tahoma"/>
            <family val="2"/>
          </rPr>
          <t xml:space="preserve">.AddComment ("Administrator: If a person (Single beneficiary) who has many loan types, please list in same number.")
</t>
        </r>
      </text>
    </comment>
    <comment ref="B84" authorId="1">
      <text>
        <r>
          <rPr>
            <b/>
            <sz val="8"/>
            <color indexed="81"/>
            <rFont val="Tahoma"/>
            <family val="2"/>
          </rPr>
          <t xml:space="preserve">.AddComment ("Administrator: If a person (Single beneficiary) who has many loan types, please list in same number.")
</t>
        </r>
      </text>
    </comment>
    <comment ref="B85" authorId="1">
      <text>
        <r>
          <rPr>
            <b/>
            <sz val="8"/>
            <color indexed="81"/>
            <rFont val="Tahoma"/>
            <family val="2"/>
          </rPr>
          <t xml:space="preserve">.AddComment ("Administrator: If a person (Single beneficiary) who has many loan types, please list in same number.")
</t>
        </r>
      </text>
    </comment>
    <comment ref="B86" authorId="1">
      <text>
        <r>
          <rPr>
            <b/>
            <sz val="8"/>
            <color indexed="81"/>
            <rFont val="Tahoma"/>
            <family val="2"/>
          </rPr>
          <t xml:space="preserve">.AddComment ("Administrator: If a person (Single beneficiary) who has many loan types, please list in same number.")
</t>
        </r>
      </text>
    </comment>
    <comment ref="B87" authorId="1">
      <text>
        <r>
          <rPr>
            <b/>
            <sz val="8"/>
            <color indexed="81"/>
            <rFont val="Tahoma"/>
            <family val="2"/>
          </rPr>
          <t xml:space="preserve">.AddComment ("Administrator: If a person (Single beneficiary) who has many loan types, please list in same number.")
</t>
        </r>
      </text>
    </comment>
    <comment ref="B88" authorId="1">
      <text>
        <r>
          <rPr>
            <b/>
            <sz val="8"/>
            <color indexed="81"/>
            <rFont val="Tahoma"/>
            <family val="2"/>
          </rPr>
          <t xml:space="preserve">.AddComment ("Administrator: If a person (Single beneficiary) who has many loan types, please list in same number.")
</t>
        </r>
      </text>
    </comment>
    <comment ref="B89" authorId="1">
      <text>
        <r>
          <rPr>
            <b/>
            <sz val="8"/>
            <color indexed="81"/>
            <rFont val="Tahoma"/>
            <family val="2"/>
          </rPr>
          <t xml:space="preserve">.AddComment ("Administrator: If a person (Single beneficiary) who has many loan types, please list in same number.")
</t>
        </r>
      </text>
    </comment>
    <comment ref="B90" authorId="1">
      <text>
        <r>
          <rPr>
            <b/>
            <sz val="8"/>
            <color indexed="81"/>
            <rFont val="Tahoma"/>
            <family val="2"/>
          </rPr>
          <t xml:space="preserve">.AddComment ("Administrator: If a person (Single beneficiary) who has many loan types, please list in same number.")
</t>
        </r>
      </text>
    </comment>
    <comment ref="B91" authorId="1">
      <text>
        <r>
          <rPr>
            <b/>
            <sz val="8"/>
            <color indexed="81"/>
            <rFont val="Tahoma"/>
            <family val="2"/>
          </rPr>
          <t xml:space="preserve">.AddComment ("Administrator: If a person (Single beneficiary) who has many loan types, please list in same number.")
</t>
        </r>
      </text>
    </comment>
    <comment ref="B92" authorId="1">
      <text>
        <r>
          <rPr>
            <b/>
            <sz val="8"/>
            <color indexed="81"/>
            <rFont val="Tahoma"/>
            <family val="2"/>
          </rPr>
          <t xml:space="preserve">.AddComment ("Administrator: If a person (Single beneficiary) who has many loan types, please list in same number.")
</t>
        </r>
      </text>
    </comment>
    <comment ref="B93" authorId="1">
      <text>
        <r>
          <rPr>
            <b/>
            <sz val="8"/>
            <color indexed="81"/>
            <rFont val="Tahoma"/>
            <family val="2"/>
          </rPr>
          <t xml:space="preserve">.AddComment ("Administrator: If a person (Single beneficiary) who has many loan types, please list in same number.")
</t>
        </r>
      </text>
    </comment>
    <comment ref="B94" authorId="1">
      <text>
        <r>
          <rPr>
            <b/>
            <sz val="8"/>
            <color indexed="81"/>
            <rFont val="Tahoma"/>
            <family val="2"/>
          </rPr>
          <t xml:space="preserve">.AddComment ("Administrator: If a person (Single beneficiary) who has many loan types, please list in same number.")
</t>
        </r>
      </text>
    </comment>
    <comment ref="B95" authorId="1">
      <text>
        <r>
          <rPr>
            <b/>
            <sz val="8"/>
            <color indexed="81"/>
            <rFont val="Tahoma"/>
            <family val="2"/>
          </rPr>
          <t xml:space="preserve">.AddComment ("Administrator: If a person (Single beneficiary) who has many loan types, please list in same number.")
</t>
        </r>
      </text>
    </comment>
    <comment ref="B96" authorId="1">
      <text>
        <r>
          <rPr>
            <b/>
            <sz val="8"/>
            <color indexed="81"/>
            <rFont val="Tahoma"/>
            <family val="2"/>
          </rPr>
          <t xml:space="preserve">.AddComment ("Administrator: If a person (Single beneficiary) who has many loan types, please list in same number.")
</t>
        </r>
      </text>
    </comment>
    <comment ref="B97" authorId="1">
      <text>
        <r>
          <rPr>
            <b/>
            <sz val="8"/>
            <color indexed="81"/>
            <rFont val="Tahoma"/>
            <family val="2"/>
          </rPr>
          <t xml:space="preserve">.AddComment ("Administrator: If a person (Single beneficiary) who has many loan types, please list in same number.")
</t>
        </r>
      </text>
    </comment>
    <comment ref="B98" authorId="1">
      <text>
        <r>
          <rPr>
            <b/>
            <sz val="8"/>
            <color indexed="81"/>
            <rFont val="Tahoma"/>
            <family val="2"/>
          </rPr>
          <t xml:space="preserve">.AddComment ("Administrator: If a person (Single beneficiary) who has many loan types, please list in same number.")
</t>
        </r>
      </text>
    </comment>
    <comment ref="B99" authorId="1">
      <text>
        <r>
          <rPr>
            <b/>
            <sz val="8"/>
            <color indexed="81"/>
            <rFont val="Tahoma"/>
            <family val="2"/>
          </rPr>
          <t xml:space="preserve">.AddComment ("Administrator: If a person (Single beneficiary) who has many loan types, please list in same number.")
</t>
        </r>
      </text>
    </comment>
    <comment ref="B100" authorId="1">
      <text>
        <r>
          <rPr>
            <b/>
            <sz val="8"/>
            <color indexed="81"/>
            <rFont val="Tahoma"/>
            <family val="2"/>
          </rPr>
          <t xml:space="preserve">.AddComment ("Administrator: If a person (Single beneficiary) who has many loan types, please list in same number.")
</t>
        </r>
      </text>
    </comment>
    <comment ref="B101" authorId="1">
      <text>
        <r>
          <rPr>
            <b/>
            <sz val="8"/>
            <color indexed="81"/>
            <rFont val="Tahoma"/>
            <family val="2"/>
          </rPr>
          <t xml:space="preserve">.AddComment ("Administrator: If a person (Single beneficiary) who has many loan types, please list in same number.")
</t>
        </r>
      </text>
    </comment>
    <comment ref="B102" authorId="1">
      <text>
        <r>
          <rPr>
            <b/>
            <sz val="8"/>
            <color indexed="81"/>
            <rFont val="Tahoma"/>
            <family val="2"/>
          </rPr>
          <t xml:space="preserve">.AddComment ("Administrator: If a person (Single beneficiary) who has many loan types, please list in same number.")
</t>
        </r>
      </text>
    </comment>
    <comment ref="B103" authorId="1">
      <text>
        <r>
          <rPr>
            <b/>
            <sz val="8"/>
            <color indexed="81"/>
            <rFont val="Tahoma"/>
            <family val="2"/>
          </rPr>
          <t xml:space="preserve">.AddComment ("Administrator: If a person (Single beneficiary) who has many loan types, please list in same number.")
</t>
        </r>
      </text>
    </comment>
    <comment ref="B104" authorId="1">
      <text>
        <r>
          <rPr>
            <b/>
            <sz val="8"/>
            <color indexed="81"/>
            <rFont val="Tahoma"/>
            <family val="2"/>
          </rPr>
          <t xml:space="preserve">.AddComment ("Administrator: If a person (Single beneficiary) who has many loan types, please list in same number.")
</t>
        </r>
      </text>
    </comment>
    <comment ref="B105" authorId="1">
      <text>
        <r>
          <rPr>
            <b/>
            <sz val="8"/>
            <color indexed="81"/>
            <rFont val="Tahoma"/>
            <family val="2"/>
          </rPr>
          <t xml:space="preserve">.AddComment ("Administrator: If a person (Single beneficiary) who has many loan types, please list in same number.")
</t>
        </r>
      </text>
    </comment>
    <comment ref="B106" authorId="1">
      <text>
        <r>
          <rPr>
            <b/>
            <sz val="8"/>
            <color indexed="81"/>
            <rFont val="Tahoma"/>
            <family val="2"/>
          </rPr>
          <t xml:space="preserve">.AddComment ("Administrator: If a person (Single beneficiary) who has many loan types, please list in same number.")
</t>
        </r>
      </text>
    </comment>
    <comment ref="B107" authorId="1">
      <text>
        <r>
          <rPr>
            <b/>
            <sz val="8"/>
            <color indexed="81"/>
            <rFont val="Tahoma"/>
            <family val="2"/>
          </rPr>
          <t xml:space="preserve">.AddComment ("Administrator: If a person (Single beneficiary) who has many loan types, please list in same number.")
</t>
        </r>
      </text>
    </comment>
    <comment ref="B108" authorId="1">
      <text>
        <r>
          <rPr>
            <b/>
            <sz val="8"/>
            <color indexed="81"/>
            <rFont val="Tahoma"/>
            <family val="2"/>
          </rPr>
          <t xml:space="preserve">.AddComment ("Administrator: If a person (Single beneficiary) who has many loan types, please list in same number.")
</t>
        </r>
      </text>
    </comment>
    <comment ref="B109" authorId="1">
      <text>
        <r>
          <rPr>
            <b/>
            <sz val="8"/>
            <color indexed="81"/>
            <rFont val="Tahoma"/>
            <family val="2"/>
          </rPr>
          <t xml:space="preserve">.AddComment ("Administrator: If a person (Single beneficiary) who has many loan types, please list in same number.")
</t>
        </r>
      </text>
    </comment>
    <comment ref="B110" authorId="1">
      <text>
        <r>
          <rPr>
            <b/>
            <sz val="8"/>
            <color indexed="81"/>
            <rFont val="Tahoma"/>
            <family val="2"/>
          </rPr>
          <t xml:space="preserve">.AddComment ("Administrator: If a person (Single beneficiary) who has many loan types, please list in same number.")
</t>
        </r>
      </text>
    </comment>
    <comment ref="B111" authorId="1">
      <text>
        <r>
          <rPr>
            <b/>
            <sz val="8"/>
            <color indexed="81"/>
            <rFont val="Tahoma"/>
            <family val="2"/>
          </rPr>
          <t xml:space="preserve">.AddComment ("Administrator: If a person (Single beneficiary) who has many loan types, please list in same number.")
</t>
        </r>
      </text>
    </comment>
    <comment ref="B112" authorId="1">
      <text>
        <r>
          <rPr>
            <b/>
            <sz val="8"/>
            <color indexed="81"/>
            <rFont val="Tahoma"/>
            <family val="2"/>
          </rPr>
          <t xml:space="preserve">.AddComment ("Administrator: If a person (Single beneficiary) who has many loan types, please list in same number.")
</t>
        </r>
      </text>
    </comment>
    <comment ref="B113" authorId="1">
      <text>
        <r>
          <rPr>
            <b/>
            <sz val="8"/>
            <color indexed="81"/>
            <rFont val="Tahoma"/>
            <family val="2"/>
          </rPr>
          <t xml:space="preserve">.AddComment ("Administrator: If a person (Single beneficiary) who has many loan types, please list in same number.")
</t>
        </r>
      </text>
    </comment>
    <comment ref="B114" authorId="1">
      <text>
        <r>
          <rPr>
            <b/>
            <sz val="8"/>
            <color indexed="81"/>
            <rFont val="Tahoma"/>
            <family val="2"/>
          </rPr>
          <t xml:space="preserve">.AddComment ("Administrator: If a person (Single beneficiary) who has many loan types, please list in same number.")
</t>
        </r>
      </text>
    </comment>
    <comment ref="B115" authorId="1">
      <text>
        <r>
          <rPr>
            <b/>
            <sz val="8"/>
            <color indexed="81"/>
            <rFont val="Tahoma"/>
            <family val="2"/>
          </rPr>
          <t xml:space="preserve">.AddComment ("Administrator: If a person (Single beneficiary) who has many loan types, please list in same number.")
</t>
        </r>
      </text>
    </comment>
    <comment ref="B116" authorId="1">
      <text>
        <r>
          <rPr>
            <b/>
            <sz val="8"/>
            <color indexed="81"/>
            <rFont val="Tahoma"/>
            <family val="2"/>
          </rPr>
          <t xml:space="preserve">.AddComment ("Administrator: If a person (Single beneficiary) who has many loan types, please list in same number.")
</t>
        </r>
      </text>
    </comment>
    <comment ref="B117" authorId="1">
      <text>
        <r>
          <rPr>
            <b/>
            <sz val="8"/>
            <color indexed="81"/>
            <rFont val="Tahoma"/>
            <family val="2"/>
          </rPr>
          <t xml:space="preserve">.AddComment ("Administrator: If a person (Single beneficiary) who has many loan types, please list in same number.")
</t>
        </r>
      </text>
    </comment>
    <comment ref="B118" authorId="1">
      <text>
        <r>
          <rPr>
            <b/>
            <sz val="8"/>
            <color indexed="81"/>
            <rFont val="Tahoma"/>
            <family val="2"/>
          </rPr>
          <t xml:space="preserve">.AddComment ("Administrator: If a person (Single beneficiary) who has many loan types, please list in same number.")
</t>
        </r>
      </text>
    </comment>
    <comment ref="B119" authorId="1">
      <text>
        <r>
          <rPr>
            <b/>
            <sz val="8"/>
            <color indexed="81"/>
            <rFont val="Tahoma"/>
            <family val="2"/>
          </rPr>
          <t xml:space="preserve">.AddComment ("Administrator: If a person (Single beneficiary) who has many loan types, please list in same number.")
</t>
        </r>
      </text>
    </comment>
    <comment ref="B120" authorId="1">
      <text>
        <r>
          <rPr>
            <b/>
            <sz val="8"/>
            <color indexed="81"/>
            <rFont val="Tahoma"/>
            <family val="2"/>
          </rPr>
          <t xml:space="preserve">.AddComment ("Administrator: If a person (Single beneficiary) who has many loan types, please list in same number.")
</t>
        </r>
      </text>
    </comment>
    <comment ref="B121" authorId="1">
      <text>
        <r>
          <rPr>
            <b/>
            <sz val="8"/>
            <color indexed="81"/>
            <rFont val="Tahoma"/>
            <family val="2"/>
          </rPr>
          <t xml:space="preserve">.AddComment ("Administrator: If a person (Single beneficiary) who has many loan types, please list in same number.")
</t>
        </r>
      </text>
    </comment>
    <comment ref="B122" authorId="1">
      <text>
        <r>
          <rPr>
            <b/>
            <sz val="8"/>
            <color indexed="81"/>
            <rFont val="Tahoma"/>
            <family val="2"/>
          </rPr>
          <t xml:space="preserve">.AddComment ("Administrator: If a person (Single beneficiary) who has many loan types, please list in same number.")
</t>
        </r>
      </text>
    </comment>
    <comment ref="B123" authorId="1">
      <text>
        <r>
          <rPr>
            <b/>
            <sz val="8"/>
            <color indexed="81"/>
            <rFont val="Tahoma"/>
            <family val="2"/>
          </rPr>
          <t xml:space="preserve">.AddComment ("Administrator: If a person (Single beneficiary) who has many loan types, please list in same number.")
</t>
        </r>
      </text>
    </comment>
    <comment ref="B124" authorId="1">
      <text>
        <r>
          <rPr>
            <b/>
            <sz val="8"/>
            <color indexed="81"/>
            <rFont val="Tahoma"/>
            <family val="2"/>
          </rPr>
          <t xml:space="preserve">.AddComment ("Administrator: If a person (Single beneficiary) who has many loan types, please list in same number.")
</t>
        </r>
      </text>
    </comment>
    <comment ref="B125" authorId="1">
      <text>
        <r>
          <rPr>
            <b/>
            <sz val="8"/>
            <color indexed="81"/>
            <rFont val="Tahoma"/>
            <family val="2"/>
          </rPr>
          <t xml:space="preserve">.AddComment ("Administrator: If a person (Single beneficiary) who has many loan types, please list in same number.")
</t>
        </r>
      </text>
    </comment>
    <comment ref="B126" authorId="1">
      <text>
        <r>
          <rPr>
            <b/>
            <sz val="8"/>
            <color indexed="81"/>
            <rFont val="Tahoma"/>
            <family val="2"/>
          </rPr>
          <t xml:space="preserve">.AddComment ("Administrator: If a person (Single beneficiary) who has many loan types, please list in same number.")
</t>
        </r>
      </text>
    </comment>
    <comment ref="B127" authorId="1">
      <text>
        <r>
          <rPr>
            <b/>
            <sz val="8"/>
            <color indexed="81"/>
            <rFont val="Tahoma"/>
            <family val="2"/>
          </rPr>
          <t xml:space="preserve">.AddComment ("Administrator: If a person (Single beneficiary) who has many loan types, please list in same number.")
</t>
        </r>
      </text>
    </comment>
    <comment ref="B128" authorId="1">
      <text>
        <r>
          <rPr>
            <b/>
            <sz val="8"/>
            <color indexed="81"/>
            <rFont val="Tahoma"/>
            <family val="2"/>
          </rPr>
          <t xml:space="preserve">.AddComment ("Administrator: If a person (Single beneficiary) who has many loan types, please list in same number.")
</t>
        </r>
      </text>
    </comment>
    <comment ref="B129" authorId="1">
      <text>
        <r>
          <rPr>
            <b/>
            <sz val="8"/>
            <color indexed="81"/>
            <rFont val="Tahoma"/>
            <family val="2"/>
          </rPr>
          <t xml:space="preserve">.AddComment ("Administrator: If a person (Single beneficiary) who has many loan types, please list in same number.")
</t>
        </r>
      </text>
    </comment>
    <comment ref="B130" authorId="1">
      <text>
        <r>
          <rPr>
            <b/>
            <sz val="8"/>
            <color indexed="81"/>
            <rFont val="Tahoma"/>
            <family val="2"/>
          </rPr>
          <t xml:space="preserve">.AddComment ("Administrator: If a person (Single beneficiary) who has many loan types, please list in same number.")
</t>
        </r>
      </text>
    </comment>
    <comment ref="B131" authorId="1">
      <text>
        <r>
          <rPr>
            <b/>
            <sz val="8"/>
            <color indexed="81"/>
            <rFont val="Tahoma"/>
            <family val="2"/>
          </rPr>
          <t xml:space="preserve">.AddComment ("Administrator: If a person (Single beneficiary) who has many loan types, please list in same number.")
</t>
        </r>
      </text>
    </comment>
    <comment ref="B132" authorId="1">
      <text>
        <r>
          <rPr>
            <b/>
            <sz val="8"/>
            <color indexed="81"/>
            <rFont val="Tahoma"/>
            <family val="2"/>
          </rPr>
          <t xml:space="preserve">.AddComment ("Administrator: If a person (Single beneficiary) who has many loan types, please list in same number.")
</t>
        </r>
      </text>
    </comment>
    <comment ref="B133" authorId="1">
      <text>
        <r>
          <rPr>
            <b/>
            <sz val="8"/>
            <color indexed="81"/>
            <rFont val="Tahoma"/>
            <family val="2"/>
          </rPr>
          <t xml:space="preserve">.AddComment ("Administrator: If a person (Single beneficiary) who has many loan types, please list in same number.")
</t>
        </r>
      </text>
    </comment>
    <comment ref="B134" authorId="1">
      <text>
        <r>
          <rPr>
            <b/>
            <sz val="8"/>
            <color indexed="81"/>
            <rFont val="Tahoma"/>
            <family val="2"/>
          </rPr>
          <t xml:space="preserve">.AddComment ("Administrator: If a person (Single beneficiary) who has many loan types, please list in same number.")
</t>
        </r>
      </text>
    </comment>
    <comment ref="B135" authorId="1">
      <text>
        <r>
          <rPr>
            <b/>
            <sz val="8"/>
            <color indexed="81"/>
            <rFont val="Tahoma"/>
            <family val="2"/>
          </rPr>
          <t xml:space="preserve">.AddComment ("Administrator: If a person (Single beneficiary) who has many loan types, please list in same number.")
</t>
        </r>
      </text>
    </comment>
    <comment ref="B136" authorId="1">
      <text>
        <r>
          <rPr>
            <b/>
            <sz val="8"/>
            <color indexed="81"/>
            <rFont val="Tahoma"/>
            <family val="2"/>
          </rPr>
          <t xml:space="preserve">.AddComment ("Administrator: If a person (Single beneficiary) who has many loan types, please list in same number.")
</t>
        </r>
      </text>
    </comment>
    <comment ref="B137" authorId="1">
      <text>
        <r>
          <rPr>
            <b/>
            <sz val="8"/>
            <color indexed="81"/>
            <rFont val="Tahoma"/>
            <family val="2"/>
          </rPr>
          <t xml:space="preserve">.AddComment ("Administrator: If a person (Single beneficiary) who has many loan types, please list in same number.")
</t>
        </r>
      </text>
    </comment>
    <comment ref="B138" authorId="1">
      <text>
        <r>
          <rPr>
            <b/>
            <sz val="8"/>
            <color indexed="81"/>
            <rFont val="Tahoma"/>
            <family val="2"/>
          </rPr>
          <t xml:space="preserve">.AddComment ("Administrator: If a person (Single beneficiary) who has many loan types, please list in same number.")
</t>
        </r>
      </text>
    </comment>
    <comment ref="B139" authorId="1">
      <text>
        <r>
          <rPr>
            <b/>
            <sz val="8"/>
            <color indexed="81"/>
            <rFont val="Tahoma"/>
            <family val="2"/>
          </rPr>
          <t xml:space="preserve">.AddComment ("Administrator: If a person (Single beneficiary) who has many loan types, please list in same number.")
</t>
        </r>
      </text>
    </comment>
    <comment ref="B140" authorId="1">
      <text>
        <r>
          <rPr>
            <b/>
            <sz val="8"/>
            <color indexed="81"/>
            <rFont val="Tahoma"/>
            <family val="2"/>
          </rPr>
          <t xml:space="preserve">.AddComment ("Administrator: If a person (Single beneficiary) who has many loan types, please list in same number.")
</t>
        </r>
      </text>
    </comment>
    <comment ref="B141" authorId="1">
      <text>
        <r>
          <rPr>
            <b/>
            <sz val="8"/>
            <color indexed="81"/>
            <rFont val="Tahoma"/>
            <family val="2"/>
          </rPr>
          <t xml:space="preserve">.AddComment ("Administrator: If a person (Single beneficiary) who has many loan types, please list in same number.")
</t>
        </r>
      </text>
    </comment>
    <comment ref="B142" authorId="1">
      <text>
        <r>
          <rPr>
            <b/>
            <sz val="8"/>
            <color indexed="81"/>
            <rFont val="Tahoma"/>
            <family val="2"/>
          </rPr>
          <t xml:space="preserve">.AddComment ("Administrator: If a person (Single beneficiary) who has many loan types, please list in same number.")
</t>
        </r>
      </text>
    </comment>
    <comment ref="B143" authorId="1">
      <text>
        <r>
          <rPr>
            <b/>
            <sz val="8"/>
            <color indexed="81"/>
            <rFont val="Tahoma"/>
            <family val="2"/>
          </rPr>
          <t xml:space="preserve">.AddComment ("Administrator: If a person (Single beneficiary) who has many loan types, please list in same number.")
</t>
        </r>
      </text>
    </comment>
    <comment ref="B144" authorId="1">
      <text>
        <r>
          <rPr>
            <b/>
            <sz val="8"/>
            <color indexed="81"/>
            <rFont val="Tahoma"/>
            <family val="2"/>
          </rPr>
          <t xml:space="preserve">.AddComment ("Administrator: If a person (Single beneficiary) who has many loan types, please list in same number.")
</t>
        </r>
      </text>
    </comment>
    <comment ref="B145" authorId="1">
      <text>
        <r>
          <rPr>
            <b/>
            <sz val="8"/>
            <color indexed="81"/>
            <rFont val="Tahoma"/>
            <family val="2"/>
          </rPr>
          <t xml:space="preserve">.AddComment ("Administrator: If a person (Single beneficiary) who has many loan types, please list in same number.")
</t>
        </r>
      </text>
    </comment>
    <comment ref="B146" authorId="1">
      <text>
        <r>
          <rPr>
            <b/>
            <sz val="8"/>
            <color indexed="81"/>
            <rFont val="Tahoma"/>
            <family val="2"/>
          </rPr>
          <t xml:space="preserve">.AddComment ("Administrator: If a person (Single beneficiary) who has many loan types, please list in same number.")
</t>
        </r>
      </text>
    </comment>
    <comment ref="B147" authorId="1">
      <text>
        <r>
          <rPr>
            <b/>
            <sz val="8"/>
            <color indexed="81"/>
            <rFont val="Tahoma"/>
            <family val="2"/>
          </rPr>
          <t xml:space="preserve">.AddComment ("Administrator: If a person (Single beneficiary) who has many loan types, please list in same number.")
</t>
        </r>
      </text>
    </comment>
    <comment ref="B148" authorId="1">
      <text>
        <r>
          <rPr>
            <b/>
            <sz val="8"/>
            <color indexed="81"/>
            <rFont val="Tahoma"/>
            <family val="2"/>
          </rPr>
          <t xml:space="preserve">.AddComment ("Administrator: If a person (Single beneficiary) who has many loan types, please list in same number.")
</t>
        </r>
      </text>
    </comment>
    <comment ref="B149" authorId="1">
      <text>
        <r>
          <rPr>
            <b/>
            <sz val="8"/>
            <color indexed="81"/>
            <rFont val="Tahoma"/>
            <family val="2"/>
          </rPr>
          <t xml:space="preserve">.AddComment ("Administrator: If a person (Single beneficiary) who has many loan types, please list in same number.")
</t>
        </r>
      </text>
    </comment>
    <comment ref="B150" authorId="1">
      <text>
        <r>
          <rPr>
            <b/>
            <sz val="8"/>
            <color indexed="81"/>
            <rFont val="Tahoma"/>
            <family val="2"/>
          </rPr>
          <t xml:space="preserve">.AddComment ("Administrator: If a person (Single beneficiary) who has many loan types, please list in same number.")
</t>
        </r>
      </text>
    </comment>
    <comment ref="B151" authorId="1">
      <text>
        <r>
          <rPr>
            <b/>
            <sz val="8"/>
            <color indexed="81"/>
            <rFont val="Tahoma"/>
            <family val="2"/>
          </rPr>
          <t xml:space="preserve">.AddComment ("Administrator: If a person (Single beneficiary) who has many loan types, please list in same number.")
</t>
        </r>
      </text>
    </comment>
    <comment ref="B152" authorId="1">
      <text>
        <r>
          <rPr>
            <b/>
            <sz val="8"/>
            <color indexed="81"/>
            <rFont val="Tahoma"/>
            <family val="2"/>
          </rPr>
          <t xml:space="preserve">.AddComment ("Administrator: If a person (Single beneficiary) who has many loan types, please list in same number.")
</t>
        </r>
      </text>
    </comment>
    <comment ref="B153" authorId="1">
      <text>
        <r>
          <rPr>
            <b/>
            <sz val="8"/>
            <color indexed="81"/>
            <rFont val="Tahoma"/>
            <family val="2"/>
          </rPr>
          <t xml:space="preserve">.AddComment ("Administrator: If a person (Single beneficiary) who has many loan types, please list in same number.")
</t>
        </r>
      </text>
    </comment>
    <comment ref="B154" authorId="1">
      <text>
        <r>
          <rPr>
            <b/>
            <sz val="8"/>
            <color indexed="81"/>
            <rFont val="Tahoma"/>
            <family val="2"/>
          </rPr>
          <t xml:space="preserve">.AddComment ("Administrator: If a person (Single beneficiary) who has many loan types, please list in same number.")
</t>
        </r>
      </text>
    </comment>
    <comment ref="B155" authorId="1">
      <text>
        <r>
          <rPr>
            <b/>
            <sz val="8"/>
            <color indexed="81"/>
            <rFont val="Tahoma"/>
            <family val="2"/>
          </rPr>
          <t xml:space="preserve">.AddComment ("Administrator: If a person (Single beneficiary) who has many loan types, please list in same number.")
</t>
        </r>
      </text>
    </comment>
    <comment ref="B156" authorId="1">
      <text>
        <r>
          <rPr>
            <b/>
            <sz val="8"/>
            <color indexed="81"/>
            <rFont val="Tahoma"/>
            <family val="2"/>
          </rPr>
          <t xml:space="preserve">.AddComment ("Administrator: If a person (Single beneficiary) who has many loan types, please list in same number.")
</t>
        </r>
      </text>
    </comment>
    <comment ref="B157" authorId="1">
      <text>
        <r>
          <rPr>
            <b/>
            <sz val="8"/>
            <color indexed="81"/>
            <rFont val="Tahoma"/>
            <family val="2"/>
          </rPr>
          <t xml:space="preserve">.AddComment ("Administrator: If a person (Single beneficiary) who has many loan types, please list in same number.")
</t>
        </r>
      </text>
    </comment>
    <comment ref="B158" authorId="1">
      <text>
        <r>
          <rPr>
            <b/>
            <sz val="8"/>
            <color indexed="81"/>
            <rFont val="Tahoma"/>
            <family val="2"/>
          </rPr>
          <t xml:space="preserve">.AddComment ("Administrator: If a person (Single beneficiary) who has many loan types, please list in same number.")
</t>
        </r>
      </text>
    </comment>
    <comment ref="B159" authorId="1">
      <text>
        <r>
          <rPr>
            <b/>
            <sz val="8"/>
            <color indexed="81"/>
            <rFont val="Tahoma"/>
            <family val="2"/>
          </rPr>
          <t xml:space="preserve">.AddComment ("Administrator: If a person (Single beneficiary) who has many loan types, please list in same number.")
</t>
        </r>
      </text>
    </comment>
    <comment ref="B160" authorId="1">
      <text>
        <r>
          <rPr>
            <b/>
            <sz val="8"/>
            <color indexed="81"/>
            <rFont val="Tahoma"/>
            <family val="2"/>
          </rPr>
          <t xml:space="preserve">.AddComment ("Administrator: If a person (Single beneficiary) who has many loan types, please list in same number.")
</t>
        </r>
      </text>
    </comment>
    <comment ref="B161" authorId="1">
      <text>
        <r>
          <rPr>
            <b/>
            <sz val="8"/>
            <color indexed="81"/>
            <rFont val="Tahoma"/>
            <family val="2"/>
          </rPr>
          <t xml:space="preserve">.AddComment ("Administrator: If a person (Single beneficiary) who has many loan types, please list in same number.")
</t>
        </r>
      </text>
    </comment>
    <comment ref="B162" authorId="1">
      <text>
        <r>
          <rPr>
            <b/>
            <sz val="8"/>
            <color indexed="81"/>
            <rFont val="Tahoma"/>
            <family val="2"/>
          </rPr>
          <t xml:space="preserve">.AddComment ("Administrator: If a person (Single beneficiary) who has many loan types, please list in same number.")
</t>
        </r>
      </text>
    </comment>
    <comment ref="B163" authorId="1">
      <text>
        <r>
          <rPr>
            <b/>
            <sz val="8"/>
            <color indexed="81"/>
            <rFont val="Tahoma"/>
            <family val="2"/>
          </rPr>
          <t xml:space="preserve">.AddComment ("Administrator: If a person (Single beneficiary) who has many loan types, please list in same number.")
</t>
        </r>
      </text>
    </comment>
    <comment ref="B164" authorId="1">
      <text>
        <r>
          <rPr>
            <b/>
            <sz val="8"/>
            <color indexed="81"/>
            <rFont val="Tahoma"/>
            <family val="2"/>
          </rPr>
          <t xml:space="preserve">.AddComment ("Administrator: If a person (Single beneficiary) who has many loan types, please list in same number.")
</t>
        </r>
      </text>
    </comment>
    <comment ref="B165" authorId="1">
      <text>
        <r>
          <rPr>
            <b/>
            <sz val="8"/>
            <color indexed="81"/>
            <rFont val="Tahoma"/>
            <family val="2"/>
          </rPr>
          <t xml:space="preserve">.AddComment ("Administrator: If a person (Single beneficiary) who has many loan types, please list in same number.")
</t>
        </r>
      </text>
    </comment>
    <comment ref="B166" authorId="1">
      <text>
        <r>
          <rPr>
            <b/>
            <sz val="8"/>
            <color indexed="81"/>
            <rFont val="Tahoma"/>
            <family val="2"/>
          </rPr>
          <t xml:space="preserve">.AddComment ("Administrator: If a person (Single beneficiary) who has many loan types, please list in same number.")
</t>
        </r>
      </text>
    </comment>
    <comment ref="B167" authorId="1">
      <text>
        <r>
          <rPr>
            <b/>
            <sz val="8"/>
            <color indexed="81"/>
            <rFont val="Tahoma"/>
            <family val="2"/>
          </rPr>
          <t xml:space="preserve">.AddComment ("Administrator: If a person (Single beneficiary) who has many loan types, please list in same number.")
</t>
        </r>
      </text>
    </comment>
    <comment ref="B168" authorId="1">
      <text>
        <r>
          <rPr>
            <b/>
            <sz val="8"/>
            <color indexed="81"/>
            <rFont val="Tahoma"/>
            <family val="2"/>
          </rPr>
          <t xml:space="preserve">.AddComment ("Administrator: If a person (Single beneficiary) who has many loan types, please list in same number.")
</t>
        </r>
      </text>
    </comment>
    <comment ref="B169" authorId="1">
      <text>
        <r>
          <rPr>
            <b/>
            <sz val="8"/>
            <color indexed="81"/>
            <rFont val="Tahoma"/>
            <family val="2"/>
          </rPr>
          <t xml:space="preserve">.AddComment ("Administrator: If a person (Single beneficiary) who has many loan types, please list in same number.")
</t>
        </r>
      </text>
    </comment>
    <comment ref="B170" authorId="1">
      <text>
        <r>
          <rPr>
            <b/>
            <sz val="8"/>
            <color indexed="81"/>
            <rFont val="Tahoma"/>
            <family val="2"/>
          </rPr>
          <t xml:space="preserve">.AddComment ("Administrator: If a person (Single beneficiary) who has many loan types, please list in same number.")
</t>
        </r>
      </text>
    </comment>
    <comment ref="B171" authorId="1">
      <text>
        <r>
          <rPr>
            <b/>
            <sz val="8"/>
            <color indexed="81"/>
            <rFont val="Tahoma"/>
            <family val="2"/>
          </rPr>
          <t xml:space="preserve">.AddComment ("Administrator: If a person (Single beneficiary) who has many loan types, please list in same number.")
</t>
        </r>
      </text>
    </comment>
    <comment ref="B172" authorId="1">
      <text>
        <r>
          <rPr>
            <b/>
            <sz val="8"/>
            <color indexed="81"/>
            <rFont val="Tahoma"/>
            <family val="2"/>
          </rPr>
          <t xml:space="preserve">.AddComment ("Administrator: If a person (Single beneficiary) who has many loan types, please list in same number.")
</t>
        </r>
      </text>
    </comment>
    <comment ref="B173" authorId="1">
      <text>
        <r>
          <rPr>
            <b/>
            <sz val="8"/>
            <color indexed="81"/>
            <rFont val="Tahoma"/>
            <family val="2"/>
          </rPr>
          <t xml:space="preserve">.AddComment ("Administrator: If a person (Single beneficiary) who has many loan types, please list in same number.")
</t>
        </r>
      </text>
    </comment>
    <comment ref="B174" authorId="1">
      <text>
        <r>
          <rPr>
            <b/>
            <sz val="8"/>
            <color indexed="81"/>
            <rFont val="Tahoma"/>
            <family val="2"/>
          </rPr>
          <t xml:space="preserve">.AddComment ("Administrator: If a person (Single beneficiary) who has many loan types, please list in same number.")
</t>
        </r>
      </text>
    </comment>
    <comment ref="B175" authorId="1">
      <text>
        <r>
          <rPr>
            <b/>
            <sz val="8"/>
            <color indexed="81"/>
            <rFont val="Tahoma"/>
            <family val="2"/>
          </rPr>
          <t xml:space="preserve">.AddComment ("Administrator: If a person (Single beneficiary) who has many loan types, please list in same number.")
</t>
        </r>
      </text>
    </comment>
    <comment ref="B176" authorId="1">
      <text>
        <r>
          <rPr>
            <b/>
            <sz val="8"/>
            <color indexed="81"/>
            <rFont val="Tahoma"/>
            <family val="2"/>
          </rPr>
          <t xml:space="preserve">.AddComment ("Administrator: If a person (Single beneficiary) who has many loan types, please list in same number.")
</t>
        </r>
      </text>
    </comment>
    <comment ref="B177" authorId="1">
      <text>
        <r>
          <rPr>
            <b/>
            <sz val="8"/>
            <color indexed="81"/>
            <rFont val="Tahoma"/>
            <family val="2"/>
          </rPr>
          <t xml:space="preserve">.AddComment ("Administrator: If a person (Single beneficiary) who has many loan types, please list in same number.")
</t>
        </r>
      </text>
    </comment>
    <comment ref="B178" authorId="1">
      <text>
        <r>
          <rPr>
            <b/>
            <sz val="8"/>
            <color indexed="81"/>
            <rFont val="Tahoma"/>
            <family val="2"/>
          </rPr>
          <t xml:space="preserve">.AddComment ("Administrator: If a person (Single beneficiary) who has many loan types, please list in same number.")
</t>
        </r>
      </text>
    </comment>
    <comment ref="B179" authorId="1">
      <text>
        <r>
          <rPr>
            <b/>
            <sz val="8"/>
            <color indexed="81"/>
            <rFont val="Tahoma"/>
            <family val="2"/>
          </rPr>
          <t xml:space="preserve">.AddComment ("Administrator: If a person (Single beneficiary) who has many loan types, please list in same number.")
</t>
        </r>
      </text>
    </comment>
    <comment ref="B180" authorId="1">
      <text>
        <r>
          <rPr>
            <b/>
            <sz val="8"/>
            <color indexed="81"/>
            <rFont val="Tahoma"/>
            <family val="2"/>
          </rPr>
          <t xml:space="preserve">.AddComment ("Administrator: If a person (Single beneficiary) who has many loan types, please list in same number.")
</t>
        </r>
      </text>
    </comment>
    <comment ref="B181" authorId="1">
      <text>
        <r>
          <rPr>
            <b/>
            <sz val="8"/>
            <color indexed="81"/>
            <rFont val="Tahoma"/>
            <family val="2"/>
          </rPr>
          <t xml:space="preserve">.AddComment ("Administrator: If a person (Single beneficiary) who has many loan types, please list in same number.")
</t>
        </r>
      </text>
    </comment>
    <comment ref="B182" authorId="1">
      <text>
        <r>
          <rPr>
            <b/>
            <sz val="8"/>
            <color indexed="81"/>
            <rFont val="Tahoma"/>
            <family val="2"/>
          </rPr>
          <t xml:space="preserve">.AddComment ("Administrator: If a person (Single beneficiary) who has many loan types, please list in same number.")
</t>
        </r>
      </text>
    </comment>
    <comment ref="B183" authorId="1">
      <text>
        <r>
          <rPr>
            <b/>
            <sz val="8"/>
            <color indexed="81"/>
            <rFont val="Tahoma"/>
            <family val="2"/>
          </rPr>
          <t xml:space="preserve">.AddComment ("Administrator: If a person (Single beneficiary) who has many loan types, please list in same number.")
</t>
        </r>
      </text>
    </comment>
    <comment ref="B184" authorId="1">
      <text>
        <r>
          <rPr>
            <b/>
            <sz val="8"/>
            <color indexed="81"/>
            <rFont val="Tahoma"/>
            <family val="2"/>
          </rPr>
          <t xml:space="preserve">.AddComment ("Administrator: If a person (Single beneficiary) who has many loan types, please list in same number.")
</t>
        </r>
      </text>
    </comment>
    <comment ref="B185" authorId="1">
      <text>
        <r>
          <rPr>
            <b/>
            <sz val="8"/>
            <color indexed="81"/>
            <rFont val="Tahoma"/>
            <family val="2"/>
          </rPr>
          <t xml:space="preserve">.AddComment ("Administrator: If a person (Single beneficiary) who has many loan types, please list in same number.")
</t>
        </r>
      </text>
    </comment>
    <comment ref="B186" authorId="1">
      <text>
        <r>
          <rPr>
            <b/>
            <sz val="8"/>
            <color indexed="81"/>
            <rFont val="Tahoma"/>
            <family val="2"/>
          </rPr>
          <t xml:space="preserve">.AddComment ("Administrator: If a person (Single beneficiary) who has many loan types, please list in same number.")
</t>
        </r>
      </text>
    </comment>
    <comment ref="B187" authorId="1">
      <text>
        <r>
          <rPr>
            <b/>
            <sz val="8"/>
            <color indexed="81"/>
            <rFont val="Tahoma"/>
            <family val="2"/>
          </rPr>
          <t xml:space="preserve">.AddComment ("Administrator: If a person (Single beneficiary) who has many loan types, please list in same number.")
</t>
        </r>
      </text>
    </comment>
    <comment ref="B188" authorId="1">
      <text>
        <r>
          <rPr>
            <b/>
            <sz val="8"/>
            <color indexed="81"/>
            <rFont val="Tahoma"/>
            <family val="2"/>
          </rPr>
          <t xml:space="preserve">.AddComment ("Administrator: If a person (Single beneficiary) who has many loan types, please list in same number.")
</t>
        </r>
      </text>
    </comment>
    <comment ref="B189" authorId="1">
      <text>
        <r>
          <rPr>
            <b/>
            <sz val="8"/>
            <color indexed="81"/>
            <rFont val="Tahoma"/>
            <family val="2"/>
          </rPr>
          <t xml:space="preserve">.AddComment ("Administrator: If a person (Single beneficiary) who has many loan types, please list in same number.")
</t>
        </r>
      </text>
    </comment>
    <comment ref="B190" authorId="1">
      <text>
        <r>
          <rPr>
            <b/>
            <sz val="8"/>
            <color indexed="81"/>
            <rFont val="Tahoma"/>
            <family val="2"/>
          </rPr>
          <t xml:space="preserve">.AddComment ("Administrator: If a person (Single beneficiary) who has many loan types, please list in same number.")
</t>
        </r>
      </text>
    </comment>
    <comment ref="B191" authorId="1">
      <text>
        <r>
          <rPr>
            <b/>
            <sz val="8"/>
            <color indexed="81"/>
            <rFont val="Tahoma"/>
            <family val="2"/>
          </rPr>
          <t xml:space="preserve">.AddComment ("Administrator: If a person (Single beneficiary) who has many loan types, please list in same number.")
</t>
        </r>
      </text>
    </comment>
    <comment ref="B192" authorId="1">
      <text>
        <r>
          <rPr>
            <b/>
            <sz val="8"/>
            <color indexed="81"/>
            <rFont val="Tahoma"/>
            <family val="2"/>
          </rPr>
          <t xml:space="preserve">.AddComment ("Administrator: If a person (Single beneficiary) who has many loan types, please list in same number.")
</t>
        </r>
      </text>
    </comment>
    <comment ref="B193" authorId="1">
      <text>
        <r>
          <rPr>
            <b/>
            <sz val="8"/>
            <color indexed="81"/>
            <rFont val="Tahoma"/>
            <family val="2"/>
          </rPr>
          <t xml:space="preserve">.AddComment ("Administrator: If a person (Single beneficiary) who has many loan types, please list in same number.")
</t>
        </r>
      </text>
    </comment>
    <comment ref="B194" authorId="1">
      <text>
        <r>
          <rPr>
            <b/>
            <sz val="8"/>
            <color indexed="81"/>
            <rFont val="Tahoma"/>
            <family val="2"/>
          </rPr>
          <t xml:space="preserve">.AddComment ("Administrator: If a person (Single beneficiary) who has many loan types, please list in same number.")
</t>
        </r>
      </text>
    </comment>
    <comment ref="B195" authorId="1">
      <text>
        <r>
          <rPr>
            <b/>
            <sz val="8"/>
            <color indexed="81"/>
            <rFont val="Tahoma"/>
            <family val="2"/>
          </rPr>
          <t xml:space="preserve">.AddComment ("Administrator: If a person (Single beneficiary) who has many loan types, please list in same number.")
</t>
        </r>
      </text>
    </comment>
    <comment ref="B196" authorId="1">
      <text>
        <r>
          <rPr>
            <b/>
            <sz val="8"/>
            <color indexed="81"/>
            <rFont val="Tahoma"/>
            <family val="2"/>
          </rPr>
          <t xml:space="preserve">.AddComment ("Administrator: If a person (Single beneficiary) who has many loan types, please list in same number.")
</t>
        </r>
      </text>
    </comment>
    <comment ref="B197" authorId="1">
      <text>
        <r>
          <rPr>
            <b/>
            <sz val="8"/>
            <color indexed="81"/>
            <rFont val="Tahoma"/>
            <family val="2"/>
          </rPr>
          <t xml:space="preserve">.AddComment ("Administrator: If a person (Single beneficiary) who has many loan types, please list in same number.")
</t>
        </r>
      </text>
    </comment>
    <comment ref="B198" authorId="1">
      <text>
        <r>
          <rPr>
            <b/>
            <sz val="8"/>
            <color indexed="81"/>
            <rFont val="Tahoma"/>
            <family val="2"/>
          </rPr>
          <t xml:space="preserve">.AddComment ("Administrator: If a person (Single beneficiary) who has many loan types, please list in same number.")
</t>
        </r>
      </text>
    </comment>
    <comment ref="B199" authorId="1">
      <text>
        <r>
          <rPr>
            <b/>
            <sz val="8"/>
            <color indexed="81"/>
            <rFont val="Tahoma"/>
            <family val="2"/>
          </rPr>
          <t xml:space="preserve">.AddComment ("Administrator: If a person (Single beneficiary) who has many loan types, please list in same number.")
</t>
        </r>
      </text>
    </comment>
    <comment ref="B200" authorId="1">
      <text>
        <r>
          <rPr>
            <b/>
            <sz val="8"/>
            <color indexed="81"/>
            <rFont val="Tahoma"/>
            <family val="2"/>
          </rPr>
          <t xml:space="preserve">.AddComment ("Administrator: If a person (Single beneficiary) who has many loan types, please list in same number.")
</t>
        </r>
      </text>
    </comment>
    <comment ref="B201" authorId="1">
      <text>
        <r>
          <rPr>
            <b/>
            <sz val="8"/>
            <color indexed="81"/>
            <rFont val="Tahoma"/>
            <family val="2"/>
          </rPr>
          <t xml:space="preserve">.AddComment ("Administrator: If a person (Single beneficiary) who has many loan types, please list in same number.")
</t>
        </r>
      </text>
    </comment>
    <comment ref="B202" authorId="1">
      <text>
        <r>
          <rPr>
            <b/>
            <sz val="8"/>
            <color indexed="81"/>
            <rFont val="Tahoma"/>
            <family val="2"/>
          </rPr>
          <t xml:space="preserve">.AddComment ("Administrator: If a person (Single beneficiary) who has many loan types, please list in same number.")
</t>
        </r>
      </text>
    </comment>
    <comment ref="B203" authorId="1">
      <text>
        <r>
          <rPr>
            <b/>
            <sz val="8"/>
            <color indexed="81"/>
            <rFont val="Tahoma"/>
            <family val="2"/>
          </rPr>
          <t xml:space="preserve">.AddComment ("Administrator: If a person (Single beneficiary) who has many loan types, please list in same number.")
</t>
        </r>
      </text>
    </comment>
    <comment ref="B204" authorId="1">
      <text>
        <r>
          <rPr>
            <b/>
            <sz val="8"/>
            <color indexed="81"/>
            <rFont val="Tahoma"/>
            <family val="2"/>
          </rPr>
          <t xml:space="preserve">.AddComment ("Administrator: If a person (Single beneficiary) who has many loan types, please list in same number.")
</t>
        </r>
      </text>
    </comment>
    <comment ref="B205" authorId="1">
      <text>
        <r>
          <rPr>
            <b/>
            <sz val="8"/>
            <color indexed="81"/>
            <rFont val="Tahoma"/>
            <family val="2"/>
          </rPr>
          <t xml:space="preserve">.AddComment ("Administrator: If a person (Single beneficiary) who has many loan types, please list in same number.")
</t>
        </r>
      </text>
    </comment>
    <comment ref="B206" authorId="1">
      <text>
        <r>
          <rPr>
            <b/>
            <sz val="8"/>
            <color indexed="81"/>
            <rFont val="Tahoma"/>
            <family val="2"/>
          </rPr>
          <t xml:space="preserve">.AddComment ("Administrator: If a person (Single beneficiary) who has many loan types, please list in same number.")
</t>
        </r>
      </text>
    </comment>
    <comment ref="B207" authorId="1">
      <text>
        <r>
          <rPr>
            <b/>
            <sz val="8"/>
            <color indexed="81"/>
            <rFont val="Tahoma"/>
            <family val="2"/>
          </rPr>
          <t xml:space="preserve">.AddComment ("Administrator: If a person (Single beneficiary) who has many loan types, please list in same number.")
</t>
        </r>
      </text>
    </comment>
    <comment ref="B208" authorId="1">
      <text>
        <r>
          <rPr>
            <b/>
            <sz val="8"/>
            <color indexed="81"/>
            <rFont val="Tahoma"/>
            <family val="2"/>
          </rPr>
          <t xml:space="preserve">.AddComment ("Administrator: If a person (Single beneficiary) who has many loan types, please list in same number.")
</t>
        </r>
      </text>
    </comment>
    <comment ref="B209" authorId="1">
      <text>
        <r>
          <rPr>
            <b/>
            <sz val="8"/>
            <color indexed="81"/>
            <rFont val="Tahoma"/>
            <family val="2"/>
          </rPr>
          <t xml:space="preserve">.AddComment ("Administrator: If a person (Single beneficiary) who has many loan types, please list in same number.")
</t>
        </r>
      </text>
    </comment>
    <comment ref="B210" authorId="1">
      <text>
        <r>
          <rPr>
            <b/>
            <sz val="8"/>
            <color indexed="81"/>
            <rFont val="Tahoma"/>
            <family val="2"/>
          </rPr>
          <t xml:space="preserve">.AddComment ("Administrator: If a person (Single beneficiary) who has many loan types, please list in same number.")
</t>
        </r>
      </text>
    </comment>
    <comment ref="B211" authorId="1">
      <text>
        <r>
          <rPr>
            <b/>
            <sz val="8"/>
            <color indexed="81"/>
            <rFont val="Tahoma"/>
            <family val="2"/>
          </rPr>
          <t xml:space="preserve">.AddComment ("Administrator: If a person (Single beneficiary) who has many loan types, please list in same number.")
</t>
        </r>
      </text>
    </comment>
    <comment ref="B212" authorId="1">
      <text>
        <r>
          <rPr>
            <b/>
            <sz val="8"/>
            <color indexed="81"/>
            <rFont val="Tahoma"/>
            <family val="2"/>
          </rPr>
          <t xml:space="preserve">.AddComment ("Administrator: If a person (Single beneficiary) who has many loan types, please list in same number.")
</t>
        </r>
      </text>
    </comment>
    <comment ref="B213" authorId="1">
      <text>
        <r>
          <rPr>
            <b/>
            <sz val="8"/>
            <color indexed="81"/>
            <rFont val="Tahoma"/>
            <family val="2"/>
          </rPr>
          <t xml:space="preserve">.AddComment ("Administrator: If a person (Single beneficiary) who has many loan types, please list in same number.")
</t>
        </r>
      </text>
    </comment>
    <comment ref="B214" authorId="1">
      <text>
        <r>
          <rPr>
            <b/>
            <sz val="8"/>
            <color indexed="81"/>
            <rFont val="Tahoma"/>
            <family val="2"/>
          </rPr>
          <t xml:space="preserve">.AddComment ("Administrator: If a person (Single beneficiary) who has many loan types, please list in same number.")
</t>
        </r>
      </text>
    </comment>
    <comment ref="B215" authorId="1">
      <text>
        <r>
          <rPr>
            <b/>
            <sz val="8"/>
            <color indexed="81"/>
            <rFont val="Tahoma"/>
            <family val="2"/>
          </rPr>
          <t xml:space="preserve">.AddComment ("Administrator: If a person (Single beneficiary) who has many loan types, please list in same number.")
</t>
        </r>
      </text>
    </comment>
    <comment ref="B216" authorId="1">
      <text>
        <r>
          <rPr>
            <b/>
            <sz val="8"/>
            <color indexed="81"/>
            <rFont val="Tahoma"/>
            <family val="2"/>
          </rPr>
          <t xml:space="preserve">.AddComment ("Administrator: If a person (Single beneficiary) who has many loan types, please list in same number.")
</t>
        </r>
      </text>
    </comment>
    <comment ref="B217" authorId="1">
      <text>
        <r>
          <rPr>
            <b/>
            <sz val="8"/>
            <color indexed="81"/>
            <rFont val="Tahoma"/>
            <family val="2"/>
          </rPr>
          <t xml:space="preserve">.AddComment ("Administrator: If a person (Single beneficiary) who has many loan types, please list in same number.")
</t>
        </r>
      </text>
    </comment>
    <comment ref="B218" authorId="1">
      <text>
        <r>
          <rPr>
            <b/>
            <sz val="8"/>
            <color indexed="81"/>
            <rFont val="Tahoma"/>
            <family val="2"/>
          </rPr>
          <t xml:space="preserve">.AddComment ("Administrator: If a person (Single beneficiary) who has many loan types, please list in same number.")
</t>
        </r>
      </text>
    </comment>
    <comment ref="B219" authorId="1">
      <text>
        <r>
          <rPr>
            <b/>
            <sz val="8"/>
            <color indexed="81"/>
            <rFont val="Tahoma"/>
            <family val="2"/>
          </rPr>
          <t xml:space="preserve">.AddComment ("Administrator: If a person (Single beneficiary) who has many loan types, please list in same number.")
</t>
        </r>
      </text>
    </comment>
    <comment ref="B220" authorId="1">
      <text>
        <r>
          <rPr>
            <b/>
            <sz val="8"/>
            <color indexed="81"/>
            <rFont val="Tahoma"/>
            <family val="2"/>
          </rPr>
          <t xml:space="preserve">.AddComment ("Administrator: If a person (Single beneficiary) who has many loan types, please list in same number.")
</t>
        </r>
      </text>
    </comment>
    <comment ref="B221" authorId="1">
      <text>
        <r>
          <rPr>
            <b/>
            <sz val="8"/>
            <color indexed="81"/>
            <rFont val="Tahoma"/>
            <family val="2"/>
          </rPr>
          <t xml:space="preserve">.AddComment ("Administrator: If a person (Single beneficiary) who has many loan types, please list in same number.")
</t>
        </r>
      </text>
    </comment>
    <comment ref="B222" authorId="1">
      <text>
        <r>
          <rPr>
            <b/>
            <sz val="8"/>
            <color indexed="81"/>
            <rFont val="Tahoma"/>
            <family val="2"/>
          </rPr>
          <t xml:space="preserve">.AddComment ("Administrator: If a person (Single beneficiary) who has many loan types, please list in same number.")
</t>
        </r>
      </text>
    </comment>
    <comment ref="B223" authorId="1">
      <text>
        <r>
          <rPr>
            <b/>
            <sz val="8"/>
            <color indexed="81"/>
            <rFont val="Tahoma"/>
            <family val="2"/>
          </rPr>
          <t xml:space="preserve">.AddComment ("Administrator: If a person (Single beneficiary) who has many loan types, please list in same number.")
</t>
        </r>
      </text>
    </comment>
    <comment ref="B224" authorId="1">
      <text>
        <r>
          <rPr>
            <b/>
            <sz val="8"/>
            <color indexed="81"/>
            <rFont val="Tahoma"/>
            <family val="2"/>
          </rPr>
          <t xml:space="preserve">.AddComment ("Administrator: If a person (Single beneficiary) who has many loan types, please list in same number.")
</t>
        </r>
      </text>
    </comment>
    <comment ref="B225" authorId="1">
      <text>
        <r>
          <rPr>
            <b/>
            <sz val="8"/>
            <color indexed="81"/>
            <rFont val="Tahoma"/>
            <family val="2"/>
          </rPr>
          <t xml:space="preserve">.AddComment ("Administrator: If a person (Single beneficiary) who has many loan types, please list in same number.")
</t>
        </r>
      </text>
    </comment>
    <comment ref="B226" authorId="1">
      <text>
        <r>
          <rPr>
            <b/>
            <sz val="8"/>
            <color indexed="81"/>
            <rFont val="Tahoma"/>
            <family val="2"/>
          </rPr>
          <t xml:space="preserve">.AddComment ("Administrator: If a person (Single beneficiary) who has many loan types, please list in same number.")
</t>
        </r>
      </text>
    </comment>
    <comment ref="B227" authorId="1">
      <text>
        <r>
          <rPr>
            <b/>
            <sz val="8"/>
            <color indexed="81"/>
            <rFont val="Tahoma"/>
            <family val="2"/>
          </rPr>
          <t xml:space="preserve">.AddComment ("Administrator: If a person (Single beneficiary) who has many loan types, please list in same number.")
</t>
        </r>
      </text>
    </comment>
    <comment ref="B228" authorId="1">
      <text>
        <r>
          <rPr>
            <b/>
            <sz val="8"/>
            <color indexed="81"/>
            <rFont val="Tahoma"/>
            <family val="2"/>
          </rPr>
          <t xml:space="preserve">.AddComment ("Administrator: If a person (Single beneficiary) who has many loan types, please list in same number.")
</t>
        </r>
      </text>
    </comment>
    <comment ref="B229" authorId="1">
      <text>
        <r>
          <rPr>
            <b/>
            <sz val="8"/>
            <color indexed="81"/>
            <rFont val="Tahoma"/>
            <family val="2"/>
          </rPr>
          <t xml:space="preserve">.AddComment ("Administrator: If a person (Single beneficiary) who has many loan types, please list in same number.")
</t>
        </r>
      </text>
    </comment>
    <comment ref="B230" authorId="1">
      <text>
        <r>
          <rPr>
            <b/>
            <sz val="8"/>
            <color indexed="81"/>
            <rFont val="Tahoma"/>
            <family val="2"/>
          </rPr>
          <t xml:space="preserve">.AddComment ("Administrator: If a person (Single beneficiary) who has many loan types, please list in same number.")
</t>
        </r>
      </text>
    </comment>
    <comment ref="B231" authorId="1">
      <text>
        <r>
          <rPr>
            <b/>
            <sz val="8"/>
            <color indexed="81"/>
            <rFont val="Tahoma"/>
            <family val="2"/>
          </rPr>
          <t xml:space="preserve">.AddComment ("Administrator: If a person (Single beneficiary) who has many loan types, please list in same number.")
</t>
        </r>
      </text>
    </comment>
    <comment ref="B232" authorId="1">
      <text>
        <r>
          <rPr>
            <b/>
            <sz val="8"/>
            <color indexed="81"/>
            <rFont val="Tahoma"/>
            <family val="2"/>
          </rPr>
          <t xml:space="preserve">.AddComment ("Administrator: If a person (Single beneficiary) who has many loan types, please list in same number.")
</t>
        </r>
      </text>
    </comment>
    <comment ref="B233" authorId="1">
      <text>
        <r>
          <rPr>
            <b/>
            <sz val="8"/>
            <color indexed="81"/>
            <rFont val="Tahoma"/>
            <family val="2"/>
          </rPr>
          <t xml:space="preserve">.AddComment ("Administrator: If a person (Single beneficiary) who has many loan types, please list in same number.")
</t>
        </r>
      </text>
    </comment>
    <comment ref="B234" authorId="1">
      <text>
        <r>
          <rPr>
            <b/>
            <sz val="8"/>
            <color indexed="81"/>
            <rFont val="Tahoma"/>
            <family val="2"/>
          </rPr>
          <t xml:space="preserve">.AddComment ("Administrator: If a person (Single beneficiary) who has many loan types, please list in same number.")
</t>
        </r>
      </text>
    </comment>
    <comment ref="B235" authorId="1">
      <text>
        <r>
          <rPr>
            <b/>
            <sz val="8"/>
            <color indexed="81"/>
            <rFont val="Tahoma"/>
            <family val="2"/>
          </rPr>
          <t xml:space="preserve">.AddComment ("Administrator: If a person (Single beneficiary) who has many loan types, please list in same number.")
</t>
        </r>
      </text>
    </comment>
    <comment ref="B236" authorId="1">
      <text>
        <r>
          <rPr>
            <b/>
            <sz val="8"/>
            <color indexed="81"/>
            <rFont val="Tahoma"/>
            <family val="2"/>
          </rPr>
          <t xml:space="preserve">.AddComment ("Administrator: If a person (Single beneficiary) who has many loan types, please list in same number.")
</t>
        </r>
      </text>
    </comment>
    <comment ref="B237" authorId="1">
      <text>
        <r>
          <rPr>
            <b/>
            <sz val="8"/>
            <color indexed="81"/>
            <rFont val="Tahoma"/>
            <family val="2"/>
          </rPr>
          <t xml:space="preserve">.AddComment ("Administrator: If a person (Single beneficiary) who has many loan types, please list in same number.")
</t>
        </r>
      </text>
    </comment>
    <comment ref="B238" authorId="1">
      <text>
        <r>
          <rPr>
            <b/>
            <sz val="8"/>
            <color indexed="81"/>
            <rFont val="Tahoma"/>
            <family val="2"/>
          </rPr>
          <t xml:space="preserve">.AddComment ("Administrator: If a person (Single beneficiary) who has many loan types, please list in same number.")
</t>
        </r>
      </text>
    </comment>
    <comment ref="B239" authorId="1">
      <text>
        <r>
          <rPr>
            <b/>
            <sz val="8"/>
            <color indexed="81"/>
            <rFont val="Tahoma"/>
            <family val="2"/>
          </rPr>
          <t xml:space="preserve">.AddComment ("Administrator: If a person (Single beneficiary) who has many loan types, please list in same number.")
</t>
        </r>
      </text>
    </comment>
    <comment ref="B240" authorId="1">
      <text>
        <r>
          <rPr>
            <b/>
            <sz val="8"/>
            <color indexed="81"/>
            <rFont val="Tahoma"/>
            <family val="2"/>
          </rPr>
          <t xml:space="preserve">.AddComment ("Administrator: If a person (Single beneficiary) who has many loan types, please list in same number.")
</t>
        </r>
      </text>
    </comment>
    <comment ref="B241" authorId="1">
      <text>
        <r>
          <rPr>
            <b/>
            <sz val="8"/>
            <color indexed="81"/>
            <rFont val="Tahoma"/>
            <family val="2"/>
          </rPr>
          <t xml:space="preserve">.AddComment ("Administrator: If a person (Single beneficiary) who has many loan types, please list in same number.")
</t>
        </r>
      </text>
    </comment>
    <comment ref="B242" authorId="1">
      <text>
        <r>
          <rPr>
            <b/>
            <sz val="8"/>
            <color indexed="81"/>
            <rFont val="Tahoma"/>
            <family val="2"/>
          </rPr>
          <t xml:space="preserve">.AddComment ("Administrator: If a person (Single beneficiary) who has many loan types, please list in same number.")
</t>
        </r>
      </text>
    </comment>
    <comment ref="B243" authorId="1">
      <text>
        <r>
          <rPr>
            <b/>
            <sz val="8"/>
            <color indexed="81"/>
            <rFont val="Tahoma"/>
            <family val="2"/>
          </rPr>
          <t xml:space="preserve">.AddComment ("Administrator: If a person (Single beneficiary) who has many loan types, please list in same number.")
</t>
        </r>
      </text>
    </comment>
    <comment ref="B244" authorId="1">
      <text>
        <r>
          <rPr>
            <b/>
            <sz val="8"/>
            <color indexed="81"/>
            <rFont val="Tahoma"/>
            <family val="2"/>
          </rPr>
          <t xml:space="preserve">.AddComment ("Administrator: If a person (Single beneficiary) who has many loan types, please list in same number.")
</t>
        </r>
      </text>
    </comment>
    <comment ref="B245" authorId="1">
      <text>
        <r>
          <rPr>
            <b/>
            <sz val="8"/>
            <color indexed="81"/>
            <rFont val="Tahoma"/>
            <family val="2"/>
          </rPr>
          <t xml:space="preserve">.AddComment ("Administrator: If a person (Single beneficiary) who has many loan types, please list in same number.")
</t>
        </r>
      </text>
    </comment>
    <comment ref="B246" authorId="1">
      <text>
        <r>
          <rPr>
            <b/>
            <sz val="8"/>
            <color indexed="81"/>
            <rFont val="Tahoma"/>
            <family val="2"/>
          </rPr>
          <t xml:space="preserve">.AddComment ("Administrator: If a person (Single beneficiary) who has many loan types, please list in same number.")
</t>
        </r>
      </text>
    </comment>
    <comment ref="B247" authorId="1">
      <text>
        <r>
          <rPr>
            <b/>
            <sz val="8"/>
            <color indexed="81"/>
            <rFont val="Tahoma"/>
            <family val="2"/>
          </rPr>
          <t xml:space="preserve">.AddComment ("Administrator: If a person (Single beneficiary) who has many loan types, please list in same number.")
</t>
        </r>
      </text>
    </comment>
    <comment ref="B248" authorId="1">
      <text>
        <r>
          <rPr>
            <b/>
            <sz val="8"/>
            <color indexed="81"/>
            <rFont val="Tahoma"/>
            <family val="2"/>
          </rPr>
          <t xml:space="preserve">.AddComment ("Administrator: If a person (Single beneficiary) who has many loan types, please list in same number.")
</t>
        </r>
      </text>
    </comment>
    <comment ref="B249" authorId="1">
      <text>
        <r>
          <rPr>
            <b/>
            <sz val="8"/>
            <color indexed="81"/>
            <rFont val="Tahoma"/>
            <family val="2"/>
          </rPr>
          <t xml:space="preserve">.AddComment ("Administrator: If a person (Single beneficiary) who has many loan types, please list in same number.")
</t>
        </r>
      </text>
    </comment>
    <comment ref="B250" authorId="1">
      <text>
        <r>
          <rPr>
            <b/>
            <sz val="8"/>
            <color indexed="81"/>
            <rFont val="Tahoma"/>
            <family val="2"/>
          </rPr>
          <t xml:space="preserve">.AddComment ("Administrator: If a person (Single beneficiary) who has many loan types, please list in same number.")
</t>
        </r>
      </text>
    </comment>
    <comment ref="B251" authorId="1">
      <text>
        <r>
          <rPr>
            <b/>
            <sz val="8"/>
            <color indexed="81"/>
            <rFont val="Tahoma"/>
            <family val="2"/>
          </rPr>
          <t xml:space="preserve">.AddComment ("Administrator: If a person (Single beneficiary) who has many loan types, please list in same number.")
</t>
        </r>
      </text>
    </comment>
    <comment ref="B252" authorId="1">
      <text>
        <r>
          <rPr>
            <b/>
            <sz val="8"/>
            <color indexed="81"/>
            <rFont val="Tahoma"/>
            <family val="2"/>
          </rPr>
          <t xml:space="preserve">.AddComment ("Administrator: If a person (Single beneficiary) who has many loan types, please list in same number.")
</t>
        </r>
      </text>
    </comment>
    <comment ref="B253" authorId="1">
      <text>
        <r>
          <rPr>
            <b/>
            <sz val="8"/>
            <color indexed="81"/>
            <rFont val="Tahoma"/>
            <family val="2"/>
          </rPr>
          <t xml:space="preserve">.AddComment ("Administrator: If a person (Single beneficiary) who has many loan types, please list in same number.")
</t>
        </r>
      </text>
    </comment>
    <comment ref="B254" authorId="1">
      <text>
        <r>
          <rPr>
            <b/>
            <sz val="8"/>
            <color indexed="81"/>
            <rFont val="Tahoma"/>
            <family val="2"/>
          </rPr>
          <t xml:space="preserve">.AddComment ("Administrator: If a person (Single beneficiary) who has many loan types, please list in same number.")
</t>
        </r>
      </text>
    </comment>
    <comment ref="B255" authorId="1">
      <text>
        <r>
          <rPr>
            <b/>
            <sz val="8"/>
            <color indexed="81"/>
            <rFont val="Tahoma"/>
            <family val="2"/>
          </rPr>
          <t xml:space="preserve">.AddComment ("Administrator: If a person (Single beneficiary) who has many loan types, please list in same number.")
</t>
        </r>
      </text>
    </comment>
    <comment ref="B256" authorId="1">
      <text>
        <r>
          <rPr>
            <b/>
            <sz val="8"/>
            <color indexed="81"/>
            <rFont val="Tahoma"/>
            <family val="2"/>
          </rPr>
          <t xml:space="preserve">.AddComment ("Administrator: If a person (Single beneficiary) who has many loan types, please list in same number.")
</t>
        </r>
      </text>
    </comment>
    <comment ref="B257" authorId="1">
      <text>
        <r>
          <rPr>
            <b/>
            <sz val="8"/>
            <color indexed="81"/>
            <rFont val="Tahoma"/>
            <family val="2"/>
          </rPr>
          <t xml:space="preserve">.AddComment ("Administrator: If a person (Single beneficiary) who has many loan types, please list in same number.")
</t>
        </r>
      </text>
    </comment>
    <comment ref="B258" authorId="1">
      <text>
        <r>
          <rPr>
            <b/>
            <sz val="8"/>
            <color indexed="81"/>
            <rFont val="Tahoma"/>
            <family val="2"/>
          </rPr>
          <t xml:space="preserve">.AddComment ("Administrator: If a person (Single beneficiary) who has many loan types, please list in same number.")
</t>
        </r>
      </text>
    </comment>
    <comment ref="B259" authorId="1">
      <text>
        <r>
          <rPr>
            <b/>
            <sz val="8"/>
            <color indexed="81"/>
            <rFont val="Tahoma"/>
            <family val="2"/>
          </rPr>
          <t xml:space="preserve">.AddComment ("Administrator: If a person (Single beneficiary) who has many loan types, please list in same number.")
</t>
        </r>
      </text>
    </comment>
    <comment ref="B260" authorId="1">
      <text>
        <r>
          <rPr>
            <b/>
            <sz val="8"/>
            <color indexed="81"/>
            <rFont val="Tahoma"/>
            <family val="2"/>
          </rPr>
          <t xml:space="preserve">.AddComment ("Administrator: If a person (Single beneficiary) who has many loan types, please list in same number.")
</t>
        </r>
      </text>
    </comment>
    <comment ref="B261" authorId="1">
      <text>
        <r>
          <rPr>
            <b/>
            <sz val="8"/>
            <color indexed="81"/>
            <rFont val="Tahoma"/>
            <family val="2"/>
          </rPr>
          <t xml:space="preserve">.AddComment ("Administrator: If a person (Single beneficiary) who has many loan types, please list in same number.")
</t>
        </r>
      </text>
    </comment>
    <comment ref="B262" authorId="1">
      <text>
        <r>
          <rPr>
            <b/>
            <sz val="8"/>
            <color indexed="81"/>
            <rFont val="Tahoma"/>
            <family val="2"/>
          </rPr>
          <t xml:space="preserve">.AddComment ("Administrator: If a person (Single beneficiary) who has many loan types, please list in same number.")
</t>
        </r>
      </text>
    </comment>
    <comment ref="B263" authorId="1">
      <text>
        <r>
          <rPr>
            <b/>
            <sz val="8"/>
            <color indexed="81"/>
            <rFont val="Tahoma"/>
            <family val="2"/>
          </rPr>
          <t xml:space="preserve">.AddComment ("Administrator: If a person (Single beneficiary) who has many loan types, please list in same number.")
</t>
        </r>
      </text>
    </comment>
    <comment ref="B264" authorId="1">
      <text>
        <r>
          <rPr>
            <b/>
            <sz val="8"/>
            <color indexed="81"/>
            <rFont val="Tahoma"/>
            <family val="2"/>
          </rPr>
          <t xml:space="preserve">.AddComment ("Administrator: If a person (Single beneficiary) who has many loan types, please list in same number.")
</t>
        </r>
      </text>
    </comment>
    <comment ref="B265" authorId="1">
      <text>
        <r>
          <rPr>
            <b/>
            <sz val="8"/>
            <color indexed="81"/>
            <rFont val="Tahoma"/>
            <family val="2"/>
          </rPr>
          <t xml:space="preserve">.AddComment ("Administrator: If a person (Single beneficiary) who has many loan types, please list in same number.")
</t>
        </r>
      </text>
    </comment>
    <comment ref="B266" authorId="1">
      <text>
        <r>
          <rPr>
            <b/>
            <sz val="8"/>
            <color indexed="81"/>
            <rFont val="Tahoma"/>
            <family val="2"/>
          </rPr>
          <t xml:space="preserve">.AddComment ("Administrator: If a person (Single beneficiary) who has many loan types, please list in same number.")
</t>
        </r>
      </text>
    </comment>
    <comment ref="B267" authorId="1">
      <text>
        <r>
          <rPr>
            <b/>
            <sz val="8"/>
            <color indexed="81"/>
            <rFont val="Tahoma"/>
            <family val="2"/>
          </rPr>
          <t xml:space="preserve">.AddComment ("Administrator: If a person (Single beneficiary) who has many loan types, please list in same number.")
</t>
        </r>
      </text>
    </comment>
    <comment ref="B268" authorId="1">
      <text>
        <r>
          <rPr>
            <b/>
            <sz val="8"/>
            <color indexed="81"/>
            <rFont val="Tahoma"/>
            <family val="2"/>
          </rPr>
          <t xml:space="preserve">.AddComment ("Administrator: If a person (Single beneficiary) who has many loan types, please list in same number.")
</t>
        </r>
      </text>
    </comment>
    <comment ref="B269" authorId="1">
      <text>
        <r>
          <rPr>
            <b/>
            <sz val="8"/>
            <color indexed="81"/>
            <rFont val="Tahoma"/>
            <family val="2"/>
          </rPr>
          <t xml:space="preserve">.AddComment ("Administrator: If a person (Single beneficiary) who has many loan types, please list in same number.")
</t>
        </r>
      </text>
    </comment>
    <comment ref="B270" authorId="1">
      <text>
        <r>
          <rPr>
            <b/>
            <sz val="8"/>
            <color indexed="81"/>
            <rFont val="Tahoma"/>
            <family val="2"/>
          </rPr>
          <t xml:space="preserve">.AddComment ("Administrator: If a person (Single beneficiary) who has many loan types, please list in same number.")
</t>
        </r>
      </text>
    </comment>
    <comment ref="B271" authorId="1">
      <text>
        <r>
          <rPr>
            <b/>
            <sz val="8"/>
            <color indexed="81"/>
            <rFont val="Tahoma"/>
            <family val="2"/>
          </rPr>
          <t xml:space="preserve">.AddComment ("Administrator: If a person (Single beneficiary) who has many loan types, please list in same number.")
</t>
        </r>
      </text>
    </comment>
    <comment ref="B272" authorId="1">
      <text>
        <r>
          <rPr>
            <b/>
            <sz val="8"/>
            <color indexed="81"/>
            <rFont val="Tahoma"/>
            <family val="2"/>
          </rPr>
          <t xml:space="preserve">.AddComment ("Administrator: If a person (Single beneficiary) who has many loan types, please list in same number.")
</t>
        </r>
      </text>
    </comment>
    <comment ref="B273" authorId="1">
      <text>
        <r>
          <rPr>
            <b/>
            <sz val="8"/>
            <color indexed="81"/>
            <rFont val="Tahoma"/>
            <family val="2"/>
          </rPr>
          <t xml:space="preserve">.AddComment ("Administrator: If a person (Single beneficiary) who has many loan types, please list in same number.")
</t>
        </r>
      </text>
    </comment>
    <comment ref="B274" authorId="1">
      <text>
        <r>
          <rPr>
            <b/>
            <sz val="8"/>
            <color indexed="81"/>
            <rFont val="Tahoma"/>
            <family val="2"/>
          </rPr>
          <t xml:space="preserve">.AddComment ("Administrator: If a person (Single beneficiary) who has many loan types, please list in same number.")
</t>
        </r>
      </text>
    </comment>
    <comment ref="B275" authorId="1">
      <text>
        <r>
          <rPr>
            <b/>
            <sz val="8"/>
            <color indexed="81"/>
            <rFont val="Tahoma"/>
            <family val="2"/>
          </rPr>
          <t xml:space="preserve">.AddComment ("Administrator: If a person (Single beneficiary) who has many loan types, please list in same number.")
</t>
        </r>
      </text>
    </comment>
    <comment ref="B276" authorId="1">
      <text>
        <r>
          <rPr>
            <b/>
            <sz val="8"/>
            <color indexed="81"/>
            <rFont val="Tahoma"/>
            <family val="2"/>
          </rPr>
          <t xml:space="preserve">.AddComment ("Administrator: If a person (Single beneficiary) who has many loan types, please list in same number.")
</t>
        </r>
      </text>
    </comment>
    <comment ref="B277" authorId="1">
      <text>
        <r>
          <rPr>
            <b/>
            <sz val="8"/>
            <color indexed="81"/>
            <rFont val="Tahoma"/>
            <family val="2"/>
          </rPr>
          <t xml:space="preserve">.AddComment ("Administrator: If a person (Single beneficiary) who has many loan types, please list in same number.")
</t>
        </r>
      </text>
    </comment>
    <comment ref="B278" authorId="1">
      <text>
        <r>
          <rPr>
            <b/>
            <sz val="8"/>
            <color indexed="81"/>
            <rFont val="Tahoma"/>
            <family val="2"/>
          </rPr>
          <t xml:space="preserve">.AddComment ("Administrator: If a person (Single beneficiary) who has many loan types, please list in same number.")
</t>
        </r>
      </text>
    </comment>
    <comment ref="B279" authorId="1">
      <text>
        <r>
          <rPr>
            <b/>
            <sz val="8"/>
            <color indexed="81"/>
            <rFont val="Tahoma"/>
            <family val="2"/>
          </rPr>
          <t xml:space="preserve">.AddComment ("Administrator: If a person (Single beneficiary) who has many loan types, please list in same number.")
</t>
        </r>
      </text>
    </comment>
    <comment ref="B280" authorId="1">
      <text>
        <r>
          <rPr>
            <b/>
            <sz val="8"/>
            <color indexed="81"/>
            <rFont val="Tahoma"/>
            <family val="2"/>
          </rPr>
          <t xml:space="preserve">.AddComment ("Administrator: If a person (Single beneficiary) who has many loan types, please list in same number.")
</t>
        </r>
      </text>
    </comment>
    <comment ref="B281" authorId="1">
      <text>
        <r>
          <rPr>
            <b/>
            <sz val="8"/>
            <color indexed="81"/>
            <rFont val="Tahoma"/>
            <family val="2"/>
          </rPr>
          <t xml:space="preserve">.AddComment ("Administrator: If a person (Single beneficiary) who has many loan types, please list in same number.")
</t>
        </r>
      </text>
    </comment>
    <comment ref="B282" authorId="1">
      <text>
        <r>
          <rPr>
            <b/>
            <sz val="8"/>
            <color indexed="81"/>
            <rFont val="Tahoma"/>
            <family val="2"/>
          </rPr>
          <t xml:space="preserve">.AddComment ("Administrator: If a person (Single beneficiary) who has many loan types, please list in same number.")
</t>
        </r>
      </text>
    </comment>
    <comment ref="B283" authorId="1">
      <text>
        <r>
          <rPr>
            <b/>
            <sz val="8"/>
            <color indexed="81"/>
            <rFont val="Tahoma"/>
            <family val="2"/>
          </rPr>
          <t xml:space="preserve">.AddComment ("Administrator: If a person (Single beneficiary) who has many loan types, please list in same number.")
</t>
        </r>
      </text>
    </comment>
    <comment ref="B284" authorId="1">
      <text>
        <r>
          <rPr>
            <b/>
            <sz val="8"/>
            <color indexed="81"/>
            <rFont val="Tahoma"/>
            <family val="2"/>
          </rPr>
          <t xml:space="preserve">.AddComment ("Administrator: If a person (Single beneficiary) who has many loan types, please list in same number.")
</t>
        </r>
      </text>
    </comment>
    <comment ref="B285" authorId="1">
      <text>
        <r>
          <rPr>
            <b/>
            <sz val="8"/>
            <color indexed="81"/>
            <rFont val="Tahoma"/>
            <family val="2"/>
          </rPr>
          <t xml:space="preserve">.AddComment ("Administrator: If a person (Single beneficiary) who has many loan types, please list in same number.")
</t>
        </r>
      </text>
    </comment>
    <comment ref="B286" authorId="1">
      <text>
        <r>
          <rPr>
            <b/>
            <sz val="8"/>
            <color indexed="81"/>
            <rFont val="Tahoma"/>
            <family val="2"/>
          </rPr>
          <t xml:space="preserve">.AddComment ("Administrator: If a person (Single beneficiary) who has many loan types, please list in same number.")
</t>
        </r>
      </text>
    </comment>
    <comment ref="B287" authorId="1">
      <text>
        <r>
          <rPr>
            <b/>
            <sz val="8"/>
            <color indexed="81"/>
            <rFont val="Tahoma"/>
            <family val="2"/>
          </rPr>
          <t xml:space="preserve">.AddComment ("Administrator: If a person (Single beneficiary) who has many loan types, please list in same number.")
</t>
        </r>
      </text>
    </comment>
    <comment ref="B288" authorId="1">
      <text>
        <r>
          <rPr>
            <b/>
            <sz val="8"/>
            <color indexed="81"/>
            <rFont val="Tahoma"/>
            <family val="2"/>
          </rPr>
          <t xml:space="preserve">.AddComment ("Administrator: If a person (Single beneficiary) who has many loan types, please list in same number.")
</t>
        </r>
      </text>
    </comment>
    <comment ref="B289" authorId="1">
      <text>
        <r>
          <rPr>
            <b/>
            <sz val="8"/>
            <color indexed="81"/>
            <rFont val="Tahoma"/>
            <family val="2"/>
          </rPr>
          <t xml:space="preserve">.AddComment ("Administrator: If a person (Single beneficiary) who has many loan types, please list in same number.")
</t>
        </r>
      </text>
    </comment>
    <comment ref="B290" authorId="1">
      <text>
        <r>
          <rPr>
            <b/>
            <sz val="8"/>
            <color indexed="81"/>
            <rFont val="Tahoma"/>
            <family val="2"/>
          </rPr>
          <t xml:space="preserve">.AddComment ("Administrator: If a person (Single beneficiary) who has many loan types, please list in same number.")
</t>
        </r>
      </text>
    </comment>
    <comment ref="B291" authorId="1">
      <text>
        <r>
          <rPr>
            <b/>
            <sz val="8"/>
            <color indexed="81"/>
            <rFont val="Tahoma"/>
            <family val="2"/>
          </rPr>
          <t xml:space="preserve">.AddComment ("Administrator: If a person (Single beneficiary) who has many loan types, please list in same number.")
</t>
        </r>
      </text>
    </comment>
    <comment ref="B292" authorId="1">
      <text>
        <r>
          <rPr>
            <b/>
            <sz val="8"/>
            <color indexed="81"/>
            <rFont val="Tahoma"/>
            <family val="2"/>
          </rPr>
          <t xml:space="preserve">.AddComment ("Administrator: If a person (Single beneficiary) who has many loan types, please list in same number.")
</t>
        </r>
      </text>
    </comment>
    <comment ref="B293" authorId="1">
      <text>
        <r>
          <rPr>
            <b/>
            <sz val="8"/>
            <color indexed="81"/>
            <rFont val="Tahoma"/>
            <family val="2"/>
          </rPr>
          <t xml:space="preserve">.AddComment ("Administrator: If a person (Single beneficiary) who has many loan types, please list in same number.")
</t>
        </r>
      </text>
    </comment>
    <comment ref="B294" authorId="1">
      <text>
        <r>
          <rPr>
            <b/>
            <sz val="8"/>
            <color indexed="81"/>
            <rFont val="Tahoma"/>
            <family val="2"/>
          </rPr>
          <t xml:space="preserve">.AddComment ("Administrator: If a person (Single beneficiary) who has many loan types, please list in same number.")
</t>
        </r>
      </text>
    </comment>
    <comment ref="B295" authorId="1">
      <text>
        <r>
          <rPr>
            <b/>
            <sz val="8"/>
            <color indexed="81"/>
            <rFont val="Tahoma"/>
            <family val="2"/>
          </rPr>
          <t xml:space="preserve">.AddComment ("Administrator: If a person (Single beneficiary) who has many loan types, please list in same number.")
</t>
        </r>
      </text>
    </comment>
    <comment ref="B296" authorId="1">
      <text>
        <r>
          <rPr>
            <b/>
            <sz val="8"/>
            <color indexed="81"/>
            <rFont val="Tahoma"/>
            <family val="2"/>
          </rPr>
          <t xml:space="preserve">.AddComment ("Administrator: If a person (Single beneficiary) who has many loan types, please list in same number.")
</t>
        </r>
      </text>
    </comment>
    <comment ref="B297" authorId="1">
      <text>
        <r>
          <rPr>
            <b/>
            <sz val="8"/>
            <color indexed="81"/>
            <rFont val="Tahoma"/>
            <family val="2"/>
          </rPr>
          <t xml:space="preserve">.AddComment ("Administrator: If a person (Single beneficiary) who has many loan types, please list in same number.")
</t>
        </r>
      </text>
    </comment>
    <comment ref="B298" authorId="1">
      <text>
        <r>
          <rPr>
            <b/>
            <sz val="8"/>
            <color indexed="81"/>
            <rFont val="Tahoma"/>
            <family val="2"/>
          </rPr>
          <t xml:space="preserve">.AddComment ("Administrator: If a person (Single beneficiary) who has many loan types, please list in same number.")
</t>
        </r>
      </text>
    </comment>
    <comment ref="B2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3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4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5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6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7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8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0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1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2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3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4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5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6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7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8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1"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2"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3"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4"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5"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6"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7"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8"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999"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 ref="B1000" authorId="1">
      <text>
        <r>
          <rPr>
            <b/>
            <sz val="8"/>
            <color indexed="81"/>
            <rFont val="Tahoma"/>
            <family val="2"/>
          </rPr>
          <t>Administrator:
If a person (Single beneficiary) who has many loan types, please list in same number.</t>
        </r>
        <r>
          <rPr>
            <sz val="8"/>
            <color indexed="81"/>
            <rFont val="Tahoma"/>
            <family val="2"/>
          </rPr>
          <t xml:space="preserve">
</t>
        </r>
      </text>
    </comment>
  </commentList>
</comments>
</file>

<file path=xl/comments5.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3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4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6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7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8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0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2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3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4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5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7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8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6"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99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6.xml><?xml version="1.0" encoding="utf-8"?>
<comments xmlns="http://schemas.openxmlformats.org/spreadsheetml/2006/main">
  <authors>
    <author>mak vannak</author>
  </authors>
  <commentList>
    <comment ref="K13" authorId="0">
      <text>
        <r>
          <rPr>
            <b/>
            <sz val="8"/>
            <color indexed="81"/>
            <rFont val="Tahoma"/>
            <family val="2"/>
          </rPr>
          <t xml:space="preserve">including Cash, Gold, Securities, and others
</t>
        </r>
      </text>
    </comment>
  </commentList>
</comments>
</file>

<file path=xl/comments7.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8.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9.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10.xml><?xml version="1.0" encoding="utf-8"?>
<comments xmlns="http://schemas.openxmlformats.org/spreadsheetml/2006/main">
  <authors>
    <author>Administrator</author>
  </authors>
  <commentList>
    <comment ref="A1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25"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5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8"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69"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0"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1"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2"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3"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 ref="A174" authorId="0">
      <text>
        <r>
          <rPr>
            <b/>
            <sz val="9"/>
            <color indexed="81"/>
            <rFont val="Tahoma"/>
            <family val="2"/>
          </rPr>
          <t>Administrator:</t>
        </r>
        <r>
          <rPr>
            <sz val="9"/>
            <color indexed="81"/>
            <rFont val="Tahoma"/>
            <family val="2"/>
          </rPr>
          <t xml:space="preserve">
If a person (Single beneficiary) who has many loan types, please list in same number.</t>
        </r>
      </text>
    </comment>
  </commentList>
</comments>
</file>

<file path=xl/comments11.xml><?xml version="1.0" encoding="utf-8"?>
<comments xmlns="http://schemas.openxmlformats.org/spreadsheetml/2006/main">
  <authors>
    <author>mak vannak</author>
  </authors>
  <commentList>
    <comment ref="E12" authorId="0">
      <text>
        <r>
          <rPr>
            <b/>
            <sz val="8"/>
            <color indexed="81"/>
            <rFont val="Tahoma"/>
            <family val="2"/>
          </rPr>
          <t xml:space="preserve">The Royal Government of Cambodia: </t>
        </r>
      </text>
    </comment>
    <comment ref="H12" authorId="0">
      <text>
        <r>
          <rPr>
            <b/>
            <sz val="8"/>
            <color indexed="81"/>
            <rFont val="Tahoma"/>
            <family val="2"/>
          </rPr>
          <t>All Enterprises owned by Government Capital over 50%</t>
        </r>
      </text>
    </comment>
    <comment ref="J12" authorId="0">
      <text>
        <r>
          <rPr>
            <sz val="8"/>
            <color indexed="81"/>
            <rFont val="Tahoma"/>
            <family val="2"/>
          </rPr>
          <t>the part of the economy concerned with transactions of individuals and/or households, Financial and Non-Financial Institutions (in term of Corporations, Partnerships and Sole proprietorship), and Non-Profit Institutions (NPIs).</t>
        </r>
      </text>
    </comment>
    <comment ref="O12" authorId="0">
      <text>
        <r>
          <rPr>
            <sz val="8"/>
            <color indexed="81"/>
            <rFont val="Tahoma"/>
            <family val="2"/>
          </rPr>
          <t xml:space="preserve">including corporations, quasi-corporations, individuals, households, non-profit institutions, and the government units of the non-resident sector. Those enter into transactions with residents or have claims on residents. Non-resident has a legal definition in Cambodia.
</t>
        </r>
      </text>
    </comment>
    <comment ref="E14" authorId="0">
      <text>
        <r>
          <rPr>
            <b/>
            <sz val="8"/>
            <color indexed="81"/>
            <rFont val="Tahoma"/>
            <family val="2"/>
          </rPr>
          <t>All Ministries and Provincial Departments under the Mininstries of RGC</t>
        </r>
      </text>
    </comment>
    <comment ref="F14" authorId="0">
      <text>
        <r>
          <rPr>
            <b/>
            <sz val="8"/>
            <color indexed="81"/>
            <rFont val="Tahoma"/>
            <family val="2"/>
          </rPr>
          <t>Provincial Municipalities</t>
        </r>
      </text>
    </comment>
    <comment ref="G14" authorId="0">
      <text>
        <r>
          <rPr>
            <b/>
            <sz val="8"/>
            <color indexed="81"/>
            <rFont val="Tahoma"/>
            <family val="2"/>
          </rPr>
          <t>Khanns, Sangkats, Districts and Communes</t>
        </r>
      </text>
    </comment>
    <comment ref="H14" authorId="0">
      <text>
        <r>
          <rPr>
            <b/>
            <sz val="8"/>
            <color indexed="81"/>
            <rFont val="Tahoma"/>
            <family val="2"/>
          </rPr>
          <t>All State-Owwed Financial Enterprises, which are resident units in Cambodian territory</t>
        </r>
      </text>
    </comment>
    <comment ref="I14" authorId="0">
      <text>
        <r>
          <rPr>
            <b/>
            <sz val="8"/>
            <color indexed="81"/>
            <rFont val="Tahoma"/>
            <family val="2"/>
          </rPr>
          <t>All State-Owned Non-Financial Enterprises, as resident units in Cambodian territory</t>
        </r>
      </text>
    </comment>
    <comment ref="J14" authorId="0">
      <text>
        <r>
          <rPr>
            <sz val="8"/>
            <color indexed="81"/>
            <rFont val="Tahoma"/>
            <family val="2"/>
          </rPr>
          <t xml:space="preserve">a form of company in which a number of people and institutions may constribute funds in return for shares of stock in the company.
Corporations are able to raise funds by issuing stock to large numbvers of shareholders and thus are able to raise more capital to finance their operations than can a sole proprietor (sole trader) or a partnership. 
Corporations are managed by a BODs  elected by shareholders. 
(or a firm owned by a group of common stock-holders and whose capital is divided into a number of </t>
        </r>
        <r>
          <rPr>
            <b/>
            <sz val="8"/>
            <color indexed="81"/>
            <rFont val="Tahoma"/>
            <family val="2"/>
          </rPr>
          <t>shares</t>
        </r>
        <r>
          <rPr>
            <sz val="8"/>
            <color indexed="81"/>
            <rFont val="Tahoma"/>
            <family val="2"/>
          </rPr>
          <t>)</t>
        </r>
      </text>
    </comment>
    <comment ref="K14" authorId="0">
      <text>
        <r>
          <rPr>
            <sz val="8"/>
            <color indexed="81"/>
            <rFont val="Tahoma"/>
            <family val="2"/>
          </rPr>
          <t>a firm owned and controlled by two or more persons who are parties to a partnership agreement.</t>
        </r>
      </text>
    </comment>
    <comment ref="L14" authorId="0">
      <text>
        <r>
          <rPr>
            <sz val="8"/>
            <color indexed="81"/>
            <rFont val="Tahoma"/>
            <family val="2"/>
          </rPr>
          <t xml:space="preserve">a firm owned and controlled (managed) by one person.
(or </t>
        </r>
        <r>
          <rPr>
            <b/>
            <sz val="8"/>
            <color indexed="81"/>
            <rFont val="Tahoma"/>
            <family val="2"/>
          </rPr>
          <t>unincorporated</t>
        </r>
        <r>
          <rPr>
            <sz val="8"/>
            <color indexed="81"/>
            <rFont val="Tahoma"/>
            <family val="2"/>
          </rPr>
          <t xml:space="preserve"> business owned by a single person. The individual proprietor has the right to all the profits from the business and also has responsibility for all the firm's liabilities. </t>
        </r>
      </text>
    </comment>
    <comment ref="M14" authorId="0">
      <text>
        <r>
          <rPr>
            <sz val="8"/>
            <color indexed="81"/>
            <rFont val="Tahoma"/>
            <family val="2"/>
          </rPr>
          <t xml:space="preserve">A group of individuals whose economomic decision-making is interrelated. 
Activities of households as employers of domestic personnel, undifferentiated goods- and services- producing </t>
        </r>
        <r>
          <rPr>
            <b/>
            <sz val="8"/>
            <color indexed="81"/>
            <rFont val="Tahoma"/>
            <family val="2"/>
          </rPr>
          <t>activities of households for own use</t>
        </r>
        <r>
          <rPr>
            <sz val="8"/>
            <color indexed="81"/>
            <rFont val="Tahoma"/>
            <family val="2"/>
          </rPr>
          <t xml:space="preserve">. 
In economic theory, households perform two roles. On the one hand, they enter the marketplace as buyers or consumers of goods and services produced by companies. On the other hand, they provide factor inputs to companies in order to produce those goods and services. </t>
        </r>
      </text>
    </comment>
    <comment ref="N14" authorId="0">
      <text>
        <r>
          <rPr>
            <b/>
            <sz val="8"/>
            <color indexed="81"/>
            <rFont val="Tahoma"/>
            <family val="2"/>
          </rPr>
          <t>A nonproift institution (NPI) is resident in the country or economic territory whare the NPI has a center of econmic interest. In most instances, this center of economic interest lies in the country where the NPI was legally created and is officially recongized and recorded as a legal or social entity. When an NPI is engaged in charity or relief work on an international scale, it is necessary to specify the residence of any branches the NPI may manintain for dispensing relief in individual countries. If an NPI maintains a branch  or unit for one year or more in a particular country, that branch or unit should be considered a resident NPI that is financed largely or entirely by transfers from abroad.</t>
        </r>
      </text>
    </comment>
    <comment ref="D64" authorId="0">
      <text>
        <r>
          <rPr>
            <b/>
            <sz val="8"/>
            <color indexed="81"/>
            <rFont val="Tahoma"/>
            <family val="2"/>
          </rPr>
          <t>Domestic whole trade</t>
        </r>
      </text>
    </comment>
    <comment ref="Q85" authorId="0">
      <text>
        <r>
          <rPr>
            <b/>
            <sz val="8"/>
            <color indexed="81"/>
            <rFont val="Tahoma"/>
            <family val="2"/>
          </rPr>
          <t>Total Outstandign Loans</t>
        </r>
      </text>
    </comment>
    <comment ref="R86" authorId="0">
      <text>
        <r>
          <rPr>
            <b/>
            <sz val="8"/>
            <color indexed="81"/>
            <rFont val="Tahoma"/>
            <family val="2"/>
          </rPr>
          <t>Total AIR</t>
        </r>
      </text>
    </comment>
    <comment ref="S87" authorId="0">
      <text>
        <r>
          <rPr>
            <b/>
            <sz val="8"/>
            <color indexed="81"/>
            <rFont val="Tahoma"/>
            <family val="2"/>
          </rPr>
          <t>Total Gross Loans</t>
        </r>
      </text>
    </comment>
    <comment ref="T88" authorId="0">
      <text>
        <r>
          <rPr>
            <b/>
            <sz val="8"/>
            <color indexed="81"/>
            <rFont val="Tahoma"/>
            <family val="2"/>
          </rPr>
          <t>Total NPL</t>
        </r>
      </text>
    </comment>
    <comment ref="U89" authorId="0">
      <text>
        <r>
          <rPr>
            <b/>
            <sz val="8"/>
            <color indexed="81"/>
            <rFont val="Tahoma"/>
            <family val="2"/>
          </rPr>
          <t>Total Specific Provision</t>
        </r>
      </text>
    </comment>
    <comment ref="V89" authorId="0">
      <text>
        <r>
          <rPr>
            <b/>
            <sz val="8"/>
            <color indexed="81"/>
            <rFont val="Tahoma"/>
            <family val="2"/>
          </rPr>
          <t>verify with V84</t>
        </r>
      </text>
    </comment>
    <comment ref="V90" authorId="0">
      <text>
        <r>
          <rPr>
            <b/>
            <sz val="8"/>
            <color indexed="81"/>
            <rFont val="Tahoma"/>
            <family val="2"/>
          </rPr>
          <t xml:space="preserve">Total Net Loans
</t>
        </r>
      </text>
    </comment>
    <comment ref="V91" authorId="0">
      <text>
        <r>
          <rPr>
            <b/>
            <sz val="8"/>
            <color indexed="81"/>
            <rFont val="Tahoma"/>
            <family val="2"/>
          </rPr>
          <t>General Provision (1% of Gross Loan) to be put here.</t>
        </r>
      </text>
    </comment>
  </commentList>
</comments>
</file>

<file path=xl/comments12.xml><?xml version="1.0" encoding="utf-8"?>
<comments xmlns="http://schemas.openxmlformats.org/spreadsheetml/2006/main">
  <authors>
    <author>mak vannak</author>
  </authors>
  <commentList>
    <comment ref="I13" authorId="0">
      <text>
        <r>
          <rPr>
            <sz val="8"/>
            <color indexed="81"/>
            <rFont val="Tahoma"/>
            <family val="2"/>
          </rPr>
          <t>AIP, Unposed Credits, and Other-- inluding Certified Checks outstanding and bank sissued Foreign Draft outstanding, Certificate of Deposits, Negotiable Certificate of Deposits, Margin or Restrictive Deposits, Money Market Deposit Accounts, Other Short-term and Long-term Deposits, Obligations under Capital/Finance Lease, and Bankers' Acceptances Outstanding.
(Note: These are extracted from the COA mapping)</t>
        </r>
      </text>
    </comment>
    <comment ref="G14" authorId="0">
      <text>
        <r>
          <rPr>
            <sz val="8"/>
            <color indexed="81"/>
            <rFont val="Tahoma"/>
            <family val="2"/>
          </rPr>
          <t xml:space="preserve">Fixed Deposits having </t>
        </r>
        <r>
          <rPr>
            <b/>
            <sz val="8"/>
            <color indexed="81"/>
            <rFont val="Tahoma"/>
            <family val="2"/>
          </rPr>
          <t>not</t>
        </r>
        <r>
          <rPr>
            <sz val="8"/>
            <color indexed="81"/>
            <rFont val="Tahoma"/>
            <family val="2"/>
          </rPr>
          <t xml:space="preserve"> more than one month to run.</t>
        </r>
      </text>
    </comment>
    <comment ref="I14" authorId="0">
      <text>
        <r>
          <rPr>
            <sz val="8"/>
            <color indexed="81"/>
            <rFont val="Tahoma"/>
            <family val="2"/>
          </rPr>
          <t xml:space="preserve">Certificates of Deposits having </t>
        </r>
        <r>
          <rPr>
            <b/>
            <sz val="8"/>
            <color indexed="81"/>
            <rFont val="Tahoma"/>
            <family val="2"/>
          </rPr>
          <t>not</t>
        </r>
        <r>
          <rPr>
            <sz val="8"/>
            <color indexed="81"/>
            <rFont val="Tahoma"/>
            <family val="2"/>
          </rPr>
          <t xml:space="preserve"> more than one month to run.</t>
        </r>
        <r>
          <rPr>
            <sz val="8"/>
            <color indexed="81"/>
            <rFont val="Tahoma"/>
            <family val="2"/>
          </rPr>
          <t xml:space="preserve">
</t>
        </r>
      </text>
    </comment>
  </commentList>
</comments>
</file>

<file path=xl/comments13.xml><?xml version="1.0" encoding="utf-8"?>
<comments xmlns="http://schemas.openxmlformats.org/spreadsheetml/2006/main">
  <authors>
    <author>khun chandarashy</author>
  </authors>
  <commentList>
    <comment ref="A23" authorId="0">
      <text>
        <r>
          <rPr>
            <b/>
            <sz val="9"/>
            <color indexed="81"/>
            <rFont val="Tahoma"/>
            <family val="2"/>
          </rPr>
          <t>khun chandarashy:</t>
        </r>
        <r>
          <rPr>
            <sz val="9"/>
            <color indexed="81"/>
            <rFont val="Tahoma"/>
            <family val="2"/>
          </rPr>
          <t xml:space="preserve">
Includes: Saving Deposit and Current Account</t>
        </r>
      </text>
    </comment>
  </commentList>
</comments>
</file>

<file path=xl/sharedStrings.xml><?xml version="1.0" encoding="utf-8"?>
<sst xmlns="http://schemas.openxmlformats.org/spreadsheetml/2006/main" count="3022" uniqueCount="2005">
  <si>
    <r>
      <t xml:space="preserve">អនុបាតសាធនភាព =​ មូលនិធិផ្ទាល់សុទ្ធ / </t>
    </r>
    <r>
      <rPr>
        <b/>
        <sz val="9"/>
        <rFont val="Times New Roman"/>
        <family val="1"/>
      </rPr>
      <t xml:space="preserve">III   </t>
    </r>
    <r>
      <rPr>
        <b/>
        <sz val="9"/>
        <rFont val="Khmer OS Battambang"/>
      </rPr>
      <t xml:space="preserve">Solvency Ratio = Total Net Worth / </t>
    </r>
    <r>
      <rPr>
        <b/>
        <sz val="9"/>
        <rFont val="Times New Roman"/>
        <family val="1"/>
      </rPr>
      <t>III ( &gt;15% )</t>
    </r>
  </si>
  <si>
    <t>របាយការណ៍ប្រចាំខែស្តីពី ស្ថានភាពចំហសុទ្ធ នៃរូបិយប័ណ្ណ</t>
  </si>
  <si>
    <t>MONTHLY REPORT ON NET OPEN POSITION</t>
  </si>
  <si>
    <t>Total Net worth (NW) :</t>
  </si>
  <si>
    <t>ល.រ
Nº</t>
  </si>
  <si>
    <t>រូបិយប័ណ្ណ
Currency</t>
  </si>
  <si>
    <t>ខ្ទង់ផ្សេងៗបន្ទាប់ពីដកចេញសំវិធានធន</t>
  </si>
  <si>
    <t>រូបិយប័ណ្ណចំហសុទ្ធ / មូលនិធិផ្ទាល់សុទ្ធ (%)
Net open position / 
Net worth (%)</t>
  </si>
  <si>
    <t>ភាពលើស (១)
Excess (1)</t>
  </si>
  <si>
    <t>Elements after deduction of affected provision</t>
  </si>
  <si>
    <t>ទ្រព្យសកម្ម
Assets</t>
  </si>
  <si>
    <t>ទ្រព្យអកម្ម និងមូលធន
Liabilities &amp; Capital</t>
  </si>
  <si>
    <t>រូបិយប័ណ្ណត្រូវទទួល</t>
  </si>
  <si>
    <t>រូបិយប័ណ្ណត្រូវចំណាយ</t>
  </si>
  <si>
    <t>Currency receivables</t>
  </si>
  <si>
    <t>Currency Payables</t>
  </si>
  <si>
    <t>ខ្ទង់ក្រៅតុល្យការ</t>
  </si>
  <si>
    <t>Off-balance sheet</t>
  </si>
  <si>
    <t>5 = 1 - 2 + 3 - 4</t>
  </si>
  <si>
    <t>EUR</t>
  </si>
  <si>
    <t>SGD</t>
  </si>
  <si>
    <t>HKD</t>
  </si>
  <si>
    <t>THB</t>
  </si>
  <si>
    <t>JPY</t>
  </si>
  <si>
    <t>PHP</t>
  </si>
  <si>
    <t>AUD</t>
  </si>
  <si>
    <t>CAD</t>
  </si>
  <si>
    <t>GBP</t>
  </si>
  <si>
    <t>(២)​ (2)</t>
  </si>
  <si>
    <t>មធ្យមភាគអត្រាការប្រាក់ ក្រោយថ្លឹង</t>
  </si>
  <si>
    <t>(៣)​ (3)</t>
  </si>
  <si>
    <t>(៤)​ (4)</t>
  </si>
  <si>
    <t>ភ្នំពេញ ថ្ងៃទី       ខែ              ឆ្នាំ ២០១១</t>
  </si>
  <si>
    <r>
      <t>សរុប​ (</t>
    </r>
    <r>
      <rPr>
        <b/>
        <sz val="12"/>
        <rFont val="Arial"/>
        <family val="2"/>
      </rPr>
      <t>Total)</t>
    </r>
  </si>
  <si>
    <t>របាយការណ៍ប្រចាំខែស្តីពី ហានិភ័យធំៗរបស់ធនាគារ</t>
  </si>
  <si>
    <t>MONTHLY REPORT ON LARGE EXPOSURES OF BANK</t>
  </si>
  <si>
    <t>កាលបរិច្ចេទ :</t>
  </si>
  <si>
    <t>Bank's Net Worth:</t>
  </si>
  <si>
    <t xml:space="preserve">អត្រាប្តូរប្រាក់​ : </t>
  </si>
  <si>
    <t>(1)</t>
  </si>
  <si>
    <t>(2)</t>
  </si>
  <si>
    <t>(3)</t>
  </si>
  <si>
    <t>(4)</t>
  </si>
  <si>
    <t>(5)</t>
  </si>
  <si>
    <t>(7)</t>
  </si>
  <si>
    <t>(9)</t>
  </si>
  <si>
    <t>សរុប Total</t>
  </si>
  <si>
    <t>Grand Total</t>
  </si>
  <si>
    <t>ភ្នំពេញ ថ្ងៃទី​​ ​​​​​ ​​​​​​​ ខែ     ឆ្នាំ​ ២០១១</t>
  </si>
  <si>
    <r>
      <t xml:space="preserve">ឈ្មោះអ្នកខ្ចីប្រាក់ ​​​​​​   </t>
    </r>
    <r>
      <rPr>
        <sz val="10"/>
        <rFont val="Arial"/>
        <family val="2"/>
      </rPr>
      <t>Name of Borrower</t>
    </r>
  </si>
  <si>
    <r>
      <t>កាលបរិច្ឆេទយល់ព្រមពីធនាគារជាតិ</t>
    </r>
    <r>
      <rPr>
        <sz val="10"/>
        <rFont val="Arial"/>
        <family val="2"/>
      </rPr>
      <t xml:space="preserve"> Date of NBC's Approval</t>
    </r>
  </si>
  <si>
    <r>
      <t xml:space="preserve">កំរិតឥណទានអនុម័ត </t>
    </r>
    <r>
      <rPr>
        <sz val="10"/>
        <rFont val="Arial"/>
        <family val="2"/>
      </rPr>
      <t>Approved Limit</t>
    </r>
  </si>
  <si>
    <r>
      <t xml:space="preserve">ឥណទានជាក់ស្តែង </t>
    </r>
    <r>
      <rPr>
        <sz val="10"/>
        <rFont val="Arial"/>
        <family val="2"/>
      </rPr>
      <t>Outstanding Balance</t>
    </r>
  </si>
  <si>
    <r>
      <t xml:space="preserve">ខ្ទង់ក្រៅតារាងតុល្យការ </t>
    </r>
    <r>
      <rPr>
        <sz val="10"/>
        <rFont val="Arial"/>
        <family val="2"/>
      </rPr>
      <t>Off-Balance Sheet Commitments</t>
    </r>
  </si>
  <si>
    <r>
      <t xml:space="preserve">ចំនួនឥណទានធំសរុប </t>
    </r>
    <r>
      <rPr>
        <sz val="10"/>
        <rFont val="Arial"/>
        <family val="2"/>
      </rPr>
      <t>Total Exposure</t>
    </r>
  </si>
  <si>
    <r>
      <t>ការថ្លឹងហានិភ័យតាមប្រកាស</t>
    </r>
    <r>
      <rPr>
        <sz val="9"/>
        <rFont val="Arial"/>
        <family val="2"/>
      </rPr>
      <t xml:space="preserve"> </t>
    </r>
    <r>
      <rPr>
        <sz val="10"/>
        <rFont val="Arial"/>
        <family val="2"/>
      </rPr>
      <t>Weighting Following Prakas</t>
    </r>
  </si>
  <si>
    <r>
      <t>សរុបហានិភ័យធំៗក្រោយថ្លឹង​​​​​​​​</t>
    </r>
    <r>
      <rPr>
        <sz val="10"/>
        <rFont val="Arial"/>
        <family val="2"/>
      </rPr>
      <t xml:space="preserve"> Total Weighted Exposure</t>
    </r>
  </si>
  <si>
    <r>
      <t xml:space="preserve">សរុបហានិភ័យធំៗក្រោយថ្លឹង ធៀបនឹងមូលនិធិផ្ទាល់សុទ្ធ </t>
    </r>
    <r>
      <rPr>
        <sz val="10"/>
        <rFont val="Arial"/>
        <family val="2"/>
      </rPr>
      <t>Total Weighted Exposure / Net Worth (%)</t>
    </r>
  </si>
  <si>
    <r>
      <t>កំរិតហានិភ័យអតិបរមា</t>
    </r>
    <r>
      <rPr>
        <sz val="10"/>
        <rFont val="Arial"/>
        <family val="2"/>
      </rPr>
      <t xml:space="preserve"> Maximum (%)</t>
    </r>
  </si>
  <si>
    <r>
      <t xml:space="preserve">អតិរេក </t>
    </r>
    <r>
      <rPr>
        <sz val="10"/>
        <rFont val="Arial"/>
        <family val="2"/>
      </rPr>
      <t>Excess (%)</t>
    </r>
  </si>
  <si>
    <r>
      <t xml:space="preserve">គោលបំណងឥណទាន </t>
    </r>
    <r>
      <rPr>
        <sz val="10"/>
        <rFont val="Arial"/>
        <family val="2"/>
      </rPr>
      <t>Loan Purpose</t>
    </r>
  </si>
  <si>
    <r>
      <t xml:space="preserve">ចលនទ្រព្យ </t>
    </r>
    <r>
      <rPr>
        <b/>
        <sz val="8"/>
        <rFont val="Arial"/>
        <family val="2"/>
      </rPr>
      <t>Movable Property</t>
    </r>
  </si>
  <si>
    <t>(%)</t>
  </si>
  <si>
    <t xml:space="preserve">                               ឥណទានចំពោះសម្ព័ន្ធញ្ញាតិ ធៀបនឹង មូលនិធិផ្ទាល់សុទ្ធ ​(ជាភាគរយ) Loans to Related Parties compared to Net Worth (in %)</t>
  </si>
  <si>
    <r>
      <t>ល.រ</t>
    </r>
    <r>
      <rPr>
        <sz val="10"/>
        <rFont val="Arial"/>
        <family val="2"/>
      </rPr>
      <t xml:space="preserve"> No.</t>
    </r>
  </si>
  <si>
    <r>
      <t>អ្នកខ្ចីប្រាក់</t>
    </r>
    <r>
      <rPr>
        <sz val="10"/>
        <rFont val="Arial"/>
        <family val="2"/>
      </rPr>
      <t xml:space="preserve"> Borrowers</t>
    </r>
  </si>
  <si>
    <r>
      <t>ប្រភេទឥណទាន</t>
    </r>
    <r>
      <rPr>
        <sz val="10"/>
        <rFont val="Arial"/>
        <family val="2"/>
      </rPr>
      <t xml:space="preserve"> Type of Loan</t>
    </r>
  </si>
  <si>
    <r>
      <t xml:space="preserve">កាលបរិច្ឆេទផ្តល់ឥណទាន </t>
    </r>
    <r>
      <rPr>
        <sz val="10"/>
        <rFont val="Arial"/>
        <family val="2"/>
      </rPr>
      <t xml:space="preserve">Date of Loan Issued </t>
    </r>
  </si>
  <si>
    <r>
      <t>កំរិតឥណទានអនុម័ត</t>
    </r>
    <r>
      <rPr>
        <sz val="10"/>
        <rFont val="Arial"/>
        <family val="2"/>
      </rPr>
      <t xml:space="preserve"> Approved Limit</t>
    </r>
  </si>
  <si>
    <r>
      <t>អត្រាការប្រាក់ប្រចាំឆ្នាំ</t>
    </r>
    <r>
      <rPr>
        <sz val="10"/>
        <rFont val="Arial"/>
        <family val="2"/>
      </rPr>
      <t xml:space="preserve"> Yearly Interest Rate</t>
    </r>
  </si>
  <si>
    <r>
      <t xml:space="preserve">ឥណទានជាក់ស្តែងក្រោយថ្លឹង </t>
    </r>
    <r>
      <rPr>
        <sz val="9"/>
        <rFont val="Arial"/>
        <family val="2"/>
      </rPr>
      <t xml:space="preserve">Weighted </t>
    </r>
    <r>
      <rPr>
        <sz val="10"/>
        <rFont val="Arial"/>
        <family val="2"/>
      </rPr>
      <t>Outstanding Balance</t>
    </r>
  </si>
  <si>
    <r>
      <t>ឥណទានមិនដំណើការ</t>
    </r>
    <r>
      <rPr>
        <sz val="10"/>
        <rFont val="Arial"/>
        <family val="2"/>
      </rPr>
      <t xml:space="preserve"> Non-Performing Loans</t>
    </r>
  </si>
  <si>
    <r>
      <t>វត្ថុបញ្ចាំ</t>
    </r>
    <r>
      <rPr>
        <sz val="10"/>
        <rFont val="Arial"/>
        <family val="2"/>
      </rPr>
      <t xml:space="preserve"> Collateral</t>
    </r>
  </si>
  <si>
    <r>
      <t>ឈ្មោះ</t>
    </r>
    <r>
      <rPr>
        <sz val="10"/>
        <rFont val="Arial"/>
        <family val="2"/>
      </rPr>
      <t xml:space="preserve"> Name</t>
    </r>
  </si>
  <si>
    <r>
      <t>អាស័យដ្ឋាន</t>
    </r>
    <r>
      <rPr>
        <sz val="10"/>
        <rFont val="Arial"/>
        <family val="2"/>
      </rPr>
      <t xml:space="preserve"> Address</t>
    </r>
  </si>
  <si>
    <r>
      <t>ក្រោមស្តង់ដា</t>
    </r>
    <r>
      <rPr>
        <sz val="10"/>
        <rFont val="Arial"/>
        <family val="2"/>
      </rPr>
      <t xml:space="preserve"> Sub-Standard</t>
    </r>
  </si>
  <si>
    <r>
      <t>សង្ស័យ</t>
    </r>
    <r>
      <rPr>
        <sz val="10"/>
        <rFont val="Arial"/>
        <family val="2"/>
      </rPr>
      <t xml:space="preserve"> Doubtful</t>
    </r>
  </si>
  <si>
    <r>
      <t>ទ្រព្យបញ្ចាំ</t>
    </r>
    <r>
      <rPr>
        <b/>
        <sz val="10"/>
        <rFont val="Arial"/>
        <family val="2"/>
      </rPr>
      <t xml:space="preserve"> Collateral </t>
    </r>
  </si>
  <si>
    <r>
      <t>អចលនទ្រព្យ</t>
    </r>
    <r>
      <rPr>
        <b/>
        <sz val="8"/>
        <rFont val="Arial"/>
        <family val="2"/>
      </rPr>
      <t xml:space="preserve"> Real Estate</t>
    </r>
  </si>
  <si>
    <r>
      <t>បាត់បង់</t>
    </r>
    <r>
      <rPr>
        <sz val="10"/>
        <rFont val="Arial"/>
        <family val="2"/>
      </rPr>
      <t xml:space="preserve"> Loss</t>
    </r>
  </si>
  <si>
    <t>របាយការណ៍ស្តីពី ឥណទានតាមប្រភេទជំនួញនិងម្ចាស់កម្មសិទ្ធិ ក្នុងវិស័យសេដ្ឋកិច្ច</t>
  </si>
  <si>
    <t>MONTHLY REPORT ON CREDITS BY INDUSTRY AND OWNERSHIP IN THE ECONOMIC SECTOR</t>
  </si>
  <si>
    <t xml:space="preserve"> As of:</t>
  </si>
  <si>
    <t>KHR/$</t>
  </si>
  <si>
    <t>(in Millions of KHR)</t>
  </si>
  <si>
    <t>រាជរដ្ឋាភិបាល</t>
  </si>
  <si>
    <t>សហគ្រាសរដ្ឋ</t>
  </si>
  <si>
    <t>វិស័យឯកជន</t>
  </si>
  <si>
    <t>អនិវេសជន</t>
  </si>
  <si>
    <t>សរុបសមតុល្យ</t>
  </si>
  <si>
    <t>សរុបការប្រាក់បង្គរ</t>
  </si>
  <si>
    <t>សរុបឥណទានដុល</t>
  </si>
  <si>
    <t>សរុបឥណទាន មិនដំណើរការ</t>
  </si>
  <si>
    <t>សរុបសំវិធានធនពិត</t>
  </si>
  <si>
    <t>សរុបឥណទានសុទ្ធ</t>
  </si>
  <si>
    <t>Royal Government Of Cambodia</t>
  </si>
  <si>
    <t>State-Owned Enterprises</t>
  </si>
  <si>
    <t>Private Sector</t>
  </si>
  <si>
    <t>Non-Residents</t>
  </si>
  <si>
    <t>ឥណទាន</t>
  </si>
  <si>
    <t>រដ្ឋាភិបាលកណ្តាល</t>
  </si>
  <si>
    <t>រដ្ឋាភិបាលថ្នាក់ខេត្ត</t>
  </si>
  <si>
    <t>រដ្ឋបាលភូមិ-ឃុំ</t>
  </si>
  <si>
    <t>សហគ្រាសហិរញ្ញវត្ថុ</t>
  </si>
  <si>
    <t>សហគ្រាសមិនមែន ហិរញ្ញវត្ថុ</t>
  </si>
  <si>
    <t>សាជីវកម្ម</t>
  </si>
  <si>
    <t>សហកម្មសិទ្ធិ</t>
  </si>
  <si>
    <t>ឯកកម្មសិទ្ធិ</t>
  </si>
  <si>
    <t>គ្រួសារ</t>
  </si>
  <si>
    <t>ឥណទានពាណិជ្ជកម្ម Commercial Loan</t>
  </si>
  <si>
    <t>ឥណទានទៅអ្នកប្រើប្រាស់ Consumer Loan​​</t>
  </si>
  <si>
    <t>គ្រឹះស្ថានមិនគិត ប្រាក់ចំណេញ</t>
  </si>
  <si>
    <t>សាជីវកម្មនិងក្រុម ហ៊ុនផ្សេងៗទៀត</t>
  </si>
  <si>
    <t>រូបវន្តបុគ្គល</t>
  </si>
  <si>
    <t>Total Outstanding Loans</t>
  </si>
  <si>
    <t>Total Accrued Interest</t>
  </si>
  <si>
    <t>Total Gross Loans</t>
  </si>
  <si>
    <t>Total Non-Performing Loans</t>
  </si>
  <si>
    <t>Total Specific Provisions</t>
  </si>
  <si>
    <t>Total Net Loans</t>
  </si>
  <si>
    <t>Central Government</t>
  </si>
  <si>
    <t>Provincial Government</t>
  </si>
  <si>
    <t>Local Government</t>
  </si>
  <si>
    <t>Financial Enterprises</t>
  </si>
  <si>
    <t>Non-Financial Enterprises</t>
  </si>
  <si>
    <t>Corporations</t>
  </si>
  <si>
    <t>Partnerships</t>
  </si>
  <si>
    <t>Sole Proprietorships</t>
  </si>
  <si>
    <t>Households</t>
  </si>
  <si>
    <t xml:space="preserve">Non-Profit Institutions </t>
  </si>
  <si>
    <t>Corporations &amp; Quasi-Corporations</t>
  </si>
  <si>
    <t>Individuals</t>
  </si>
  <si>
    <t>(3) = (1) + (2)</t>
  </si>
  <si>
    <t>(6) = (3) - (5)</t>
  </si>
  <si>
    <t>1.2.3-</t>
  </si>
  <si>
    <t>1.3.3-</t>
  </si>
  <si>
    <t>1.3.4-</t>
  </si>
  <si>
    <t>1.3.5-</t>
  </si>
  <si>
    <t>1.3.6-</t>
  </si>
  <si>
    <t>1.3.7-</t>
  </si>
  <si>
    <t>2.3.2-</t>
  </si>
  <si>
    <t>2.3.3-</t>
  </si>
  <si>
    <t>2.3.4-</t>
  </si>
  <si>
    <t>2.3.5-</t>
  </si>
  <si>
    <t>2.3.6-</t>
  </si>
  <si>
    <t>2.3.7-</t>
  </si>
  <si>
    <t>2.3.8-</t>
  </si>
  <si>
    <t>2.3.9-</t>
  </si>
  <si>
    <t>2.3.10-</t>
  </si>
  <si>
    <t>2.3.11-</t>
  </si>
  <si>
    <t>2.4.1-</t>
  </si>
  <si>
    <t>2.4.2-</t>
  </si>
  <si>
    <t>2.4.3-</t>
  </si>
  <si>
    <t>2.4.4-</t>
  </si>
  <si>
    <t>2.5.1-</t>
  </si>
  <si>
    <t>2.5.2-</t>
  </si>
  <si>
    <t>2.5.3-</t>
  </si>
  <si>
    <t>2.5.4-</t>
  </si>
  <si>
    <t>2.5.5-</t>
  </si>
  <si>
    <r>
      <t xml:space="preserve">អភិវឌ្ឈន៍អចលនទ្រព្យសំរាប់វិស័យផ្សេងៗទៀត </t>
    </r>
    <r>
      <rPr>
        <sz val="10"/>
        <rFont val="Arial"/>
        <family val="2"/>
      </rPr>
      <t>Property Development: Others</t>
    </r>
  </si>
  <si>
    <t>2.5.6-</t>
  </si>
  <si>
    <t>2.5.7-</t>
  </si>
  <si>
    <t>2.5.8-</t>
  </si>
  <si>
    <t>2.6-</t>
  </si>
  <si>
    <t>2.6.1-</t>
  </si>
  <si>
    <t>2.6.2-</t>
  </si>
  <si>
    <t>2.6.3-</t>
  </si>
  <si>
    <t>2.7-</t>
  </si>
  <si>
    <t>2.8-</t>
  </si>
  <si>
    <t>2.9-</t>
  </si>
  <si>
    <t>2.10-</t>
  </si>
  <si>
    <t>2.11-</t>
  </si>
  <si>
    <t>2.12-</t>
  </si>
  <si>
    <t>2.12.1-</t>
  </si>
  <si>
    <t>2.12.2-</t>
  </si>
  <si>
    <t>2.12.3-</t>
  </si>
  <si>
    <t>2.12.4-</t>
  </si>
  <si>
    <t>2.12.5-</t>
  </si>
  <si>
    <t>2.12.6-</t>
  </si>
  <si>
    <t>2.13-</t>
  </si>
  <si>
    <t>3.1.1-</t>
  </si>
  <si>
    <t>3.1.2-</t>
  </si>
  <si>
    <t>ទ្រព្យសកម្មដែលមានវត្ថុបញ្ចាំជាប្រាក់បញ្ញើ 100% នៅធនាគារ Assets collaterallized by Deposits 100% lodged with Banks</t>
  </si>
  <si>
    <t>ឥណទេយ្យលើ  ឬធានាដោយស្ថាប័នអធិបតេយ្យដែលមានចំណាត់ថ្នាក់ពី​ AAA ទៅ AA- Claims on or Guaranteed by Sovereigns rated AAA to AA- or equivalent</t>
  </si>
  <si>
    <t>ឥណទេយ្យលើ  ឬធានាដោយស្ថាប័នអធិបតេយ្យដែលមានចំណាត់ថ្នាក់ពី​ A+ ទៅ A- Claims on or Guaranteed by Sovereigns rated A+ to A- or equivalent</t>
  </si>
  <si>
    <t>ឥណទេយ្យលើ  ឬធានាដោយធនាគារ ឫក្រុមហ៊ុនដែលមានចំណាត់ថ្នាក់ពី​ AAA ទៅ AA- Claims on or Guaranteed by banks rated AAA to AA- or equivalent</t>
  </si>
  <si>
    <t>ឥណទេយ្យលើ  ឬធានាដោយស្ថាប័នអធិបតេយ្យដែលមានចំណាត់ថ្នាក់ពី​ BBB+ ទៅ BBB- Claims on or Guaranteed by Sovereigns rated BBB+ to BBB- or equivalent</t>
  </si>
  <si>
    <t>ឥណទេយ្យលើ  ឬធានាដោយធនាគារ ឬក្រុមហ៊ុនដែលមានចំណាត់ថ្នាក់ពី​ A+ ទៅ A- Claims on or Guaranteed by Banks rated A+ to A- or equivalent</t>
  </si>
  <si>
    <t>ការសងប្រាក់តាមឯកសារឥណទានដែលបានចេញផ្សាយឬបញ្ជាក់ហើយ នៅពេលដែល ទំនិញមិនត្រូវបានប្រើជាវត្ថុបញ្ចាំ Commitments to pay resulting from documentary credits, issued or confirmed,
where the underlying goods do not serve as collateral</t>
  </si>
  <si>
    <t>កិច្ចសន្យាផ្តល់ឥណទានមិនប្រើប្រាស់ ជាពិសេសឥណទានលើសសមតុល្យ និងការសន្យា អោយខ្ចីដែលមានកាលកំណត់លើសពី១ឆ្នាំ Undrawn facilities, particularly overdrafts and commitments to lend with an initial term of more than one year</t>
  </si>
  <si>
    <t>ការធានាលើឥណទាន​ (ដកចេញហានិភ័យចំពោះអត្ថគាហកៈ)  Loan guarantees (deductible from the risk exposure in respect of the beneficiary)</t>
  </si>
  <si>
    <t>រូបិយបដិភោគ លើផលប័ត្រដែលមិនមានឈ្មោះរបស់ធនាគារ ឬគ្រឹះស្ថានហិរញ្ញវត្ថុ  Endorsement on bills not bearing the name of another bank or financial institution</t>
  </si>
  <si>
    <t>កម្រិតឥណទានមិនអាចបដិសេធបាន ឬការធានា ដែលមានលក្ខណះជំនួសឥណទាន  Irrevocable credit lines, or guarantees, having the character of credit substitutes</t>
  </si>
  <si>
    <t>ឯកសារឥណទានដែលត្រូវបានចេញផ្សាយ​ ឬបញ្ជាក់ ​ស្របពេលដែលទំនិញត្រូវបានប្រើជា វត្ថុ​​បញ្ចាំ និង​​ ប្រតិបត្តិការស្រដៀងគ្នាផ្សេងទៀត Documentary credits is sued or confirmed where the underlying goods serve as​​ collateral and other similar transactions</t>
  </si>
  <si>
    <t>ស្ថានភាពចំហសុទ្ធ នៃរូបិយប័ណ្ណ
Net open position
វែង ឬ ខ្លី
Long or short</t>
  </si>
  <si>
    <t>កម្រិតកំណត់ (%)
Limit (%)</t>
  </si>
  <si>
    <t>ផលធៀបរវាងទុនប្រើប្រាស់ក្នុងស្រុកនិងប្រភពទុន​ (គិតជា%) Local Uses of Funds over Sources of Funds​ (in %) = (2/1)x100</t>
  </si>
  <si>
    <t>NonInterest Sensitive</t>
  </si>
  <si>
    <r>
      <t>ប្រាក់បញ្ញើមានកាលកំណត់</t>
    </r>
    <r>
      <rPr>
        <sz val="10"/>
        <rFont val="Arial"/>
        <family val="2"/>
      </rPr>
      <t xml:space="preserve"> Time Deposits:</t>
    </r>
  </si>
  <si>
    <t xml:space="preserve">ឥណទានមានកាលកំណត់ Term Loan​​s </t>
  </si>
  <si>
    <t>​(ឯកតាគិតជាលានរៀល In Millions of KHR)</t>
  </si>
  <si>
    <t>ប្រាក់ជំពាក់របស់ធនាគារមេ ទីស្នាក់ការកណ្តាល ឬសាខា Due from Parent, Head Office or Affiliates</t>
  </si>
  <si>
    <t>ទ្រព្យអកម្មដែលមាននៅធនាគារមេ ទីស្នាក់ការកណ្តាល ឬ​ សាខា Liabilities with Parent, Head Office or Affiliates</t>
  </si>
  <si>
    <t>កាលវសាន្តប្រាក់បញ្ញើមានកាលកំណត់</t>
  </si>
  <si>
    <t>ប្រាក់បញ្ញើមានកាលកំណត់</t>
  </si>
  <si>
    <r>
      <t xml:space="preserve">ធុរៈកិច្ច​​,​ មិនរួមបញ្ចូល គ្រឹះស្ថានហិរញ្ញវត្ថូទទួល​ ប្រាក់បញ្ញើ  </t>
    </r>
    <r>
      <rPr>
        <sz val="10"/>
        <rFont val="Arial"/>
        <family val="2"/>
      </rPr>
      <t>​Businesses, excluding Depository Institutions</t>
    </r>
  </si>
  <si>
    <t>ទំហំប្រាក់បញ្ញើ</t>
  </si>
  <si>
    <t>ឥណទានទៅរដ្ឋាភិបាល​ Loan to Government</t>
  </si>
  <si>
    <t>ឥណទានមានកាលកំណត់  ​​​​​Term Loan</t>
  </si>
  <si>
    <t>ឥណទានផ្សេងៗ​ Other Loans</t>
  </si>
  <si>
    <t>ភ្នំពេញ ថ្ងៃទី         ខែ       ឆ្នាំ ២០១១</t>
  </si>
  <si>
    <t xml:space="preserve">អ្នកធ្វើតារាង </t>
  </si>
  <si>
    <t>Prepared By</t>
  </si>
  <si>
    <r>
      <rPr>
        <b/>
        <sz val="10"/>
        <rFont val="Khmer OS Battambang"/>
      </rPr>
      <t>កម្មសិទ្ធិភាពអាជីវកម្ម</t>
    </r>
    <r>
      <rPr>
        <b/>
        <sz val="20"/>
        <rFont val="Limon S1"/>
      </rPr>
      <t xml:space="preserve">kmµ </t>
    </r>
    <r>
      <rPr>
        <b/>
        <sz val="10"/>
        <rFont val="Arial"/>
        <family val="2"/>
      </rPr>
      <t>By Ownership:</t>
    </r>
  </si>
  <si>
    <r>
      <rPr>
        <b/>
        <sz val="10"/>
        <rFont val="Khmer OS Battambang"/>
      </rPr>
      <t>ប្រភេទជំនួញ</t>
    </r>
    <r>
      <rPr>
        <b/>
        <sz val="20"/>
        <rFont val="Limon S1"/>
      </rPr>
      <t xml:space="preserve"> </t>
    </r>
    <r>
      <rPr>
        <b/>
        <sz val="10"/>
        <rFont val="Arial"/>
        <family val="2"/>
      </rPr>
      <t>By Industry:</t>
    </r>
  </si>
  <si>
    <r>
      <rPr>
        <b/>
        <sz val="10"/>
        <color indexed="10"/>
        <rFont val="Khmer OS Battambang"/>
      </rPr>
      <t>គ្រឹះស្ថានហិរញ្ញវត្ថុ</t>
    </r>
    <r>
      <rPr>
        <b/>
        <sz val="20"/>
        <color indexed="10"/>
        <rFont val="Limon S1"/>
      </rPr>
      <t xml:space="preserve"> </t>
    </r>
    <r>
      <rPr>
        <b/>
        <sz val="10"/>
        <color indexed="10"/>
        <rFont val="Arial"/>
        <family val="2"/>
      </rPr>
      <t>Financial Institutions</t>
    </r>
  </si>
  <si>
    <r>
      <rPr>
        <b/>
        <sz val="10"/>
        <rFont val="Khmer OS Battambang"/>
      </rPr>
      <t>ធនាគារជាតិនៃកម្ពុជា</t>
    </r>
    <r>
      <rPr>
        <b/>
        <sz val="20"/>
        <rFont val="Limon S1"/>
      </rPr>
      <t xml:space="preserve"> </t>
    </r>
    <r>
      <rPr>
        <b/>
        <sz val="10"/>
        <rFont val="Arial"/>
        <family val="2"/>
      </rPr>
      <t>National Bank of Cambodia (Central Bank)</t>
    </r>
  </si>
  <si>
    <r>
      <t>គ្រឹះស្ថានហិរញ្ញវត្ថុទទួលប្រាក់បញ្ញើ</t>
    </r>
    <r>
      <rPr>
        <b/>
        <sz val="20"/>
        <rFont val="Limon S1"/>
      </rPr>
      <t xml:space="preserve"> </t>
    </r>
    <r>
      <rPr>
        <b/>
        <sz val="10"/>
        <rFont val="Arial"/>
        <family val="2"/>
      </rPr>
      <t>Depository Institutions</t>
    </r>
  </si>
  <si>
    <r>
      <rPr>
        <sz val="10"/>
        <rFont val="Khmer OS Battambang"/>
      </rPr>
      <t>ធនាគារពាណិជ្ជ</t>
    </r>
    <r>
      <rPr>
        <sz val="20"/>
        <rFont val="Limon S1"/>
      </rPr>
      <t xml:space="preserve"> </t>
    </r>
    <r>
      <rPr>
        <sz val="10"/>
        <rFont val="Arial"/>
        <family val="2"/>
      </rPr>
      <t>Commercial Banks</t>
    </r>
  </si>
  <si>
    <r>
      <rPr>
        <sz val="10"/>
        <rFont val="Khmer OS Battambang"/>
      </rPr>
      <t xml:space="preserve"> គ្រឹះស្ថានមីក្រូហិរញ្ញវត្ថុទទួលប្រាក់បញ្ញើ</t>
    </r>
    <r>
      <rPr>
        <sz val="10"/>
        <rFont val="Arial"/>
        <family val="2"/>
      </rPr>
      <t xml:space="preserve"> Depository Microfinance Institutions</t>
    </r>
  </si>
  <si>
    <r>
      <rPr>
        <sz val="10"/>
        <rFont val="Khmer OS Battambang"/>
      </rPr>
      <t>គ្រឺះស្ថានហិរព្វាវ្ញត្ថុផ្សេងទៀតដែលទទួលប្រាក់បញ្ញើ</t>
    </r>
    <r>
      <rPr>
        <sz val="20"/>
        <rFont val="Limon S1"/>
      </rPr>
      <t xml:space="preserve"> </t>
    </r>
    <r>
      <rPr>
        <sz val="10"/>
        <rFont val="Arial"/>
        <family val="2"/>
      </rPr>
      <t>Other Depository Institutions</t>
    </r>
  </si>
  <si>
    <r>
      <rPr>
        <b/>
        <sz val="10"/>
        <rFont val="Khmer OS Battambang"/>
      </rPr>
      <t>គ្រឹះស្ថានហិរញ្ញវត្ថុផ្សេងៗទៀត</t>
    </r>
    <r>
      <rPr>
        <b/>
        <sz val="20"/>
        <rFont val="Limon S1"/>
      </rPr>
      <t xml:space="preserve"> </t>
    </r>
    <r>
      <rPr>
        <b/>
        <sz val="10"/>
        <rFont val="Arial"/>
        <family val="2"/>
      </rPr>
      <t>Other Financial Institutions</t>
    </r>
  </si>
  <si>
    <r>
      <t>ធនាគារឯកទេស</t>
    </r>
    <r>
      <rPr>
        <sz val="20"/>
        <rFont val="Limon S1"/>
      </rPr>
      <t xml:space="preserve">  </t>
    </r>
    <r>
      <rPr>
        <sz val="10"/>
        <rFont val="Arial"/>
        <family val="2"/>
      </rPr>
      <t>Specialized Banks</t>
    </r>
  </si>
  <si>
    <r>
      <t>គ្រឹះស្ថានមីក្រូហិរញ្ញវត្ថុមានអាជ្ញាប័ណ្ណ</t>
    </r>
    <r>
      <rPr>
        <sz val="20"/>
        <rFont val="Limon S1"/>
      </rPr>
      <t xml:space="preserve"> </t>
    </r>
    <r>
      <rPr>
        <sz val="10"/>
        <rFont val="Arial"/>
        <family val="2"/>
      </rPr>
      <t>Licensed Microfinance Institutions</t>
    </r>
  </si>
  <si>
    <r>
      <t>ក្រុមហ៊ុនធានារ៉ាប់រងជីវិត</t>
    </r>
    <r>
      <rPr>
        <sz val="20"/>
        <rFont val="Limon S1"/>
      </rPr>
      <t xml:space="preserve"> </t>
    </r>
    <r>
      <rPr>
        <sz val="10"/>
        <rFont val="Arial"/>
        <family val="2"/>
      </rPr>
      <t>Life Insurance</t>
    </r>
  </si>
  <si>
    <r>
      <t>ក្រុមហ៊ុនធានារ៉ាប់រងទូទៅ</t>
    </r>
    <r>
      <rPr>
        <sz val="20"/>
        <rFont val="Limon S1"/>
      </rPr>
      <t xml:space="preserve"> </t>
    </r>
    <r>
      <rPr>
        <sz val="10"/>
        <rFont val="Arial"/>
        <family val="2"/>
      </rPr>
      <t>General Insurance</t>
    </r>
  </si>
  <si>
    <r>
      <t>មូលនិធិសោធននិវត្ត</t>
    </r>
    <r>
      <rPr>
        <sz val="20"/>
        <rFont val="Limon S1"/>
      </rPr>
      <t xml:space="preserve">  </t>
    </r>
    <r>
      <rPr>
        <sz val="10"/>
        <rFont val="Arial"/>
        <family val="2"/>
      </rPr>
      <t>Pension Funds</t>
    </r>
  </si>
  <si>
    <r>
      <t>ផ្សារហ៊ុន និង ឈ្មូញកណ្តាល មូលបត្រ</t>
    </r>
    <r>
      <rPr>
        <sz val="20"/>
        <rFont val="Limon S1"/>
      </rPr>
      <t xml:space="preserve"> </t>
    </r>
    <r>
      <rPr>
        <sz val="10"/>
        <rFont val="Arial"/>
        <family val="2"/>
      </rPr>
      <t>Stock Exchange and Stockbrokers</t>
    </r>
  </si>
  <si>
    <r>
      <t>គ្រឹះស្ថានហិរញ្ញវត្ថុផ្សេងៗទៀតដែលមិនមានរៀបរាប់ខាងលើ</t>
    </r>
    <r>
      <rPr>
        <sz val="20"/>
        <rFont val="Limon S1"/>
      </rPr>
      <t xml:space="preserve"> </t>
    </r>
    <r>
      <rPr>
        <sz val="10"/>
        <rFont val="Arial"/>
        <family val="2"/>
      </rPr>
      <t>Other Financial Institutions, not listed above</t>
    </r>
  </si>
  <si>
    <r>
      <t xml:space="preserve">គ្រឹះស្ថានមិនបំរើសេវាហិរញ្ញវត្ថុ </t>
    </r>
    <r>
      <rPr>
        <b/>
        <sz val="10"/>
        <color indexed="10"/>
        <rFont val="Arial"/>
        <family val="2"/>
      </rPr>
      <t>Non-Financial Institutions</t>
    </r>
  </si>
  <si>
    <r>
      <t>កសិកម្ម រុក្ខាប្រម៉ាញ់ និង នេសាទ</t>
    </r>
    <r>
      <rPr>
        <b/>
        <sz val="20"/>
        <rFont val="Limon S1"/>
      </rPr>
      <t xml:space="preserve"> </t>
    </r>
    <r>
      <rPr>
        <b/>
        <sz val="10"/>
        <rFont val="Arial"/>
        <family val="2"/>
      </rPr>
      <t>Agriculture, Forestry and Fishing</t>
    </r>
  </si>
  <si>
    <r>
      <t xml:space="preserve">កសិកម្ម </t>
    </r>
    <r>
      <rPr>
        <sz val="10"/>
        <rFont val="Arial"/>
        <family val="2"/>
      </rPr>
      <t>Agriculture</t>
    </r>
  </si>
  <si>
    <r>
      <t>រុក្ខាប្រម៉ាញ់</t>
    </r>
    <r>
      <rPr>
        <sz val="20"/>
        <rFont val="Limon S1"/>
      </rPr>
      <t xml:space="preserve"> </t>
    </r>
    <r>
      <rPr>
        <sz val="10"/>
        <rFont val="Arial"/>
        <family val="2"/>
      </rPr>
      <t>Forestry</t>
    </r>
  </si>
  <si>
    <r>
      <t>នេសាទ</t>
    </r>
    <r>
      <rPr>
        <sz val="20"/>
        <rFont val="Limon S1"/>
      </rPr>
      <t xml:space="preserve"> </t>
    </r>
    <r>
      <rPr>
        <sz val="10"/>
        <rFont val="Arial"/>
        <family val="2"/>
      </rPr>
      <t>Fishing</t>
    </r>
  </si>
  <si>
    <r>
      <t>ឧស្សាហកម្មរ៉ែ</t>
    </r>
    <r>
      <rPr>
        <b/>
        <sz val="20"/>
        <rFont val="Limon S1"/>
      </rPr>
      <t xml:space="preserve"> </t>
    </r>
    <r>
      <rPr>
        <b/>
        <sz val="10"/>
        <rFont val="Arial"/>
        <family val="2"/>
      </rPr>
      <t>Mining and Quarrying</t>
    </r>
  </si>
  <si>
    <r>
      <t>កម្មន្តសាលកម្ម</t>
    </r>
    <r>
      <rPr>
        <b/>
        <sz val="20"/>
        <rFont val="Limon S1"/>
      </rPr>
      <t xml:space="preserve"> </t>
    </r>
    <r>
      <rPr>
        <b/>
        <sz val="10"/>
        <rFont val="Arial"/>
        <family val="2"/>
      </rPr>
      <t>Manufacturing</t>
    </r>
  </si>
  <si>
    <r>
      <t xml:space="preserve">កម្មន្តសាលកម្មផលិតផលអាហារ </t>
    </r>
    <r>
      <rPr>
        <sz val="10"/>
        <rFont val="Arial"/>
        <family val="2"/>
      </rPr>
      <t>Food Products Manufacturing</t>
    </r>
  </si>
  <si>
    <r>
      <t xml:space="preserve">កម្មន្តសាលកម្មភេសជ្ជៈ និង ថ្នាំជក់ </t>
    </r>
    <r>
      <rPr>
        <sz val="10"/>
        <rFont val="Arial"/>
        <family val="2"/>
      </rPr>
      <t>Beverage and Tobacco Manufacturing</t>
    </r>
  </si>
  <si>
    <r>
      <t xml:space="preserve">កម្មន្តសាលកម្មវាយនភ័ណ្ឌ សំលៀកបំពាក់ និង ផលិតផលស្បែក </t>
    </r>
    <r>
      <rPr>
        <sz val="10"/>
        <rFont val="Arial"/>
        <family val="2"/>
      </rPr>
      <t>Textile, Wearing Apparel and Leather Products Manufacturing</t>
    </r>
  </si>
  <si>
    <r>
      <t>កម្មន្តសាលកម្មផលិតផលឈើ និង ក្រដាស</t>
    </r>
    <r>
      <rPr>
        <sz val="20"/>
        <rFont val="Limon S1"/>
      </rPr>
      <t xml:space="preserve"> </t>
    </r>
    <r>
      <rPr>
        <sz val="10"/>
        <rFont val="Arial"/>
        <family val="2"/>
      </rPr>
      <t>Wood Products and Paper Manufacturing</t>
    </r>
  </si>
  <si>
    <r>
      <t>បោះពុម្ព</t>
    </r>
    <r>
      <rPr>
        <sz val="20"/>
        <rFont val="Limon S1"/>
      </rPr>
      <t xml:space="preserve"> </t>
    </r>
    <r>
      <rPr>
        <sz val="10"/>
        <rFont val="Arial"/>
        <family val="2"/>
      </rPr>
      <t>Printing</t>
    </r>
  </si>
  <si>
    <r>
      <t xml:space="preserve">កម្មន្តសាលកម្មប្រង ធ្យូងថ្ម វត្ថុធាតុគីំមី ប៉ូលីម៊ែ និង កៅស៊ូ </t>
    </r>
    <r>
      <rPr>
        <sz val="20"/>
        <rFont val="Limon S1"/>
      </rPr>
      <t xml:space="preserve"> </t>
    </r>
    <r>
      <rPr>
        <sz val="10"/>
        <rFont val="Arial"/>
        <family val="2"/>
      </rPr>
      <t>Petroleum, Coal, Chemical, Polymer and Rubber Manufacturing</t>
    </r>
  </si>
  <si>
    <r>
      <t xml:space="preserve">កម្មន្តសាលកម្មសារធាតុខនិក និង មិនមែនលោហៈធាតុ </t>
    </r>
    <r>
      <rPr>
        <sz val="20"/>
        <rFont val="Limon S1"/>
      </rPr>
      <t xml:space="preserve"> </t>
    </r>
    <r>
      <rPr>
        <sz val="10"/>
        <rFont val="Arial"/>
        <family val="2"/>
      </rPr>
      <t>Non-Metallic Minerals Manufacturing</t>
    </r>
  </si>
  <si>
    <r>
      <t>កម្មន្តសាលកម្មលោហៈធាតុ និង ផលិតផលលោហៈ</t>
    </r>
    <r>
      <rPr>
        <sz val="20"/>
        <rFont val="Limon S1"/>
      </rPr>
      <t xml:space="preserve"> </t>
    </r>
    <r>
      <rPr>
        <sz val="10"/>
        <rFont val="Arial"/>
        <family val="2"/>
      </rPr>
      <t>Metal and Metal Products Manufacturing</t>
    </r>
  </si>
  <si>
    <r>
      <t>កម្មន្តសាលកម្មសំភារៈដឹកជញ្ជូន</t>
    </r>
    <r>
      <rPr>
        <sz val="10"/>
        <rFont val="Arial"/>
        <family val="2"/>
      </rPr>
      <t xml:space="preserve"> Transport Equipment Manufacturing</t>
    </r>
  </si>
  <si>
    <r>
      <t>កម្មន្តសាលកម្មគ្រឿងចក្រ និង ទិឰសំភារៈ</t>
    </r>
    <r>
      <rPr>
        <sz val="10"/>
        <rFont val="Arial"/>
        <family val="2"/>
      </rPr>
      <t xml:space="preserve"> Machinery and Equipment Manufacturing</t>
    </r>
  </si>
  <si>
    <r>
      <t>កម្មន្តសាលកម្មគ្រឿងសង្ហារឹម និង ផ្សេងៗ</t>
    </r>
    <r>
      <rPr>
        <sz val="20"/>
        <rFont val="Limon S1"/>
      </rPr>
      <t xml:space="preserve"> </t>
    </r>
    <r>
      <rPr>
        <sz val="10"/>
        <rFont val="Arial"/>
        <family val="2"/>
      </rPr>
      <t>Furniture and Other Manufacturing</t>
    </r>
  </si>
  <si>
    <r>
      <t>ការផ្គត់ផ្គង់សេវាសាធារណៈ</t>
    </r>
    <r>
      <rPr>
        <b/>
        <sz val="20"/>
        <rFont val="Limon S1"/>
      </rPr>
      <t xml:space="preserve"> </t>
    </r>
    <r>
      <rPr>
        <b/>
        <sz val="10"/>
        <rFont val="Arial"/>
        <family val="2"/>
      </rPr>
      <t>Utilities</t>
    </r>
  </si>
  <si>
    <r>
      <t>អគ្គិសនី</t>
    </r>
    <r>
      <rPr>
        <sz val="20"/>
        <rFont val="Limon S1"/>
      </rPr>
      <t xml:space="preserve"> </t>
    </r>
    <r>
      <rPr>
        <sz val="10"/>
        <rFont val="Arial"/>
        <family val="2"/>
      </rPr>
      <t>Electricity</t>
    </r>
  </si>
  <si>
    <r>
      <t>ឧស្ម័ន</t>
    </r>
    <r>
      <rPr>
        <sz val="20"/>
        <rFont val="Limon S1"/>
      </rPr>
      <t xml:space="preserve"> </t>
    </r>
    <r>
      <rPr>
        <sz val="10"/>
        <rFont val="Arial"/>
        <family val="2"/>
      </rPr>
      <t>Gas</t>
    </r>
  </si>
  <si>
    <r>
      <t>ទឹកស្អាត និង បណ្តាញលូ</t>
    </r>
    <r>
      <rPr>
        <sz val="20"/>
        <rFont val="Limon S1"/>
      </rPr>
      <t xml:space="preserve"> </t>
    </r>
    <r>
      <rPr>
        <sz val="10"/>
        <rFont val="Arial"/>
        <family val="2"/>
      </rPr>
      <t>Water, Sewerage and Drainage</t>
    </r>
  </si>
  <si>
    <r>
      <t xml:space="preserve">ការប្រមូលកាកសំណល់ បន្សុត និង សំណល់ចោល </t>
    </r>
    <r>
      <rPr>
        <sz val="10"/>
        <rFont val="Arial"/>
        <family val="2"/>
      </rPr>
      <t>Waste Collection, Treatment and Disposal</t>
    </r>
  </si>
  <si>
    <r>
      <t>សំណង់</t>
    </r>
    <r>
      <rPr>
        <b/>
        <sz val="20"/>
        <rFont val="Limon S1"/>
      </rPr>
      <t xml:space="preserve"> </t>
    </r>
    <r>
      <rPr>
        <b/>
        <sz val="10"/>
        <rFont val="Arial"/>
        <family val="2"/>
      </rPr>
      <t>Construction</t>
    </r>
  </si>
  <si>
    <r>
      <t xml:space="preserve"> </t>
    </r>
    <r>
      <rPr>
        <sz val="10"/>
        <rFont val="Khmer OS Battambang"/>
      </rPr>
      <t>អភិវឌ្ឈន៍អចលនទ្រព្យសំរាប់វិស័យឧស្សាហកម្ម</t>
    </r>
    <r>
      <rPr>
        <sz val="20"/>
        <rFont val="Limon S1"/>
      </rPr>
      <t xml:space="preserve"> </t>
    </r>
    <r>
      <rPr>
        <sz val="10"/>
        <rFont val="Arial"/>
        <family val="2"/>
      </rPr>
      <t xml:space="preserve">Property Development: Industrial </t>
    </r>
  </si>
  <si>
    <r>
      <t>អភិវឌ្ឈន៍អចលនទ្រព្យសំរាប់វិស័យពាណិជ្ជកម្ម</t>
    </r>
    <r>
      <rPr>
        <sz val="20"/>
        <rFont val="Limon S1"/>
      </rPr>
      <t xml:space="preserve"> </t>
    </r>
    <r>
      <rPr>
        <sz val="10"/>
        <rFont val="Arial"/>
        <family val="2"/>
      </rPr>
      <t>Property Development: Commercial</t>
    </r>
  </si>
  <si>
    <r>
      <t>អភិវឌ្ឈន៍អចលនទ្រព្យសំរាប់វិស័យទេសចរណ៍</t>
    </r>
    <r>
      <rPr>
        <sz val="20"/>
        <rFont val="Limon S1"/>
      </rPr>
      <t xml:space="preserve"> </t>
    </r>
    <r>
      <rPr>
        <sz val="10"/>
        <rFont val="Arial"/>
        <family val="2"/>
      </rPr>
      <t>Property Development: Tourism related</t>
    </r>
  </si>
  <si>
    <r>
      <t>អភិវឌ្ឈន៍អចលនទ្រព្យសំរាប់លំនៅដ្ឋាន</t>
    </r>
    <r>
      <rPr>
        <sz val="20"/>
        <rFont val="Limon S1"/>
      </rPr>
      <t xml:space="preserve"> </t>
    </r>
    <r>
      <rPr>
        <sz val="10"/>
        <rFont val="Arial"/>
        <family val="2"/>
      </rPr>
      <t>Property Development: Residential</t>
    </r>
  </si>
  <si>
    <r>
      <t>សំណង់ធន់ធ្ងន់</t>
    </r>
    <r>
      <rPr>
        <sz val="20"/>
        <rFont val="Limon S1"/>
      </rPr>
      <t xml:space="preserve"> </t>
    </r>
    <r>
      <rPr>
        <sz val="10"/>
        <rFont val="Arial"/>
        <family val="2"/>
      </rPr>
      <t>Heavy Construction</t>
    </r>
  </si>
  <si>
    <r>
      <t>ការរៀបចំដី</t>
    </r>
    <r>
      <rPr>
        <sz val="20"/>
        <rFont val="Limon S1"/>
      </rPr>
      <t xml:space="preserve"> </t>
    </r>
    <r>
      <rPr>
        <sz val="10"/>
        <rFont val="Arial"/>
        <family val="2"/>
      </rPr>
      <t>Land Management</t>
    </r>
  </si>
  <si>
    <r>
      <t>សំណង់ផ្សេងៗទៀត</t>
    </r>
    <r>
      <rPr>
        <sz val="20"/>
        <rFont val="Limon S1"/>
      </rPr>
      <t xml:space="preserve"> </t>
    </r>
    <r>
      <rPr>
        <sz val="10"/>
        <rFont val="Arial"/>
        <family val="2"/>
      </rPr>
      <t>Other Construction</t>
    </r>
  </si>
  <si>
    <r>
      <t>ការជួញដូរដុំ</t>
    </r>
    <r>
      <rPr>
        <b/>
        <sz val="20"/>
        <rFont val="Limon S1"/>
      </rPr>
      <t xml:space="preserve"> </t>
    </r>
    <r>
      <rPr>
        <b/>
        <sz val="10"/>
        <rFont val="Arial"/>
        <family val="2"/>
      </rPr>
      <t>Wholesale Trade</t>
    </r>
  </si>
  <si>
    <r>
      <t>នាំចូល</t>
    </r>
    <r>
      <rPr>
        <sz val="20"/>
        <rFont val="Limon S1"/>
      </rPr>
      <t xml:space="preserve"> </t>
    </r>
    <r>
      <rPr>
        <sz val="10"/>
        <rFont val="Arial"/>
        <family val="2"/>
      </rPr>
      <t>Import</t>
    </r>
  </si>
  <si>
    <r>
      <t>នាំចេញ</t>
    </r>
    <r>
      <rPr>
        <sz val="20"/>
        <rFont val="Limon S1"/>
      </rPr>
      <t xml:space="preserve"> </t>
    </r>
    <r>
      <rPr>
        <sz val="10"/>
        <rFont val="Arial"/>
        <family val="2"/>
      </rPr>
      <t>Export</t>
    </r>
  </si>
  <si>
    <r>
      <t>ផ្សេងៗ</t>
    </r>
    <r>
      <rPr>
        <sz val="20"/>
        <rFont val="Limon S1"/>
      </rPr>
      <t xml:space="preserve"> </t>
    </r>
    <r>
      <rPr>
        <sz val="10"/>
        <rFont val="Arial"/>
        <family val="2"/>
      </rPr>
      <t>Other</t>
    </r>
  </si>
  <si>
    <r>
      <t>ការជួញដូររាយ</t>
    </r>
    <r>
      <rPr>
        <b/>
        <sz val="20"/>
        <rFont val="Limon S1"/>
      </rPr>
      <t xml:space="preserve"> </t>
    </r>
    <r>
      <rPr>
        <b/>
        <sz val="10"/>
        <rFont val="Arial"/>
        <family val="2"/>
      </rPr>
      <t>Retail Trade</t>
    </r>
  </si>
  <si>
    <r>
      <t>សណ្ឋាគារនិងភោជនីដ្ឋាន</t>
    </r>
    <r>
      <rPr>
        <b/>
        <sz val="20"/>
        <rFont val="Limon S1"/>
      </rPr>
      <t xml:space="preserve"> </t>
    </r>
    <r>
      <rPr>
        <b/>
        <sz val="10"/>
        <rFont val="Arial"/>
        <family val="2"/>
      </rPr>
      <t>Hotels and Restaurants</t>
    </r>
  </si>
  <si>
    <r>
      <t>ដឹកជញ្ជូននិងស្តុកបណ្តោះអាសន្ន</t>
    </r>
    <r>
      <rPr>
        <b/>
        <sz val="20"/>
        <rFont val="Limon S1"/>
      </rPr>
      <t xml:space="preserve"> </t>
    </r>
    <r>
      <rPr>
        <b/>
        <sz val="10"/>
        <rFont val="Arial"/>
        <family val="2"/>
      </rPr>
      <t>Transport and Storage</t>
    </r>
  </si>
  <si>
    <r>
      <t>បណ្តាញព័ត៌មាននិងទូរគមនាគមន៍</t>
    </r>
    <r>
      <rPr>
        <b/>
        <sz val="20"/>
        <rFont val="Limon S1"/>
      </rPr>
      <t xml:space="preserve"> </t>
    </r>
    <r>
      <rPr>
        <b/>
        <sz val="10"/>
        <rFont val="Arial"/>
        <family val="2"/>
      </rPr>
      <t>Information Media and Telecommunications</t>
    </r>
  </si>
  <si>
    <r>
      <t>អាជីវកម្មជួល និងភតិសន្យាប្រតិបត្តិការ មិនរាប់បញ្ចូលភតិសន្សានិងការជួល អចលនទ្រព្យ</t>
    </r>
    <r>
      <rPr>
        <b/>
        <sz val="20"/>
        <rFont val="Limon S1"/>
      </rPr>
      <t xml:space="preserve"> </t>
    </r>
    <r>
      <rPr>
        <b/>
        <sz val="10"/>
        <rFont val="Arial"/>
        <family val="2"/>
      </rPr>
      <t xml:space="preserve">Rental and Operational Leasing Activities, </t>
    </r>
    <r>
      <rPr>
        <sz val="10"/>
        <rFont val="Arial"/>
        <family val="2"/>
      </rPr>
      <t>excluded Real Estate Leasing and Rentals</t>
    </r>
  </si>
  <si>
    <r>
      <t>ការជួញដូរអចលនទ្រព្យ</t>
    </r>
    <r>
      <rPr>
        <b/>
        <sz val="20"/>
        <rFont val="Limon S1"/>
      </rPr>
      <t xml:space="preserve"> </t>
    </r>
    <r>
      <rPr>
        <b/>
        <sz val="10"/>
        <rFont val="Arial"/>
        <family val="2"/>
      </rPr>
      <t>Real Estate Activities</t>
    </r>
  </si>
  <si>
    <r>
      <t xml:space="preserve">ការជួញដូរអចលនទ្រព្យសំរាប់វិស័យឧស្សាហកម្ម </t>
    </r>
    <r>
      <rPr>
        <sz val="10"/>
        <rFont val="Arial"/>
        <family val="2"/>
      </rPr>
      <t>Real Estate Operation: Industrial</t>
    </r>
  </si>
  <si>
    <r>
      <t>ការជួញដូរអចលនទ្រព្យសំរាប់វិស័យពាណិជ្ជកម្ម</t>
    </r>
    <r>
      <rPr>
        <sz val="20"/>
        <rFont val="Limon S1"/>
      </rPr>
      <t xml:space="preserve"> </t>
    </r>
    <r>
      <rPr>
        <sz val="10"/>
        <rFont val="Arial"/>
        <family val="2"/>
      </rPr>
      <t>Real Estate Operation: Commercial</t>
    </r>
  </si>
  <si>
    <r>
      <t>ការជួញដូរអចលនទ្រព្យសំរាប់វិស័យទេសចរណ៍</t>
    </r>
    <r>
      <rPr>
        <sz val="20"/>
        <rFont val="Limon S1"/>
      </rPr>
      <t xml:space="preserve"> </t>
    </r>
    <r>
      <rPr>
        <sz val="10"/>
        <rFont val="Arial"/>
        <family val="2"/>
      </rPr>
      <t>Real Estate Operation: Tourism Related</t>
    </r>
  </si>
  <si>
    <r>
      <t>ការជួញដូរអចលនទ្រព្យសំរាប់លំនៅដ្ឋាន</t>
    </r>
    <r>
      <rPr>
        <sz val="20"/>
        <rFont val="Limon S1"/>
      </rPr>
      <t xml:space="preserve"> </t>
    </r>
    <r>
      <rPr>
        <sz val="10"/>
        <rFont val="Arial"/>
        <family val="2"/>
      </rPr>
      <t>Real Estate Operation: Residential</t>
    </r>
  </si>
  <si>
    <r>
      <t>ការជួញដូរអចលនទ្រព្យសំរាប់វិស័យផ្សេងៗ</t>
    </r>
    <r>
      <rPr>
        <sz val="20"/>
        <rFont val="Limon S1"/>
      </rPr>
      <t xml:space="preserve"> </t>
    </r>
    <r>
      <rPr>
        <sz val="10"/>
        <rFont val="Arial"/>
        <family val="2"/>
      </rPr>
      <t>Real Estate Operation: Other</t>
    </r>
  </si>
  <si>
    <r>
      <t xml:space="preserve">ភ្នាក់ងារផ្តល់សេវាកម្មលើការជួញដូរអចលនទ្រព្យ </t>
    </r>
    <r>
      <rPr>
        <sz val="10"/>
        <rFont val="Arial"/>
        <family val="2"/>
      </rPr>
      <t>Real Estate Service Providers for a fee (i.e. Real Estate Agents and Similar Activities)</t>
    </r>
  </si>
  <si>
    <r>
      <t xml:space="preserve">សេវាកម្មមិនមែនហិរញ្ញវត្ថុផ្សេងៗទៀត </t>
    </r>
    <r>
      <rPr>
        <b/>
        <sz val="10"/>
        <rFont val="Arial"/>
        <family val="2"/>
      </rPr>
      <t>Other Non-Financial Services</t>
    </r>
  </si>
  <si>
    <r>
      <t>តំរូវការផ្ទាល់ខ្លួន</t>
    </r>
    <r>
      <rPr>
        <b/>
        <sz val="20"/>
        <color indexed="10"/>
        <rFont val="Limon S1"/>
      </rPr>
      <t xml:space="preserve"> </t>
    </r>
    <r>
      <rPr>
        <b/>
        <sz val="10"/>
        <color indexed="10"/>
        <rFont val="Arial"/>
        <family val="2"/>
      </rPr>
      <t>Personal Essentials</t>
    </r>
  </si>
  <si>
    <r>
      <t>ការឱ្យខ្ចីជាបុគ្គល</t>
    </r>
    <r>
      <rPr>
        <b/>
        <sz val="20"/>
        <rFont val="Limon S1"/>
      </rPr>
      <t xml:space="preserve"> </t>
    </r>
    <r>
      <rPr>
        <b/>
        <sz val="10"/>
        <rFont val="Arial"/>
        <family val="2"/>
      </rPr>
      <t>Personal Lending</t>
    </r>
  </si>
  <si>
    <r>
      <t>មានការធានា (មិនរួមបញ្ចូល វត្ថុធានាជាផ្ទះដែលកំពុងជាប់បន្ទុកបង់រំលោះ)</t>
    </r>
    <r>
      <rPr>
        <sz val="20"/>
        <rFont val="Limon S1"/>
      </rPr>
      <t xml:space="preserve"> </t>
    </r>
    <r>
      <rPr>
        <sz val="10"/>
        <rFont val="Arial"/>
        <family val="2"/>
      </rPr>
      <t>Secured, excluding Mortgages to purchase owner-occupied housing</t>
    </r>
  </si>
  <si>
    <r>
      <t>មិនមានការធានា</t>
    </r>
    <r>
      <rPr>
        <sz val="20"/>
        <rFont val="Limon S1"/>
      </rPr>
      <t xml:space="preserve"> </t>
    </r>
    <r>
      <rPr>
        <sz val="10"/>
        <rFont val="Arial"/>
        <family val="2"/>
      </rPr>
      <t>Unsecured</t>
    </r>
  </si>
  <si>
    <r>
      <t>ការឱ្យខ្ចីតាមប័ណ្ណឥណទាន</t>
    </r>
    <r>
      <rPr>
        <b/>
        <sz val="20"/>
        <rFont val="Limon S1"/>
      </rPr>
      <t xml:space="preserve"> </t>
    </r>
    <r>
      <rPr>
        <b/>
        <sz val="10"/>
        <rFont val="Arial"/>
        <family val="2"/>
      </rPr>
      <t>Credit Cards</t>
    </r>
  </si>
  <si>
    <r>
      <t>ការឱ្យខ្ចីទិញផ្ទះជាកម្មសិទ្ធិផ្ទាល់ខ្លួន</t>
    </r>
    <r>
      <rPr>
        <b/>
        <sz val="10"/>
        <rFont val="Limon S1"/>
      </rPr>
      <t xml:space="preserve"> </t>
    </r>
    <r>
      <rPr>
        <b/>
        <sz val="10"/>
        <rFont val="Arial"/>
        <family val="2"/>
      </rPr>
      <t>Mortgages, Owner-Occupied Housing only</t>
    </r>
  </si>
  <si>
    <r>
      <t>ឥណទានផ្សេងៗ</t>
    </r>
    <r>
      <rPr>
        <b/>
        <sz val="10"/>
        <color indexed="10"/>
        <rFont val="Arial"/>
        <family val="2"/>
      </rPr>
      <t xml:space="preserve"> Other Lending</t>
    </r>
  </si>
  <si>
    <r>
      <t>សរុប សរុបសមតុល្យឥណទាន</t>
    </r>
    <r>
      <rPr>
        <b/>
        <sz val="10"/>
        <rFont val="Arial"/>
        <family val="2"/>
      </rPr>
      <t xml:space="preserve"> Total Outstanding Loans​​​​ </t>
    </r>
    <r>
      <rPr>
        <sz val="10"/>
        <rFont val="Arial"/>
        <family val="2"/>
      </rPr>
      <t>(1)</t>
    </r>
  </si>
  <si>
    <r>
      <t>សរុប ការប្រាក់បង្គរ</t>
    </r>
    <r>
      <rPr>
        <b/>
        <sz val="10"/>
        <rFont val="Arial"/>
        <family val="2"/>
      </rPr>
      <t xml:space="preserve"> Total Accrued Interest </t>
    </r>
    <r>
      <rPr>
        <sz val="10"/>
        <rFont val="Arial"/>
        <family val="2"/>
      </rPr>
      <t>(2)</t>
    </r>
  </si>
  <si>
    <r>
      <t xml:space="preserve">សរុប ឥណទានដុល </t>
    </r>
    <r>
      <rPr>
        <b/>
        <sz val="10"/>
        <color indexed="60"/>
        <rFont val="Arial"/>
        <family val="2"/>
      </rPr>
      <t xml:space="preserve">Total Gross Loans </t>
    </r>
    <r>
      <rPr>
        <sz val="10"/>
        <color indexed="60"/>
        <rFont val="Arial"/>
        <family val="2"/>
      </rPr>
      <t>(3) = (1) + (2)</t>
    </r>
  </si>
  <si>
    <r>
      <t>សរុប ឥណទានមិនដំណើរការ</t>
    </r>
    <r>
      <rPr>
        <b/>
        <sz val="16"/>
        <color indexed="60"/>
        <rFont val="Limon S1"/>
      </rPr>
      <t xml:space="preserve"> </t>
    </r>
    <r>
      <rPr>
        <b/>
        <sz val="10"/>
        <color indexed="60"/>
        <rFont val="Arial"/>
        <family val="2"/>
      </rPr>
      <t xml:space="preserve">Total Non-Performing Loans </t>
    </r>
    <r>
      <rPr>
        <sz val="10"/>
        <color indexed="60"/>
        <rFont val="Arial"/>
        <family val="2"/>
      </rPr>
      <t>(4)</t>
    </r>
  </si>
  <si>
    <r>
      <t xml:space="preserve">សរុប សំវិធានធនពិត </t>
    </r>
    <r>
      <rPr>
        <b/>
        <sz val="10"/>
        <rFont val="Arial"/>
        <family val="2"/>
      </rPr>
      <t xml:space="preserve">Total Specific Provisions </t>
    </r>
    <r>
      <rPr>
        <sz val="10"/>
        <rFont val="Arial"/>
        <family val="2"/>
      </rPr>
      <t>(5)</t>
    </r>
  </si>
  <si>
    <r>
      <t>សរុប ឥណទានសុទ្ធ</t>
    </r>
    <r>
      <rPr>
        <b/>
        <sz val="20"/>
        <color indexed="10"/>
        <rFont val="Limon S1"/>
      </rPr>
      <t xml:space="preserve"> </t>
    </r>
    <r>
      <rPr>
        <b/>
        <sz val="10"/>
        <color indexed="10"/>
        <rFont val="Arial"/>
        <family val="2"/>
      </rPr>
      <t xml:space="preserve">Total Net Loans </t>
    </r>
    <r>
      <rPr>
        <sz val="10"/>
        <color indexed="10"/>
        <rFont val="Arial"/>
        <family val="2"/>
      </rPr>
      <t>(6) = (3) - (5)</t>
    </r>
  </si>
  <si>
    <r>
      <t>សរុប សំវិធានធនទូទៅ</t>
    </r>
    <r>
      <rPr>
        <b/>
        <sz val="10"/>
        <rFont val="Arial"/>
        <family val="2"/>
      </rPr>
      <t xml:space="preserve"> Total General Provision </t>
    </r>
    <r>
      <rPr>
        <sz val="10"/>
        <rFont val="Arial"/>
        <family val="2"/>
      </rPr>
      <t>(7)</t>
    </r>
  </si>
  <si>
    <t>របាយការណ៍ប្រចាំខែស្តីពី​ អ្នកដាក់ប្រាក់​បញ្ញើខ្ពស់បំផុត​ចំនួន ២០​</t>
  </si>
  <si>
    <t>MONTHLY REPORT ON TOP TWENTY DEPOSITORS</t>
  </si>
  <si>
    <t>ឈ្មោះអ្នកផ្ញើប្រាក់</t>
  </si>
  <si>
    <t>និវេសជន/អនិវេសជន</t>
  </si>
  <si>
    <t>ប្រភេទអាជីវកម្ម</t>
  </si>
  <si>
    <t>ប្រាក់បញ្ញើ​ ជា​រៀល</t>
  </si>
  <si>
    <t>ប្រាក់បញ្ញើ​ ជាដុល្លារអាមេរិក</t>
  </si>
  <si>
    <t>ប្រាក់បញ្ញើ​ ជារូបិយប័ណ្ណបរទេសផ្រេងៗ</t>
  </si>
  <si>
    <t>Depositor's Name</t>
  </si>
  <si>
    <t>Resident/</t>
  </si>
  <si>
    <t>Types of Business</t>
  </si>
  <si>
    <t>Deposits in Riel (KHR)</t>
  </si>
  <si>
    <t>Deposits in USD</t>
  </si>
  <si>
    <t>Deposits in Other Foreign Currencies</t>
  </si>
  <si>
    <t>Non-Resident</t>
  </si>
  <si>
    <t>ប្រាក់បញ្ញើចរន្ត</t>
  </si>
  <si>
    <t>ប្រាក់បញ្ញើសំចៃ</t>
  </si>
  <si>
    <t>ប្រាក់បញ្ញើផ្សេងៗ</t>
  </si>
  <si>
    <t>Demand Deposit</t>
  </si>
  <si>
    <t>Savings Deposit</t>
  </si>
  <si>
    <t>Maturity of Time Deposit</t>
  </si>
  <si>
    <t>Other Deposits</t>
  </si>
  <si>
    <t>&gt; 1 Month</t>
  </si>
  <si>
    <r>
      <t>&lt;</t>
    </r>
    <r>
      <rPr>
        <sz val="8"/>
        <rFont val="Arial"/>
        <family val="2"/>
      </rPr>
      <t xml:space="preserve"> 1 Month</t>
    </r>
  </si>
  <si>
    <t>របាយការណ៍ប្រចាំខែស្តីពី​ ប្រាក់​បញ្ញើចំណាត់ថ្នាក់តាមប្រភេទ​ អតិថិជននិងរូបិយប័ណ្ណ</t>
  </si>
  <si>
    <t>MONTHLY REPORT ON DEPOSITS CLASSIFIED BY TYPES OF DEPOSITORS AND​​​ CURRENCIES</t>
  </si>
  <si>
    <t>ប្រភេទអតិថិជន</t>
  </si>
  <si>
    <t>Types of Depositors</t>
  </si>
  <si>
    <t>Time Deposit</t>
  </si>
  <si>
    <t>អតិថិជន Customers:</t>
  </si>
  <si>
    <t>រដ្ឋាភិបាល​ ​​​Government</t>
  </si>
  <si>
    <t>សហគ្រាសរដ្ឋ ​​​State-Owned Enterprises</t>
  </si>
  <si>
    <t>សហគ្រាសមិនគិតប្រាក់ចំណេញ  Non-Profit Institutions</t>
  </si>
  <si>
    <t>រូបវ័ន្តបុគ្គល​ Individuals</t>
  </si>
  <si>
    <t>អនិវេសជន​ ​​Non-Residents</t>
  </si>
  <si>
    <t>ធនាគារក្នុងស្រុក Local Banks</t>
  </si>
  <si>
    <t>ធនាគារក្រៅស្រុក  Banks​​ Abroad</t>
  </si>
  <si>
    <r>
      <t>I</t>
    </r>
    <r>
      <rPr>
        <b/>
        <sz val="12"/>
        <rFont val="Arial"/>
        <family val="2"/>
      </rPr>
      <t>-</t>
    </r>
  </si>
  <si>
    <r>
      <t>II</t>
    </r>
    <r>
      <rPr>
        <b/>
        <sz val="12"/>
        <rFont val="Arial"/>
        <family val="2"/>
      </rPr>
      <t>-</t>
    </r>
  </si>
  <si>
    <r>
      <t>សរុប Total (</t>
    </r>
    <r>
      <rPr>
        <b/>
        <sz val="12"/>
        <rFont val="Times New Roman"/>
        <family val="1"/>
      </rPr>
      <t xml:space="preserve"> II</t>
    </r>
    <r>
      <rPr>
        <b/>
        <sz val="12"/>
        <rFont val="Arial"/>
        <family val="2"/>
      </rPr>
      <t xml:space="preserve"> )</t>
    </r>
  </si>
  <si>
    <r>
      <t xml:space="preserve">សរុបរួម Grand Total ( </t>
    </r>
    <r>
      <rPr>
        <b/>
        <sz val="12"/>
        <rFont val="Times New Roman"/>
        <family val="1"/>
      </rPr>
      <t xml:space="preserve">I +II </t>
    </r>
    <r>
      <rPr>
        <b/>
        <sz val="12"/>
        <rFont val="Arial"/>
        <family val="2"/>
      </rPr>
      <t>)</t>
    </r>
  </si>
  <si>
    <t>របាយការណ៍ប្រចាំខែស្តីពី​ ប្រាក់​បញ្ញើចំណាត់ថ្នាក់​តាមប្រភេទ គណនី​និងទំហំទឹកប្រាក់​</t>
  </si>
  <si>
    <t>MONTHLY REPORT ON DEPOSITS CLASSIFIED BY TYPES OF ACCOUNTS​ ​​AND DEPOSIT AMOUNTS</t>
  </si>
  <si>
    <t>កាលបរិច្ចេទ:</t>
  </si>
  <si>
    <t>ចំនួនគណនីប្រាក់បញ្ញើ</t>
  </si>
  <si>
    <t>ចំនួនប្រាក់បញ្ញើ​</t>
  </si>
  <si>
    <t>Deposit Size</t>
  </si>
  <si>
    <t>Number of Deposit Accounts</t>
  </si>
  <si>
    <t>Deposit Amount</t>
  </si>
  <si>
    <t>&gt; 3 Ms</t>
  </si>
  <si>
    <t>&gt; 20,000 USD</t>
  </si>
  <si>
    <r>
      <t>&lt;</t>
    </r>
    <r>
      <rPr>
        <sz val="10"/>
        <rFont val="Arial"/>
        <family val="2"/>
      </rPr>
      <t xml:space="preserve"> 10,000 USD &amp; &gt; 5,000USD</t>
    </r>
  </si>
  <si>
    <r>
      <t>&lt;</t>
    </r>
    <r>
      <rPr>
        <sz val="10"/>
        <rFont val="Arial"/>
        <family val="2"/>
      </rPr>
      <t xml:space="preserve"> 5,000 USD &amp; &gt; 3,000USD</t>
    </r>
  </si>
  <si>
    <r>
      <t>&lt;</t>
    </r>
    <r>
      <rPr>
        <sz val="10"/>
        <rFont val="Arial"/>
        <family val="2"/>
      </rPr>
      <t xml:space="preserve"> 3,000 USD &amp; &gt; 1,000USD</t>
    </r>
  </si>
  <si>
    <r>
      <t>&lt;</t>
    </r>
    <r>
      <rPr>
        <sz val="10"/>
        <rFont val="Arial"/>
        <family val="2"/>
      </rPr>
      <t xml:space="preserve"> 1,000 USD &amp; &gt; 500USD</t>
    </r>
  </si>
  <si>
    <r>
      <t>&lt;</t>
    </r>
    <r>
      <rPr>
        <sz val="10"/>
        <rFont val="Arial"/>
        <family val="2"/>
      </rPr>
      <t xml:space="preserve"> 500 USD</t>
    </r>
  </si>
  <si>
    <t>ភ្នំពេញ ថ្ងៃទី​​         ខែ          ឆ្នាំ​ ២០១១</t>
  </si>
  <si>
    <r>
      <t xml:space="preserve"> </t>
    </r>
    <r>
      <rPr>
        <u val="double"/>
        <sz val="8"/>
        <rFont val="Arial"/>
        <family val="2"/>
      </rPr>
      <t>&lt;</t>
    </r>
    <r>
      <rPr>
        <sz val="8"/>
        <rFont val="Arial"/>
        <family val="2"/>
      </rPr>
      <t xml:space="preserve"> 1 Month</t>
    </r>
  </si>
  <si>
    <r>
      <t xml:space="preserve">&gt; 1 M &amp;  </t>
    </r>
    <r>
      <rPr>
        <u val="double"/>
        <sz val="8"/>
        <rFont val="Arial"/>
        <family val="2"/>
      </rPr>
      <t>&lt;</t>
    </r>
    <r>
      <rPr>
        <sz val="8"/>
        <rFont val="Arial"/>
        <family val="2"/>
      </rPr>
      <t xml:space="preserve"> 3 Ms</t>
    </r>
  </si>
  <si>
    <r>
      <t xml:space="preserve">I </t>
    </r>
    <r>
      <rPr>
        <b/>
        <sz val="11"/>
        <rFont val="Arial"/>
        <family val="2"/>
      </rPr>
      <t>-</t>
    </r>
  </si>
  <si>
    <r>
      <t>&lt;</t>
    </r>
    <r>
      <rPr>
        <sz val="10"/>
        <rFont val="Arial"/>
        <family val="2"/>
      </rPr>
      <t xml:space="preserve"> </t>
    </r>
    <r>
      <rPr>
        <sz val="10"/>
        <rFont val="Arial"/>
        <family val="2"/>
      </rPr>
      <t xml:space="preserve">20,000 USD &amp; </t>
    </r>
    <r>
      <rPr>
        <sz val="10"/>
        <rFont val="Arial"/>
        <family val="2"/>
      </rPr>
      <t xml:space="preserve">&gt; </t>
    </r>
    <r>
      <rPr>
        <sz val="10"/>
        <rFont val="Arial"/>
        <family val="2"/>
      </rPr>
      <t>10,000USD</t>
    </r>
  </si>
  <si>
    <r>
      <t xml:space="preserve">សរុប​ Total ( </t>
    </r>
    <r>
      <rPr>
        <b/>
        <sz val="11"/>
        <rFont val="Times New Roman"/>
        <family val="1"/>
      </rPr>
      <t xml:space="preserve">I ) </t>
    </r>
  </si>
  <si>
    <r>
      <t>II</t>
    </r>
    <r>
      <rPr>
        <b/>
        <sz val="11"/>
        <rFont val="Arial"/>
        <family val="2"/>
      </rPr>
      <t xml:space="preserve"> -</t>
    </r>
  </si>
  <si>
    <r>
      <t>&lt;</t>
    </r>
    <r>
      <rPr>
        <sz val="10"/>
        <rFont val="Arial"/>
        <family val="2"/>
      </rPr>
      <t xml:space="preserve"> </t>
    </r>
    <r>
      <rPr>
        <sz val="10"/>
        <rFont val="Arial"/>
        <family val="2"/>
      </rPr>
      <t>20,000 USD</t>
    </r>
  </si>
  <si>
    <r>
      <t>សរុប Total</t>
    </r>
    <r>
      <rPr>
        <b/>
        <sz val="11"/>
        <rFont val="Times New Roman"/>
        <family val="1"/>
      </rPr>
      <t xml:space="preserve"> ( II ) </t>
    </r>
  </si>
  <si>
    <r>
      <t xml:space="preserve">សរុបរួម Grand Total ( </t>
    </r>
    <r>
      <rPr>
        <b/>
        <sz val="11"/>
        <rFont val="Times New Roman"/>
        <family val="1"/>
      </rPr>
      <t xml:space="preserve">I +II </t>
    </r>
    <r>
      <rPr>
        <b/>
        <sz val="11"/>
        <rFont val="Arial"/>
        <family val="2"/>
      </rPr>
      <t>)​​</t>
    </r>
  </si>
  <si>
    <t>របាយការណ៏ប្រចាំខែសី្តពី ចំណាត់ថ្នាក់ឥណទាន</t>
  </si>
  <si>
    <t>MONTHLY REPORT ON CREDIT CLASSIFICATION</t>
  </si>
  <si>
    <t>កាលបរិច្ជេទ :</t>
  </si>
  <si>
    <t>As of:</t>
  </si>
  <si>
    <t>ឈ្មោះធនាគារ :</t>
  </si>
  <si>
    <t>Name of Bank:</t>
  </si>
  <si>
    <t>អត្រាប្តូរប្រាក់ៈ​</t>
  </si>
  <si>
    <t xml:space="preserve">រៀល/ដុល្លារអាមេរិក </t>
  </si>
  <si>
    <t>(ឯកតាជាលានរៀល)</t>
  </si>
  <si>
    <t>Exchange rate:</t>
  </si>
  <si>
    <t xml:space="preserve">KHR/USD </t>
  </si>
  <si>
    <t>(In Millions of Riels)</t>
  </si>
  <si>
    <t>ល.រ</t>
  </si>
  <si>
    <t>ប្រភេទឥណទាន</t>
  </si>
  <si>
    <t>ឥណទានអនុញ្ញាត</t>
  </si>
  <si>
    <t>ឥណទានជាក់ស្តែង</t>
  </si>
  <si>
    <t>ការប្រាក់បង្គរ</t>
  </si>
  <si>
    <t>No.</t>
  </si>
  <si>
    <t>Types of Loans</t>
  </si>
  <si>
    <t>Credit Lines</t>
  </si>
  <si>
    <t>Outstanding Loans</t>
  </si>
  <si>
    <t>Weighted Average Interest Rate</t>
  </si>
  <si>
    <t>Accrued Interest</t>
  </si>
  <si>
    <t>1-</t>
  </si>
  <si>
    <t>ឥណទានមិនមានវត្ថុបញ្ចំា Unsecured Loan</t>
  </si>
  <si>
    <t>1.1-</t>
  </si>
  <si>
    <t>ឥណទានវិបារូបន៍ Overdraft</t>
  </si>
  <si>
    <t>1.2-</t>
  </si>
  <si>
    <t>1.3-</t>
  </si>
  <si>
    <t>1.4-</t>
  </si>
  <si>
    <t>1.5-</t>
  </si>
  <si>
    <t>2-</t>
  </si>
  <si>
    <t>ឥណទានមានវត្ថុបញ្ចំា Secured Loan</t>
  </si>
  <si>
    <t>2.1-</t>
  </si>
  <si>
    <t>2.2-</t>
  </si>
  <si>
    <t>2.3-</t>
  </si>
  <si>
    <t>2.4-</t>
  </si>
  <si>
    <t>2.5-</t>
  </si>
  <si>
    <t>កំណត់សំគាល់ :</t>
  </si>
  <si>
    <t>ភ្នំពេញ,ថៃ្ងទី........ខែ........ឆ្នំា...........</t>
  </si>
  <si>
    <t>Note:</t>
  </si>
  <si>
    <t>Reporting Date:</t>
  </si>
  <si>
    <t>នាយកធនាគារ</t>
  </si>
  <si>
    <t>អ្នកត្រួតពិនិត្យ</t>
  </si>
  <si>
    <t>អ្នកធើ្វតារាង</t>
  </si>
  <si>
    <t>CEO/Director</t>
  </si>
  <si>
    <t>Verified by</t>
  </si>
  <si>
    <t>Prepared by</t>
  </si>
  <si>
    <t>អតិថិជន</t>
  </si>
  <si>
    <t>អត្តសញ្ញាណប័ណ្ណ/​​​ លិខិតឆ្លងដែន</t>
  </si>
  <si>
    <t>លេខគណនីបំណុល</t>
  </si>
  <si>
    <t>អាជីវកម្ម</t>
  </si>
  <si>
    <t>អត្រាការប្រាក់</t>
  </si>
  <si>
    <t>សំវិធានធន</t>
  </si>
  <si>
    <t>រយៈពេលឥណទាន Loan Period</t>
  </si>
  <si>
    <t>វត្ថុបញ្ចាំ​​ Collateral</t>
  </si>
  <si>
    <t>Borrowers</t>
  </si>
  <si>
    <t xml:space="preserve">ID Number/ Passport </t>
  </si>
  <si>
    <t>Account Number</t>
  </si>
  <si>
    <t>Business</t>
  </si>
  <si>
    <t>Types of Loan</t>
  </si>
  <si>
    <t>Interest Rate</t>
  </si>
  <si>
    <t>Provision</t>
  </si>
  <si>
    <t>ចាប់ផើ្តម</t>
  </si>
  <si>
    <t>កាលវសាន្ត</t>
  </si>
  <si>
    <t>ប្រភេទ</t>
  </si>
  <si>
    <t>តម្លៃ</t>
  </si>
  <si>
    <t>Maturity</t>
  </si>
  <si>
    <r>
      <t>សរុប</t>
    </r>
    <r>
      <rPr>
        <b/>
        <sz val="10"/>
        <rFont val="Arial"/>
        <family val="2"/>
      </rPr>
      <t xml:space="preserve"> TOTAL:</t>
    </r>
  </si>
  <si>
    <t>របាយការណ៍ប្រចាំខែសី្តពី ទ្រព្យសម្បត្តិរឹបអូស</t>
  </si>
  <si>
    <t>MONTHLY REPORT ON FORECLOSED PROPERTIES</t>
  </si>
  <si>
    <t>កាលបរិច្ឆេទ​ :</t>
  </si>
  <si>
    <t xml:space="preserve">Name of Bank: </t>
  </si>
  <si>
    <t>១.​ បញ្ជីទ្រព្យសម្បត្តិស្ថិតក្នុងដំណាក់កាលរឹបអូស</t>
  </si>
  <si>
    <t>រៀល/ដុល្លារអាមេរិក</t>
  </si>
  <si>
    <t>1. List of Properties in Foreclosure Process</t>
  </si>
  <si>
    <t>KHR/USD</t>
  </si>
  <si>
    <t>(In Millions of KHR)</t>
  </si>
  <si>
    <t>ល.រ Nº</t>
  </si>
  <si>
    <t>ប្រភេទឥណទាន Type of Loan</t>
  </si>
  <si>
    <t xml:space="preserve">​​​​​   ឈ្មោះអ្នកខ្ចី     Name of Borrower        </t>
  </si>
  <si>
    <t xml:space="preserve">           ប្រភេទទ្រព្យសម្បតិ្ត            ​Type of Property ​​​ </t>
  </si>
  <si>
    <t xml:space="preserve">ទីតាំង Location     </t>
  </si>
  <si>
    <t xml:space="preserve">លេខសំគាល់កម្មសិទ្ធិIdentity No.             </t>
  </si>
  <si>
    <t xml:space="preserve">តម្លៃចុះបញ្ជី Gross Book Value of Property           </t>
  </si>
  <si>
    <t xml:space="preserve">តម្លៃសុទ្ធនៃឥណទាន Net Book Value of the Loan </t>
  </si>
  <si>
    <t xml:space="preserve">ថ្ងៃចាប់ផ្តើមដំណាក់កាលដំបូងនៃការរឹបអូស Starting Date of Foreclosure Process </t>
  </si>
  <si>
    <t>ផ្សេងៗ  Other</t>
  </si>
  <si>
    <t xml:space="preserve">ប្រាក់ដើម ​Outstanding Principal </t>
  </si>
  <si>
    <t>ការប្រាក់បង្គរទុក និង ចំណាយផ្សេងៗ AIR &amp; Other Expenses</t>
  </si>
  <si>
    <t xml:space="preserve">I. ចលនទ្រព្យ Movable Properties </t>
  </si>
  <si>
    <t>២.​ បញ្ជីទ្រព្យសម្បត្តិរឹបអូស</t>
  </si>
  <si>
    <t>2. List of Foreclosed Properties</t>
  </si>
  <si>
    <t>ល.រNº</t>
  </si>
  <si>
    <t xml:space="preserve">ប្រភេទឥណទាន Type of Loan </t>
  </si>
  <si>
    <t xml:space="preserve">   ឈ្មោះអ្នកខ្ចី     Name of Borrower       </t>
  </si>
  <si>
    <t>ប្រភេទទ្រព្យសម្បត្តិ Type of Property</t>
  </si>
  <si>
    <t>ទីតាំង Location</t>
  </si>
  <si>
    <t>លេខសំគាល់កម្មសិទ្ធិ Identity No.</t>
  </si>
  <si>
    <t>ឈ្មោះកម្មសិទ្ធិករ​ (ធនាគារ) Ownership Title (Bank)</t>
  </si>
  <si>
    <t>កាលបរិចេ្ឆទរឹបអូសចូល (ថ្ងៃចេញដីការរឹបអូស) Date of Order of the Court</t>
  </si>
  <si>
    <t xml:space="preserve">តំលៃទីផ្សារនៃទ្រព្យរឹបអូស Foreclosed Value of Property </t>
  </si>
  <si>
    <t xml:space="preserve">តំលៃទីផ្សារពេលបញ្ចប់ការរឹបអូស     Current Market Value of Foreclosed Property </t>
  </si>
  <si>
    <t>សមតុល្យសរុប​ Net Book Value of the Loan</t>
  </si>
  <si>
    <t>ផ្សេងៗ Other</t>
  </si>
  <si>
    <t xml:space="preserve">ប្រាក់ដើម Outstanding Principal </t>
  </si>
  <si>
    <t xml:space="preserve">  ការប្រាក់បង្គរទុក និង ចំណាយផ្សេងៗ    AIR &amp; Other Expenses</t>
  </si>
  <si>
    <t>I. ចលនទ្រព្យ Movable Properties</t>
  </si>
  <si>
    <t>កំណត់សំគាល់​:</t>
  </si>
  <si>
    <t>ភ្នំពេញ ថ្ងៃទី​​ ​​​  ខែ     ឆ្នាំ​ ២០១១</t>
  </si>
  <si>
    <t>អគ្គនាយក/នាយក</t>
  </si>
  <si>
    <t>អ្នកពិនិត្យ</t>
  </si>
  <si>
    <t>អ្នកធ្វើតារាង</t>
  </si>
  <si>
    <t>CEO/Managing Director</t>
  </si>
  <si>
    <t xml:space="preserve">Prepared by </t>
  </si>
  <si>
    <r>
      <t>ឈ្មោះធនាគារ</t>
    </r>
    <r>
      <rPr>
        <b/>
        <sz val="22"/>
        <rFont val="Limon S1"/>
      </rPr>
      <t xml:space="preserve"> ³</t>
    </r>
  </si>
  <si>
    <t>របាយការណ៍ប្រចាំខែស្តីពី ប្រភពទុនជាប្រាក់បញ្ញើសំរាប់​ប្រើប្រាស់ក្នុងស្រុក</t>
  </si>
  <si>
    <t>MONTHLY REPORT ON SOURCES OF FUNDS FROM DEPOSITS FOR LOCAL USE</t>
  </si>
  <si>
    <t>កាលបរិច្ឆេទ :</t>
  </si>
  <si>
    <t>ឈ្មោះធនាគារ​​​:</t>
  </si>
  <si>
    <t>(ឯកតាគិតជាលានរៀល)</t>
  </si>
  <si>
    <t>(In Millions of  KHR)</t>
  </si>
  <si>
    <t>ពិពណ៌នា</t>
  </si>
  <si>
    <t>រៀល</t>
  </si>
  <si>
    <t>សរុប</t>
  </si>
  <si>
    <t>Description</t>
  </si>
  <si>
    <t>USD</t>
  </si>
  <si>
    <t>Riel</t>
  </si>
  <si>
    <t>Total</t>
  </si>
  <si>
    <t xml:space="preserve">1- ប្រភពទុនប្រមូលក្នុងស្រុក Sources of Funds Locally Collected </t>
  </si>
  <si>
    <t>1.1- ប្រាក់បញ្ញើអតិថិជន Customers' Deposits</t>
  </si>
  <si>
    <t>1.1.1- និវេសជន Resident</t>
  </si>
  <si>
    <t>1.1.2- អនិវេសជន Non-Resident</t>
  </si>
  <si>
    <t>1.2- ប្រាក់បញ្ញើក្នុងស្រុកអន្តរធនាគារ Local Interbank Deposits</t>
  </si>
  <si>
    <t>2- ការប្រើប្រាស់ទុនក្នុងស្រុក Local Uses of Funds</t>
  </si>
  <si>
    <t>2.1- សាច់ប្រាក់ក្នុងដៃ Cash on hand</t>
  </si>
  <si>
    <t>2.2- ប្រាក់បញ្ញើនៅធនាគារក្នុងស្រុក Deposits with Local banks</t>
  </si>
  <si>
    <t>2.3- ប្រាក់បញ្ញើនៅធនាគារជាតិនៃកម្ពុជា (មិនគិតប្រាក់បញ្ញើធានាលើដើមទុន​)       Deposits with NBC (Excluding capital guarantee deposit)</t>
  </si>
  <si>
    <t>2.4-​​ ប្រាក់ខ្ចីចងការនិងបុរេប្រទាន Loans and Advances</t>
  </si>
  <si>
    <t>ភ្នំពេញ ថ្ងៃទី​​ ​​​       ខែ        ឆ្នាំ​ ២០១១</t>
  </si>
  <si>
    <t>Verified By</t>
  </si>
  <si>
    <t>របាយការណ៍ប្រចាំខែសី្តពី ទ្រព្យសកម្មឬ ទ្រព្យអកម្មសុទ្ធនៅធនាគារមេ ទីស្នាក់ការកណ្តាល ឬ សាខា</t>
  </si>
  <si>
    <t>MONTHLY REPORT ON NET ASSETS OR LIABILITIES OF FOREIGN BANK TO ITS PARENT HEAD OFFICE OR AFFILIATES</t>
  </si>
  <si>
    <t xml:space="preserve">កាលបរិច្ឆេទ​ ថ្ងៃទី </t>
  </si>
  <si>
    <t>As of …..</t>
  </si>
  <si>
    <t>ឈ្មោះធនាគារៈ</t>
  </si>
  <si>
    <t>Bank's Name :</t>
  </si>
  <si>
    <t>ពិពណ៌នា Description</t>
  </si>
  <si>
    <t xml:space="preserve"> សរុប Total</t>
  </si>
  <si>
    <t>ទ្រព្យសកម្មដែលមាននៅធនាគារមេ ទីស្នាក់ការកណ្តាល​ ឬ​សាខា Assets with Parent, Head Office or Affiliates</t>
  </si>
  <si>
    <t>1.1.1-</t>
  </si>
  <si>
    <t>ប្រាក់បញ្ញើចរន្តគ្មានការប្រាក់ Non-Interest Bearing Demand Deposit</t>
  </si>
  <si>
    <t>1.1.2-</t>
  </si>
  <si>
    <t>ប្រាក់បញ្ញើចរន្តមានការប្រាក់ Interest Bearing Demand Deposit</t>
  </si>
  <si>
    <t>ឥណទាន និង​ ប្រាក់បញ្ញើនៅធនាគារមេ ទីស្នាក់ការកណ្តាល​ ឬ​សាខា Loan and Placement with Parent, Head Office or Affiliate</t>
  </si>
  <si>
    <t>1.2.1-</t>
  </si>
  <si>
    <t xml:space="preserve">ឥណទានរយៈពេលខ្លី Short-Term Loan </t>
  </si>
  <si>
    <t>1.2.2-</t>
  </si>
  <si>
    <t xml:space="preserve">ឥណទានរយៈពេលវែង Long-Term Loan </t>
  </si>
  <si>
    <t xml:space="preserve">មូលបត្រ Securitie </t>
  </si>
  <si>
    <t>1.3.1-</t>
  </si>
  <si>
    <t>មូលបត្របំណុល Debt Securities</t>
  </si>
  <si>
    <t>1.3.2-</t>
  </si>
  <si>
    <t>មូលបត្រភាគហ៊ុន Equity Securities</t>
  </si>
  <si>
    <t>ផ្សេងៗ Others</t>
  </si>
  <si>
    <t>ប្រាក់បញ្ញើចរន្ត និង​ ប្រាក់បញ្ញើមានកាលកំណត់ Demand and Time Deposits</t>
  </si>
  <si>
    <t>2.1.1-</t>
  </si>
  <si>
    <t>ប្រាក់បញ្ញើចរន្ត Demand Deposit</t>
  </si>
  <si>
    <t>2.1.2-</t>
  </si>
  <si>
    <t>ប្រាក់បញ្ញើមានកាលកំណត់ Time Deposit</t>
  </si>
  <si>
    <t>2.1.3-</t>
  </si>
  <si>
    <t>គណនីប្រាក់បញ្ញើរយៈពេលខ្លី Money Market Deposit Account</t>
  </si>
  <si>
    <t>មូលនិធិខ្ចីពីធនាគារមេ ទីស្នាក់ការកណ្តាល ឬ សាខា Borrowed Funds from Parent, Head Office or Affiliates</t>
  </si>
  <si>
    <t>2.2.1-</t>
  </si>
  <si>
    <t xml:space="preserve">ឥណទានវិបារូបន៍ Overdraft on Correspondent Accounts </t>
  </si>
  <si>
    <t>2.2.2-</t>
  </si>
  <si>
    <t>មូលនិធិខ្ចីរយៈពេលខ្លី Short-Term Borrowed Funds</t>
  </si>
  <si>
    <t>2.2.3-</t>
  </si>
  <si>
    <t>មូលនិធិខ្ចីរយៈពេលវែង Long-Term Borrowed Funds</t>
  </si>
  <si>
    <t xml:space="preserve">មូលបត្រ Securities </t>
  </si>
  <si>
    <t>2.3.1-</t>
  </si>
  <si>
    <t>សរុបទ្រព្យសកម្មសុទ្ធ (ឬ ទ្រព្យអកម្មសុទ្ធ) ក្នុងតារាងតុល្យការ Net Assets (or Net Liabilities) in Balance Sheet Items (1 - 2)</t>
  </si>
  <si>
    <t>3-</t>
  </si>
  <si>
    <t>ធាតុនៅក្រៅតារាងតុល្យការដែលមានជាមួយធនាគារមេ ទីស្នាក់ការកណ្តាល ឬសាខា Off-Balance Sheet Items with Parent, Head Office or Affiliates</t>
  </si>
  <si>
    <t>3.1-</t>
  </si>
  <si>
    <t>កិច្ចសន្យាចំពោះធនាគារមេ ទីស្នាក់ការកណ្តាល ឬសាខា Commitment to Parent, Head Office or Affiliates</t>
  </si>
  <si>
    <t>3.2-</t>
  </si>
  <si>
    <t>កិច្ចសន្យាពីឲ្យធនាគារមេ ទីស្នាក់ការកណ្តាល ឬសាខា Commitment from Parent, Head Office or Affiliates</t>
  </si>
  <si>
    <t>សរុបទ្រព្យសកម្មសុទ្ធ​ (ឬ ទ្រព្យអកម្មសុទ្ធ)មាននៅក្រៅតារាងតុល្យការ Total Net Assets (Net Liabilities) in Off-Balance Sheet Items (3.1 - 3.2)</t>
  </si>
  <si>
    <t xml:space="preserve">                                                                                                                             Reporting Date:</t>
  </si>
  <si>
    <t xml:space="preserve">             Verified By                                                                                                Prepared by </t>
  </si>
  <si>
    <t>ប្រភេទគណនី</t>
  </si>
  <si>
    <t>ដុល្លារអាមេរិក</t>
  </si>
  <si>
    <t>រួបិយប័ណ្ណផ្សេង</t>
  </si>
  <si>
    <t>មាស</t>
  </si>
  <si>
    <t>Types of Accounts</t>
  </si>
  <si>
    <t>KHR</t>
  </si>
  <si>
    <t>Other FCs</t>
  </si>
  <si>
    <t>Gold</t>
  </si>
  <si>
    <t>ប្រាក់បញ្ញើ Deposits:</t>
  </si>
  <si>
    <r>
      <t>ប្រាក់បញ្ញើចរន្ត</t>
    </r>
    <r>
      <rPr>
        <sz val="10"/>
        <rFont val="Arial"/>
        <family val="2"/>
      </rPr>
      <t xml:space="preserve"> Demand Deposits</t>
    </r>
  </si>
  <si>
    <r>
      <t>រហូតដល់​ ១​ ខែ</t>
    </r>
    <r>
      <rPr>
        <sz val="10"/>
        <rFont val="Arial"/>
        <family val="2"/>
      </rPr>
      <t xml:space="preserve"> One month or less</t>
    </r>
  </si>
  <si>
    <r>
      <t>លើសពី ១ ខែ រហូតដល់ ៣ ខែ</t>
    </r>
    <r>
      <rPr>
        <sz val="10"/>
        <rFont val="Arial"/>
        <family val="2"/>
      </rPr>
      <t xml:space="preserve"> Greater than one month to three months</t>
    </r>
  </si>
  <si>
    <t>3.3-</t>
  </si>
  <si>
    <r>
      <t>លើសពី ៣ ខែ រហូតដល់ ៦ ខែ</t>
    </r>
    <r>
      <rPr>
        <sz val="10"/>
        <rFont val="Arial"/>
        <family val="2"/>
      </rPr>
      <t xml:space="preserve">​ Greater than three months to six months </t>
    </r>
  </si>
  <si>
    <t>3.4-</t>
  </si>
  <si>
    <r>
      <t>លើសពី ៦ ខែ រហូតដល់ ១ ឆ្នាំ</t>
    </r>
    <r>
      <rPr>
        <sz val="10"/>
        <rFont val="Arial"/>
        <family val="2"/>
      </rPr>
      <t xml:space="preserve"> Greater than six months to one year</t>
    </r>
  </si>
  <si>
    <t>3.5-</t>
  </si>
  <si>
    <r>
      <t>លើសពី ១ ឆ្នាំ</t>
    </r>
    <r>
      <rPr>
        <sz val="10"/>
        <rFont val="Arial"/>
        <family val="2"/>
      </rPr>
      <t xml:space="preserve"> Greater than one year</t>
    </r>
  </si>
  <si>
    <t>4-</t>
  </si>
  <si>
    <r>
      <t xml:space="preserve">ប្រាក់បញ្ញើផ្សេងៗ </t>
    </r>
    <r>
      <rPr>
        <sz val="10"/>
        <rFont val="Arial"/>
        <family val="2"/>
      </rPr>
      <t>Other ​​Deposits</t>
    </r>
  </si>
  <si>
    <t>ឥណទាន Loans:</t>
  </si>
  <si>
    <r>
      <t>ឥណទានវិបារូបន៍ -​ ទៅអ្នកប្រើប្រាស់</t>
    </r>
    <r>
      <rPr>
        <sz val="10"/>
        <rFont val="Arial"/>
        <family val="2"/>
      </rPr>
      <t xml:space="preserve"> Overdraft - Consumer</t>
    </r>
  </si>
  <si>
    <r>
      <t xml:space="preserve">ឥណទានវិបារូបន៍ -​ ទៅធុរកិច្ច </t>
    </r>
    <r>
      <rPr>
        <sz val="10"/>
        <rFont val="Arial"/>
        <family val="2"/>
      </rPr>
      <t>Overdraft - Business</t>
    </r>
  </si>
  <si>
    <r>
      <t xml:space="preserve">ប័ណ្ណឥណទាន </t>
    </r>
    <r>
      <rPr>
        <sz val="10"/>
        <rFont val="Arial"/>
        <family val="2"/>
      </rPr>
      <t>Credit Card</t>
    </r>
  </si>
  <si>
    <r>
      <t xml:space="preserve">ឥណទានចំពោះធនាគារ </t>
    </r>
    <r>
      <rPr>
        <sz val="10"/>
        <rFont val="Arial"/>
        <family val="2"/>
      </rPr>
      <t>Bank Placements:</t>
    </r>
  </si>
  <si>
    <t>4.1-</t>
  </si>
  <si>
    <t>4.2-</t>
  </si>
  <si>
    <r>
      <t>លើសពី ១ ខែ</t>
    </r>
    <r>
      <rPr>
        <sz val="10"/>
        <rFont val="Arial"/>
        <family val="2"/>
      </rPr>
      <t xml:space="preserve"> Greater than one month</t>
    </r>
  </si>
  <si>
    <t>5-</t>
  </si>
  <si>
    <r>
      <t>ឥណទានមានកាលកំណត់ - ទៅអ្នកប្រើប្រាស់</t>
    </r>
    <r>
      <rPr>
        <sz val="10"/>
        <rFont val="Arial"/>
        <family val="2"/>
      </rPr>
      <t xml:space="preserve"> Term Loans - Consumer:</t>
    </r>
  </si>
  <si>
    <t>5.1-</t>
  </si>
  <si>
    <r>
      <t>មិនមានការធានា</t>
    </r>
    <r>
      <rPr>
        <sz val="10"/>
        <rFont val="Arial"/>
        <family val="2"/>
      </rPr>
      <t xml:space="preserve"> Unsecured:</t>
    </r>
  </si>
  <si>
    <t>5.1.1-</t>
  </si>
  <si>
    <r>
      <t>រហូតដល់​ ១​ ឆ្នាំ</t>
    </r>
    <r>
      <rPr>
        <sz val="10"/>
        <rFont val="Arial"/>
        <family val="2"/>
      </rPr>
      <t xml:space="preserve"> One year or less </t>
    </r>
  </si>
  <si>
    <t>5.1.2-</t>
  </si>
  <si>
    <t>5.2-</t>
  </si>
  <si>
    <r>
      <t>មានការធានា</t>
    </r>
    <r>
      <rPr>
        <sz val="10"/>
        <rFont val="Arial"/>
        <family val="2"/>
      </rPr>
      <t xml:space="preserve"> Secured:</t>
    </r>
  </si>
  <si>
    <t>5.2.1-</t>
  </si>
  <si>
    <t>5.2.2-</t>
  </si>
  <si>
    <t>6-</t>
  </si>
  <si>
    <r>
      <t>ឥណទានមានកាលកំណត់ - ទៅធុរកិច្ច</t>
    </r>
    <r>
      <rPr>
        <sz val="10"/>
        <rFont val="Arial"/>
        <family val="2"/>
      </rPr>
      <t xml:space="preserve"> Term Loans - Business:</t>
    </r>
  </si>
  <si>
    <t>6.1-</t>
  </si>
  <si>
    <t>6.1.1-</t>
  </si>
  <si>
    <t>6.1.2-</t>
  </si>
  <si>
    <t>6.2-</t>
  </si>
  <si>
    <t>6.2.1-</t>
  </si>
  <si>
    <t>6.2.2-</t>
  </si>
  <si>
    <t>7-</t>
  </si>
  <si>
    <r>
      <t xml:space="preserve">ឥណទានផ្សេងៗ </t>
    </r>
    <r>
      <rPr>
        <sz val="10"/>
        <rFont val="Arial"/>
        <family val="2"/>
      </rPr>
      <t>Other​ Loans</t>
    </r>
  </si>
  <si>
    <t>-</t>
  </si>
  <si>
    <t>របាយការណ៍នេះសំដៅទទួលពណ៌មានស្តីពីប្រាក់បញ្ញើនិងឥណទានជារួម</t>
  </si>
  <si>
    <t>This report collects information on common deposit and loan products.</t>
  </si>
  <si>
    <t>ប្រាក់បញ្ញើនិងឥណទានដែលរៀបចំជាប្រភេទពិសេស ឬ ប្រភេទដែលមានការប្រើប្រាស់តិចតួច មិនចាំបាច់រាយការណ៍ក្នុងតារាង</t>
  </si>
  <si>
    <t>Customized special or rare products should not be entered.</t>
  </si>
  <si>
    <t>អត្រាការប្រាក់ត្រូវតែរាយការណ៍ជាមធ្យមភាគក្រោយថ្លឹង​ (ក្នុងករណីចាំបាច់​ ត្រូវព្យាករណ៍ជាមុន)</t>
  </si>
  <si>
    <t>Rates should be weighted average (estimated, if necessary) for month.</t>
  </si>
  <si>
    <t>ភ្នំពេញ ថ្ងៃទី​​ ​​​​​      ​​​​​​​ ខែ         ឆ្នាំ​ ២០១១</t>
  </si>
  <si>
    <t xml:space="preserve">                           អ្នកពិនិត្យ</t>
  </si>
  <si>
    <t xml:space="preserve">                             Verified By</t>
  </si>
  <si>
    <r>
      <t>ឈ្មោះធនាគារ</t>
    </r>
    <r>
      <rPr>
        <sz val="10"/>
        <rFont val="Limon S1"/>
      </rPr>
      <t xml:space="preserve"> ³</t>
    </r>
  </si>
  <si>
    <r>
      <t xml:space="preserve">ប្រាក់បញ្ញើសំចៃ </t>
    </r>
    <r>
      <rPr>
        <sz val="10"/>
        <rFont val="Arial"/>
        <family val="2"/>
      </rPr>
      <t>Saving</t>
    </r>
    <r>
      <rPr>
        <sz val="10"/>
        <rFont val="Arial"/>
        <family val="2"/>
      </rPr>
      <t xml:space="preserve"> Deposits</t>
    </r>
  </si>
  <si>
    <r>
      <t>អត្រាការប្រាក់ត្រូវតែឆ្លុះបញ្ចាំងពីប្រាក់បញ្ញើនិងឥណទានដែលបានផ្តល់​ និង/ឬ ដែលបានធ្វើកិច្ចសន្យាក្នុងអំឡុងពេល</t>
    </r>
    <r>
      <rPr>
        <b/>
        <sz val="10"/>
        <rFont val="Arial"/>
        <family val="2"/>
      </rPr>
      <t>ខែចុងក្រោយ</t>
    </r>
  </si>
  <si>
    <r>
      <t xml:space="preserve">Rates should reflect those offered and/or contracted only during </t>
    </r>
    <r>
      <rPr>
        <b/>
        <sz val="10"/>
        <rFont val="Arial"/>
        <family val="2"/>
      </rPr>
      <t>the most previous month</t>
    </r>
    <r>
      <rPr>
        <sz val="10"/>
        <rFont val="Arial"/>
        <family val="2"/>
      </rPr>
      <t>.</t>
    </r>
  </si>
  <si>
    <r>
      <t>ប្រសិនបើពុំមានផ្តល់ប្រាក់បញ្ញើនិងឥណទានលើប្រភេទណាមួយនោះទេ ត្រូវ​</t>
    </r>
    <r>
      <rPr>
        <b/>
        <sz val="10"/>
        <rFont val="Arial"/>
        <family val="2"/>
      </rPr>
      <t>ទុក​ប្រអប់អិចសេលទំនេរ</t>
    </r>
  </si>
  <si>
    <r>
      <t xml:space="preserve">If no products were offered in a particular category, please </t>
    </r>
    <r>
      <rPr>
        <b/>
        <sz val="10"/>
        <rFont val="Arial"/>
        <family val="2"/>
      </rPr>
      <t>Leave the cell blank</t>
    </r>
    <r>
      <rPr>
        <sz val="10"/>
        <rFont val="Arial"/>
        <family val="2"/>
      </rPr>
      <t>.</t>
    </r>
  </si>
  <si>
    <t>របាយការណ៍ប្រចាំខែស្ដីពី គំលាតវេទយិតភាពការប្រាក់</t>
  </si>
  <si>
    <t>MONTHLY REPORT ON INTEREST SENSITIVITY GAP</t>
  </si>
  <si>
    <t>Name of Bank :</t>
  </si>
  <si>
    <t>អត្រាប្តូរប្រាក់ ​:</t>
  </si>
  <si>
    <t>Exchange Rate:</t>
  </si>
  <si>
    <t xml:space="preserve"> KHR/USD</t>
  </si>
  <si>
    <t>រហូតដល់​ ១ ខែ</t>
  </si>
  <si>
    <t>លើសពី​ ១ ខែ​ ដល់ ៣ ខែ</t>
  </si>
  <si>
    <t>លើសពី​ ៣ ខែ​ ដល់ ៦ ខែ</t>
  </si>
  <si>
    <t>លើសពី​ ៦ ខែ​ ដល់ ១២ ខែ</t>
  </si>
  <si>
    <t>លើសពី​ ១ ឆ្នាំ ដល់ ៣ ឆ្នាំ</t>
  </si>
  <si>
    <t>លើសពី​ ៣ ឆ្នាំ ដល់ ៥ ឆ្នាំ</t>
  </si>
  <si>
    <t xml:space="preserve">លើសពី​ ៥ ឆ្នាំ </t>
  </si>
  <si>
    <t>គ្មានអត្រាការប្រាក់</t>
  </si>
  <si>
    <t>1 month​ or less</t>
  </si>
  <si>
    <t>1-3 months</t>
  </si>
  <si>
    <t>3-6 months</t>
  </si>
  <si>
    <t>6- 12 months</t>
  </si>
  <si>
    <t>1-3 years</t>
  </si>
  <si>
    <t>3-5 years</t>
  </si>
  <si>
    <t>Over 5 years</t>
  </si>
  <si>
    <t xml:space="preserve">Total </t>
  </si>
  <si>
    <t xml:space="preserve">1-​ </t>
  </si>
  <si>
    <t>ទ្រព្យសកម្មហិរញ្ញវត្ថុ​ Financial Assets</t>
  </si>
  <si>
    <t>សាច់ប្រាក់ក្នុងដៃ Cash on hand</t>
  </si>
  <si>
    <t>សមតុល្យនៅធនាគារជាតិនៃកម្ពុជា Balances with NBC​​</t>
  </si>
  <si>
    <t>សមតុល្យជាមួយធនាគារផេ្សងទៀត Balances with other banks</t>
  </si>
  <si>
    <t>ប្រាក់បញ្ញើជាមួយធនាគារក្នុងស្រុក Placements with local banks</t>
  </si>
  <si>
    <t>ឥណទាននិងបុរេប្រទានចំពោះអតិថិជនLoans and advances to customers</t>
  </si>
  <si>
    <t>1.5.1-</t>
  </si>
  <si>
    <t>1.5.2-</t>
  </si>
  <si>
    <t xml:space="preserve">ឥណទានវិបារូបន៍ Overdraft​​ </t>
  </si>
  <si>
    <t>1.5.3-</t>
  </si>
  <si>
    <t>1.6-</t>
  </si>
  <si>
    <t>ឧបករណ៏ហិរញ្ញវត្ថុ Financial Instruments</t>
  </si>
  <si>
    <t>1.7-</t>
  </si>
  <si>
    <t>ទ្រព្យសកម្មផេ្សងៗ Other assets</t>
  </si>
  <si>
    <t>ទ្រព្យអកម្មហិរញ្ញវត្ថុ Financial liabilities</t>
  </si>
  <si>
    <t>សមតុល្យរបស់ធនាគារដ៏ទៃទៀត Balances of other banks</t>
  </si>
  <si>
    <t>ប្រាក់បញ្ញើអតិថិជននិងផ្សេងៗ Customer deposits and others</t>
  </si>
  <si>
    <t>មូលនិធិដែលបានខ្ចី Borrowed Funds</t>
  </si>
  <si>
    <t>ឧបករណ៏ហិរញ្ញវត្ថុ  Financial Instruments</t>
  </si>
  <si>
    <t>ទ្រព្យអកម្មផេ្សងៗ  Other liabilities</t>
  </si>
  <si>
    <t>វេទយិតភាពការប្រាក់បង្គ​រ Cumulative Interest Sensitivity gap</t>
  </si>
  <si>
    <t>Reporting Date:…./…./……</t>
  </si>
  <si>
    <t>កាលបរិច្ឆេទៈ</t>
  </si>
  <si>
    <t>ឈ្មោះធនាគារ:</t>
  </si>
  <si>
    <t>អត្រាប្តូរប្រាក់:</t>
  </si>
  <si>
    <t>៤០០០</t>
  </si>
  <si>
    <t>Exchange Rate​:</t>
  </si>
  <si>
    <t>កំណត់សំគាល់ៈ</t>
  </si>
  <si>
    <t>ភ្នំពេញ ថ្ងៃទី       ខែ           ឆ្នាំ ២០១១</t>
  </si>
  <si>
    <t>Reporting date: day/month/year</t>
  </si>
  <si>
    <t>របាយការណ៍ប្រចាំខែស្តីពី អនុបាតសាធនភាព</t>
  </si>
  <si>
    <t xml:space="preserve">MONTHLY REPORT ON SOLVENCY RATIO  </t>
  </si>
  <si>
    <t>មូលនិធិផ្ទាល់សុទ្ធ :</t>
  </si>
  <si>
    <t>Net worth (NW) :</t>
  </si>
  <si>
    <t>ធាតុនៃតារាងតុល្យការដែលថ្លឹងតាមកំរិតហានិភ័យសមភាគី​ Balance Sheet Items, weighted by degree of Counter-Party Risks</t>
  </si>
  <si>
    <t>ការថ្លឹង ០% ចំពោះទ្រព្យសកម្មដែលមានហានិភ័យទាប Weighting 0% on Assets with low Risk</t>
  </si>
  <si>
    <t>សាច់ប្រាក់ Cash</t>
  </si>
  <si>
    <t>មាស Gold</t>
  </si>
  <si>
    <t>ឥណទេយ្យលើធនាគារជាតិនៃកម្ពុជា Claim on the National Bank of Cambodia</t>
  </si>
  <si>
    <t>ការថ្លឹង ២០% ចំពោះទ្រព្យសកម្មដែលមានហានិភ័យធួនល្មម Weighting 20% on Assets with Moderate Risk</t>
  </si>
  <si>
    <t>ការថ្លឹង ៥០% ចំពោះទ្រព្យសកម្មដែលមានហានិភ័យមធ្យម Weighting 50% on Assets with Medium Risk</t>
  </si>
  <si>
    <t>ការថ្លឹង ១០០% ចំពោះទ្រព្យសកម្មដែលមានហានិភ័យទាំងស្រុង Weighting 100% on Assets with Full Risk</t>
  </si>
  <si>
    <t>ទ្រព្យសកម្មដ៏ទៃទៀត All other Assets, besides mentioned above</t>
  </si>
  <si>
    <t>ធាតុនៃក្រៅតារាងតុល្យការដែលថ្លឹងតាមកំរិតហានិភ័យសមភាគី Off-Balance Sheet items, weighted by degree of Counter-Party Risk</t>
  </si>
  <si>
    <t>ការថ្លឹង ០% ចំពោះប្រតិបត្តិការដែលមានហានិភ័យទាប Weighting 0% on Operations with low Risk</t>
  </si>
  <si>
    <t>ឥណទានមិនទាន់ប្រើប្រាស់​ ជាពិសេសឥណទានលើសសមតុល្យ និងការសន្យាឲ្យខ្ចីដែល​ មាន​កាលកំណត់រហូតពេញមួយឆ្នាំ​ឬ​​ដែលអាចលុបចោលដោយគ្មានលក្ខខ័ណ្ឌនៅពេលណា ក៏បានដោយគ្មានជូនដំណឹង Undrawn Facilities, particularly overdrafts and commitments to lend, which are for an initial m</t>
  </si>
  <si>
    <t>ប្រតិបត្តិការផ្សេងទៀតដែលមានហានិភ័យទាប Other items carrying a low risk</t>
  </si>
  <si>
    <t>ការថ្លឹង ២០% ចំពោះប្រតិបត្តិការដែលមានហានិភ័យធួនល្មម Weighting 20% on Operations with Moderate Risk</t>
  </si>
  <si>
    <t>ប្រតិបត្តិការផ្សេងទៀតដែលមានហានិភ័យធួនល្មម​ Other Items carrying moderate risk</t>
  </si>
  <si>
    <t>ការថ្លឹង ៥០% ចំពោះប្រតិបត្តិការដែលមានហានិភ័យមធ្យម Weighting 50% on Operations with Medium Risk</t>
  </si>
  <si>
    <t>ការធានានិងសញ្ញាប័ណ្ណឧបត្ថម្ភ និងការធានាដែលមិនមានលក្ខណៈជំនួសឥណទាន Warranties and idemnity bonds (including tender, performance, customs and
tax bonds) and guarantees not having the character of credit substitutes</t>
  </si>
  <si>
    <t>ប្រតិបត្តិការផ្សេងទៀតដែលមានហានិភ័យមធ្យម Other items carrying medium risk</t>
  </si>
  <si>
    <t>ការថ្លឹង ១០០% ចំពោះប្រតិបត្តិការដែលមានហានិភ័យទាំងស្រុង Weighting 100% on Operations with Full Risk</t>
  </si>
  <si>
    <t>ការទទួលព្រម  Acceptances</t>
  </si>
  <si>
    <t>4.3-</t>
  </si>
  <si>
    <t>4.4-</t>
  </si>
  <si>
    <t>សកម្មភាពប្រតិបត្តិការដោយមានឧប្រាស្រ័យ Transactions with recourse</t>
  </si>
  <si>
    <t>4.5-</t>
  </si>
  <si>
    <t>4.6-</t>
  </si>
  <si>
    <t>ប្រតិបត្តិការផ្សេងៗទៀត  ដែលមានហានិភ័យខ្ពស់  Other items carrying a high risk</t>
  </si>
  <si>
    <r>
      <t xml:space="preserve">ការគណនាអនុបាតសាធនភាព CALCULATION OF </t>
    </r>
    <r>
      <rPr>
        <b/>
        <sz val="11"/>
        <rFont val="Khmer OS Muol Light"/>
      </rPr>
      <t>SOLVENCY RATIO</t>
    </r>
  </si>
  <si>
    <r>
      <t>ថ្លឹង</t>
    </r>
    <r>
      <rPr>
        <b/>
        <sz val="8"/>
        <rFont val="Times New Roman"/>
        <family val="1"/>
      </rPr>
      <t xml:space="preserve">
Weighting</t>
    </r>
  </si>
  <si>
    <r>
      <t>ជាដុល្លារ</t>
    </r>
    <r>
      <rPr>
        <b/>
        <sz val="8"/>
        <rFont val="Times New Roman"/>
        <family val="1"/>
      </rPr>
      <t xml:space="preserve">
in USD</t>
    </r>
  </si>
  <si>
    <r>
      <t xml:space="preserve">   ជាលានរៀល
</t>
    </r>
    <r>
      <rPr>
        <b/>
        <sz val="7"/>
        <rFont val="Times New Roman"/>
        <family val="1"/>
      </rPr>
      <t>in Million of KHRs</t>
    </r>
  </si>
  <si>
    <r>
      <rPr>
        <b/>
        <sz val="9"/>
        <rFont val="Times New Roman"/>
        <family val="1"/>
      </rPr>
      <t xml:space="preserve"> I</t>
    </r>
    <r>
      <rPr>
        <b/>
        <sz val="9"/>
        <rFont val="Khmer OS Battambang"/>
      </rPr>
      <t xml:space="preserve">- </t>
    </r>
  </si>
  <si>
    <r>
      <t xml:space="preserve">សរុប Total ( </t>
    </r>
    <r>
      <rPr>
        <b/>
        <sz val="10"/>
        <rFont val="Times New Roman"/>
        <family val="1"/>
      </rPr>
      <t xml:space="preserve">I </t>
    </r>
    <r>
      <rPr>
        <b/>
        <sz val="10"/>
        <rFont val="Khmer OS Battambang"/>
      </rPr>
      <t>) = (1) + (2) + (3) + (4)</t>
    </r>
  </si>
  <si>
    <r>
      <rPr>
        <b/>
        <sz val="9"/>
        <rFont val="Times New Roman"/>
        <family val="1"/>
      </rPr>
      <t xml:space="preserve"> II</t>
    </r>
    <r>
      <rPr>
        <b/>
        <sz val="9"/>
        <rFont val="Khmer OS Battambang"/>
      </rPr>
      <t xml:space="preserve">- </t>
    </r>
  </si>
  <si>
    <r>
      <t xml:space="preserve">សរុប Total ( </t>
    </r>
    <r>
      <rPr>
        <b/>
        <sz val="10"/>
        <rFont val="Times New Roman"/>
        <family val="1"/>
      </rPr>
      <t xml:space="preserve">II </t>
    </r>
    <r>
      <rPr>
        <b/>
        <sz val="10"/>
        <rFont val="Khmer OS Battambang"/>
      </rPr>
      <t>) = (1) + (2) + (3) + (4)</t>
    </r>
  </si>
  <si>
    <r>
      <rPr>
        <b/>
        <sz val="9"/>
        <rFont val="Times New Roman"/>
        <family val="1"/>
      </rPr>
      <t>III</t>
    </r>
    <r>
      <rPr>
        <b/>
        <sz val="9"/>
        <rFont val="Khmer OS Battambang"/>
      </rPr>
      <t>- សរុបទ្រព្យសកម្មនិងប្រតិបត្តិការក្រោយថ្លឹងហានិភ័យ Total Assets and Operations after  weighting Risk = ( I ) + ( II )</t>
    </r>
  </si>
  <si>
    <t>របាយការណ៏ប្រចាំខែសី្តពី កាលអវសាន្តនៃទ្រព្យសកម្ម និងទ្រព្យអកម្ម</t>
  </si>
  <si>
    <t>MONTHLY REPORT ON MATURITY PROFILE</t>
  </si>
  <si>
    <r>
      <t>eQµaHFnaKar</t>
    </r>
    <r>
      <rPr>
        <b/>
        <sz val="18"/>
        <rFont val="Limon R1"/>
      </rPr>
      <t xml:space="preserve"> </t>
    </r>
    <r>
      <rPr>
        <b/>
        <sz val="9"/>
        <rFont val="Arial"/>
        <family val="2"/>
      </rPr>
      <t xml:space="preserve">(Bank): </t>
    </r>
  </si>
  <si>
    <r>
      <t>kalbriecñTraykarN_</t>
    </r>
    <r>
      <rPr>
        <b/>
        <sz val="18"/>
        <rFont val="Limon R1"/>
      </rPr>
      <t xml:space="preserve"> </t>
    </r>
    <r>
      <rPr>
        <b/>
        <sz val="9"/>
        <rFont val="Arial"/>
        <family val="2"/>
      </rPr>
      <t xml:space="preserve">(Reporting Date): </t>
    </r>
  </si>
  <si>
    <r>
      <t>RbePTKNnI</t>
    </r>
    <r>
      <rPr>
        <sz val="10"/>
        <rFont val="Arial"/>
        <family val="2"/>
      </rPr>
      <t xml:space="preserve">
</t>
    </r>
    <r>
      <rPr>
        <sz val="11"/>
        <rFont val="Arial"/>
        <family val="2"/>
      </rPr>
      <t>Items</t>
    </r>
  </si>
  <si>
    <r>
      <t>smtulü</t>
    </r>
    <r>
      <rPr>
        <sz val="10"/>
        <rFont val="Arial"/>
        <family val="2"/>
      </rPr>
      <t xml:space="preserve">
</t>
    </r>
    <r>
      <rPr>
        <sz val="8"/>
        <rFont val="Arial"/>
        <family val="2"/>
      </rPr>
      <t>Balance</t>
    </r>
  </si>
  <si>
    <r>
      <t>kalvsanþ</t>
    </r>
    <r>
      <rPr>
        <b/>
        <sz val="8"/>
        <rFont val="Arial"/>
        <family val="2"/>
      </rPr>
      <t>*</t>
    </r>
    <r>
      <rPr>
        <sz val="22"/>
        <rFont val="Limon S1"/>
      </rPr>
      <t xml:space="preserve"> </t>
    </r>
    <r>
      <rPr>
        <b/>
        <sz val="8"/>
        <rFont val="Arial"/>
        <family val="2"/>
      </rPr>
      <t>(Maturity *)</t>
    </r>
  </si>
  <si>
    <r>
      <t>minelIsBI1Ex</t>
    </r>
    <r>
      <rPr>
        <sz val="8"/>
        <rFont val="Arial"/>
        <family val="2"/>
      </rPr>
      <t xml:space="preserve">
Up to 1 month</t>
    </r>
  </si>
  <si>
    <r>
      <t>eRcInCag1Ex EtminelIsBI3Ex</t>
    </r>
    <r>
      <rPr>
        <sz val="16"/>
        <rFont val="Arial"/>
        <family val="2"/>
      </rPr>
      <t xml:space="preserve">
</t>
    </r>
    <r>
      <rPr>
        <sz val="8"/>
        <rFont val="Arial"/>
        <family val="2"/>
      </rPr>
      <t>&gt; 1 month up to 3 months</t>
    </r>
  </si>
  <si>
    <r>
      <t>eRcInCag3Ex EtminelIsBI6Ex</t>
    </r>
    <r>
      <rPr>
        <sz val="8"/>
        <rFont val="Arial"/>
        <family val="2"/>
      </rPr>
      <t xml:space="preserve">
&gt; 3 months up to 6 months</t>
    </r>
  </si>
  <si>
    <r>
      <t>eRcInCag6Ex EtminelIsBI12Ex</t>
    </r>
    <r>
      <rPr>
        <sz val="8"/>
        <rFont val="Arial"/>
        <family val="2"/>
      </rPr>
      <t xml:space="preserve">
&gt; 6 months up to 12 moths</t>
    </r>
  </si>
  <si>
    <r>
      <t>eRcInCag1qñaM EtminelIsBI2qñaM</t>
    </r>
    <r>
      <rPr>
        <sz val="8"/>
        <rFont val="Arial"/>
        <family val="2"/>
      </rPr>
      <t xml:space="preserve">
&gt; 1 year up to 2 years</t>
    </r>
  </si>
  <si>
    <r>
      <t>eRcInCag2qñaM EtminelIsBI5qñaM</t>
    </r>
    <r>
      <rPr>
        <sz val="8"/>
        <rFont val="Arial"/>
        <family val="2"/>
      </rPr>
      <t xml:space="preserve">
&gt; 2 years up to 5 years</t>
    </r>
  </si>
  <si>
    <r>
      <t>eRcInCag5qñaM EtminelIsBI10qñaM</t>
    </r>
    <r>
      <rPr>
        <sz val="8"/>
        <rFont val="Arial"/>
        <family val="2"/>
      </rPr>
      <t xml:space="preserve">
&gt; 5 years up to 10 years</t>
    </r>
  </si>
  <si>
    <r>
      <t>eRcInCag10qñaM</t>
    </r>
    <r>
      <rPr>
        <sz val="8"/>
        <rFont val="Arial"/>
        <family val="2"/>
      </rPr>
      <t xml:space="preserve">
&gt; 10 years</t>
    </r>
  </si>
  <si>
    <r>
      <t>k&gt; RTBüskmµ</t>
    </r>
    <r>
      <rPr>
        <b/>
        <sz val="8"/>
        <rFont val="Arial"/>
        <family val="2"/>
      </rPr>
      <t xml:space="preserve">
A.   ASSETS</t>
    </r>
  </si>
  <si>
    <r>
      <t>1&gt; sac;R)ak;kñúgéd</t>
    </r>
    <r>
      <rPr>
        <sz val="8"/>
        <rFont val="Arial"/>
        <family val="2"/>
      </rPr>
      <t xml:space="preserve"> Cash on hand</t>
    </r>
  </si>
  <si>
    <r>
      <t>2&gt; smtulüenAFnaKarCati</t>
    </r>
    <r>
      <rPr>
        <sz val="8"/>
        <rFont val="Arial"/>
        <family val="2"/>
      </rPr>
      <t xml:space="preserve"> Balance with NBC</t>
    </r>
  </si>
  <si>
    <r>
      <t>3&gt; RTBüskmµGnþrFnaKar</t>
    </r>
    <r>
      <rPr>
        <sz val="8"/>
        <rFont val="Arial"/>
        <family val="2"/>
      </rPr>
      <t xml:space="preserve"> Interbank assets</t>
    </r>
  </si>
  <si>
    <r>
      <t>4&gt; mUlbR½tGacCYjdUr)anenATIpSar</t>
    </r>
    <r>
      <rPr>
        <sz val="16"/>
        <rFont val="Arial"/>
        <family val="2"/>
      </rPr>
      <t xml:space="preserve"> </t>
    </r>
    <r>
      <rPr>
        <sz val="8"/>
        <rFont val="Arial"/>
        <family val="2"/>
      </rPr>
      <t>Marketable securities</t>
    </r>
  </si>
  <si>
    <r>
      <t>5&gt; eGayx©Icgkar nigbuerRbTancMeBaHGtifiCn</t>
    </r>
    <r>
      <rPr>
        <sz val="8"/>
        <rFont val="Limon S1"/>
      </rPr>
      <t xml:space="preserve"> 
 </t>
    </r>
    <r>
      <rPr>
        <sz val="16"/>
        <rFont val="Limon S1"/>
      </rPr>
      <t xml:space="preserve"> </t>
    </r>
    <r>
      <rPr>
        <sz val="8"/>
        <rFont val="Arial"/>
        <family val="2"/>
      </rPr>
      <t>Loans and advances to customers</t>
    </r>
  </si>
  <si>
    <r>
      <t>5&gt;1&gt; crnþ</t>
    </r>
    <r>
      <rPr>
        <sz val="8"/>
        <rFont val="Arial"/>
        <family val="2"/>
      </rPr>
      <t xml:space="preserve"> Current</t>
    </r>
  </si>
  <si>
    <r>
      <t>5&gt;2&gt; \NTanmindMeNIrkar</t>
    </r>
    <r>
      <rPr>
        <sz val="16"/>
        <rFont val="Arial"/>
        <family val="2"/>
      </rPr>
      <t xml:space="preserve"> </t>
    </r>
    <r>
      <rPr>
        <sz val="8"/>
        <rFont val="Arial"/>
        <family val="2"/>
      </rPr>
      <t>Non performing **</t>
    </r>
  </si>
  <si>
    <r>
      <t>6&gt; RTBüsm,tþirwbGUsBIkUnbMNUl</t>
    </r>
    <r>
      <rPr>
        <sz val="8"/>
        <rFont val="Arial"/>
        <family val="2"/>
      </rPr>
      <t xml:space="preserve"> Properties foreclosed</t>
    </r>
  </si>
  <si>
    <r>
      <t>7&gt; epSg²</t>
    </r>
    <r>
      <rPr>
        <sz val="16"/>
        <rFont val="Arial"/>
        <family val="2"/>
      </rPr>
      <t xml:space="preserve"> </t>
    </r>
    <r>
      <rPr>
        <sz val="8"/>
        <rFont val="Arial"/>
        <family val="2"/>
      </rPr>
      <t>Others</t>
    </r>
  </si>
  <si>
    <r>
      <t xml:space="preserve">srub </t>
    </r>
    <r>
      <rPr>
        <b/>
        <sz val="8"/>
        <rFont val="Arial"/>
        <family val="2"/>
      </rPr>
      <t>TOTAL</t>
    </r>
  </si>
  <si>
    <r>
      <t>x&gt; RTBüGkmµ</t>
    </r>
    <r>
      <rPr>
        <b/>
        <sz val="12"/>
        <rFont val="Times New Roman"/>
        <family val="1"/>
      </rPr>
      <t xml:space="preserve">
</t>
    </r>
    <r>
      <rPr>
        <b/>
        <sz val="8"/>
        <rFont val="Arial"/>
        <family val="2"/>
      </rPr>
      <t>B.   LIABILITIES</t>
    </r>
  </si>
  <si>
    <r>
      <t xml:space="preserve">1&gt; R)ak;beBaØIr </t>
    </r>
    <r>
      <rPr>
        <sz val="8"/>
        <rFont val="Arial"/>
        <family val="2"/>
      </rPr>
      <t>Deposits</t>
    </r>
  </si>
  <si>
    <r>
      <t xml:space="preserve">1&gt;1&gt; R)ak;beBaØIrcrnþ </t>
    </r>
    <r>
      <rPr>
        <sz val="8"/>
        <rFont val="Arial"/>
        <family val="2"/>
      </rPr>
      <t>Demand deposits</t>
    </r>
  </si>
  <si>
    <r>
      <t xml:space="preserve">1&gt;2&gt; R)ak;beBaØIrmankalkMNt; </t>
    </r>
    <r>
      <rPr>
        <sz val="8"/>
        <rFont val="Arial"/>
        <family val="2"/>
      </rPr>
      <t>Time deposits</t>
    </r>
  </si>
  <si>
    <r>
      <t>2&gt; FnaKarCati</t>
    </r>
    <r>
      <rPr>
        <sz val="8"/>
        <rFont val="Arial"/>
        <family val="2"/>
      </rPr>
      <t xml:space="preserve"> NBC</t>
    </r>
  </si>
  <si>
    <r>
      <t>3&gt; bMNulGnþrFnaKar</t>
    </r>
    <r>
      <rPr>
        <sz val="8"/>
        <rFont val="Arial"/>
        <family val="2"/>
      </rPr>
      <t xml:space="preserve"> Interbank liabilities</t>
    </r>
  </si>
  <si>
    <r>
      <t>4&gt; mUlbR½te)aHpSay</t>
    </r>
    <r>
      <rPr>
        <sz val="8"/>
        <rFont val="Arial"/>
        <family val="2"/>
      </rPr>
      <t xml:space="preserve"> Securities issued</t>
    </r>
  </si>
  <si>
    <r>
      <t xml:space="preserve">5&gt; R)ak;km©I </t>
    </r>
    <r>
      <rPr>
        <sz val="8"/>
        <rFont val="Arial"/>
        <family val="2"/>
      </rPr>
      <t>Borrowings</t>
    </r>
  </si>
  <si>
    <r>
      <t>6&gt; epSg²</t>
    </r>
    <r>
      <rPr>
        <sz val="8"/>
        <rFont val="Arial"/>
        <family val="2"/>
      </rPr>
      <t xml:space="preserve"> Others</t>
    </r>
  </si>
  <si>
    <r>
      <t xml:space="preserve">7&gt; mUlniFiPaKTunik </t>
    </r>
    <r>
      <rPr>
        <sz val="8"/>
        <rFont val="Arial"/>
        <family val="2"/>
      </rPr>
      <t>Equity ***</t>
    </r>
  </si>
  <si>
    <r>
      <t xml:space="preserve">K&gt; KmøatkalkMNt; ¬k - x¦
</t>
    </r>
    <r>
      <rPr>
        <b/>
        <sz val="8"/>
        <rFont val="Arial"/>
        <family val="2"/>
      </rPr>
      <t>C.   MATURITY GAP (A - B)</t>
    </r>
  </si>
  <si>
    <r>
      <t xml:space="preserve">*   </t>
    </r>
    <r>
      <rPr>
        <sz val="14"/>
        <rFont val="Limon S1"/>
      </rPr>
      <t>ry³eBlenAsl;</t>
    </r>
    <r>
      <rPr>
        <sz val="16"/>
        <rFont val="Limon S1"/>
      </rPr>
      <t xml:space="preserve"> </t>
    </r>
    <r>
      <rPr>
        <sz val="7"/>
        <rFont val="Arial"/>
        <family val="2"/>
      </rPr>
      <t>Time to maturity</t>
    </r>
  </si>
  <si>
    <r>
      <t xml:space="preserve">**  </t>
    </r>
    <r>
      <rPr>
        <sz val="14"/>
        <rFont val="Limon S1"/>
      </rPr>
      <t xml:space="preserve">\NTanEdl)aneFVIcMNat;fñak;Ca\NTanmindMeNIIrkarRtUvraykarN_enAkñúgkUeLaneRcInCag5qñaM </t>
    </r>
    <r>
      <rPr>
        <sz val="5"/>
        <rFont val="Arial"/>
        <family val="2"/>
      </rPr>
      <t xml:space="preserve">
            </t>
    </r>
    <r>
      <rPr>
        <sz val="7"/>
        <rFont val="Arial"/>
        <family val="2"/>
      </rPr>
      <t>Loans classified as non-performing to be reported in &gt; 5 years maturity column or above</t>
    </r>
  </si>
  <si>
    <r>
      <t xml:space="preserve">*** </t>
    </r>
    <r>
      <rPr>
        <sz val="14"/>
        <rFont val="Limon S1"/>
      </rPr>
      <t>mUlniFiPaKTunikRtUvraykarN_kñúgkUeLaneRcInCag10qñaM</t>
    </r>
    <r>
      <rPr>
        <sz val="16"/>
        <rFont val="Limon S1"/>
      </rPr>
      <t xml:space="preserve"> </t>
    </r>
    <r>
      <rPr>
        <sz val="7"/>
        <rFont val="Arial"/>
        <family val="2"/>
      </rPr>
      <t>Equity accounts shall be recorded in &gt; 10 years column</t>
    </r>
  </si>
  <si>
    <t>របាយការណ៏ប្រចាំខែសី្តពី ការគណនាមូលនិធិផ្ទាល់សុទ្ធ</t>
  </si>
  <si>
    <t>MONTHLY REPORT ON NET WORTH CALCULATION</t>
  </si>
  <si>
    <t>កាលបរិច្ឆេទ:</t>
  </si>
  <si>
    <r>
      <t>ឈ្មោះធនាគារ</t>
    </r>
    <r>
      <rPr>
        <b/>
        <sz val="11"/>
        <color indexed="8"/>
        <rFont val="Khmer OS Battambang"/>
      </rPr>
      <t>:</t>
    </r>
  </si>
  <si>
    <t>XXXXXXXXXXXXXXXX</t>
  </si>
  <si>
    <r>
      <t>BANK</t>
    </r>
    <r>
      <rPr>
        <b/>
        <sz val="11"/>
        <color indexed="8"/>
        <rFont val="Khmer OS Battambang"/>
      </rPr>
      <t>:</t>
    </r>
  </si>
  <si>
    <t>អត្រាប្តូរប្រាក់ Exchange rate:</t>
  </si>
  <si>
    <t>ចំនួនប្រាក់ជាដុល្លាអាមេរិក (X១,០០០)</t>
  </si>
  <si>
    <t>ចំនួនប្រាក់ជារៀល (X១,០០០,០០០)</t>
  </si>
  <si>
    <t>in USD (x1,000)</t>
  </si>
  <si>
    <t>in KHR (x1,000,000)</t>
  </si>
  <si>
    <r>
      <t>ដើមទុនថ្នាក់ទី១:  (ដើមទុនស្នូល)</t>
    </r>
    <r>
      <rPr>
        <b/>
        <sz val="10"/>
        <color indexed="8"/>
        <rFont val="Khmer OS Battambang"/>
      </rPr>
      <t xml:space="preserve"> Tier 1: (Core Capital)</t>
    </r>
  </si>
  <si>
    <t>​</t>
  </si>
  <si>
    <r>
      <t>I. សរុបរង​ A (ខ្ទង់ត្រូវបូក)</t>
    </r>
    <r>
      <rPr>
        <sz val="10"/>
        <color indexed="8"/>
        <rFont val="Calibri"/>
        <family val="2"/>
      </rPr>
      <t xml:space="preserve"> Sub-Total A</t>
    </r>
  </si>
  <si>
    <t>+</t>
  </si>
  <si>
    <t>ដើមទុន ឬទាយជ្ជទានដែលបានបង់ Paid-in Capital/ Capital endowment</t>
  </si>
  <si>
    <t>ទុនបម្រុង (មិនមែនជាទុនបម្រុងដែលបានវាយតម្លៃឡើងវិញ) Reserves (other then revaluation reserves)</t>
  </si>
  <si>
    <t>ប្រាក់ចំណេញសុទ្ធដែលត្រូវបានធ្វើសវនកម្មរួចហើយ (ឆ្នាំហិរញ្ញវត្ថុកន្លងទៅ) Audited Net Profit (last financial year)</t>
  </si>
  <si>
    <t>ប្រាក់ចំណេញរក្សាទុក Retained Earnings</t>
  </si>
  <si>
    <t>ខ្ទង់ដទៃទៀត (រៀបរាប់លំអិត ​និងមានការយល់ព្រមជាមុនពីធនាគារជាតិនៃកម្ពុជា)</t>
  </si>
  <si>
    <t>Other Items (to be detailed and supported by and NBC approval to be referred to)</t>
  </si>
  <si>
    <t>១. សេចក្តីយោងនិងការអនុញ្ញាតរបស់ធនាគារជាតិនៃកម្ពុជា Provide reference of NBC's authority/approval</t>
  </si>
  <si>
    <t>២. សេចក្តីយោងនិងការអនុញ្ញាតរបស់ធនាគារជាតិនៃកម្ពុជា ។ល។ Provide reference of NBC's authority/approval</t>
  </si>
  <si>
    <r>
      <t>សរុបរង A</t>
    </r>
    <r>
      <rPr>
        <b/>
        <sz val="10"/>
        <color indexed="8"/>
        <rFont val="Khmer OS Battambang"/>
      </rPr>
      <t xml:space="preserve"> Sub-Total A</t>
    </r>
  </si>
  <si>
    <t>កម្រិតកំណត់លើប្រាក់ចំណេញរក្សាទុក Limited check on Retained Earnings</t>
  </si>
  <si>
    <t>(អតិបរមា២០% នៃសរុបរង A) (max. 20% of Sub-Total A)</t>
  </si>
  <si>
    <t>(in %)</t>
  </si>
  <si>
    <t>II. សរុបរង B: (ខ្ទង់ ត្រូវដក) II-Sub-Total B (Deduction)</t>
  </si>
  <si>
    <t>ភាគហ៊ុនផ្ទាល់ដែលកាន់កាប់ដោយធនាគារ (តាមតម្លៃចុះបញ្ជី) Own Shares Held (at Book Value)</t>
  </si>
  <si>
    <t>ការខាតបង្គរ Accumulated Losses</t>
  </si>
  <si>
    <t>ទ្រព្យសកម្មអរូបីដែលត្រូវដកចេញ Intangible Assets to be Deducted</t>
  </si>
  <si>
    <t>ចំពោះភាគទុនិក គណៈនាយក និងភាគីសម្ព័ន្ធញ្ញាតិ (ដកចេញ) Shareholders, Directors, Related Parties (Deduct)</t>
  </si>
  <si>
    <t>១. ចំណែកដើមទុន ឬទាយជ្ជទាន ដែលមិនទាន់បានបង់ (a) Unpaid Portion (s) of capital (a)</t>
  </si>
  <si>
    <t>២. ប្រាក់កម្ចី ឥណទានវិបារូបន៍ និងបុរេប្រទាន (b) Loans, overdrafts and other advances (b)</t>
  </si>
  <si>
    <t>៣. ឧបករណ៍បំណុលដែលកាន់កាប់ដោយធនាគារដែលមានហត្ថលេខារបស់ភាគទុនិក គណៈនាយក និងភាគីសម្ព័ន្ធញ្ញាតិ (c)</t>
  </si>
  <si>
    <t>Debt instruments held bearing signature of shareholders, directors, related parties ©</t>
  </si>
  <si>
    <t>ការខាតផ្សេងៗ Other Loss(ES)</t>
  </si>
  <si>
    <t>ធាតុ (a), (b) និង ( c) ត្រូវរាយការណ៍លម្អិតក្នុងរបាយការណ៍ដាច់ដោយឡែក</t>
  </si>
  <si>
    <t>(a), (b), and © to be itimized in an attachment</t>
  </si>
  <si>
    <t>សរុបរង B</t>
  </si>
  <si>
    <t xml:space="preserve">សរុបដើមទុនថ្នាក់ទី១ (ដើមទុនស្នូល) = សរុបរង A - សរុបរង B Total Tier 1 (Core Capital) (A) - (B) </t>
  </si>
  <si>
    <t>ដើមទុនថ្នាក់ទី២:  (ដើមទុនបំពេញបន្ថែម) Tier 2: (Complementary Capital)</t>
  </si>
  <si>
    <t>III. សរុបរង C: (ខ្ទង់ ត្រូវបូក ) Sub-Total C</t>
  </si>
  <si>
    <t>ការវាយតមៃ្លទុនបំរុងឡើងវិញ (ដោយមានការយល់ព្រមជាមុនពីធនាគារជាតិនៃកម្ពុជា)</t>
  </si>
  <si>
    <t>Reevaluation Reserves (NBC's Approval ref.)</t>
  </si>
  <si>
    <t>សំវិធានធនសម្រាប់ហានិភ័យទូទៅរបស់ធនាគារ (ដោយមានការយល់ព្រមជាមុនពីធនាគារជាតិនៃកម្ពុជា)</t>
  </si>
  <si>
    <t>Provisions for general banking risks (NBC's Approval ref.)</t>
  </si>
  <si>
    <t>សំវិធានធនទូទៅ១% (ប្រកាសស្តីពីការធ្វើចំណាត់ថ្នាក់ និងសំវិធានធនលើទ្រព្យសកម្មរបស់គ្រឹះស្ថានធនាគារ</t>
  </si>
  <si>
    <r>
      <rPr>
        <b/>
        <sz val="10"/>
        <color indexed="8"/>
        <rFont val="Khmer OS Battambang"/>
      </rPr>
      <t xml:space="preserve">និងហិរញ្ញវត្ថុ) </t>
    </r>
    <r>
      <rPr>
        <sz val="10"/>
        <color indexed="8"/>
        <rFont val="Khmer OS Battambang"/>
      </rPr>
      <t>1% General Provision (Prakas on Asset Class)</t>
    </r>
  </si>
  <si>
    <t>ឧបករណ៍បំណុលបន្ទាប់បន្សំ (ត្រូវបំពេញឲ្យតាមលក្ខខណ្ឌ ដូចមានចែងក្នុងប្រការ៧)</t>
  </si>
  <si>
    <t>Subordinated Debt Instruments (Provided complying with condition set forth in article 7)</t>
  </si>
  <si>
    <t>ខ្ទង់ដទៃទៀត (ត្រូវរៀបរាប់លំអិត ​និងមានការយល់ព្រមជាមុនពីធនាគារជាតិនៃកម្ពុជា)</t>
  </si>
  <si>
    <t>Other Items (to be detailed and supported)</t>
  </si>
  <si>
    <t>សរុបរង C</t>
  </si>
  <si>
    <t>កម្រិតកំណត់លើបំណុលបន្ទាប់បន្សំ (អតិបរមា៥០% នៃដើមទុនថ្នាក់ទីមួយ )</t>
  </si>
  <si>
    <t>Limit check on subordinated debt (max. 50% of Tier 1 Capital)</t>
  </si>
  <si>
    <t>IV. សរុបរង D (ដើមទុនថា្នក់ទី២,​ ខ្ទង់ត្រូវដក) Sub-Total D (Tier 2, Deductions)</t>
  </si>
  <si>
    <t>ការចូលភាគកម្មតាមតម្លៃសុទ្ធចុះបញ្ជីក្នុងគ្រឹះស្ថានធនាគារ ឬហិរញ្ញវត្ថុ Equity Participations Bank &amp; Fin. Instit.</t>
  </si>
  <si>
    <t>ខ្ទង់ផ្សេងទៀត ដូចជាបន្ទុកចំណាយដែលត្រូវបង់ Other Items to be Deducted (def. Charg.,…)</t>
  </si>
  <si>
    <t>សរុបរង D</t>
  </si>
  <si>
    <t>សរុបដើមទុនថា្នក់ទី2  (ដើមទុនត្រូវបំពេញ) (C) - (D) Total Teir 2 (Compl. Capital) ( C) - (D)</t>
  </si>
  <si>
    <t>កម្រិតលើដើមទុនថា្នក់ទី២ (ដើមទុនថា្នក់ទី2 = អតិបរមា ១០០ % នៃដើមទុនថា្នក់ទី១)</t>
  </si>
  <si>
    <t>Limit check on Tier 2 Capital (Teir 2 = max. 100% of Tier 1)</t>
  </si>
  <si>
    <t>ការគណនាមូលនិធិផា្ទល់សុទ្ធ [(A) - (B) + (C) - (D)] Regulation Net Worth [(A)-(B)+( C)-(D)]</t>
  </si>
  <si>
    <t xml:space="preserve">ភ្នំពេញ, ថ្ងៃទី         ខែ           ឆ្នាំ              </t>
  </si>
  <si>
    <t>Reporting Date: Phnom Penh……………..</t>
  </si>
  <si>
    <t xml:space="preserve">         Prepared By</t>
  </si>
  <si>
    <t>Others</t>
  </si>
  <si>
    <t>របាយការណ៏ប្រចាំខែសី្តពី លាភការរបស់គណៈគ្រប់គ្រង</t>
  </si>
  <si>
    <r>
      <t>kalbriecäT</t>
    </r>
    <r>
      <rPr>
        <sz val="18"/>
        <rFont val="Limon R1"/>
      </rPr>
      <t xml:space="preserve"> </t>
    </r>
    <r>
      <rPr>
        <sz val="14"/>
        <rFont val="Times New Roman"/>
        <family val="1"/>
      </rPr>
      <t xml:space="preserve">: As at : </t>
    </r>
  </si>
  <si>
    <t xml:space="preserve">eQµaHFnaKar ³ </t>
  </si>
  <si>
    <t>អត្រាប្តូរប្រាក់ៈ</t>
  </si>
  <si>
    <t>រៀល/ដុលា្លរអាមេរិក</t>
  </si>
  <si>
    <t>ឯកតាជាលានរៀល</t>
  </si>
  <si>
    <t>BANK'S NAME :</t>
  </si>
  <si>
    <r>
      <t>Board and Executive Leve </t>
    </r>
    <r>
      <rPr>
        <b/>
        <sz val="9"/>
        <color indexed="8"/>
        <rFont val="Calibri"/>
        <family val="2"/>
      </rPr>
      <t>ក្រុមប្រឹក្សាភិបាល និង គណៈនាយក</t>
    </r>
  </si>
  <si>
    <r>
      <t>Ownership Interest in Bank</t>
    </r>
    <r>
      <rPr>
        <b/>
        <sz val="8"/>
        <color indexed="8"/>
        <rFont val="Calibri"/>
        <family val="2"/>
      </rPr>
      <t>​ អត្ថប្រយោជន៏ពីកម្មសិទិ្ធធនាគារ</t>
    </r>
  </si>
  <si>
    <r>
      <t>Monthly Salary Based </t>
    </r>
    <r>
      <rPr>
        <b/>
        <sz val="9"/>
        <color indexed="8"/>
        <rFont val="Calibri"/>
        <family val="2"/>
      </rPr>
      <t>ប្រាក់បៀរវត្សប្រចាំខែ</t>
    </r>
  </si>
  <si>
    <r>
      <t>Benefit </t>
    </r>
    <r>
      <rPr>
        <b/>
        <sz val="9"/>
        <color indexed="8"/>
        <rFont val="Calibri"/>
        <family val="2"/>
      </rPr>
      <t>អត្ថប្រយោជន៏</t>
    </r>
  </si>
  <si>
    <r>
      <t>Performance Bonus </t>
    </r>
    <r>
      <rPr>
        <b/>
        <sz val="9"/>
        <color indexed="8"/>
        <rFont val="Calibri"/>
        <family val="2"/>
      </rPr>
      <t>ប្រាក់ឧបត្ថម្ភ</t>
    </r>
  </si>
  <si>
    <r>
      <t>Date Applied to this position </t>
    </r>
    <r>
      <rPr>
        <b/>
        <sz val="9"/>
        <color indexed="8"/>
        <rFont val="Calibri"/>
        <family val="2"/>
      </rPr>
      <t>កាលបរិចេ្ឆទចូលកាន់តួនាទី</t>
    </r>
  </si>
  <si>
    <r>
      <t>Remark </t>
    </r>
    <r>
      <rPr>
        <b/>
        <sz val="9"/>
        <color indexed="8"/>
        <rFont val="Calibri"/>
        <family val="2"/>
      </rPr>
      <t>កំណត់ចំណាំ</t>
    </r>
  </si>
  <si>
    <r>
      <t>Type </t>
    </r>
    <r>
      <rPr>
        <b/>
        <sz val="9"/>
        <color indexed="8"/>
        <rFont val="Calibri"/>
        <family val="2"/>
      </rPr>
      <t>ប្រភេទ</t>
    </r>
  </si>
  <si>
    <r>
      <t>Amount </t>
    </r>
    <r>
      <rPr>
        <b/>
        <sz val="9"/>
        <color indexed="8"/>
        <rFont val="Calibri"/>
        <family val="2"/>
      </rPr>
      <t>ចំនួន</t>
    </r>
  </si>
  <si>
    <r>
      <t>Staff Level:​</t>
    </r>
    <r>
      <rPr>
        <b/>
        <sz val="11"/>
        <color indexed="8"/>
        <rFont val="Calibri"/>
        <family val="2"/>
      </rPr>
      <t>  </t>
    </r>
    <r>
      <rPr>
        <b/>
        <sz val="9"/>
        <color indexed="8"/>
        <rFont val="Calibri"/>
        <family val="2"/>
      </rPr>
      <t>កម្រិតបុគ្គលិក</t>
    </r>
  </si>
  <si>
    <r>
      <t>Number </t>
    </r>
    <r>
      <rPr>
        <b/>
        <sz val="9"/>
        <color indexed="8"/>
        <rFont val="Calibri"/>
        <family val="2"/>
      </rPr>
      <t>ចំនួន</t>
    </r>
  </si>
  <si>
    <r>
      <t>Male </t>
    </r>
    <r>
      <rPr>
        <b/>
        <sz val="9"/>
        <color indexed="8"/>
        <rFont val="Calibri"/>
        <family val="2"/>
      </rPr>
      <t>បុរស</t>
    </r>
  </si>
  <si>
    <r>
      <t>Female </t>
    </r>
    <r>
      <rPr>
        <b/>
        <sz val="9"/>
        <color indexed="8"/>
        <rFont val="Calibri"/>
        <family val="2"/>
      </rPr>
      <t>ស្រ្តី</t>
    </r>
  </si>
  <si>
    <r>
      <t xml:space="preserve">Other </t>
    </r>
    <r>
      <rPr>
        <b/>
        <sz val="9"/>
        <color indexed="8"/>
        <rFont val="Calibri"/>
        <family val="2"/>
      </rPr>
      <t>ផ្សេងៗ</t>
    </r>
  </si>
  <si>
    <t>កំណត់ចំណាំ៖ </t>
  </si>
  <si>
    <t xml:space="preserve">  PñMeBj éf¶TI      Ex      qñaM </t>
  </si>
  <si>
    <t>* សិទិ្ធសម្រេច ឫ ប្រាក់បៀរវត្ស មានលក្ខណៈប្រហាក់ប្រហែលនិងគណៈនាយកគ្រប់គ្រង</t>
  </si>
  <si>
    <t>* authority or salary similar to Executive Management</t>
  </si>
  <si>
    <t xml:space="preserve">  Phnom Penh: </t>
  </si>
  <si>
    <t>GKÁnayk¼nayk</t>
  </si>
  <si>
    <t>GñkeFIVtarag</t>
  </si>
  <si>
    <t>Genaral Manager/Manager</t>
  </si>
  <si>
    <t xml:space="preserve"> Verified by</t>
  </si>
  <si>
    <t xml:space="preserve"> </t>
  </si>
  <si>
    <t>MONTHLY REPORT ON REMUNERATION OF MANAGEMENT</t>
  </si>
  <si>
    <r>
      <t>1-  Senior Staffs  </t>
    </r>
    <r>
      <rPr>
        <b/>
        <sz val="9"/>
        <color indexed="8"/>
        <rFont val="Calibri"/>
        <family val="2"/>
      </rPr>
      <t>បុគ្គលិកជាន់ខ្ពស់</t>
    </r>
  </si>
  <si>
    <r>
      <t>2-  Junior Staffs</t>
    </r>
    <r>
      <rPr>
        <b/>
        <sz val="9"/>
        <color indexed="8"/>
        <rFont val="Calibri"/>
        <family val="2"/>
      </rPr>
      <t> បុគ្គលិក</t>
    </r>
  </si>
  <si>
    <r>
      <t>3-  Clerks </t>
    </r>
    <r>
      <rPr>
        <b/>
        <sz val="9"/>
        <color indexed="8"/>
        <rFont val="Calibri"/>
        <family val="2"/>
      </rPr>
      <t>ភា្នក់ងារ</t>
    </r>
  </si>
  <si>
    <t>ឥណទានរៀបចំឡើងវិញ</t>
  </si>
  <si>
    <t>Restructured Loan</t>
  </si>
  <si>
    <t>របាយការណ៍ប្រចាំខែស្តីពី​ ឥណទានចំពោះសម្ព័ន្ធញ្ញាតិ​</t>
  </si>
  <si>
    <t>MONTHLY REPORT ON LOANS TO RELATED PARTIES</t>
  </si>
  <si>
    <t xml:space="preserve"> ទំរង់ Form: C-LC-1-M</t>
  </si>
  <si>
    <t xml:space="preserve"> ទំរង់ Form: C-LC-2-M</t>
  </si>
  <si>
    <t xml:space="preserve"> ទំរង់ Form: C-CE-M</t>
  </si>
  <si>
    <t xml:space="preserve"> ទំរង់ Form: D-TD20-M</t>
  </si>
  <si>
    <t xml:space="preserve"> ទំរង់ Form: D-DTC-M</t>
  </si>
  <si>
    <t xml:space="preserve"> ទំរង់ Form: D-DTM-M</t>
  </si>
  <si>
    <t xml:space="preserve"> ទំរង់ Form: P-SFL-M</t>
  </si>
  <si>
    <t xml:space="preserve"> ទំរង់ Form: I-NAL-M</t>
  </si>
  <si>
    <t xml:space="preserve"> ទំរង់ Form: P-FP-M</t>
  </si>
  <si>
    <t>ទំរង់ Form: P-SOL-M</t>
  </si>
  <si>
    <t xml:space="preserve"> ទំរង់ Form: P-NW-M</t>
  </si>
  <si>
    <t>ទំរង់ Form: P-NOP-M</t>
  </si>
  <si>
    <t xml:space="preserve"> ទំរង់ Form: I-WI-M</t>
  </si>
  <si>
    <t xml:space="preserve"> ទំរង់ Form: I-MP-M</t>
  </si>
  <si>
    <r>
      <rPr>
        <sz val="10"/>
        <color indexed="8"/>
        <rFont val="Calibri"/>
        <family val="2"/>
      </rPr>
      <t>ទំរង់</t>
    </r>
    <r>
      <rPr>
        <sz val="10"/>
        <rFont val="Arial"/>
        <family val="2"/>
      </rPr>
      <t xml:space="preserve"> Form: I-RM-M</t>
    </r>
  </si>
  <si>
    <t xml:space="preserve"> ទំរង់ Form: I-ISG-M</t>
  </si>
  <si>
    <t>ទំរង់ Form: P-LE-M</t>
  </si>
  <si>
    <t>ទំរង់ Form: P-LRP-M</t>
  </si>
  <si>
    <t>ឥណទានឃាំ្លមើល</t>
  </si>
  <si>
    <t>ឥណទានស្តង់ដា</t>
  </si>
  <si>
    <t>Standard Loan</t>
  </si>
  <si>
    <t>ឥណទានក្រោមស្តង់ដា</t>
  </si>
  <si>
    <t>Substandard Loan</t>
  </si>
  <si>
    <t>Doubtful Loan</t>
  </si>
  <si>
    <t>ឥណទានសង្ស័យ</t>
  </si>
  <si>
    <t>ឥណទានខាតបង់</t>
  </si>
  <si>
    <t>Loss Loan</t>
  </si>
  <si>
    <r>
      <t xml:space="preserve">កាលអវសាន្ត </t>
    </r>
    <r>
      <rPr>
        <sz val="10"/>
        <rFont val="Arial"/>
        <family val="2"/>
      </rPr>
      <t>Maturity Date</t>
    </r>
  </si>
  <si>
    <t>ក្នុងនោះមានឥណទានរៀបចំឡើងវិញ</t>
  </si>
  <si>
    <t>របាយការណ៏ប្រចាំខែសី្តពី រូបិយវត្ថុ និងប្រតិបតិ្តការទីផ្សារអន្តរធនាគារ</t>
  </si>
  <si>
    <t>MONTHLY REPORT ON MONEY AND INTERBANK MARKET TRANSACTION</t>
  </si>
  <si>
    <t>ទំរង់ Form: I-MI-M</t>
  </si>
  <si>
    <t>Financial Institution</t>
  </si>
  <si>
    <t>Assets/ទ្រព្យសកម្ម</t>
  </si>
  <si>
    <t>Liabilities</t>
  </si>
  <si>
    <t>Outstanding</t>
  </si>
  <si>
    <t>Type *</t>
  </si>
  <si>
    <t>ស្ថាប័នហិរញ្ញវត្ថុ</t>
  </si>
  <si>
    <t>ឥណប្រតិទាន</t>
  </si>
  <si>
    <t>Banks</t>
  </si>
  <si>
    <t>ធនាគារ</t>
  </si>
  <si>
    <t>Security Firms</t>
  </si>
  <si>
    <t>ក្រុមហ៊ុនមូលប័ត្រ</t>
  </si>
  <si>
    <t>Insurance</t>
  </si>
  <si>
    <t>ក្រុមហ៊ុនធានារ៉ាប់រង</t>
  </si>
  <si>
    <t>Other​ Fis</t>
  </si>
  <si>
    <t>ស្ថាប័នហិរញ្ញវត្ថុផ្សេងទៀត</t>
  </si>
  <si>
    <t>កំណត់សំគាល់</t>
  </si>
  <si>
    <t>ប្រភេទ រួមមានដូចជាៈ</t>
  </si>
  <si>
    <t>Type includes:</t>
  </si>
  <si>
    <t>១-</t>
  </si>
  <si>
    <t>ប្រាក់បញ្ញើ</t>
  </si>
  <si>
    <t>Deposit</t>
  </si>
  <si>
    <t>២-</t>
  </si>
  <si>
    <t>មូលនិធិកម្ចី</t>
  </si>
  <si>
    <t>Borrowing Fund</t>
  </si>
  <si>
    <t>៣-</t>
  </si>
  <si>
    <t>កម្ចីអន្តរធនាគារ</t>
  </si>
  <si>
    <t>Interbank Loan</t>
  </si>
  <si>
    <t>៤-</t>
  </si>
  <si>
    <t>កិច្ចសន្យានៃតារាងក្រៅតុល្យការ</t>
  </si>
  <si>
    <t>OBS Exposures</t>
  </si>
  <si>
    <t>៥-</t>
  </si>
  <si>
    <t>កម្ចីអន្តរទីផ្សាររូបិយវត្ថុ</t>
  </si>
  <si>
    <t>Money Market</t>
  </si>
  <si>
    <t>៦-</t>
  </si>
  <si>
    <t>ឧបករណ៏និស្សន្ទ៍</t>
  </si>
  <si>
    <t>Derivative</t>
  </si>
  <si>
    <t>៧-</t>
  </si>
  <si>
    <t>ផ្សេងៗ</t>
  </si>
  <si>
    <r>
      <t xml:space="preserve">សរុប Total ( </t>
    </r>
    <r>
      <rPr>
        <b/>
        <sz val="9"/>
        <rFont val="Times New Roman"/>
        <family val="1"/>
      </rPr>
      <t xml:space="preserve">I </t>
    </r>
    <r>
      <rPr>
        <b/>
        <sz val="9"/>
        <rFont val="Arial"/>
        <family val="2"/>
      </rPr>
      <t>)</t>
    </r>
  </si>
  <si>
    <t>Provision validation: has to be over or euqal  Outstanding loan * 3%</t>
  </si>
  <si>
    <t xml:space="preserve"> អត្រាប្តូរប្រាក់ :</t>
  </si>
  <si>
    <t xml:space="preserve">អត្រាប្តូរប្រាក់ : </t>
  </si>
  <si>
    <t>Balance in USD</t>
  </si>
  <si>
    <t xml:space="preserve">      អត្រាប្តូរប្រាក់​ : </t>
  </si>
  <si>
    <t xml:space="preserve">Exchange Rate: </t>
  </si>
  <si>
    <r>
      <t>ប្រភេទ</t>
    </r>
    <r>
      <rPr>
        <sz val="9"/>
        <rFont val="Arial"/>
        <family val="2"/>
      </rPr>
      <t>*</t>
    </r>
    <r>
      <rPr>
        <b/>
        <sz val="9"/>
        <rFont val="Arial"/>
        <family val="2"/>
      </rPr>
      <t>ឥណទាន</t>
    </r>
    <r>
      <rPr>
        <sz val="9"/>
        <rFont val="Arial"/>
        <family val="2"/>
      </rPr>
      <t xml:space="preserve"> </t>
    </r>
    <r>
      <rPr>
        <sz val="10"/>
        <rFont val="Arial"/>
        <family val="2"/>
      </rPr>
      <t>Type of Loan</t>
    </r>
  </si>
  <si>
    <t xml:space="preserve">(6) </t>
  </si>
  <si>
    <t>(8) = (6)+(7)</t>
  </si>
  <si>
    <t>(10) = (8)*(9)</t>
  </si>
  <si>
    <t>(11) = (10)/NW</t>
  </si>
  <si>
    <t>(12)</t>
  </si>
  <si>
    <t>(13) = (11)-(12)</t>
  </si>
  <si>
    <t>(14)</t>
  </si>
  <si>
    <t>* Type of Loan:</t>
  </si>
  <si>
    <t>1-Overdraft</t>
  </si>
  <si>
    <t>2-Term Loan</t>
  </si>
  <si>
    <t>3-Trust Receipt</t>
  </si>
  <si>
    <t>4-Bill of Exchange</t>
  </si>
  <si>
    <t>5-Financing Commitment</t>
  </si>
  <si>
    <t>6-Guarantee</t>
  </si>
  <si>
    <t>7-Others</t>
  </si>
  <si>
    <t>របាយការណ៏ប្រចាំខែសី្តពី ទ្រព្យសកម្ម និងទ្រព្យអកម្ម</t>
  </si>
  <si>
    <t>MONTHLY REPORT ON BALANCE SHEET</t>
  </si>
  <si>
    <r>
      <t>kalbriecäT</t>
    </r>
    <r>
      <rPr>
        <sz val="18"/>
        <rFont val="Limon R1"/>
      </rPr>
      <t xml:space="preserve"> </t>
    </r>
    <r>
      <rPr>
        <sz val="14"/>
        <rFont val="Times New Roman"/>
        <family val="1"/>
      </rPr>
      <t xml:space="preserve">: As of : </t>
    </r>
  </si>
  <si>
    <r>
      <t xml:space="preserve">GRtabþÚrkñúg 1 duløarGaemrik </t>
    </r>
    <r>
      <rPr>
        <sz val="11"/>
        <rFont val="Times New Roman"/>
        <family val="1"/>
      </rPr>
      <t xml:space="preserve">(Exchange Rate 1 USD) = </t>
    </r>
  </si>
  <si>
    <t>KitCalanerol</t>
  </si>
  <si>
    <t>(In Million Riels)</t>
  </si>
  <si>
    <t>RTBüskmµ</t>
  </si>
  <si>
    <t>smtulüdulCa erol b¤ KitCaerol</t>
  </si>
  <si>
    <t>sMviFanFn nig rMls; RtUvdkecj</t>
  </si>
  <si>
    <t>smtulüsuT§bnÞab;BIdkecjsMviFanFn nig rMls;</t>
  </si>
  <si>
    <t>Net Amount After Deduction of Provision and Depreciation</t>
  </si>
  <si>
    <t>ASSETS</t>
  </si>
  <si>
    <t>Gross Amount in Riel or Translation in Riels</t>
  </si>
  <si>
    <t>Provision and Depreciation to be Deducted</t>
  </si>
  <si>
    <t>erol</t>
  </si>
  <si>
    <t>rUbiyb½NÑepSg² KitCaerol</t>
  </si>
  <si>
    <t>srubCaerol</t>
  </si>
  <si>
    <t>Riels (KHR)</t>
  </si>
  <si>
    <t>Other Currencies Translated in KHR</t>
  </si>
  <si>
    <t>Total in KHR</t>
  </si>
  <si>
    <t>5 = 1 - 2 = 3 + 4</t>
  </si>
  <si>
    <t>1- sac;R)ak;/ eGayx©Icgkar/ R)ak;beBaØIenAFnaKarCatiénkm&lt;úCanigbNþa FnaKarBaNiC¢</t>
  </si>
  <si>
    <t>Cash, Loan, Deposit with NBC and Banks</t>
  </si>
  <si>
    <t>1.1</t>
  </si>
  <si>
    <t>P1.1</t>
  </si>
  <si>
    <t>1&gt;1&gt; sac;R)ak;¬Caerol b¤ rUbiyb½NÑ¦ enAkñúgéd</t>
  </si>
  <si>
    <t>1.1 Cash (Riel or Foreign Currencies) on Hand</t>
  </si>
  <si>
    <t>1.2</t>
  </si>
  <si>
    <t>P1.2</t>
  </si>
  <si>
    <t>1&gt;2&gt; mas</t>
  </si>
  <si>
    <t>1.2  Gold</t>
  </si>
  <si>
    <t>1.3</t>
  </si>
  <si>
    <t>P1.3</t>
  </si>
  <si>
    <t>1&gt;3&gt; FnaKarCatiénkm&lt;úCa</t>
  </si>
  <si>
    <t xml:space="preserve"> 1.3. NBC</t>
  </si>
  <si>
    <t>1.3.1</t>
  </si>
  <si>
    <t>P1.3.1</t>
  </si>
  <si>
    <t>1&gt;3&gt;1&gt; R)ak;beBaØIenAFnaKarCatiénkm&lt;úCa</t>
  </si>
  <si>
    <t xml:space="preserve"> 1.3.1. Deposits with NBC</t>
  </si>
  <si>
    <t>1.3.1.1</t>
  </si>
  <si>
    <t>P1.3.1.1</t>
  </si>
  <si>
    <t>1&gt;3&gt;1&gt;1&gt; R)ak;FanaelIedImTun</t>
  </si>
  <si>
    <t>1.3.1.1. Capital Guarantee Deposits</t>
  </si>
  <si>
    <t>1.3.1.2</t>
  </si>
  <si>
    <t>P1.3.1.2</t>
  </si>
  <si>
    <t>1&gt;3&gt;1&gt;2&gt; R)ak;bMrugkatBVkic©</t>
  </si>
  <si>
    <t>1.3.1.2. Reserve Requirement</t>
  </si>
  <si>
    <t>1.3.1.3</t>
  </si>
  <si>
    <t>P1.3.1.3</t>
  </si>
  <si>
    <t>1&gt;3&gt;1&gt;3&gt; R)ak;beBaØIepSg²</t>
  </si>
  <si>
    <t>1.3.1.3. Other Deposits</t>
  </si>
  <si>
    <t>1.3.2</t>
  </si>
  <si>
    <t>P1.3.2</t>
  </si>
  <si>
    <t>1&gt;3&gt;2&gt; RTBüskmµepSg²Tak;TgnwgFnaKarCatiénkm&lt;úCa</t>
  </si>
  <si>
    <t>1.3.2. Other Assets Related to NBC</t>
  </si>
  <si>
    <t>1.4</t>
  </si>
  <si>
    <t>P1.4</t>
  </si>
  <si>
    <t>1&gt;4&gt; R)ak;CMBak;rbs;FnaKarepSg²</t>
  </si>
  <si>
    <t>1.4. Due from Banks</t>
  </si>
  <si>
    <t>1.4.1</t>
  </si>
  <si>
    <t>P1.4.1</t>
  </si>
  <si>
    <t>1&gt;4&gt;1&gt; bNþaFnaKarRbtiRsutkñúgRbeTskm&lt;úCa ¬nievsCn¦</t>
  </si>
  <si>
    <t>1.4.1. Banks Authorize in Cambodia (Residents)</t>
  </si>
  <si>
    <t>1.4.2</t>
  </si>
  <si>
    <t>P.1.4.2</t>
  </si>
  <si>
    <t>1&gt;4&gt;2&gt; bNþaFnaKarRbtiRsutenAeRkARbeTskm&lt;úCa ¬GnievsCn¦</t>
  </si>
  <si>
    <t>1.4.2. Banks Authorize outside Cambodia (Non Residents)</t>
  </si>
  <si>
    <t>1.5</t>
  </si>
  <si>
    <t>P1.5</t>
  </si>
  <si>
    <t>1&gt;5&gt; R)ak;beBaØI/ eGayx©Icgkar nigbuerRbTancMeBaHFnaKarepSg²</t>
  </si>
  <si>
    <t>1.5. Deposits with, Loan, and Advance to Banks</t>
  </si>
  <si>
    <t>1.5.1</t>
  </si>
  <si>
    <t>P1.5.1</t>
  </si>
  <si>
    <t>1&gt;5&gt;1&gt; bNþaFnaKarRbtiRsutkñúgRbeTskm&lt;úCa ¬nievsCn¦</t>
  </si>
  <si>
    <t>1.5.1. Banks Authorize in Cambodia (Residents)</t>
  </si>
  <si>
    <t>1.5.1.1</t>
  </si>
  <si>
    <t>P1.5.1.1</t>
  </si>
  <si>
    <t>1&gt;5&gt;1&gt;1&gt; R)ak;beBaØIenAFnaKarepSg²</t>
  </si>
  <si>
    <t>1.5.1.1. Deposits with Banks</t>
  </si>
  <si>
    <t>1.5.1.2</t>
  </si>
  <si>
    <t>P1.5.1.2</t>
  </si>
  <si>
    <t>1&gt;5&gt;1&gt;2&gt; eGayx©IcgkarnigbuerRbTancMeBaHFnaKarepSg²</t>
  </si>
  <si>
    <t>1.5.1.2. Loans and Advances to Banks</t>
  </si>
  <si>
    <t>1.5.1.3</t>
  </si>
  <si>
    <t>P1.5.1.3</t>
  </si>
  <si>
    <t>1&gt;5&gt;1&gt;3&gt; karR)ak;bgÁrRtUvTTYl</t>
  </si>
  <si>
    <t>1.5.1.3. Accrued Interest Receivable</t>
  </si>
  <si>
    <t>1.5.2</t>
  </si>
  <si>
    <t>P1.5.2</t>
  </si>
  <si>
    <t>1&gt;5&gt;2&gt; bNþaFnaKarRbtiRsutenAeRkARbeTskm&lt;úCa ¬GnievsCn¦</t>
  </si>
  <si>
    <t>1.5.2. Banks Authorize outside Cambodia (Non Residents)</t>
  </si>
  <si>
    <t>1.5.2.1</t>
  </si>
  <si>
    <t>P1.5.2.1</t>
  </si>
  <si>
    <t>1&gt;5&gt;2&gt;1&gt; R)ak;beBaØIenAFnaKarepSg²</t>
  </si>
  <si>
    <t>1.5.2.1. Deposits with Banks</t>
  </si>
  <si>
    <t>1.5.2.2</t>
  </si>
  <si>
    <t>P1.5.2.2</t>
  </si>
  <si>
    <t>1&gt;5&gt;2&gt;2&gt; eGayx©IcgkarnigbuerRbTancMeBaHFnaKarepSg²</t>
  </si>
  <si>
    <t>1.5.2.2. Loans and Advances to Banks</t>
  </si>
  <si>
    <t>1.5.2.3</t>
  </si>
  <si>
    <t>P1.5.2.3</t>
  </si>
  <si>
    <t>1&gt;5&gt;2&gt;3&gt; karR)ak;bgÁrRtUvTTYl</t>
  </si>
  <si>
    <t>1.5.2.3. Accrued Interest Receivable</t>
  </si>
  <si>
    <t>1.5.2.4</t>
  </si>
  <si>
    <t>P1.5.2.4</t>
  </si>
  <si>
    <t>1&gt;5&gt;2&gt;4&gt; kñúgenaHTIsñak;karkNþalnigsm&lt;½n§jati</t>
  </si>
  <si>
    <t>1.5.2.4. Of which Head Office &amp; Related Party</t>
  </si>
  <si>
    <t>1.5.3</t>
  </si>
  <si>
    <t>P1.5.3</t>
  </si>
  <si>
    <t>1&gt;5&gt;3&gt; mUlniFiGnþrFnaKarEdl)anlk;nigkarR)ak;bgÁrRtUvTTYl</t>
  </si>
  <si>
    <t xml:space="preserve"> 1.5.3. Inter Bank Fund Sold and Accrued Interest Receivable</t>
  </si>
  <si>
    <t>1.5.4</t>
  </si>
  <si>
    <t>P1.5.4</t>
  </si>
  <si>
    <t>1&gt;5&gt;4&gt; karTijmUlb½RteRkamkic©snüalk;vij nigkarR)ak;bgÁrRtUvTTYl</t>
  </si>
  <si>
    <t xml:space="preserve"> 1.5.4. Securities Purchase Under Agreement to Resell and AIR</t>
  </si>
  <si>
    <t>P2</t>
  </si>
  <si>
    <t>2- eGayx©Icgkar nigbuerRbTancMeBaHGtifiCnminEmnFnaKar</t>
  </si>
  <si>
    <t>Loans &amp; Advances to Non-Bank Customers</t>
  </si>
  <si>
    <t>2.1</t>
  </si>
  <si>
    <t>P2.1</t>
  </si>
  <si>
    <t>2&gt;1&gt; eGayx©IcgkarnigbuerRbTancMeBaHshRKasrdæ nigkarR)ak;bgÁrRtUvTTYl</t>
  </si>
  <si>
    <t>2.1. Loans &amp; Advances to State Enterprises and AIR</t>
  </si>
  <si>
    <t>2.1.1</t>
  </si>
  <si>
    <t>P2.1.1</t>
  </si>
  <si>
    <t>2&gt;1&gt;1&gt; eGayx©IcgkarelIssmtulü</t>
  </si>
  <si>
    <t>2.1.1. Overdrafts</t>
  </si>
  <si>
    <t>2.1.2</t>
  </si>
  <si>
    <t>P2.1.2</t>
  </si>
  <si>
    <t>2&gt;1&gt;2&gt; eGayx©IcgkarnigbuerRbTancMeBaHshRKasrdæ</t>
  </si>
  <si>
    <t>2.1.2. Loans &amp; Advances to State Enterprises</t>
  </si>
  <si>
    <t>2.1.3</t>
  </si>
  <si>
    <t>P2.1.3</t>
  </si>
  <si>
    <t>2&gt;1&gt;3&gt; karR)ak;bgÁrRtUvTTYl</t>
  </si>
  <si>
    <t>2.1.3. Accrued Interest Receivable</t>
  </si>
  <si>
    <t>2.2</t>
  </si>
  <si>
    <t>P2.2</t>
  </si>
  <si>
    <t>2&gt;2&gt; eGayx©Icgkar nigbuerRbTancMeBaHvis½yÉkCn nigkarR)ak;bgÁrRtUvTTYl</t>
  </si>
  <si>
    <t>2.2. Loans &amp; Advances to Private Sectors and AIR</t>
  </si>
  <si>
    <t>2.2.1</t>
  </si>
  <si>
    <t>P2.2.1</t>
  </si>
  <si>
    <t>2&gt;2&gt;1&gt; eGayx©IcgkarelIssmtulü</t>
  </si>
  <si>
    <t>2.2.1. Overdrafts</t>
  </si>
  <si>
    <t>2.2.2</t>
  </si>
  <si>
    <t>P2.2.2</t>
  </si>
  <si>
    <t>2&gt;2&gt;2&gt; \NTanBaNiC¢kmµ</t>
  </si>
  <si>
    <t>2.2.2. Commercial Loan</t>
  </si>
  <si>
    <t>2.2.3</t>
  </si>
  <si>
    <t>P2.2.3</t>
  </si>
  <si>
    <t>2&gt;2&gt;3&gt; karR)ak;bgÁrRtUvTTYlelI\NTanBaNiC¢kmµ</t>
  </si>
  <si>
    <t>2.2.3. AIR - Commercial Loan</t>
  </si>
  <si>
    <t>2.2.4</t>
  </si>
  <si>
    <t>P2.2.4</t>
  </si>
  <si>
    <t>2&gt;2&gt;4&gt; \NTancMeBaHGñkeRbIR)as;</t>
  </si>
  <si>
    <t>2.2.4. Consumer Loans</t>
  </si>
  <si>
    <t>2.2.5</t>
  </si>
  <si>
    <t>P2.2.5</t>
  </si>
  <si>
    <t>2&gt;2&gt;5&gt; karR)ak;bgÁrelI\NTancMeBaHGñkeRbIR)as;</t>
  </si>
  <si>
    <t>2.2.5. AIR - Consumer Loans</t>
  </si>
  <si>
    <t>2.2.6</t>
  </si>
  <si>
    <t>P2.2.6</t>
  </si>
  <si>
    <t>2.2.6. Of which Provision for Loans and Lease Losses</t>
  </si>
  <si>
    <t>2.2.7</t>
  </si>
  <si>
    <t>P2.2.7</t>
  </si>
  <si>
    <t>2&gt;2&gt;7&gt; kñúgenaHbMNulGaRkk;nigbMNulsgS½y</t>
  </si>
  <si>
    <t>2.2.7. Of which Bad and Doubtful Debts</t>
  </si>
  <si>
    <t>2.2.8</t>
  </si>
  <si>
    <t>P2.2.8</t>
  </si>
  <si>
    <t>2&gt;2&gt;8&gt; kñúgenaHeGayx©IcgkarnigbuerRbTancMeBaHPaKTunik</t>
  </si>
  <si>
    <t>2.2.8. Of which to Shareholders</t>
  </si>
  <si>
    <t>2.2.9</t>
  </si>
  <si>
    <t>P2.2.9</t>
  </si>
  <si>
    <t>2&gt;2&gt;9&gt; kñúgenaHeGayx©IcgkarnigbuerRbTancMeBaHsm&lt;½n§jati</t>
  </si>
  <si>
    <t>2.2.9. Of which to Other Related Parties</t>
  </si>
  <si>
    <t>2.2.10</t>
  </si>
  <si>
    <t>P2.2.10</t>
  </si>
  <si>
    <t>2&gt;2&gt;10&gt; kñúgenaHeGayx©IcgkarnigbuerRbTanbunGb,harcMeBaHFnaKarCati</t>
  </si>
  <si>
    <t>2.2.10. Of which Loans &amp; Advances Re-discountable to NBC</t>
  </si>
  <si>
    <t>2.2.11</t>
  </si>
  <si>
    <t>P2.2.11</t>
  </si>
  <si>
    <t>2&gt;2&gt;11&gt; kñúgenaHeGayx©IcgkarnigbuerRbTancMeBaHGnievsCn</t>
  </si>
  <si>
    <t>2.2.11. Of which Loans &amp; Advances to Non-Residents</t>
  </si>
  <si>
    <t>P3</t>
  </si>
  <si>
    <t>3- mUlb½Rt</t>
  </si>
  <si>
    <t>Securities</t>
  </si>
  <si>
    <t>3.1</t>
  </si>
  <si>
    <t>P3.1</t>
  </si>
  <si>
    <t>3&gt;1&gt; mUlb½RtbMNulnigcMNUlefrepSg²eTotBImUlb½Rt</t>
  </si>
  <si>
    <t>3.1. Debt Securities and Other Fixed Income Securities</t>
  </si>
  <si>
    <t>3.1.1</t>
  </si>
  <si>
    <t>P3.1.1</t>
  </si>
  <si>
    <t>3&gt;1&gt;1&gt; mUlb½Rt)ane)aHpSayedayshRKasrdæ</t>
  </si>
  <si>
    <t>3.1.1. Securities Issued by State Owned Enterprises</t>
  </si>
  <si>
    <t>3.1.2</t>
  </si>
  <si>
    <t>P3.1.2</t>
  </si>
  <si>
    <t>3&gt;1&gt;2&gt; mUlb½Rt)ane)aHpSayedayvis½yÉkCn</t>
  </si>
  <si>
    <t>3.1.2. Securities Issued by Private Sector</t>
  </si>
  <si>
    <t>3.1.3</t>
  </si>
  <si>
    <t>P3.1.3</t>
  </si>
  <si>
    <t>3&gt;1&gt;3&gt; mUlb½Rt)ane)aHpSayedayFnaKarnigRKwHsßanhirBaØvtßúepSg²</t>
  </si>
  <si>
    <t>3.1.3. Securities Issued by Banks and OFIs</t>
  </si>
  <si>
    <t>3.1.4</t>
  </si>
  <si>
    <t>P3.1.4</t>
  </si>
  <si>
    <t>3&gt;1&gt;4&gt; mUlb½Rt)ane)aHpSayedaysßab½nbreTs</t>
  </si>
  <si>
    <t xml:space="preserve">3.1.4. Securities Issued by Foreign Entities </t>
  </si>
  <si>
    <t>3.2</t>
  </si>
  <si>
    <t>P3.2</t>
  </si>
  <si>
    <t>3&gt;2&gt; mUlb½RtPaKh‘un</t>
  </si>
  <si>
    <t>3.2. Equity Securities</t>
  </si>
  <si>
    <t>3.3</t>
  </si>
  <si>
    <t>P3.3</t>
  </si>
  <si>
    <t>3&gt;3&gt; buBVlaP - Gb,harelImUlb½Rt - kalvsanedIm</t>
  </si>
  <si>
    <t xml:space="preserve">3.3. Premium - Discount  on Securities - Original Maturity </t>
  </si>
  <si>
    <t>3.4</t>
  </si>
  <si>
    <t>P3.4</t>
  </si>
  <si>
    <t>3&gt;4&gt; sMviFanFncMeBaHkarxatbg;elIkarvinieyaKnigmUlb½Rt</t>
  </si>
  <si>
    <t>3.4. Provision for Potential Losses on Investments and Securities</t>
  </si>
  <si>
    <t>3.5</t>
  </si>
  <si>
    <t>P3.5</t>
  </si>
  <si>
    <t>3&gt;5&gt; cMeNj ¬xat¦ minBitelIkarvinieyaK</t>
  </si>
  <si>
    <t>3.5. Unrealized Holding Gains (Losses) On Investments</t>
  </si>
  <si>
    <t>P4</t>
  </si>
  <si>
    <t>4- \NeTyüRtUvTarBIrdæaPi)al</t>
  </si>
  <si>
    <t>Claims on Government</t>
  </si>
  <si>
    <t>4.1</t>
  </si>
  <si>
    <t>P4.1</t>
  </si>
  <si>
    <t>4&gt;1&gt; eGayx©IcgkarnigbuerRbTancMeBaHrdæaPi)al nigkarR)ak;bgÁrRtUvTTYl</t>
  </si>
  <si>
    <t>4.1. Loans &amp; Advances to Government and AIR</t>
  </si>
  <si>
    <t>4.2</t>
  </si>
  <si>
    <t>P4.2</t>
  </si>
  <si>
    <t>4&gt;2&gt; mUlb½RtrdæaPi)al nigkarR)ak;bgÁrRtUvTTYl</t>
  </si>
  <si>
    <t>4.2. Securities and Accrued Interest Receivable</t>
  </si>
  <si>
    <t>P5</t>
  </si>
  <si>
    <t>5- karcMNaymun</t>
  </si>
  <si>
    <t>Prepaid Expenses</t>
  </si>
  <si>
    <t>P6</t>
  </si>
  <si>
    <t>6- Gcln³RTBü</t>
  </si>
  <si>
    <t>Fixed assets</t>
  </si>
  <si>
    <t>6.1</t>
  </si>
  <si>
    <t>P6.1</t>
  </si>
  <si>
    <t>6&gt;1&gt; dI nig karEklMGdI</t>
  </si>
  <si>
    <t>6.1. Land and Land Improvement</t>
  </si>
  <si>
    <t>6.2</t>
  </si>
  <si>
    <t>P6.2</t>
  </si>
  <si>
    <t>6&gt;2&gt; GaKar nigkarEklMGGaKarPtisnüa</t>
  </si>
  <si>
    <t>6.2. Buildings and Leasehold Improvement</t>
  </si>
  <si>
    <t>6.3</t>
  </si>
  <si>
    <t>P6.3</t>
  </si>
  <si>
    <t>6&gt;3&gt; sgðarwm brikça nigTiBVsMPar³</t>
  </si>
  <si>
    <t>6.3. Furniture, Fixture and Equipment</t>
  </si>
  <si>
    <t>6.4</t>
  </si>
  <si>
    <t>P6.4</t>
  </si>
  <si>
    <t>6&gt;4&gt; kñúgenaH rMls;bgÁr</t>
  </si>
  <si>
    <t>6.5</t>
  </si>
  <si>
    <t>P6.5</t>
  </si>
  <si>
    <t xml:space="preserve">6&gt;5&gt; RTBüskmµGrUbiy </t>
  </si>
  <si>
    <t>6.5. Intangible Assets</t>
  </si>
  <si>
    <t>6.6</t>
  </si>
  <si>
    <t>P6.6</t>
  </si>
  <si>
    <t xml:space="preserve">6&gt;6&gt; kñúgenaH rMls;cMeBaHRTBüskmµGrUbiy </t>
  </si>
  <si>
    <t xml:space="preserve">6.6. Of which Allowance for Amortization for Intangible Assets </t>
  </si>
  <si>
    <t>6.7</t>
  </si>
  <si>
    <t>P6.7</t>
  </si>
  <si>
    <t xml:space="preserve">6&gt;7&gt; RTBüsm,tþirwbGUsBIkUnbMNul </t>
  </si>
  <si>
    <t>6.7. Foreclosed Properties</t>
  </si>
  <si>
    <t>6.8</t>
  </si>
  <si>
    <t>P6.8</t>
  </si>
  <si>
    <t xml:space="preserve">6&gt;8&gt; plRbeyaCn_BIbuRtsm&lt;½n§ nigPaKkmµ  </t>
  </si>
  <si>
    <t xml:space="preserve">6.8. Subsidiary and Participation Interest </t>
  </si>
  <si>
    <t>6.9</t>
  </si>
  <si>
    <t>P6.9</t>
  </si>
  <si>
    <t xml:space="preserve">6&gt;9&gt; epSg²  </t>
  </si>
  <si>
    <t xml:space="preserve">6.9. Others </t>
  </si>
  <si>
    <t>P7</t>
  </si>
  <si>
    <t>7- KNnIBüÜrTuknigRTBüskmµepSg²</t>
  </si>
  <si>
    <t>Suspense Account &amp; Other Assets</t>
  </si>
  <si>
    <t>7.1</t>
  </si>
  <si>
    <t>P7.1</t>
  </si>
  <si>
    <t>7&gt;1&gt; KNnIBüÜrTuk</t>
  </si>
  <si>
    <t>7.1. Suspense Account</t>
  </si>
  <si>
    <t>7.2</t>
  </si>
  <si>
    <t>P7.2</t>
  </si>
  <si>
    <t xml:space="preserve">7&gt;2&gt; RTBüskmµepSg² </t>
  </si>
  <si>
    <t>7.2. Other Assets</t>
  </si>
  <si>
    <t>P8</t>
  </si>
  <si>
    <t>8- lMeGogsuT§bNþalmkBIkarbþÚreTACaerol</t>
  </si>
  <si>
    <t>8-</t>
  </si>
  <si>
    <t xml:space="preserve">Net from Conversion into Riel </t>
  </si>
  <si>
    <t>srubRTBüskmµ</t>
  </si>
  <si>
    <t>TOTAL ASSETS</t>
  </si>
  <si>
    <t>RTBüGkmµ nigmUlniFirbs;PaKTunik</t>
  </si>
  <si>
    <t>LIABILLITIES AND SHAREHOLDER'S EQUITY</t>
  </si>
  <si>
    <t>9- R)ak;CMBak;FnaKarCatiénkm&lt;úCa nigFnaKarepSg²</t>
  </si>
  <si>
    <t>9-</t>
  </si>
  <si>
    <t>Owed to NBC and Banks</t>
  </si>
  <si>
    <t>9.1</t>
  </si>
  <si>
    <t>9&gt;1 R)ak;CMBak;FnaKarCatiénkm&lt;úCa</t>
  </si>
  <si>
    <t>9.1. Owed to NBC</t>
  </si>
  <si>
    <t>9.2</t>
  </si>
  <si>
    <t>9&gt;2&gt; R)ak;CMBak;FnaKarnigRKwHsßanhirBaØvtßúepSg²</t>
  </si>
  <si>
    <t xml:space="preserve">9.2. Owed to Banks and OFIs </t>
  </si>
  <si>
    <t>9.2.1</t>
  </si>
  <si>
    <t>9&gt;2&gt;1&gt; kñúgRbeTskm&lt;úCa ¬nievsCn¦</t>
  </si>
  <si>
    <t>9.2.1. In Cambodia (Residents)</t>
  </si>
  <si>
    <t>9.2.1.1</t>
  </si>
  <si>
    <t>9&gt;2&gt;1&gt;1&gt; R)ak;beBaØIrbs;FnaKarEdlnwgRtUvsgvijtamsMNUmBr</t>
  </si>
  <si>
    <t>9.2.1.1. Bank Deposit Repayable on Demand</t>
  </si>
  <si>
    <t>9.2.1.2</t>
  </si>
  <si>
    <t>9&gt;2&gt;1&gt;2&gt; R)ak;kMcIBIFnaKarnigRKwHsßanhirBaØvtßúepSg²</t>
  </si>
  <si>
    <t>9.2.1.2. Loans from Banks and OFIs</t>
  </si>
  <si>
    <t>9.2.1.3</t>
  </si>
  <si>
    <r>
      <t xml:space="preserve">9&gt;2&gt;1&gt;3&gt; epSg² </t>
    </r>
    <r>
      <rPr>
        <vertAlign val="superscript"/>
        <sz val="18"/>
        <rFont val="Limon S1"/>
      </rPr>
      <t>1</t>
    </r>
  </si>
  <si>
    <r>
      <t xml:space="preserve">9.2.1.3. Other </t>
    </r>
    <r>
      <rPr>
        <vertAlign val="superscript"/>
        <sz val="11"/>
        <rFont val="Times New Roman"/>
        <family val="1"/>
      </rPr>
      <t>1</t>
    </r>
  </si>
  <si>
    <t>9.2.1.4</t>
  </si>
  <si>
    <t>9&gt;2&gt;1&gt;4&gt; karR)ak;bgÁrRtUvsg</t>
  </si>
  <si>
    <t>9.2.1.4. Accrued Interest Payable</t>
  </si>
  <si>
    <t>9.2.1.5</t>
  </si>
  <si>
    <t>9&gt;2&gt;1&gt;5&gt; xÞg;\NTanminTan;)ancuH</t>
  </si>
  <si>
    <t>9.2.1.5. Unposted Credit</t>
  </si>
  <si>
    <t>9.2.1.6</t>
  </si>
  <si>
    <t>9&gt;2&gt;1&gt;6&gt; mUlniFiGnþrFnaKarEdl)anTij nigkarR)ak;bgÁrRtUvsg</t>
  </si>
  <si>
    <t>9.2.1.6. Inter Bank Funds Purchased and AIP</t>
  </si>
  <si>
    <t>9.2.1.7</t>
  </si>
  <si>
    <t>9&gt;2&gt;1&gt;7&gt; mUlb½Rt)anlk;eRkamkic©snüaTijRtLb;vij nigkarR)ak;bgÁrRtUvsg</t>
  </si>
  <si>
    <t>9.2.1.7. Securities Sold Under Agreement to Repurchased and AIP</t>
  </si>
  <si>
    <t>9.2.2</t>
  </si>
  <si>
    <t>9&gt;2&gt;2&gt; eRkARbeTskm&lt;úCa ¬GnievsCn¦</t>
  </si>
  <si>
    <t>9.2.2. Outside Cambodia (Non residents)</t>
  </si>
  <si>
    <t>9.2.2.1</t>
  </si>
  <si>
    <t>9&gt;2&gt;2&gt;1&gt; R)ak;beBaØIrbs;FnaKarEdlnwgRtUvsgvijtamsMNUmBr</t>
  </si>
  <si>
    <t>9.2.2.1. Bank Deposit Repayable on Demand</t>
  </si>
  <si>
    <t>9.2.2.2</t>
  </si>
  <si>
    <t>9&gt;2&gt;2&gt;2&gt; R)ak;kMcIBIFnaKarnigRKwHsßanhirBaØvtßúepSg²</t>
  </si>
  <si>
    <t>9.2.2.2. Loans from Banks and OFIs</t>
  </si>
  <si>
    <t>9.2.2.3</t>
  </si>
  <si>
    <r>
      <t xml:space="preserve">9&gt;2&gt;2&gt;3&gt; epSg² </t>
    </r>
    <r>
      <rPr>
        <vertAlign val="superscript"/>
        <sz val="18"/>
        <rFont val="Limon S1"/>
      </rPr>
      <t>2</t>
    </r>
  </si>
  <si>
    <r>
      <t xml:space="preserve">9.2.2.3. Other </t>
    </r>
    <r>
      <rPr>
        <vertAlign val="superscript"/>
        <sz val="11"/>
        <rFont val="Times New Roman"/>
        <family val="1"/>
      </rPr>
      <t>2</t>
    </r>
  </si>
  <si>
    <t>9.2.2.4</t>
  </si>
  <si>
    <t>9&gt;2&gt;2&gt;4&gt; karR)ak;bgÁrRtUvsg</t>
  </si>
  <si>
    <t>9.2.2.4. Accrued Interest Payable</t>
  </si>
  <si>
    <t>9.2.2.5</t>
  </si>
  <si>
    <t>9&gt;2&gt;2&gt;5&gt; xÞg;\NTanminTan;)ancuH</t>
  </si>
  <si>
    <t>9.2.2.5. Unposted Credit</t>
  </si>
  <si>
    <t>9.2.2.6</t>
  </si>
  <si>
    <t>9&gt;2&gt;2&gt;6&gt; mUlniFiGnþrFnaKarEdl)anTij nigkarR)ak;bgÁrRtUvsg</t>
  </si>
  <si>
    <t>9.2.2.6. Inter Bank Funds Purchased and AIP</t>
  </si>
  <si>
    <t>9.2.2.7</t>
  </si>
  <si>
    <t>9&gt;2&gt;2&gt;7&gt; mUlb½Rt)anlk;eRkamkic©snüaTijRtLb;vij nigkarR)ak;bgÁrRtUvsg</t>
  </si>
  <si>
    <t>9.2.2.7. Securities Sold Under Agreement to Repurchased and AIP</t>
  </si>
  <si>
    <t>9.2.3</t>
  </si>
  <si>
    <t>9&gt;2&gt;3&gt; kñúgenaHTIsñak;karkNþalnigsm&lt;½n§jati</t>
  </si>
  <si>
    <t>9.2.3. Of which Head Office &amp; Related Banks</t>
  </si>
  <si>
    <t>9.2.3.1</t>
  </si>
  <si>
    <t>9&gt;2&gt;3&gt;1&gt; R)ak;beBaØIrbs;FnaKarEdlnwgRtUvsgvijtamsMNUmBr</t>
  </si>
  <si>
    <t>9.2.3.1. Bank Deposit Repayable on Demand</t>
  </si>
  <si>
    <t>9.2.3.2</t>
  </si>
  <si>
    <t>9&gt;2&gt;3&gt;2&gt; R)ak;x©IsgtamkalkMNt; b¤ tamkarCUndMNwg</t>
  </si>
  <si>
    <t>9.2.3.2. Borrowing with Agreed Maturity or Notice</t>
  </si>
  <si>
    <t>10- mUlniFi)anx©IBIRbPBepSg²</t>
  </si>
  <si>
    <t>10-</t>
  </si>
  <si>
    <t>Other Borrowed Fund</t>
  </si>
  <si>
    <t>10.1</t>
  </si>
  <si>
    <t>10&gt;1&gt; nievsCn</t>
  </si>
  <si>
    <t>10.1. Residents</t>
  </si>
  <si>
    <t>10.1.1</t>
  </si>
  <si>
    <t xml:space="preserve">10&gt;1&gt;1&gt; kMrit\NTan bMNulGtißPaBnigR)ak;x©IbMeBjedImTun </t>
  </si>
  <si>
    <t>10.1.1. Line of credit, Senior and Subordinated Debt</t>
  </si>
  <si>
    <t>10.1.2</t>
  </si>
  <si>
    <t>10&gt;1&gt;2&gt; karR)ak;bgÁrRtUvsg</t>
  </si>
  <si>
    <t>10.1.2. Accrued Interest Payable</t>
  </si>
  <si>
    <t>10&gt;2&gt; GnievsCn</t>
  </si>
  <si>
    <t>10.2.Non Residents</t>
  </si>
  <si>
    <t>10.2.1</t>
  </si>
  <si>
    <t xml:space="preserve">10&gt;2&gt;1&gt; kMrit\NTan bMNulGtißPaBnigR)ak;x©IbMeBjedImTun </t>
  </si>
  <si>
    <t>10.2.1. Line of Credit, Senior and Subordinated Debt</t>
  </si>
  <si>
    <t>10.2.2</t>
  </si>
  <si>
    <t>10&gt;2&gt;2&gt; karR)ak;bgÁrRtUvsg</t>
  </si>
  <si>
    <t>10.2.2. Accrued Interest Payable</t>
  </si>
  <si>
    <t>11- R)ak;beBaØIrbs;GtifiCn</t>
  </si>
  <si>
    <t>11-</t>
  </si>
  <si>
    <t>Customer Deposits</t>
  </si>
  <si>
    <t>11.1</t>
  </si>
  <si>
    <t>11&gt;1&gt; nievsCn</t>
  </si>
  <si>
    <t>11.1. Residents</t>
  </si>
  <si>
    <t>11.1.1</t>
  </si>
  <si>
    <t>11&gt;1&gt;1&gt; R)ak;beBaØIcrnþ</t>
  </si>
  <si>
    <t>11.1.1. Demand Deposits</t>
  </si>
  <si>
    <t>11.1.2</t>
  </si>
  <si>
    <t>11&gt;1&gt;2&gt; R)ak;beBaØIsMéc</t>
  </si>
  <si>
    <t>11.1.2. Saving Deposits</t>
  </si>
  <si>
    <t>11.1.3</t>
  </si>
  <si>
    <t>11&gt;1&gt;3&gt; R)ak;beBaØImankalkMNt;</t>
  </si>
  <si>
    <t>11.1.3. Time Deposits</t>
  </si>
  <si>
    <t>11.1.4</t>
  </si>
  <si>
    <r>
      <t xml:space="preserve">11&gt;1&gt;4&gt; R)ak;beBaØIepSg² </t>
    </r>
    <r>
      <rPr>
        <vertAlign val="superscript"/>
        <sz val="18"/>
        <rFont val="Limon S1"/>
      </rPr>
      <t>3</t>
    </r>
  </si>
  <si>
    <r>
      <t xml:space="preserve">11.1.4. Other </t>
    </r>
    <r>
      <rPr>
        <vertAlign val="superscript"/>
        <sz val="11"/>
        <rFont val="Times New Roman"/>
        <family val="1"/>
      </rPr>
      <t>3</t>
    </r>
  </si>
  <si>
    <t>11.1.5</t>
  </si>
  <si>
    <t>11&gt;1&gt;5&gt; karR)ak;bgÁrRtUvsg</t>
  </si>
  <si>
    <t>11.1.5. Accrued Interest Payable</t>
  </si>
  <si>
    <t>11.1.6</t>
  </si>
  <si>
    <t>11&gt;1&gt;&gt;6&gt; xÞg;\NTanminTan;)ancuH</t>
  </si>
  <si>
    <t>11.1.6. Unposted Credit</t>
  </si>
  <si>
    <t>11.2</t>
  </si>
  <si>
    <t>11&gt;2&gt; GnievsCn</t>
  </si>
  <si>
    <t>11.2. Non residents</t>
  </si>
  <si>
    <t>11.2.1</t>
  </si>
  <si>
    <t>11&gt;2&gt;1&gt; R)ak;beBaØIcrnþ</t>
  </si>
  <si>
    <t>11.2.1. Demand Deposits</t>
  </si>
  <si>
    <t>11.2.2</t>
  </si>
  <si>
    <t>11&gt;2&gt;2&gt; R)ak;beBaØIsMéc</t>
  </si>
  <si>
    <t>11.2.2. Saving Deposits</t>
  </si>
  <si>
    <t>11.2.3</t>
  </si>
  <si>
    <t>11&gt;2&gt;3&gt; R)ak;beBaØImankalkMNt;</t>
  </si>
  <si>
    <t>11.2.3. Time Deposits</t>
  </si>
  <si>
    <t>11.2.4</t>
  </si>
  <si>
    <r>
      <t xml:space="preserve">11&gt;2&gt;4&gt; R)ak;beBaØIepSg² </t>
    </r>
    <r>
      <rPr>
        <vertAlign val="superscript"/>
        <sz val="18"/>
        <rFont val="Limon S1"/>
      </rPr>
      <t>4</t>
    </r>
  </si>
  <si>
    <r>
      <t xml:space="preserve">11.2.4.  Other </t>
    </r>
    <r>
      <rPr>
        <vertAlign val="superscript"/>
        <sz val="11"/>
        <rFont val="Times New Roman"/>
        <family val="1"/>
      </rPr>
      <t>4</t>
    </r>
  </si>
  <si>
    <t>11.2.5</t>
  </si>
  <si>
    <t>11&gt;2&gt;5&gt; karR)ak;bgÁrRtUvsg</t>
  </si>
  <si>
    <t>11.2.5. Accrued Interest Payable</t>
  </si>
  <si>
    <t>11.2.6</t>
  </si>
  <si>
    <t>11&gt;2&gt;6&gt; xÞg;\NTanminTan;)ancuH</t>
  </si>
  <si>
    <t>11.2.6. Unposted Credit</t>
  </si>
  <si>
    <t>11&gt;3&gt; kñúgenaH PaKTunik nigsm&lt;½n§jati</t>
  </si>
  <si>
    <t>11.3. Of which shareholders &amp; other related parties</t>
  </si>
  <si>
    <t>11.3.1</t>
  </si>
  <si>
    <t>11&gt;3&gt;1&gt;  PaKTunik</t>
  </si>
  <si>
    <t>11.3.1. Shareholders</t>
  </si>
  <si>
    <t>11.3.2</t>
  </si>
  <si>
    <t>11&gt;3&gt;2&gt;  sm&lt;½n§jati</t>
  </si>
  <si>
    <t>11.3.2. Related Parties</t>
  </si>
  <si>
    <t>12- KNnIBüÜrTuknigRTBüGkmµepSg²</t>
  </si>
  <si>
    <t>12-</t>
  </si>
  <si>
    <t>Suspense Account &amp; Other Liabilities</t>
  </si>
  <si>
    <t>12.1</t>
  </si>
  <si>
    <t xml:space="preserve">12&gt;1&gt; cMNaybgÁr  </t>
  </si>
  <si>
    <t>12.1. Accrued Expenses</t>
  </si>
  <si>
    <t>12.2</t>
  </si>
  <si>
    <t xml:space="preserve">12&gt;2&gt; Bn§RtUvsg  </t>
  </si>
  <si>
    <t>12.2. Taxes Payable</t>
  </si>
  <si>
    <t>12.3</t>
  </si>
  <si>
    <t>12&gt;3&gt; epSg²</t>
  </si>
  <si>
    <t>12.3. Other</t>
  </si>
  <si>
    <t>13- lMeGogsuT§bNþalmkBIkarbþÚreTACaerol</t>
  </si>
  <si>
    <t>13-</t>
  </si>
  <si>
    <t>Difference Net from Conversion into Riel</t>
  </si>
  <si>
    <t>14- mUlniFiPaKTunik</t>
  </si>
  <si>
    <t>14-</t>
  </si>
  <si>
    <t>Shareholders' Equities</t>
  </si>
  <si>
    <t>14.1</t>
  </si>
  <si>
    <t xml:space="preserve">14&gt;1&gt; edImTun)anbg;CMrH  </t>
  </si>
  <si>
    <t>14.1. Paid-up Capital</t>
  </si>
  <si>
    <t>14.1.1</t>
  </si>
  <si>
    <t xml:space="preserve">14&gt;1&gt;1&gt; edImTuncuHbBa¢I  </t>
  </si>
  <si>
    <t>14.1.1. Subscribed</t>
  </si>
  <si>
    <t>14.1.2</t>
  </si>
  <si>
    <t xml:space="preserve">14&gt;1&gt;2&gt; edImTunminTan;)anbg;  </t>
  </si>
  <si>
    <t>14.1.2. Less not Yet Paid</t>
  </si>
  <si>
    <t>14.2</t>
  </si>
  <si>
    <t xml:space="preserve">14&gt;2&gt; R)ak;bMrug </t>
  </si>
  <si>
    <t>14.2. Reserves</t>
  </si>
  <si>
    <t>14.3</t>
  </si>
  <si>
    <t xml:space="preserve">14&gt;3&gt; R)ak;x©IbMeBjedImTun ¬bnÞab;BImankaryl;RBmBIFnaKarCatiénkm&lt;úCa ¦ </t>
  </si>
  <si>
    <t>14.3. Subordinated loans (after NBC's agreement)</t>
  </si>
  <si>
    <t>14.4</t>
  </si>
  <si>
    <t xml:space="preserve">14&gt;4&gt; sMviFanFnTUeTA </t>
  </si>
  <si>
    <t>14.4. General Provision</t>
  </si>
  <si>
    <t>14.5</t>
  </si>
  <si>
    <t xml:space="preserve">14&gt;5&gt; epSg² </t>
  </si>
  <si>
    <t>14.5. Others</t>
  </si>
  <si>
    <t>14.6</t>
  </si>
  <si>
    <t xml:space="preserve">14&gt;6&gt; bgÁrcMeNj - xat eyagBIqñaMmun² </t>
  </si>
  <si>
    <t>14.6. Accumulated Profit &amp; Loss From Prior Years</t>
  </si>
  <si>
    <t>14.7</t>
  </si>
  <si>
    <t>14&gt;7&gt; cMeNj - xat qñaMenH</t>
  </si>
  <si>
    <t>14.7. Profit &amp; Loss for the Current Years</t>
  </si>
  <si>
    <t>srubRTBüGkmµnigmUlniFiPaKTunik</t>
  </si>
  <si>
    <t>TOTAL LIABILITIES AND SHAREHOLDER'S EQUITY</t>
  </si>
  <si>
    <r>
      <t>NOTE</t>
    </r>
    <r>
      <rPr>
        <b/>
        <sz val="9"/>
        <rFont val="Times New Roman"/>
        <family val="1"/>
      </rPr>
      <t xml:space="preserve"> :</t>
    </r>
  </si>
  <si>
    <r>
      <t>1. Other ( including CDs,</t>
    </r>
    <r>
      <rPr>
        <sz val="8"/>
        <color indexed="14"/>
        <rFont val="Times New Roman"/>
        <family val="1"/>
      </rPr>
      <t xml:space="preserve"> </t>
    </r>
    <r>
      <rPr>
        <sz val="8"/>
        <rFont val="Times New Roman"/>
        <family val="1"/>
      </rPr>
      <t xml:space="preserve">NCDs, MRD, and MMDA of Banks and OFIs ) </t>
    </r>
  </si>
  <si>
    <t>2. Other ( including CDs, NCDs, MRD, and MMDA of Banks and OFIs)</t>
  </si>
  <si>
    <t>3. Other (including CDs, Certified Check Outstanding, Bank Check Issued, Finance Lease, and Banker's Acceptance Outstanding)</t>
  </si>
  <si>
    <t>4. Other (including CDs, Certified Check Outstanding, Bank Check issued, Finance Lease, and Banker's Acceptance Outstanding)</t>
  </si>
  <si>
    <t>របាយការណ៏ប្រចាំខែសី្តពី ចំណូល និងចំណាយ</t>
  </si>
  <si>
    <t>MONTHLY REPORT ON INCOME STATEMENT</t>
  </si>
  <si>
    <r>
      <t>sMrab;kariybriecäT³</t>
    </r>
    <r>
      <rPr>
        <sz val="20"/>
        <color indexed="8"/>
        <rFont val="Times New Roman"/>
        <family val="1"/>
      </rPr>
      <t xml:space="preserve"> </t>
    </r>
    <r>
      <rPr>
        <sz val="12"/>
        <color indexed="8"/>
        <rFont val="Times New Roman"/>
        <family val="1"/>
      </rPr>
      <t xml:space="preserve">As of:  </t>
    </r>
  </si>
  <si>
    <t>eQµaH FnaKar</t>
  </si>
  <si>
    <t xml:space="preserve"> ទំរង់ Form: FS-IS-M</t>
  </si>
  <si>
    <t>Bank's name</t>
  </si>
  <si>
    <r>
      <t>GRtabþÚrkñúg 1 duløarGaemrik</t>
    </r>
    <r>
      <rPr>
        <sz val="22"/>
        <color indexed="8"/>
        <rFont val="Limon S2"/>
      </rPr>
      <t xml:space="preserve"> </t>
    </r>
    <r>
      <rPr>
        <sz val="13"/>
        <color indexed="8"/>
        <rFont val="Times New Roman"/>
        <family val="1"/>
      </rPr>
      <t xml:space="preserve"> </t>
    </r>
    <r>
      <rPr>
        <sz val="9"/>
        <color indexed="8"/>
        <rFont val="Times New Roman"/>
        <family val="1"/>
      </rPr>
      <t xml:space="preserve">Exchange Rate 1 USD  = </t>
    </r>
  </si>
  <si>
    <r>
      <t>KitCalanerol</t>
    </r>
    <r>
      <rPr>
        <sz val="11"/>
        <color indexed="8"/>
        <rFont val="Times New Roman"/>
        <family val="1"/>
      </rPr>
      <t xml:space="preserve"> (In Million Riels)</t>
    </r>
  </si>
  <si>
    <t>rUbiyb½NÑepSg²Kit Caerol</t>
  </si>
  <si>
    <t>Riels</t>
  </si>
  <si>
    <t>Other currencies translated in riels</t>
  </si>
  <si>
    <t>Total in riels</t>
  </si>
  <si>
    <r>
      <t>cMNUlkarR)ak;</t>
    </r>
    <r>
      <rPr>
        <b/>
        <sz val="15"/>
        <color indexed="8"/>
        <rFont val="Donpenhs"/>
      </rPr>
      <t xml:space="preserve"> </t>
    </r>
  </si>
  <si>
    <t>Interest income</t>
  </si>
  <si>
    <t>1&gt;1</t>
  </si>
  <si>
    <t>RbtibtþikarCamYysßab½n\NTan</t>
  </si>
  <si>
    <t>Transactions with credit institutions</t>
  </si>
  <si>
    <t>1&gt;1&gt;1</t>
  </si>
  <si>
    <t xml:space="preserve">karR)ak;elI\NTan nig R)ak;beBaØI </t>
  </si>
  <si>
    <t>1.1.1</t>
  </si>
  <si>
    <r>
      <t>Interests on loans and placements</t>
    </r>
    <r>
      <rPr>
        <sz val="9"/>
        <color indexed="8"/>
        <rFont val="Arial"/>
        <family val="2"/>
      </rPr>
      <t>.</t>
    </r>
  </si>
  <si>
    <t>1&gt;1&gt;2</t>
  </si>
  <si>
    <t>karR)ak;elImUlniFiGnþrFnaKarEdl)anlk;</t>
  </si>
  <si>
    <t>1.1.2</t>
  </si>
  <si>
    <t xml:space="preserve"> Interest on inter-bank funds sold</t>
  </si>
  <si>
    <t>1&gt;1&gt;3</t>
  </si>
  <si>
    <t>karR)ak;elImUlb½Rt)anTijeRkamkic©snüalk;vij</t>
  </si>
  <si>
    <t>1.1.3</t>
  </si>
  <si>
    <r>
      <t>Interest on securities purchased under agreement to resell</t>
    </r>
    <r>
      <rPr>
        <sz val="9"/>
        <rFont val="Arial"/>
        <family val="2"/>
      </rPr>
      <t xml:space="preserve"> </t>
    </r>
  </si>
  <si>
    <t>1&gt;2</t>
  </si>
  <si>
    <r>
      <t>RbtibtþikarCamYyGtifiCn</t>
    </r>
    <r>
      <rPr>
        <sz val="16"/>
        <color indexed="8"/>
        <rFont val="Donpenhs"/>
      </rPr>
      <t xml:space="preserve"> </t>
    </r>
  </si>
  <si>
    <t>Transactions with customers</t>
  </si>
  <si>
    <t>1&gt;2&gt;1</t>
  </si>
  <si>
    <r>
      <t>kardkelIssmtulü</t>
    </r>
    <r>
      <rPr>
        <sz val="11"/>
        <color indexed="8"/>
        <rFont val="Arial"/>
        <family val="2"/>
      </rPr>
      <t xml:space="preserve"> </t>
    </r>
  </si>
  <si>
    <t>1.2.1</t>
  </si>
  <si>
    <t>Overdrafts</t>
  </si>
  <si>
    <t>1&gt;2&gt;2</t>
  </si>
  <si>
    <r>
      <t>\NTan</t>
    </r>
    <r>
      <rPr>
        <sz val="8"/>
        <color indexed="8"/>
        <rFont val="Donpenhs"/>
      </rPr>
      <t xml:space="preserve"> </t>
    </r>
  </si>
  <si>
    <t>1.2.2</t>
  </si>
  <si>
    <t>Loans</t>
  </si>
  <si>
    <t>1&gt;2&gt;3</t>
  </si>
  <si>
    <t>mUlb½Rt)anTijeRkamkic©snüalk;vij</t>
  </si>
  <si>
    <t>1.2.3</t>
  </si>
  <si>
    <r>
      <t xml:space="preserve"> </t>
    </r>
    <r>
      <rPr>
        <sz val="11"/>
        <color indexed="8"/>
        <rFont val="Times New Roman"/>
        <family val="1"/>
      </rPr>
      <t>Securities purchased under agreement to resell</t>
    </r>
  </si>
  <si>
    <t>1&gt;2&gt;4</t>
  </si>
  <si>
    <t>kñúgenaHBIPaKTunik nig sm&lt;½n§jati</t>
  </si>
  <si>
    <t>1.2.4</t>
  </si>
  <si>
    <r>
      <t xml:space="preserve"> </t>
    </r>
    <r>
      <rPr>
        <sz val="11"/>
        <color indexed="8"/>
        <rFont val="Times New Roman"/>
        <family val="1"/>
      </rPr>
      <t>Of which shareholders and related parties</t>
    </r>
  </si>
  <si>
    <t>1&gt;2&gt;5</t>
  </si>
  <si>
    <t>kñúgenaHbMNulGaRkk; nig Bi)akTar ¬ebIrab;bBa©Úl¦</t>
  </si>
  <si>
    <t>1.2.5</t>
  </si>
  <si>
    <t>Of which doubtful and bad debts  (if account)</t>
  </si>
  <si>
    <t>1&gt;3</t>
  </si>
  <si>
    <t>cMNUlmkBIkarvinieyaK nig mUlb½RtCYjdUr</t>
  </si>
  <si>
    <t>Income on Investment and trading securities</t>
  </si>
  <si>
    <t>1&gt;3&gt;1</t>
  </si>
  <si>
    <t>mUlb½Rtrbs;rdæaPi)al</t>
  </si>
  <si>
    <t>Royal Government of Cambodia's securities</t>
  </si>
  <si>
    <t>1&gt;3&gt;2</t>
  </si>
  <si>
    <t>mUlb½RtFnaKar nigRKwHsßanhirBaØvtßú</t>
  </si>
  <si>
    <t>Banks and Other Financial Institutions' securities</t>
  </si>
  <si>
    <t>1&gt;3&gt;3</t>
  </si>
  <si>
    <t>mUlb½RtshRKasrdæ</t>
  </si>
  <si>
    <t>1.3.3</t>
  </si>
  <si>
    <t>State enterprises' securities</t>
  </si>
  <si>
    <t>1&gt;3&gt;4</t>
  </si>
  <si>
    <t>mUlb½RtÉkCn</t>
  </si>
  <si>
    <t>1.3.4</t>
  </si>
  <si>
    <t>Private Sectors' securities</t>
  </si>
  <si>
    <t>1&gt;3&gt;5</t>
  </si>
  <si>
    <t>mUlb½Rtsßab½nbreTs</t>
  </si>
  <si>
    <t>1.3.5</t>
  </si>
  <si>
    <t>Foreign entities' securities</t>
  </si>
  <si>
    <t>1&gt;4</t>
  </si>
  <si>
    <r>
      <t>cMNUlkarR)ak;epSg²</t>
    </r>
    <r>
      <rPr>
        <sz val="20"/>
        <rFont val="Donpenhs"/>
      </rPr>
      <t xml:space="preserve"> </t>
    </r>
  </si>
  <si>
    <t>Other interest income</t>
  </si>
  <si>
    <t>cMNaykarR)ak;</t>
  </si>
  <si>
    <t>Interest expense</t>
  </si>
  <si>
    <t>2&gt;1</t>
  </si>
  <si>
    <t>2&gt;1&gt;1</t>
  </si>
  <si>
    <t>R)ak;beBaØIcrnþrbs;FnaKar nigRKwHsßanhirBaØvtßúepSg²</t>
  </si>
  <si>
    <t>Banks and Other Financial Institutions repayable on demand</t>
  </si>
  <si>
    <t>2&gt;1&gt;2</t>
  </si>
  <si>
    <t>\NTanBIFnaKar nigRKwHsßanhirBaØvtßúepSg²</t>
  </si>
  <si>
    <t>\NTanBIFnaKarnigRKwHsßanhirBaØvtßúepSg²</t>
  </si>
  <si>
    <t>Loans from Banks and OFIs</t>
  </si>
  <si>
    <t>2&gt;1&gt;3</t>
  </si>
  <si>
    <t>viBaØabnb½Rt ¬rYmTaMgGacCYjdUr)an¦ nigKNnIR)ak;beBaØI ¬mankarkMrIt nigTIpSar rUbiyvtßú¦</t>
  </si>
  <si>
    <t>CDs, NCDs, MRDs, and MMDA of Banks and OFIs</t>
  </si>
  <si>
    <t>2&gt;1&gt;4</t>
  </si>
  <si>
    <t>mUlb½Rt)anlk;eRkamkic©snüaTijvij</t>
  </si>
  <si>
    <t>2.1.4</t>
  </si>
  <si>
    <r>
      <t>Securities sold under agreement to repurchase</t>
    </r>
    <r>
      <rPr>
        <sz val="9"/>
        <rFont val="Arial"/>
        <family val="2"/>
      </rPr>
      <t>.</t>
    </r>
  </si>
  <si>
    <t>Securities sold under agreement to repurchase</t>
  </si>
  <si>
    <t>2&gt;1&gt;5</t>
  </si>
  <si>
    <t>mUlniFiGnþrFnaKarEdl)anTij</t>
  </si>
  <si>
    <t>2.1.5</t>
  </si>
  <si>
    <r>
      <t>Inter-bank Fund Purchased</t>
    </r>
    <r>
      <rPr>
        <sz val="9"/>
        <rFont val="Arial"/>
        <family val="2"/>
      </rPr>
      <t xml:space="preserve"> </t>
    </r>
  </si>
  <si>
    <t>Inter-Bank Fund Purchased</t>
  </si>
  <si>
    <t>2&gt;1&gt;6</t>
  </si>
  <si>
    <t>kñúgenaHBIsñak;karkNþal nig FnaKarsm&lt;½n§jati</t>
  </si>
  <si>
    <t>kñúgenaHTIsñak;karkNþalnigFnaKarsm&lt;½n§jati</t>
  </si>
  <si>
    <t>2.1.6</t>
  </si>
  <si>
    <t xml:space="preserve">Of which head office and related banks </t>
  </si>
  <si>
    <t>Of which head office and related banks</t>
  </si>
  <si>
    <t>2&gt;2</t>
  </si>
  <si>
    <t>RbtibtþikarCamYyGtifiCn</t>
  </si>
  <si>
    <r>
      <t xml:space="preserve"> </t>
    </r>
    <r>
      <rPr>
        <sz val="11"/>
        <color indexed="8"/>
        <rFont val="Times New Roman"/>
        <family val="1"/>
      </rPr>
      <t>Transactions with customers</t>
    </r>
  </si>
  <si>
    <t>2&gt;2&gt;1</t>
  </si>
  <si>
    <t>R)ak;beBaØIcrnþ</t>
  </si>
  <si>
    <t>Demand deposits</t>
  </si>
  <si>
    <t>2&gt;2&gt;2</t>
  </si>
  <si>
    <t>R)ak;beBaØIsnSM</t>
  </si>
  <si>
    <t>Saving deposits</t>
  </si>
  <si>
    <t>2&gt;2&gt;3</t>
  </si>
  <si>
    <t>R)ak;beBaØImankalkMNt;</t>
  </si>
  <si>
    <t>Time deposits</t>
  </si>
  <si>
    <t>2&gt;2&gt;4</t>
  </si>
  <si>
    <t>katBVkic© sVIkar viBaØabnb½Rt ¬rYmTaMgGacCYjdUr)an¦ nigKNnIR)ak;beBaØI ¬mankarkMrit nigTIpSarrUbiyvtßú¦ nigxÞg;epSg²</t>
  </si>
  <si>
    <t>Obligation under capital/ finance leases, Bankers' acceptances, CDs, NCDS, MRDs, MMDAs and Others</t>
  </si>
  <si>
    <t>2&gt;2&gt;5</t>
  </si>
  <si>
    <r>
      <t>kñúgenaHBIPaKTunik nig sm½&lt;n§jati</t>
    </r>
    <r>
      <rPr>
        <sz val="8"/>
        <rFont val="Times New Roman"/>
        <family val="1"/>
      </rPr>
      <t xml:space="preserve">   </t>
    </r>
  </si>
  <si>
    <t>Of which shareholders and related parties</t>
  </si>
  <si>
    <t>2&gt;3</t>
  </si>
  <si>
    <t>mUlniFiEdl)anx©I</t>
  </si>
  <si>
    <t>Borrowed Funds</t>
  </si>
  <si>
    <r>
      <t xml:space="preserve">cMNUlsuT§BIkarR)ak;  </t>
    </r>
    <r>
      <rPr>
        <b/>
        <sz val="11"/>
        <color indexed="8"/>
        <rFont val="Times New Roman"/>
        <family val="1"/>
      </rPr>
      <t>3=1-2</t>
    </r>
  </si>
  <si>
    <t>Net interest income 3=1-2</t>
  </si>
  <si>
    <t>cMNUlminEmnkarR)ak;</t>
  </si>
  <si>
    <t>Non interest income  ( After deduction of expenses )</t>
  </si>
  <si>
    <t>4&gt;1</t>
  </si>
  <si>
    <t>cMNUlBImUlb½Rt nig kMér:BIvakükmµ</t>
  </si>
  <si>
    <t xml:space="preserve"> Income from securities &amp; participating interests</t>
  </si>
  <si>
    <t>4&gt;1&gt;1</t>
  </si>
  <si>
    <t>cMNUlPaKlaPBIsaxa</t>
  </si>
  <si>
    <t>4.1.1</t>
  </si>
  <si>
    <t>Dividends Income from subsidiaries</t>
  </si>
  <si>
    <t>4&gt;1&gt;2</t>
  </si>
  <si>
    <t>cMNUlPaKlaPminEmnmkBIsaxa</t>
  </si>
  <si>
    <t>4.1.2</t>
  </si>
  <si>
    <t>Dividends Income from non-subsidiaries</t>
  </si>
  <si>
    <t>4&gt;2</t>
  </si>
  <si>
    <r>
      <t>cMeNj¼xat¬-¦BIRbtibtþikarhirBaØvtßú</t>
    </r>
    <r>
      <rPr>
        <sz val="16"/>
        <rFont val="Donpenhs"/>
      </rPr>
      <t xml:space="preserve"> </t>
    </r>
  </si>
  <si>
    <r>
      <t xml:space="preserve"> </t>
    </r>
    <r>
      <rPr>
        <sz val="11"/>
        <color indexed="8"/>
        <rFont val="Times New Roman"/>
        <family val="1"/>
      </rPr>
      <t>Profit/Loss (-) from financial operations</t>
    </r>
  </si>
  <si>
    <t>4&gt;2&gt;1</t>
  </si>
  <si>
    <t>karvaytMélRbcaMEx nigkarlk;mUlb½Rt</t>
  </si>
  <si>
    <t>4.2.1</t>
  </si>
  <si>
    <r>
      <t>Monthly Valuation and Disposal Securities</t>
    </r>
    <r>
      <rPr>
        <sz val="9"/>
        <rFont val="Arial"/>
        <family val="2"/>
      </rPr>
      <t xml:space="preserve"> </t>
    </r>
  </si>
  <si>
    <r>
      <t>4&gt;2&gt;1&gt;1 cMeNj</t>
    </r>
    <r>
      <rPr>
        <sz val="11"/>
        <rFont val="Arial"/>
        <family val="2"/>
      </rPr>
      <t xml:space="preserve"> </t>
    </r>
  </si>
  <si>
    <t>4.2.1.1  Gains</t>
  </si>
  <si>
    <t>4&gt;2&gt;1&gt;2 dkcMNayEdlekItman</t>
  </si>
  <si>
    <t>4.2.1.2  Minus Expense Incurred</t>
  </si>
  <si>
    <t>4&gt;2&gt;2</t>
  </si>
  <si>
    <t>cMeNj¼xat¬-¦suT§BICMnYjbþÚrR)ak;</t>
  </si>
  <si>
    <t>4.2.2</t>
  </si>
  <si>
    <t>Net gain/loss (-) from trading on foreign exchange</t>
  </si>
  <si>
    <t>4&gt;2&gt;3</t>
  </si>
  <si>
    <t>RbtibtþikarbMEbøg</t>
  </si>
  <si>
    <t>4.2.3</t>
  </si>
  <si>
    <r>
      <t xml:space="preserve"> </t>
    </r>
    <r>
      <rPr>
        <sz val="11"/>
        <color indexed="8"/>
        <rFont val="Times New Roman"/>
        <family val="1"/>
      </rPr>
      <t>Transactions in derivative instruments</t>
    </r>
  </si>
  <si>
    <t>4&gt;2&gt;4</t>
  </si>
  <si>
    <t>epSg²</t>
  </si>
  <si>
    <t>4.2.4</t>
  </si>
  <si>
    <r>
      <t xml:space="preserve"> </t>
    </r>
    <r>
      <rPr>
        <sz val="11"/>
        <color indexed="8"/>
        <rFont val="Times New Roman"/>
        <family val="1"/>
      </rPr>
      <t xml:space="preserve">Others </t>
    </r>
  </si>
  <si>
    <t>4&gt;3</t>
  </si>
  <si>
    <t>kMér:eCIgsar nig esah‘uy ¬cMNUl-cMNay¦</t>
  </si>
  <si>
    <t>Commissions and fees (income - expense)</t>
  </si>
  <si>
    <t>4&gt;3&gt;1</t>
  </si>
  <si>
    <t>cMNUlTTYl)an</t>
  </si>
  <si>
    <t>4.3.1</t>
  </si>
  <si>
    <r>
      <t xml:space="preserve"> </t>
    </r>
    <r>
      <rPr>
        <sz val="11"/>
        <color indexed="8"/>
        <rFont val="Times New Roman"/>
        <family val="1"/>
      </rPr>
      <t>Income earned</t>
    </r>
  </si>
  <si>
    <t>4&gt;3&gt;2</t>
  </si>
  <si>
    <t>dkcMNayEdlekItman</t>
  </si>
  <si>
    <t>4.3.2</t>
  </si>
  <si>
    <t xml:space="preserve"> Minus expense incurred</t>
  </si>
  <si>
    <t>4&gt;4</t>
  </si>
  <si>
    <t>cMNUlminEmnRbtibtþikarFnaKar</t>
  </si>
  <si>
    <t>Non operating banking income</t>
  </si>
  <si>
    <t>4&gt;4&gt;1</t>
  </si>
  <si>
    <t>kñúgenaHTTYl)anBIkarCYl</t>
  </si>
  <si>
    <t>4.4.1</t>
  </si>
  <si>
    <r>
      <t xml:space="preserve"> </t>
    </r>
    <r>
      <rPr>
        <sz val="11"/>
        <color indexed="8"/>
        <rFont val="Times New Roman"/>
        <family val="1"/>
      </rPr>
      <t>Of which rents received</t>
    </r>
  </si>
  <si>
    <r>
      <t xml:space="preserve">cMeNj¼xat¬-¦Rbtibtþikardul </t>
    </r>
    <r>
      <rPr>
        <b/>
        <sz val="11"/>
        <color indexed="8"/>
        <rFont val="Times New Roman"/>
        <family val="1"/>
      </rPr>
      <t>5=3+4</t>
    </r>
  </si>
  <si>
    <t xml:space="preserve">5- </t>
  </si>
  <si>
    <t>Gross operating income/loss (-) 5=3+4</t>
  </si>
  <si>
    <t>cMNayRbtibtiþkar</t>
  </si>
  <si>
    <t>Operating Expenses</t>
  </si>
  <si>
    <t>6&gt;1</t>
  </si>
  <si>
    <t>ebovtSr_ nigR)ak;QñÜl</t>
  </si>
  <si>
    <r>
      <t xml:space="preserve"> </t>
    </r>
    <r>
      <rPr>
        <sz val="11"/>
        <color indexed="8"/>
        <rFont val="Times New Roman"/>
        <family val="1"/>
      </rPr>
      <t>Salaries and wages</t>
    </r>
  </si>
  <si>
    <t>6&gt;2</t>
  </si>
  <si>
    <t>tMélQñÜl nigGtßRbeyaCn_ nieyaCik nig nayk</t>
  </si>
  <si>
    <r>
      <t xml:space="preserve"> </t>
    </r>
    <r>
      <rPr>
        <sz val="11"/>
        <color indexed="8"/>
        <rFont val="Times New Roman"/>
        <family val="1"/>
      </rPr>
      <t>Other staff and directors costs and benefits</t>
    </r>
  </si>
  <si>
    <t>6&gt;3</t>
  </si>
  <si>
    <r>
      <t>karCYl nig PtisnüaEdl)ansg</t>
    </r>
    <r>
      <rPr>
        <sz val="16"/>
        <color indexed="8"/>
        <rFont val="Donpenhs"/>
      </rPr>
      <t xml:space="preserve"> </t>
    </r>
  </si>
  <si>
    <r>
      <t xml:space="preserve"> </t>
    </r>
    <r>
      <rPr>
        <sz val="11"/>
        <color indexed="8"/>
        <rFont val="Times New Roman"/>
        <family val="1"/>
      </rPr>
      <t>Rents and leases paid</t>
    </r>
  </si>
  <si>
    <t>6&gt;4</t>
  </si>
  <si>
    <r>
      <t>Bn§Gakr</t>
    </r>
    <r>
      <rPr>
        <sz val="16"/>
        <color indexed="8"/>
        <rFont val="Donpenhs"/>
      </rPr>
      <t xml:space="preserve"> </t>
    </r>
    <r>
      <rPr>
        <sz val="18"/>
        <color indexed="8"/>
        <rFont val="Limon S1"/>
      </rPr>
      <t>éføGaCJab½NÑ  nigpakBin½y</t>
    </r>
  </si>
  <si>
    <t>Taxation, license fee, penalties and fines expense</t>
  </si>
  <si>
    <t>6&gt;4&gt;1   Bn§Gakr</t>
  </si>
  <si>
    <t xml:space="preserve">6.4.1   Taxation     </t>
  </si>
  <si>
    <t>6&gt;4&gt;2   éføGaCJab½NÑ nigpakBin½y</t>
  </si>
  <si>
    <r>
      <t>6.4.2    License fee, penalties and fines expense</t>
    </r>
    <r>
      <rPr>
        <sz val="10"/>
        <color indexed="8"/>
        <rFont val="Times New Roman"/>
        <family val="1"/>
      </rPr>
      <t xml:space="preserve"> </t>
    </r>
  </si>
  <si>
    <t>6&gt;4&gt;3   kñúgenaHGaCJab½NÑFnaKar nigkarBin½yrbs;FnaKarCati</t>
  </si>
  <si>
    <t>6.4.3    Of which banking license and NBC fines</t>
  </si>
  <si>
    <t>6&gt;5</t>
  </si>
  <si>
    <t>cMNayelIGaKar RBmTaMgrMls;</t>
  </si>
  <si>
    <r>
      <t xml:space="preserve"> </t>
    </r>
    <r>
      <rPr>
        <sz val="11"/>
        <color indexed="8"/>
        <rFont val="Times New Roman"/>
        <family val="1"/>
      </rPr>
      <t>Premises expenses including depreciation</t>
    </r>
  </si>
  <si>
    <t>6&gt;6</t>
  </si>
  <si>
    <t>cMNayelIsMPar³</t>
  </si>
  <si>
    <t>Equipment expenses</t>
  </si>
  <si>
    <t>6&gt;7</t>
  </si>
  <si>
    <t>cMNayelIrMls;elIRTBüGrUbiy</t>
  </si>
  <si>
    <t>Amortization expenses of intangible assets</t>
  </si>
  <si>
    <t>6&gt;8</t>
  </si>
  <si>
    <t>cMNayRbtibtþiakarepSg²</t>
  </si>
  <si>
    <r>
      <t xml:space="preserve"> </t>
    </r>
    <r>
      <rPr>
        <sz val="11"/>
        <color indexed="8"/>
        <rFont val="Times New Roman"/>
        <family val="1"/>
      </rPr>
      <t>Other operating expenses</t>
    </r>
  </si>
  <si>
    <t>6&gt;8&gt;1</t>
  </si>
  <si>
    <r>
      <t>BIRbtibtþikarFnaKar</t>
    </r>
    <r>
      <rPr>
        <sz val="16"/>
        <color indexed="8"/>
        <rFont val="Donpenhs"/>
      </rPr>
      <t xml:space="preserve"> </t>
    </r>
  </si>
  <si>
    <t>6.8.1</t>
  </si>
  <si>
    <t>From banking operations</t>
  </si>
  <si>
    <t>6&gt;8&gt;2</t>
  </si>
  <si>
    <t>minEmnBIRbtibtþikarFnaKar</t>
  </si>
  <si>
    <t>6.8.2</t>
  </si>
  <si>
    <t>From non-banking operations</t>
  </si>
  <si>
    <r>
      <t xml:space="preserve">cMeNj¼xat ¬-¦suT§BIRbtibtþikar </t>
    </r>
    <r>
      <rPr>
        <b/>
        <sz val="11"/>
        <color indexed="8"/>
        <rFont val="Times New Roman"/>
        <family val="1"/>
      </rPr>
      <t>7=5-6</t>
    </r>
  </si>
  <si>
    <t>Net operating income\expenses (-) 7=5-6</t>
  </si>
  <si>
    <t>xat ¬-¦¼cMeNjBIcMNayeFVIsMviFanFn nig karRbmUl)anmkvij</t>
  </si>
  <si>
    <t xml:space="preserve">Loss (-) /Profit from provision expenses and recoveries </t>
  </si>
  <si>
    <t>8&gt;1</t>
  </si>
  <si>
    <t>sMviFanFnelIR)ak;edIménbMNulsgS½y nig bMNulGaRkk;</t>
  </si>
  <si>
    <t xml:space="preserve">Provisions for doubtful and bad debts-principal </t>
  </si>
  <si>
    <t>8&gt;2</t>
  </si>
  <si>
    <t>sMviFanFnelIcMNUlkarR)ak;énbMNulsgS½y nig bMNulGaRkk;</t>
  </si>
  <si>
    <r>
      <t>Provisions for doubtful and bad debts-accrued interest</t>
    </r>
    <r>
      <rPr>
        <sz val="9"/>
        <color indexed="8"/>
        <rFont val="Arial"/>
        <family val="2"/>
      </rPr>
      <t xml:space="preserve"> </t>
    </r>
  </si>
  <si>
    <t>8&gt;3</t>
  </si>
  <si>
    <t>sMviFanFnTUeTA</t>
  </si>
  <si>
    <t>Global and general provisions</t>
  </si>
  <si>
    <t>8&gt;4</t>
  </si>
  <si>
    <t>sMviFanFnelIkar)at;bg;cMeBaHCMBUkeRkAtaragtulükar</t>
  </si>
  <si>
    <t>Off-balance sheet loss provisions</t>
  </si>
  <si>
    <t>8&gt;5</t>
  </si>
  <si>
    <t>karRbmUl)anmkvij</t>
  </si>
  <si>
    <t>Recoveries</t>
  </si>
  <si>
    <t>9- sMviFanFnénmUlb½Rt nigkarxatBIkarlb;PaKkmµ</t>
  </si>
  <si>
    <t>9-   Security provision and loss from writedwon of participating interest</t>
  </si>
  <si>
    <r>
      <t>10- edImTunxat¬-¦¼cMeNjBIRTBüskmµEdlminGaceRbIR)as;)an</t>
    </r>
    <r>
      <rPr>
        <sz val="16"/>
        <color indexed="8"/>
        <rFont val="Donpenhs"/>
      </rPr>
      <t xml:space="preserve"> </t>
    </r>
  </si>
  <si>
    <t>10-   Capital loss (-)/gain on assets disposals</t>
  </si>
  <si>
    <r>
      <t xml:space="preserve">11- cMeNj¼xat ¬-¦ muneFVICMBUkGBaØatiikmµ </t>
    </r>
    <r>
      <rPr>
        <b/>
        <sz val="10"/>
        <color indexed="8"/>
        <rFont val="Times New Roman"/>
        <family val="1"/>
      </rPr>
      <t>( 11 = 7 +/- 8 +/- 9 +/- 10 )</t>
    </r>
  </si>
  <si>
    <t>11-     Income / loss (-) before extraordinary items  ( 11 = 7 +/- 8 +/- 9 +/- 10 )</t>
  </si>
  <si>
    <t>12- xÞg;GBaØatikmµepSg²</t>
  </si>
  <si>
    <t>12-    Extraordinary Items</t>
  </si>
  <si>
    <t>12&gt;1</t>
  </si>
  <si>
    <t>cMeNJeFIVGBaØatikmµ</t>
  </si>
  <si>
    <t>Extraordinary gains</t>
  </si>
  <si>
    <t>12&gt;2</t>
  </si>
  <si>
    <t>dkxateFIVIGBaØatikmµ</t>
  </si>
  <si>
    <t>Minus extraordinary losses</t>
  </si>
  <si>
    <t>12&gt;3</t>
  </si>
  <si>
    <t>cMeNj¼xat ¬-¦ suT§BIkarbEgVrrUbiyb½NÑbreTs</t>
  </si>
  <si>
    <t>Net gain/loss (-) from foreign exchange transactions</t>
  </si>
  <si>
    <t>Net gain/loss(-) from foreign exchange translations</t>
  </si>
  <si>
    <t>13- cMeNj¼xat ¬-¦ suT§munbg;Bn§</t>
  </si>
  <si>
    <t>13-    Net profit/loss (-) befroe tax</t>
  </si>
  <si>
    <t>13&gt;1</t>
  </si>
  <si>
    <t>Bn§elIR)ak;cMeNj</t>
  </si>
  <si>
    <t>Profit tax</t>
  </si>
  <si>
    <t>14- cMeNj¼xat¬-¦ suT§kñúgRKaenH</t>
  </si>
  <si>
    <t>14-   Net profit/loss (-) of the period</t>
  </si>
  <si>
    <t xml:space="preserve">15- bgÁrcMeNj¼xat¬-¦BIedImqñaMmunnwgEbgEckR)ak;cMeNj </t>
  </si>
  <si>
    <t>15-     Accumulated profit/loss (-) at the beginning of the year before appropriation</t>
  </si>
  <si>
    <t>16- epÞreTATunbMrug</t>
  </si>
  <si>
    <t>16-   Transfer to reserves</t>
  </si>
  <si>
    <t>17- PaKlaP</t>
  </si>
  <si>
    <t>17-    Dividends</t>
  </si>
  <si>
    <r>
      <t>18- epÞreTATIsñak;karkNþalenA&gt;&gt;&gt;¬bgðajRbeTs¦</t>
    </r>
    <r>
      <rPr>
        <sz val="16"/>
        <color indexed="8"/>
        <rFont val="Tuolkork"/>
      </rPr>
      <t xml:space="preserve"> </t>
    </r>
  </si>
  <si>
    <r>
      <t>18-    Transfer to head office in … (show country</t>
    </r>
    <r>
      <rPr>
        <b/>
        <sz val="9"/>
        <color indexed="8"/>
        <rFont val="Times New Roman"/>
        <family val="1"/>
      </rPr>
      <t>)</t>
    </r>
  </si>
  <si>
    <t>19- bgÁrcMeNj¼xat¬-¦ BIbNþaqñaMmunbnÞab;BIEbgEckR)ak;cMeNj</t>
  </si>
  <si>
    <t>19-    Accumulated profit/loss (-) for this year</t>
  </si>
  <si>
    <r>
      <t>kMNt;sMKal;</t>
    </r>
    <r>
      <rPr>
        <sz val="12"/>
        <color indexed="8"/>
        <rFont val="Arial"/>
        <family val="2"/>
      </rPr>
      <t xml:space="preserve"> </t>
    </r>
    <r>
      <rPr>
        <b/>
        <sz val="11"/>
        <color indexed="8"/>
        <rFont val="Times New Roman"/>
        <family val="1"/>
      </rPr>
      <t>NOTE</t>
    </r>
    <r>
      <rPr>
        <sz val="12"/>
        <color indexed="8"/>
        <rFont val="Arial"/>
        <family val="2"/>
      </rPr>
      <t xml:space="preserve"> *</t>
    </r>
    <r>
      <rPr>
        <sz val="11"/>
        <color indexed="8"/>
        <rFont val="Arial"/>
        <family val="2"/>
      </rPr>
      <t xml:space="preserve"> </t>
    </r>
    <r>
      <rPr>
        <sz val="16"/>
        <color indexed="8"/>
        <rFont val="Arial"/>
        <family val="2"/>
      </rPr>
      <t xml:space="preserve"> </t>
    </r>
    <r>
      <rPr>
        <sz val="16"/>
        <color indexed="8"/>
        <rFont val="Limon S1"/>
      </rPr>
      <t>dak;sBaØa ÷ b¤ - enAxagmuxsmtulünimYy²EdlRtUvbUkbBa©Úl</t>
    </r>
    <r>
      <rPr>
        <sz val="21"/>
        <color indexed="8"/>
        <rFont val="Donpenhs"/>
      </rPr>
      <t xml:space="preserve"> </t>
    </r>
    <r>
      <rPr>
        <sz val="10"/>
        <color indexed="8"/>
        <rFont val="Times New Roman"/>
        <family val="1"/>
      </rPr>
      <t>Put + or - in front of each amount which has to be added</t>
    </r>
  </si>
  <si>
    <r>
      <t xml:space="preserve">        **</t>
    </r>
    <r>
      <rPr>
        <sz val="9"/>
        <color indexed="8"/>
        <rFont val="Arial"/>
        <family val="2"/>
      </rPr>
      <t xml:space="preserve"> </t>
    </r>
    <r>
      <rPr>
        <sz val="17"/>
        <color indexed="8"/>
        <rFont val="Limon S1"/>
      </rPr>
      <t>GRtaTijRbcaMéf¶rbs;FnaKarCat</t>
    </r>
    <r>
      <rPr>
        <sz val="19"/>
        <color indexed="8"/>
        <rFont val="Limon S1"/>
      </rPr>
      <t>i</t>
    </r>
    <r>
      <rPr>
        <sz val="18"/>
        <color indexed="8"/>
        <rFont val="Limon S1"/>
      </rPr>
      <t xml:space="preserve"> </t>
    </r>
    <r>
      <rPr>
        <sz val="10"/>
        <color indexed="8"/>
        <rFont val="Times New Roman"/>
        <family val="1"/>
      </rPr>
      <t>Dialy buying rate of National Bank of Cambodia</t>
    </r>
  </si>
  <si>
    <r>
      <t>¡</t>
    </r>
    <r>
      <rPr>
        <sz val="16"/>
        <color indexed="8"/>
        <rFont val="Limon S1"/>
      </rPr>
      <t xml:space="preserve"> dak;kñúgvg;RkcknUvsmtulünimYy²EdlminRtUvbUkbBa©Úl</t>
    </r>
    <r>
      <rPr>
        <sz val="11"/>
        <color indexed="8"/>
        <rFont val="Arial"/>
        <family val="2"/>
      </rPr>
      <t xml:space="preserve"> </t>
    </r>
    <r>
      <rPr>
        <sz val="9"/>
        <color indexed="8"/>
        <rFont val="Arial"/>
        <family val="2"/>
      </rPr>
      <t>Put into brackets amounts which have not to be added (Ex. of which..)</t>
    </r>
  </si>
  <si>
    <t>PñMeBj/ éf¶TI    Ex    qñaM2008</t>
  </si>
  <si>
    <t xml:space="preserve">  </t>
  </si>
  <si>
    <t>General Manager/Manager</t>
  </si>
  <si>
    <t xml:space="preserve"> ទំរង់ Form: FS-OBS-M</t>
  </si>
  <si>
    <t>របាយការណ៏ប្រចាំខែសី្តពី ក្រៅតារាងតុល្យការ</t>
  </si>
  <si>
    <t>MONTHLY REPORT ON OFF-BALANCE SHEET</t>
  </si>
  <si>
    <r>
      <rPr>
        <sz val="24"/>
        <rFont val="Limon S1"/>
      </rPr>
      <t>kalbriecäT³</t>
    </r>
    <r>
      <rPr>
        <sz val="24"/>
        <rFont val="Time New Roman"/>
      </rPr>
      <t xml:space="preserve"> </t>
    </r>
    <r>
      <rPr>
        <sz val="14"/>
        <rFont val="Time New Roman"/>
      </rPr>
      <t>As of:</t>
    </r>
  </si>
  <si>
    <r>
      <t xml:space="preserve">GRtabþÚr 1 duløarGaemrik </t>
    </r>
    <r>
      <rPr>
        <sz val="11"/>
        <rFont val="Tim New Roman"/>
      </rPr>
      <t>Exchange Rate 1 USD =</t>
    </r>
  </si>
  <si>
    <r>
      <t>KitCalanerol</t>
    </r>
    <r>
      <rPr>
        <sz val="22"/>
        <rFont val="Limon S1"/>
      </rPr>
      <t xml:space="preserve"> </t>
    </r>
    <r>
      <rPr>
        <sz val="11"/>
        <rFont val="Arial"/>
        <family val="2"/>
      </rPr>
      <t>(In Million Riels)</t>
    </r>
  </si>
  <si>
    <r>
      <t>1-</t>
    </r>
    <r>
      <rPr>
        <sz val="18"/>
        <rFont val="Limon R1"/>
      </rPr>
      <t xml:space="preserve"> kic©snüahirBaØb,Tan</t>
    </r>
  </si>
  <si>
    <t xml:space="preserve">      Financing Commitments</t>
  </si>
  <si>
    <r>
      <t xml:space="preserve">     </t>
    </r>
    <r>
      <rPr>
        <sz val="11"/>
        <rFont val="Arial"/>
        <family val="2"/>
      </rPr>
      <t>1-1</t>
    </r>
    <r>
      <rPr>
        <sz val="18"/>
        <rFont val="Limon S1"/>
      </rPr>
      <t xml:space="preserve"> )anTTYlBIFnaKarepSg² nigRKwHsßanhirBaØvtßú</t>
    </r>
  </si>
  <si>
    <t xml:space="preserve">            Received from Banks and Other Financial Institutions</t>
  </si>
  <si>
    <r>
      <t xml:space="preserve">     </t>
    </r>
    <r>
      <rPr>
        <sz val="11"/>
        <rFont val="Arial"/>
        <family val="2"/>
      </rPr>
      <t>1-2</t>
    </r>
    <r>
      <rPr>
        <sz val="18"/>
        <rFont val="Limon S1"/>
      </rPr>
      <t xml:space="preserve"> CaKuNRbeyaCn_dl;FnaKarepSg² nigRKwHsßanhirBaØvtßú</t>
    </r>
  </si>
  <si>
    <t xml:space="preserve">            In Favour of Banks and Other Financial Institutions</t>
  </si>
  <si>
    <r>
      <t xml:space="preserve">     </t>
    </r>
    <r>
      <rPr>
        <sz val="11"/>
        <rFont val="Arial"/>
        <family val="2"/>
      </rPr>
      <t>1-3</t>
    </r>
    <r>
      <rPr>
        <sz val="18"/>
        <rFont val="Limon S1"/>
      </rPr>
      <t xml:space="preserve"> CaKuNRbeyaCn_dl;GtifiCn</t>
    </r>
  </si>
  <si>
    <t xml:space="preserve">            In Favour of Customers</t>
  </si>
  <si>
    <r>
      <t xml:space="preserve">          </t>
    </r>
    <r>
      <rPr>
        <sz val="11"/>
        <rFont val="Arial"/>
        <family val="2"/>
      </rPr>
      <t>1-3-1</t>
    </r>
    <r>
      <rPr>
        <sz val="18"/>
        <rFont val="Limon S1"/>
      </rPr>
      <t xml:space="preserve"> kñúgenaHEpñkEdlminTan;eRbIR)as;rbs;\NTanelIssmtulünigPaBgayRsYlEdlRtUvbnþ</t>
    </r>
  </si>
  <si>
    <t xml:space="preserve">                  Of which Unused Portion of Overdraft Loans and facilities extended</t>
  </si>
  <si>
    <r>
      <t>2-</t>
    </r>
    <r>
      <rPr>
        <sz val="18"/>
        <rFont val="Limon R1"/>
      </rPr>
      <t xml:space="preserve"> karFana</t>
    </r>
  </si>
  <si>
    <t xml:space="preserve">     Guarantees</t>
  </si>
  <si>
    <r>
      <t xml:space="preserve">      </t>
    </r>
    <r>
      <rPr>
        <sz val="11"/>
        <rFont val="Arial"/>
        <family val="2"/>
      </rPr>
      <t>2-1</t>
    </r>
    <r>
      <rPr>
        <sz val="18"/>
        <rFont val="Limon S1"/>
      </rPr>
      <t xml:space="preserve"> karFana)anTTYl ¬BIFnaKarepSg² nigRKwHsßanhirBaØvtßú¦</t>
    </r>
  </si>
  <si>
    <t xml:space="preserve">            Guarantees Received (from Banks and OFIs)</t>
  </si>
  <si>
    <r>
      <t xml:space="preserve">      </t>
    </r>
    <r>
      <rPr>
        <sz val="11"/>
        <rFont val="Arial"/>
        <family val="2"/>
      </rPr>
      <t>2-2</t>
    </r>
    <r>
      <rPr>
        <sz val="18"/>
        <rFont val="Limon S1"/>
      </rPr>
      <t xml:space="preserve"> karFanaecjpSay ¬elIKNnIrbs;FnaKarepSg² nigRKwHsßanhirBaØvtßú¦</t>
    </r>
  </si>
  <si>
    <t xml:space="preserve">            Guarantees Issued (on Account of Banks and OFIs)</t>
  </si>
  <si>
    <r>
      <t xml:space="preserve">      </t>
    </r>
    <r>
      <rPr>
        <sz val="11"/>
        <rFont val="Arial"/>
        <family val="2"/>
      </rPr>
      <t>2-3</t>
    </r>
    <r>
      <rPr>
        <sz val="18"/>
        <rFont val="Limon S1"/>
      </rPr>
      <t xml:space="preserve"> ecjpSayelIKNnIrbs;GtifiCnepSg²</t>
    </r>
  </si>
  <si>
    <t xml:space="preserve">            Issued on Account of Customers</t>
  </si>
  <si>
    <r>
      <t xml:space="preserve">          </t>
    </r>
    <r>
      <rPr>
        <sz val="11"/>
        <rFont val="Arial"/>
        <family val="2"/>
      </rPr>
      <t>2-3-1</t>
    </r>
    <r>
      <rPr>
        <sz val="18"/>
        <rFont val="Limon S1"/>
      </rPr>
      <t xml:space="preserve"> karTTYlyl;RBm</t>
    </r>
  </si>
  <si>
    <t xml:space="preserve">                    Acceptances</t>
  </si>
  <si>
    <r>
      <t xml:space="preserve">          </t>
    </r>
    <r>
      <rPr>
        <sz val="11"/>
        <rFont val="Arial"/>
        <family val="2"/>
      </rPr>
      <t>2-3-2</t>
    </r>
    <r>
      <rPr>
        <sz val="18"/>
        <rFont val="Limon S1"/>
      </rPr>
      <t xml:space="preserve"> lixit\NTanGcié®nþy_</t>
    </r>
  </si>
  <si>
    <t xml:space="preserve">                    Standby Letters of Credit</t>
  </si>
  <si>
    <r>
      <t xml:space="preserve">          </t>
    </r>
    <r>
      <rPr>
        <sz val="11"/>
        <rFont val="Arial"/>
        <family val="2"/>
      </rPr>
      <t>2-3-3</t>
    </r>
    <r>
      <rPr>
        <sz val="18"/>
        <rFont val="Limon S1"/>
      </rPr>
      <t xml:space="preserve"> sBaØab½NÑedjéfø</t>
    </r>
  </si>
  <si>
    <t xml:space="preserve">                     Bid Bonds</t>
  </si>
  <si>
    <r>
      <t xml:space="preserve">          </t>
    </r>
    <r>
      <rPr>
        <sz val="11"/>
        <rFont val="Arial"/>
        <family val="2"/>
      </rPr>
      <t>2-3-4</t>
    </r>
    <r>
      <rPr>
        <sz val="18"/>
        <rFont val="Limon S1"/>
      </rPr>
      <t xml:space="preserve"> sBaØab½NÑ</t>
    </r>
    <r>
      <rPr>
        <sz val="18"/>
        <rFont val="Arial"/>
        <family val="2"/>
      </rPr>
      <t xml:space="preserve"> </t>
    </r>
    <r>
      <rPr>
        <sz val="11"/>
        <rFont val="Arial"/>
        <family val="2"/>
      </rPr>
      <t>Performance</t>
    </r>
  </si>
  <si>
    <t xml:space="preserve">                    Performance Bonds</t>
  </si>
  <si>
    <r>
      <t xml:space="preserve">          </t>
    </r>
    <r>
      <rPr>
        <sz val="11"/>
        <rFont val="Arial"/>
        <family val="2"/>
      </rPr>
      <t>2-3-5</t>
    </r>
    <r>
      <rPr>
        <sz val="18"/>
        <rFont val="Limon S1"/>
      </rPr>
      <t xml:space="preserve"> sBaØab½NÑEdlmankarFana</t>
    </r>
  </si>
  <si>
    <t xml:space="preserve">                    Warranty Bonds</t>
  </si>
  <si>
    <r>
      <t xml:space="preserve">          </t>
    </r>
    <r>
      <rPr>
        <sz val="11"/>
        <rFont val="Arial"/>
        <family val="2"/>
      </rPr>
      <t>2-3-6</t>
    </r>
    <r>
      <rPr>
        <sz val="18"/>
        <rFont val="Limon S1"/>
      </rPr>
      <t xml:space="preserve"> karFanaelIkarTUTat;</t>
    </r>
  </si>
  <si>
    <t xml:space="preserve">                    Payment Guarantees</t>
  </si>
  <si>
    <r>
      <t xml:space="preserve">          </t>
    </r>
    <r>
      <rPr>
        <sz val="11"/>
        <rFont val="Arial"/>
        <family val="2"/>
      </rPr>
      <t>2-3-7</t>
    </r>
    <r>
      <rPr>
        <sz val="18"/>
        <rFont val="Limon S1"/>
      </rPr>
      <t xml:space="preserve"> rUbiybdiePaK</t>
    </r>
  </si>
  <si>
    <t xml:space="preserve">                    Endorsements</t>
  </si>
  <si>
    <r>
      <t xml:space="preserve">          </t>
    </r>
    <r>
      <rPr>
        <sz val="11"/>
        <rFont val="Arial"/>
        <family val="2"/>
      </rPr>
      <t>2-3-8</t>
    </r>
    <r>
      <rPr>
        <sz val="18"/>
        <rFont val="Limon S1"/>
      </rPr>
      <t xml:space="preserve"> karFanaepSg²</t>
    </r>
  </si>
  <si>
    <t xml:space="preserve">                    Other Guarantees</t>
  </si>
  <si>
    <r>
      <t>3-</t>
    </r>
    <r>
      <rPr>
        <sz val="18"/>
        <rFont val="Limon R1"/>
      </rPr>
      <t xml:space="preserve"> kic©snüabþÚrrUbiyb½NÑbreTs</t>
    </r>
  </si>
  <si>
    <r>
      <t xml:space="preserve">      </t>
    </r>
    <r>
      <rPr>
        <b/>
        <sz val="11"/>
        <rFont val="Arial"/>
        <family val="2"/>
      </rPr>
      <t>Foreign Exchange Commitments</t>
    </r>
  </si>
  <si>
    <r>
      <t xml:space="preserve">      </t>
    </r>
    <r>
      <rPr>
        <sz val="11"/>
        <rFont val="Arial"/>
        <family val="2"/>
      </rPr>
      <t>3-1</t>
    </r>
    <r>
      <rPr>
        <sz val="18"/>
        <rFont val="Limon S1"/>
      </rPr>
      <t xml:space="preserve"> kic©snüaTijrUbiyb½NÑbreTs ¬CMBUkEdlRtUvTTYl¦</t>
    </r>
  </si>
  <si>
    <t xml:space="preserve">             Commitments to Buy Foreign Currency (items receivable)</t>
  </si>
  <si>
    <r>
      <t xml:space="preserve">         </t>
    </r>
    <r>
      <rPr>
        <sz val="11"/>
        <rFont val="Arial"/>
        <family val="2"/>
      </rPr>
      <t xml:space="preserve"> 3-1-1</t>
    </r>
    <r>
      <rPr>
        <sz val="18"/>
        <rFont val="Limon S1"/>
      </rPr>
      <t xml:space="preserve"> karbþÚrrUbiyb½NÑtams&lt;t</t>
    </r>
  </si>
  <si>
    <t xml:space="preserve">                    Spot Foreign Exchange</t>
  </si>
  <si>
    <r>
      <t xml:space="preserve">          </t>
    </r>
    <r>
      <rPr>
        <sz val="11"/>
        <rFont val="Arial"/>
        <family val="2"/>
      </rPr>
      <t>3-1-2</t>
    </r>
    <r>
      <rPr>
        <sz val="18"/>
        <rFont val="Limon S1"/>
      </rPr>
      <t xml:space="preserve"> karbþÚrrUbiyb½NÑtamhV½rvWt</t>
    </r>
  </si>
  <si>
    <t xml:space="preserve">                     Forward Foreign Exchange</t>
  </si>
  <si>
    <r>
      <t xml:space="preserve">      </t>
    </r>
    <r>
      <rPr>
        <sz val="11"/>
        <rFont val="Arial"/>
        <family val="2"/>
      </rPr>
      <t>3-2</t>
    </r>
    <r>
      <rPr>
        <sz val="18"/>
        <rFont val="Limon S1"/>
      </rPr>
      <t xml:space="preserve"> kic©snüalk;rUbiyb½NÑbreTs ¬CMBUkEdlRtUvRbKl;¦</t>
    </r>
  </si>
  <si>
    <t xml:space="preserve">             Commitments to Sell Foreign Currency (items deliver)</t>
  </si>
  <si>
    <r>
      <t xml:space="preserve">          </t>
    </r>
    <r>
      <rPr>
        <sz val="11"/>
        <rFont val="Arial"/>
        <family val="2"/>
      </rPr>
      <t>3-2-1</t>
    </r>
    <r>
      <rPr>
        <sz val="18"/>
        <rFont val="Limon S1"/>
      </rPr>
      <t xml:space="preserve"> karbþÚrrUbiyb½NÑtams&lt;t</t>
    </r>
  </si>
  <si>
    <r>
      <t xml:space="preserve">          </t>
    </r>
    <r>
      <rPr>
        <sz val="11"/>
        <rFont val="Arial"/>
        <family val="2"/>
      </rPr>
      <t>3-2-2</t>
    </r>
    <r>
      <rPr>
        <sz val="18"/>
        <rFont val="Limon S1"/>
      </rPr>
      <t xml:space="preserve"> karbþÚrrUbiyb½NÑtamhV½rvWt</t>
    </r>
  </si>
  <si>
    <t xml:space="preserve">                    Forward Foreign Exchange</t>
  </si>
  <si>
    <r>
      <t>4-</t>
    </r>
    <r>
      <rPr>
        <sz val="18"/>
        <rFont val="Limon R1"/>
      </rPr>
      <t xml:space="preserve"> sßanPaBén]bkrN_niTsSn_</t>
    </r>
  </si>
  <si>
    <t xml:space="preserve">      Derivative Instruments Positions</t>
  </si>
  <si>
    <t xml:space="preserve">     sUmP¢ab;mkCamYy]bsm&lt;½n§lMGit</t>
  </si>
  <si>
    <t xml:space="preserve">     Please attach a detailed annex</t>
  </si>
  <si>
    <r>
      <t xml:space="preserve">      </t>
    </r>
    <r>
      <rPr>
        <sz val="11"/>
        <rFont val="Arial"/>
        <family val="2"/>
      </rPr>
      <t>4-1</t>
    </r>
    <r>
      <rPr>
        <sz val="18"/>
        <rFont val="Limon S1"/>
      </rPr>
      <t xml:space="preserve"> kic©snüaGRtakarR)ak;¼GnaKt</t>
    </r>
  </si>
  <si>
    <t xml:space="preserve">            Interest Rate Contracts/ Futures</t>
  </si>
  <si>
    <r>
      <t xml:space="preserve">      </t>
    </r>
    <r>
      <rPr>
        <sz val="11"/>
        <rFont val="Arial"/>
        <family val="2"/>
      </rPr>
      <t>4-2</t>
    </r>
    <r>
      <rPr>
        <sz val="18"/>
        <rFont val="Limon S1"/>
      </rPr>
      <t xml:space="preserve"> kic©RBmeRBogGRtakarR)ak;tamGRta </t>
    </r>
    <r>
      <rPr>
        <sz val="11"/>
        <rFont val="Arial"/>
        <family val="2"/>
      </rPr>
      <t>Swaps</t>
    </r>
    <r>
      <rPr>
        <sz val="18"/>
        <rFont val="Arial"/>
        <family val="2"/>
      </rPr>
      <t xml:space="preserve"> </t>
    </r>
    <r>
      <rPr>
        <sz val="18"/>
        <rFont val="Limon S1"/>
      </rPr>
      <t xml:space="preserve">nig </t>
    </r>
    <r>
      <rPr>
        <sz val="11"/>
        <rFont val="Arial"/>
        <family val="2"/>
      </rPr>
      <t>Forward</t>
    </r>
  </si>
  <si>
    <t xml:space="preserve">            Interest Rate Swaps and Forward Rate Agreement</t>
  </si>
  <si>
    <r>
      <t xml:space="preserve">      </t>
    </r>
    <r>
      <rPr>
        <sz val="11"/>
        <rFont val="Arial"/>
        <family val="2"/>
      </rPr>
      <t>4-3</t>
    </r>
    <r>
      <rPr>
        <sz val="18"/>
        <rFont val="Limon S1"/>
      </rPr>
      <t xml:space="preserve"> karbþÚrrUbiyb½NÑbreTsGnaKt</t>
    </r>
  </si>
  <si>
    <t xml:space="preserve">            Foreign Exchange Futures</t>
  </si>
  <si>
    <r>
      <t>5-</t>
    </r>
    <r>
      <rPr>
        <sz val="18"/>
        <rFont val="Limon R1"/>
      </rPr>
      <t xml:space="preserve"> kic©snüaepSg²</t>
    </r>
  </si>
  <si>
    <t xml:space="preserve">     Other Commitments</t>
  </si>
  <si>
    <r>
      <t xml:space="preserve">      </t>
    </r>
    <r>
      <rPr>
        <sz val="11"/>
        <rFont val="Arial"/>
        <family val="2"/>
      </rPr>
      <t>5-1</t>
    </r>
    <r>
      <rPr>
        <sz val="18"/>
        <rFont val="Limon S1"/>
      </rPr>
      <t xml:space="preserve"> kic©snüalk;elah³FatumantMél</t>
    </r>
  </si>
  <si>
    <t xml:space="preserve">            Commitments to Sell Precious Metals</t>
  </si>
  <si>
    <r>
      <t xml:space="preserve">      </t>
    </r>
    <r>
      <rPr>
        <sz val="11"/>
        <rFont val="Arial"/>
        <family val="2"/>
      </rPr>
      <t>5-2</t>
    </r>
    <r>
      <rPr>
        <sz val="18"/>
        <rFont val="Limon S1"/>
      </rPr>
      <t xml:space="preserve"> kic©snüaTijelah³FatumantMél</t>
    </r>
  </si>
  <si>
    <t xml:space="preserve">            Commitments to Purchase Precious metals</t>
  </si>
  <si>
    <r>
      <t xml:space="preserve">      </t>
    </r>
    <r>
      <rPr>
        <sz val="11"/>
        <rFont val="Arial"/>
        <family val="2"/>
      </rPr>
      <t>5-3</t>
    </r>
    <r>
      <rPr>
        <sz val="18"/>
        <rFont val="Limon S1"/>
      </rPr>
      <t xml:space="preserve"> kic©snüaEdlmin)anGnuvtþ</t>
    </r>
  </si>
  <si>
    <t xml:space="preserve">             Nonperforming Commitments</t>
  </si>
  <si>
    <r>
      <t xml:space="preserve">      </t>
    </r>
    <r>
      <rPr>
        <sz val="11"/>
        <rFont val="Arial"/>
        <family val="2"/>
      </rPr>
      <t>5-4</t>
    </r>
    <r>
      <rPr>
        <sz val="18"/>
        <rFont val="Limon S1"/>
      </rPr>
      <t xml:space="preserve"> RTBüsm,tþiEdlkan;kab;Carbs;Fana</t>
    </r>
  </si>
  <si>
    <t xml:space="preserve">            Assets Held as Custodian</t>
  </si>
  <si>
    <r>
      <t xml:space="preserve">          </t>
    </r>
    <r>
      <rPr>
        <sz val="11"/>
        <rFont val="Arial"/>
        <family val="2"/>
      </rPr>
      <t>5-4-1</t>
    </r>
    <r>
      <rPr>
        <sz val="18"/>
        <rFont val="Limon S1"/>
      </rPr>
      <t xml:space="preserve"> rUbiyaNtþi</t>
    </r>
  </si>
  <si>
    <t xml:space="preserve">                   Bills of Exchange</t>
  </si>
  <si>
    <r>
      <t xml:space="preserve">          </t>
    </r>
    <r>
      <rPr>
        <sz val="11"/>
        <rFont val="Arial"/>
        <family val="2"/>
      </rPr>
      <t>5-4-2</t>
    </r>
    <r>
      <rPr>
        <sz val="18"/>
        <rFont val="Limon S1"/>
      </rPr>
      <t xml:space="preserve"> mUlb½Rt</t>
    </r>
  </si>
  <si>
    <t xml:space="preserve">                   Securities</t>
  </si>
  <si>
    <r>
      <t xml:space="preserve">          </t>
    </r>
    <r>
      <rPr>
        <sz val="11"/>
        <rFont val="Arial"/>
        <family val="2"/>
      </rPr>
      <t>5-4-3</t>
    </r>
    <r>
      <rPr>
        <sz val="18"/>
        <rFont val="Limon S1"/>
      </rPr>
      <t xml:space="preserve"> epSg²</t>
    </r>
  </si>
  <si>
    <t xml:space="preserve">                   Others</t>
  </si>
  <si>
    <t xml:space="preserve">   </t>
  </si>
  <si>
    <t>eFVIenAPñMeBBaJ éf¶TI&gt;&gt;&gt;&gt;&gt;&gt;&gt;&gt;Ex&gt;&gt;&gt;&gt;&gt;&gt;&gt;qñaM&gt;&gt;&gt;&gt;&gt;&gt;&gt;&gt;&gt;&gt;</t>
  </si>
  <si>
    <t>GñkeFVItarag</t>
  </si>
  <si>
    <t>General Manager/ Manager</t>
  </si>
  <si>
    <t>No</t>
  </si>
  <si>
    <t>* No: group by number labeling each borrower</t>
  </si>
  <si>
    <t xml:space="preserve"> ទំរង់ Form: I-NWI-Q</t>
  </si>
  <si>
    <t>Bank Name:</t>
  </si>
  <si>
    <r>
      <t>saxaextþ-Rkug</t>
    </r>
    <r>
      <rPr>
        <vertAlign val="superscript"/>
        <sz val="20"/>
        <rFont val="Limon R1"/>
      </rPr>
      <t xml:space="preserve"> ¬1¦</t>
    </r>
  </si>
  <si>
    <t>cMnYnsaxa</t>
  </si>
  <si>
    <t>smtulü\NTan</t>
  </si>
  <si>
    <t>smtulüR)ak;beBaØI</t>
  </si>
  <si>
    <t>cMnYnbuKÁlik</t>
  </si>
  <si>
    <r>
      <t xml:space="preserve">cMnYnma:suIn </t>
    </r>
    <r>
      <rPr>
        <sz val="10"/>
        <rFont val="Times New Roman"/>
        <family val="1"/>
      </rPr>
      <t>ATM</t>
    </r>
  </si>
  <si>
    <r>
      <t xml:space="preserve">cMnYnma:suIn </t>
    </r>
    <r>
      <rPr>
        <sz val="10"/>
        <rFont val="Times New Roman"/>
        <family val="1"/>
      </rPr>
      <t>POS*</t>
    </r>
  </si>
  <si>
    <t>cMnYnb:usþ× esvakmµ</t>
  </si>
  <si>
    <t>b½NÑeGLicRtUnik</t>
  </si>
  <si>
    <t>Number of branches</t>
  </si>
  <si>
    <t>Loan Outstanding</t>
  </si>
  <si>
    <t>Deposit Balance</t>
  </si>
  <si>
    <t>Number of staff</t>
  </si>
  <si>
    <t>Electronic cards</t>
  </si>
  <si>
    <t>saxaRsuk</t>
  </si>
  <si>
    <t>saxaXuM¼</t>
  </si>
  <si>
    <t>cMnYnTwkR)ak;</t>
  </si>
  <si>
    <t>cMnYnGñkx©I</t>
  </si>
  <si>
    <t>cMnYnGñkepJI</t>
  </si>
  <si>
    <t>Rbus</t>
  </si>
  <si>
    <t>RsI</t>
  </si>
  <si>
    <t>b½NÑ\NBn§</t>
  </si>
  <si>
    <t>b½NÑ\NTan</t>
  </si>
  <si>
    <t>Provincial/Cities Branches</t>
  </si>
  <si>
    <t>¼x½NÐ</t>
  </si>
  <si>
    <t>sgáat;</t>
  </si>
  <si>
    <t>Number of ATM terminal</t>
  </si>
  <si>
    <t>Number of POS*</t>
  </si>
  <si>
    <t>Number of Service Post</t>
  </si>
  <si>
    <t>Debit card</t>
  </si>
  <si>
    <t>Credit card</t>
  </si>
  <si>
    <t>District</t>
  </si>
  <si>
    <t>Commune</t>
  </si>
  <si>
    <t>Amount</t>
  </si>
  <si>
    <t>Number of borrowers</t>
  </si>
  <si>
    <t>Number of depositors</t>
  </si>
  <si>
    <t>Male</t>
  </si>
  <si>
    <t>Female</t>
  </si>
  <si>
    <t>TwkR)ak;</t>
  </si>
  <si>
    <t>cMnYnb½NÑ</t>
  </si>
  <si>
    <t># of card</t>
  </si>
  <si>
    <t>srub</t>
  </si>
  <si>
    <t>¬1¦ KitbBa©ÚlTIsñak;karkNþal</t>
  </si>
  <si>
    <t>* Point of Sales</t>
  </si>
  <si>
    <t xml:space="preserve"> ទំរង់ Form: 28-Fst-M</t>
  </si>
  <si>
    <t>2&gt;2&gt;6&gt; kñúgenaH sMviFanFnelI\NTannigPtisnüa)at;bg;</t>
  </si>
  <si>
    <t>6.4.Of which Allowance for Accumulated Depreciation</t>
  </si>
  <si>
    <t>របាយការណ៍ប្រចាំខែស្តីពីការតាមដានមធ្យមភាគអត្រាការប្រាក់ក្រោយថ្លឹងចំពោះប្រាក់បញ្ញើនិងឥណទានថ្មីៗ</t>
  </si>
  <si>
    <t xml:space="preserve">MONTHLY REPORT ON SURVEY CURRENT WEIGHTED​ AVERAGE INTEREST RATES ON NEW DEPOSITS AND LOANS </t>
  </si>
  <si>
    <t>របាយការណ៍ប្រចាំខែស្តីពី​ បណ្តាញព័ត៌មាន</t>
  </si>
  <si>
    <t>MONTHLY REPORT ON NETWORK INFORMATION</t>
  </si>
  <si>
    <t>CNY</t>
  </si>
  <si>
    <t>KRW</t>
  </si>
  <si>
    <t>VND</t>
  </si>
  <si>
    <t>OTHERS</t>
  </si>
  <si>
    <t>រូបិយប័ណ្ណផ្សេងៗគិតជារៀល</t>
  </si>
  <si>
    <t>Foreign Curreny Translated in Riel</t>
  </si>
  <si>
    <r>
      <t>R)ak;erol</t>
    </r>
    <r>
      <rPr>
        <sz val="22"/>
        <rFont val="Limon R1"/>
      </rPr>
      <t xml:space="preserve">      </t>
    </r>
  </si>
  <si>
    <r>
      <t>rUbiyb½NÑepSg² KitCaerol</t>
    </r>
    <r>
      <rPr>
        <sz val="22"/>
        <rFont val="Limon R1"/>
      </rPr>
      <t xml:space="preserve">  </t>
    </r>
  </si>
  <si>
    <t xml:space="preserve">srubCaerol        </t>
  </si>
  <si>
    <t>Total in Riel</t>
  </si>
  <si>
    <t>Other currencies translated in  Riel</t>
  </si>
  <si>
    <t>Provision validation: has to be over or euqal  Outstanding loan * 20%</t>
  </si>
  <si>
    <t>Provision validation: has to be over or euqal  Outstanding loan * 100%</t>
  </si>
  <si>
    <t xml:space="preserve">          អ្នកពិនិត្យ                                                                       អ្នកធ្វើតារាង</t>
  </si>
  <si>
    <r>
      <t>srub</t>
    </r>
    <r>
      <rPr>
        <b/>
        <sz val="12"/>
        <rFont val="Times New Roman"/>
        <family val="1"/>
      </rPr>
      <t xml:space="preserve"> </t>
    </r>
    <r>
      <rPr>
        <b/>
        <sz val="8"/>
        <rFont val="Arial"/>
        <family val="2"/>
      </rPr>
      <t>TOTAL = 1+2+3+4+5+6+7</t>
    </r>
  </si>
  <si>
    <t xml:space="preserve">គំលាតការប្រាក់វេទយិតភាព Interest sensitivity​ gap  (1) - (2) </t>
  </si>
  <si>
    <t>​មូលនិធិ Equities</t>
  </si>
  <si>
    <t>រូបវ័ន្តបុគ្គល/Individual</t>
  </si>
  <si>
    <t>Male​ ភេទប្រុស</t>
  </si>
  <si>
    <t>Female ភេទស្រី</t>
  </si>
  <si>
    <t>នីតិបុគ្គល</t>
  </si>
  <si>
    <t>Legal Entities</t>
  </si>
  <si>
    <t>(គិតជាលានរៀល)</t>
  </si>
  <si>
    <t>(In Millio Riel)</t>
  </si>
  <si>
    <t>ធនាគារ និង​គ្រឹះស្ថានហិរញ្ញវត្ថុផ្សេង Banks​ and Other Financial​ Institutions:</t>
  </si>
  <si>
    <t xml:space="preserve">គ្រឹះស្ថានហិរញ្ញវត្ថុក្នុងស្រុក Local Financial Institutions </t>
  </si>
  <si>
    <t>គ្រឹះស្ថានហិរញ្ញវត្ថុក្រៅស្រុក  Financial Institutions Abroad</t>
  </si>
  <si>
    <t>Contact NBC IT departement for adding new Rows and Cells Tel: 023- 63 09 431 (Help Desk)</t>
  </si>
  <si>
    <t>បញ្ជីរាយឈ្មោះរបាយការណ៍ដែលត្រូវផ្តល់ជូនធនាគារជាតិនៃកម្ពុជាដោយគ្រឹះសា្ថនធនាគារ</t>
  </si>
  <si>
    <t>ទំរង់</t>
  </si>
  <si>
    <t>ឈ្មោះរបាយការណ៍ថ្មី</t>
  </si>
  <si>
    <t>ចំនួនសន្លឹក​​ ក្នុងមួយច្បាប់</t>
  </si>
  <si>
    <t>Frequency of Report</t>
  </si>
  <si>
    <t>Type of Report</t>
  </si>
  <si>
    <t>ជាភាសារខ្មែរ</t>
  </si>
  <si>
    <t>ជាភាសារអង់គ្លេស</t>
  </si>
  <si>
    <t>DAILY</t>
  </si>
  <si>
    <t>WEEKLY</t>
  </si>
  <si>
    <t>MONTHLY</t>
  </si>
  <si>
    <t>QUARTERLY</t>
  </si>
  <si>
    <t>ANNUAL</t>
  </si>
  <si>
    <t>SOFT</t>
  </si>
  <si>
    <t>HARD</t>
  </si>
  <si>
    <t>FS-BS-M</t>
  </si>
  <si>
    <t>របាយការណ៍ប្រចាំខែស្តីពី ទ្រព្យសកម្មនិងទ្រព្យអកម្ម</t>
  </si>
  <si>
    <t>x</t>
  </si>
  <si>
    <t>FS-IS-M</t>
  </si>
  <si>
    <t>របាយការណ៍ប្រចាំខែស្តីពី ចំណូលនិងចំណាយ</t>
  </si>
  <si>
    <t>FS-OBS-M</t>
  </si>
  <si>
    <t>របាយការណ៍ប្រចាំខែស្តីពី ក្រៅតារាងតុល្យការ</t>
  </si>
  <si>
    <t>FS-COA-M</t>
  </si>
  <si>
    <t>របាយការណ៍ប្រចាំខែស្តីពី ប្លង់គណនីឯកភាព</t>
  </si>
  <si>
    <t>MONTHLY REPORT ON​​ UNIFORM COA</t>
  </si>
  <si>
    <t>P-SOL-M</t>
  </si>
  <si>
    <t>MONTHLY REPORT ON SOLVENCY RATIO</t>
  </si>
  <si>
    <t>P-NW-M</t>
  </si>
  <si>
    <t>របាយការណ៍ប្រចាំខែស្តីពី ការគណនាមូលនិធិផ្ទាល់សុទ្ឌ</t>
  </si>
  <si>
    <t>P-NOP-M</t>
  </si>
  <si>
    <t>របាយការណ៍ប្រចាំខែស្តីពី ស្ថានភាពចំហសុទ្ធ នៃរូបិយប៍ណ្ណ</t>
  </si>
  <si>
    <t>P-LE-M</t>
  </si>
  <si>
    <t>របាយការណ៍ប្រចាំខែស្តីពី ហានិភ៍យធំៗរបស់ធនាគារ</t>
  </si>
  <si>
    <t>P-LRP-M</t>
  </si>
  <si>
    <t>របាយការណ៍ប្រចាំត្រីមាសស្តីពី ឥណទានចំពោះសម្ព៍ន្ធញ្ញាតិ</t>
  </si>
  <si>
    <t>P-SFL-M</t>
  </si>
  <si>
    <t>របាយការណ៍ប្រចាំខែស្តីពី ប្រភពទុនជាប្រាក់បញ្ញើសំរាប់ប្រើប្រាស់ក្នុងស្រុក</t>
  </si>
  <si>
    <t>MONTHLY REPORT ON SOURSES OF FUNDS FROM DEPOSITS FOR LOCAL USE</t>
  </si>
  <si>
    <t>P-FP-M</t>
  </si>
  <si>
    <t>របាយការណ៍ប្រចាំខែស្តីពី ទ្រពសម្បត្តិរឹបអូសតាមផ្លូវច្បាប់</t>
  </si>
  <si>
    <t>MONTHLY REPORT ON  PROPERTIES ACQUIRED THROUGH FORECLOSURE</t>
  </si>
  <si>
    <t>C-LC-1-M</t>
  </si>
  <si>
    <t>របាយការណ៍ប្រចាំខែស្តីពី ចំណាត់ថ្នាក់ឥណទាន (ឥណទានស្តង់ដា)</t>
  </si>
  <si>
    <t>MONTHLY REPORT ON CREDIT CLASSIFICATION​ (Standard Loans)</t>
  </si>
  <si>
    <t>C-LC-2-M</t>
  </si>
  <si>
    <t>របាយការណ៍ប្រចាំខែស្តីពី ចំណាត់ថ្នាក់ឥណទាន​ (ឥណទានឃ្លាំមើល)</t>
  </si>
  <si>
    <t>MONTHLY REPORT ON CREDIT CLASSIFICATION (Special Mention Loans)</t>
  </si>
  <si>
    <t>C-LC-3-M</t>
  </si>
  <si>
    <t>របាយការណ៍ប្រចាំខែស្តីពី ចំណាត់ថ្នាក់ឥណទាន​ (ឥណទានក្រោមស្តង់ដា)</t>
  </si>
  <si>
    <t>MONTHLY REPORT ON CREDIT CLASSIFICATION (Sub-Standard Loans)</t>
  </si>
  <si>
    <t>C-LC-4-M</t>
  </si>
  <si>
    <t>របាយការណ៍ប្រចាំខែស្តីពី ចំណាត់ថ្នាក់ឥណទាន​ (ឥណទានសង្ស៍យ)</t>
  </si>
  <si>
    <t>MONTHLY REPORT ON CREDIT CLASSIFICATION (Doubtful Loans)</t>
  </si>
  <si>
    <t>C-LC-5-M</t>
  </si>
  <si>
    <t>របាយការណ៍ប្រចាំខែស្តីពី ចំណាត់ថ្នាក់ឥណទាន​ (ឥណទានខាតបង់)</t>
  </si>
  <si>
    <t>MONTHLY REPORT ON CREDIT CLASSIFICATION (Loss Loans)</t>
  </si>
  <si>
    <t>C-CE-M</t>
  </si>
  <si>
    <t>របាយការណ៍ប្រចាំខែស្តីពី ឥណទានតាមប្រភេទជំនួញនិងម្ចាស់កម្មសិទ្ធិក្នុងវិស៍យសេដ្ឋកិច្ច</t>
  </si>
  <si>
    <t>MONTHLY REPORT ON CREDIT BY INDUSTRY AND OWNERSHIP IN THE ECONOMIC SECTOR</t>
  </si>
  <si>
    <t>D-TD20-M</t>
  </si>
  <si>
    <t>របាយការណ៍ប្រចាំខែស្តីពី អ្នកដាក់ប្រាក់បញ្ញើខ្ពស់បំផុតចំនួន​ ២០</t>
  </si>
  <si>
    <t>D-DTC-M</t>
  </si>
  <si>
    <t>របាយការណ៍ប្រចាំខែស្តីពី ប្រាក់បញ្ញើចំណាត់ថ្នាក់តាមប្រភេទ អតិថិជននិងរូបិយប៍ណ្ណ</t>
  </si>
  <si>
    <t>MONTHLY REPORT ON DEPOSITS CLASSIFIED BY TYPES OF DEPOSITORS AND CURRENCIES</t>
  </si>
  <si>
    <t>D-DTM-M</t>
  </si>
  <si>
    <t>របាយការណ៍ប្រចាំខែស្តីពី ប្រាក់បញ្ញើចំណាត់ថ្នាក់តាមប្រភេទ គណនីនិងទំហំទឹកប្រាក់</t>
  </si>
  <si>
    <t>MONTHLY REPORT ON DEPOSITS CLASSIFIED BY TYPES OF ACCOUNTS AND DEPOSIT AMOUNTS</t>
  </si>
  <si>
    <t>I-MP-M</t>
  </si>
  <si>
    <t>របាយការណ៍ប្រចាំខែស្តីពី កាលវសាន្តនៃទ្រព្យសកម្មនិងទ្រព្យអកម្ម</t>
  </si>
  <si>
    <t>I-RM-M</t>
  </si>
  <si>
    <t>របាយការណ៍ប្រចាំខែស្តីពី លាភការរបស់គណៈគ្រប់គ្រង</t>
  </si>
  <si>
    <t>MONTHLY REPORT ON​​​ REMUNERATION FOR MANAGEMENT</t>
  </si>
  <si>
    <t>I-NAL-M</t>
  </si>
  <si>
    <t>របាយការណ៍ប្រចាំខែស្តីពី ទ្រព្យសកម្មឬទ្រព្យអកម្មសុទ្ធនៅធនាគារមេ ទីស្នាក់ការកណ្តាល ឬ​ សាខា</t>
  </si>
  <si>
    <t>I-WI-M</t>
  </si>
  <si>
    <t>MONTHLY REPORT ON SUVERY CURRENT WEIGHTED AVERAGE INTEREST RATES ON NEW DEPOSITS AND LOANS</t>
  </si>
  <si>
    <t>I-ISG-M</t>
  </si>
  <si>
    <t>របាយការណ៍ប្រចាំខែស្តីពី គំលាតវេទយិតភាពការប្រាក់</t>
  </si>
  <si>
    <t>I-MI-M</t>
  </si>
  <si>
    <t>របាយការណ៍ប្រចាំខែស្តីពី រូបិយវត្ថុ និងប្រតិបតិ្តការទីផ្សារអន្តរធនាគារ</t>
  </si>
  <si>
    <t>I-NWI-M</t>
  </si>
  <si>
    <t>របាយការណ៍ប្រចាំខែស្តីពី បណ្តាញពត៌មាន</t>
  </si>
  <si>
    <t>O-RE-2-M</t>
  </si>
  <si>
    <t>របាយការណ៏ប្រចាំខែ CALL REPORT SPREAD SHEET</t>
  </si>
  <si>
    <t>MONTHLY REPORT ON CALL REPORT ON SPREAD SHEET</t>
  </si>
  <si>
    <t>O-RE-3-M</t>
  </si>
  <si>
    <t>របាយការណ៍ប្រចាំខែស្តីពីអត្រាការប្រាក់</t>
  </si>
  <si>
    <t xml:space="preserve">MONTHLY REPORT ON INTEREST RATE </t>
  </si>
  <si>
    <t>X</t>
  </si>
  <si>
    <t>O-RE-4-M</t>
  </si>
  <si>
    <t>របាយការណ៏ប្រចាំខែស្តីពីសាជីវកម្មទទួលប្រាក់បញ្ញើផ្សេងៗ</t>
  </si>
  <si>
    <t>OTHER DEPOSITORY CORPORATIONS REPORT FORM</t>
  </si>
  <si>
    <t>អនុញ្ញាតដោយ</t>
  </si>
  <si>
    <t>ត្រួតពិនិត្យដោយ</t>
  </si>
  <si>
    <t>រៀបចំដោយ</t>
  </si>
  <si>
    <t>Approved By</t>
  </si>
  <si>
    <t>Revised By</t>
  </si>
  <si>
    <t xml:space="preserve"> CEO/Director</t>
  </si>
  <si>
    <t>Banks​ and Financial​ Institutions:</t>
  </si>
  <si>
    <t>ធនាគារនិង​គ្រឹះស្ថានហិរញ្ញវត្ថុ</t>
  </si>
  <si>
    <t>Guarantee</t>
  </si>
  <si>
    <t>Financial Commitment</t>
  </si>
  <si>
    <t>Bill of Exchange</t>
  </si>
  <si>
    <t>Trust Receipt</t>
  </si>
  <si>
    <t>Term Loan</t>
  </si>
  <si>
    <t>Overdraft</t>
  </si>
  <si>
    <t>សរុប /TOTAL</t>
  </si>
  <si>
    <t>Secured Loan</t>
  </si>
  <si>
    <t>ឥណទានមានវត្ថុបញ្ចាំ</t>
  </si>
  <si>
    <t>Unsecured Loan</t>
  </si>
  <si>
    <t>ឥណទានមិនវត្ថុបញ្ចាំ</t>
  </si>
  <si>
    <t>(Provisioning 3%)</t>
  </si>
  <si>
    <t>Special Mention Loan</t>
  </si>
  <si>
    <t>(Provisioning 20%)</t>
  </si>
  <si>
    <t>Provision validation: has to be over or euqal  Outstanding loan * 50%</t>
  </si>
  <si>
    <t>(Provisioning 50%)</t>
  </si>
  <si>
    <t>(Provisioning 100%)</t>
  </si>
  <si>
    <t>Resident (និវេសជន)</t>
  </si>
  <si>
    <t>Non-Resident (អនិវេសជន)</t>
  </si>
  <si>
    <t>a</t>
  </si>
  <si>
    <t>II. អចល​នទ្រព្យ​ Immovable Properties</t>
  </si>
  <si>
    <t>II. អចលនទ្រព្យ Immovable Properties</t>
  </si>
  <si>
    <t>Executive Management គណៈនាយក</t>
  </si>
  <si>
    <t>Board of Director ក្រុមប្រឹក្សាភិបាល</t>
  </si>
  <si>
    <t>Proxy Management *​ គណៈគ្រប់គ្រងតំណាង</t>
  </si>
  <si>
    <t>ds</t>
  </si>
  <si>
    <t>sdfs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</si>
</sst>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_(* \(#,##0\);_(* &quot;-&quot;_);_(@_)"/>
    <numFmt numFmtId="44" formatCode="_(&quot;$&quot;* #,##0.00_);_(&quot;$&quot;* \(#,##0.00\);_(&quot;$&quot;* &quot;-&quot;??_);_(@_)"/>
    <numFmt numFmtId="43" formatCode="_(* #,##0.00_);_(* \(#,##0.00\);_(* &quot;-&quot;??_);_(@_)"/>
    <numFmt numFmtId="164" formatCode="#,##0;[Red]#,##0"/>
    <numFmt numFmtId="165" formatCode="_(* #,##0.00_);_(* \(#,##0.00\);_(* \-??_);_(@_)"/>
    <numFmt numFmtId="166" formatCode="_(* #,##0_);_(* \(#,##0\);_(* \-??_);_(@_)"/>
    <numFmt numFmtId="167" formatCode="#,##0.00;[Red]#,##0.00"/>
    <numFmt numFmtId="168" formatCode="[$-409]d\-mmm\-yy;@"/>
    <numFmt numFmtId="169" formatCode="[$-12000425]0"/>
    <numFmt numFmtId="170" formatCode="[$-12000425]0.#"/>
    <numFmt numFmtId="171" formatCode="[$-F400]h:mm:ss\ AM/PM"/>
    <numFmt numFmtId="172" formatCode="[$-409]d\-mmm\-yyyy;@"/>
    <numFmt numFmtId="173" formatCode="_-* #,##0.00_-;\-* #,##0.00_-;_-* &quot;-&quot;??_-;_-@_-"/>
    <numFmt numFmtId="174" formatCode="0.0"/>
  </numFmts>
  <fonts count="287">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sz val="13"/>
      <name val="Khmer OS Muol Light"/>
    </font>
    <font>
      <b/>
      <sz val="12"/>
      <name val="Arial"/>
      <family val="2"/>
    </font>
    <font>
      <sz val="10"/>
      <name val="Arial"/>
      <family val="2"/>
    </font>
    <font>
      <b/>
      <sz val="10"/>
      <name val="Arial"/>
      <family val="2"/>
    </font>
    <font>
      <b/>
      <i/>
      <sz val="10"/>
      <name val="Arial"/>
      <family val="2"/>
    </font>
    <font>
      <sz val="9"/>
      <name val="Arial"/>
      <family val="2"/>
    </font>
    <font>
      <sz val="9"/>
      <name val="Arial"/>
      <family val="2"/>
    </font>
    <font>
      <i/>
      <sz val="10"/>
      <name val="Arial"/>
      <family val="2"/>
    </font>
    <font>
      <b/>
      <sz val="10"/>
      <name val="Khmer OS Battambang"/>
    </font>
    <font>
      <b/>
      <sz val="10"/>
      <name val="Arial"/>
      <family val="2"/>
    </font>
    <font>
      <b/>
      <sz val="7"/>
      <name val="Arial"/>
      <family val="2"/>
    </font>
    <font>
      <b/>
      <sz val="9"/>
      <name val="Arial"/>
      <family val="2"/>
    </font>
    <font>
      <u/>
      <sz val="9"/>
      <name val="Arial"/>
      <family val="2"/>
    </font>
    <font>
      <b/>
      <u/>
      <sz val="10"/>
      <name val="Arial"/>
      <family val="2"/>
    </font>
    <font>
      <i/>
      <sz val="9"/>
      <name val="Arial"/>
      <family val="2"/>
    </font>
    <font>
      <b/>
      <sz val="9"/>
      <name val="Khmer OS Battambang"/>
    </font>
    <font>
      <b/>
      <sz val="11"/>
      <name val="Arial"/>
      <family val="2"/>
    </font>
    <font>
      <sz val="10"/>
      <color indexed="8"/>
      <name val="Khmer OS Battambang"/>
    </font>
    <font>
      <sz val="12"/>
      <color indexed="8"/>
      <name val="Khmer OS Muol Light"/>
    </font>
    <font>
      <b/>
      <sz val="9"/>
      <color indexed="8"/>
      <name val="Khmer OS Muol Light"/>
    </font>
    <font>
      <sz val="9"/>
      <color indexed="8"/>
      <name val="Khmer OS Battambang"/>
    </font>
    <font>
      <b/>
      <sz val="22"/>
      <name val="Limon S1"/>
    </font>
    <font>
      <b/>
      <sz val="11"/>
      <name val="Khmer OS Battambang"/>
    </font>
    <font>
      <sz val="8"/>
      <name val="Khmer OS Battambang"/>
    </font>
    <font>
      <b/>
      <sz val="9"/>
      <color indexed="8"/>
      <name val="Khmer OS Battambang"/>
    </font>
    <font>
      <u/>
      <sz val="8"/>
      <name val="Arial"/>
      <family val="2"/>
    </font>
    <font>
      <u/>
      <sz val="10"/>
      <name val="Arial"/>
      <family val="2"/>
    </font>
    <font>
      <sz val="10"/>
      <name val="Khmer OS Muol Light"/>
    </font>
    <font>
      <sz val="9"/>
      <name val="Khmer OS Battambang"/>
    </font>
    <font>
      <sz val="11"/>
      <color indexed="8"/>
      <name val="Khmer OS Muol Light"/>
    </font>
    <font>
      <b/>
      <sz val="10"/>
      <color indexed="8"/>
      <name val="Times New Roman"/>
      <family val="1"/>
    </font>
    <font>
      <sz val="12"/>
      <color indexed="8"/>
      <name val="Times New Roman"/>
      <family val="1"/>
    </font>
    <font>
      <sz val="9"/>
      <color indexed="8"/>
      <name val="Times New Roman"/>
      <family val="1"/>
    </font>
    <font>
      <sz val="10"/>
      <color indexed="8"/>
      <name val="Times New Roman"/>
      <family val="1"/>
    </font>
    <font>
      <b/>
      <sz val="10"/>
      <color indexed="8"/>
      <name val="Khmer OS Battambang"/>
    </font>
    <font>
      <sz val="9"/>
      <color indexed="8"/>
      <name val="Calibri"/>
      <family val="2"/>
    </font>
    <font>
      <sz val="8"/>
      <color indexed="8"/>
      <name val="Khmer OS Battambang"/>
    </font>
    <font>
      <sz val="8"/>
      <color indexed="8"/>
      <name val="Calibri"/>
      <family val="2"/>
    </font>
    <font>
      <b/>
      <sz val="11"/>
      <color indexed="8"/>
      <name val="Khmer OS Battambang"/>
    </font>
    <font>
      <sz val="11"/>
      <color indexed="8"/>
      <name val="Khmer OS Battambang"/>
    </font>
    <font>
      <sz val="9"/>
      <name val="Khmer OS Muol Light"/>
    </font>
    <font>
      <sz val="10"/>
      <color indexed="8"/>
      <name val="Calibri"/>
      <family val="2"/>
    </font>
    <font>
      <b/>
      <sz val="8"/>
      <color indexed="8"/>
      <name val="Khmer OS Muol Light"/>
    </font>
    <font>
      <b/>
      <sz val="8"/>
      <color indexed="8"/>
      <name val="Khmer OS Battambang"/>
    </font>
    <font>
      <b/>
      <i/>
      <sz val="8"/>
      <color indexed="8"/>
      <name val="Khmer OS Battambang"/>
    </font>
    <font>
      <b/>
      <i/>
      <sz val="11"/>
      <color indexed="8"/>
      <name val="Khmer OS Battambang"/>
    </font>
    <font>
      <i/>
      <sz val="8"/>
      <color indexed="8"/>
      <name val="Khmer OS Battambang"/>
    </font>
    <font>
      <i/>
      <sz val="11"/>
      <color indexed="8"/>
      <name val="Khmer OS Battambang"/>
    </font>
    <font>
      <u/>
      <sz val="6"/>
      <name val="Arial"/>
      <family val="2"/>
    </font>
    <font>
      <sz val="8"/>
      <name val="Khmer OS Muol Light"/>
    </font>
    <font>
      <sz val="8"/>
      <name val="Arial"/>
      <family val="2"/>
    </font>
    <font>
      <sz val="11"/>
      <name val="Khmer OS Muol Light"/>
    </font>
    <font>
      <sz val="10"/>
      <name val="Limon S1"/>
    </font>
    <font>
      <sz val="10"/>
      <name val="Khmer OS Battambang"/>
    </font>
    <font>
      <sz val="8"/>
      <name val="Calibri"/>
      <family val="2"/>
    </font>
    <font>
      <b/>
      <sz val="12"/>
      <color indexed="8"/>
      <name val="Times New Roman"/>
      <family val="1"/>
    </font>
    <font>
      <b/>
      <sz val="8"/>
      <color indexed="8"/>
      <name val="Times New Roman"/>
      <family val="1"/>
    </font>
    <font>
      <sz val="8"/>
      <color indexed="8"/>
      <name val="Times New Roman"/>
      <family val="1"/>
    </font>
    <font>
      <sz val="6"/>
      <color indexed="8"/>
      <name val="Times New Roman"/>
      <family val="1"/>
    </font>
    <font>
      <sz val="6"/>
      <color indexed="8"/>
      <name val="Calibri"/>
      <family val="2"/>
    </font>
    <font>
      <sz val="7"/>
      <color indexed="8"/>
      <name val="Calibri"/>
      <family val="2"/>
    </font>
    <font>
      <sz val="7"/>
      <color indexed="8"/>
      <name val="Times New Roman"/>
      <family val="1"/>
    </font>
    <font>
      <sz val="8"/>
      <color indexed="8"/>
      <name val="Khmer OS Siemreap"/>
    </font>
    <font>
      <b/>
      <sz val="8"/>
      <color indexed="8"/>
      <name val="Khmer OS Siemreap"/>
    </font>
    <font>
      <b/>
      <sz val="9"/>
      <color indexed="8"/>
      <name val="Calibri"/>
      <family val="2"/>
    </font>
    <font>
      <b/>
      <sz val="8"/>
      <color indexed="8"/>
      <name val="Calibri"/>
      <family val="2"/>
    </font>
    <font>
      <b/>
      <u/>
      <sz val="8"/>
      <name val="Arial"/>
      <family val="2"/>
    </font>
    <font>
      <b/>
      <sz val="8"/>
      <name val="Arial"/>
      <family val="2"/>
    </font>
    <font>
      <sz val="14"/>
      <name val="Khmer OS Muol Light"/>
    </font>
    <font>
      <b/>
      <sz val="14"/>
      <name val="Times New Roman"/>
      <family val="1"/>
    </font>
    <font>
      <sz val="11"/>
      <name val="Times New Roman"/>
      <family val="1"/>
    </font>
    <font>
      <sz val="10"/>
      <name val="Times New Roman"/>
      <family val="1"/>
    </font>
    <font>
      <sz val="8"/>
      <name val="Times New Roman"/>
      <family val="1"/>
    </font>
    <font>
      <sz val="6"/>
      <name val="Arial"/>
      <family val="2"/>
    </font>
    <font>
      <b/>
      <sz val="8"/>
      <name val="Times New Roman"/>
      <family val="1"/>
    </font>
    <font>
      <b/>
      <sz val="10"/>
      <name val="Times New Roman"/>
      <family val="1"/>
    </font>
    <font>
      <b/>
      <sz val="9"/>
      <name val="Times New Roman"/>
      <family val="1"/>
    </font>
    <font>
      <b/>
      <sz val="8"/>
      <name val="Khmer OS Battambang"/>
    </font>
    <font>
      <sz val="9"/>
      <name val="Times New Roman"/>
      <family val="1"/>
    </font>
    <font>
      <sz val="12"/>
      <name val="Khmer OS Muol Light"/>
    </font>
    <font>
      <b/>
      <sz val="12"/>
      <name val="Times New Roman"/>
      <family val="1"/>
    </font>
    <font>
      <b/>
      <sz val="11"/>
      <name val="Khmer OS Muol Light"/>
    </font>
    <font>
      <b/>
      <sz val="7"/>
      <name val="Times New Roman"/>
      <family val="1"/>
    </font>
    <font>
      <b/>
      <sz val="7"/>
      <name val="Khmer OS Battambang"/>
    </font>
    <font>
      <u/>
      <sz val="8"/>
      <name val="Khmer OS Battambang"/>
    </font>
    <font>
      <u/>
      <sz val="8"/>
      <name val="Times New Roman"/>
      <family val="1"/>
    </font>
    <font>
      <sz val="16"/>
      <name val="Khmer OS Muol Light"/>
    </font>
    <font>
      <sz val="16"/>
      <name val="Limon R1"/>
    </font>
    <font>
      <b/>
      <sz val="14"/>
      <name val="Arial"/>
      <family val="2"/>
    </font>
    <font>
      <sz val="12"/>
      <name val="Times New Roman"/>
      <family val="1"/>
    </font>
    <font>
      <sz val="12"/>
      <name val="Khmer OS Battambang"/>
    </font>
    <font>
      <sz val="12"/>
      <name val="Arial"/>
      <family val="2"/>
    </font>
    <font>
      <sz val="11"/>
      <name val="Khmer OS Battambang"/>
    </font>
    <font>
      <sz val="11"/>
      <name val="Arial"/>
      <family val="2"/>
    </font>
    <font>
      <sz val="6"/>
      <name val="Khmer OS Muol Light"/>
    </font>
    <font>
      <b/>
      <sz val="12"/>
      <name val="Khmer OS Battambang"/>
    </font>
    <font>
      <sz val="11"/>
      <name val="Arail"/>
    </font>
    <font>
      <b/>
      <sz val="8"/>
      <color indexed="81"/>
      <name val="Tahoma"/>
      <family val="2"/>
    </font>
    <font>
      <sz val="8"/>
      <color indexed="81"/>
      <name val="Tahoma"/>
      <family val="2"/>
    </font>
    <font>
      <sz val="15"/>
      <name val="Khmer OS Muol Light"/>
    </font>
    <font>
      <sz val="7"/>
      <name val="Arial"/>
      <family val="2"/>
    </font>
    <font>
      <u/>
      <sz val="8"/>
      <name val="Arial"/>
      <family val="2"/>
    </font>
    <font>
      <b/>
      <sz val="10"/>
      <color indexed="10"/>
      <name val="Arial"/>
      <family val="2"/>
    </font>
    <font>
      <u/>
      <sz val="14"/>
      <color indexed="16"/>
      <name val="Khmer OS Muol Light"/>
    </font>
    <font>
      <b/>
      <u/>
      <sz val="11"/>
      <name val="Arial"/>
      <family val="2"/>
    </font>
    <font>
      <b/>
      <sz val="20"/>
      <name val="Limon S1"/>
    </font>
    <font>
      <b/>
      <sz val="10"/>
      <color indexed="60"/>
      <name val="Khmer OS Battambang"/>
    </font>
    <font>
      <b/>
      <sz val="10"/>
      <color indexed="10"/>
      <name val="Khmer OS Battambang"/>
    </font>
    <font>
      <b/>
      <sz val="10"/>
      <color indexed="18"/>
      <name val="Arial"/>
      <family val="2"/>
    </font>
    <font>
      <b/>
      <sz val="10"/>
      <color indexed="18"/>
      <name val="Khmer OS Battambang"/>
    </font>
    <font>
      <b/>
      <sz val="10"/>
      <color indexed="60"/>
      <name val="Arial"/>
      <family val="2"/>
    </font>
    <font>
      <b/>
      <sz val="9"/>
      <color indexed="18"/>
      <name val="Arial"/>
      <family val="2"/>
    </font>
    <font>
      <b/>
      <sz val="8"/>
      <color indexed="18"/>
      <name val="Arial"/>
      <family val="2"/>
    </font>
    <font>
      <b/>
      <sz val="20"/>
      <color indexed="10"/>
      <name val="Limon S1"/>
    </font>
    <font>
      <b/>
      <sz val="11"/>
      <color indexed="60"/>
      <name val="Arial"/>
      <family val="2"/>
    </font>
    <font>
      <b/>
      <sz val="11"/>
      <color indexed="10"/>
      <name val="Arial"/>
      <family val="2"/>
    </font>
    <font>
      <b/>
      <sz val="11"/>
      <color indexed="60"/>
      <name val="Arial"/>
      <family val="2"/>
    </font>
    <font>
      <b/>
      <sz val="11"/>
      <color indexed="10"/>
      <name val="Arial"/>
      <family val="2"/>
    </font>
    <font>
      <sz val="20"/>
      <name val="Limon S1"/>
    </font>
    <font>
      <b/>
      <sz val="10"/>
      <name val="Limon S1"/>
    </font>
    <font>
      <sz val="10"/>
      <color indexed="9"/>
      <name val="Arial"/>
      <family val="2"/>
    </font>
    <font>
      <sz val="10"/>
      <color indexed="60"/>
      <name val="Arial"/>
      <family val="2"/>
    </font>
    <font>
      <b/>
      <sz val="10"/>
      <color indexed="60"/>
      <name val="Arial"/>
      <family val="2"/>
    </font>
    <font>
      <b/>
      <sz val="10"/>
      <color indexed="9"/>
      <name val="Arial"/>
      <family val="2"/>
    </font>
    <font>
      <b/>
      <sz val="16"/>
      <color indexed="60"/>
      <name val="Limon S1"/>
    </font>
    <font>
      <sz val="8"/>
      <color indexed="9"/>
      <name val="Arial"/>
      <family val="2"/>
    </font>
    <font>
      <b/>
      <sz val="11"/>
      <name val="Arial"/>
      <family val="2"/>
    </font>
    <font>
      <b/>
      <sz val="8"/>
      <color indexed="9"/>
      <name val="Arial"/>
      <family val="2"/>
    </font>
    <font>
      <sz val="10"/>
      <color indexed="10"/>
      <name val="Arial"/>
      <family val="2"/>
    </font>
    <font>
      <b/>
      <sz val="10"/>
      <color indexed="10"/>
      <name val="Arial"/>
      <family val="2"/>
    </font>
    <font>
      <b/>
      <sz val="10"/>
      <color indexed="9"/>
      <name val="Arial"/>
      <family val="2"/>
    </font>
    <font>
      <sz val="10"/>
      <color indexed="10"/>
      <name val="Arial"/>
      <family val="2"/>
    </font>
    <font>
      <sz val="22"/>
      <name val="Limon R1"/>
    </font>
    <font>
      <u val="double"/>
      <sz val="8"/>
      <name val="Arial"/>
      <family val="2"/>
    </font>
    <font>
      <b/>
      <sz val="13"/>
      <name val="Arial"/>
      <family val="2"/>
    </font>
    <font>
      <b/>
      <sz val="11"/>
      <name val="Times New Roman"/>
      <family val="1"/>
    </font>
    <font>
      <u val="double"/>
      <sz val="10"/>
      <name val="Arial"/>
      <family val="2"/>
    </font>
    <font>
      <sz val="20"/>
      <name val="Limon R1"/>
    </font>
    <font>
      <sz val="18"/>
      <name val="Limon R1"/>
    </font>
    <font>
      <sz val="22"/>
      <name val="Limon S1"/>
    </font>
    <font>
      <sz val="18"/>
      <name val="Limon S1"/>
    </font>
    <font>
      <sz val="16"/>
      <name val="Limon S1"/>
    </font>
    <font>
      <b/>
      <sz val="16"/>
      <name val="Limon S1"/>
    </font>
    <font>
      <b/>
      <sz val="18"/>
      <name val="Limon R1"/>
    </font>
    <font>
      <b/>
      <sz val="18"/>
      <name val="Limon S1"/>
    </font>
    <font>
      <sz val="16"/>
      <name val="Arial"/>
      <family val="2"/>
    </font>
    <font>
      <sz val="10"/>
      <name val="Arial"/>
      <family val="2"/>
    </font>
    <font>
      <sz val="8"/>
      <name val="Limon S1"/>
    </font>
    <font>
      <sz val="14"/>
      <name val="Limon S1"/>
    </font>
    <font>
      <sz val="5"/>
      <name val="Arial"/>
      <family val="2"/>
    </font>
    <font>
      <sz val="14"/>
      <color indexed="8"/>
      <name val="Khmer OS Muol Light"/>
    </font>
    <font>
      <b/>
      <u/>
      <sz val="11"/>
      <color indexed="8"/>
      <name val="Khmer OS Battambang"/>
    </font>
    <font>
      <u/>
      <sz val="11"/>
      <color indexed="8"/>
      <name val="Khmer OS Battambang"/>
    </font>
    <font>
      <b/>
      <u/>
      <sz val="10"/>
      <color indexed="8"/>
      <name val="Khmer OS Battambang"/>
    </font>
    <font>
      <sz val="14"/>
      <name val="Times New Roman"/>
      <family val="1"/>
    </font>
    <font>
      <sz val="28"/>
      <name val="Limon R1"/>
    </font>
    <font>
      <sz val="18"/>
      <name val="Times New Roman"/>
      <family val="1"/>
    </font>
    <font>
      <b/>
      <u/>
      <sz val="11"/>
      <name val="Times New Roman"/>
      <family val="1"/>
    </font>
    <font>
      <b/>
      <sz val="10"/>
      <name val="Limon R1"/>
    </font>
    <font>
      <b/>
      <sz val="10"/>
      <name val="Verdana"/>
      <family val="2"/>
    </font>
    <font>
      <b/>
      <u/>
      <sz val="10"/>
      <name val="Verdana"/>
      <family val="2"/>
    </font>
    <font>
      <sz val="10"/>
      <name val="Verdana"/>
      <family val="2"/>
    </font>
    <font>
      <b/>
      <u/>
      <sz val="8"/>
      <name val="Verdana"/>
      <family val="2"/>
    </font>
    <font>
      <sz val="8"/>
      <name val="Verdana"/>
      <family val="2"/>
    </font>
    <font>
      <sz val="14"/>
      <color theme="1"/>
      <name val="Calibri"/>
      <family val="2"/>
      <scheme val="minor"/>
    </font>
    <font>
      <sz val="10"/>
      <color theme="1"/>
      <name val="Calibri"/>
      <family val="2"/>
      <scheme val="minor"/>
    </font>
    <font>
      <b/>
      <sz val="11"/>
      <color theme="1"/>
      <name val="Calibri"/>
      <family val="2"/>
      <scheme val="minor"/>
    </font>
    <font>
      <b/>
      <sz val="12"/>
      <color rgb="FFFF0000"/>
      <name val="Arial"/>
      <family val="2"/>
    </font>
    <font>
      <b/>
      <sz val="10"/>
      <color rgb="FFFF0000"/>
      <name val="Khmer OS Battambang"/>
    </font>
    <font>
      <b/>
      <sz val="10"/>
      <color rgb="FFFF0000"/>
      <name val="Arial"/>
      <family val="2"/>
    </font>
    <font>
      <sz val="15"/>
      <color rgb="FFFF0000"/>
      <name val="Times New Roman"/>
      <family val="1"/>
    </font>
    <font>
      <b/>
      <sz val="11"/>
      <color rgb="FFFF0000"/>
      <name val="Khmer OS Battambang"/>
    </font>
    <font>
      <sz val="9"/>
      <color rgb="FFFF0000"/>
      <name val="Times New Roman"/>
      <family val="1"/>
    </font>
    <font>
      <sz val="10"/>
      <color indexed="8"/>
      <name val="Calibri"/>
      <family val="2"/>
      <scheme val="minor"/>
    </font>
    <font>
      <sz val="9"/>
      <color indexed="8"/>
      <name val="Calibri"/>
      <family val="2"/>
      <scheme val="minor"/>
    </font>
    <font>
      <b/>
      <u/>
      <sz val="11"/>
      <color theme="1"/>
      <name val="Calibri"/>
      <family val="2"/>
      <scheme val="minor"/>
    </font>
    <font>
      <sz val="10"/>
      <color theme="1"/>
      <name val="Arial"/>
      <family val="2"/>
    </font>
    <font>
      <sz val="10"/>
      <color theme="0"/>
      <name val="Khmer OS Battambang"/>
    </font>
    <font>
      <sz val="10"/>
      <color theme="0"/>
      <name val="Arial"/>
      <family val="2"/>
    </font>
    <font>
      <sz val="10"/>
      <name val="Calibri"/>
      <family val="2"/>
      <scheme val="minor"/>
    </font>
    <font>
      <b/>
      <sz val="10"/>
      <color indexed="8"/>
      <name val="Calibri"/>
      <family val="2"/>
      <scheme val="minor"/>
    </font>
    <font>
      <b/>
      <sz val="9"/>
      <color theme="1"/>
      <name val="Calibri"/>
      <family val="2"/>
      <scheme val="minor"/>
    </font>
    <font>
      <b/>
      <sz val="8"/>
      <color rgb="FFFF0000"/>
      <name val="Khmer OS Battambang"/>
    </font>
    <font>
      <sz val="10"/>
      <name val="Arial"/>
      <family val="2"/>
    </font>
    <font>
      <sz val="8"/>
      <color indexed="12"/>
      <name val="Times New Roman"/>
      <family val="1"/>
    </font>
    <font>
      <sz val="8"/>
      <color indexed="10"/>
      <name val="Times New Roman"/>
      <family val="1"/>
    </font>
    <font>
      <sz val="16"/>
      <color indexed="12"/>
      <name val="Khmer OS Muol Light"/>
    </font>
    <font>
      <sz val="16"/>
      <color indexed="12"/>
      <name val="Limon R1"/>
    </font>
    <font>
      <sz val="18"/>
      <color indexed="12"/>
      <name val="Times New Roman"/>
      <family val="1"/>
    </font>
    <font>
      <u/>
      <sz val="8"/>
      <color indexed="12"/>
      <name val="Times New Roman"/>
      <family val="1"/>
    </font>
    <font>
      <u/>
      <sz val="8"/>
      <color indexed="10"/>
      <name val="Times New Roman"/>
      <family val="1"/>
    </font>
    <font>
      <sz val="8"/>
      <color indexed="12"/>
      <name val="Limon S1"/>
    </font>
    <font>
      <sz val="8"/>
      <color indexed="10"/>
      <name val="Limon S1"/>
    </font>
    <font>
      <sz val="8"/>
      <color indexed="12"/>
      <name val="Arial"/>
      <family val="2"/>
    </font>
    <font>
      <sz val="8"/>
      <color indexed="10"/>
      <name val="Arial"/>
      <family val="2"/>
    </font>
    <font>
      <sz val="10"/>
      <name val="Limon R1"/>
    </font>
    <font>
      <i/>
      <sz val="11"/>
      <name val="Times New Roman"/>
      <family val="1"/>
    </font>
    <font>
      <sz val="11"/>
      <color indexed="10"/>
      <name val="Times New Roman"/>
      <family val="1"/>
    </font>
    <font>
      <vertAlign val="superscript"/>
      <sz val="18"/>
      <name val="Limon S1"/>
    </font>
    <font>
      <vertAlign val="superscript"/>
      <sz val="11"/>
      <name val="Times New Roman"/>
      <family val="1"/>
    </font>
    <font>
      <b/>
      <sz val="11"/>
      <color indexed="10"/>
      <name val="Times New Roman"/>
      <family val="1"/>
    </font>
    <font>
      <b/>
      <i/>
      <sz val="11"/>
      <name val="Times New Roman"/>
      <family val="1"/>
    </font>
    <font>
      <i/>
      <sz val="18"/>
      <name val="Limon S1"/>
    </font>
    <font>
      <b/>
      <u/>
      <sz val="9"/>
      <name val="Times New Roman"/>
      <family val="1"/>
    </font>
    <font>
      <u/>
      <sz val="11"/>
      <name val="Times New Roman"/>
      <family val="1"/>
    </font>
    <font>
      <sz val="8"/>
      <color indexed="14"/>
      <name val="Times New Roman"/>
      <family val="1"/>
    </font>
    <font>
      <sz val="11"/>
      <name val="Limon R1"/>
    </font>
    <font>
      <b/>
      <sz val="8"/>
      <color indexed="12"/>
      <name val="Times New Roman"/>
      <family val="1"/>
    </font>
    <font>
      <b/>
      <sz val="8"/>
      <color indexed="10"/>
      <name val="Times New Roman"/>
      <family val="1"/>
    </font>
    <font>
      <sz val="11"/>
      <name val="Anlongvill Khek"/>
    </font>
    <font>
      <sz val="16"/>
      <color indexed="8"/>
      <name val="Khmer OS Muol Light"/>
    </font>
    <font>
      <sz val="16"/>
      <color indexed="8"/>
      <name val="Times New Roman"/>
      <family val="1"/>
    </font>
    <font>
      <sz val="20"/>
      <color indexed="8"/>
      <name val="Limon S2"/>
    </font>
    <font>
      <sz val="20"/>
      <color indexed="8"/>
      <name val="Times New Roman"/>
      <family val="1"/>
    </font>
    <font>
      <sz val="20"/>
      <color indexed="8"/>
      <name val="Limon R1"/>
    </font>
    <font>
      <sz val="11"/>
      <color indexed="8"/>
      <name val="Times New Roman"/>
      <family val="1"/>
    </font>
    <font>
      <sz val="18"/>
      <color indexed="8"/>
      <name val="Limon S2"/>
    </font>
    <font>
      <sz val="22"/>
      <color indexed="8"/>
      <name val="Limon S2"/>
    </font>
    <font>
      <sz val="13"/>
      <color indexed="8"/>
      <name val="Times New Roman"/>
      <family val="1"/>
    </font>
    <font>
      <sz val="18"/>
      <color indexed="8"/>
      <name val="Limon S1"/>
    </font>
    <font>
      <sz val="18"/>
      <color indexed="8"/>
      <name val="Limon R1"/>
    </font>
    <font>
      <b/>
      <sz val="15"/>
      <color indexed="8"/>
      <name val="Donpenhs"/>
    </font>
    <font>
      <b/>
      <sz val="11"/>
      <color indexed="8"/>
      <name val="Times New Roman"/>
      <family val="1"/>
    </font>
    <font>
      <sz val="11"/>
      <color indexed="8"/>
      <name val="Arial"/>
      <family val="2"/>
    </font>
    <font>
      <sz val="9"/>
      <color indexed="8"/>
      <name val="Arial"/>
      <family val="2"/>
    </font>
    <font>
      <sz val="16"/>
      <color indexed="8"/>
      <name val="Donpenhs"/>
    </font>
    <font>
      <sz val="8"/>
      <color indexed="8"/>
      <name val="Donpenhs"/>
    </font>
    <font>
      <sz val="20"/>
      <name val="Donpenhs"/>
    </font>
    <font>
      <b/>
      <sz val="11"/>
      <color indexed="8"/>
      <name val="Arial"/>
      <family val="2"/>
    </font>
    <font>
      <sz val="16"/>
      <name val="Donpenhs"/>
    </font>
    <font>
      <sz val="12"/>
      <name val="Arial MT"/>
    </font>
    <font>
      <sz val="10"/>
      <color indexed="8"/>
      <name val="Arial"/>
      <family val="2"/>
    </font>
    <font>
      <b/>
      <sz val="10.5"/>
      <color indexed="8"/>
      <name val="Times New Roman"/>
      <family val="1"/>
    </font>
    <font>
      <b/>
      <sz val="9"/>
      <color indexed="8"/>
      <name val="Times New Roman"/>
      <family val="1"/>
    </font>
    <font>
      <sz val="16"/>
      <color indexed="8"/>
      <name val="Tuolkork"/>
    </font>
    <font>
      <sz val="12"/>
      <color indexed="8"/>
      <name val="Arial"/>
      <family val="2"/>
    </font>
    <font>
      <sz val="16"/>
      <color indexed="8"/>
      <name val="Arial"/>
      <family val="2"/>
    </font>
    <font>
      <sz val="16"/>
      <color indexed="8"/>
      <name val="Limon S1"/>
    </font>
    <font>
      <sz val="21"/>
      <color indexed="8"/>
      <name val="Donpenhs"/>
    </font>
    <font>
      <sz val="17"/>
      <color indexed="8"/>
      <name val="Limon S1"/>
    </font>
    <font>
      <sz val="19"/>
      <color indexed="8"/>
      <name val="Limon S1"/>
    </font>
    <font>
      <b/>
      <sz val="22"/>
      <color indexed="8"/>
      <name val="Limon S1"/>
    </font>
    <font>
      <sz val="22"/>
      <color indexed="8"/>
      <name val="Limon S1"/>
    </font>
    <font>
      <b/>
      <sz val="11"/>
      <name val="Limon R1"/>
    </font>
    <font>
      <sz val="18"/>
      <name val="Khmer OS Muol Light"/>
    </font>
    <font>
      <b/>
      <sz val="16"/>
      <name val="Times New Roman"/>
      <family val="1"/>
    </font>
    <font>
      <sz val="14"/>
      <name val="Time New Roman"/>
    </font>
    <font>
      <sz val="24"/>
      <name val="Limon S1"/>
    </font>
    <font>
      <sz val="24"/>
      <name val="Time New Roman"/>
    </font>
    <font>
      <sz val="11"/>
      <name val="Time New Roman"/>
    </font>
    <font>
      <sz val="11"/>
      <name val="Tim New Roman"/>
    </font>
    <font>
      <sz val="18"/>
      <name val="Arial"/>
      <family val="2"/>
    </font>
    <font>
      <sz val="14"/>
      <color rgb="FFFF0000"/>
      <name val="Times New Roman"/>
      <family val="1"/>
    </font>
    <font>
      <vertAlign val="superscript"/>
      <sz val="20"/>
      <name val="Limon R1"/>
    </font>
    <font>
      <sz val="20"/>
      <name val="Limon F2"/>
    </font>
    <font>
      <sz val="9"/>
      <color indexed="81"/>
      <name val="Tahoma"/>
      <family val="2"/>
    </font>
    <font>
      <b/>
      <sz val="9"/>
      <color indexed="81"/>
      <name val="Tahoma"/>
      <family val="2"/>
    </font>
    <font>
      <sz val="10"/>
      <color rgb="FFFF0000"/>
      <name val="Arial"/>
      <family val="2"/>
    </font>
    <font>
      <b/>
      <sz val="8"/>
      <name val="Khmer OS"/>
    </font>
    <font>
      <b/>
      <sz val="12"/>
      <name val="Khmer OS"/>
    </font>
    <font>
      <b/>
      <sz val="10"/>
      <name val="Khmer OS"/>
    </font>
    <font>
      <b/>
      <sz val="11"/>
      <name val="Khmer OS"/>
    </font>
    <font>
      <b/>
      <sz val="6"/>
      <name val="Khmer OS"/>
    </font>
    <font>
      <b/>
      <sz val="6"/>
      <name val="Arial"/>
      <family val="2"/>
    </font>
    <font>
      <b/>
      <sz val="12"/>
      <color indexed="81"/>
      <name val="Tahoma"/>
      <family val="2"/>
    </font>
    <font>
      <b/>
      <sz val="10"/>
      <name val="Khmer OS Muol Light"/>
    </font>
    <font>
      <sz val="9"/>
      <color theme="0"/>
      <name val="Khmer OS Battambang"/>
    </font>
  </fonts>
  <fills count="5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26"/>
        <bgColor indexed="64"/>
      </patternFill>
    </fill>
    <fill>
      <patternFill patternType="solid">
        <fgColor indexed="27"/>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indexed="65"/>
        <bgColor indexed="31"/>
      </patternFill>
    </fill>
    <fill>
      <patternFill patternType="solid">
        <fgColor indexed="65"/>
        <bgColor indexed="64"/>
      </patternFill>
    </fill>
    <fill>
      <patternFill patternType="gray0625">
        <fgColor indexed="9"/>
      </patternFill>
    </fill>
    <fill>
      <patternFill patternType="solid">
        <fgColor indexed="41"/>
        <bgColor indexed="8"/>
      </patternFill>
    </fill>
    <fill>
      <patternFill patternType="solid">
        <fgColor rgb="FFFFFF99"/>
        <bgColor indexed="64"/>
      </patternFill>
    </fill>
    <fill>
      <patternFill patternType="solid">
        <fgColor rgb="FFCCFFFF"/>
        <bgColor indexed="64"/>
      </patternFill>
    </fill>
    <fill>
      <patternFill patternType="solid">
        <fgColor rgb="FFFFC000"/>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theme="5" tint="0.79998168889431442"/>
        <bgColor indexed="64"/>
      </patternFill>
    </fill>
  </fills>
  <borders count="34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style="thin">
        <color indexed="64"/>
      </right>
      <top style="hair">
        <color indexed="64"/>
      </top>
      <bottom style="thin">
        <color indexed="64"/>
      </bottom>
      <diagonal/>
    </border>
    <border>
      <left style="double">
        <color indexed="64"/>
      </left>
      <right style="thin">
        <color indexed="64"/>
      </right>
      <top/>
      <bottom style="double">
        <color indexed="64"/>
      </bottom>
      <diagonal/>
    </border>
    <border>
      <left style="double">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double">
        <color indexed="64"/>
      </right>
      <top/>
      <bottom/>
      <diagonal/>
    </border>
    <border>
      <left style="double">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thin">
        <color indexed="64"/>
      </left>
      <right style="double">
        <color indexed="64"/>
      </right>
      <top/>
      <bottom style="hair">
        <color indexed="64"/>
      </bottom>
      <diagonal/>
    </border>
    <border>
      <left style="double">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top style="hair">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double">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medium">
        <color indexed="64"/>
      </bottom>
      <diagonal/>
    </border>
    <border>
      <left style="thin">
        <color indexed="64"/>
      </left>
      <right style="double">
        <color indexed="64"/>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style="double">
        <color indexed="64"/>
      </right>
      <top style="medium">
        <color indexed="64"/>
      </top>
      <bottom/>
      <diagonal/>
    </border>
    <border>
      <left style="thin">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right style="thin">
        <color indexed="64"/>
      </right>
      <top style="hair">
        <color indexed="64"/>
      </top>
      <bottom style="hair">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double">
        <color indexed="64"/>
      </right>
      <top/>
      <bottom/>
      <diagonal/>
    </border>
    <border>
      <left style="thin">
        <color indexed="64"/>
      </left>
      <right style="thin">
        <color indexed="64"/>
      </right>
      <top style="thin">
        <color indexed="64"/>
      </top>
      <bottom/>
      <diagonal/>
    </border>
    <border>
      <left/>
      <right/>
      <top style="thin">
        <color indexed="64"/>
      </top>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double">
        <color indexed="64"/>
      </right>
      <top style="medium">
        <color indexed="64"/>
      </top>
      <bottom style="double">
        <color indexed="64"/>
      </bottom>
      <diagonal/>
    </border>
    <border>
      <left/>
      <right style="medium">
        <color indexed="64"/>
      </right>
      <top/>
      <bottom/>
      <diagonal/>
    </border>
    <border>
      <left style="thin">
        <color indexed="64"/>
      </left>
      <right/>
      <top style="double">
        <color indexed="64"/>
      </top>
      <bottom/>
      <diagonal/>
    </border>
    <border>
      <left/>
      <right/>
      <top style="double">
        <color indexed="64"/>
      </top>
      <bottom style="thin">
        <color indexed="64"/>
      </bottom>
      <diagonal/>
    </border>
    <border>
      <left style="medium">
        <color indexed="64"/>
      </left>
      <right style="thin">
        <color indexed="64"/>
      </right>
      <top/>
      <bottom/>
      <diagonal/>
    </border>
    <border>
      <left style="thin">
        <color indexed="64"/>
      </left>
      <right/>
      <top style="thin">
        <color indexed="64"/>
      </top>
      <bottom/>
      <diagonal/>
    </border>
    <border>
      <left/>
      <right/>
      <top style="medium">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top style="double">
        <color indexed="64"/>
      </top>
      <bottom/>
      <diagonal/>
    </border>
    <border>
      <left style="double">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dotted">
        <color indexed="64"/>
      </left>
      <right/>
      <top/>
      <bottom/>
      <diagonal/>
    </border>
    <border>
      <left/>
      <right/>
      <top/>
      <bottom style="thin">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double">
        <color indexed="64"/>
      </right>
      <top style="hair">
        <color indexed="64"/>
      </top>
      <bottom style="medium">
        <color indexed="64"/>
      </bottom>
      <diagonal/>
    </border>
    <border>
      <left style="double">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thin">
        <color indexed="64"/>
      </top>
      <bottom/>
      <diagonal/>
    </border>
    <border>
      <left style="thin">
        <color indexed="64"/>
      </left>
      <right style="double">
        <color indexed="64"/>
      </right>
      <top style="hair">
        <color indexed="64"/>
      </top>
      <bottom/>
      <diagonal/>
    </border>
    <border>
      <left style="thin">
        <color indexed="64"/>
      </left>
      <right style="double">
        <color indexed="64"/>
      </right>
      <top style="thin">
        <color indexed="64"/>
      </top>
      <bottom style="hair">
        <color indexed="64"/>
      </bottom>
      <diagonal/>
    </border>
    <border>
      <left style="thin">
        <color indexed="64"/>
      </left>
      <right style="double">
        <color indexed="64"/>
      </right>
      <top style="hair">
        <color indexed="64"/>
      </top>
      <bottom style="thin">
        <color indexed="64"/>
      </bottom>
      <diagonal/>
    </border>
    <border>
      <left style="medium">
        <color indexed="64"/>
      </left>
      <right/>
      <top style="medium">
        <color indexed="64"/>
      </top>
      <bottom style="hair">
        <color indexed="64"/>
      </bottom>
      <diagonal/>
    </border>
    <border>
      <left style="medium">
        <color indexed="64"/>
      </left>
      <right/>
      <top/>
      <bottom style="hair">
        <color indexed="64"/>
      </bottom>
      <diagonal/>
    </border>
    <border>
      <left style="medium">
        <color indexed="64"/>
      </left>
      <right/>
      <top/>
      <bottom style="medium">
        <color indexed="64"/>
      </bottom>
      <diagonal/>
    </border>
    <border>
      <left style="thin">
        <color indexed="64"/>
      </left>
      <right/>
      <top/>
      <bottom style="hair">
        <color indexed="64"/>
      </bottom>
      <diagonal/>
    </border>
    <border>
      <left/>
      <right style="medium">
        <color indexed="64"/>
      </right>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style="medium">
        <color indexed="64"/>
      </left>
      <right/>
      <top style="hair">
        <color indexed="64"/>
      </top>
      <bottom style="hair">
        <color indexed="64"/>
      </bottom>
      <diagonal/>
    </border>
    <border>
      <left/>
      <right style="thin">
        <color indexed="64"/>
      </right>
      <top style="hair">
        <color indexed="64"/>
      </top>
      <bottom/>
      <diagonal/>
    </border>
    <border>
      <left style="medium">
        <color indexed="64"/>
      </left>
      <right style="medium">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medium">
        <color indexed="64"/>
      </left>
      <right/>
      <top/>
      <bottom style="double">
        <color indexed="64"/>
      </bottom>
      <diagonal/>
    </border>
    <border>
      <left style="medium">
        <color indexed="64"/>
      </left>
      <right style="medium">
        <color indexed="64"/>
      </right>
      <top/>
      <bottom style="double">
        <color indexed="64"/>
      </bottom>
      <diagonal/>
    </border>
    <border>
      <left style="medium">
        <color indexed="64"/>
      </left>
      <right style="double">
        <color indexed="64"/>
      </right>
      <top/>
      <bottom style="double">
        <color indexed="64"/>
      </bottom>
      <diagonal/>
    </border>
    <border>
      <left style="medium">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double">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double">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right style="double">
        <color indexed="64"/>
      </right>
      <top style="thin">
        <color indexed="64"/>
      </top>
      <bottom style="medium">
        <color indexed="64"/>
      </bottom>
      <diagonal/>
    </border>
    <border>
      <left/>
      <right style="double">
        <color indexed="64"/>
      </right>
      <top style="medium">
        <color indexed="64"/>
      </top>
      <bottom style="double">
        <color indexed="64"/>
      </bottom>
      <diagonal/>
    </border>
    <border>
      <left style="double">
        <color indexed="64"/>
      </left>
      <right style="thin">
        <color indexed="64"/>
      </right>
      <top style="hair">
        <color indexed="64"/>
      </top>
      <bottom style="hair">
        <color indexed="64"/>
      </bottom>
      <diagonal/>
    </border>
    <border>
      <left/>
      <right style="thin">
        <color indexed="64"/>
      </right>
      <top style="medium">
        <color indexed="64"/>
      </top>
      <bottom style="thin">
        <color indexed="64"/>
      </bottom>
      <diagonal/>
    </border>
    <border>
      <left style="thin">
        <color indexed="64"/>
      </left>
      <right style="double">
        <color indexed="64"/>
      </right>
      <top style="thin">
        <color indexed="64"/>
      </top>
      <bottom style="medium">
        <color indexed="64"/>
      </bottom>
      <diagonal/>
    </border>
    <border>
      <left style="double">
        <color indexed="64"/>
      </left>
      <right/>
      <top style="hair">
        <color indexed="64"/>
      </top>
      <bottom/>
      <diagonal/>
    </border>
    <border>
      <left/>
      <right/>
      <top style="hair">
        <color indexed="64"/>
      </top>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double">
        <color indexed="64"/>
      </top>
      <bottom style="medium">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double">
        <color indexed="64"/>
      </right>
      <top style="dotted">
        <color indexed="64"/>
      </top>
      <bottom style="dotted">
        <color indexed="64"/>
      </bottom>
      <diagonal/>
    </border>
    <border>
      <left style="thin">
        <color indexed="64"/>
      </left>
      <right style="double">
        <color indexed="64"/>
      </right>
      <top style="double">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style="hair">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hair">
        <color indexed="64"/>
      </right>
      <top/>
      <bottom style="hair">
        <color indexed="64"/>
      </bottom>
      <diagonal/>
    </border>
    <border>
      <left style="hair">
        <color indexed="64"/>
      </left>
      <right style="double">
        <color indexed="64"/>
      </right>
      <top style="double">
        <color indexed="64"/>
      </top>
      <bottom style="hair">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right style="hair">
        <color indexed="64"/>
      </right>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double">
        <color indexed="64"/>
      </right>
      <top style="hair">
        <color indexed="64"/>
      </top>
      <bottom style="double">
        <color indexed="64"/>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right style="hair">
        <color indexed="64"/>
      </right>
      <top style="hair">
        <color indexed="64"/>
      </top>
      <bottom style="double">
        <color indexed="64"/>
      </bottom>
      <diagonal/>
    </border>
    <border>
      <left style="thin">
        <color indexed="64"/>
      </left>
      <right style="double">
        <color indexed="64"/>
      </right>
      <top style="double">
        <color indexed="64"/>
      </top>
      <bottom style="thin">
        <color indexed="64"/>
      </bottom>
      <diagonal/>
    </border>
    <border>
      <left/>
      <right style="thin">
        <color indexed="64"/>
      </right>
      <top style="thin">
        <color indexed="64"/>
      </top>
      <bottom/>
      <diagonal/>
    </border>
    <border>
      <left style="double">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style="double">
        <color indexed="64"/>
      </right>
      <top style="double">
        <color indexed="64"/>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right style="hair">
        <color indexed="64"/>
      </right>
      <top style="double">
        <color indexed="64"/>
      </top>
      <bottom style="medium">
        <color indexed="64"/>
      </bottom>
      <diagonal/>
    </border>
    <border>
      <left style="hair">
        <color indexed="64"/>
      </left>
      <right style="hair">
        <color indexed="64"/>
      </right>
      <top style="double">
        <color indexed="64"/>
      </top>
      <bottom style="medium">
        <color indexed="64"/>
      </bottom>
      <diagonal/>
    </border>
    <border>
      <left style="hair">
        <color indexed="64"/>
      </left>
      <right style="hair">
        <color indexed="64"/>
      </right>
      <top/>
      <bottom/>
      <diagonal/>
    </border>
    <border>
      <left style="hair">
        <color indexed="64"/>
      </left>
      <right/>
      <top/>
      <bottom/>
      <diagonal/>
    </border>
    <border>
      <left style="hair">
        <color indexed="64"/>
      </left>
      <right style="hair">
        <color indexed="64"/>
      </right>
      <top style="medium">
        <color indexed="64"/>
      </top>
      <bottom/>
      <diagonal/>
    </border>
    <border>
      <left/>
      <right style="hair">
        <color indexed="64"/>
      </right>
      <top/>
      <bottom/>
      <diagonal/>
    </border>
    <border>
      <left style="hair">
        <color indexed="64"/>
      </left>
      <right style="hair">
        <color indexed="64"/>
      </right>
      <top style="double">
        <color indexed="64"/>
      </top>
      <bottom/>
      <diagonal/>
    </border>
    <border>
      <left style="double">
        <color indexed="64"/>
      </left>
      <right style="medium">
        <color indexed="64"/>
      </right>
      <top style="double">
        <color indexed="64"/>
      </top>
      <bottom/>
      <diagonal/>
    </border>
    <border>
      <left/>
      <right style="medium">
        <color indexed="64"/>
      </right>
      <top style="double">
        <color indexed="64"/>
      </top>
      <bottom/>
      <diagonal/>
    </border>
    <border>
      <left style="medium">
        <color indexed="64"/>
      </left>
      <right style="double">
        <color indexed="64"/>
      </right>
      <top style="double">
        <color indexed="64"/>
      </top>
      <bottom/>
      <diagonal/>
    </border>
    <border>
      <left style="double">
        <color indexed="64"/>
      </left>
      <right style="medium">
        <color indexed="64"/>
      </right>
      <top/>
      <bottom/>
      <diagonal/>
    </border>
    <border>
      <left style="medium">
        <color indexed="64"/>
      </left>
      <right style="double">
        <color indexed="64"/>
      </right>
      <top/>
      <bottom/>
      <diagonal/>
    </border>
    <border>
      <left style="medium">
        <color indexed="64"/>
      </left>
      <right/>
      <top/>
      <bottom/>
      <diagonal/>
    </border>
    <border>
      <left style="thin">
        <color indexed="64"/>
      </left>
      <right style="medium">
        <color indexed="64"/>
      </right>
      <top style="thin">
        <color indexed="64"/>
      </top>
      <bottom/>
      <diagonal/>
    </border>
    <border>
      <left style="double">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double">
        <color indexed="64"/>
      </right>
      <top/>
      <bottom style="medium">
        <color indexed="64"/>
      </bottom>
      <diagonal/>
    </border>
    <border>
      <left style="double">
        <color indexed="64"/>
      </left>
      <right style="medium">
        <color indexed="64"/>
      </right>
      <top style="medium">
        <color indexed="64"/>
      </top>
      <bottom style="hair">
        <color indexed="64"/>
      </bottom>
      <diagonal/>
    </border>
    <border>
      <left/>
      <right/>
      <top style="medium">
        <color indexed="64"/>
      </top>
      <bottom style="hair">
        <color indexed="64"/>
      </bottom>
      <diagonal/>
    </border>
    <border>
      <left style="double">
        <color indexed="64"/>
      </left>
      <right style="medium">
        <color indexed="64"/>
      </right>
      <top/>
      <bottom style="hair">
        <color indexed="64"/>
      </bottom>
      <diagonal/>
    </border>
    <border>
      <left style="double">
        <color indexed="64"/>
      </left>
      <right style="medium">
        <color indexed="64"/>
      </right>
      <top style="hair">
        <color indexed="64"/>
      </top>
      <bottom style="hair">
        <color indexed="64"/>
      </bottom>
      <diagonal/>
    </border>
    <border>
      <left style="double">
        <color indexed="64"/>
      </left>
      <right style="medium">
        <color indexed="64"/>
      </right>
      <top style="hair">
        <color indexed="64"/>
      </top>
      <bottom style="medium">
        <color indexed="64"/>
      </bottom>
      <diagonal/>
    </border>
    <border>
      <left/>
      <right style="medium">
        <color indexed="64"/>
      </right>
      <top style="hair">
        <color indexed="64"/>
      </top>
      <bottom style="thin">
        <color indexed="64"/>
      </bottom>
      <diagonal/>
    </border>
    <border>
      <left style="double">
        <color indexed="64"/>
      </left>
      <right style="medium">
        <color indexed="64"/>
      </right>
      <top style="medium">
        <color indexed="64"/>
      </top>
      <bottom/>
      <diagonal/>
    </border>
    <border>
      <left style="medium">
        <color indexed="64"/>
      </left>
      <right style="thin">
        <color indexed="64"/>
      </right>
      <top/>
      <bottom style="hair">
        <color indexed="64"/>
      </bottom>
      <diagonal/>
    </border>
    <border>
      <left style="thin">
        <color indexed="64"/>
      </left>
      <right/>
      <top style="medium">
        <color indexed="64"/>
      </top>
      <bottom/>
      <diagonal/>
    </border>
    <border>
      <left style="medium">
        <color indexed="64"/>
      </left>
      <right style="double">
        <color indexed="64"/>
      </right>
      <top style="medium">
        <color indexed="64"/>
      </top>
      <bottom/>
      <diagonal/>
    </border>
    <border>
      <left style="medium">
        <color indexed="64"/>
      </left>
      <right style="medium">
        <color indexed="64"/>
      </right>
      <top style="thin">
        <color indexed="64"/>
      </top>
      <bottom/>
      <diagonal/>
    </border>
    <border>
      <left style="medium">
        <color indexed="64"/>
      </left>
      <right style="double">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indexed="64"/>
      </left>
      <right style="medium">
        <color indexed="64"/>
      </right>
      <top style="hair">
        <color indexed="64"/>
      </top>
      <bottom/>
      <diagonal/>
    </border>
    <border>
      <left/>
      <right style="medium">
        <color indexed="64"/>
      </right>
      <top style="hair">
        <color indexed="64"/>
      </top>
      <bottom/>
      <diagonal/>
    </border>
    <border>
      <left style="medium">
        <color indexed="64"/>
      </left>
      <right style="medium">
        <color indexed="64"/>
      </right>
      <top/>
      <bottom style="hair">
        <color indexed="64"/>
      </bottom>
      <diagonal/>
    </border>
    <border>
      <left style="thin">
        <color indexed="64"/>
      </left>
      <right style="thin">
        <color indexed="64"/>
      </right>
      <top style="medium">
        <color indexed="64"/>
      </top>
      <bottom/>
      <diagonal/>
    </border>
    <border>
      <left style="thin">
        <color indexed="64"/>
      </left>
      <right/>
      <top style="medium">
        <color indexed="64"/>
      </top>
      <bottom style="hair">
        <color indexed="64"/>
      </bottom>
      <diagonal/>
    </border>
    <border>
      <left style="medium">
        <color indexed="64"/>
      </left>
      <right style="double">
        <color indexed="64"/>
      </right>
      <top style="medium">
        <color indexed="64"/>
      </top>
      <bottom style="hair">
        <color indexed="64"/>
      </bottom>
      <diagonal/>
    </border>
    <border>
      <left style="medium">
        <color indexed="64"/>
      </left>
      <right style="double">
        <color indexed="64"/>
      </right>
      <top/>
      <bottom style="hair">
        <color indexed="64"/>
      </bottom>
      <diagonal/>
    </border>
    <border>
      <left style="medium">
        <color indexed="64"/>
      </left>
      <right style="medium">
        <color indexed="64"/>
      </right>
      <top style="thin">
        <color indexed="64"/>
      </top>
      <bottom style="medium">
        <color indexed="64"/>
      </bottom>
      <diagonal/>
    </border>
    <border>
      <left style="medium">
        <color indexed="64"/>
      </left>
      <right style="double">
        <color indexed="64"/>
      </right>
      <top style="hair">
        <color indexed="64"/>
      </top>
      <bottom style="hair">
        <color indexed="64"/>
      </bottom>
      <diagonal/>
    </border>
    <border>
      <left style="medium">
        <color indexed="64"/>
      </left>
      <right style="medium">
        <color indexed="64"/>
      </right>
      <top style="double">
        <color indexed="64"/>
      </top>
      <bottom/>
      <diagonal/>
    </border>
    <border>
      <left style="medium">
        <color indexed="64"/>
      </left>
      <right/>
      <top style="double">
        <color indexed="64"/>
      </top>
      <bottom/>
      <diagonal/>
    </border>
    <border>
      <left style="medium">
        <color indexed="64"/>
      </left>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style="hair">
        <color indexed="64"/>
      </bottom>
      <diagonal/>
    </border>
    <border>
      <left style="double">
        <color indexed="64"/>
      </left>
      <right style="thin">
        <color indexed="64"/>
      </right>
      <top style="double">
        <color indexed="64"/>
      </top>
      <bottom/>
      <diagonal/>
    </border>
    <border>
      <left/>
      <right style="double">
        <color indexed="64"/>
      </right>
      <top style="hair">
        <color indexed="64"/>
      </top>
      <bottom style="hair">
        <color indexed="64"/>
      </bottom>
      <diagonal/>
    </border>
    <border>
      <left/>
      <right style="double">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dotted">
        <color indexed="64"/>
      </left>
      <right style="dotted">
        <color indexed="64"/>
      </right>
      <top style="dotted">
        <color indexed="64"/>
      </top>
      <bottom style="dotted">
        <color indexed="64"/>
      </bottom>
      <diagonal/>
    </border>
    <border>
      <left style="mediumDashed">
        <color indexed="64"/>
      </left>
      <right style="mediumDashed">
        <color indexed="64"/>
      </right>
      <top style="mediumDashed">
        <color indexed="64"/>
      </top>
      <bottom style="mediumDashed">
        <color indexed="64"/>
      </bottom>
      <diagonal/>
    </border>
    <border>
      <left style="double">
        <color indexed="64"/>
      </left>
      <right style="double">
        <color indexed="64"/>
      </right>
      <top style="double">
        <color indexed="64"/>
      </top>
      <bottom style="double">
        <color indexed="64"/>
      </bottom>
      <diagonal/>
    </border>
    <border>
      <left style="thick">
        <color indexed="64"/>
      </left>
      <right style="thick">
        <color indexed="64"/>
      </right>
      <top style="thick">
        <color indexed="64"/>
      </top>
      <bottom style="thick">
        <color indexed="64"/>
      </bottom>
      <diagonal/>
    </border>
    <border>
      <left/>
      <right style="thin">
        <color indexed="64"/>
      </right>
      <top style="medium">
        <color indexed="64"/>
      </top>
      <bottom/>
      <diagonal/>
    </border>
    <border>
      <left style="double">
        <color indexed="64"/>
      </left>
      <right/>
      <top/>
      <bottom style="thin">
        <color indexed="64"/>
      </bottom>
      <diagonal/>
    </border>
    <border>
      <left/>
      <right/>
      <top/>
      <bottom style="double">
        <color indexed="64"/>
      </bottom>
      <diagonal/>
    </border>
    <border>
      <left style="thin">
        <color indexed="64"/>
      </left>
      <right style="double">
        <color indexed="64"/>
      </right>
      <top style="hair">
        <color indexed="64"/>
      </top>
      <bottom style="double">
        <color indexed="64"/>
      </bottom>
      <diagonal/>
    </border>
    <border>
      <left style="double">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double">
        <color indexed="64"/>
      </left>
      <right style="thin">
        <color indexed="64"/>
      </right>
      <top style="double">
        <color indexed="64"/>
      </top>
      <bottom style="medium">
        <color indexed="64"/>
      </bottom>
      <diagonal/>
    </border>
    <border>
      <left style="double">
        <color indexed="64"/>
      </left>
      <right style="thin">
        <color indexed="64"/>
      </right>
      <top style="thin">
        <color indexed="64"/>
      </top>
      <bottom style="medium">
        <color indexed="64"/>
      </bottom>
      <diagonal/>
    </border>
    <border>
      <left/>
      <right style="thin">
        <color indexed="64"/>
      </right>
      <top style="thin">
        <color indexed="64"/>
      </top>
      <bottom style="double">
        <color indexed="64"/>
      </bottom>
      <diagonal/>
    </border>
    <border>
      <left/>
      <right style="thin">
        <color indexed="64"/>
      </right>
      <top style="double">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right style="double">
        <color indexed="64"/>
      </right>
      <top style="thin">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top/>
      <bottom style="medium">
        <color indexed="64"/>
      </bottom>
      <diagonal/>
    </border>
    <border>
      <left style="double">
        <color indexed="64"/>
      </left>
      <right/>
      <top style="double">
        <color indexed="64"/>
      </top>
      <bottom/>
      <diagonal/>
    </border>
    <border>
      <left/>
      <right style="double">
        <color indexed="64"/>
      </right>
      <top style="double">
        <color indexed="64"/>
      </top>
      <bottom style="thin">
        <color indexed="64"/>
      </bottom>
      <diagonal/>
    </border>
    <border>
      <left style="double">
        <color indexed="64"/>
      </left>
      <right style="thin">
        <color indexed="64"/>
      </right>
      <top/>
      <bottom/>
      <diagonal/>
    </border>
    <border diagonalUp="1" diagonalDown="1">
      <left style="thin">
        <color indexed="64"/>
      </left>
      <right/>
      <top style="medium">
        <color indexed="64"/>
      </top>
      <bottom style="double">
        <color indexed="64"/>
      </bottom>
      <diagonal style="thin">
        <color indexed="64"/>
      </diagonal>
    </border>
    <border diagonalUp="1" diagonalDown="1">
      <left/>
      <right/>
      <top style="medium">
        <color indexed="64"/>
      </top>
      <bottom style="double">
        <color indexed="64"/>
      </bottom>
      <diagonal style="thin">
        <color indexed="64"/>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hair">
        <color indexed="64"/>
      </left>
      <right/>
      <top style="double">
        <color indexed="64"/>
      </top>
      <bottom style="medium">
        <color indexed="64"/>
      </bottom>
      <diagonal/>
    </border>
    <border>
      <left/>
      <right style="double">
        <color indexed="64"/>
      </right>
      <top style="double">
        <color indexed="64"/>
      </top>
      <bottom style="medium">
        <color indexed="64"/>
      </bottom>
      <diagonal/>
    </border>
    <border>
      <left style="double">
        <color indexed="64"/>
      </left>
      <right/>
      <top style="medium">
        <color indexed="64"/>
      </top>
      <bottom/>
      <diagonal/>
    </border>
    <border>
      <left/>
      <right/>
      <top style="medium">
        <color indexed="64"/>
      </top>
      <bottom/>
      <diagonal/>
    </border>
    <border>
      <left style="hair">
        <color indexed="64"/>
      </left>
      <right/>
      <top style="medium">
        <color indexed="64"/>
      </top>
      <bottom/>
      <diagonal/>
    </border>
    <border>
      <left/>
      <right style="double">
        <color indexed="64"/>
      </right>
      <top style="medium">
        <color indexed="64"/>
      </top>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hair">
        <color indexed="64"/>
      </right>
      <top style="double">
        <color indexed="64"/>
      </top>
      <bottom/>
      <diagonal/>
    </border>
    <border>
      <left style="hair">
        <color indexed="64"/>
      </left>
      <right style="double">
        <color indexed="64"/>
      </right>
      <top style="double">
        <color indexed="64"/>
      </top>
      <bottom/>
      <diagonal/>
    </border>
    <border>
      <left style="double">
        <color indexed="64"/>
      </left>
      <right/>
      <top style="double">
        <color indexed="64"/>
      </top>
      <bottom style="thin">
        <color indexed="64"/>
      </bottom>
      <diagonal/>
    </border>
    <border>
      <left/>
      <right style="double">
        <color indexed="64"/>
      </right>
      <top/>
      <bottom style="double">
        <color indexed="64"/>
      </bottom>
      <diagonal/>
    </border>
    <border>
      <left/>
      <right style="double">
        <color indexed="64"/>
      </right>
      <top style="double">
        <color indexed="64"/>
      </top>
      <bottom style="hair">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top style="thin">
        <color indexed="64"/>
      </top>
      <bottom style="double">
        <color indexed="64"/>
      </bottom>
      <diagonal/>
    </border>
    <border diagonalUp="1" diagonalDown="1">
      <left style="thin">
        <color indexed="64"/>
      </left>
      <right/>
      <top style="thin">
        <color indexed="64"/>
      </top>
      <bottom style="thin">
        <color indexed="64"/>
      </bottom>
      <diagonal style="hair">
        <color indexed="64"/>
      </diagonal>
    </border>
    <border diagonalUp="1" diagonalDown="1">
      <left/>
      <right style="thin">
        <color indexed="64"/>
      </right>
      <top style="thin">
        <color indexed="64"/>
      </top>
      <bottom style="thin">
        <color indexed="64"/>
      </bottom>
      <diagonal style="hair">
        <color indexed="64"/>
      </diagonal>
    </border>
    <border diagonalUp="1" diagonalDown="1">
      <left style="thin">
        <color indexed="64"/>
      </left>
      <right style="double">
        <color indexed="64"/>
      </right>
      <top style="thin">
        <color indexed="64"/>
      </top>
      <bottom style="thin">
        <color indexed="64"/>
      </bottom>
      <diagonal style="hair">
        <color indexed="64"/>
      </diagonal>
    </border>
    <border diagonalUp="1" diagonalDown="1">
      <left style="thin">
        <color indexed="64"/>
      </left>
      <right/>
      <top style="thin">
        <color indexed="64"/>
      </top>
      <bottom style="double">
        <color indexed="64"/>
      </bottom>
      <diagonal style="hair">
        <color indexed="64"/>
      </diagonal>
    </border>
    <border diagonalUp="1" diagonalDown="1">
      <left/>
      <right/>
      <top style="thin">
        <color indexed="64"/>
      </top>
      <bottom style="double">
        <color indexed="64"/>
      </bottom>
      <diagonal style="hair">
        <color indexed="64"/>
      </diagonal>
    </border>
    <border diagonalUp="1" diagonalDown="1">
      <left/>
      <right style="double">
        <color indexed="64"/>
      </right>
      <top style="thin">
        <color indexed="64"/>
      </top>
      <bottom style="double">
        <color indexed="64"/>
      </bottom>
      <diagonal style="hair">
        <color indexed="64"/>
      </diagonal>
    </border>
    <border>
      <left/>
      <right style="medium">
        <color indexed="64"/>
      </right>
      <top style="medium">
        <color indexed="64"/>
      </top>
      <bottom/>
      <diagonal/>
    </border>
    <border>
      <left style="medium">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tted">
        <color indexed="64"/>
      </bottom>
      <diagonal/>
    </border>
    <border>
      <left style="double">
        <color indexed="64"/>
      </left>
      <right style="thin">
        <color indexed="64"/>
      </right>
      <top style="dotted">
        <color indexed="64"/>
      </top>
      <bottom style="dotted">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double">
        <color indexed="64"/>
      </left>
      <right style="hair">
        <color indexed="64"/>
      </right>
      <top style="hair">
        <color indexed="64"/>
      </top>
      <bottom/>
      <diagonal/>
    </border>
    <border>
      <left/>
      <right style="hair">
        <color indexed="64"/>
      </right>
      <top style="hair">
        <color indexed="64"/>
      </top>
      <bottom/>
      <diagonal/>
    </border>
    <border>
      <left/>
      <right style="medium">
        <color indexed="64"/>
      </right>
      <top/>
      <bottom style="double">
        <color indexed="64"/>
      </bottom>
      <diagonal/>
    </border>
    <border>
      <left style="medium">
        <color indexed="64"/>
      </left>
      <right style="thin">
        <color indexed="64"/>
      </right>
      <top/>
      <bottom style="double">
        <color indexed="64"/>
      </bottom>
      <diagonal/>
    </border>
    <border>
      <left/>
      <right style="double">
        <color indexed="64"/>
      </right>
      <top style="hair">
        <color indexed="64"/>
      </top>
      <bottom style="double">
        <color indexed="64"/>
      </bottom>
      <diagonal/>
    </border>
    <border>
      <left style="hair">
        <color indexed="64"/>
      </left>
      <right style="double">
        <color indexed="64"/>
      </right>
      <top style="hair">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hair">
        <color indexed="64"/>
      </right>
      <top style="double">
        <color indexed="64"/>
      </top>
      <bottom/>
      <diagonal/>
    </border>
    <border>
      <left style="hair">
        <color indexed="64"/>
      </left>
      <right/>
      <top style="double">
        <color indexed="64"/>
      </top>
      <bottom/>
      <diagonal/>
    </border>
    <border>
      <left style="hair">
        <color indexed="64"/>
      </left>
      <right style="thin">
        <color indexed="64"/>
      </right>
      <top style="double">
        <color indexed="64"/>
      </top>
      <bottom/>
      <diagonal/>
    </border>
    <border>
      <left style="hair">
        <color indexed="64"/>
      </left>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hair">
        <color indexed="64"/>
      </left>
      <right style="double">
        <color indexed="64"/>
      </right>
      <top/>
      <bottom/>
      <diagonal/>
    </border>
    <border>
      <left/>
      <right style="hair">
        <color indexed="64"/>
      </right>
      <top style="thin">
        <color indexed="64"/>
      </top>
      <bottom style="hair">
        <color indexed="64"/>
      </bottom>
      <diagonal/>
    </border>
    <border>
      <left style="hair">
        <color indexed="64"/>
      </left>
      <right style="double">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bottom style="double">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thin">
        <color indexed="64"/>
      </left>
      <right style="double">
        <color indexed="64"/>
      </right>
      <top/>
      <bottom style="dotted">
        <color indexed="64"/>
      </bottom>
      <diagonal/>
    </border>
    <border>
      <left/>
      <right style="thin">
        <color indexed="64"/>
      </right>
      <top style="dotted">
        <color indexed="64"/>
      </top>
      <bottom style="dotted">
        <color indexed="64"/>
      </bottom>
      <diagonal/>
    </border>
    <border>
      <left style="double">
        <color indexed="64"/>
      </left>
      <right style="thin">
        <color indexed="64"/>
      </right>
      <top style="dotted">
        <color indexed="64"/>
      </top>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indexed="64"/>
      </left>
      <right style="dashed">
        <color indexed="64"/>
      </right>
      <top style="dotted">
        <color indexed="64"/>
      </top>
      <bottom style="dotted">
        <color indexed="64"/>
      </bottom>
      <diagonal/>
    </border>
    <border>
      <left style="thin">
        <color indexed="64"/>
      </left>
      <right style="double">
        <color indexed="64"/>
      </right>
      <top style="dotted">
        <color indexed="64"/>
      </top>
      <bottom style="thin">
        <color indexed="64"/>
      </bottom>
      <diagonal/>
    </border>
    <border>
      <left style="dashed">
        <color indexed="64"/>
      </left>
      <right style="double">
        <color indexed="64"/>
      </right>
      <top style="dotted">
        <color indexed="64"/>
      </top>
      <bottom style="dotted">
        <color indexed="64"/>
      </bottom>
      <diagonal/>
    </border>
    <border>
      <left style="thin">
        <color indexed="64"/>
      </left>
      <right style="double">
        <color indexed="64"/>
      </right>
      <top style="medium">
        <color indexed="64"/>
      </top>
      <bottom style="hair">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diagonalUp="1">
      <left style="thin">
        <color indexed="64"/>
      </left>
      <right style="thin">
        <color indexed="64"/>
      </right>
      <top style="thin">
        <color indexed="64"/>
      </top>
      <bottom style="double">
        <color indexed="64"/>
      </bottom>
      <diagonal style="thin">
        <color indexed="64"/>
      </diagonal>
    </border>
    <border diagonalUp="1">
      <left style="thin">
        <color indexed="64"/>
      </left>
      <right style="double">
        <color indexed="64"/>
      </right>
      <top style="thin">
        <color indexed="64"/>
      </top>
      <bottom style="double">
        <color indexed="64"/>
      </bottom>
      <diagonal style="thin">
        <color indexed="64"/>
      </diagonal>
    </border>
    <border>
      <left style="double">
        <color indexed="64"/>
      </left>
      <right style="thin">
        <color indexed="64"/>
      </right>
      <top style="thin">
        <color indexed="64"/>
      </top>
      <bottom style="hair">
        <color indexed="64"/>
      </bottom>
      <diagonal/>
    </border>
    <border diagonalUp="1" diagonalDown="1">
      <left style="thin">
        <color indexed="64"/>
      </left>
      <right style="thin">
        <color indexed="64"/>
      </right>
      <top/>
      <bottom style="double">
        <color indexed="64"/>
      </bottom>
      <diagonal style="thin">
        <color indexed="64"/>
      </diagonal>
    </border>
    <border>
      <left style="thin">
        <color indexed="64"/>
      </left>
      <right style="thin">
        <color indexed="64"/>
      </right>
      <top style="medium">
        <color indexed="64"/>
      </top>
      <bottom style="medium">
        <color indexed="64"/>
      </bottom>
      <diagonal/>
    </border>
    <border diagonalUp="1" diagonalDown="1">
      <left style="thin">
        <color indexed="64"/>
      </left>
      <right style="thin">
        <color indexed="64"/>
      </right>
      <top style="medium">
        <color indexed="64"/>
      </top>
      <bottom style="medium">
        <color indexed="64"/>
      </bottom>
      <diagonal style="thin">
        <color indexed="64"/>
      </diagonal>
    </border>
    <border diagonalUp="1" diagonalDown="1">
      <left style="medium">
        <color indexed="64"/>
      </left>
      <right style="thin">
        <color indexed="64"/>
      </right>
      <top style="medium">
        <color indexed="64"/>
      </top>
      <bottom style="medium">
        <color indexed="64"/>
      </bottom>
      <diagonal style="thin">
        <color indexed="64"/>
      </diagonal>
    </border>
    <border>
      <left style="double">
        <color indexed="64"/>
      </left>
      <right/>
      <top style="medium">
        <color indexed="64"/>
      </top>
      <bottom style="medium">
        <color indexed="64"/>
      </bottom>
      <diagonal/>
    </border>
    <border>
      <left style="double">
        <color indexed="64"/>
      </left>
      <right style="thin">
        <color indexed="64"/>
      </right>
      <top style="hair">
        <color indexed="64"/>
      </top>
      <bottom/>
      <diagonal/>
    </border>
    <border>
      <left style="double">
        <color indexed="64"/>
      </left>
      <right/>
      <top style="medium">
        <color indexed="64"/>
      </top>
      <bottom style="hair">
        <color indexed="64"/>
      </bottom>
      <diagonal/>
    </border>
    <border>
      <left style="double">
        <color indexed="64"/>
      </left>
      <right style="thin">
        <color indexed="64"/>
      </right>
      <top/>
      <bottom style="hair">
        <color indexed="64"/>
      </bottom>
      <diagonal/>
    </border>
    <border diagonalUp="1" diagonalDown="1">
      <left style="medium">
        <color indexed="64"/>
      </left>
      <right style="thin">
        <color indexed="64"/>
      </right>
      <top/>
      <bottom style="medium">
        <color indexed="64"/>
      </bottom>
      <diagonal style="thin">
        <color indexed="64"/>
      </diagonal>
    </border>
    <border diagonalUp="1" diagonalDown="1">
      <left style="thin">
        <color indexed="64"/>
      </left>
      <right style="thin">
        <color indexed="64"/>
      </right>
      <top/>
      <bottom style="medium">
        <color indexed="64"/>
      </bottom>
      <diagonal style="thin">
        <color indexed="64"/>
      </diagonal>
    </border>
    <border>
      <left/>
      <right style="hair">
        <color indexed="64"/>
      </right>
      <top style="thin">
        <color indexed="64"/>
      </top>
      <bottom style="thin">
        <color indexed="64"/>
      </bottom>
      <diagonal/>
    </border>
    <border>
      <left/>
      <right style="hair">
        <color indexed="64"/>
      </right>
      <top style="medium">
        <color indexed="64"/>
      </top>
      <bottom style="thin">
        <color indexed="64"/>
      </bottom>
      <diagonal/>
    </border>
  </borders>
  <cellStyleXfs count="58">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43" fontId="1" fillId="0" borderId="0" applyFont="0" applyFill="0" applyBorder="0" applyAlignment="0" applyProtection="0"/>
    <xf numFmtId="43" fontId="22" fillId="0" borderId="0" applyFont="0" applyFill="0" applyBorder="0" applyAlignment="0" applyProtection="0"/>
    <xf numFmtId="43" fontId="22" fillId="0" borderId="0" applyFont="0" applyFill="0" applyBorder="0" applyAlignment="0" applyProtection="0"/>
    <xf numFmtId="165" fontId="1" fillId="0" borderId="0" applyFill="0" applyBorder="0" applyAlignment="0" applyProtection="0"/>
    <xf numFmtId="44" fontId="1"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22" fillId="0" borderId="0"/>
    <xf numFmtId="0" fontId="22" fillId="0" borderId="0"/>
    <xf numFmtId="0" fontId="2" fillId="0" borderId="0"/>
    <xf numFmtId="0" fontId="2" fillId="0" borderId="0"/>
    <xf numFmtId="0" fontId="1" fillId="23" borderId="7" applyNumberFormat="0" applyFont="0" applyAlignment="0" applyProtection="0"/>
    <xf numFmtId="0" fontId="15" fillId="20" borderId="8" applyNumberFormat="0" applyAlignment="0" applyProtection="0"/>
    <xf numFmtId="9" fontId="1" fillId="0" borderId="0" applyFont="0" applyFill="0" applyBorder="0" applyAlignment="0" applyProtection="0"/>
    <xf numFmtId="9" fontId="22" fillId="0" borderId="0" applyFont="0" applyFill="0" applyBorder="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43" fontId="203"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cellStyleXfs>
  <cellXfs count="3021">
    <xf numFmtId="0" fontId="0" fillId="0" borderId="0" xfId="0"/>
    <xf numFmtId="0" fontId="0" fillId="0" borderId="0" xfId="0" applyAlignment="1">
      <alignment vertical="center"/>
    </xf>
    <xf numFmtId="0" fontId="24" fillId="0" borderId="0" xfId="0" applyFont="1" applyAlignment="1"/>
    <xf numFmtId="0" fontId="25" fillId="0" borderId="0" xfId="0" applyFont="1" applyAlignment="1">
      <alignment vertical="center"/>
    </xf>
    <xf numFmtId="0" fontId="0" fillId="0" borderId="0" xfId="0" applyAlignment="1">
      <alignment horizontal="center"/>
    </xf>
    <xf numFmtId="0" fontId="24" fillId="0" borderId="0" xfId="0" applyFont="1" applyAlignment="1">
      <alignment horizontal="center"/>
    </xf>
    <xf numFmtId="0" fontId="25" fillId="0" borderId="0" xfId="0" applyFont="1"/>
    <xf numFmtId="0" fontId="37" fillId="0" borderId="0" xfId="44" applyFont="1" applyAlignment="1">
      <alignment wrapText="1"/>
    </xf>
    <xf numFmtId="0" fontId="37" fillId="0" borderId="0" xfId="44" applyFont="1"/>
    <xf numFmtId="0" fontId="40" fillId="0" borderId="0" xfId="44" applyFont="1" applyAlignment="1">
      <alignment horizontal="center" vertical="center"/>
    </xf>
    <xf numFmtId="0" fontId="40" fillId="0" borderId="0" xfId="44" applyFont="1" applyAlignment="1">
      <alignment vertical="center"/>
    </xf>
    <xf numFmtId="0" fontId="40" fillId="0" borderId="0" xfId="44" applyFont="1" applyAlignment="1">
      <alignment vertical="center" wrapText="1"/>
    </xf>
    <xf numFmtId="0" fontId="40" fillId="0" borderId="0" xfId="44" applyFont="1"/>
    <xf numFmtId="0" fontId="40" fillId="0" borderId="0" xfId="44" applyFont="1" applyAlignment="1">
      <alignment horizontal="center" vertical="top"/>
    </xf>
    <xf numFmtId="0" fontId="40" fillId="0" borderId="0" xfId="44" applyFont="1" applyFill="1" applyAlignment="1">
      <alignment vertical="top"/>
    </xf>
    <xf numFmtId="0" fontId="40" fillId="0" borderId="0" xfId="44" applyFont="1" applyAlignment="1">
      <alignment vertical="top" wrapText="1"/>
    </xf>
    <xf numFmtId="0" fontId="40" fillId="0" borderId="0" xfId="44" applyFont="1" applyAlignment="1">
      <alignment vertical="top"/>
    </xf>
    <xf numFmtId="0" fontId="40" fillId="0" borderId="0" xfId="44" applyFont="1" applyFill="1" applyBorder="1"/>
    <xf numFmtId="0" fontId="40" fillId="0" borderId="0" xfId="44" applyFont="1" applyFill="1" applyBorder="1" applyAlignment="1">
      <alignment horizontal="center" vertical="center" wrapText="1"/>
    </xf>
    <xf numFmtId="0" fontId="40" fillId="0" borderId="0" xfId="44" applyFont="1" applyAlignment="1">
      <alignment wrapText="1"/>
    </xf>
    <xf numFmtId="0" fontId="2" fillId="0" borderId="0" xfId="44" applyAlignment="1">
      <alignment vertical="center"/>
    </xf>
    <xf numFmtId="0" fontId="51" fillId="0" borderId="0" xfId="44" applyFont="1" applyAlignment="1">
      <alignment vertical="center" wrapText="1"/>
    </xf>
    <xf numFmtId="0" fontId="2" fillId="0" borderId="0" xfId="44" applyAlignment="1">
      <alignment vertical="top"/>
    </xf>
    <xf numFmtId="0" fontId="17" fillId="0" borderId="0" xfId="44" applyFont="1" applyAlignment="1">
      <alignment vertical="center"/>
    </xf>
    <xf numFmtId="0" fontId="17" fillId="0" borderId="0" xfId="44" applyFont="1" applyAlignment="1">
      <alignment vertical="top"/>
    </xf>
    <xf numFmtId="0" fontId="59" fillId="0" borderId="0" xfId="44" applyFont="1" applyAlignment="1">
      <alignment vertical="center"/>
    </xf>
    <xf numFmtId="0" fontId="58" fillId="0" borderId="0" xfId="44" applyFont="1" applyAlignment="1">
      <alignment vertical="center"/>
    </xf>
    <xf numFmtId="0" fontId="59" fillId="0" borderId="0" xfId="44" applyFont="1" applyFill="1" applyAlignment="1">
      <alignment vertical="center"/>
    </xf>
    <xf numFmtId="0" fontId="65" fillId="0" borderId="0" xfId="44" applyFont="1" applyAlignment="1">
      <alignment vertical="center"/>
    </xf>
    <xf numFmtId="0" fontId="67" fillId="0" borderId="0" xfId="44" applyFont="1" applyAlignment="1">
      <alignment vertical="center"/>
    </xf>
    <xf numFmtId="0" fontId="22" fillId="0" borderId="0" xfId="0" applyFont="1"/>
    <xf numFmtId="0" fontId="23" fillId="0" borderId="0" xfId="0" applyFont="1"/>
    <xf numFmtId="0" fontId="23" fillId="24" borderId="12" xfId="0" applyFont="1" applyFill="1" applyBorder="1"/>
    <xf numFmtId="0" fontId="23" fillId="24" borderId="0" xfId="0" applyFont="1" applyFill="1" applyBorder="1"/>
    <xf numFmtId="0" fontId="23" fillId="24" borderId="13" xfId="0" applyFont="1" applyFill="1" applyBorder="1" applyAlignment="1">
      <alignment horizontal="center"/>
    </xf>
    <xf numFmtId="0" fontId="23" fillId="24" borderId="14" xfId="0" applyFont="1" applyFill="1" applyBorder="1" applyAlignment="1">
      <alignment horizontal="center"/>
    </xf>
    <xf numFmtId="0" fontId="23" fillId="24" borderId="14" xfId="0" applyFont="1" applyFill="1" applyBorder="1"/>
    <xf numFmtId="0" fontId="23" fillId="24" borderId="15" xfId="0" applyFont="1" applyFill="1" applyBorder="1"/>
    <xf numFmtId="0" fontId="23" fillId="24" borderId="12" xfId="0" applyFont="1" applyFill="1" applyBorder="1" applyAlignment="1">
      <alignment vertical="center"/>
    </xf>
    <xf numFmtId="0" fontId="23" fillId="24" borderId="13" xfId="0" applyFont="1" applyFill="1" applyBorder="1"/>
    <xf numFmtId="0" fontId="23" fillId="24" borderId="16" xfId="0" applyFont="1" applyFill="1" applyBorder="1"/>
    <xf numFmtId="0" fontId="23" fillId="24" borderId="17" xfId="0" applyFont="1" applyFill="1" applyBorder="1"/>
    <xf numFmtId="0" fontId="23" fillId="24" borderId="18" xfId="0" applyFont="1" applyFill="1" applyBorder="1"/>
    <xf numFmtId="0" fontId="23" fillId="24" borderId="19" xfId="0" applyFont="1" applyFill="1" applyBorder="1"/>
    <xf numFmtId="0" fontId="23" fillId="24" borderId="20" xfId="0" applyFont="1" applyFill="1" applyBorder="1"/>
    <xf numFmtId="0" fontId="0" fillId="24" borderId="21" xfId="0" applyFill="1" applyBorder="1"/>
    <xf numFmtId="0" fontId="0" fillId="24" borderId="0" xfId="0" applyFill="1" applyBorder="1"/>
    <xf numFmtId="0" fontId="0" fillId="24" borderId="13" xfId="0" applyFill="1" applyBorder="1"/>
    <xf numFmtId="0" fontId="0" fillId="24" borderId="14" xfId="0" applyFill="1" applyBorder="1"/>
    <xf numFmtId="0" fontId="0" fillId="24" borderId="15" xfId="0" applyFill="1" applyBorder="1"/>
    <xf numFmtId="0" fontId="0" fillId="24" borderId="16" xfId="0" applyFill="1" applyBorder="1"/>
    <xf numFmtId="0" fontId="0" fillId="24" borderId="17" xfId="0" applyFill="1" applyBorder="1"/>
    <xf numFmtId="0" fontId="0" fillId="24" borderId="18" xfId="0" applyFill="1" applyBorder="1"/>
    <xf numFmtId="0" fontId="0" fillId="24" borderId="19" xfId="0" applyFill="1" applyBorder="1"/>
    <xf numFmtId="0" fontId="0" fillId="24" borderId="20" xfId="0" applyFill="1" applyBorder="1"/>
    <xf numFmtId="0" fontId="0" fillId="0" borderId="0" xfId="0" applyAlignment="1">
      <alignment vertical="top"/>
    </xf>
    <xf numFmtId="0" fontId="2" fillId="0" borderId="0" xfId="45"/>
    <xf numFmtId="0" fontId="2" fillId="0" borderId="0" xfId="45" applyAlignment="1">
      <alignment vertical="center"/>
    </xf>
    <xf numFmtId="0" fontId="2" fillId="0" borderId="0" xfId="45" applyAlignment="1">
      <alignment vertical="top" wrapText="1"/>
    </xf>
    <xf numFmtId="0" fontId="2" fillId="0" borderId="0" xfId="45" applyAlignment="1">
      <alignment vertical="center" wrapText="1"/>
    </xf>
    <xf numFmtId="0" fontId="2" fillId="0" borderId="0" xfId="45" applyFill="1" applyAlignment="1">
      <alignment vertical="center"/>
    </xf>
    <xf numFmtId="0" fontId="83" fillId="25" borderId="22" xfId="45" applyFont="1" applyFill="1" applyBorder="1" applyAlignment="1">
      <alignment vertical="center"/>
    </xf>
    <xf numFmtId="0" fontId="57" fillId="25" borderId="23" xfId="45" applyFont="1" applyFill="1" applyBorder="1" applyAlignment="1">
      <alignment vertical="center"/>
    </xf>
    <xf numFmtId="0" fontId="2" fillId="25" borderId="23" xfId="45" applyFill="1" applyBorder="1" applyAlignment="1">
      <alignment vertical="center"/>
    </xf>
    <xf numFmtId="0" fontId="90" fillId="0" borderId="0" xfId="0" applyFont="1"/>
    <xf numFmtId="0" fontId="91" fillId="0" borderId="0" xfId="0" applyFont="1"/>
    <xf numFmtId="0" fontId="92" fillId="0" borderId="0" xfId="0" applyFont="1" applyAlignment="1">
      <alignment horizontal="left" vertical="center"/>
    </xf>
    <xf numFmtId="0" fontId="0" fillId="0" borderId="0" xfId="0" applyAlignment="1">
      <alignment horizontal="left" vertical="center"/>
    </xf>
    <xf numFmtId="0" fontId="91" fillId="0" borderId="0" xfId="0" applyFont="1" applyAlignment="1">
      <alignment horizontal="left" vertical="center"/>
    </xf>
    <xf numFmtId="0" fontId="19" fillId="0" borderId="0" xfId="0" applyFont="1"/>
    <xf numFmtId="0" fontId="70" fillId="0" borderId="0" xfId="0" applyFont="1" applyAlignment="1">
      <alignment vertical="center"/>
    </xf>
    <xf numFmtId="0" fontId="95" fillId="0" borderId="0" xfId="0" applyFont="1" applyBorder="1"/>
    <xf numFmtId="0" fontId="94" fillId="0" borderId="0" xfId="0" applyFont="1" applyAlignment="1">
      <alignment horizontal="center"/>
    </xf>
    <xf numFmtId="165" fontId="95" fillId="0" borderId="0" xfId="31" applyFont="1" applyFill="1" applyBorder="1" applyAlignment="1" applyProtection="1">
      <alignment horizontal="center"/>
    </xf>
    <xf numFmtId="165" fontId="95" fillId="0" borderId="0" xfId="31" applyNumberFormat="1" applyFont="1" applyFill="1" applyBorder="1" applyAlignment="1" applyProtection="1">
      <alignment horizontal="center"/>
    </xf>
    <xf numFmtId="0" fontId="35" fillId="26" borderId="25" xfId="0" applyFont="1" applyFill="1" applyBorder="1" applyAlignment="1">
      <alignment vertical="top" wrapText="1"/>
    </xf>
    <xf numFmtId="9" fontId="25" fillId="26" borderId="26" xfId="48" applyFont="1" applyFill="1" applyBorder="1" applyAlignment="1">
      <alignment horizontal="center" vertical="center"/>
    </xf>
    <xf numFmtId="166" fontId="25" fillId="26" borderId="26" xfId="31" applyNumberFormat="1" applyFont="1" applyFill="1" applyBorder="1" applyAlignment="1" applyProtection="1">
      <alignment horizontal="left" vertical="center"/>
    </xf>
    <xf numFmtId="165" fontId="25" fillId="26" borderId="27" xfId="31" applyNumberFormat="1" applyFont="1" applyFill="1" applyBorder="1" applyAlignment="1" applyProtection="1">
      <alignment horizontal="left" vertical="center"/>
    </xf>
    <xf numFmtId="0" fontId="92" fillId="0" borderId="28" xfId="0" applyFont="1" applyBorder="1" applyAlignment="1">
      <alignment horizontal="left" vertical="top"/>
    </xf>
    <xf numFmtId="9" fontId="22" fillId="26" borderId="23" xfId="48" applyFont="1" applyFill="1" applyBorder="1" applyAlignment="1">
      <alignment horizontal="center" vertical="center"/>
    </xf>
    <xf numFmtId="0" fontId="22" fillId="0" borderId="0" xfId="0" applyFont="1" applyAlignment="1">
      <alignment horizontal="left" vertical="center"/>
    </xf>
    <xf numFmtId="0" fontId="35" fillId="27" borderId="29" xfId="0" applyFont="1" applyFill="1" applyBorder="1" applyAlignment="1">
      <alignment vertical="top" wrapText="1"/>
    </xf>
    <xf numFmtId="9" fontId="25" fillId="27" borderId="23" xfId="48" applyFont="1" applyFill="1" applyBorder="1" applyAlignment="1">
      <alignment horizontal="center" vertical="center"/>
    </xf>
    <xf numFmtId="9" fontId="25" fillId="27" borderId="30" xfId="48" applyFont="1" applyFill="1" applyBorder="1" applyAlignment="1">
      <alignment horizontal="center" vertical="center"/>
    </xf>
    <xf numFmtId="0" fontId="92" fillId="0" borderId="0" xfId="0" applyFont="1" applyAlignment="1">
      <alignment vertical="center"/>
    </xf>
    <xf numFmtId="9" fontId="25" fillId="0" borderId="0" xfId="48" applyFont="1" applyAlignment="1">
      <alignment horizontal="center"/>
    </xf>
    <xf numFmtId="0" fontId="25" fillId="0" borderId="0" xfId="0" applyFont="1" applyAlignment="1">
      <alignment horizontal="center"/>
    </xf>
    <xf numFmtId="0" fontId="22" fillId="0" borderId="0" xfId="42" applyFont="1" applyFill="1" applyBorder="1" applyAlignment="1">
      <alignment vertical="center"/>
    </xf>
    <xf numFmtId="0" fontId="22" fillId="0" borderId="0" xfId="42" applyFont="1" applyFill="1" applyAlignment="1">
      <alignment vertical="center"/>
    </xf>
    <xf numFmtId="0" fontId="36" fillId="0" borderId="0" xfId="42" applyFont="1" applyFill="1" applyBorder="1" applyAlignment="1">
      <alignment horizontal="center" vertical="center"/>
    </xf>
    <xf numFmtId="0" fontId="31" fillId="0" borderId="0" xfId="42" applyFont="1" applyFill="1" applyBorder="1" applyAlignment="1">
      <alignment horizontal="center" vertical="center"/>
    </xf>
    <xf numFmtId="0" fontId="25" fillId="0" borderId="0" xfId="42" applyFont="1" applyFill="1" applyBorder="1" applyAlignment="1">
      <alignment vertical="center"/>
    </xf>
    <xf numFmtId="44" fontId="31" fillId="0" borderId="0" xfId="32" applyFont="1" applyFill="1" applyBorder="1" applyAlignment="1">
      <alignment vertical="center"/>
    </xf>
    <xf numFmtId="0" fontId="25" fillId="0" borderId="0" xfId="42" applyFont="1" applyFill="1" applyAlignment="1">
      <alignment vertical="center"/>
    </xf>
    <xf numFmtId="41" fontId="25" fillId="0" borderId="0" xfId="42" applyNumberFormat="1" applyFont="1" applyFill="1" applyAlignment="1">
      <alignment vertical="center"/>
    </xf>
    <xf numFmtId="0" fontId="114" fillId="0" borderId="0" xfId="42" applyFont="1" applyFill="1" applyBorder="1" applyAlignment="1">
      <alignment horizontal="center" vertical="center" wrapText="1"/>
    </xf>
    <xf numFmtId="0" fontId="113" fillId="0" borderId="0" xfId="42" applyFont="1" applyFill="1" applyBorder="1" applyAlignment="1">
      <alignment horizontal="center" vertical="center"/>
    </xf>
    <xf numFmtId="0" fontId="113" fillId="0" borderId="0" xfId="42" applyFont="1" applyFill="1" applyBorder="1" applyAlignment="1">
      <alignment vertical="center" wrapText="1"/>
    </xf>
    <xf numFmtId="43" fontId="113" fillId="0" borderId="23" xfId="28" applyFont="1" applyFill="1" applyBorder="1" applyAlignment="1">
      <alignment horizontal="right" vertical="center" wrapText="1"/>
    </xf>
    <xf numFmtId="0" fontId="23" fillId="0" borderId="0" xfId="42" applyFont="1" applyFill="1" applyAlignment="1">
      <alignment horizontal="center" vertical="center"/>
    </xf>
    <xf numFmtId="0" fontId="22" fillId="0" borderId="0" xfId="42" applyFont="1" applyFill="1" applyAlignment="1">
      <alignment horizontal="center" vertical="center"/>
    </xf>
    <xf numFmtId="0" fontId="23" fillId="0" borderId="0" xfId="42" applyFont="1" applyFill="1" applyAlignment="1">
      <alignment vertical="center"/>
    </xf>
    <xf numFmtId="0" fontId="73" fillId="0" borderId="0" xfId="0" applyFont="1" applyAlignment="1">
      <alignment horizontal="left" vertical="center"/>
    </xf>
    <xf numFmtId="0" fontId="21" fillId="0" borderId="0" xfId="0" applyFont="1" applyAlignment="1">
      <alignment horizontal="right" vertical="center"/>
    </xf>
    <xf numFmtId="0" fontId="21" fillId="0" borderId="0" xfId="0" applyFont="1" applyAlignment="1">
      <alignment horizontal="left" vertical="center"/>
    </xf>
    <xf numFmtId="0" fontId="122" fillId="28" borderId="29" xfId="0" applyFont="1" applyFill="1" applyBorder="1" applyAlignment="1">
      <alignment horizontal="left" vertical="center"/>
    </xf>
    <xf numFmtId="0" fontId="133" fillId="28" borderId="41" xfId="0" applyFont="1" applyFill="1" applyBorder="1" applyAlignment="1">
      <alignment vertical="center"/>
    </xf>
    <xf numFmtId="0" fontId="133" fillId="28" borderId="41" xfId="0" applyFont="1" applyFill="1" applyBorder="1" applyAlignment="1">
      <alignment vertical="center" wrapText="1"/>
    </xf>
    <xf numFmtId="0" fontId="28" fillId="28" borderId="42" xfId="0" applyFont="1" applyFill="1" applyBorder="1" applyAlignment="1">
      <alignment vertical="center" wrapText="1"/>
    </xf>
    <xf numFmtId="0" fontId="23" fillId="29" borderId="48" xfId="0" applyFont="1" applyFill="1" applyBorder="1"/>
    <xf numFmtId="0" fontId="23" fillId="29" borderId="49" xfId="0" applyFont="1" applyFill="1" applyBorder="1"/>
    <xf numFmtId="49" fontId="28" fillId="29" borderId="50" xfId="0" applyNumberFormat="1" applyFont="1" applyFill="1" applyBorder="1" applyAlignment="1">
      <alignment horizontal="left" vertical="center"/>
    </xf>
    <xf numFmtId="0" fontId="23" fillId="25" borderId="12" xfId="0" applyFont="1" applyFill="1" applyBorder="1" applyAlignment="1">
      <alignment horizontal="left" vertical="center"/>
    </xf>
    <xf numFmtId="0" fontId="23" fillId="25" borderId="0" xfId="0" applyFont="1" applyFill="1" applyBorder="1" applyAlignment="1">
      <alignment horizontal="left" vertical="center"/>
    </xf>
    <xf numFmtId="0" fontId="126" fillId="25" borderId="52" xfId="0" applyFont="1" applyFill="1" applyBorder="1" applyAlignment="1">
      <alignment horizontal="left" vertical="center"/>
    </xf>
    <xf numFmtId="0" fontId="23" fillId="0" borderId="0" xfId="0" applyFont="1" applyAlignment="1">
      <alignment horizontal="left" vertical="center"/>
    </xf>
    <xf numFmtId="43" fontId="19" fillId="26" borderId="29" xfId="0" applyNumberFormat="1" applyFont="1" applyFill="1" applyBorder="1" applyAlignment="1">
      <alignment horizontal="left" vertical="center"/>
    </xf>
    <xf numFmtId="43" fontId="19" fillId="26" borderId="41" xfId="0" applyNumberFormat="1" applyFont="1" applyFill="1" applyBorder="1" applyAlignment="1">
      <alignment horizontal="left" vertical="center"/>
    </xf>
    <xf numFmtId="49" fontId="126" fillId="26" borderId="42" xfId="0" applyNumberFormat="1" applyFont="1" applyFill="1" applyBorder="1" applyAlignment="1">
      <alignment horizontal="left" vertical="center"/>
    </xf>
    <xf numFmtId="43" fontId="19" fillId="30" borderId="29" xfId="0" applyNumberFormat="1" applyFont="1" applyFill="1" applyBorder="1" applyAlignment="1">
      <alignment horizontal="left" vertical="center"/>
    </xf>
    <xf numFmtId="43" fontId="19" fillId="30" borderId="41" xfId="0" applyNumberFormat="1" applyFont="1" applyFill="1" applyBorder="1" applyAlignment="1">
      <alignment horizontal="left" vertical="center"/>
    </xf>
    <xf numFmtId="49" fontId="28" fillId="30" borderId="42" xfId="0" applyNumberFormat="1" applyFont="1" applyFill="1" applyBorder="1" applyAlignment="1">
      <alignment horizontal="left" vertical="center"/>
    </xf>
    <xf numFmtId="0" fontId="23" fillId="27" borderId="12" xfId="0" applyFont="1" applyFill="1" applyBorder="1" applyAlignment="1">
      <alignment horizontal="left" vertical="center"/>
    </xf>
    <xf numFmtId="0" fontId="23" fillId="27" borderId="0" xfId="0" applyFont="1" applyFill="1" applyBorder="1" applyAlignment="1">
      <alignment horizontal="left" vertical="center"/>
    </xf>
    <xf numFmtId="0" fontId="127" fillId="27" borderId="52" xfId="0" applyFont="1" applyFill="1" applyBorder="1" applyAlignment="1">
      <alignment horizontal="left" vertical="center"/>
    </xf>
    <xf numFmtId="43" fontId="19" fillId="31" borderId="62" xfId="0" applyNumberFormat="1" applyFont="1" applyFill="1" applyBorder="1" applyAlignment="1">
      <alignment horizontal="left" vertical="center"/>
    </xf>
    <xf numFmtId="43" fontId="19" fillId="31" borderId="63" xfId="0" applyNumberFormat="1" applyFont="1" applyFill="1" applyBorder="1" applyAlignment="1">
      <alignment horizontal="left" vertical="center"/>
    </xf>
    <xf numFmtId="49" fontId="28" fillId="31" borderId="64" xfId="0" applyNumberFormat="1" applyFont="1" applyFill="1" applyBorder="1" applyAlignment="1">
      <alignment horizontal="left" vertical="center"/>
    </xf>
    <xf numFmtId="0" fontId="22" fillId="0" borderId="0" xfId="0" applyFont="1" applyAlignment="1">
      <alignment vertical="center"/>
    </xf>
    <xf numFmtId="0" fontId="23" fillId="0" borderId="0" xfId="0" applyFont="1" applyFill="1" applyBorder="1" applyAlignment="1">
      <alignment horizontal="center" vertical="center"/>
    </xf>
    <xf numFmtId="0" fontId="23" fillId="0" borderId="0" xfId="0" applyNumberFormat="1" applyFont="1" applyFill="1" applyBorder="1" applyAlignment="1">
      <alignment horizontal="right" vertical="center"/>
    </xf>
    <xf numFmtId="43" fontId="23" fillId="0" borderId="0" xfId="0" applyNumberFormat="1" applyFont="1" applyFill="1" applyBorder="1" applyAlignment="1">
      <alignment vertical="center"/>
    </xf>
    <xf numFmtId="0" fontId="0" fillId="0" borderId="0" xfId="0" applyFill="1" applyAlignment="1">
      <alignment vertical="center"/>
    </xf>
    <xf numFmtId="0" fontId="95" fillId="25" borderId="70" xfId="0" applyFont="1" applyFill="1" applyBorder="1" applyAlignment="1">
      <alignment horizontal="center" vertical="center"/>
    </xf>
    <xf numFmtId="0" fontId="21" fillId="25" borderId="71" xfId="0" applyFont="1" applyFill="1" applyBorder="1" applyAlignment="1">
      <alignment horizontal="center" vertical="center"/>
    </xf>
    <xf numFmtId="0" fontId="95" fillId="30" borderId="62" xfId="0" applyFont="1" applyFill="1" applyBorder="1" applyAlignment="1">
      <alignment horizontal="center" vertical="center"/>
    </xf>
    <xf numFmtId="0" fontId="21" fillId="30" borderId="64" xfId="0" applyFont="1" applyFill="1" applyBorder="1" applyAlignment="1">
      <alignment horizontal="center" vertical="center"/>
    </xf>
    <xf numFmtId="0" fontId="111" fillId="0" borderId="0" xfId="0" applyFont="1" applyAlignment="1">
      <alignment vertical="center"/>
    </xf>
    <xf numFmtId="0" fontId="0" fillId="0" borderId="0" xfId="0" applyBorder="1" applyAlignment="1">
      <alignment vertical="top"/>
    </xf>
    <xf numFmtId="0" fontId="95" fillId="25" borderId="29" xfId="0" applyFont="1" applyFill="1" applyBorder="1" applyAlignment="1">
      <alignment horizontal="center" vertical="center"/>
    </xf>
    <xf numFmtId="0" fontId="36" fillId="25" borderId="42" xfId="0" applyFont="1" applyFill="1" applyBorder="1" applyAlignment="1">
      <alignment horizontal="center" vertical="center"/>
    </xf>
    <xf numFmtId="0" fontId="155" fillId="25" borderId="70" xfId="0" applyFont="1" applyFill="1" applyBorder="1" applyAlignment="1">
      <alignment horizontal="center" vertical="center"/>
    </xf>
    <xf numFmtId="0" fontId="36" fillId="25" borderId="71" xfId="0" applyFont="1" applyFill="1" applyBorder="1" applyAlignment="1">
      <alignment horizontal="center" vertical="center"/>
    </xf>
    <xf numFmtId="0" fontId="0" fillId="0" borderId="0" xfId="0" applyBorder="1"/>
    <xf numFmtId="0" fontId="59" fillId="0" borderId="0" xfId="0" applyFont="1" applyAlignment="1">
      <alignment horizontal="center"/>
    </xf>
    <xf numFmtId="0" fontId="59" fillId="0" borderId="0" xfId="0" applyFont="1"/>
    <xf numFmtId="0" fontId="54" fillId="0" borderId="0" xfId="0" applyFont="1"/>
    <xf numFmtId="0" fontId="173" fillId="0" borderId="0" xfId="0" applyFont="1"/>
    <xf numFmtId="0" fontId="37" fillId="0" borderId="0" xfId="0" applyFont="1"/>
    <xf numFmtId="0" fontId="185" fillId="0" borderId="0" xfId="0" applyFont="1"/>
    <xf numFmtId="0" fontId="37" fillId="0" borderId="0" xfId="0" applyFont="1" applyAlignment="1">
      <alignment horizontal="center"/>
    </xf>
    <xf numFmtId="0" fontId="54" fillId="0" borderId="0" xfId="0" applyFont="1" applyAlignment="1">
      <alignment vertical="center"/>
    </xf>
    <xf numFmtId="0" fontId="44" fillId="0" borderId="0" xfId="0" applyFont="1"/>
    <xf numFmtId="0" fontId="54" fillId="0" borderId="72" xfId="0" applyFont="1" applyBorder="1"/>
    <xf numFmtId="0" fontId="37" fillId="0" borderId="0" xfId="0" applyFont="1" applyAlignment="1">
      <alignment vertical="center"/>
    </xf>
    <xf numFmtId="0" fontId="61" fillId="0" borderId="0" xfId="0" applyFont="1"/>
    <xf numFmtId="0" fontId="37" fillId="0" borderId="0" xfId="0" applyFont="1" applyAlignment="1">
      <alignment horizontal="center" vertical="center"/>
    </xf>
    <xf numFmtId="0" fontId="185" fillId="0" borderId="0" xfId="0" applyFont="1" applyAlignment="1">
      <alignment vertical="center"/>
    </xf>
    <xf numFmtId="0" fontId="37" fillId="0" borderId="0" xfId="0" applyFont="1" applyBorder="1" applyAlignment="1">
      <alignment vertical="center"/>
    </xf>
    <xf numFmtId="0" fontId="37" fillId="0" borderId="0" xfId="0" applyFont="1" applyAlignment="1">
      <alignment horizontal="left" vertical="center"/>
    </xf>
    <xf numFmtId="0" fontId="173" fillId="0" borderId="0" xfId="0" applyFont="1" applyAlignment="1">
      <alignment horizontal="left"/>
    </xf>
    <xf numFmtId="0" fontId="31" fillId="0" borderId="0" xfId="42" applyNumberFormat="1" applyFont="1" applyFill="1" applyBorder="1" applyAlignment="1">
      <alignment horizontal="center" vertical="center"/>
    </xf>
    <xf numFmtId="43" fontId="113" fillId="0" borderId="24" xfId="28" applyFont="1" applyFill="1" applyBorder="1" applyAlignment="1">
      <alignment horizontal="right" vertical="center" wrapText="1"/>
    </xf>
    <xf numFmtId="0" fontId="21" fillId="0" borderId="77" xfId="42" applyFont="1" applyFill="1" applyBorder="1" applyAlignment="1">
      <alignment vertical="center" wrapText="1"/>
    </xf>
    <xf numFmtId="0" fontId="21" fillId="0" borderId="78" xfId="42" applyFont="1" applyFill="1" applyBorder="1" applyAlignment="1">
      <alignment vertical="center" wrapText="1"/>
    </xf>
    <xf numFmtId="43" fontId="113" fillId="0" borderId="79" xfId="28" applyFont="1" applyFill="1" applyBorder="1" applyAlignment="1">
      <alignment horizontal="center" vertical="center" wrapText="1"/>
    </xf>
    <xf numFmtId="41" fontId="36" fillId="0" borderId="79" xfId="29" applyNumberFormat="1" applyFont="1" applyFill="1" applyBorder="1" applyAlignment="1">
      <alignment horizontal="right" vertical="center" wrapText="1"/>
    </xf>
    <xf numFmtId="41" fontId="36" fillId="0" borderId="80" xfId="29" applyNumberFormat="1" applyFont="1" applyFill="1" applyBorder="1" applyAlignment="1">
      <alignment horizontal="right" vertical="center" wrapText="1"/>
    </xf>
    <xf numFmtId="0" fontId="96" fillId="25" borderId="62" xfId="0" applyFont="1" applyFill="1" applyBorder="1" applyAlignment="1">
      <alignment horizontal="center" vertical="center"/>
    </xf>
    <xf numFmtId="0" fontId="31" fillId="25" borderId="64" xfId="0" applyFont="1" applyFill="1" applyBorder="1" applyAlignment="1">
      <alignment horizontal="center" vertical="center"/>
    </xf>
    <xf numFmtId="0" fontId="190" fillId="0" borderId="0" xfId="0" applyFont="1" applyFill="1" applyBorder="1" applyAlignment="1" applyProtection="1">
      <alignment horizontal="center" vertical="center"/>
      <protection locked="0"/>
    </xf>
    <xf numFmtId="0" fontId="0" fillId="34" borderId="85" xfId="0" applyFill="1" applyBorder="1"/>
    <xf numFmtId="0" fontId="0" fillId="34" borderId="39" xfId="0" applyFill="1" applyBorder="1"/>
    <xf numFmtId="0" fontId="56" fillId="0" borderId="0" xfId="44" applyFont="1" applyAlignment="1" applyProtection="1">
      <alignment vertical="center"/>
      <protection locked="0"/>
    </xf>
    <xf numFmtId="0" fontId="68" fillId="0" borderId="0" xfId="44" applyFont="1" applyFill="1" applyBorder="1" applyAlignment="1" applyProtection="1">
      <alignment vertical="center"/>
      <protection locked="0"/>
    </xf>
    <xf numFmtId="9" fontId="63" fillId="0" borderId="0" xfId="48" applyFont="1" applyFill="1" applyBorder="1" applyAlignment="1" applyProtection="1">
      <alignment horizontal="left" vertical="center"/>
      <protection locked="0"/>
    </xf>
    <xf numFmtId="9" fontId="56" fillId="0" borderId="0" xfId="48" applyFont="1" applyBorder="1" applyAlignment="1" applyProtection="1">
      <alignment horizontal="center" vertical="center"/>
      <protection locked="0"/>
    </xf>
    <xf numFmtId="0" fontId="57" fillId="0" borderId="0" xfId="44" applyFont="1" applyAlignment="1" applyProtection="1">
      <alignment vertical="center"/>
      <protection locked="0"/>
    </xf>
    <xf numFmtId="0" fontId="68" fillId="0" borderId="0" xfId="44" applyFont="1" applyAlignment="1" applyProtection="1">
      <alignment vertical="top"/>
      <protection locked="0"/>
    </xf>
    <xf numFmtId="0" fontId="69" fillId="0" borderId="0" xfId="44" applyFont="1" applyAlignment="1" applyProtection="1">
      <protection locked="0"/>
    </xf>
    <xf numFmtId="49" fontId="0" fillId="0" borderId="0" xfId="0" applyNumberFormat="1"/>
    <xf numFmtId="0" fontId="195" fillId="0" borderId="0" xfId="0" applyFont="1" applyAlignment="1" applyProtection="1">
      <alignment horizontal="left"/>
      <protection locked="0"/>
    </xf>
    <xf numFmtId="0" fontId="0" fillId="0" borderId="0" xfId="0" applyProtection="1">
      <protection locked="0"/>
    </xf>
    <xf numFmtId="0" fontId="155" fillId="0" borderId="0" xfId="0" applyFont="1" applyBorder="1" applyAlignment="1" applyProtection="1">
      <alignment horizontal="left"/>
      <protection locked="0"/>
    </xf>
    <xf numFmtId="0" fontId="95" fillId="0" borderId="0" xfId="0" applyFont="1" applyBorder="1" applyProtection="1">
      <protection locked="0"/>
    </xf>
    <xf numFmtId="0" fontId="95" fillId="0" borderId="0" xfId="0" applyFont="1" applyBorder="1" applyAlignment="1" applyProtection="1">
      <alignment horizontal="left" vertical="center" indent="1"/>
      <protection locked="0"/>
    </xf>
    <xf numFmtId="0" fontId="176" fillId="0" borderId="0" xfId="0" applyFont="1" applyFill="1" applyBorder="1" applyAlignment="1" applyProtection="1">
      <alignment horizontal="center" vertical="center"/>
      <protection locked="0"/>
    </xf>
    <xf numFmtId="0" fontId="177" fillId="0" borderId="0" xfId="0" applyFont="1" applyFill="1" applyBorder="1" applyAlignment="1" applyProtection="1">
      <alignment vertical="center"/>
      <protection locked="0"/>
    </xf>
    <xf numFmtId="49" fontId="22" fillId="0" borderId="23" xfId="0" applyNumberFormat="1" applyFont="1" applyBorder="1" applyProtection="1">
      <protection locked="0"/>
    </xf>
    <xf numFmtId="49" fontId="0" fillId="0" borderId="23" xfId="0" applyNumberFormat="1" applyBorder="1" applyProtection="1">
      <protection locked="0"/>
    </xf>
    <xf numFmtId="0" fontId="0" fillId="0" borderId="0" xfId="0" applyProtection="1"/>
    <xf numFmtId="43" fontId="23" fillId="25" borderId="83" xfId="0" applyNumberFormat="1" applyFont="1" applyFill="1" applyBorder="1" applyAlignment="1">
      <alignment horizontal="right" vertical="center"/>
    </xf>
    <xf numFmtId="43" fontId="23" fillId="25" borderId="84" xfId="0" applyNumberFormat="1" applyFont="1" applyFill="1" applyBorder="1" applyAlignment="1">
      <alignment horizontal="right" vertical="center"/>
    </xf>
    <xf numFmtId="43" fontId="23" fillId="25" borderId="78" xfId="0" applyNumberFormat="1" applyFont="1" applyFill="1" applyBorder="1" applyAlignment="1">
      <alignment horizontal="right" vertical="center"/>
    </xf>
    <xf numFmtId="43" fontId="23" fillId="25" borderId="83" xfId="0" applyNumberFormat="1" applyFont="1" applyFill="1" applyBorder="1" applyAlignment="1">
      <alignment vertical="center"/>
    </xf>
    <xf numFmtId="167" fontId="22" fillId="0" borderId="19" xfId="0" applyNumberFormat="1" applyFont="1" applyBorder="1" applyAlignment="1" applyProtection="1">
      <alignment horizontal="right" vertical="center"/>
      <protection locked="0"/>
    </xf>
    <xf numFmtId="167" fontId="22" fillId="0" borderId="18" xfId="0" applyNumberFormat="1" applyFont="1" applyBorder="1" applyAlignment="1" applyProtection="1">
      <alignment horizontal="right" vertical="center"/>
      <protection locked="0"/>
    </xf>
    <xf numFmtId="167" fontId="22" fillId="0" borderId="91" xfId="0" applyNumberFormat="1" applyFont="1" applyBorder="1" applyAlignment="1" applyProtection="1">
      <alignment horizontal="right" vertical="center"/>
      <protection locked="0"/>
    </xf>
    <xf numFmtId="167" fontId="22" fillId="0" borderId="93" xfId="0" applyNumberFormat="1" applyFont="1" applyBorder="1" applyAlignment="1" applyProtection="1">
      <alignment horizontal="right" vertical="center"/>
      <protection locked="0"/>
    </xf>
    <xf numFmtId="167" fontId="22" fillId="0" borderId="17" xfId="0" applyNumberFormat="1" applyFont="1" applyBorder="1" applyAlignment="1" applyProtection="1">
      <alignment horizontal="right" vertical="center"/>
      <protection locked="0"/>
    </xf>
    <xf numFmtId="0" fontId="0" fillId="0" borderId="17" xfId="0" applyBorder="1" applyAlignment="1" applyProtection="1">
      <alignment horizontal="center" vertical="center"/>
      <protection locked="0"/>
    </xf>
    <xf numFmtId="49" fontId="22" fillId="0" borderId="96" xfId="0" applyNumberFormat="1" applyFont="1" applyBorder="1" applyAlignment="1" applyProtection="1">
      <alignment horizontal="center" vertical="center"/>
      <protection locked="0"/>
    </xf>
    <xf numFmtId="43" fontId="22" fillId="0" borderId="97" xfId="0" applyNumberFormat="1" applyFont="1" applyBorder="1" applyAlignment="1" applyProtection="1">
      <alignment horizontal="center" vertical="center"/>
      <protection locked="0"/>
    </xf>
    <xf numFmtId="49" fontId="0" fillId="0" borderId="96" xfId="0" applyNumberFormat="1" applyBorder="1" applyAlignment="1" applyProtection="1">
      <alignment horizontal="center" vertical="center"/>
      <protection locked="0"/>
    </xf>
    <xf numFmtId="43" fontId="0" fillId="0" borderId="97" xfId="0" applyNumberFormat="1" applyBorder="1" applyAlignment="1" applyProtection="1">
      <alignment horizontal="center" vertical="center"/>
      <protection locked="0"/>
    </xf>
    <xf numFmtId="0" fontId="43" fillId="0" borderId="0" xfId="0" applyFont="1" applyAlignment="1" applyProtection="1">
      <alignment horizontal="right"/>
      <protection locked="0"/>
    </xf>
    <xf numFmtId="167" fontId="22" fillId="0" borderId="91" xfId="28" applyNumberFormat="1" applyFont="1" applyBorder="1" applyAlignment="1" applyProtection="1">
      <alignment horizontal="right" vertical="center"/>
      <protection locked="0"/>
    </xf>
    <xf numFmtId="167" fontId="1" fillId="0" borderId="85" xfId="28" applyNumberFormat="1" applyBorder="1" applyAlignment="1" applyProtection="1">
      <alignment horizontal="right" vertical="center"/>
      <protection locked="0"/>
    </xf>
    <xf numFmtId="167" fontId="22" fillId="0" borderId="40" xfId="28" applyNumberFormat="1" applyFont="1" applyBorder="1" applyAlignment="1" applyProtection="1">
      <alignment horizontal="right" vertical="center"/>
      <protection locked="0"/>
    </xf>
    <xf numFmtId="167" fontId="22" fillId="0" borderId="18" xfId="28" applyNumberFormat="1" applyFont="1" applyBorder="1" applyAlignment="1" applyProtection="1">
      <alignment horizontal="right" vertical="center"/>
      <protection locked="0"/>
    </xf>
    <xf numFmtId="167" fontId="1" fillId="0" borderId="99" xfId="28" applyNumberFormat="1" applyBorder="1" applyAlignment="1" applyProtection="1">
      <alignment horizontal="right" vertical="center"/>
      <protection locked="0"/>
    </xf>
    <xf numFmtId="167" fontId="1" fillId="0" borderId="19" xfId="28" applyNumberFormat="1" applyBorder="1" applyAlignment="1" applyProtection="1">
      <alignment horizontal="right" vertical="center"/>
      <protection locked="0"/>
    </xf>
    <xf numFmtId="167" fontId="1" fillId="0" borderId="38" xfId="28" applyNumberFormat="1" applyBorder="1" applyAlignment="1" applyProtection="1">
      <alignment horizontal="right" vertical="center"/>
      <protection locked="0"/>
    </xf>
    <xf numFmtId="167" fontId="1" fillId="0" borderId="100" xfId="28" applyNumberFormat="1" applyBorder="1" applyAlignment="1" applyProtection="1">
      <alignment horizontal="right" vertical="center"/>
      <protection locked="0"/>
    </xf>
    <xf numFmtId="167" fontId="1" fillId="0" borderId="101" xfId="28" applyNumberFormat="1" applyBorder="1" applyAlignment="1" applyProtection="1">
      <alignment horizontal="right" vertical="center"/>
      <protection locked="0"/>
    </xf>
    <xf numFmtId="167" fontId="1" fillId="0" borderId="102" xfId="28" applyNumberFormat="1" applyBorder="1" applyAlignment="1" applyProtection="1">
      <alignment horizontal="right" vertical="center"/>
      <protection locked="0"/>
    </xf>
    <xf numFmtId="167" fontId="0" fillId="0" borderId="103" xfId="0" applyNumberFormat="1" applyBorder="1" applyAlignment="1" applyProtection="1">
      <alignment vertical="center"/>
      <protection locked="0"/>
    </xf>
    <xf numFmtId="167" fontId="0" fillId="0" borderId="85" xfId="0" applyNumberFormat="1" applyBorder="1" applyAlignment="1" applyProtection="1">
      <alignment vertical="center"/>
      <protection locked="0"/>
    </xf>
    <xf numFmtId="167" fontId="0" fillId="0" borderId="99" xfId="0" applyNumberFormat="1" applyBorder="1" applyAlignment="1" applyProtection="1">
      <alignment vertical="center"/>
      <protection locked="0"/>
    </xf>
    <xf numFmtId="167" fontId="0" fillId="0" borderId="19" xfId="0" applyNumberFormat="1" applyBorder="1" applyAlignment="1" applyProtection="1">
      <alignment vertical="center"/>
      <protection locked="0"/>
    </xf>
    <xf numFmtId="167" fontId="0" fillId="0" borderId="38" xfId="0" applyNumberFormat="1" applyBorder="1" applyAlignment="1" applyProtection="1">
      <alignment vertical="center"/>
      <protection locked="0"/>
    </xf>
    <xf numFmtId="167" fontId="0" fillId="0" borderId="100" xfId="0" applyNumberFormat="1" applyBorder="1" applyAlignment="1" applyProtection="1">
      <alignment vertical="center"/>
      <protection locked="0"/>
    </xf>
    <xf numFmtId="167" fontId="0" fillId="0" borderId="101" xfId="0" applyNumberFormat="1" applyBorder="1" applyAlignment="1" applyProtection="1">
      <alignment vertical="center"/>
      <protection locked="0"/>
    </xf>
    <xf numFmtId="167" fontId="0" fillId="0" borderId="102" xfId="0" applyNumberFormat="1" applyBorder="1" applyAlignment="1" applyProtection="1">
      <alignment vertical="center"/>
      <protection locked="0"/>
    </xf>
    <xf numFmtId="167" fontId="1" fillId="0" borderId="104" xfId="28" applyNumberFormat="1" applyBorder="1" applyAlignment="1" applyProtection="1">
      <alignment horizontal="right" vertical="center"/>
      <protection locked="0"/>
    </xf>
    <xf numFmtId="167" fontId="0" fillId="0" borderId="40" xfId="0" applyNumberFormat="1" applyBorder="1" applyAlignment="1" applyProtection="1">
      <alignment vertical="center"/>
      <protection locked="0"/>
    </xf>
    <xf numFmtId="167" fontId="0" fillId="0" borderId="104" xfId="0" applyNumberFormat="1" applyBorder="1" applyAlignment="1" applyProtection="1">
      <alignment vertical="center"/>
      <protection locked="0"/>
    </xf>
    <xf numFmtId="167" fontId="23" fillId="25" borderId="43" xfId="28" applyNumberFormat="1" applyFont="1" applyFill="1" applyBorder="1" applyAlignment="1">
      <alignment horizontal="right" vertical="center"/>
    </xf>
    <xf numFmtId="167" fontId="23" fillId="25" borderId="105" xfId="28" applyNumberFormat="1" applyFont="1" applyFill="1" applyBorder="1" applyAlignment="1">
      <alignment horizontal="right" vertical="center"/>
    </xf>
    <xf numFmtId="167" fontId="23" fillId="25" borderId="106" xfId="0" applyNumberFormat="1" applyFont="1" applyFill="1" applyBorder="1" applyAlignment="1">
      <alignment vertical="center"/>
    </xf>
    <xf numFmtId="167" fontId="23" fillId="25" borderId="82" xfId="28" applyNumberFormat="1" applyFont="1" applyFill="1" applyBorder="1" applyAlignment="1">
      <alignment horizontal="right" vertical="center"/>
    </xf>
    <xf numFmtId="167" fontId="23" fillId="25" borderId="107" xfId="0" applyNumberFormat="1" applyFont="1" applyFill="1" applyBorder="1" applyAlignment="1">
      <alignment vertical="center"/>
    </xf>
    <xf numFmtId="167" fontId="23" fillId="30" borderId="108" xfId="0" applyNumberFormat="1" applyFont="1" applyFill="1" applyBorder="1" applyAlignment="1">
      <alignment horizontal="right" vertical="center"/>
    </xf>
    <xf numFmtId="167" fontId="23" fillId="30" borderId="109" xfId="0" applyNumberFormat="1" applyFont="1" applyFill="1" applyBorder="1" applyAlignment="1">
      <alignment horizontal="right" vertical="center"/>
    </xf>
    <xf numFmtId="167" fontId="23" fillId="30" borderId="110" xfId="0" applyNumberFormat="1" applyFont="1" applyFill="1" applyBorder="1" applyAlignment="1">
      <alignment horizontal="right" vertical="center"/>
    </xf>
    <xf numFmtId="0" fontId="36" fillId="0" borderId="0" xfId="0" applyFont="1" applyProtection="1">
      <protection locked="0"/>
    </xf>
    <xf numFmtId="0" fontId="21" fillId="0" borderId="0" xfId="0" applyFont="1" applyAlignment="1" applyProtection="1">
      <alignment horizontal="left" vertical="top"/>
      <protection locked="0"/>
    </xf>
    <xf numFmtId="0" fontId="0" fillId="0" borderId="0" xfId="0" applyAlignment="1" applyProtection="1">
      <alignment horizontal="center"/>
      <protection locked="0"/>
    </xf>
    <xf numFmtId="167" fontId="19" fillId="0" borderId="111" xfId="0" applyNumberFormat="1" applyFont="1" applyBorder="1" applyAlignment="1" applyProtection="1">
      <alignment horizontal="center" vertical="center"/>
      <protection locked="0"/>
    </xf>
    <xf numFmtId="167" fontId="19" fillId="0" borderId="112" xfId="0" applyNumberFormat="1" applyFont="1" applyBorder="1" applyAlignment="1" applyProtection="1">
      <alignment horizontal="center" vertical="center"/>
      <protection locked="0"/>
    </xf>
    <xf numFmtId="167" fontId="87" fillId="25" borderId="78" xfId="0" applyNumberFormat="1" applyFont="1" applyFill="1" applyBorder="1" applyAlignment="1">
      <alignment horizontal="right" vertical="center"/>
    </xf>
    <xf numFmtId="167" fontId="87" fillId="25" borderId="23" xfId="0" applyNumberFormat="1" applyFont="1" applyFill="1" applyBorder="1" applyAlignment="1">
      <alignment horizontal="right" vertical="center"/>
    </xf>
    <xf numFmtId="167" fontId="87" fillId="25" borderId="113" xfId="0" applyNumberFormat="1" applyFont="1" applyFill="1" applyBorder="1" applyAlignment="1">
      <alignment horizontal="right" vertical="center"/>
    </xf>
    <xf numFmtId="167" fontId="19" fillId="0" borderId="44" xfId="0" applyNumberFormat="1" applyFont="1" applyBorder="1" applyAlignment="1" applyProtection="1">
      <alignment horizontal="center" vertical="center"/>
      <protection locked="0"/>
    </xf>
    <xf numFmtId="167" fontId="87" fillId="25" borderId="114" xfId="0" applyNumberFormat="1" applyFont="1" applyFill="1" applyBorder="1" applyAlignment="1">
      <alignment horizontal="right" vertical="center"/>
    </xf>
    <xf numFmtId="167" fontId="19" fillId="0" borderId="115" xfId="0" applyNumberFormat="1" applyFont="1" applyBorder="1" applyAlignment="1" applyProtection="1">
      <alignment horizontal="center" vertical="center"/>
      <protection locked="0"/>
    </xf>
    <xf numFmtId="167" fontId="87" fillId="25" borderId="67" xfId="0" applyNumberFormat="1" applyFont="1" applyFill="1" applyBorder="1" applyAlignment="1">
      <alignment horizontal="right" vertical="center"/>
    </xf>
    <xf numFmtId="167" fontId="87" fillId="25" borderId="82" xfId="0" applyNumberFormat="1" applyFont="1" applyFill="1" applyBorder="1" applyAlignment="1">
      <alignment horizontal="right" vertical="center"/>
    </xf>
    <xf numFmtId="167" fontId="87" fillId="25" borderId="30" xfId="0" applyNumberFormat="1" applyFont="1" applyFill="1" applyBorder="1" applyAlignment="1">
      <alignment horizontal="right" vertical="center"/>
    </xf>
    <xf numFmtId="167" fontId="87" fillId="30" borderId="66" xfId="0" applyNumberFormat="1" applyFont="1" applyFill="1" applyBorder="1" applyAlignment="1">
      <alignment horizontal="right" vertical="center"/>
    </xf>
    <xf numFmtId="167" fontId="87" fillId="30" borderId="67" xfId="0" applyNumberFormat="1" applyFont="1" applyFill="1" applyBorder="1" applyAlignment="1">
      <alignment horizontal="right" vertical="center"/>
    </xf>
    <xf numFmtId="167" fontId="87" fillId="30" borderId="116" xfId="0" applyNumberFormat="1" applyFont="1" applyFill="1" applyBorder="1" applyAlignment="1">
      <alignment horizontal="right" vertical="center"/>
    </xf>
    <xf numFmtId="167" fontId="87" fillId="25" borderId="81" xfId="0" applyNumberFormat="1" applyFont="1" applyFill="1" applyBorder="1" applyAlignment="1">
      <alignment horizontal="right" vertical="center"/>
    </xf>
    <xf numFmtId="167" fontId="87" fillId="30" borderId="68" xfId="0" applyNumberFormat="1" applyFont="1" applyFill="1" applyBorder="1" applyAlignment="1">
      <alignment horizontal="right" vertical="center"/>
    </xf>
    <xf numFmtId="167" fontId="87" fillId="25" borderId="117" xfId="0" applyNumberFormat="1" applyFont="1" applyFill="1" applyBorder="1" applyAlignment="1">
      <alignment horizontal="right" vertical="center"/>
    </xf>
    <xf numFmtId="167" fontId="87" fillId="30" borderId="118" xfId="0" applyNumberFormat="1" applyFont="1" applyFill="1" applyBorder="1" applyAlignment="1">
      <alignment horizontal="right" vertical="center"/>
    </xf>
    <xf numFmtId="167" fontId="19" fillId="0" borderId="119" xfId="0" applyNumberFormat="1" applyFont="1" applyBorder="1" applyAlignment="1" applyProtection="1">
      <alignment horizontal="center" vertical="center"/>
      <protection locked="0"/>
    </xf>
    <xf numFmtId="167" fontId="19" fillId="0" borderId="120" xfId="0" applyNumberFormat="1" applyFont="1" applyBorder="1" applyAlignment="1" applyProtection="1">
      <alignment horizontal="center" vertical="center"/>
      <protection locked="0"/>
    </xf>
    <xf numFmtId="167" fontId="87" fillId="25" borderId="121" xfId="0" applyNumberFormat="1" applyFont="1" applyFill="1" applyBorder="1" applyAlignment="1">
      <alignment horizontal="right" vertical="center"/>
    </xf>
    <xf numFmtId="167" fontId="87" fillId="25" borderId="122" xfId="0" applyNumberFormat="1" applyFont="1" applyFill="1" applyBorder="1" applyAlignment="1">
      <alignment horizontal="right" vertical="center"/>
    </xf>
    <xf numFmtId="167" fontId="87" fillId="30" borderId="65" xfId="0" applyNumberFormat="1" applyFont="1" applyFill="1" applyBorder="1" applyAlignment="1">
      <alignment horizontal="right" vertical="center"/>
    </xf>
    <xf numFmtId="167" fontId="87" fillId="30" borderId="123" xfId="0" applyNumberFormat="1" applyFont="1" applyFill="1" applyBorder="1" applyAlignment="1">
      <alignment horizontal="right" vertical="center"/>
    </xf>
    <xf numFmtId="167" fontId="87" fillId="25" borderId="110" xfId="0" applyNumberFormat="1" applyFont="1" applyFill="1" applyBorder="1" applyAlignment="1">
      <alignment vertical="center"/>
    </xf>
    <xf numFmtId="0" fontId="42" fillId="0" borderId="0" xfId="0" applyFont="1" applyAlignment="1" applyProtection="1">
      <protection locked="0"/>
    </xf>
    <xf numFmtId="0" fontId="197" fillId="0" borderId="0" xfId="0" applyFont="1" applyAlignment="1" applyProtection="1">
      <alignment horizontal="center" vertical="top"/>
      <protection locked="0"/>
    </xf>
    <xf numFmtId="0" fontId="198" fillId="0" borderId="0" xfId="0" applyFont="1" applyAlignment="1" applyProtection="1">
      <alignment horizontal="center"/>
      <protection locked="0"/>
    </xf>
    <xf numFmtId="0" fontId="0" fillId="0" borderId="0" xfId="0" applyAlignment="1" applyProtection="1">
      <alignment vertical="center"/>
      <protection locked="0"/>
    </xf>
    <xf numFmtId="0" fontId="70" fillId="0" borderId="0" xfId="0" applyFont="1" applyAlignment="1" applyProtection="1">
      <alignment vertical="center"/>
      <protection locked="0"/>
    </xf>
    <xf numFmtId="0" fontId="73" fillId="0" borderId="0" xfId="0" applyFont="1" applyAlignment="1" applyProtection="1">
      <alignment horizontal="center" vertical="center" wrapText="1"/>
      <protection locked="0"/>
    </xf>
    <xf numFmtId="0" fontId="0" fillId="26" borderId="125" xfId="0" applyFill="1" applyBorder="1" applyAlignment="1">
      <alignment vertical="top" wrapText="1"/>
    </xf>
    <xf numFmtId="167" fontId="22" fillId="0" borderId="85" xfId="28" applyNumberFormat="1" applyFont="1" applyBorder="1" applyAlignment="1" applyProtection="1">
      <alignment horizontal="right" vertical="center"/>
      <protection locked="0"/>
    </xf>
    <xf numFmtId="0" fontId="42" fillId="35" borderId="0" xfId="0" applyFont="1" applyFill="1" applyAlignment="1" applyProtection="1">
      <alignment vertical="center"/>
      <protection locked="0"/>
    </xf>
    <xf numFmtId="0" fontId="73" fillId="35" borderId="0" xfId="0" applyFont="1" applyFill="1" applyAlignment="1" applyProtection="1">
      <alignment horizontal="center" vertical="top"/>
      <protection locked="0"/>
    </xf>
    <xf numFmtId="0" fontId="36" fillId="35" borderId="0" xfId="0" applyFont="1" applyFill="1" applyProtection="1">
      <protection locked="0"/>
    </xf>
    <xf numFmtId="0" fontId="21" fillId="35" borderId="0" xfId="0" applyFont="1" applyFill="1" applyAlignment="1" applyProtection="1">
      <alignment horizontal="left" vertical="top"/>
      <protection locked="0"/>
    </xf>
    <xf numFmtId="0" fontId="0" fillId="35" borderId="0" xfId="0" applyFill="1"/>
    <xf numFmtId="167" fontId="22" fillId="26" borderId="23" xfId="31" applyNumberFormat="1" applyFont="1" applyFill="1" applyBorder="1" applyAlignment="1" applyProtection="1">
      <alignment horizontal="center" vertical="center"/>
    </xf>
    <xf numFmtId="167" fontId="22" fillId="26" borderId="24" xfId="31" applyNumberFormat="1" applyFont="1" applyFill="1" applyBorder="1" applyAlignment="1" applyProtection="1">
      <alignment horizontal="center" vertical="center"/>
    </xf>
    <xf numFmtId="167" fontId="25" fillId="27" borderId="23" xfId="31" applyNumberFormat="1" applyFont="1" applyFill="1" applyBorder="1" applyAlignment="1" applyProtection="1">
      <alignment horizontal="left" vertical="center"/>
    </xf>
    <xf numFmtId="167" fontId="25" fillId="27" borderId="24" xfId="31" applyNumberFormat="1" applyFont="1" applyFill="1" applyBorder="1" applyAlignment="1" applyProtection="1">
      <alignment horizontal="left" vertical="center"/>
    </xf>
    <xf numFmtId="167" fontId="25" fillId="27" borderId="30" xfId="31" applyNumberFormat="1" applyFont="1" applyFill="1" applyBorder="1" applyAlignment="1" applyProtection="1">
      <alignment horizontal="center" vertical="center"/>
    </xf>
    <xf numFmtId="167" fontId="25" fillId="27" borderId="126" xfId="31" applyNumberFormat="1" applyFont="1" applyFill="1" applyBorder="1" applyAlignment="1" applyProtection="1">
      <alignment horizontal="center" vertical="center"/>
    </xf>
    <xf numFmtId="167" fontId="25" fillId="25" borderId="26" xfId="28" applyNumberFormat="1" applyFont="1" applyFill="1" applyBorder="1" applyAlignment="1" applyProtection="1">
      <alignment horizontal="center" vertical="center"/>
    </xf>
    <xf numFmtId="167" fontId="25" fillId="25" borderId="27" xfId="28" applyNumberFormat="1" applyFont="1" applyFill="1" applyBorder="1" applyAlignment="1" applyProtection="1">
      <alignment horizontal="center" vertical="center"/>
    </xf>
    <xf numFmtId="0" fontId="22" fillId="35" borderId="17" xfId="0" applyFont="1" applyFill="1" applyBorder="1" applyAlignment="1">
      <alignment horizontal="left" vertical="top"/>
    </xf>
    <xf numFmtId="0" fontId="92" fillId="35" borderId="74" xfId="0" applyFont="1" applyFill="1" applyBorder="1" applyAlignment="1">
      <alignment horizontal="left" vertical="top"/>
    </xf>
    <xf numFmtId="0" fontId="22" fillId="35" borderId="74" xfId="0" applyFont="1" applyFill="1" applyBorder="1" applyAlignment="1">
      <alignment horizontal="left" vertical="top"/>
    </xf>
    <xf numFmtId="0" fontId="0" fillId="35" borderId="16" xfId="0" applyFill="1" applyBorder="1" applyAlignment="1">
      <alignment horizontal="left" vertical="top"/>
    </xf>
    <xf numFmtId="0" fontId="48" fillId="35" borderId="17" xfId="0" applyFont="1" applyFill="1" applyBorder="1" applyAlignment="1">
      <alignment horizontal="left" vertical="top" wrapText="1"/>
    </xf>
    <xf numFmtId="0" fontId="0" fillId="35" borderId="28" xfId="0" applyFill="1" applyBorder="1" applyAlignment="1">
      <alignment horizontal="left" vertical="top"/>
    </xf>
    <xf numFmtId="0" fontId="48" fillId="35" borderId="74" xfId="0" applyFont="1" applyFill="1" applyBorder="1" applyAlignment="1">
      <alignment horizontal="left" vertical="top" wrapText="1"/>
    </xf>
    <xf numFmtId="0" fontId="92" fillId="35" borderId="28" xfId="0" applyFont="1" applyFill="1" applyBorder="1" applyAlignment="1">
      <alignment horizontal="left" vertical="top"/>
    </xf>
    <xf numFmtId="0" fontId="73" fillId="35" borderId="28" xfId="0" applyFont="1" applyFill="1" applyBorder="1" applyAlignment="1">
      <alignment horizontal="left" vertical="top" wrapText="1"/>
    </xf>
    <xf numFmtId="0" fontId="73" fillId="35" borderId="74" xfId="0" applyFont="1" applyFill="1" applyBorder="1" applyAlignment="1">
      <alignment horizontal="left" vertical="top" wrapText="1"/>
    </xf>
    <xf numFmtId="0" fontId="73" fillId="35" borderId="127" xfId="0" applyFont="1" applyFill="1" applyBorder="1" applyAlignment="1">
      <alignment horizontal="left" vertical="top" wrapText="1"/>
    </xf>
    <xf numFmtId="0" fontId="73" fillId="35" borderId="128" xfId="0" applyFont="1" applyFill="1" applyBorder="1" applyAlignment="1">
      <alignment horizontal="left" vertical="top" wrapText="1"/>
    </xf>
    <xf numFmtId="0" fontId="97" fillId="35" borderId="129" xfId="0" applyFont="1" applyFill="1" applyBorder="1" applyAlignment="1">
      <alignment horizontal="center" vertical="center" wrapText="1"/>
    </xf>
    <xf numFmtId="165" fontId="97" fillId="35" borderId="129" xfId="31" applyFont="1" applyFill="1" applyBorder="1" applyAlignment="1" applyProtection="1">
      <alignment horizontal="center" vertical="center" wrapText="1"/>
    </xf>
    <xf numFmtId="165" fontId="103" fillId="35" borderId="130" xfId="31" applyNumberFormat="1" applyFont="1" applyFill="1" applyBorder="1" applyAlignment="1" applyProtection="1">
      <alignment horizontal="center" vertical="center" wrapText="1"/>
    </xf>
    <xf numFmtId="0" fontId="95" fillId="0" borderId="0" xfId="0" applyFont="1" applyAlignment="1" applyProtection="1">
      <alignment vertical="top"/>
      <protection locked="0"/>
    </xf>
    <xf numFmtId="0" fontId="97" fillId="0" borderId="0" xfId="0" applyFont="1" applyAlignment="1" applyProtection="1">
      <alignment vertical="top" wrapText="1"/>
      <protection locked="0"/>
    </xf>
    <xf numFmtId="0" fontId="43" fillId="0" borderId="0" xfId="0" applyFont="1" applyAlignment="1" applyProtection="1">
      <alignment vertical="top" wrapText="1"/>
      <protection locked="0"/>
    </xf>
    <xf numFmtId="0" fontId="19" fillId="0" borderId="0" xfId="0" applyFont="1" applyProtection="1">
      <protection locked="0"/>
    </xf>
    <xf numFmtId="43" fontId="112" fillId="0" borderId="0" xfId="0" applyNumberFormat="1" applyFont="1" applyBorder="1" applyAlignment="1" applyProtection="1">
      <alignment horizontal="center" vertical="center" wrapText="1"/>
      <protection locked="0"/>
    </xf>
    <xf numFmtId="169" fontId="48" fillId="0" borderId="0" xfId="44" applyNumberFormat="1" applyFont="1" applyAlignment="1" applyProtection="1">
      <alignment horizontal="right"/>
      <protection locked="0"/>
    </xf>
    <xf numFmtId="0" fontId="73" fillId="0" borderId="0" xfId="0" applyFont="1" applyBorder="1" applyAlignment="1" applyProtection="1">
      <alignment vertical="center" wrapText="1"/>
      <protection locked="0"/>
    </xf>
    <xf numFmtId="0" fontId="36" fillId="0" borderId="0" xfId="42" applyFont="1" applyAlignment="1" applyProtection="1">
      <alignment horizontal="center" vertical="center" wrapText="1"/>
      <protection locked="0"/>
    </xf>
    <xf numFmtId="0" fontId="73" fillId="0" borderId="0" xfId="0" applyFont="1" applyAlignment="1" applyProtection="1">
      <alignment vertical="center" wrapText="1"/>
      <protection locked="0"/>
    </xf>
    <xf numFmtId="171" fontId="44" fillId="34" borderId="12" xfId="44" applyNumberFormat="1" applyFont="1" applyFill="1" applyBorder="1" applyAlignment="1">
      <alignment vertical="center"/>
    </xf>
    <xf numFmtId="171" fontId="44" fillId="34" borderId="0" xfId="44" applyNumberFormat="1" applyFont="1" applyFill="1" applyBorder="1" applyAlignment="1">
      <alignment vertical="center"/>
    </xf>
    <xf numFmtId="0" fontId="40" fillId="34" borderId="28" xfId="44" applyFont="1" applyFill="1" applyBorder="1" applyAlignment="1">
      <alignment vertical="center"/>
    </xf>
    <xf numFmtId="0" fontId="40" fillId="34" borderId="74" xfId="44" applyFont="1" applyFill="1" applyBorder="1" applyAlignment="1">
      <alignment vertical="center"/>
    </xf>
    <xf numFmtId="0" fontId="40" fillId="34" borderId="40" xfId="44" applyFont="1" applyFill="1" applyBorder="1" applyAlignment="1">
      <alignment vertical="center"/>
    </xf>
    <xf numFmtId="169" fontId="44" fillId="34" borderId="28" xfId="44" applyNumberFormat="1" applyFont="1" applyFill="1" applyBorder="1" applyAlignment="1">
      <alignment vertical="center"/>
    </xf>
    <xf numFmtId="0" fontId="44" fillId="34" borderId="74" xfId="44" applyFont="1" applyFill="1" applyBorder="1" applyAlignment="1">
      <alignment vertical="center"/>
    </xf>
    <xf numFmtId="0" fontId="44" fillId="34" borderId="40" xfId="44" applyFont="1" applyFill="1" applyBorder="1" applyAlignment="1">
      <alignment vertical="center"/>
    </xf>
    <xf numFmtId="0" fontId="54" fillId="34" borderId="0" xfId="44" applyFont="1" applyFill="1" applyAlignment="1" applyProtection="1">
      <alignment vertical="center"/>
      <protection locked="0"/>
    </xf>
    <xf numFmtId="0" fontId="40" fillId="34" borderId="0" xfId="44" applyFont="1" applyFill="1" applyAlignment="1" applyProtection="1">
      <alignment vertical="center"/>
      <protection locked="0"/>
    </xf>
    <xf numFmtId="0" fontId="0" fillId="34" borderId="16" xfId="0" applyFill="1" applyBorder="1" applyAlignment="1">
      <alignment horizontal="left" vertical="top"/>
    </xf>
    <xf numFmtId="0" fontId="22" fillId="34" borderId="17" xfId="0" applyFont="1" applyFill="1" applyBorder="1" applyAlignment="1">
      <alignment horizontal="left" vertical="top"/>
    </xf>
    <xf numFmtId="9" fontId="25" fillId="34" borderId="19" xfId="48" applyFont="1" applyFill="1" applyBorder="1" applyAlignment="1">
      <alignment horizontal="center" vertical="center"/>
    </xf>
    <xf numFmtId="167" fontId="25" fillId="34" borderId="19" xfId="31" applyNumberFormat="1" applyFont="1" applyFill="1" applyBorder="1" applyAlignment="1" applyProtection="1">
      <alignment horizontal="center" vertical="center"/>
    </xf>
    <xf numFmtId="167" fontId="25" fillId="34" borderId="20" xfId="31" applyNumberFormat="1" applyFont="1" applyFill="1" applyBorder="1" applyAlignment="1" applyProtection="1">
      <alignment horizontal="center" vertical="center"/>
    </xf>
    <xf numFmtId="0" fontId="92" fillId="34" borderId="28" xfId="0" applyFont="1" applyFill="1" applyBorder="1" applyAlignment="1">
      <alignment horizontal="left" vertical="top"/>
    </xf>
    <xf numFmtId="9" fontId="25" fillId="34" borderId="85" xfId="48" applyFont="1" applyFill="1" applyBorder="1" applyAlignment="1">
      <alignment horizontal="center" vertical="center"/>
    </xf>
    <xf numFmtId="0" fontId="22" fillId="34" borderId="74" xfId="0" applyFont="1" applyFill="1" applyBorder="1" applyAlignment="1">
      <alignment horizontal="left" vertical="top"/>
    </xf>
    <xf numFmtId="167" fontId="25" fillId="34" borderId="85" xfId="31" applyNumberFormat="1" applyFont="1" applyFill="1" applyBorder="1" applyAlignment="1" applyProtection="1">
      <alignment horizontal="center" vertical="center"/>
    </xf>
    <xf numFmtId="167" fontId="25" fillId="34" borderId="39" xfId="31" applyNumberFormat="1" applyFont="1" applyFill="1" applyBorder="1" applyAlignment="1" applyProtection="1">
      <alignment horizontal="center" vertical="center"/>
    </xf>
    <xf numFmtId="0" fontId="92" fillId="34" borderId="127" xfId="0" applyFont="1" applyFill="1" applyBorder="1" applyAlignment="1">
      <alignment horizontal="left" vertical="top"/>
    </xf>
    <xf numFmtId="0" fontId="92" fillId="34" borderId="128" xfId="0" applyFont="1" applyFill="1" applyBorder="1" applyAlignment="1">
      <alignment horizontal="left" vertical="top"/>
    </xf>
    <xf numFmtId="9" fontId="25" fillId="34" borderId="101" xfId="48" applyFont="1" applyFill="1" applyBorder="1" applyAlignment="1">
      <alignment horizontal="center" vertical="center"/>
    </xf>
    <xf numFmtId="0" fontId="97" fillId="34" borderId="85" xfId="0" applyFont="1" applyFill="1" applyBorder="1" applyAlignment="1">
      <alignment horizontal="center" vertical="center" wrapText="1"/>
    </xf>
    <xf numFmtId="167" fontId="25" fillId="34" borderId="85" xfId="31" applyNumberFormat="1" applyFont="1" applyFill="1" applyBorder="1" applyAlignment="1" applyProtection="1">
      <alignment horizontal="center" vertical="center" wrapText="1"/>
    </xf>
    <xf numFmtId="167" fontId="25" fillId="34" borderId="39" xfId="31" applyNumberFormat="1" applyFont="1" applyFill="1" applyBorder="1" applyAlignment="1" applyProtection="1">
      <alignment horizontal="center" vertical="center" wrapText="1"/>
    </xf>
    <xf numFmtId="0" fontId="162" fillId="34" borderId="137" xfId="0" applyFont="1" applyFill="1" applyBorder="1" applyAlignment="1">
      <alignment horizontal="left" wrapText="1" indent="1"/>
    </xf>
    <xf numFmtId="0" fontId="161" fillId="34" borderId="22" xfId="0" applyFont="1" applyFill="1" applyBorder="1" applyAlignment="1">
      <alignment horizontal="left" indent="3"/>
    </xf>
    <xf numFmtId="0" fontId="161" fillId="34" borderId="22" xfId="0" applyFont="1" applyFill="1" applyBorder="1" applyAlignment="1">
      <alignment horizontal="left" wrapText="1" indent="3"/>
    </xf>
    <xf numFmtId="0" fontId="161" fillId="34" borderId="22" xfId="0" applyFont="1" applyFill="1" applyBorder="1" applyAlignment="1">
      <alignment horizontal="left" indent="5"/>
    </xf>
    <xf numFmtId="0" fontId="164" fillId="34" borderId="22" xfId="0" applyFont="1" applyFill="1" applyBorder="1" applyAlignment="1">
      <alignment horizontal="left" indent="3"/>
    </xf>
    <xf numFmtId="0" fontId="162" fillId="34" borderId="22" xfId="0" applyFont="1" applyFill="1" applyBorder="1" applyAlignment="1">
      <alignment horizontal="left" wrapText="1" indent="1"/>
    </xf>
    <xf numFmtId="0" fontId="162" fillId="34" borderId="138" xfId="0" applyFont="1" applyFill="1" applyBorder="1" applyAlignment="1">
      <alignment horizontal="left" wrapText="1" indent="1"/>
    </xf>
    <xf numFmtId="0" fontId="23" fillId="0" borderId="0" xfId="0" applyFont="1" applyAlignment="1" applyProtection="1">
      <alignment vertical="center"/>
      <protection locked="0"/>
    </xf>
    <xf numFmtId="0" fontId="23" fillId="0" borderId="0" xfId="0" applyFont="1" applyAlignment="1" applyProtection="1">
      <protection locked="0"/>
    </xf>
    <xf numFmtId="0" fontId="63" fillId="34" borderId="12" xfId="44" applyFont="1" applyFill="1" applyBorder="1" applyAlignment="1">
      <alignment vertical="center"/>
    </xf>
    <xf numFmtId="0" fontId="63" fillId="34" borderId="0" xfId="44" applyFont="1" applyFill="1" applyBorder="1" applyAlignment="1">
      <alignment vertical="center"/>
    </xf>
    <xf numFmtId="0" fontId="63" fillId="34" borderId="13" xfId="44" applyFont="1" applyFill="1" applyBorder="1" applyAlignment="1">
      <alignment vertical="center"/>
    </xf>
    <xf numFmtId="0" fontId="56" fillId="34" borderId="21" xfId="44" applyFont="1" applyFill="1" applyBorder="1" applyAlignment="1">
      <alignment vertical="center"/>
    </xf>
    <xf numFmtId="0" fontId="56" fillId="34" borderId="47" xfId="44" applyFont="1" applyFill="1" applyBorder="1" applyAlignment="1">
      <alignment vertical="center"/>
    </xf>
    <xf numFmtId="0" fontId="56" fillId="34" borderId="158" xfId="44" applyFont="1" applyFill="1" applyBorder="1" applyAlignment="1">
      <alignment vertical="center"/>
    </xf>
    <xf numFmtId="0" fontId="56" fillId="34" borderId="28" xfId="44" applyFont="1" applyFill="1" applyBorder="1" applyAlignment="1">
      <alignment vertical="center"/>
    </xf>
    <xf numFmtId="0" fontId="59" fillId="34" borderId="74" xfId="44" applyFont="1" applyFill="1" applyBorder="1" applyAlignment="1">
      <alignment vertical="center"/>
    </xf>
    <xf numFmtId="0" fontId="56" fillId="34" borderId="74" xfId="44" applyFont="1" applyFill="1" applyBorder="1" applyAlignment="1">
      <alignment vertical="center"/>
    </xf>
    <xf numFmtId="0" fontId="56" fillId="34" borderId="40" xfId="44" applyFont="1" applyFill="1" applyBorder="1" applyAlignment="1">
      <alignment vertical="center"/>
    </xf>
    <xf numFmtId="0" fontId="56" fillId="34" borderId="12" xfId="44" applyFont="1" applyFill="1" applyBorder="1" applyAlignment="1">
      <alignment vertical="center"/>
    </xf>
    <xf numFmtId="0" fontId="56" fillId="34" borderId="0" xfId="44" applyFont="1" applyFill="1" applyBorder="1" applyAlignment="1">
      <alignment vertical="center"/>
    </xf>
    <xf numFmtId="0" fontId="56" fillId="34" borderId="13" xfId="44" applyFont="1" applyFill="1" applyBorder="1" applyAlignment="1">
      <alignment vertical="center"/>
    </xf>
    <xf numFmtId="0" fontId="63" fillId="34" borderId="21" xfId="44" applyFont="1" applyFill="1" applyBorder="1" applyAlignment="1">
      <alignment vertical="center"/>
    </xf>
    <xf numFmtId="0" fontId="63" fillId="34" borderId="47" xfId="44" applyFont="1" applyFill="1" applyBorder="1" applyAlignment="1">
      <alignment vertical="center"/>
    </xf>
    <xf numFmtId="0" fontId="63" fillId="34" borderId="158" xfId="44" applyFont="1" applyFill="1" applyBorder="1" applyAlignment="1">
      <alignment vertical="center"/>
    </xf>
    <xf numFmtId="0" fontId="56" fillId="34" borderId="159" xfId="44" applyFont="1" applyFill="1" applyBorder="1" applyAlignment="1">
      <alignment vertical="center"/>
    </xf>
    <xf numFmtId="0" fontId="56" fillId="34" borderId="160" xfId="44" applyFont="1" applyFill="1" applyBorder="1" applyAlignment="1">
      <alignment vertical="center"/>
    </xf>
    <xf numFmtId="0" fontId="56" fillId="34" borderId="161" xfId="44" applyFont="1" applyFill="1" applyBorder="1" applyAlignment="1">
      <alignment vertical="center"/>
    </xf>
    <xf numFmtId="0" fontId="56" fillId="34" borderId="127" xfId="44" applyFont="1" applyFill="1" applyBorder="1" applyAlignment="1">
      <alignment vertical="center"/>
    </xf>
    <xf numFmtId="0" fontId="56" fillId="34" borderId="128" xfId="44" applyFont="1" applyFill="1" applyBorder="1" applyAlignment="1">
      <alignment vertical="center"/>
    </xf>
    <xf numFmtId="0" fontId="56" fillId="34" borderId="104" xfId="44" applyFont="1" applyFill="1" applyBorder="1" applyAlignment="1">
      <alignment vertical="center"/>
    </xf>
    <xf numFmtId="0" fontId="63" fillId="34" borderId="29" xfId="44" applyFont="1" applyFill="1" applyBorder="1" applyAlignment="1">
      <alignment vertical="center"/>
    </xf>
    <xf numFmtId="0" fontId="56" fillId="34" borderId="41" xfId="44" applyFont="1" applyFill="1" applyBorder="1" applyAlignment="1">
      <alignment vertical="center"/>
    </xf>
    <xf numFmtId="0" fontId="56" fillId="34" borderId="43" xfId="44" applyFont="1" applyFill="1" applyBorder="1" applyAlignment="1">
      <alignment vertical="center"/>
    </xf>
    <xf numFmtId="0" fontId="64" fillId="34" borderId="21" xfId="44" applyFont="1" applyFill="1" applyBorder="1" applyAlignment="1">
      <alignment vertical="center"/>
    </xf>
    <xf numFmtId="0" fontId="66" fillId="34" borderId="159" xfId="44" applyFont="1" applyFill="1" applyBorder="1" applyAlignment="1">
      <alignment vertical="center"/>
    </xf>
    <xf numFmtId="0" fontId="66" fillId="34" borderId="160" xfId="44" applyFont="1" applyFill="1" applyBorder="1" applyAlignment="1">
      <alignment vertical="center"/>
    </xf>
    <xf numFmtId="0" fontId="66" fillId="34" borderId="161" xfId="44" applyFont="1" applyFill="1" applyBorder="1" applyAlignment="1">
      <alignment vertical="center"/>
    </xf>
    <xf numFmtId="0" fontId="66" fillId="34" borderId="162" xfId="44" applyFont="1" applyFill="1" applyBorder="1" applyAlignment="1">
      <alignment vertical="center"/>
    </xf>
    <xf numFmtId="0" fontId="66" fillId="34" borderId="163" xfId="44" applyFont="1" applyFill="1" applyBorder="1" applyAlignment="1">
      <alignment vertical="center"/>
    </xf>
    <xf numFmtId="0" fontId="66" fillId="34" borderId="164" xfId="44" applyFont="1" applyFill="1" applyBorder="1" applyAlignment="1">
      <alignment vertical="center"/>
    </xf>
    <xf numFmtId="0" fontId="26" fillId="34" borderId="28" xfId="0" applyFont="1" applyFill="1" applyBorder="1" applyAlignment="1">
      <alignment horizontal="right"/>
    </xf>
    <xf numFmtId="0" fontId="25" fillId="34" borderId="74" xfId="0" applyFont="1" applyFill="1" applyBorder="1"/>
    <xf numFmtId="0" fontId="0" fillId="34" borderId="74" xfId="0" applyFill="1" applyBorder="1"/>
    <xf numFmtId="0" fontId="0" fillId="34" borderId="40" xfId="0" applyFill="1" applyBorder="1"/>
    <xf numFmtId="0" fontId="0" fillId="34" borderId="28" xfId="0" applyFill="1" applyBorder="1"/>
    <xf numFmtId="0" fontId="26" fillId="34" borderId="74" xfId="0" applyFont="1" applyFill="1" applyBorder="1" applyAlignment="1">
      <alignment horizontal="right"/>
    </xf>
    <xf numFmtId="0" fontId="26" fillId="34" borderId="127" xfId="0" applyFont="1" applyFill="1" applyBorder="1" applyAlignment="1">
      <alignment horizontal="right"/>
    </xf>
    <xf numFmtId="0" fontId="25" fillId="34" borderId="163" xfId="0" applyFont="1" applyFill="1" applyBorder="1"/>
    <xf numFmtId="0" fontId="0" fillId="34" borderId="163" xfId="0" applyFill="1" applyBorder="1"/>
    <xf numFmtId="0" fontId="0" fillId="34" borderId="164" xfId="0" applyFill="1" applyBorder="1"/>
    <xf numFmtId="0" fontId="23" fillId="34" borderId="32" xfId="0" applyFont="1" applyFill="1" applyBorder="1" applyAlignment="1">
      <alignment horizontal="center" vertical="center"/>
    </xf>
    <xf numFmtId="0" fontId="23" fillId="34" borderId="165" xfId="0" applyFont="1" applyFill="1" applyBorder="1" applyAlignment="1">
      <alignment horizontal="center" vertical="center"/>
    </xf>
    <xf numFmtId="0" fontId="23" fillId="34" borderId="33" xfId="0" applyFont="1" applyFill="1" applyBorder="1" applyAlignment="1">
      <alignment horizontal="center"/>
    </xf>
    <xf numFmtId="0" fontId="23" fillId="34" borderId="34" xfId="0" applyFont="1" applyFill="1" applyBorder="1" applyAlignment="1">
      <alignment horizontal="center"/>
    </xf>
    <xf numFmtId="0" fontId="25" fillId="34" borderId="40" xfId="0" applyFont="1" applyFill="1" applyBorder="1"/>
    <xf numFmtId="0" fontId="26" fillId="34" borderId="166" xfId="0" applyFont="1" applyFill="1" applyBorder="1" applyAlignment="1">
      <alignment horizontal="right"/>
    </xf>
    <xf numFmtId="0" fontId="25" fillId="34" borderId="167" xfId="0" applyFont="1" applyFill="1" applyBorder="1"/>
    <xf numFmtId="0" fontId="0" fillId="34" borderId="167" xfId="0" applyFill="1" applyBorder="1"/>
    <xf numFmtId="0" fontId="0" fillId="34" borderId="168" xfId="0" applyFill="1" applyBorder="1"/>
    <xf numFmtId="9" fontId="22" fillId="0" borderId="85" xfId="0" applyNumberFormat="1" applyFont="1" applyBorder="1" applyProtection="1">
      <protection locked="0"/>
    </xf>
    <xf numFmtId="0" fontId="22" fillId="0" borderId="0" xfId="0" applyFont="1" applyBorder="1" applyProtection="1">
      <protection locked="0"/>
    </xf>
    <xf numFmtId="0" fontId="186" fillId="34" borderId="169" xfId="0" applyFont="1" applyFill="1" applyBorder="1" applyAlignment="1">
      <alignment horizontal="center" vertical="center" wrapText="1"/>
    </xf>
    <xf numFmtId="0" fontId="0" fillId="34" borderId="171" xfId="0" applyFill="1" applyBorder="1" applyAlignment="1">
      <alignment horizontal="center" vertical="center" wrapText="1"/>
    </xf>
    <xf numFmtId="0" fontId="186" fillId="34" borderId="175" xfId="0" applyFont="1" applyFill="1" applyBorder="1" applyAlignment="1">
      <alignment horizontal="center" vertical="center"/>
    </xf>
    <xf numFmtId="164" fontId="0" fillId="34" borderId="23" xfId="0" applyNumberFormat="1" applyFill="1" applyBorder="1"/>
    <xf numFmtId="0" fontId="0" fillId="34" borderId="23" xfId="0" applyFill="1" applyBorder="1" applyAlignment="1" applyProtection="1">
      <protection locked="0"/>
    </xf>
    <xf numFmtId="49" fontId="22" fillId="0" borderId="23" xfId="0" applyNumberFormat="1" applyFont="1" applyBorder="1" applyAlignment="1" applyProtection="1">
      <alignment horizontal="left" indent="1"/>
      <protection locked="0"/>
    </xf>
    <xf numFmtId="49" fontId="22" fillId="34" borderId="171" xfId="0" applyNumberFormat="1" applyFont="1" applyFill="1" applyBorder="1"/>
    <xf numFmtId="0" fontId="23" fillId="34" borderId="176" xfId="0" applyFont="1" applyFill="1" applyBorder="1" applyAlignment="1">
      <alignment horizontal="center" vertical="center"/>
    </xf>
    <xf numFmtId="0" fontId="23" fillId="34" borderId="177" xfId="0" applyFont="1" applyFill="1" applyBorder="1" applyAlignment="1">
      <alignment horizontal="center" vertical="center"/>
    </xf>
    <xf numFmtId="0" fontId="23" fillId="34" borderId="53" xfId="0" applyFont="1" applyFill="1" applyBorder="1" applyAlignment="1">
      <alignment horizontal="center" vertical="center"/>
    </xf>
    <xf numFmtId="0" fontId="23" fillId="34" borderId="178" xfId="0" applyFont="1" applyFill="1" applyBorder="1" applyAlignment="1">
      <alignment horizontal="center" vertical="center"/>
    </xf>
    <xf numFmtId="0" fontId="23" fillId="34" borderId="179" xfId="0" applyFont="1" applyFill="1" applyBorder="1" applyAlignment="1">
      <alignment horizontal="center"/>
    </xf>
    <xf numFmtId="0" fontId="23" fillId="34" borderId="52" xfId="0" applyFont="1" applyFill="1" applyBorder="1" applyAlignment="1">
      <alignment horizontal="center"/>
    </xf>
    <xf numFmtId="0" fontId="23" fillId="34" borderId="180" xfId="0" applyFont="1" applyFill="1" applyBorder="1" applyAlignment="1">
      <alignment horizontal="center"/>
    </xf>
    <xf numFmtId="0" fontId="22" fillId="34" borderId="179" xfId="0" applyFont="1" applyFill="1" applyBorder="1" applyAlignment="1">
      <alignment horizontal="center" vertical="center"/>
    </xf>
    <xf numFmtId="0" fontId="22" fillId="34" borderId="52" xfId="0" applyFont="1" applyFill="1" applyBorder="1" applyAlignment="1">
      <alignment horizontal="center" vertical="center"/>
    </xf>
    <xf numFmtId="0" fontId="70" fillId="34" borderId="181" xfId="0" applyFont="1" applyFill="1" applyBorder="1" applyAlignment="1">
      <alignment horizontal="center" vertical="center"/>
    </xf>
    <xf numFmtId="0" fontId="70" fillId="34" borderId="36" xfId="0" applyFont="1" applyFill="1" applyBorder="1" applyAlignment="1">
      <alignment horizontal="center" vertical="center"/>
    </xf>
    <xf numFmtId="0" fontId="93" fillId="34" borderId="36" xfId="0" applyFont="1" applyFill="1" applyBorder="1" applyAlignment="1">
      <alignment horizontal="center" vertical="center"/>
    </xf>
    <xf numFmtId="0" fontId="23" fillId="34" borderId="182" xfId="0" applyFont="1" applyFill="1" applyBorder="1" applyAlignment="1">
      <alignment horizontal="center" vertical="center"/>
    </xf>
    <xf numFmtId="0" fontId="87" fillId="34" borderId="56" xfId="0" applyFont="1" applyFill="1" applyBorder="1" applyAlignment="1">
      <alignment horizontal="center" vertical="center"/>
    </xf>
    <xf numFmtId="0" fontId="23" fillId="34" borderId="56" xfId="0" applyFont="1" applyFill="1" applyBorder="1" applyAlignment="1">
      <alignment horizontal="center" vertical="center"/>
    </xf>
    <xf numFmtId="0" fontId="22" fillId="34" borderId="180" xfId="0" applyFont="1" applyFill="1" applyBorder="1" applyAlignment="1">
      <alignment vertical="center"/>
    </xf>
    <xf numFmtId="0" fontId="22" fillId="34" borderId="183" xfId="0" applyFont="1" applyFill="1" applyBorder="1" applyAlignment="1">
      <alignment horizontal="center"/>
    </xf>
    <xf numFmtId="0" fontId="22" fillId="34" borderId="184" xfId="0" applyFont="1" applyFill="1" applyBorder="1" applyAlignment="1">
      <alignment horizontal="center"/>
    </xf>
    <xf numFmtId="0" fontId="70" fillId="34" borderId="185" xfId="0" applyFont="1" applyFill="1" applyBorder="1" applyAlignment="1">
      <alignment horizontal="center"/>
    </xf>
    <xf numFmtId="0" fontId="70" fillId="34" borderId="33" xfId="0" applyFont="1" applyFill="1" applyBorder="1" applyAlignment="1">
      <alignment horizontal="center"/>
    </xf>
    <xf numFmtId="0" fontId="70" fillId="34" borderId="61" xfId="0" applyFont="1" applyFill="1" applyBorder="1" applyAlignment="1">
      <alignment horizontal="center"/>
    </xf>
    <xf numFmtId="0" fontId="23" fillId="34" borderId="186" xfId="0" applyFont="1" applyFill="1" applyBorder="1" applyAlignment="1">
      <alignment horizontal="center"/>
    </xf>
    <xf numFmtId="0" fontId="87" fillId="34" borderId="61" xfId="0" applyFont="1" applyFill="1" applyBorder="1" applyAlignment="1">
      <alignment horizontal="center"/>
    </xf>
    <xf numFmtId="0" fontId="23" fillId="34" borderId="61" xfId="0" applyFont="1" applyFill="1" applyBorder="1" applyAlignment="1">
      <alignment horizontal="center"/>
    </xf>
    <xf numFmtId="0" fontId="0" fillId="34" borderId="187" xfId="0" applyFill="1" applyBorder="1"/>
    <xf numFmtId="0" fontId="100" fillId="34" borderId="188" xfId="0" applyFont="1" applyFill="1" applyBorder="1" applyAlignment="1">
      <alignment horizontal="right" vertical="center"/>
    </xf>
    <xf numFmtId="0" fontId="36" fillId="34" borderId="189" xfId="0" applyFont="1" applyFill="1" applyBorder="1" applyAlignment="1">
      <alignment horizontal="left" vertical="center"/>
    </xf>
    <xf numFmtId="0" fontId="0" fillId="34" borderId="190" xfId="0" applyFill="1" applyBorder="1" applyAlignment="1">
      <alignment horizontal="right" vertical="center"/>
    </xf>
    <xf numFmtId="0" fontId="22" fillId="34" borderId="94" xfId="0" applyFont="1" applyFill="1" applyBorder="1" applyAlignment="1">
      <alignment vertical="center"/>
    </xf>
    <xf numFmtId="0" fontId="0" fillId="34" borderId="191" xfId="0" applyFill="1" applyBorder="1" applyAlignment="1">
      <alignment horizontal="right" vertical="center"/>
    </xf>
    <xf numFmtId="0" fontId="22" fillId="34" borderId="96" xfId="0" applyFont="1" applyFill="1" applyBorder="1" applyAlignment="1">
      <alignment vertical="center"/>
    </xf>
    <xf numFmtId="0" fontId="19" fillId="34" borderId="96" xfId="0" applyFont="1" applyFill="1" applyBorder="1" applyAlignment="1">
      <alignment vertical="center" wrapText="1"/>
    </xf>
    <xf numFmtId="0" fontId="22" fillId="34" borderId="96" xfId="0" applyFont="1" applyFill="1" applyBorder="1" applyAlignment="1">
      <alignment vertical="center" wrapText="1"/>
    </xf>
    <xf numFmtId="0" fontId="0" fillId="34" borderId="192" xfId="0" applyFill="1" applyBorder="1" applyAlignment="1">
      <alignment horizontal="right" vertical="center"/>
    </xf>
    <xf numFmtId="0" fontId="22" fillId="34" borderId="193" xfId="0" applyFont="1" applyFill="1" applyBorder="1" applyAlignment="1">
      <alignment vertical="center"/>
    </xf>
    <xf numFmtId="0" fontId="100" fillId="34" borderId="194" xfId="0" applyFont="1" applyFill="1" applyBorder="1" applyAlignment="1">
      <alignment horizontal="right" vertical="center"/>
    </xf>
    <xf numFmtId="0" fontId="36" fillId="34" borderId="0" xfId="0" applyFont="1" applyFill="1" applyBorder="1" applyAlignment="1">
      <alignment horizontal="left" vertical="center"/>
    </xf>
    <xf numFmtId="0" fontId="21" fillId="34" borderId="190" xfId="0" applyFont="1" applyFill="1" applyBorder="1" applyAlignment="1">
      <alignment horizontal="right"/>
    </xf>
    <xf numFmtId="0" fontId="36" fillId="34" borderId="17" xfId="0" applyFont="1" applyFill="1" applyBorder="1" applyAlignment="1">
      <alignment horizontal="left"/>
    </xf>
    <xf numFmtId="0" fontId="0" fillId="34" borderId="179" xfId="0" applyFill="1" applyBorder="1" applyAlignment="1">
      <alignment horizontal="right" vertical="center"/>
    </xf>
    <xf numFmtId="0" fontId="22" fillId="34" borderId="52" xfId="0" applyFont="1" applyFill="1" applyBorder="1" applyAlignment="1">
      <alignment vertical="center"/>
    </xf>
    <xf numFmtId="0" fontId="23" fillId="34" borderId="23" xfId="0" applyFont="1" applyFill="1" applyBorder="1" applyAlignment="1">
      <alignment horizontal="center" vertical="center"/>
    </xf>
    <xf numFmtId="167" fontId="87" fillId="34" borderId="59" xfId="0" applyNumberFormat="1" applyFont="1" applyFill="1" applyBorder="1" applyAlignment="1">
      <alignment horizontal="right" vertical="center"/>
    </xf>
    <xf numFmtId="43" fontId="23" fillId="34" borderId="186" xfId="0" applyNumberFormat="1" applyFont="1" applyFill="1" applyBorder="1" applyAlignment="1">
      <alignment horizontal="right" vertical="center"/>
    </xf>
    <xf numFmtId="167" fontId="87" fillId="34" borderId="23" xfId="0" applyNumberFormat="1" applyFont="1" applyFill="1" applyBorder="1" applyAlignment="1">
      <alignment horizontal="right" vertical="center"/>
    </xf>
    <xf numFmtId="43" fontId="0" fillId="34" borderId="55" xfId="0" applyNumberFormat="1" applyFill="1" applyBorder="1" applyAlignment="1">
      <alignment horizontal="right" vertical="center"/>
    </xf>
    <xf numFmtId="43" fontId="0" fillId="34" borderId="14" xfId="0" applyNumberFormat="1" applyFill="1" applyBorder="1" applyAlignment="1">
      <alignment horizontal="right" vertical="center"/>
    </xf>
    <xf numFmtId="43" fontId="0" fillId="34" borderId="36" xfId="0" applyNumberFormat="1" applyFill="1" applyBorder="1" applyAlignment="1">
      <alignment horizontal="right" vertical="center"/>
    </xf>
    <xf numFmtId="43" fontId="0" fillId="34" borderId="55" xfId="0" applyNumberFormat="1" applyFill="1" applyBorder="1" applyAlignment="1">
      <alignment vertical="center"/>
    </xf>
    <xf numFmtId="43" fontId="0" fillId="34" borderId="14" xfId="0" applyNumberFormat="1" applyFill="1" applyBorder="1" applyAlignment="1">
      <alignment vertical="center"/>
    </xf>
    <xf numFmtId="43" fontId="0" fillId="34" borderId="36" xfId="0" applyNumberFormat="1" applyFill="1" applyBorder="1" applyAlignment="1">
      <alignment vertical="center"/>
    </xf>
    <xf numFmtId="43" fontId="87" fillId="34" borderId="36" xfId="0" applyNumberFormat="1" applyFont="1" applyFill="1" applyBorder="1" applyAlignment="1">
      <alignment vertical="center"/>
    </xf>
    <xf numFmtId="43" fontId="23" fillId="34" borderId="36" xfId="0" applyNumberFormat="1" applyFont="1" applyFill="1" applyBorder="1" applyAlignment="1">
      <alignment vertical="center"/>
    </xf>
    <xf numFmtId="43" fontId="0" fillId="34" borderId="180" xfId="0" applyNumberFormat="1" applyFill="1" applyBorder="1" applyAlignment="1">
      <alignment vertical="center"/>
    </xf>
    <xf numFmtId="43" fontId="0" fillId="34" borderId="195" xfId="0" applyNumberFormat="1" applyFill="1" applyBorder="1" applyAlignment="1">
      <alignment horizontal="right" vertical="center"/>
    </xf>
    <xf numFmtId="43" fontId="0" fillId="34" borderId="19" xfId="0" applyNumberFormat="1" applyFill="1" applyBorder="1" applyAlignment="1">
      <alignment horizontal="right" vertical="center"/>
    </xf>
    <xf numFmtId="43" fontId="0" fillId="34" borderId="93" xfId="0" applyNumberFormat="1" applyFill="1" applyBorder="1" applyAlignment="1">
      <alignment horizontal="right" vertical="center"/>
    </xf>
    <xf numFmtId="43" fontId="0" fillId="34" borderId="195" xfId="0" applyNumberFormat="1" applyFill="1" applyBorder="1" applyAlignment="1">
      <alignment vertical="center"/>
    </xf>
    <xf numFmtId="43" fontId="0" fillId="34" borderId="19" xfId="0" applyNumberFormat="1" applyFill="1" applyBorder="1" applyAlignment="1">
      <alignment vertical="center"/>
    </xf>
    <xf numFmtId="43" fontId="0" fillId="34" borderId="93" xfId="0" applyNumberFormat="1" applyFill="1" applyBorder="1" applyAlignment="1">
      <alignment vertical="center"/>
    </xf>
    <xf numFmtId="0" fontId="19" fillId="34" borderId="111" xfId="0" applyFont="1" applyFill="1" applyBorder="1" applyAlignment="1">
      <alignment horizontal="center" vertical="center"/>
    </xf>
    <xf numFmtId="0" fontId="87" fillId="34" borderId="196" xfId="0" applyFont="1" applyFill="1" applyBorder="1" applyAlignment="1">
      <alignment horizontal="center" vertical="center"/>
    </xf>
    <xf numFmtId="0" fontId="23" fillId="34" borderId="196" xfId="0" applyFont="1" applyFill="1" applyBorder="1" applyAlignment="1">
      <alignment horizontal="center" vertical="center"/>
    </xf>
    <xf numFmtId="0" fontId="0" fillId="34" borderId="197" xfId="0" applyFill="1" applyBorder="1" applyAlignment="1">
      <alignment vertical="center"/>
    </xf>
    <xf numFmtId="167" fontId="87" fillId="34" borderId="23" xfId="0" applyNumberFormat="1" applyFont="1" applyFill="1" applyBorder="1" applyAlignment="1">
      <alignment vertical="center"/>
    </xf>
    <xf numFmtId="167" fontId="87" fillId="34" borderId="43" xfId="0" applyNumberFormat="1" applyFont="1" applyFill="1" applyBorder="1" applyAlignment="1">
      <alignment vertical="center"/>
    </xf>
    <xf numFmtId="167" fontId="19" fillId="34" borderId="23" xfId="0" applyNumberFormat="1" applyFont="1" applyFill="1" applyBorder="1" applyAlignment="1">
      <alignment vertical="center"/>
    </xf>
    <xf numFmtId="0" fontId="21" fillId="34" borderId="176" xfId="0" applyFont="1" applyFill="1" applyBorder="1" applyAlignment="1">
      <alignment horizontal="center" vertical="center"/>
    </xf>
    <xf numFmtId="0" fontId="21" fillId="34" borderId="177" xfId="0" applyFont="1" applyFill="1" applyBorder="1" applyAlignment="1">
      <alignment horizontal="center" vertical="center"/>
    </xf>
    <xf numFmtId="0" fontId="23" fillId="34" borderId="179" xfId="0" applyFont="1" applyFill="1" applyBorder="1" applyAlignment="1">
      <alignment horizontal="center" vertical="center"/>
    </xf>
    <xf numFmtId="0" fontId="23" fillId="34" borderId="52" xfId="0" applyFont="1" applyFill="1" applyBorder="1" applyAlignment="1">
      <alignment horizontal="center" vertical="center"/>
    </xf>
    <xf numFmtId="0" fontId="70" fillId="34" borderId="56" xfId="0" applyFont="1" applyFill="1" applyBorder="1" applyAlignment="1">
      <alignment horizontal="center" vertical="center"/>
    </xf>
    <xf numFmtId="0" fontId="23" fillId="34" borderId="198" xfId="0" applyFont="1" applyFill="1" applyBorder="1" applyAlignment="1">
      <alignment horizontal="center" vertical="center"/>
    </xf>
    <xf numFmtId="0" fontId="23" fillId="34" borderId="199" xfId="0" applyFont="1" applyFill="1" applyBorder="1" applyAlignment="1">
      <alignment horizontal="center" vertical="center"/>
    </xf>
    <xf numFmtId="0" fontId="70" fillId="34" borderId="55" xfId="0" applyFont="1" applyFill="1" applyBorder="1" applyAlignment="1">
      <alignment horizontal="center" vertical="center"/>
    </xf>
    <xf numFmtId="0" fontId="70" fillId="34" borderId="14" xfId="0" applyFont="1" applyFill="1" applyBorder="1" applyAlignment="1">
      <alignment horizontal="center" vertical="center"/>
    </xf>
    <xf numFmtId="0" fontId="23" fillId="34" borderId="200" xfId="0" applyFont="1" applyFill="1" applyBorder="1" applyAlignment="1">
      <alignment horizontal="center" vertical="center"/>
    </xf>
    <xf numFmtId="0" fontId="23" fillId="34" borderId="180" xfId="0" applyFont="1" applyFill="1" applyBorder="1" applyAlignment="1">
      <alignment horizontal="center" vertical="center"/>
    </xf>
    <xf numFmtId="0" fontId="22" fillId="34" borderId="183" xfId="0" applyFont="1" applyFill="1" applyBorder="1" applyAlignment="1">
      <alignment horizontal="center" vertical="top"/>
    </xf>
    <xf numFmtId="0" fontId="22" fillId="34" borderId="184" xfId="0" applyFont="1" applyFill="1" applyBorder="1" applyAlignment="1">
      <alignment horizontal="center" vertical="top"/>
    </xf>
    <xf numFmtId="0" fontId="70" fillId="34" borderId="185" xfId="0" applyFont="1" applyFill="1" applyBorder="1" applyAlignment="1">
      <alignment horizontal="center" vertical="top"/>
    </xf>
    <xf numFmtId="0" fontId="70" fillId="34" borderId="33" xfId="0" applyFont="1" applyFill="1" applyBorder="1" applyAlignment="1">
      <alignment horizontal="center" vertical="top"/>
    </xf>
    <xf numFmtId="0" fontId="70" fillId="34" borderId="61" xfId="0" applyFont="1" applyFill="1" applyBorder="1" applyAlignment="1">
      <alignment horizontal="center" vertical="top"/>
    </xf>
    <xf numFmtId="0" fontId="23" fillId="34" borderId="201" xfId="0" applyFont="1" applyFill="1" applyBorder="1" applyAlignment="1">
      <alignment horizontal="center" vertical="top"/>
    </xf>
    <xf numFmtId="0" fontId="23" fillId="34" borderId="187" xfId="0" applyFont="1" applyFill="1" applyBorder="1" applyAlignment="1">
      <alignment horizontal="center" vertical="top"/>
    </xf>
    <xf numFmtId="0" fontId="155" fillId="34" borderId="188" xfId="0" applyFont="1" applyFill="1" applyBorder="1" applyAlignment="1">
      <alignment horizontal="right" vertical="center"/>
    </xf>
    <xf numFmtId="0" fontId="36" fillId="34" borderId="189" xfId="0" applyFont="1" applyFill="1" applyBorder="1" applyAlignment="1">
      <alignment horizontal="left" vertical="top"/>
    </xf>
    <xf numFmtId="0" fontId="0" fillId="34" borderId="190" xfId="0" applyFill="1" applyBorder="1" applyAlignment="1">
      <alignment vertical="center"/>
    </xf>
    <xf numFmtId="0" fontId="0" fillId="34" borderId="94" xfId="0" applyFill="1" applyBorder="1" applyAlignment="1">
      <alignment vertical="center"/>
    </xf>
    <xf numFmtId="0" fontId="0" fillId="34" borderId="191" xfId="0" applyFill="1" applyBorder="1" applyAlignment="1">
      <alignment vertical="center"/>
    </xf>
    <xf numFmtId="0" fontId="156" fillId="34" borderId="96" xfId="0" applyFont="1" applyFill="1" applyBorder="1" applyAlignment="1">
      <alignment vertical="center"/>
    </xf>
    <xf numFmtId="0" fontId="0" fillId="34" borderId="202" xfId="0" applyFill="1" applyBorder="1" applyAlignment="1">
      <alignment vertical="center"/>
    </xf>
    <xf numFmtId="0" fontId="156" fillId="34" borderId="203" xfId="0" applyFont="1" applyFill="1" applyBorder="1" applyAlignment="1">
      <alignment vertical="center"/>
    </xf>
    <xf numFmtId="0" fontId="155" fillId="34" borderId="16" xfId="0" applyFont="1" applyFill="1" applyBorder="1" applyAlignment="1">
      <alignment horizontal="right" vertical="center"/>
    </xf>
    <xf numFmtId="0" fontId="36" fillId="34" borderId="204" xfId="0" applyFont="1" applyFill="1" applyBorder="1" applyAlignment="1">
      <alignment horizontal="left" vertical="top" wrapText="1"/>
    </xf>
    <xf numFmtId="0" fontId="0" fillId="34" borderId="28" xfId="0" applyFill="1" applyBorder="1" applyAlignment="1">
      <alignment vertical="center"/>
    </xf>
    <xf numFmtId="0" fontId="0" fillId="34" borderId="97" xfId="0" applyFill="1" applyBorder="1" applyAlignment="1">
      <alignment vertical="center"/>
    </xf>
    <xf numFmtId="0" fontId="0" fillId="34" borderId="127" xfId="0" applyFill="1" applyBorder="1" applyAlignment="1">
      <alignment vertical="center"/>
    </xf>
    <xf numFmtId="0" fontId="156" fillId="34" borderId="98" xfId="0" applyFont="1" applyFill="1" applyBorder="1" applyAlignment="1">
      <alignment vertical="center"/>
    </xf>
    <xf numFmtId="49" fontId="70" fillId="34" borderId="111" xfId="0" applyNumberFormat="1" applyFont="1" applyFill="1" applyBorder="1" applyAlignment="1">
      <alignment horizontal="center" vertical="top"/>
    </xf>
    <xf numFmtId="49" fontId="70" fillId="34" borderId="205" xfId="0" applyNumberFormat="1" applyFont="1" applyFill="1" applyBorder="1" applyAlignment="1">
      <alignment horizontal="center" vertical="top"/>
    </xf>
    <xf numFmtId="49" fontId="70" fillId="34" borderId="196" xfId="0" applyNumberFormat="1" applyFont="1" applyFill="1" applyBorder="1" applyAlignment="1">
      <alignment horizontal="center" vertical="top"/>
    </xf>
    <xf numFmtId="49" fontId="70" fillId="34" borderId="136" xfId="0" applyNumberFormat="1" applyFont="1" applyFill="1" applyBorder="1" applyAlignment="1">
      <alignment horizontal="center" vertical="top"/>
    </xf>
    <xf numFmtId="49" fontId="70" fillId="34" borderId="206" xfId="0" applyNumberFormat="1" applyFont="1" applyFill="1" applyBorder="1" applyAlignment="1">
      <alignment horizontal="center" vertical="top"/>
    </xf>
    <xf numFmtId="49" fontId="23" fillId="34" borderId="95" xfId="0" applyNumberFormat="1" applyFont="1" applyFill="1" applyBorder="1" applyAlignment="1">
      <alignment horizontal="center" vertical="top"/>
    </xf>
    <xf numFmtId="49" fontId="23" fillId="34" borderId="207" xfId="0" applyNumberFormat="1" applyFont="1" applyFill="1" applyBorder="1" applyAlignment="1">
      <alignment horizontal="center" vertical="top"/>
    </xf>
    <xf numFmtId="167" fontId="23" fillId="34" borderId="204" xfId="28" applyNumberFormat="1" applyFont="1" applyFill="1" applyBorder="1" applyAlignment="1">
      <alignment horizontal="right" vertical="center"/>
    </xf>
    <xf numFmtId="167" fontId="23" fillId="34" borderId="208" xfId="0" applyNumberFormat="1" applyFont="1" applyFill="1" applyBorder="1" applyAlignment="1">
      <alignment vertical="center"/>
    </xf>
    <xf numFmtId="49" fontId="0" fillId="34" borderId="18" xfId="0" applyNumberFormat="1" applyFill="1" applyBorder="1" applyAlignment="1">
      <alignment horizontal="center"/>
    </xf>
    <xf numFmtId="49" fontId="0" fillId="34" borderId="19" xfId="0" applyNumberFormat="1" applyFill="1" applyBorder="1" applyAlignment="1">
      <alignment horizontal="center"/>
    </xf>
    <xf numFmtId="49" fontId="0" fillId="34" borderId="93" xfId="0" applyNumberFormat="1" applyFill="1" applyBorder="1" applyAlignment="1">
      <alignment horizontal="center"/>
    </xf>
    <xf numFmtId="49" fontId="0" fillId="34" borderId="204" xfId="0" applyNumberFormat="1" applyFill="1" applyBorder="1" applyAlignment="1">
      <alignment horizontal="center"/>
    </xf>
    <xf numFmtId="49" fontId="70" fillId="34" borderId="19" xfId="0" applyNumberFormat="1" applyFont="1" applyFill="1" applyBorder="1" applyAlignment="1"/>
    <xf numFmtId="49" fontId="70" fillId="34" borderId="93" xfId="0" applyNumberFormat="1" applyFont="1" applyFill="1" applyBorder="1" applyAlignment="1"/>
    <xf numFmtId="49" fontId="0" fillId="34" borderId="208" xfId="0" applyNumberFormat="1" applyFill="1" applyBorder="1" applyAlignment="1">
      <alignment horizontal="center"/>
    </xf>
    <xf numFmtId="167" fontId="23" fillId="34" borderId="97" xfId="28" applyNumberFormat="1" applyFont="1" applyFill="1" applyBorder="1" applyAlignment="1">
      <alignment horizontal="right" vertical="center"/>
    </xf>
    <xf numFmtId="167" fontId="23" fillId="34" borderId="209" xfId="28" applyNumberFormat="1" applyFont="1" applyFill="1" applyBorder="1" applyAlignment="1">
      <alignment horizontal="right" vertical="center"/>
    </xf>
    <xf numFmtId="167" fontId="23" fillId="34" borderId="210" xfId="0" applyNumberFormat="1" applyFont="1" applyFill="1" applyBorder="1" applyAlignment="1">
      <alignment vertical="center"/>
    </xf>
    <xf numFmtId="0" fontId="23" fillId="34" borderId="211" xfId="0" applyFont="1" applyFill="1" applyBorder="1" applyAlignment="1">
      <alignment horizontal="center" vertical="top"/>
    </xf>
    <xf numFmtId="0" fontId="23" fillId="34" borderId="212" xfId="0" applyFont="1" applyFill="1" applyBorder="1" applyAlignment="1">
      <alignment horizontal="center" vertical="center"/>
    </xf>
    <xf numFmtId="0" fontId="22" fillId="34" borderId="179" xfId="0" applyFont="1" applyFill="1" applyBorder="1" applyAlignment="1">
      <alignment horizontal="center"/>
    </xf>
    <xf numFmtId="0" fontId="23" fillId="34" borderId="36" xfId="0" applyFont="1" applyFill="1" applyBorder="1" applyAlignment="1">
      <alignment horizontal="center"/>
    </xf>
    <xf numFmtId="0" fontId="31" fillId="34" borderId="200" xfId="0" applyFont="1" applyFill="1" applyBorder="1" applyAlignment="1">
      <alignment horizontal="center"/>
    </xf>
    <xf numFmtId="0" fontId="87" fillId="34" borderId="181" xfId="0" applyFont="1" applyFill="1" applyBorder="1" applyAlignment="1">
      <alignment horizontal="center"/>
    </xf>
    <xf numFmtId="0" fontId="23" fillId="34" borderId="200" xfId="0" applyFont="1" applyFill="1" applyBorder="1" applyAlignment="1">
      <alignment horizontal="center" vertical="top"/>
    </xf>
    <xf numFmtId="0" fontId="23" fillId="34" borderId="181" xfId="0" applyFont="1" applyFill="1" applyBorder="1" applyAlignment="1">
      <alignment horizontal="center"/>
    </xf>
    <xf numFmtId="0" fontId="70" fillId="34" borderId="213" xfId="0" applyFont="1" applyFill="1" applyBorder="1" applyAlignment="1">
      <alignment horizontal="center" vertical="center"/>
    </xf>
    <xf numFmtId="0" fontId="22" fillId="34" borderId="52" xfId="0" applyFont="1" applyFill="1" applyBorder="1" applyAlignment="1">
      <alignment horizontal="center"/>
    </xf>
    <xf numFmtId="0" fontId="22" fillId="34" borderId="0" xfId="0" applyFont="1" applyFill="1" applyBorder="1" applyAlignment="1">
      <alignment horizontal="center"/>
    </xf>
    <xf numFmtId="43" fontId="0" fillId="34" borderId="181" xfId="0" applyNumberFormat="1" applyFill="1" applyBorder="1" applyAlignment="1">
      <alignment horizontal="center"/>
    </xf>
    <xf numFmtId="0" fontId="70" fillId="34" borderId="55" xfId="0" applyFont="1" applyFill="1" applyBorder="1" applyAlignment="1">
      <alignment horizontal="center"/>
    </xf>
    <xf numFmtId="0" fontId="70" fillId="34" borderId="14" xfId="0" applyFont="1" applyFill="1" applyBorder="1" applyAlignment="1">
      <alignment horizontal="center"/>
    </xf>
    <xf numFmtId="0" fontId="70" fillId="34" borderId="36" xfId="0" applyFont="1" applyFill="1" applyBorder="1" applyAlignment="1">
      <alignment horizontal="center"/>
    </xf>
    <xf numFmtId="0" fontId="22" fillId="34" borderId="58" xfId="0" applyFont="1" applyFill="1" applyBorder="1" applyAlignment="1">
      <alignment horizontal="center"/>
    </xf>
    <xf numFmtId="43" fontId="0" fillId="34" borderId="92" xfId="0" applyNumberFormat="1" applyFill="1" applyBorder="1" applyAlignment="1">
      <alignment horizontal="center"/>
    </xf>
    <xf numFmtId="0" fontId="153" fillId="34" borderId="61" xfId="0" applyFont="1" applyFill="1" applyBorder="1" applyAlignment="1">
      <alignment horizontal="center"/>
    </xf>
    <xf numFmtId="0" fontId="153" fillId="34" borderId="33" xfId="0" applyFont="1" applyFill="1" applyBorder="1" applyAlignment="1">
      <alignment horizontal="center"/>
    </xf>
    <xf numFmtId="0" fontId="31" fillId="34" borderId="32" xfId="0" applyFont="1" applyFill="1" applyBorder="1" applyAlignment="1">
      <alignment horizontal="center" vertical="center"/>
    </xf>
    <xf numFmtId="0" fontId="25" fillId="34" borderId="46" xfId="0" applyFont="1" applyFill="1" applyBorder="1" applyAlignment="1">
      <alignment horizontal="center" vertical="center"/>
    </xf>
    <xf numFmtId="0" fontId="25" fillId="34" borderId="14" xfId="0" applyFont="1" applyFill="1" applyBorder="1" applyAlignment="1">
      <alignment horizontal="center" vertical="center"/>
    </xf>
    <xf numFmtId="43" fontId="0" fillId="0" borderId="85" xfId="0" applyNumberFormat="1" applyBorder="1" applyAlignment="1" applyProtection="1">
      <alignment horizontal="center"/>
      <protection locked="0"/>
    </xf>
    <xf numFmtId="10" fontId="0" fillId="0" borderId="85" xfId="0" applyNumberFormat="1" applyBorder="1" applyProtection="1">
      <protection locked="0"/>
    </xf>
    <xf numFmtId="43" fontId="0" fillId="0" borderId="217" xfId="0" applyNumberFormat="1" applyBorder="1" applyProtection="1">
      <protection locked="0"/>
    </xf>
    <xf numFmtId="43" fontId="0" fillId="0" borderId="101" xfId="0" applyNumberFormat="1" applyBorder="1" applyAlignment="1" applyProtection="1">
      <alignment horizontal="center"/>
      <protection locked="0"/>
    </xf>
    <xf numFmtId="10" fontId="0" fillId="0" borderId="101" xfId="0" applyNumberFormat="1" applyBorder="1" applyProtection="1">
      <protection locked="0"/>
    </xf>
    <xf numFmtId="43" fontId="0" fillId="0" borderId="218" xfId="0" applyNumberFormat="1" applyBorder="1" applyProtection="1">
      <protection locked="0"/>
    </xf>
    <xf numFmtId="0" fontId="24" fillId="0" borderId="0" xfId="0" applyFont="1" applyAlignment="1" applyProtection="1">
      <protection locked="0"/>
    </xf>
    <xf numFmtId="0" fontId="31" fillId="34" borderId="32" xfId="0" applyFont="1" applyFill="1" applyBorder="1" applyAlignment="1">
      <alignment horizontal="center" vertical="center" wrapText="1"/>
    </xf>
    <xf numFmtId="0" fontId="40" fillId="34" borderId="23" xfId="44" applyFont="1" applyFill="1" applyBorder="1" applyAlignment="1">
      <alignment horizontal="center" vertical="top" wrapText="1"/>
    </xf>
    <xf numFmtId="0" fontId="40" fillId="0" borderId="46" xfId="44" applyFont="1" applyBorder="1" applyAlignment="1" applyProtection="1">
      <alignment vertical="center" wrapText="1"/>
      <protection locked="0"/>
    </xf>
    <xf numFmtId="0" fontId="40" fillId="0" borderId="135" xfId="44" applyFont="1" applyBorder="1" applyAlignment="1" applyProtection="1">
      <alignment vertical="center" wrapText="1"/>
      <protection locked="0"/>
    </xf>
    <xf numFmtId="0" fontId="40" fillId="0" borderId="89" xfId="44" applyFont="1" applyBorder="1" applyAlignment="1" applyProtection="1">
      <alignment vertical="center" wrapText="1"/>
      <protection locked="0"/>
    </xf>
    <xf numFmtId="0" fontId="40" fillId="0" borderId="219" xfId="44" applyFont="1" applyBorder="1" applyAlignment="1" applyProtection="1">
      <alignment vertical="center" wrapText="1"/>
      <protection locked="0"/>
    </xf>
    <xf numFmtId="0" fontId="40" fillId="0" borderId="88" xfId="44" applyFont="1" applyBorder="1" applyAlignment="1" applyProtection="1">
      <alignment vertical="center" wrapText="1"/>
      <protection locked="0"/>
    </xf>
    <xf numFmtId="0" fontId="40" fillId="0" borderId="46" xfId="44" applyFont="1" applyFill="1" applyBorder="1" applyAlignment="1" applyProtection="1">
      <alignment vertical="center" wrapText="1"/>
      <protection locked="0"/>
    </xf>
    <xf numFmtId="0" fontId="40" fillId="0" borderId="135" xfId="44" applyFont="1" applyFill="1" applyBorder="1" applyAlignment="1" applyProtection="1">
      <alignment vertical="center" wrapText="1"/>
      <protection locked="0"/>
    </xf>
    <xf numFmtId="0" fontId="40" fillId="0" borderId="219" xfId="44" applyFont="1" applyFill="1" applyBorder="1" applyAlignment="1" applyProtection="1">
      <alignment vertical="center" wrapText="1"/>
      <protection locked="0"/>
    </xf>
    <xf numFmtId="43" fontId="40" fillId="0" borderId="75" xfId="44" applyNumberFormat="1" applyFont="1" applyBorder="1" applyAlignment="1" applyProtection="1">
      <alignment vertical="center" wrapText="1"/>
      <protection locked="0"/>
    </xf>
    <xf numFmtId="43" fontId="40" fillId="0" borderId="220" xfId="44" applyNumberFormat="1" applyFont="1" applyBorder="1" applyAlignment="1" applyProtection="1">
      <alignment vertical="center" wrapText="1"/>
      <protection locked="0"/>
    </xf>
    <xf numFmtId="0" fontId="172" fillId="0" borderId="0" xfId="0" applyFont="1" applyProtection="1">
      <protection locked="0"/>
    </xf>
    <xf numFmtId="0" fontId="59" fillId="0" borderId="0" xfId="0" applyFont="1" applyProtection="1">
      <protection locked="0"/>
    </xf>
    <xf numFmtId="0" fontId="54" fillId="0" borderId="221" xfId="0" applyFont="1" applyBorder="1" applyProtection="1">
      <protection locked="0"/>
    </xf>
    <xf numFmtId="0" fontId="83" fillId="37" borderId="16" xfId="45" applyFont="1" applyFill="1" applyBorder="1" applyAlignment="1">
      <alignment vertical="center"/>
    </xf>
    <xf numFmtId="0" fontId="84" fillId="37" borderId="160" xfId="45" applyFont="1" applyFill="1" applyBorder="1" applyAlignment="1">
      <alignment vertical="center"/>
    </xf>
    <xf numFmtId="0" fontId="85" fillId="37" borderId="160" xfId="45" applyFont="1" applyFill="1" applyBorder="1" applyAlignment="1">
      <alignment vertical="center"/>
    </xf>
    <xf numFmtId="0" fontId="57" fillId="37" borderId="18" xfId="45" applyFont="1" applyFill="1" applyBorder="1" applyAlignment="1">
      <alignment vertical="center"/>
    </xf>
    <xf numFmtId="0" fontId="2" fillId="37" borderId="0" xfId="45" applyFill="1" applyAlignment="1">
      <alignment vertical="center"/>
    </xf>
    <xf numFmtId="0" fontId="83" fillId="37" borderId="138" xfId="45" applyFont="1" applyFill="1" applyBorder="1" applyAlignment="1">
      <alignment vertical="center"/>
    </xf>
    <xf numFmtId="0" fontId="57" fillId="37" borderId="79" xfId="45" applyFont="1" applyFill="1" applyBorder="1" applyAlignment="1">
      <alignment vertical="center"/>
    </xf>
    <xf numFmtId="0" fontId="2" fillId="37" borderId="79" xfId="45" applyFill="1" applyBorder="1" applyAlignment="1">
      <alignment vertical="center"/>
    </xf>
    <xf numFmtId="0" fontId="85" fillId="37" borderId="28" xfId="45" applyFont="1" applyFill="1" applyBorder="1" applyAlignment="1">
      <alignment vertical="center"/>
    </xf>
    <xf numFmtId="0" fontId="83" fillId="37" borderId="74" xfId="45" applyFont="1" applyFill="1" applyBorder="1" applyAlignment="1">
      <alignment vertical="center"/>
    </xf>
    <xf numFmtId="0" fontId="57" fillId="37" borderId="74" xfId="45" applyFont="1" applyFill="1" applyBorder="1" applyAlignment="1">
      <alignment vertical="center"/>
    </xf>
    <xf numFmtId="0" fontId="2" fillId="37" borderId="40" xfId="45" applyFill="1" applyBorder="1" applyAlignment="1">
      <alignment vertical="center"/>
    </xf>
    <xf numFmtId="0" fontId="57" fillId="34" borderId="28" xfId="45" applyFont="1" applyFill="1" applyBorder="1" applyAlignment="1">
      <alignment vertical="center"/>
    </xf>
    <xf numFmtId="0" fontId="57" fillId="34" borderId="74" xfId="45" applyFont="1" applyFill="1" applyBorder="1" applyAlignment="1">
      <alignment vertical="center"/>
    </xf>
    <xf numFmtId="0" fontId="82" fillId="34" borderId="74" xfId="45" applyFont="1" applyFill="1" applyBorder="1" applyAlignment="1">
      <alignment vertical="center"/>
    </xf>
    <xf numFmtId="0" fontId="57" fillId="34" borderId="40" xfId="45" applyFont="1" applyFill="1" applyBorder="1" applyAlignment="1">
      <alignment vertical="center"/>
    </xf>
    <xf numFmtId="0" fontId="82" fillId="34" borderId="40" xfId="45" applyFont="1" applyFill="1" applyBorder="1" applyAlignment="1">
      <alignment vertical="center"/>
    </xf>
    <xf numFmtId="0" fontId="2" fillId="34" borderId="40" xfId="45" applyFill="1" applyBorder="1" applyAlignment="1">
      <alignment vertical="center"/>
    </xf>
    <xf numFmtId="0" fontId="57" fillId="34" borderId="127" xfId="45" applyFont="1" applyFill="1" applyBorder="1" applyAlignment="1">
      <alignment vertical="center"/>
    </xf>
    <xf numFmtId="0" fontId="57" fillId="34" borderId="128" xfId="45" applyFont="1" applyFill="1" applyBorder="1" applyAlignment="1">
      <alignment vertical="center"/>
    </xf>
    <xf numFmtId="0" fontId="82" fillId="34" borderId="128" xfId="45" applyFont="1" applyFill="1" applyBorder="1" applyAlignment="1">
      <alignment vertical="center"/>
    </xf>
    <xf numFmtId="0" fontId="2" fillId="34" borderId="104" xfId="45" applyFill="1" applyBorder="1" applyAlignment="1">
      <alignment vertical="center"/>
    </xf>
    <xf numFmtId="0" fontId="76" fillId="0" borderId="0" xfId="45" applyFont="1" applyAlignment="1" applyProtection="1">
      <alignment vertical="center"/>
      <protection locked="0"/>
    </xf>
    <xf numFmtId="0" fontId="2" fillId="0" borderId="0" xfId="45" applyProtection="1">
      <protection locked="0"/>
    </xf>
    <xf numFmtId="0" fontId="0" fillId="0" borderId="85" xfId="0" applyBorder="1" applyProtection="1">
      <protection locked="0"/>
    </xf>
    <xf numFmtId="0" fontId="28" fillId="34" borderId="74" xfId="0" applyFont="1" applyFill="1" applyBorder="1" applyAlignment="1">
      <alignment horizontal="left" vertical="center"/>
    </xf>
    <xf numFmtId="0" fontId="23" fillId="34" borderId="216" xfId="0" applyFont="1" applyFill="1" applyBorder="1" applyAlignment="1">
      <alignment vertical="center" wrapText="1"/>
    </xf>
    <xf numFmtId="0" fontId="23" fillId="34" borderId="32" xfId="0" applyFont="1" applyFill="1" applyBorder="1" applyAlignment="1">
      <alignment horizontal="center" vertical="center" wrapText="1"/>
    </xf>
    <xf numFmtId="0" fontId="23" fillId="34" borderId="134" xfId="0" applyFont="1" applyFill="1" applyBorder="1" applyAlignment="1">
      <alignment horizontal="center" vertical="center" wrapText="1"/>
    </xf>
    <xf numFmtId="0" fontId="0" fillId="34" borderId="137" xfId="0" applyFill="1" applyBorder="1" applyAlignment="1">
      <alignment vertical="top"/>
    </xf>
    <xf numFmtId="0" fontId="23" fillId="34" borderId="43" xfId="0" applyFont="1" applyFill="1" applyBorder="1" applyAlignment="1">
      <alignment horizontal="center" vertical="center"/>
    </xf>
    <xf numFmtId="0" fontId="0" fillId="34" borderId="113" xfId="0" applyFill="1" applyBorder="1" applyAlignment="1">
      <alignment vertical="top"/>
    </xf>
    <xf numFmtId="0" fontId="22" fillId="34" borderId="113" xfId="0" applyFont="1" applyFill="1" applyBorder="1" applyAlignment="1">
      <alignment horizontal="center" vertical="top"/>
    </xf>
    <xf numFmtId="0" fontId="23" fillId="34" borderId="23" xfId="0" applyFont="1" applyFill="1" applyBorder="1" applyAlignment="1">
      <alignment horizontal="center" vertical="center" wrapText="1"/>
    </xf>
    <xf numFmtId="0" fontId="0" fillId="34" borderId="139" xfId="0" applyFill="1" applyBorder="1" applyAlignment="1">
      <alignment vertical="top"/>
    </xf>
    <xf numFmtId="43" fontId="23" fillId="34" borderId="23" xfId="0" applyNumberFormat="1" applyFont="1" applyFill="1" applyBorder="1" applyAlignment="1">
      <alignment vertical="center"/>
    </xf>
    <xf numFmtId="0" fontId="70" fillId="35" borderId="0" xfId="0" applyFont="1" applyFill="1" applyAlignment="1">
      <alignment vertical="center"/>
    </xf>
    <xf numFmtId="0" fontId="87" fillId="0" borderId="0" xfId="0" applyFont="1" applyAlignment="1" applyProtection="1">
      <alignment horizontal="left" vertical="top"/>
      <protection locked="0"/>
    </xf>
    <xf numFmtId="0" fontId="0" fillId="34" borderId="274" xfId="0" applyFill="1" applyBorder="1" applyAlignment="1">
      <alignment vertical="center"/>
    </xf>
    <xf numFmtId="0" fontId="0" fillId="0" borderId="40" xfId="0" applyBorder="1" applyAlignment="1" applyProtection="1">
      <alignment vertical="center"/>
      <protection locked="0"/>
    </xf>
    <xf numFmtId="0" fontId="0" fillId="0" borderId="85" xfId="0" applyBorder="1" applyAlignment="1" applyProtection="1">
      <alignment vertical="center"/>
      <protection locked="0"/>
    </xf>
    <xf numFmtId="43" fontId="0" fillId="0" borderId="85" xfId="0" applyNumberFormat="1" applyBorder="1" applyAlignment="1" applyProtection="1">
      <alignment vertical="center"/>
      <protection locked="0"/>
    </xf>
    <xf numFmtId="9" fontId="1" fillId="0" borderId="85" xfId="48" applyFont="1" applyBorder="1" applyAlignment="1" applyProtection="1">
      <alignment horizontal="center" vertical="center"/>
      <protection locked="0"/>
    </xf>
    <xf numFmtId="0" fontId="0" fillId="0" borderId="18" xfId="0" applyBorder="1" applyAlignment="1" applyProtection="1">
      <alignment vertical="center"/>
      <protection locked="0"/>
    </xf>
    <xf numFmtId="0" fontId="0" fillId="0" borderId="19" xfId="0" applyBorder="1" applyAlignment="1" applyProtection="1">
      <alignment vertical="center"/>
      <protection locked="0"/>
    </xf>
    <xf numFmtId="43" fontId="0" fillId="0" borderId="19" xfId="0" applyNumberFormat="1" applyBorder="1" applyAlignment="1" applyProtection="1">
      <alignment vertical="center"/>
      <protection locked="0"/>
    </xf>
    <xf numFmtId="9" fontId="1" fillId="0" borderId="19" xfId="48" applyFont="1" applyBorder="1" applyAlignment="1" applyProtection="1">
      <alignment horizontal="center" vertical="center"/>
      <protection locked="0"/>
    </xf>
    <xf numFmtId="43" fontId="0" fillId="0" borderId="101" xfId="0" applyNumberFormat="1" applyBorder="1" applyAlignment="1" applyProtection="1">
      <alignment vertical="center"/>
      <protection locked="0"/>
    </xf>
    <xf numFmtId="43" fontId="22" fillId="0" borderId="85" xfId="0" applyNumberFormat="1" applyFont="1" applyBorder="1" applyAlignment="1" applyProtection="1">
      <alignment vertical="center"/>
      <protection locked="0"/>
    </xf>
    <xf numFmtId="0" fontId="0" fillId="0" borderId="39" xfId="0" applyBorder="1" applyAlignment="1" applyProtection="1">
      <alignment vertical="center"/>
      <protection locked="0"/>
    </xf>
    <xf numFmtId="0" fontId="0" fillId="0" borderId="20" xfId="0" applyBorder="1" applyAlignment="1" applyProtection="1">
      <alignment vertical="center"/>
      <protection locked="0"/>
    </xf>
    <xf numFmtId="0" fontId="0" fillId="0" borderId="87" xfId="0" applyBorder="1" applyAlignment="1" applyProtection="1">
      <alignment vertical="center"/>
      <protection locked="0"/>
    </xf>
    <xf numFmtId="0" fontId="23" fillId="0" borderId="0" xfId="0" applyFont="1" applyProtection="1">
      <protection locked="0"/>
    </xf>
    <xf numFmtId="0" fontId="122" fillId="34" borderId="12" xfId="0" applyFont="1" applyFill="1" applyBorder="1" applyAlignment="1">
      <alignment horizontal="left" vertical="center"/>
    </xf>
    <xf numFmtId="0" fontId="133" fillId="34" borderId="0" xfId="0" applyFont="1" applyFill="1" applyBorder="1" applyAlignment="1">
      <alignment horizontal="left" vertical="center"/>
    </xf>
    <xf numFmtId="0" fontId="23" fillId="34" borderId="257" xfId="0" applyFont="1" applyFill="1" applyBorder="1" applyAlignment="1">
      <alignment horizontal="left" vertical="center"/>
    </xf>
    <xf numFmtId="0" fontId="23" fillId="34" borderId="278" xfId="0" applyFont="1" applyFill="1" applyBorder="1" applyAlignment="1">
      <alignment horizontal="left" vertical="center" wrapText="1"/>
    </xf>
    <xf numFmtId="0" fontId="23" fillId="34" borderId="28" xfId="0" applyFont="1" applyFill="1" applyBorder="1" applyAlignment="1">
      <alignment horizontal="left" vertical="center"/>
    </xf>
    <xf numFmtId="0" fontId="23" fillId="34" borderId="74" xfId="0" applyFont="1" applyFill="1" applyBorder="1" applyAlignment="1">
      <alignment horizontal="left" vertical="center"/>
    </xf>
    <xf numFmtId="0" fontId="125" fillId="34" borderId="74" xfId="0" applyFont="1" applyFill="1" applyBorder="1" applyAlignment="1">
      <alignment horizontal="left" vertical="center"/>
    </xf>
    <xf numFmtId="0" fontId="23" fillId="34" borderId="96" xfId="0" applyFont="1" applyFill="1" applyBorder="1" applyAlignment="1">
      <alignment horizontal="left" vertical="center" wrapText="1"/>
    </xf>
    <xf numFmtId="0" fontId="22" fillId="34" borderId="74" xfId="0" applyFont="1" applyFill="1" applyBorder="1" applyAlignment="1">
      <alignment horizontal="left" vertical="center"/>
    </xf>
    <xf numFmtId="0" fontId="138" fillId="34" borderId="96" xfId="0" applyFont="1" applyFill="1" applyBorder="1" applyAlignment="1">
      <alignment horizontal="left" vertical="center" wrapText="1"/>
    </xf>
    <xf numFmtId="0" fontId="22" fillId="34" borderId="74" xfId="0" applyFont="1" applyFill="1" applyBorder="1" applyAlignment="1">
      <alignment horizontal="left" vertical="center" wrapText="1"/>
    </xf>
    <xf numFmtId="0" fontId="72" fillId="34" borderId="96" xfId="0" applyFont="1" applyFill="1" applyBorder="1" applyAlignment="1">
      <alignment horizontal="left" vertical="center" wrapText="1"/>
    </xf>
    <xf numFmtId="0" fontId="73" fillId="34" borderId="96" xfId="0" applyFont="1" applyFill="1" applyBorder="1" applyAlignment="1">
      <alignment horizontal="left" vertical="center" wrapText="1"/>
    </xf>
    <xf numFmtId="49" fontId="73" fillId="34" borderId="96" xfId="0" applyNumberFormat="1" applyFont="1" applyFill="1" applyBorder="1" applyAlignment="1">
      <alignment horizontal="left" vertical="center" wrapText="1"/>
    </xf>
    <xf numFmtId="0" fontId="122" fillId="34" borderId="28" xfId="0" applyFont="1" applyFill="1" applyBorder="1" applyAlignment="1">
      <alignment horizontal="left" vertical="center"/>
    </xf>
    <xf numFmtId="0" fontId="127" fillId="34" borderId="74" xfId="0" applyFont="1" applyFill="1" applyBorder="1" applyAlignment="1">
      <alignment horizontal="left" vertical="center"/>
    </xf>
    <xf numFmtId="0" fontId="73" fillId="34" borderId="96" xfId="0" applyFont="1" applyFill="1" applyBorder="1" applyAlignment="1">
      <alignment horizontal="left" wrapText="1"/>
    </xf>
    <xf numFmtId="0" fontId="23" fillId="34" borderId="74" xfId="0" quotePrefix="1" applyFont="1" applyFill="1" applyBorder="1" applyAlignment="1">
      <alignment horizontal="left" vertical="center"/>
    </xf>
    <xf numFmtId="0" fontId="23" fillId="34" borderId="16" xfId="0" applyFont="1" applyFill="1" applyBorder="1" applyAlignment="1">
      <alignment horizontal="left" vertical="center"/>
    </xf>
    <xf numFmtId="0" fontId="23" fillId="34" borderId="17" xfId="0" applyFont="1" applyFill="1" applyBorder="1" applyAlignment="1">
      <alignment horizontal="left" vertical="center"/>
    </xf>
    <xf numFmtId="0" fontId="127" fillId="34" borderId="128" xfId="0" applyFont="1" applyFill="1" applyBorder="1" applyAlignment="1">
      <alignment vertical="center"/>
    </xf>
    <xf numFmtId="0" fontId="133" fillId="34" borderId="203" xfId="0" applyFont="1" applyFill="1" applyBorder="1" applyAlignment="1">
      <alignment vertical="center" wrapText="1"/>
    </xf>
    <xf numFmtId="0" fontId="125" fillId="34" borderId="203" xfId="0" applyFont="1" applyFill="1" applyBorder="1" applyAlignment="1">
      <alignment vertical="center" wrapText="1"/>
    </xf>
    <xf numFmtId="0" fontId="23" fillId="34" borderId="243" xfId="0" applyFont="1" applyFill="1" applyBorder="1"/>
    <xf numFmtId="0" fontId="23" fillId="34" borderId="69" xfId="0" applyFont="1" applyFill="1" applyBorder="1"/>
    <xf numFmtId="0" fontId="125" fillId="34" borderId="177" xfId="0" applyFont="1" applyFill="1" applyBorder="1" applyAlignment="1">
      <alignment horizontal="center" vertical="center"/>
    </xf>
    <xf numFmtId="0" fontId="23" fillId="34" borderId="12" xfId="0" applyFont="1" applyFill="1" applyBorder="1" applyAlignment="1">
      <alignment vertical="top"/>
    </xf>
    <xf numFmtId="0" fontId="23" fillId="34" borderId="0" xfId="0" applyFont="1" applyFill="1" applyBorder="1" applyAlignment="1">
      <alignment vertical="center"/>
    </xf>
    <xf numFmtId="0" fontId="21" fillId="34" borderId="0" xfId="0" applyFont="1" applyFill="1" applyBorder="1" applyAlignment="1">
      <alignment vertical="center"/>
    </xf>
    <xf numFmtId="0" fontId="125" fillId="34" borderId="52" xfId="0" applyFont="1" applyFill="1" applyBorder="1" applyAlignment="1">
      <alignment horizontal="center" vertical="center"/>
    </xf>
    <xf numFmtId="0" fontId="125" fillId="34" borderId="0" xfId="0" applyNumberFormat="1" applyFont="1" applyFill="1" applyBorder="1" applyAlignment="1">
      <alignment vertical="center"/>
    </xf>
    <xf numFmtId="0" fontId="23" fillId="34" borderId="242" xfId="0" applyFont="1" applyFill="1" applyBorder="1" applyAlignment="1">
      <alignment vertical="top"/>
    </xf>
    <xf numFmtId="0" fontId="125" fillId="34" borderId="58" xfId="0" applyNumberFormat="1" applyFont="1" applyFill="1" applyBorder="1" applyAlignment="1">
      <alignment vertical="center"/>
    </xf>
    <xf numFmtId="0" fontId="21" fillId="34" borderId="58" xfId="0" applyFont="1" applyFill="1" applyBorder="1" applyAlignment="1">
      <alignment vertical="center"/>
    </xf>
    <xf numFmtId="0" fontId="23" fillId="34" borderId="184" xfId="0" applyFont="1" applyFill="1" applyBorder="1" applyAlignment="1">
      <alignment horizontal="center" vertical="center"/>
    </xf>
    <xf numFmtId="0" fontId="110" fillId="34" borderId="46" xfId="0" applyFont="1" applyFill="1" applyBorder="1" applyAlignment="1">
      <alignment horizontal="center" vertical="center" wrapText="1"/>
    </xf>
    <xf numFmtId="0" fontId="110" fillId="34" borderId="113" xfId="0" applyFont="1" applyFill="1" applyBorder="1" applyAlignment="1">
      <alignment horizontal="center" vertical="center" wrapText="1"/>
    </xf>
    <xf numFmtId="0" fontId="36" fillId="34" borderId="23" xfId="42" applyFont="1" applyFill="1" applyBorder="1" applyAlignment="1">
      <alignment horizontal="center" vertical="center" wrapText="1"/>
    </xf>
    <xf numFmtId="0" fontId="36" fillId="34" borderId="24" xfId="42" applyFont="1" applyFill="1" applyBorder="1" applyAlignment="1">
      <alignment horizontal="center" vertical="center" wrapText="1"/>
    </xf>
    <xf numFmtId="0" fontId="36" fillId="34" borderId="280" xfId="42" applyFont="1" applyFill="1" applyBorder="1" applyAlignment="1">
      <alignment horizontal="center" vertical="center" wrapText="1"/>
    </xf>
    <xf numFmtId="0" fontId="110" fillId="34" borderId="131" xfId="0" applyFont="1" applyFill="1" applyBorder="1" applyAlignment="1">
      <alignment horizontal="center" vertical="center" wrapText="1"/>
    </xf>
    <xf numFmtId="0" fontId="36" fillId="34" borderId="281" xfId="42" applyFont="1" applyFill="1" applyBorder="1" applyAlignment="1">
      <alignment horizontal="center" vertical="center" wrapText="1"/>
    </xf>
    <xf numFmtId="0" fontId="110" fillId="34" borderId="132" xfId="0" applyFont="1" applyFill="1" applyBorder="1" applyAlignment="1">
      <alignment horizontal="center" vertical="center" wrapText="1"/>
    </xf>
    <xf numFmtId="0" fontId="1" fillId="0" borderId="0" xfId="42" applyFont="1"/>
    <xf numFmtId="0" fontId="1" fillId="0" borderId="0" xfId="42" applyFont="1" applyAlignment="1">
      <alignment horizontal="center" vertical="top"/>
    </xf>
    <xf numFmtId="49" fontId="19" fillId="0" borderId="0" xfId="42" applyNumberFormat="1" applyFont="1" applyAlignment="1">
      <alignment horizontal="center" vertical="center"/>
    </xf>
    <xf numFmtId="0" fontId="1" fillId="27" borderId="79" xfId="42" applyFont="1" applyFill="1" applyBorder="1"/>
    <xf numFmtId="0" fontId="31" fillId="34" borderId="32" xfId="42" applyFont="1" applyFill="1" applyBorder="1" applyAlignment="1">
      <alignment horizontal="center" vertical="center" wrapText="1"/>
    </xf>
    <xf numFmtId="0" fontId="87" fillId="34" borderId="32" xfId="42" applyFont="1" applyFill="1" applyBorder="1" applyAlignment="1">
      <alignment horizontal="center" vertical="center" wrapText="1"/>
    </xf>
    <xf numFmtId="49" fontId="19" fillId="34" borderId="135" xfId="42" applyNumberFormat="1" applyFont="1" applyFill="1" applyBorder="1" applyAlignment="1">
      <alignment horizontal="center" vertical="center" wrapText="1"/>
    </xf>
    <xf numFmtId="49" fontId="120" fillId="34" borderId="135" xfId="42" applyNumberFormat="1" applyFont="1" applyFill="1" applyBorder="1" applyAlignment="1">
      <alignment horizontal="center" vertical="center" wrapText="1"/>
    </xf>
    <xf numFmtId="49" fontId="19" fillId="34" borderId="135" xfId="42" applyNumberFormat="1" applyFont="1" applyFill="1" applyBorder="1" applyAlignment="1">
      <alignment horizontal="center" vertical="center"/>
    </xf>
    <xf numFmtId="49" fontId="19" fillId="34" borderId="89" xfId="42" applyNumberFormat="1" applyFont="1" applyFill="1" applyBorder="1" applyAlignment="1">
      <alignment horizontal="center" vertical="center" wrapText="1"/>
    </xf>
    <xf numFmtId="49" fontId="19" fillId="34" borderId="10" xfId="42" applyNumberFormat="1" applyFont="1" applyFill="1" applyBorder="1" applyAlignment="1">
      <alignment horizontal="center" vertical="center"/>
    </xf>
    <xf numFmtId="10" fontId="1" fillId="34" borderId="19" xfId="42" applyNumberFormat="1" applyFont="1" applyFill="1" applyBorder="1"/>
    <xf numFmtId="10" fontId="1" fillId="0" borderId="19" xfId="42" applyNumberFormat="1" applyFont="1" applyBorder="1" applyProtection="1">
      <protection locked="0"/>
    </xf>
    <xf numFmtId="10" fontId="1" fillId="0" borderId="85" xfId="42" applyNumberFormat="1" applyFont="1" applyBorder="1" applyProtection="1">
      <protection locked="0"/>
    </xf>
    <xf numFmtId="43" fontId="1" fillId="0" borderId="19" xfId="42" applyNumberFormat="1" applyFont="1" applyBorder="1" applyProtection="1">
      <protection locked="0"/>
    </xf>
    <xf numFmtId="43" fontId="1" fillId="0" borderId="85" xfId="42" applyNumberFormat="1" applyFont="1" applyBorder="1" applyProtection="1">
      <protection locked="0"/>
    </xf>
    <xf numFmtId="172" fontId="1" fillId="0" borderId="19" xfId="42" applyNumberFormat="1" applyFont="1" applyBorder="1" applyProtection="1">
      <protection locked="0"/>
    </xf>
    <xf numFmtId="0" fontId="1" fillId="0" borderId="19" xfId="42" applyFont="1" applyBorder="1" applyProtection="1">
      <protection locked="0"/>
    </xf>
    <xf numFmtId="172" fontId="1" fillId="0" borderId="85" xfId="42" applyNumberFormat="1" applyFont="1" applyBorder="1" applyProtection="1">
      <protection locked="0"/>
    </xf>
    <xf numFmtId="0" fontId="1" fillId="0" borderId="0" xfId="42" applyFont="1" applyProtection="1">
      <protection locked="0"/>
    </xf>
    <xf numFmtId="0" fontId="73" fillId="0" borderId="0" xfId="42" applyFont="1" applyAlignment="1" applyProtection="1">
      <alignment horizontal="center" vertical="top"/>
      <protection locked="0"/>
    </xf>
    <xf numFmtId="0" fontId="19" fillId="0" borderId="0" xfId="42" applyFont="1" applyAlignment="1" applyProtection="1">
      <alignment vertical="center"/>
      <protection locked="0"/>
    </xf>
    <xf numFmtId="0" fontId="50" fillId="0" borderId="13" xfId="0" applyFont="1" applyBorder="1" applyAlignment="1">
      <alignment horizontal="center" vertical="top"/>
    </xf>
    <xf numFmtId="0" fontId="90" fillId="0" borderId="13" xfId="0" applyFont="1" applyFill="1" applyBorder="1" applyAlignment="1">
      <alignment vertical="top"/>
    </xf>
    <xf numFmtId="2" fontId="240" fillId="24" borderId="36" xfId="0" applyNumberFormat="1" applyFont="1" applyFill="1" applyBorder="1" applyAlignment="1">
      <alignment horizontal="right" vertical="top"/>
    </xf>
    <xf numFmtId="2" fontId="235" fillId="24" borderId="93" xfId="0" applyNumberFormat="1" applyFont="1" applyFill="1" applyBorder="1" applyAlignment="1">
      <alignment horizontal="right" vertical="top"/>
    </xf>
    <xf numFmtId="0" fontId="90" fillId="0" borderId="13" xfId="0" applyFont="1" applyBorder="1" applyAlignment="1">
      <alignment horizontal="right" vertical="top"/>
    </xf>
    <xf numFmtId="2" fontId="235" fillId="0" borderId="13" xfId="0" applyNumberFormat="1" applyFont="1" applyBorder="1" applyAlignment="1">
      <alignment horizontal="left" vertical="top"/>
    </xf>
    <xf numFmtId="2" fontId="235" fillId="0" borderId="236" xfId="0" applyNumberFormat="1" applyFont="1" applyBorder="1" applyAlignment="1">
      <alignment horizontal="left" vertical="top"/>
    </xf>
    <xf numFmtId="2" fontId="235" fillId="0" borderId="158" xfId="0" applyNumberFormat="1" applyFont="1" applyBorder="1" applyAlignment="1">
      <alignment horizontal="left" vertical="top"/>
    </xf>
    <xf numFmtId="2" fontId="92" fillId="0" borderId="236" xfId="0" applyNumberFormat="1" applyFont="1" applyBorder="1" applyAlignment="1">
      <alignment horizontal="left" vertical="top"/>
    </xf>
    <xf numFmtId="2" fontId="244" fillId="0" borderId="236" xfId="0" applyNumberFormat="1" applyFont="1" applyBorder="1" applyAlignment="1">
      <alignment horizontal="left" vertical="top"/>
    </xf>
    <xf numFmtId="0" fontId="90" fillId="0" borderId="0" xfId="0" applyFont="1" applyBorder="1" applyAlignment="1">
      <alignment horizontal="right" vertical="top"/>
    </xf>
    <xf numFmtId="2" fontId="90" fillId="0" borderId="128" xfId="0" applyNumberFormat="1" applyFont="1" applyBorder="1" applyAlignment="1">
      <alignment horizontal="right" vertical="top"/>
    </xf>
    <xf numFmtId="2" fontId="235" fillId="0" borderId="128" xfId="0" applyNumberFormat="1" applyFont="1" applyBorder="1" applyAlignment="1">
      <alignment horizontal="right" vertical="top" wrapText="1"/>
    </xf>
    <xf numFmtId="0" fontId="90" fillId="0" borderId="13" xfId="0" applyFont="1" applyFill="1" applyBorder="1" applyAlignment="1">
      <alignment horizontal="right" vertical="top"/>
    </xf>
    <xf numFmtId="2" fontId="240" fillId="24" borderId="102" xfId="0" applyNumberFormat="1" applyFont="1" applyFill="1" applyBorder="1" applyAlignment="1">
      <alignment horizontal="right" vertical="top"/>
    </xf>
    <xf numFmtId="2" fontId="240" fillId="43" borderId="128" xfId="0" applyNumberFormat="1" applyFont="1" applyFill="1" applyBorder="1" applyAlignment="1">
      <alignment horizontal="left" vertical="top"/>
    </xf>
    <xf numFmtId="2" fontId="240" fillId="43" borderId="128" xfId="0" applyNumberFormat="1" applyFont="1" applyFill="1" applyBorder="1" applyAlignment="1">
      <alignment horizontal="right" vertical="top"/>
    </xf>
    <xf numFmtId="2" fontId="240" fillId="43" borderId="104" xfId="0" applyNumberFormat="1" applyFont="1" applyFill="1" applyBorder="1" applyAlignment="1">
      <alignment horizontal="right" vertical="top"/>
    </xf>
    <xf numFmtId="2" fontId="90" fillId="43" borderId="93" xfId="0" applyNumberFormat="1" applyFont="1" applyFill="1" applyBorder="1" applyAlignment="1">
      <alignment horizontal="right" vertical="top"/>
    </xf>
    <xf numFmtId="2" fontId="242" fillId="43" borderId="17" xfId="0" applyNumberFormat="1" applyFont="1" applyFill="1" applyBorder="1" applyAlignment="1">
      <alignment horizontal="left" vertical="top"/>
    </xf>
    <xf numFmtId="2" fontId="242" fillId="43" borderId="17" xfId="0" applyNumberFormat="1" applyFont="1" applyFill="1" applyBorder="1" applyAlignment="1">
      <alignment horizontal="right" vertical="top"/>
    </xf>
    <xf numFmtId="2" fontId="242" fillId="43" borderId="236" xfId="0" applyNumberFormat="1" applyFont="1" applyFill="1" applyBorder="1" applyAlignment="1">
      <alignment horizontal="right" vertical="top"/>
    </xf>
    <xf numFmtId="2" fontId="25" fillId="0" borderId="13" xfId="0" applyNumberFormat="1" applyFont="1" applyBorder="1" applyAlignment="1">
      <alignment horizontal="left" vertical="top"/>
    </xf>
    <xf numFmtId="2" fontId="160" fillId="0" borderId="158" xfId="0" applyNumberFormat="1" applyFont="1" applyBorder="1" applyAlignment="1">
      <alignment horizontal="left" vertical="top"/>
    </xf>
    <xf numFmtId="2" fontId="0" fillId="0" borderId="158" xfId="0" applyNumberFormat="1" applyBorder="1" applyAlignment="1">
      <alignment horizontal="left"/>
    </xf>
    <xf numFmtId="2" fontId="0" fillId="0" borderId="13" xfId="0" applyNumberFormat="1" applyBorder="1" applyAlignment="1">
      <alignment horizontal="left"/>
    </xf>
    <xf numFmtId="2" fontId="239" fillId="0" borderId="158" xfId="0" applyNumberFormat="1" applyFont="1" applyBorder="1" applyAlignment="1">
      <alignment horizontal="left" vertical="top"/>
    </xf>
    <xf numFmtId="2" fontId="242" fillId="43" borderId="93" xfId="0" applyNumberFormat="1" applyFont="1" applyFill="1" applyBorder="1" applyAlignment="1">
      <alignment horizontal="right" vertical="top" wrapText="1"/>
    </xf>
    <xf numFmtId="2" fontId="155" fillId="43" borderId="93" xfId="0" applyNumberFormat="1" applyFont="1" applyFill="1" applyBorder="1" applyAlignment="1">
      <alignment horizontal="right" vertical="top" wrapText="1"/>
    </xf>
    <xf numFmtId="2" fontId="90" fillId="0" borderId="128" xfId="0" applyNumberFormat="1" applyFont="1" applyBorder="1" applyAlignment="1">
      <alignment horizontal="left" vertical="top"/>
    </xf>
    <xf numFmtId="2" fontId="235" fillId="0" borderId="128" xfId="0" applyNumberFormat="1" applyFont="1" applyBorder="1" applyAlignment="1">
      <alignment horizontal="left" vertical="top" wrapText="1"/>
    </xf>
    <xf numFmtId="2" fontId="25" fillId="0" borderId="128" xfId="0" applyNumberFormat="1" applyFont="1" applyBorder="1" applyAlignment="1">
      <alignment horizontal="left" vertical="top" wrapText="1"/>
    </xf>
    <xf numFmtId="2" fontId="155" fillId="24" borderId="17" xfId="0" applyNumberFormat="1" applyFont="1" applyFill="1" applyBorder="1" applyAlignment="1">
      <alignment horizontal="right" vertical="top"/>
    </xf>
    <xf numFmtId="2" fontId="155" fillId="24" borderId="93" xfId="0" applyNumberFormat="1" applyFont="1" applyFill="1" applyBorder="1" applyAlignment="1">
      <alignment horizontal="right" vertical="top"/>
    </xf>
    <xf numFmtId="0" fontId="90" fillId="0" borderId="0" xfId="0" applyFont="1" applyFill="1" applyBorder="1" applyAlignment="1">
      <alignment horizontal="right" vertical="top"/>
    </xf>
    <xf numFmtId="2" fontId="155" fillId="0" borderId="17" xfId="0" applyNumberFormat="1" applyFont="1" applyFill="1" applyBorder="1" applyAlignment="1">
      <alignment horizontal="right" vertical="top"/>
    </xf>
    <xf numFmtId="2" fontId="242" fillId="0" borderId="17" xfId="0" applyNumberFormat="1" applyFont="1" applyFill="1" applyBorder="1" applyAlignment="1">
      <alignment horizontal="left" vertical="top" wrapText="1"/>
    </xf>
    <xf numFmtId="0" fontId="90" fillId="24" borderId="13" xfId="0" applyFont="1" applyFill="1" applyBorder="1" applyAlignment="1">
      <alignment horizontal="right" vertical="top"/>
    </xf>
    <xf numFmtId="0" fontId="113" fillId="24" borderId="285" xfId="0" applyFont="1" applyFill="1" applyBorder="1" applyAlignment="1"/>
    <xf numFmtId="0" fontId="159" fillId="0" borderId="0" xfId="0" applyFont="1"/>
    <xf numFmtId="0" fontId="36" fillId="24" borderId="287" xfId="0" applyFont="1" applyFill="1" applyBorder="1"/>
    <xf numFmtId="0" fontId="113" fillId="24" borderId="287" xfId="0" applyFont="1" applyFill="1" applyBorder="1"/>
    <xf numFmtId="0" fontId="36" fillId="24" borderId="287" xfId="0" applyFont="1" applyFill="1" applyBorder="1" applyAlignment="1"/>
    <xf numFmtId="0" fontId="198" fillId="36" borderId="0" xfId="0" applyFont="1" applyFill="1"/>
    <xf numFmtId="0" fontId="90" fillId="45" borderId="158" xfId="0" applyFont="1" applyFill="1" applyBorder="1" applyAlignment="1">
      <alignment vertical="top"/>
    </xf>
    <xf numFmtId="0" fontId="90" fillId="45" borderId="13" xfId="0" applyFont="1" applyFill="1" applyBorder="1" applyAlignment="1">
      <alignment vertical="top"/>
    </xf>
    <xf numFmtId="0" fontId="90" fillId="45" borderId="236" xfId="0" applyFont="1" applyFill="1" applyBorder="1" applyAlignment="1">
      <alignment vertical="top"/>
    </xf>
    <xf numFmtId="2" fontId="90" fillId="34" borderId="36" xfId="0" applyNumberFormat="1" applyFont="1" applyFill="1" applyBorder="1" applyAlignment="1">
      <alignment horizontal="right" vertical="top"/>
    </xf>
    <xf numFmtId="2" fontId="90" fillId="34" borderId="0" xfId="0" applyNumberFormat="1" applyFont="1" applyFill="1" applyBorder="1" applyAlignment="1">
      <alignment horizontal="right" vertical="top"/>
    </xf>
    <xf numFmtId="2" fontId="160" fillId="34" borderId="0" xfId="0" applyNumberFormat="1" applyFont="1" applyFill="1" applyBorder="1" applyAlignment="1">
      <alignment horizontal="left" vertical="top"/>
    </xf>
    <xf numFmtId="2" fontId="25" fillId="34" borderId="0" xfId="0" applyNumberFormat="1" applyFont="1" applyFill="1" applyBorder="1" applyAlignment="1">
      <alignment horizontal="left" vertical="top"/>
    </xf>
    <xf numFmtId="2" fontId="90" fillId="34" borderId="93" xfId="0" applyNumberFormat="1" applyFont="1" applyFill="1" applyBorder="1" applyAlignment="1">
      <alignment horizontal="right" vertical="top"/>
    </xf>
    <xf numFmtId="2" fontId="90" fillId="34" borderId="17" xfId="0" applyNumberFormat="1" applyFont="1" applyFill="1" applyBorder="1" applyAlignment="1">
      <alignment horizontal="right" vertical="top"/>
    </xf>
    <xf numFmtId="2" fontId="25" fillId="34" borderId="17" xfId="0" applyNumberFormat="1" applyFont="1" applyFill="1" applyBorder="1" applyAlignment="1">
      <alignment horizontal="left" vertical="top"/>
    </xf>
    <xf numFmtId="2" fontId="90" fillId="34" borderId="0" xfId="0" applyNumberFormat="1" applyFont="1" applyFill="1" applyBorder="1" applyAlignment="1">
      <alignment horizontal="left" vertical="top"/>
    </xf>
    <xf numFmtId="2" fontId="90" fillId="34" borderId="17" xfId="0" applyNumberFormat="1" applyFont="1" applyFill="1" applyBorder="1" applyAlignment="1">
      <alignment horizontal="left" vertical="top"/>
    </xf>
    <xf numFmtId="2" fontId="235" fillId="34" borderId="17" xfId="0" applyNumberFormat="1" applyFont="1" applyFill="1" applyBorder="1" applyAlignment="1">
      <alignment horizontal="left" vertical="top"/>
    </xf>
    <xf numFmtId="2" fontId="0" fillId="34" borderId="0" xfId="0" applyNumberFormat="1" applyFill="1" applyBorder="1" applyAlignment="1">
      <alignment horizontal="right"/>
    </xf>
    <xf numFmtId="2" fontId="0" fillId="34" borderId="0" xfId="0" applyNumberFormat="1" applyFill="1" applyBorder="1" applyAlignment="1">
      <alignment horizontal="left"/>
    </xf>
    <xf numFmtId="2" fontId="161" fillId="34" borderId="0" xfId="0" applyNumberFormat="1" applyFont="1" applyFill="1" applyBorder="1" applyAlignment="1">
      <alignment horizontal="left" vertical="center" shrinkToFit="1"/>
    </xf>
    <xf numFmtId="2" fontId="160" fillId="34" borderId="93" xfId="0" applyNumberFormat="1" applyFont="1" applyFill="1" applyBorder="1" applyAlignment="1">
      <alignment horizontal="right" vertical="top"/>
    </xf>
    <xf numFmtId="2" fontId="0" fillId="34" borderId="17" xfId="0" applyNumberFormat="1" applyFill="1" applyBorder="1" applyAlignment="1">
      <alignment horizontal="right"/>
    </xf>
    <xf numFmtId="2" fontId="0" fillId="34" borderId="17" xfId="0" applyNumberFormat="1" applyFill="1" applyBorder="1" applyAlignment="1">
      <alignment horizontal="left"/>
    </xf>
    <xf numFmtId="2" fontId="235" fillId="34" borderId="0" xfId="0" applyNumberFormat="1" applyFont="1" applyFill="1" applyBorder="1" applyAlignment="1">
      <alignment horizontal="left" vertical="top"/>
    </xf>
    <xf numFmtId="2" fontId="239" fillId="34" borderId="0" xfId="0" applyNumberFormat="1" applyFont="1" applyFill="1" applyBorder="1" applyAlignment="1">
      <alignment horizontal="left" vertical="top"/>
    </xf>
    <xf numFmtId="2" fontId="90" fillId="34" borderId="0" xfId="0" applyNumberFormat="1" applyFont="1" applyFill="1" applyAlignment="1">
      <alignment horizontal="right" vertical="top"/>
    </xf>
    <xf numFmtId="2" fontId="160" fillId="34" borderId="0" xfId="0" applyNumberFormat="1" applyFont="1" applyFill="1" applyBorder="1" applyAlignment="1">
      <alignment horizontal="left" vertical="center"/>
    </xf>
    <xf numFmtId="2" fontId="160" fillId="34" borderId="0" xfId="0" applyNumberFormat="1" applyFont="1" applyFill="1" applyBorder="1" applyAlignment="1">
      <alignment horizontal="left" vertical="top" wrapText="1"/>
    </xf>
    <xf numFmtId="2" fontId="0" fillId="34" borderId="13" xfId="0" applyNumberFormat="1" applyFill="1" applyBorder="1" applyAlignment="1">
      <alignment horizontal="left"/>
    </xf>
    <xf numFmtId="2" fontId="235" fillId="34" borderId="17" xfId="0" applyNumberFormat="1" applyFont="1" applyFill="1" applyBorder="1" applyAlignment="1">
      <alignment horizontal="left" vertical="center"/>
    </xf>
    <xf numFmtId="2" fontId="235" fillId="34" borderId="17" xfId="0" applyNumberFormat="1" applyFont="1" applyFill="1" applyBorder="1" applyAlignment="1">
      <alignment horizontal="left" vertical="top" wrapText="1" shrinkToFit="1"/>
    </xf>
    <xf numFmtId="2" fontId="0" fillId="34" borderId="17" xfId="0" applyNumberFormat="1" applyFill="1" applyBorder="1" applyAlignment="1">
      <alignment horizontal="left" wrapText="1" shrinkToFit="1"/>
    </xf>
    <xf numFmtId="2" fontId="0" fillId="34" borderId="18" xfId="0" applyNumberFormat="1" applyFill="1" applyBorder="1" applyAlignment="1">
      <alignment horizontal="left" wrapText="1" shrinkToFit="1"/>
    </xf>
    <xf numFmtId="2" fontId="0" fillId="34" borderId="236" xfId="0" applyNumberFormat="1" applyFill="1" applyBorder="1" applyAlignment="1">
      <alignment horizontal="left"/>
    </xf>
    <xf numFmtId="2" fontId="92" fillId="34" borderId="17" xfId="0" applyNumberFormat="1" applyFont="1" applyFill="1" applyBorder="1" applyAlignment="1">
      <alignment horizontal="left" vertical="top"/>
    </xf>
    <xf numFmtId="2" fontId="243" fillId="34" borderId="17" xfId="0" applyNumberFormat="1" applyFont="1" applyFill="1" applyBorder="1" applyAlignment="1">
      <alignment horizontal="left" vertical="top"/>
    </xf>
    <xf numFmtId="2" fontId="244" fillId="34" borderId="17" xfId="0" applyNumberFormat="1" applyFont="1" applyFill="1" applyBorder="1" applyAlignment="1">
      <alignment horizontal="left" vertical="top"/>
    </xf>
    <xf numFmtId="2" fontId="90" fillId="34" borderId="102" xfId="0" applyNumberFormat="1" applyFont="1" applyFill="1" applyBorder="1" applyAlignment="1">
      <alignment horizontal="right" vertical="top"/>
    </xf>
    <xf numFmtId="2" fontId="90" fillId="34" borderId="128" xfId="0" applyNumberFormat="1" applyFont="1" applyFill="1" applyBorder="1" applyAlignment="1">
      <alignment horizontal="left" vertical="top"/>
    </xf>
    <xf numFmtId="2" fontId="160" fillId="34" borderId="128" xfId="0" applyNumberFormat="1" applyFont="1" applyFill="1" applyBorder="1" applyAlignment="1">
      <alignment horizontal="left" vertical="top"/>
    </xf>
    <xf numFmtId="2" fontId="235" fillId="34" borderId="36" xfId="0" applyNumberFormat="1" applyFont="1" applyFill="1" applyBorder="1" applyAlignment="1">
      <alignment horizontal="right" vertical="top"/>
    </xf>
    <xf numFmtId="2" fontId="235" fillId="34" borderId="93" xfId="0" applyNumberFormat="1" applyFont="1" applyFill="1" applyBorder="1" applyAlignment="1">
      <alignment horizontal="right" vertical="top"/>
    </xf>
    <xf numFmtId="2" fontId="239" fillId="34" borderId="36" xfId="0" applyNumberFormat="1" applyFont="1" applyFill="1" applyBorder="1" applyAlignment="1">
      <alignment horizontal="right"/>
    </xf>
    <xf numFmtId="2" fontId="235" fillId="34" borderId="0" xfId="0" applyNumberFormat="1" applyFont="1" applyFill="1" applyBorder="1" applyAlignment="1">
      <alignment horizontal="left"/>
    </xf>
    <xf numFmtId="2" fontId="239" fillId="34" borderId="0" xfId="0" applyNumberFormat="1" applyFont="1" applyFill="1" applyBorder="1" applyAlignment="1">
      <alignment horizontal="left"/>
    </xf>
    <xf numFmtId="2" fontId="235" fillId="34" borderId="13" xfId="0" applyNumberFormat="1" applyFont="1" applyFill="1" applyBorder="1" applyAlignment="1">
      <alignment horizontal="left"/>
    </xf>
    <xf numFmtId="2" fontId="235" fillId="34" borderId="93" xfId="0" applyNumberFormat="1" applyFont="1" applyFill="1" applyBorder="1" applyAlignment="1">
      <alignment horizontal="right"/>
    </xf>
    <xf numFmtId="2" fontId="235" fillId="34" borderId="17" xfId="0" applyNumberFormat="1" applyFont="1" applyFill="1" applyBorder="1" applyAlignment="1">
      <alignment horizontal="left"/>
    </xf>
    <xf numFmtId="2" fontId="235" fillId="34" borderId="236" xfId="0" applyNumberFormat="1" applyFont="1" applyFill="1" applyBorder="1" applyAlignment="1">
      <alignment horizontal="left"/>
    </xf>
    <xf numFmtId="2" fontId="90" fillId="34" borderId="93" xfId="0" applyNumberFormat="1" applyFont="1" applyFill="1" applyBorder="1" applyAlignment="1">
      <alignment horizontal="left" vertical="top"/>
    </xf>
    <xf numFmtId="2" fontId="90" fillId="34" borderId="36" xfId="0" applyNumberFormat="1" applyFont="1" applyFill="1" applyBorder="1" applyAlignment="1">
      <alignment horizontal="left" vertical="top"/>
    </xf>
    <xf numFmtId="2" fontId="235" fillId="34" borderId="236" xfId="0" applyNumberFormat="1" applyFont="1" applyFill="1" applyBorder="1" applyAlignment="1">
      <alignment horizontal="left" vertical="top"/>
    </xf>
    <xf numFmtId="0" fontId="235" fillId="0" borderId="0" xfId="0" applyFont="1" applyAlignment="1" applyProtection="1">
      <alignment horizontal="left" vertical="top"/>
      <protection locked="0"/>
    </xf>
    <xf numFmtId="0" fontId="0" fillId="34" borderId="282" xfId="0" applyFill="1" applyBorder="1"/>
    <xf numFmtId="0" fontId="158" fillId="34" borderId="283" xfId="0" applyFont="1" applyFill="1" applyBorder="1" applyAlignment="1">
      <alignment horizontal="center" vertical="center" wrapText="1"/>
    </xf>
    <xf numFmtId="4" fontId="158" fillId="34" borderId="283" xfId="0" applyNumberFormat="1" applyFont="1" applyFill="1" applyBorder="1" applyAlignment="1">
      <alignment horizontal="center" vertical="center" wrapText="1"/>
    </xf>
    <xf numFmtId="4" fontId="158" fillId="34" borderId="284" xfId="0" applyNumberFormat="1" applyFont="1" applyFill="1" applyBorder="1" applyAlignment="1">
      <alignment horizontal="center" vertical="center" wrapText="1"/>
    </xf>
    <xf numFmtId="0" fontId="152" fillId="0" borderId="0" xfId="0" applyFont="1" applyAlignment="1" applyProtection="1">
      <alignment horizontal="left"/>
      <protection locked="0"/>
    </xf>
    <xf numFmtId="0" fontId="113" fillId="0" borderId="0" xfId="0" applyFont="1" applyAlignment="1" applyProtection="1">
      <alignment horizontal="left"/>
      <protection locked="0"/>
    </xf>
    <xf numFmtId="0" fontId="160" fillId="0" borderId="0" xfId="0" applyFont="1" applyProtection="1">
      <protection locked="0"/>
    </xf>
    <xf numFmtId="0" fontId="160" fillId="34" borderId="285" xfId="0" applyFont="1" applyFill="1" applyBorder="1"/>
    <xf numFmtId="0" fontId="113" fillId="34" borderId="287" xfId="0" applyFont="1" applyFill="1" applyBorder="1"/>
    <xf numFmtId="0" fontId="160" fillId="34" borderId="288" xfId="0" applyFont="1" applyFill="1" applyBorder="1"/>
    <xf numFmtId="16" fontId="160" fillId="34" borderId="288" xfId="0" applyNumberFormat="1" applyFont="1" applyFill="1" applyBorder="1"/>
    <xf numFmtId="0" fontId="160" fillId="34" borderId="288" xfId="0" applyFont="1" applyFill="1" applyBorder="1" applyAlignment="1"/>
    <xf numFmtId="0" fontId="160" fillId="34" borderId="285" xfId="0" applyFont="1" applyFill="1" applyBorder="1" applyAlignment="1"/>
    <xf numFmtId="0" fontId="113" fillId="34" borderId="289" xfId="0" applyFont="1" applyFill="1" applyBorder="1"/>
    <xf numFmtId="9" fontId="113" fillId="34" borderId="131" xfId="28" applyNumberFormat="1" applyFont="1" applyFill="1" applyBorder="1" applyAlignment="1" applyProtection="1">
      <alignment horizontal="right" vertical="center" wrapText="1"/>
    </xf>
    <xf numFmtId="9" fontId="113" fillId="34" borderId="132" xfId="28" applyNumberFormat="1" applyFont="1" applyFill="1" applyBorder="1" applyAlignment="1" applyProtection="1">
      <alignment horizontal="right" vertical="center" wrapText="1"/>
    </xf>
    <xf numFmtId="10" fontId="113" fillId="34" borderId="131" xfId="28" applyNumberFormat="1" applyFont="1" applyFill="1" applyBorder="1" applyAlignment="1" applyProtection="1">
      <alignment horizontal="right" vertical="center" wrapText="1"/>
    </xf>
    <xf numFmtId="10" fontId="113" fillId="34" borderId="132" xfId="28" applyNumberFormat="1" applyFont="1" applyFill="1" applyBorder="1" applyAlignment="1" applyProtection="1">
      <alignment horizontal="right" vertical="center" wrapText="1"/>
    </xf>
    <xf numFmtId="10" fontId="113" fillId="34" borderId="133" xfId="28" applyNumberFormat="1" applyFont="1" applyFill="1" applyBorder="1" applyAlignment="1" applyProtection="1">
      <alignment horizontal="right" vertical="center" wrapText="1"/>
    </xf>
    <xf numFmtId="43" fontId="36" fillId="0" borderId="23" xfId="42" applyNumberFormat="1" applyFont="1" applyFill="1" applyBorder="1" applyAlignment="1" applyProtection="1">
      <alignment horizontal="center" vertical="center"/>
      <protection locked="0"/>
    </xf>
    <xf numFmtId="49" fontId="19" fillId="34" borderId="164" xfId="42" applyNumberFormat="1" applyFont="1" applyFill="1" applyBorder="1" applyAlignment="1">
      <alignment horizontal="center" vertical="center"/>
    </xf>
    <xf numFmtId="0" fontId="1" fillId="0" borderId="18" xfId="42" applyFont="1" applyBorder="1" applyProtection="1">
      <protection locked="0"/>
    </xf>
    <xf numFmtId="0" fontId="1" fillId="0" borderId="40" xfId="42" applyFont="1" applyBorder="1" applyProtection="1">
      <protection locked="0"/>
    </xf>
    <xf numFmtId="0" fontId="31" fillId="34" borderId="243" xfId="42" applyFont="1" applyFill="1" applyBorder="1" applyAlignment="1">
      <alignment vertical="center" wrapText="1"/>
    </xf>
    <xf numFmtId="0" fontId="31" fillId="34" borderId="230" xfId="42" applyFont="1" applyFill="1" applyBorder="1" applyAlignment="1">
      <alignment vertical="center" wrapText="1"/>
    </xf>
    <xf numFmtId="43" fontId="1" fillId="27" borderId="79" xfId="42" applyNumberFormat="1" applyFont="1" applyFill="1" applyBorder="1"/>
    <xf numFmtId="43" fontId="87" fillId="0" borderId="23" xfId="28" applyFont="1" applyBorder="1" applyAlignment="1" applyProtection="1">
      <alignment horizontal="left" vertical="center"/>
      <protection locked="0"/>
    </xf>
    <xf numFmtId="0" fontId="1" fillId="34" borderId="23" xfId="0" applyFont="1" applyFill="1" applyBorder="1" applyAlignment="1" applyProtection="1">
      <protection locked="0"/>
    </xf>
    <xf numFmtId="0" fontId="40" fillId="0" borderId="23" xfId="44" applyFont="1" applyBorder="1" applyAlignment="1" applyProtection="1">
      <alignment vertical="center" wrapText="1"/>
      <protection locked="0"/>
    </xf>
    <xf numFmtId="0" fontId="40" fillId="0" borderId="23" xfId="44" applyFont="1" applyFill="1" applyBorder="1" applyAlignment="1" applyProtection="1">
      <alignment vertical="center" wrapText="1"/>
      <protection locked="0"/>
    </xf>
    <xf numFmtId="43" fontId="40" fillId="0" borderId="59" xfId="44" applyNumberFormat="1" applyFont="1" applyBorder="1" applyAlignment="1" applyProtection="1">
      <alignment vertical="center" wrapText="1"/>
      <protection locked="0"/>
    </xf>
    <xf numFmtId="0" fontId="40" fillId="0" borderId="113" xfId="44" applyFont="1" applyBorder="1" applyAlignment="1" applyProtection="1">
      <alignment vertical="center" wrapText="1"/>
      <protection locked="0"/>
    </xf>
    <xf numFmtId="43" fontId="40" fillId="0" borderId="235" xfId="44" applyNumberFormat="1" applyFont="1" applyBorder="1" applyAlignment="1" applyProtection="1">
      <alignment vertical="center" wrapText="1"/>
      <protection locked="0"/>
    </xf>
    <xf numFmtId="0" fontId="40" fillId="0" borderId="139" xfId="44" applyFont="1" applyBorder="1" applyAlignment="1" applyProtection="1">
      <alignment vertical="center" wrapText="1"/>
      <protection locked="0"/>
    </xf>
    <xf numFmtId="0" fontId="40" fillId="0" borderId="24" xfId="44" applyFont="1" applyBorder="1" applyAlignment="1" applyProtection="1">
      <alignment vertical="center" wrapText="1"/>
      <protection locked="0"/>
    </xf>
    <xf numFmtId="168" fontId="40" fillId="0" borderId="23" xfId="44" applyNumberFormat="1" applyFont="1" applyBorder="1" applyAlignment="1" applyProtection="1">
      <alignment vertical="center" wrapText="1"/>
      <protection locked="0"/>
    </xf>
    <xf numFmtId="168" fontId="40" fillId="0" borderId="219" xfId="44" applyNumberFormat="1" applyFont="1" applyBorder="1" applyAlignment="1" applyProtection="1">
      <alignment vertical="center" wrapText="1"/>
      <protection locked="0"/>
    </xf>
    <xf numFmtId="0" fontId="40" fillId="0" borderId="0" xfId="44" applyFont="1" applyAlignment="1" applyProtection="1">
      <alignment vertical="center"/>
      <protection locked="0"/>
    </xf>
    <xf numFmtId="0" fontId="40" fillId="0" borderId="0" xfId="44" applyFont="1" applyAlignment="1" applyProtection="1">
      <alignment vertical="center" wrapText="1"/>
      <protection locked="0"/>
    </xf>
    <xf numFmtId="4" fontId="111" fillId="34" borderId="286" xfId="0" applyNumberFormat="1" applyFont="1" applyFill="1" applyBorder="1" applyAlignment="1">
      <alignment horizontal="right"/>
    </xf>
    <xf numFmtId="4" fontId="111" fillId="34" borderId="144" xfId="0" applyNumberFormat="1" applyFont="1" applyFill="1" applyBorder="1" applyAlignment="1">
      <alignment horizontal="right"/>
    </xf>
    <xf numFmtId="43" fontId="23" fillId="25" borderId="293" xfId="0" applyNumberFormat="1" applyFont="1" applyFill="1" applyBorder="1" applyAlignment="1">
      <alignment vertical="center"/>
    </xf>
    <xf numFmtId="43" fontId="23" fillId="25" borderId="84" xfId="0" applyNumberFormat="1" applyFont="1" applyFill="1" applyBorder="1" applyAlignment="1">
      <alignment vertical="center"/>
    </xf>
    <xf numFmtId="0" fontId="158" fillId="0" borderId="0" xfId="0" applyFont="1" applyFill="1" applyBorder="1" applyAlignment="1" applyProtection="1">
      <alignment vertical="center"/>
      <protection locked="0"/>
    </xf>
    <xf numFmtId="0" fontId="90" fillId="0" borderId="0" xfId="0" applyFont="1" applyFill="1" applyBorder="1" applyAlignment="1" applyProtection="1">
      <alignment vertical="center"/>
      <protection locked="0"/>
    </xf>
    <xf numFmtId="49" fontId="1" fillId="0" borderId="23" xfId="0" applyNumberFormat="1" applyFont="1" applyBorder="1" applyProtection="1">
      <protection locked="0"/>
    </xf>
    <xf numFmtId="4" fontId="111" fillId="34" borderId="286" xfId="0" applyNumberFormat="1" applyFont="1" applyFill="1" applyBorder="1" applyAlignment="1">
      <alignment horizontal="center"/>
    </xf>
    <xf numFmtId="0" fontId="54" fillId="35" borderId="221" xfId="0" applyFont="1" applyFill="1" applyBorder="1" applyProtection="1"/>
    <xf numFmtId="2" fontId="235" fillId="34" borderId="0" xfId="0" applyNumberFormat="1" applyFont="1" applyFill="1" applyBorder="1" applyAlignment="1">
      <alignment horizontal="left" vertical="top"/>
    </xf>
    <xf numFmtId="0" fontId="37" fillId="0" borderId="0" xfId="0" applyFont="1" applyProtection="1">
      <protection locked="0"/>
    </xf>
    <xf numFmtId="0" fontId="54" fillId="0" borderId="0" xfId="0" applyFont="1" applyProtection="1">
      <protection locked="0"/>
    </xf>
    <xf numFmtId="0" fontId="54" fillId="0" borderId="0" xfId="0" applyFont="1" applyAlignment="1" applyProtection="1">
      <alignment vertical="center"/>
      <protection locked="0"/>
    </xf>
    <xf numFmtId="0" fontId="185" fillId="0" borderId="0" xfId="0" applyFont="1" applyProtection="1">
      <protection locked="0"/>
    </xf>
    <xf numFmtId="0" fontId="37" fillId="0" borderId="73" xfId="0" applyFont="1" applyBorder="1" applyProtection="1">
      <protection locked="0"/>
    </xf>
    <xf numFmtId="4" fontId="90" fillId="0" borderId="128" xfId="0" applyNumberFormat="1" applyFont="1" applyBorder="1" applyAlignment="1">
      <alignment horizontal="right" vertical="top" wrapText="1"/>
    </xf>
    <xf numFmtId="4" fontId="90" fillId="0" borderId="17" xfId="0" applyNumberFormat="1" applyFont="1" applyFill="1" applyBorder="1" applyAlignment="1">
      <alignment horizontal="right" vertical="top" wrapText="1"/>
    </xf>
    <xf numFmtId="4" fontId="155" fillId="0" borderId="128" xfId="0" applyNumberFormat="1" applyFont="1" applyBorder="1" applyAlignment="1">
      <alignment horizontal="right" vertical="top" wrapText="1"/>
    </xf>
    <xf numFmtId="4" fontId="155" fillId="0" borderId="17" xfId="0" applyNumberFormat="1" applyFont="1" applyFill="1" applyBorder="1" applyAlignment="1">
      <alignment horizontal="right" vertical="top" wrapText="1"/>
    </xf>
    <xf numFmtId="0" fontId="235" fillId="34" borderId="17" xfId="0" applyNumberFormat="1" applyFont="1" applyFill="1" applyBorder="1" applyAlignment="1">
      <alignment horizontal="left" vertical="top"/>
    </xf>
    <xf numFmtId="0" fontId="90" fillId="34" borderId="17" xfId="0" applyNumberFormat="1" applyFont="1" applyFill="1" applyBorder="1" applyAlignment="1">
      <alignment horizontal="left" vertical="top"/>
    </xf>
    <xf numFmtId="0" fontId="90" fillId="34" borderId="0" xfId="0" applyNumberFormat="1" applyFont="1" applyFill="1" applyBorder="1" applyAlignment="1">
      <alignment horizontal="left" vertical="top"/>
    </xf>
    <xf numFmtId="0" fontId="152" fillId="0" borderId="0" xfId="0" quotePrefix="1" applyFont="1" applyFill="1" applyBorder="1" applyAlignment="1" applyProtection="1">
      <alignment horizontal="center" vertical="center"/>
      <protection locked="0"/>
    </xf>
    <xf numFmtId="2" fontId="235" fillId="34" borderId="0" xfId="0" applyNumberFormat="1" applyFont="1" applyFill="1" applyBorder="1" applyAlignment="1">
      <alignment horizontal="left" vertical="top"/>
    </xf>
    <xf numFmtId="0" fontId="73" fillId="0" borderId="0" xfId="0" applyFont="1" applyAlignment="1" applyProtection="1">
      <alignment horizontal="center" vertical="top"/>
      <protection locked="0"/>
    </xf>
    <xf numFmtId="0" fontId="52" fillId="0" borderId="0" xfId="44" applyFont="1" applyAlignment="1" applyProtection="1">
      <alignment horizontal="center" vertical="center"/>
      <protection locked="0"/>
    </xf>
    <xf numFmtId="0" fontId="0" fillId="0" borderId="0" xfId="0" applyAlignment="1">
      <alignment horizontal="center" vertical="center"/>
    </xf>
    <xf numFmtId="0" fontId="28" fillId="0" borderId="0" xfId="0" applyFont="1" applyAlignment="1" applyProtection="1">
      <alignment horizontal="center" vertical="center"/>
      <protection locked="0"/>
    </xf>
    <xf numFmtId="0" fontId="56" fillId="0" borderId="0" xfId="44" applyFont="1" applyAlignment="1" applyProtection="1">
      <alignment horizontal="center" vertical="center"/>
      <protection locked="0"/>
    </xf>
    <xf numFmtId="0" fontId="56" fillId="0" borderId="0" xfId="44" applyFont="1" applyAlignment="1" applyProtection="1">
      <alignment horizontal="center" vertical="center" wrapText="1"/>
      <protection locked="0"/>
    </xf>
    <xf numFmtId="0" fontId="1" fillId="0" borderId="0" xfId="0" applyFont="1" applyAlignment="1" applyProtection="1">
      <alignment horizontal="center"/>
      <protection locked="0"/>
    </xf>
    <xf numFmtId="0" fontId="0" fillId="0" borderId="0" xfId="0" applyBorder="1" applyProtection="1">
      <protection locked="0"/>
    </xf>
    <xf numFmtId="0" fontId="33" fillId="0" borderId="0" xfId="0" applyFont="1" applyAlignment="1" applyProtection="1">
      <alignment vertical="center"/>
      <protection locked="0"/>
    </xf>
    <xf numFmtId="0" fontId="0" fillId="0" borderId="0" xfId="0" applyAlignment="1" applyProtection="1">
      <alignment horizontal="center" vertical="center"/>
      <protection locked="0"/>
    </xf>
    <xf numFmtId="0" fontId="33" fillId="0" borderId="0" xfId="0" applyFont="1" applyProtection="1">
      <protection locked="0"/>
    </xf>
    <xf numFmtId="0" fontId="23" fillId="0" borderId="0" xfId="0" applyFont="1" applyAlignment="1" applyProtection="1">
      <alignment horizontal="center" vertical="center"/>
      <protection locked="0"/>
    </xf>
    <xf numFmtId="0" fontId="234" fillId="0" borderId="0" xfId="0" applyFont="1" applyAlignment="1" applyProtection="1">
      <alignment horizontal="left" vertical="top"/>
      <protection locked="0"/>
    </xf>
    <xf numFmtId="0" fontId="0" fillId="0" borderId="0" xfId="0" applyAlignment="1" applyProtection="1">
      <protection locked="0"/>
    </xf>
    <xf numFmtId="0" fontId="239" fillId="0" borderId="0" xfId="0" applyFont="1" applyAlignment="1" applyProtection="1">
      <alignment horizontal="justify"/>
      <protection locked="0"/>
    </xf>
    <xf numFmtId="0" fontId="239" fillId="0" borderId="0" xfId="0" applyFont="1" applyAlignment="1" applyProtection="1">
      <alignment horizontal="left" vertical="top" wrapText="1"/>
      <protection locked="0"/>
    </xf>
    <xf numFmtId="0" fontId="262" fillId="0" borderId="0" xfId="0" applyFont="1" applyAlignment="1" applyProtection="1">
      <alignment vertical="top"/>
      <protection locked="0"/>
    </xf>
    <xf numFmtId="0" fontId="262" fillId="0" borderId="0" xfId="0" applyFont="1" applyAlignment="1" applyProtection="1">
      <alignment horizontal="center" vertical="top"/>
      <protection locked="0"/>
    </xf>
    <xf numFmtId="0" fontId="262" fillId="0" borderId="0" xfId="0" applyFont="1" applyAlignment="1" applyProtection="1">
      <alignment horizontal="left" indent="13"/>
      <protection locked="0"/>
    </xf>
    <xf numFmtId="0" fontId="109" fillId="0" borderId="0" xfId="0" applyFont="1" applyAlignment="1" applyProtection="1">
      <alignment horizontal="center" vertical="top"/>
      <protection locked="0"/>
    </xf>
    <xf numFmtId="0" fontId="109" fillId="0" borderId="0" xfId="0" applyFont="1" applyAlignment="1" applyProtection="1">
      <alignment horizontal="left" vertical="top" indent="13"/>
      <protection locked="0"/>
    </xf>
    <xf numFmtId="0" fontId="157" fillId="0" borderId="0" xfId="0" applyFont="1" applyAlignment="1" applyProtection="1">
      <alignment vertical="top"/>
      <protection locked="0"/>
    </xf>
    <xf numFmtId="0" fontId="157" fillId="0" borderId="0" xfId="0" applyFont="1" applyAlignment="1" applyProtection="1">
      <alignment horizontal="center" vertical="top"/>
      <protection locked="0"/>
    </xf>
    <xf numFmtId="0" fontId="157" fillId="0" borderId="0" xfId="0" applyFont="1" applyAlignment="1" applyProtection="1">
      <alignment horizontal="left" vertical="top" indent="3"/>
      <protection locked="0"/>
    </xf>
    <xf numFmtId="0" fontId="157" fillId="0" borderId="0" xfId="0" applyFont="1" applyAlignment="1" applyProtection="1">
      <alignment horizontal="left" vertical="top"/>
      <protection locked="0"/>
    </xf>
    <xf numFmtId="0" fontId="263" fillId="0" borderId="0" xfId="0" applyFont="1" applyAlignment="1" applyProtection="1">
      <alignment horizontal="center"/>
      <protection locked="0"/>
    </xf>
    <xf numFmtId="0" fontId="23" fillId="0" borderId="0" xfId="0" applyFont="1" applyAlignment="1" applyProtection="1">
      <alignment horizontal="center"/>
      <protection locked="0"/>
    </xf>
    <xf numFmtId="0" fontId="0" fillId="0" borderId="0" xfId="0"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indent="2"/>
      <protection locked="0"/>
    </xf>
    <xf numFmtId="0" fontId="235" fillId="0" borderId="0" xfId="0" applyFont="1" applyProtection="1">
      <protection locked="0"/>
    </xf>
    <xf numFmtId="0" fontId="269" fillId="0" borderId="0" xfId="0" applyFont="1" applyAlignment="1" applyProtection="1">
      <alignment horizontal="center"/>
      <protection locked="0"/>
    </xf>
    <xf numFmtId="4" fontId="0" fillId="0" borderId="0" xfId="0" applyNumberFormat="1" applyProtection="1">
      <protection locked="0"/>
    </xf>
    <xf numFmtId="0" fontId="160" fillId="0" borderId="0" xfId="0" applyFont="1" applyAlignment="1" applyProtection="1">
      <alignment horizontal="right"/>
      <protection locked="0"/>
    </xf>
    <xf numFmtId="4" fontId="113" fillId="0" borderId="0" xfId="0" applyNumberFormat="1" applyFont="1" applyProtection="1">
      <protection locked="0"/>
    </xf>
    <xf numFmtId="0" fontId="0" fillId="0" borderId="0" xfId="0" applyAlignment="1" applyProtection="1">
      <alignment horizontal="right"/>
      <protection locked="0"/>
    </xf>
    <xf numFmtId="4" fontId="0" fillId="0" borderId="0" xfId="0" applyNumberFormat="1" applyAlignment="1" applyProtection="1">
      <alignment horizontal="right"/>
      <protection locked="0"/>
    </xf>
    <xf numFmtId="0" fontId="158" fillId="0" borderId="0" xfId="0" applyFont="1" applyBorder="1" applyAlignment="1" applyProtection="1">
      <alignment horizontal="center"/>
      <protection locked="0"/>
    </xf>
    <xf numFmtId="0" fontId="158" fillId="0" borderId="0" xfId="0" applyFont="1" applyBorder="1" applyAlignment="1" applyProtection="1">
      <protection locked="0"/>
    </xf>
    <xf numFmtId="0" fontId="157" fillId="0" borderId="0" xfId="0" applyFont="1" applyBorder="1" applyAlignment="1" applyProtection="1">
      <alignment horizontal="center"/>
      <protection locked="0"/>
    </xf>
    <xf numFmtId="0" fontId="36" fillId="0" borderId="0" xfId="0" applyFont="1" applyAlignment="1" applyProtection="1">
      <alignment horizontal="center"/>
      <protection locked="0"/>
    </xf>
    <xf numFmtId="0" fontId="113" fillId="0" borderId="0" xfId="0" applyFont="1" applyBorder="1" applyAlignment="1" applyProtection="1">
      <alignment horizontal="center"/>
      <protection locked="0"/>
    </xf>
    <xf numFmtId="0" fontId="113" fillId="0" borderId="0" xfId="0" applyFont="1" applyAlignment="1" applyProtection="1">
      <alignment horizontal="center"/>
      <protection locked="0"/>
    </xf>
    <xf numFmtId="4" fontId="157" fillId="0" borderId="0" xfId="0" applyNumberFormat="1" applyFont="1" applyBorder="1" applyAlignment="1" applyProtection="1">
      <alignment horizontal="center"/>
      <protection locked="0"/>
    </xf>
    <xf numFmtId="0" fontId="171" fillId="34" borderId="0" xfId="0" applyFont="1" applyFill="1" applyProtection="1">
      <protection locked="0"/>
    </xf>
    <xf numFmtId="0" fontId="59" fillId="34" borderId="0" xfId="0" applyFont="1" applyFill="1" applyProtection="1">
      <protection locked="0"/>
    </xf>
    <xf numFmtId="0" fontId="0" fillId="34" borderId="0" xfId="0" applyFill="1" applyProtection="1">
      <protection locked="0"/>
    </xf>
    <xf numFmtId="0" fontId="54" fillId="34" borderId="0" xfId="0" applyFont="1" applyFill="1" applyProtection="1">
      <protection locked="0"/>
    </xf>
    <xf numFmtId="0" fontId="58" fillId="34" borderId="0" xfId="0" applyFont="1" applyFill="1" applyProtection="1">
      <protection locked="0"/>
    </xf>
    <xf numFmtId="0" fontId="90" fillId="0" borderId="0" xfId="0" applyFont="1" applyProtection="1">
      <protection locked="0"/>
    </xf>
    <xf numFmtId="2" fontId="91" fillId="32" borderId="0" xfId="0" applyNumberFormat="1" applyFont="1" applyFill="1" applyAlignment="1" applyProtection="1">
      <alignment horizontal="left" vertical="top"/>
      <protection locked="0"/>
    </xf>
    <xf numFmtId="2" fontId="43" fillId="0" borderId="0" xfId="0" applyNumberFormat="1" applyFont="1" applyAlignment="1" applyProtection="1">
      <alignment horizontal="center" vertical="top" wrapText="1"/>
      <protection locked="0"/>
    </xf>
    <xf numFmtId="2" fontId="43" fillId="0" borderId="0" xfId="0" applyNumberFormat="1" applyFont="1" applyAlignment="1" applyProtection="1">
      <alignment vertical="top" wrapText="1"/>
      <protection locked="0"/>
    </xf>
    <xf numFmtId="2" fontId="92" fillId="0" borderId="0" xfId="0" applyNumberFormat="1" applyFont="1" applyAlignment="1" applyProtection="1">
      <alignment horizontal="left" vertical="center"/>
      <protection locked="0"/>
    </xf>
    <xf numFmtId="0" fontId="92" fillId="0" borderId="0" xfId="0" applyFont="1" applyAlignment="1" applyProtection="1">
      <alignment vertical="top"/>
      <protection locked="0"/>
    </xf>
    <xf numFmtId="0" fontId="19" fillId="0" borderId="0" xfId="0" applyFont="1" applyAlignment="1" applyProtection="1">
      <alignment vertical="top"/>
      <protection locked="0"/>
    </xf>
    <xf numFmtId="2" fontId="43" fillId="0" borderId="0" xfId="0" applyNumberFormat="1" applyFont="1" applyAlignment="1" applyProtection="1">
      <alignment horizontal="center" vertical="center" wrapText="1"/>
      <protection locked="0"/>
    </xf>
    <xf numFmtId="0" fontId="43" fillId="0" borderId="0" xfId="0" applyFont="1" applyAlignment="1" applyProtection="1">
      <alignment horizontal="left"/>
      <protection locked="0"/>
    </xf>
    <xf numFmtId="0" fontId="92" fillId="0" borderId="0" xfId="0" applyFont="1" applyProtection="1">
      <protection locked="0"/>
    </xf>
    <xf numFmtId="2" fontId="92" fillId="0" borderId="0" xfId="0" applyNumberFormat="1" applyFont="1" applyAlignment="1" applyProtection="1">
      <alignment horizontal="center" vertical="center"/>
      <protection locked="0"/>
    </xf>
    <xf numFmtId="0" fontId="70" fillId="0" borderId="44" xfId="0" applyFont="1" applyBorder="1" applyAlignment="1" applyProtection="1">
      <alignment vertical="center"/>
      <protection locked="0"/>
    </xf>
    <xf numFmtId="43" fontId="0" fillId="0" borderId="44" xfId="0" applyNumberFormat="1" applyBorder="1" applyProtection="1">
      <protection locked="0"/>
    </xf>
    <xf numFmtId="43" fontId="25" fillId="0" borderId="0" xfId="28" applyNumberFormat="1" applyFont="1" applyAlignment="1" applyProtection="1">
      <alignment horizontal="center"/>
      <protection locked="0"/>
    </xf>
    <xf numFmtId="43" fontId="25" fillId="0" borderId="0" xfId="28" applyNumberFormat="1" applyFont="1" applyProtection="1">
      <protection locked="0"/>
    </xf>
    <xf numFmtId="0" fontId="25" fillId="0" borderId="0" xfId="0" applyFont="1" applyProtection="1">
      <protection locked="0"/>
    </xf>
    <xf numFmtId="9" fontId="25" fillId="0" borderId="0" xfId="48" applyFont="1" applyAlignment="1" applyProtection="1">
      <alignment horizontal="center"/>
      <protection locked="0"/>
    </xf>
    <xf numFmtId="0" fontId="55" fillId="0" borderId="44" xfId="44" applyFont="1" applyBorder="1" applyAlignment="1" applyProtection="1">
      <alignment horizontal="right"/>
      <protection locked="0"/>
    </xf>
    <xf numFmtId="0" fontId="22" fillId="0" borderId="0" xfId="42" applyFont="1" applyFill="1" applyBorder="1" applyAlignment="1" applyProtection="1">
      <alignment vertical="center"/>
      <protection locked="0"/>
    </xf>
    <xf numFmtId="0" fontId="109" fillId="0" borderId="0" xfId="42" applyFont="1" applyFill="1" applyBorder="1" applyAlignment="1" applyProtection="1">
      <alignment vertical="center"/>
      <protection locked="0"/>
    </xf>
    <xf numFmtId="0" fontId="22" fillId="0" borderId="0" xfId="42" applyFont="1" applyFill="1" applyAlignment="1" applyProtection="1">
      <alignment vertical="center"/>
      <protection locked="0"/>
    </xf>
    <xf numFmtId="0" fontId="47" fillId="0" borderId="0" xfId="0" applyFont="1" applyBorder="1" applyAlignment="1" applyProtection="1">
      <alignment vertical="center" wrapText="1"/>
      <protection locked="0"/>
    </xf>
    <xf numFmtId="0" fontId="110" fillId="0" borderId="0" xfId="0" applyFont="1" applyAlignment="1" applyProtection="1">
      <alignment horizontal="left" vertical="center" wrapText="1"/>
      <protection locked="0"/>
    </xf>
    <xf numFmtId="0" fontId="36" fillId="35" borderId="0" xfId="42" applyFont="1" applyFill="1" applyAlignment="1" applyProtection="1">
      <alignment horizontal="center" vertical="center" wrapText="1"/>
      <protection locked="0"/>
    </xf>
    <xf numFmtId="0" fontId="112" fillId="35" borderId="0" xfId="0" applyFont="1" applyFill="1" applyBorder="1" applyAlignment="1" applyProtection="1">
      <alignment vertical="center" wrapText="1"/>
      <protection locked="0"/>
    </xf>
    <xf numFmtId="0" fontId="112" fillId="0" borderId="0" xfId="0" applyFont="1" applyBorder="1" applyAlignment="1" applyProtection="1">
      <alignment horizontal="center" vertical="center" wrapText="1"/>
      <protection locked="0"/>
    </xf>
    <xf numFmtId="0" fontId="90" fillId="0" borderId="0" xfId="0" applyFont="1" applyAlignment="1" applyProtection="1">
      <alignment vertical="center"/>
      <protection locked="0"/>
    </xf>
    <xf numFmtId="0" fontId="113" fillId="35" borderId="0" xfId="42" applyFont="1" applyFill="1" applyBorder="1" applyAlignment="1" applyProtection="1">
      <alignment horizontal="right" vertical="center"/>
      <protection locked="0"/>
    </xf>
    <xf numFmtId="0" fontId="43" fillId="35" borderId="0" xfId="44" applyFont="1" applyFill="1" applyAlignment="1" applyProtection="1">
      <alignment horizontal="left"/>
      <protection locked="0"/>
    </xf>
    <xf numFmtId="0" fontId="56" fillId="35" borderId="0" xfId="44" applyFont="1" applyFill="1" applyAlignment="1" applyProtection="1">
      <alignment vertical="center"/>
      <protection locked="0"/>
    </xf>
    <xf numFmtId="0" fontId="113" fillId="0" borderId="0" xfId="42" applyFont="1" applyFill="1" applyBorder="1" applyAlignment="1" applyProtection="1">
      <alignment vertical="center"/>
      <protection locked="0"/>
    </xf>
    <xf numFmtId="0" fontId="36" fillId="35" borderId="0" xfId="42" applyFont="1" applyFill="1" applyBorder="1" applyAlignment="1" applyProtection="1">
      <alignment horizontal="center" vertical="center"/>
      <protection locked="0"/>
    </xf>
    <xf numFmtId="0" fontId="36" fillId="35" borderId="0" xfId="42" applyNumberFormat="1" applyFont="1" applyFill="1" applyBorder="1" applyAlignment="1" applyProtection="1">
      <alignment vertical="center"/>
      <protection locked="0"/>
    </xf>
    <xf numFmtId="3" fontId="113" fillId="0" borderId="0" xfId="42" applyNumberFormat="1" applyFont="1" applyFill="1" applyBorder="1" applyAlignment="1" applyProtection="1">
      <alignment horizontal="center" vertical="center"/>
      <protection locked="0"/>
    </xf>
    <xf numFmtId="44" fontId="36" fillId="0" borderId="0" xfId="32" applyFont="1" applyFill="1" applyBorder="1" applyAlignment="1" applyProtection="1">
      <alignment vertical="center"/>
      <protection locked="0"/>
    </xf>
    <xf numFmtId="0" fontId="57" fillId="35" borderId="0" xfId="44" applyFont="1" applyFill="1" applyAlignment="1" applyProtection="1">
      <alignment horizontal="left"/>
      <protection locked="0"/>
    </xf>
    <xf numFmtId="0" fontId="91" fillId="0" borderId="0" xfId="0" applyFont="1" applyAlignment="1" applyProtection="1">
      <alignment vertical="center"/>
      <protection locked="0"/>
    </xf>
    <xf numFmtId="0" fontId="47" fillId="0" borderId="0" xfId="0" applyFont="1" applyAlignment="1" applyProtection="1">
      <alignment vertical="center"/>
      <protection locked="0"/>
    </xf>
    <xf numFmtId="0" fontId="116" fillId="0" borderId="0" xfId="0" applyFont="1" applyAlignment="1" applyProtection="1">
      <alignment vertical="center"/>
      <protection locked="0"/>
    </xf>
    <xf numFmtId="0" fontId="109" fillId="0" borderId="0" xfId="0" applyFont="1" applyAlignment="1" applyProtection="1">
      <alignment vertical="center"/>
      <protection locked="0"/>
    </xf>
    <xf numFmtId="0" fontId="99" fillId="0" borderId="0" xfId="0" applyFont="1" applyAlignment="1" applyProtection="1">
      <alignment vertical="center"/>
      <protection locked="0"/>
    </xf>
    <xf numFmtId="0" fontId="113" fillId="0" borderId="0" xfId="0" applyFont="1" applyAlignment="1" applyProtection="1">
      <alignment vertical="center"/>
      <protection locked="0"/>
    </xf>
    <xf numFmtId="0" fontId="22" fillId="0" borderId="0" xfId="42" applyFont="1" applyFill="1" applyAlignment="1" applyProtection="1">
      <alignment horizontal="center" vertical="center"/>
      <protection locked="0"/>
    </xf>
    <xf numFmtId="0" fontId="23" fillId="0" borderId="0" xfId="42" applyFont="1" applyFill="1" applyAlignment="1" applyProtection="1">
      <alignment vertical="center"/>
      <protection locked="0"/>
    </xf>
    <xf numFmtId="0" fontId="23" fillId="0" borderId="0" xfId="42" applyFont="1" applyFill="1" applyAlignment="1" applyProtection="1">
      <alignment horizontal="center" vertical="center"/>
      <protection locked="0"/>
    </xf>
    <xf numFmtId="0" fontId="73" fillId="0" borderId="0" xfId="42" applyFont="1" applyAlignment="1" applyProtection="1">
      <alignment vertical="top"/>
      <protection locked="0"/>
    </xf>
    <xf numFmtId="0" fontId="42" fillId="35" borderId="0" xfId="42" applyFont="1" applyFill="1" applyAlignment="1" applyProtection="1">
      <alignment horizontal="left" vertical="center"/>
      <protection locked="0"/>
    </xf>
    <xf numFmtId="2" fontId="91" fillId="32" borderId="0" xfId="42" applyNumberFormat="1" applyFont="1" applyFill="1" applyAlignment="1" applyProtection="1">
      <alignment horizontal="left" vertical="top"/>
      <protection locked="0"/>
    </xf>
    <xf numFmtId="0" fontId="36" fillId="35" borderId="0" xfId="42" applyFont="1" applyFill="1" applyProtection="1">
      <protection locked="0"/>
    </xf>
    <xf numFmtId="2" fontId="92" fillId="0" borderId="0" xfId="42" applyNumberFormat="1" applyFont="1" applyAlignment="1" applyProtection="1">
      <alignment horizontal="left" vertical="top"/>
      <protection locked="0"/>
    </xf>
    <xf numFmtId="0" fontId="36" fillId="0" borderId="0" xfId="42" applyFont="1" applyProtection="1">
      <protection locked="0"/>
    </xf>
    <xf numFmtId="0" fontId="1" fillId="35" borderId="0" xfId="42" applyFont="1" applyFill="1" applyProtection="1">
      <protection locked="0"/>
    </xf>
    <xf numFmtId="0" fontId="87" fillId="0" borderId="0" xfId="42" applyFont="1" applyAlignment="1" applyProtection="1">
      <alignment horizontal="left" vertical="top"/>
      <protection locked="0"/>
    </xf>
    <xf numFmtId="0" fontId="19" fillId="0" borderId="0" xfId="42" applyFont="1" applyAlignment="1" applyProtection="1">
      <alignment horizontal="center"/>
      <protection locked="0"/>
    </xf>
    <xf numFmtId="0" fontId="19" fillId="0" borderId="0" xfId="42" applyFont="1" applyProtection="1">
      <protection locked="0"/>
    </xf>
    <xf numFmtId="0" fontId="43" fillId="35" borderId="0" xfId="42" applyFont="1" applyFill="1" applyAlignment="1" applyProtection="1">
      <alignment horizontal="right"/>
      <protection locked="0"/>
    </xf>
    <xf numFmtId="0" fontId="43" fillId="35" borderId="0" xfId="42" applyFont="1" applyFill="1" applyAlignment="1" applyProtection="1">
      <alignment horizontal="center"/>
      <protection locked="0"/>
    </xf>
    <xf numFmtId="0" fontId="43" fillId="0" borderId="0" xfId="42" applyFont="1" applyAlignment="1" applyProtection="1">
      <alignment horizontal="center"/>
      <protection locked="0"/>
    </xf>
    <xf numFmtId="0" fontId="43" fillId="0" borderId="0" xfId="42" applyFont="1" applyAlignment="1" applyProtection="1">
      <protection locked="0"/>
    </xf>
    <xf numFmtId="0" fontId="73" fillId="0" borderId="0" xfId="42" applyFont="1" applyAlignment="1" applyProtection="1">
      <alignment horizontal="left" vertical="center"/>
      <protection locked="0"/>
    </xf>
    <xf numFmtId="0" fontId="21" fillId="0" borderId="0" xfId="42" applyFont="1" applyAlignment="1" applyProtection="1">
      <alignment horizontal="right" vertical="center"/>
      <protection locked="0"/>
    </xf>
    <xf numFmtId="0" fontId="21" fillId="0" borderId="0" xfId="42" applyFont="1" applyAlignment="1" applyProtection="1">
      <alignment horizontal="left" vertical="center"/>
      <protection locked="0"/>
    </xf>
    <xf numFmtId="0" fontId="1" fillId="0" borderId="0" xfId="42" applyFont="1" applyAlignment="1" applyProtection="1">
      <alignment horizontal="center" vertical="center"/>
      <protection locked="0"/>
    </xf>
    <xf numFmtId="0" fontId="1" fillId="0" borderId="0" xfId="42" applyFont="1" applyAlignment="1" applyProtection="1">
      <alignment vertical="center"/>
      <protection locked="0"/>
    </xf>
    <xf numFmtId="0" fontId="19" fillId="35" borderId="0" xfId="42" applyFont="1" applyFill="1" applyAlignment="1" applyProtection="1">
      <alignment horizontal="right" vertical="center"/>
      <protection locked="0"/>
    </xf>
    <xf numFmtId="0" fontId="19" fillId="35" borderId="0" xfId="42" applyFont="1" applyFill="1" applyAlignment="1" applyProtection="1">
      <alignment vertical="center"/>
      <protection locked="0"/>
    </xf>
    <xf numFmtId="0" fontId="45" fillId="0" borderId="0" xfId="42" applyFont="1" applyFill="1" applyBorder="1" applyAlignment="1" applyProtection="1">
      <alignment vertical="center"/>
      <protection locked="0"/>
    </xf>
    <xf numFmtId="0" fontId="46" fillId="0" borderId="0" xfId="42" applyFont="1" applyProtection="1">
      <protection locked="0"/>
    </xf>
    <xf numFmtId="0" fontId="47" fillId="0" borderId="0" xfId="42" applyFont="1" applyAlignment="1" applyProtection="1">
      <protection locked="0"/>
    </xf>
    <xf numFmtId="0" fontId="47" fillId="0" borderId="0" xfId="42" applyFont="1" applyAlignment="1" applyProtection="1">
      <alignment horizontal="center"/>
      <protection locked="0"/>
    </xf>
    <xf numFmtId="0" fontId="1" fillId="0" borderId="0" xfId="42" applyFont="1" applyAlignment="1" applyProtection="1">
      <alignment horizontal="center"/>
      <protection locked="0"/>
    </xf>
    <xf numFmtId="0" fontId="1" fillId="0" borderId="0" xfId="42" applyFont="1" applyAlignment="1" applyProtection="1">
      <alignment horizontal="left" vertical="center"/>
      <protection locked="0"/>
    </xf>
    <xf numFmtId="0" fontId="1" fillId="0" borderId="0" xfId="42" applyFont="1" applyAlignment="1" applyProtection="1">
      <protection locked="0"/>
    </xf>
    <xf numFmtId="0" fontId="70" fillId="0" borderId="63" xfId="0" applyFont="1" applyBorder="1" applyAlignment="1" applyProtection="1">
      <alignment vertical="center"/>
      <protection locked="0"/>
    </xf>
    <xf numFmtId="0" fontId="73" fillId="0" borderId="0" xfId="0" applyFont="1" applyAlignment="1" applyProtection="1">
      <alignment vertical="top"/>
      <protection locked="0"/>
    </xf>
    <xf numFmtId="0" fontId="191" fillId="0" borderId="0" xfId="0" applyFont="1" applyAlignment="1" applyProtection="1">
      <alignment horizontal="left" vertical="top"/>
      <protection locked="0"/>
    </xf>
    <xf numFmtId="0" fontId="42" fillId="35" borderId="0" xfId="0" applyFont="1" applyFill="1" applyAlignment="1" applyProtection="1">
      <protection locked="0"/>
    </xf>
    <xf numFmtId="0" fontId="22" fillId="35" borderId="0" xfId="0" applyFont="1" applyFill="1" applyProtection="1">
      <protection locked="0"/>
    </xf>
    <xf numFmtId="2" fontId="92" fillId="0" borderId="0" xfId="0" applyNumberFormat="1" applyFont="1" applyAlignment="1" applyProtection="1">
      <alignment horizontal="left" vertical="top"/>
      <protection locked="0"/>
    </xf>
    <xf numFmtId="0" fontId="87" fillId="35" borderId="0" xfId="0" applyFont="1" applyFill="1" applyAlignment="1" applyProtection="1">
      <alignment horizontal="right"/>
      <protection locked="0"/>
    </xf>
    <xf numFmtId="0" fontId="70" fillId="0" borderId="0" xfId="0" applyFont="1" applyAlignment="1" applyProtection="1">
      <alignment horizontal="center"/>
      <protection locked="0"/>
    </xf>
    <xf numFmtId="0" fontId="70" fillId="0" borderId="0" xfId="0" applyFont="1" applyProtection="1">
      <protection locked="0"/>
    </xf>
    <xf numFmtId="0" fontId="43" fillId="35" borderId="0" xfId="0" applyFont="1" applyFill="1" applyAlignment="1" applyProtection="1">
      <alignment horizontal="right"/>
      <protection locked="0"/>
    </xf>
    <xf numFmtId="0" fontId="43" fillId="35" borderId="0" xfId="0" applyFont="1" applyFill="1" applyAlignment="1" applyProtection="1">
      <alignment horizontal="center"/>
      <protection locked="0"/>
    </xf>
    <xf numFmtId="0" fontId="43" fillId="0" borderId="0" xfId="0" applyFont="1" applyAlignment="1" applyProtection="1">
      <alignment horizontal="center"/>
      <protection locked="0"/>
    </xf>
    <xf numFmtId="0" fontId="43" fillId="0" borderId="0" xfId="0" applyFont="1" applyAlignment="1" applyProtection="1">
      <protection locked="0"/>
    </xf>
    <xf numFmtId="0" fontId="73" fillId="0" borderId="0" xfId="0" applyFont="1" applyAlignment="1" applyProtection="1">
      <alignment horizontal="left" vertical="center"/>
      <protection locked="0"/>
    </xf>
    <xf numFmtId="0" fontId="21" fillId="0" borderId="0" xfId="0" applyFont="1" applyAlignment="1" applyProtection="1">
      <alignment horizontal="right" vertical="center"/>
      <protection locked="0"/>
    </xf>
    <xf numFmtId="0" fontId="21" fillId="0" borderId="0" xfId="0" applyFont="1" applyAlignment="1" applyProtection="1">
      <alignment horizontal="left" vertical="center"/>
      <protection locked="0"/>
    </xf>
    <xf numFmtId="0" fontId="70" fillId="35" borderId="0" xfId="0" applyFont="1" applyFill="1" applyAlignment="1" applyProtection="1">
      <alignment vertical="center"/>
      <protection locked="0"/>
    </xf>
    <xf numFmtId="0" fontId="121" fillId="0" borderId="0" xfId="0" applyFont="1" applyFill="1" applyBorder="1" applyAlignment="1" applyProtection="1">
      <alignment vertical="center"/>
      <protection locked="0"/>
    </xf>
    <xf numFmtId="0" fontId="46" fillId="0" borderId="0" xfId="0" applyFont="1" applyProtection="1">
      <protection locked="0"/>
    </xf>
    <xf numFmtId="0" fontId="47" fillId="0" borderId="0" xfId="0" applyFont="1" applyAlignment="1" applyProtection="1">
      <alignment horizontal="center"/>
      <protection locked="0"/>
    </xf>
    <xf numFmtId="0" fontId="22" fillId="0" borderId="0" xfId="0" applyFont="1" applyAlignment="1" applyProtection="1">
      <alignment horizontal="center"/>
      <protection locked="0"/>
    </xf>
    <xf numFmtId="0" fontId="204" fillId="0" borderId="0" xfId="54" applyNumberFormat="1" applyFont="1" applyFill="1" applyBorder="1" applyAlignment="1" applyProtection="1">
      <alignment horizontal="left"/>
    </xf>
    <xf numFmtId="0" fontId="205" fillId="0" borderId="0" xfId="54" applyNumberFormat="1" applyFont="1" applyFill="1" applyBorder="1" applyAlignment="1" applyProtection="1">
      <alignment horizontal="left"/>
    </xf>
    <xf numFmtId="0" fontId="90" fillId="0" borderId="0" xfId="54" applyFont="1" applyBorder="1" applyProtection="1"/>
    <xf numFmtId="0" fontId="204" fillId="0" borderId="0" xfId="54" applyNumberFormat="1" applyFont="1" applyFill="1" applyBorder="1" applyAlignment="1" applyProtection="1">
      <alignment horizontal="left" vertical="center"/>
    </xf>
    <xf numFmtId="0" fontId="205" fillId="0" borderId="0" xfId="54" applyNumberFormat="1" applyFont="1" applyFill="1" applyBorder="1" applyAlignment="1" applyProtection="1">
      <alignment horizontal="left" vertical="center"/>
    </xf>
    <xf numFmtId="0" fontId="90" fillId="0" borderId="0" xfId="54" applyFont="1" applyBorder="1" applyAlignment="1" applyProtection="1">
      <alignment vertical="center"/>
    </xf>
    <xf numFmtId="0" fontId="160" fillId="0" borderId="0" xfId="54" applyFont="1" applyFill="1" applyBorder="1" applyAlignment="1" applyProtection="1">
      <alignment horizontal="left" vertical="center" indent="1"/>
    </xf>
    <xf numFmtId="0" fontId="160" fillId="24" borderId="101" xfId="54" applyFont="1" applyFill="1" applyBorder="1" applyAlignment="1" applyProtection="1">
      <alignment horizontal="center"/>
    </xf>
    <xf numFmtId="0" fontId="160" fillId="24" borderId="101" xfId="54" applyFont="1" applyFill="1" applyBorder="1" applyAlignment="1" applyProtection="1">
      <alignment horizontal="center" vertical="center" wrapText="1"/>
    </xf>
    <xf numFmtId="0" fontId="160" fillId="24" borderId="101" xfId="54" applyFont="1" applyFill="1" applyBorder="1" applyAlignment="1" applyProtection="1">
      <alignment horizontal="center" wrapText="1"/>
    </xf>
    <xf numFmtId="0" fontId="90" fillId="24" borderId="19" xfId="54" applyFont="1" applyFill="1" applyBorder="1" applyAlignment="1" applyProtection="1">
      <alignment horizontal="center" vertical="top"/>
    </xf>
    <xf numFmtId="0" fontId="91" fillId="24" borderId="19" xfId="54" applyFont="1" applyFill="1" applyBorder="1" applyAlignment="1" applyProtection="1">
      <alignment horizontal="center" vertical="center" wrapText="1"/>
    </xf>
    <xf numFmtId="0" fontId="94" fillId="24" borderId="135" xfId="54" applyFont="1" applyFill="1" applyBorder="1" applyAlignment="1" applyProtection="1">
      <alignment horizontal="center" vertical="center"/>
    </xf>
    <xf numFmtId="0" fontId="155" fillId="25" borderId="93" xfId="54" applyFont="1" applyFill="1" applyBorder="1" applyAlignment="1" applyProtection="1">
      <alignment horizontal="center" vertical="center"/>
    </xf>
    <xf numFmtId="0" fontId="155" fillId="25" borderId="17" xfId="54" applyFont="1" applyFill="1" applyBorder="1" applyAlignment="1" applyProtection="1">
      <alignment horizontal="left" vertical="center"/>
    </xf>
    <xf numFmtId="0" fontId="90" fillId="25" borderId="17" xfId="54" applyFont="1" applyFill="1" applyBorder="1" applyAlignment="1" applyProtection="1">
      <alignment horizontal="left"/>
    </xf>
    <xf numFmtId="0" fontId="90" fillId="25" borderId="18" xfId="54" applyFont="1" applyFill="1" applyBorder="1" applyProtection="1"/>
    <xf numFmtId="0" fontId="155" fillId="0" borderId="36" xfId="54" applyFont="1" applyFill="1" applyBorder="1" applyAlignment="1" applyProtection="1">
      <alignment horizontal="center" vertical="center"/>
    </xf>
    <xf numFmtId="0" fontId="160" fillId="0" borderId="0" xfId="54" applyFont="1" applyFill="1" applyBorder="1" applyAlignment="1" applyProtection="1">
      <alignment horizontal="left" vertical="center"/>
    </xf>
    <xf numFmtId="0" fontId="90" fillId="0" borderId="0" xfId="54" applyFont="1" applyFill="1" applyBorder="1" applyAlignment="1" applyProtection="1">
      <alignment horizontal="left"/>
    </xf>
    <xf numFmtId="0" fontId="90" fillId="0" borderId="13" xfId="54" applyFont="1" applyFill="1" applyBorder="1" applyProtection="1"/>
    <xf numFmtId="0" fontId="90" fillId="0" borderId="0" xfId="54" applyFont="1" applyFill="1" applyBorder="1" applyAlignment="1" applyProtection="1">
      <alignment vertical="center"/>
    </xf>
    <xf numFmtId="16" fontId="90" fillId="0" borderId="93" xfId="54" applyNumberFormat="1" applyFont="1" applyFill="1" applyBorder="1" applyAlignment="1" applyProtection="1">
      <alignment vertical="center"/>
    </xf>
    <xf numFmtId="16" fontId="90" fillId="0" borderId="17" xfId="54" applyNumberFormat="1" applyFont="1" applyFill="1" applyBorder="1" applyAlignment="1" applyProtection="1">
      <alignment horizontal="left" vertical="center"/>
    </xf>
    <xf numFmtId="0" fontId="90" fillId="0" borderId="17" xfId="54" applyFont="1" applyFill="1" applyBorder="1" applyAlignment="1" applyProtection="1">
      <alignment vertical="center"/>
    </xf>
    <xf numFmtId="0" fontId="90" fillId="0" borderId="18" xfId="54" applyFont="1" applyFill="1" applyBorder="1" applyAlignment="1" applyProtection="1">
      <alignment vertical="center"/>
    </xf>
    <xf numFmtId="16" fontId="90" fillId="0" borderId="36" xfId="54" applyNumberFormat="1" applyFont="1" applyFill="1" applyBorder="1" applyAlignment="1" applyProtection="1">
      <alignment vertical="center"/>
    </xf>
    <xf numFmtId="0" fontId="90" fillId="0" borderId="13" xfId="54" applyFont="1" applyFill="1" applyBorder="1" applyAlignment="1" applyProtection="1">
      <alignment vertical="center"/>
    </xf>
    <xf numFmtId="0" fontId="90" fillId="0" borderId="93" xfId="54" applyFont="1" applyFill="1" applyBorder="1" applyAlignment="1" applyProtection="1">
      <alignment vertical="center"/>
    </xf>
    <xf numFmtId="0" fontId="90" fillId="0" borderId="36" xfId="54" applyFont="1" applyFill="1" applyBorder="1" applyAlignment="1" applyProtection="1">
      <alignment vertical="center"/>
    </xf>
    <xf numFmtId="0" fontId="90" fillId="0" borderId="13" xfId="54" applyFont="1" applyFill="1" applyBorder="1" applyAlignment="1" applyProtection="1">
      <alignment horizontal="left" vertical="center" indent="1"/>
    </xf>
    <xf numFmtId="0" fontId="90" fillId="0" borderId="93" xfId="54" applyFont="1" applyBorder="1" applyAlignment="1" applyProtection="1">
      <alignment vertical="center"/>
    </xf>
    <xf numFmtId="0" fontId="90" fillId="0" borderId="17" xfId="54" applyFont="1" applyBorder="1" applyAlignment="1" applyProtection="1">
      <alignment horizontal="left" vertical="center" indent="1"/>
    </xf>
    <xf numFmtId="0" fontId="90" fillId="0" borderId="17" xfId="54" applyFont="1" applyFill="1" applyBorder="1" applyAlignment="1" applyProtection="1">
      <alignment horizontal="left" vertical="center" indent="1"/>
    </xf>
    <xf numFmtId="0" fontId="90" fillId="0" borderId="18" xfId="54" applyFont="1" applyBorder="1" applyAlignment="1" applyProtection="1">
      <alignment horizontal="left" vertical="center" indent="1"/>
    </xf>
    <xf numFmtId="0" fontId="90" fillId="0" borderId="36" xfId="54" applyFont="1" applyBorder="1" applyAlignment="1" applyProtection="1">
      <alignment vertical="center"/>
    </xf>
    <xf numFmtId="0" fontId="160" fillId="0" borderId="0" xfId="54" applyFont="1" applyFill="1" applyBorder="1" applyAlignment="1" applyProtection="1">
      <alignment horizontal="left" vertical="center" indent="3"/>
    </xf>
    <xf numFmtId="0" fontId="160" fillId="0" borderId="0" xfId="54" applyFont="1" applyFill="1" applyBorder="1" applyAlignment="1" applyProtection="1">
      <alignment horizontal="left" vertical="center" indent="2"/>
    </xf>
    <xf numFmtId="0" fontId="90" fillId="0" borderId="17" xfId="54" applyFont="1" applyFill="1" applyBorder="1" applyAlignment="1" applyProtection="1">
      <alignment horizontal="left" vertical="center" indent="2"/>
    </xf>
    <xf numFmtId="0" fontId="90" fillId="0" borderId="18" xfId="54" applyFont="1" applyFill="1" applyBorder="1" applyAlignment="1" applyProtection="1">
      <alignment horizontal="left" vertical="center" indent="2"/>
    </xf>
    <xf numFmtId="0" fontId="90" fillId="0" borderId="0" xfId="54" applyFont="1" applyFill="1" applyBorder="1" applyAlignment="1" applyProtection="1">
      <alignment horizontal="left" vertical="center" indent="2"/>
    </xf>
    <xf numFmtId="0" fontId="155" fillId="0" borderId="17" xfId="54" applyFont="1" applyFill="1" applyBorder="1" applyAlignment="1" applyProtection="1">
      <alignment vertical="center"/>
    </xf>
    <xf numFmtId="0" fontId="90" fillId="0" borderId="18" xfId="54" applyFont="1" applyBorder="1" applyAlignment="1" applyProtection="1">
      <alignment vertical="center"/>
    </xf>
    <xf numFmtId="0" fontId="90" fillId="0" borderId="17" xfId="54" applyFont="1" applyBorder="1" applyAlignment="1" applyProtection="1">
      <alignment vertical="center"/>
    </xf>
    <xf numFmtId="0" fontId="90" fillId="0" borderId="93" xfId="54" applyFont="1" applyBorder="1" applyProtection="1"/>
    <xf numFmtId="0" fontId="90" fillId="0" borderId="17" xfId="54" applyFont="1" applyBorder="1" applyProtection="1"/>
    <xf numFmtId="0" fontId="90" fillId="0" borderId="36" xfId="54" applyFont="1" applyBorder="1" applyProtection="1"/>
    <xf numFmtId="0" fontId="90" fillId="0" borderId="102" xfId="54" applyFont="1" applyBorder="1" applyAlignment="1" applyProtection="1">
      <alignment vertical="center"/>
    </xf>
    <xf numFmtId="0" fontId="90" fillId="0" borderId="128" xfId="54" applyFont="1" applyBorder="1" applyAlignment="1" applyProtection="1">
      <alignment vertical="center"/>
    </xf>
    <xf numFmtId="0" fontId="160" fillId="0" borderId="104" xfId="54" applyFont="1" applyFill="1" applyBorder="1" applyAlignment="1" applyProtection="1">
      <alignment horizontal="left" vertical="center" indent="2"/>
    </xf>
    <xf numFmtId="0" fontId="216" fillId="0" borderId="17" xfId="54" applyFont="1" applyBorder="1" applyAlignment="1" applyProtection="1">
      <alignment vertical="center"/>
    </xf>
    <xf numFmtId="0" fontId="216" fillId="0" borderId="18" xfId="54" applyFont="1" applyFill="1" applyBorder="1" applyAlignment="1" applyProtection="1">
      <alignment horizontal="left" vertical="center" indent="2"/>
    </xf>
    <xf numFmtId="0" fontId="90" fillId="0" borderId="102" xfId="54" applyFont="1" applyFill="1" applyBorder="1" applyAlignment="1" applyProtection="1">
      <alignment vertical="center"/>
    </xf>
    <xf numFmtId="0" fontId="160" fillId="0" borderId="128" xfId="54" applyFont="1" applyFill="1" applyBorder="1" applyAlignment="1" applyProtection="1">
      <alignment horizontal="left" vertical="center" indent="1"/>
    </xf>
    <xf numFmtId="0" fontId="90" fillId="0" borderId="104" xfId="54" applyFont="1" applyFill="1" applyBorder="1" applyAlignment="1" applyProtection="1">
      <alignment vertical="center"/>
    </xf>
    <xf numFmtId="0" fontId="158" fillId="25" borderId="102" xfId="54" applyFont="1" applyFill="1" applyBorder="1" applyAlignment="1" applyProtection="1">
      <alignment vertical="center"/>
    </xf>
    <xf numFmtId="0" fontId="90" fillId="25" borderId="128" xfId="54" applyFont="1" applyFill="1" applyBorder="1" applyAlignment="1" applyProtection="1">
      <alignment vertical="center"/>
    </xf>
    <xf numFmtId="0" fontId="90" fillId="25" borderId="104" xfId="54" applyFont="1" applyFill="1" applyBorder="1" applyAlignment="1" applyProtection="1">
      <alignment vertical="center"/>
    </xf>
    <xf numFmtId="0" fontId="90" fillId="0" borderId="36" xfId="54" applyFont="1" applyFill="1" applyBorder="1" applyAlignment="1" applyProtection="1">
      <alignment horizontal="center" vertical="center"/>
    </xf>
    <xf numFmtId="0" fontId="90" fillId="0" borderId="13" xfId="54" applyFont="1" applyBorder="1" applyAlignment="1" applyProtection="1">
      <alignment vertical="center"/>
    </xf>
    <xf numFmtId="0" fontId="155" fillId="0" borderId="17" xfId="54" applyFont="1" applyBorder="1" applyAlignment="1" applyProtection="1">
      <alignment vertical="center"/>
    </xf>
    <xf numFmtId="0" fontId="90" fillId="0" borderId="104" xfId="54" applyFont="1" applyBorder="1" applyAlignment="1" applyProtection="1">
      <alignment vertical="center"/>
    </xf>
    <xf numFmtId="0" fontId="158" fillId="25" borderId="36" xfId="54" applyFont="1" applyFill="1" applyBorder="1" applyAlignment="1" applyProtection="1">
      <alignment horizontal="left" vertical="center"/>
    </xf>
    <xf numFmtId="0" fontId="160" fillId="25" borderId="0" xfId="54" applyFont="1" applyFill="1" applyBorder="1" applyAlignment="1" applyProtection="1">
      <alignment horizontal="left" vertical="center" indent="1"/>
    </xf>
    <xf numFmtId="0" fontId="90" fillId="25" borderId="0" xfId="54" applyFont="1" applyFill="1" applyBorder="1" applyAlignment="1" applyProtection="1">
      <alignment vertical="center"/>
    </xf>
    <xf numFmtId="0" fontId="90" fillId="25" borderId="13" xfId="54" applyFont="1" applyFill="1" applyBorder="1" applyAlignment="1" applyProtection="1">
      <alignment vertical="center"/>
    </xf>
    <xf numFmtId="0" fontId="90" fillId="40" borderId="17" xfId="54" applyFont="1" applyFill="1" applyBorder="1" applyAlignment="1" applyProtection="1">
      <alignment horizontal="left" vertical="center" indent="1"/>
    </xf>
    <xf numFmtId="0" fontId="90" fillId="41" borderId="18" xfId="54" applyFont="1" applyFill="1" applyBorder="1" applyAlignment="1" applyProtection="1">
      <alignment vertical="center"/>
    </xf>
    <xf numFmtId="0" fontId="90" fillId="41" borderId="13" xfId="54" applyFont="1" applyFill="1" applyBorder="1" applyAlignment="1" applyProtection="1">
      <alignment vertical="center"/>
    </xf>
    <xf numFmtId="0" fontId="217" fillId="0" borderId="93" xfId="54" applyFont="1" applyBorder="1" applyAlignment="1" applyProtection="1">
      <alignment vertical="center"/>
    </xf>
    <xf numFmtId="0" fontId="91" fillId="41" borderId="17" xfId="54" applyFont="1" applyFill="1" applyBorder="1" applyAlignment="1" applyProtection="1">
      <alignment vertical="center"/>
    </xf>
    <xf numFmtId="0" fontId="90" fillId="41" borderId="17" xfId="54" applyFont="1" applyFill="1" applyBorder="1" applyAlignment="1" applyProtection="1">
      <alignment vertical="center"/>
    </xf>
    <xf numFmtId="0" fontId="217" fillId="0" borderId="36" xfId="54" applyFont="1" applyBorder="1" applyAlignment="1" applyProtection="1">
      <alignment vertical="center"/>
    </xf>
    <xf numFmtId="0" fontId="90" fillId="41" borderId="0" xfId="54" applyFont="1" applyFill="1" applyBorder="1" applyAlignment="1" applyProtection="1">
      <alignment vertical="center"/>
    </xf>
    <xf numFmtId="0" fontId="160" fillId="25" borderId="0" xfId="54" applyFont="1" applyFill="1" applyBorder="1" applyAlignment="1" applyProtection="1">
      <alignment horizontal="left" vertical="center"/>
    </xf>
    <xf numFmtId="0" fontId="90" fillId="0" borderId="102" xfId="54" applyFont="1" applyFill="1" applyBorder="1" applyAlignment="1" applyProtection="1">
      <alignment horizontal="center" vertical="center"/>
    </xf>
    <xf numFmtId="0" fontId="160" fillId="0" borderId="128" xfId="54" applyFont="1" applyFill="1" applyBorder="1" applyAlignment="1" applyProtection="1">
      <alignment horizontal="left" vertical="center"/>
    </xf>
    <xf numFmtId="0" fontId="90" fillId="0" borderId="128" xfId="54" applyFont="1" applyFill="1" applyBorder="1" applyAlignment="1" applyProtection="1">
      <alignment horizontal="left"/>
    </xf>
    <xf numFmtId="0" fontId="90" fillId="0" borderId="104" xfId="54" applyFont="1" applyFill="1" applyBorder="1" applyProtection="1"/>
    <xf numFmtId="0" fontId="158" fillId="25" borderId="102" xfId="54" applyFont="1" applyFill="1" applyBorder="1" applyAlignment="1" applyProtection="1">
      <alignment horizontal="left" vertical="center"/>
    </xf>
    <xf numFmtId="0" fontId="155" fillId="25" borderId="128" xfId="54" applyFont="1" applyFill="1" applyBorder="1" applyAlignment="1" applyProtection="1">
      <alignment horizontal="left" vertical="center"/>
    </xf>
    <xf numFmtId="0" fontId="90" fillId="25" borderId="128" xfId="54" applyFont="1" applyFill="1" applyBorder="1" applyAlignment="1" applyProtection="1">
      <alignment horizontal="left"/>
    </xf>
    <xf numFmtId="0" fontId="90" fillId="25" borderId="104" xfId="54" applyFont="1" applyFill="1" applyBorder="1" applyProtection="1"/>
    <xf numFmtId="0" fontId="90" fillId="42" borderId="17" xfId="54" applyFont="1" applyFill="1" applyBorder="1" applyAlignment="1" applyProtection="1">
      <alignment vertical="center"/>
    </xf>
    <xf numFmtId="0" fontId="90" fillId="42" borderId="18" xfId="54" applyFont="1" applyFill="1" applyBorder="1" applyAlignment="1" applyProtection="1">
      <alignment vertical="center"/>
    </xf>
    <xf numFmtId="0" fontId="90" fillId="42" borderId="0" xfId="54" applyFont="1" applyFill="1" applyBorder="1" applyAlignment="1" applyProtection="1">
      <alignment vertical="center"/>
    </xf>
    <xf numFmtId="0" fontId="90" fillId="42" borderId="13" xfId="54" applyFont="1" applyFill="1" applyBorder="1" applyAlignment="1" applyProtection="1">
      <alignment vertical="center"/>
    </xf>
    <xf numFmtId="0" fontId="90" fillId="25" borderId="17" xfId="54" applyFont="1" applyFill="1" applyBorder="1" applyAlignment="1" applyProtection="1">
      <alignment vertical="center"/>
    </xf>
    <xf numFmtId="0" fontId="90" fillId="25" borderId="18" xfId="54" applyFont="1" applyFill="1" applyBorder="1" applyAlignment="1" applyProtection="1">
      <alignment vertical="center"/>
    </xf>
    <xf numFmtId="0" fontId="204" fillId="0" borderId="0" xfId="55" applyNumberFormat="1" applyFont="1" applyFill="1" applyBorder="1" applyAlignment="1" applyProtection="1">
      <alignment horizontal="left" vertical="center"/>
    </xf>
    <xf numFmtId="0" fontId="205" fillId="0" borderId="0" xfId="55" applyNumberFormat="1" applyFont="1" applyFill="1" applyBorder="1" applyAlignment="1" applyProtection="1">
      <alignment horizontal="left" vertical="center"/>
    </xf>
    <xf numFmtId="173" fontId="155" fillId="0" borderId="0" xfId="55" applyNumberFormat="1" applyFont="1" applyFill="1" applyBorder="1" applyAlignment="1" applyProtection="1">
      <alignment horizontal="left" vertical="center" indent="1"/>
    </xf>
    <xf numFmtId="173" fontId="155" fillId="0" borderId="0" xfId="55" applyNumberFormat="1" applyFont="1" applyFill="1" applyBorder="1" applyProtection="1"/>
    <xf numFmtId="173" fontId="155" fillId="0" borderId="0" xfId="55" applyNumberFormat="1" applyFont="1" applyFill="1" applyBorder="1" applyAlignment="1" applyProtection="1">
      <alignment vertical="center"/>
    </xf>
    <xf numFmtId="0" fontId="160" fillId="24" borderId="46" xfId="54" applyFont="1" applyFill="1" applyBorder="1" applyAlignment="1" applyProtection="1">
      <alignment horizontal="center"/>
    </xf>
    <xf numFmtId="0" fontId="160" fillId="24" borderId="46" xfId="54" applyFont="1" applyFill="1" applyBorder="1" applyAlignment="1" applyProtection="1">
      <alignment horizontal="center" vertical="center" wrapText="1"/>
    </xf>
    <xf numFmtId="173" fontId="160" fillId="24" borderId="46" xfId="55" applyNumberFormat="1" applyFont="1" applyFill="1" applyBorder="1" applyAlignment="1" applyProtection="1">
      <alignment horizontal="center" wrapText="1"/>
    </xf>
    <xf numFmtId="0" fontId="204" fillId="0" borderId="73" xfId="54" applyNumberFormat="1" applyFont="1" applyFill="1" applyBorder="1" applyAlignment="1" applyProtection="1">
      <alignment horizontal="left" vertical="center"/>
    </xf>
    <xf numFmtId="0" fontId="205" fillId="0" borderId="236" xfId="54" applyNumberFormat="1" applyFont="1" applyFill="1" applyBorder="1" applyAlignment="1" applyProtection="1">
      <alignment horizontal="left" vertical="center"/>
    </xf>
    <xf numFmtId="0" fontId="90" fillId="24" borderId="113" xfId="54" applyFont="1" applyFill="1" applyBorder="1" applyAlignment="1" applyProtection="1">
      <alignment horizontal="center" vertical="top"/>
    </xf>
    <xf numFmtId="0" fontId="91" fillId="24" borderId="113" xfId="54" applyFont="1" applyFill="1" applyBorder="1" applyAlignment="1" applyProtection="1">
      <alignment horizontal="center" vertical="center" wrapText="1"/>
    </xf>
    <xf numFmtId="173" fontId="90" fillId="24" borderId="113" xfId="55" applyNumberFormat="1" applyFont="1" applyFill="1" applyBorder="1" applyAlignment="1" applyProtection="1">
      <alignment horizontal="center" vertical="top"/>
    </xf>
    <xf numFmtId="0" fontId="158" fillId="25" borderId="36" xfId="54" applyFont="1" applyFill="1" applyBorder="1" applyAlignment="1" applyProtection="1">
      <alignment horizontal="left" vertical="top"/>
    </xf>
    <xf numFmtId="0" fontId="100" fillId="25" borderId="0" xfId="54" applyFont="1" applyFill="1" applyBorder="1" applyAlignment="1" applyProtection="1">
      <alignment horizontal="center" vertical="top"/>
    </xf>
    <xf numFmtId="0" fontId="96" fillId="25" borderId="0" xfId="54" applyFont="1" applyFill="1" applyBorder="1" applyAlignment="1" applyProtection="1">
      <alignment horizontal="center" vertical="top" wrapText="1"/>
    </xf>
    <xf numFmtId="0" fontId="96" fillId="25" borderId="13" xfId="54" applyFont="1" applyFill="1" applyBorder="1" applyAlignment="1" applyProtection="1">
      <alignment horizontal="center" vertical="top" wrapText="1"/>
    </xf>
    <xf numFmtId="0" fontId="160" fillId="0" borderId="36" xfId="54" applyFont="1" applyFill="1" applyBorder="1" applyAlignment="1" applyProtection="1">
      <alignment horizontal="left" vertical="center"/>
    </xf>
    <xf numFmtId="0" fontId="155" fillId="0" borderId="93" xfId="54" applyFont="1" applyFill="1" applyBorder="1" applyAlignment="1" applyProtection="1">
      <alignment vertical="center"/>
    </xf>
    <xf numFmtId="0" fontId="155" fillId="0" borderId="36" xfId="54" applyFont="1" applyFill="1" applyBorder="1" applyAlignment="1" applyProtection="1">
      <alignment vertical="center"/>
    </xf>
    <xf numFmtId="0" fontId="155" fillId="0" borderId="93" xfId="54" applyFont="1" applyBorder="1" applyAlignment="1" applyProtection="1">
      <alignment vertical="center"/>
    </xf>
    <xf numFmtId="0" fontId="155" fillId="0" borderId="36" xfId="54" applyFont="1" applyBorder="1" applyAlignment="1" applyProtection="1">
      <alignment vertical="center"/>
    </xf>
    <xf numFmtId="0" fontId="90" fillId="41" borderId="17" xfId="54" applyFont="1" applyFill="1" applyBorder="1" applyAlignment="1" applyProtection="1">
      <alignment horizontal="left" vertical="center" indent="2"/>
    </xf>
    <xf numFmtId="0" fontId="160" fillId="0" borderId="0" xfId="54" applyFont="1" applyFill="1" applyBorder="1" applyAlignment="1" applyProtection="1">
      <alignment horizontal="left" indent="2"/>
    </xf>
    <xf numFmtId="0" fontId="90" fillId="0" borderId="17" xfId="54" applyFont="1" applyFill="1" applyBorder="1" applyAlignment="1" applyProtection="1">
      <alignment horizontal="left" indent="2"/>
    </xf>
    <xf numFmtId="0" fontId="220" fillId="0" borderId="102" xfId="54" applyFont="1" applyBorder="1" applyAlignment="1" applyProtection="1">
      <alignment vertical="center"/>
    </xf>
    <xf numFmtId="0" fontId="217" fillId="0" borderId="128" xfId="54" applyFont="1" applyBorder="1" applyAlignment="1" applyProtection="1">
      <alignment vertical="center"/>
    </xf>
    <xf numFmtId="0" fontId="160" fillId="0" borderId="128" xfId="54" applyFont="1" applyFill="1" applyBorder="1" applyAlignment="1" applyProtection="1">
      <alignment horizontal="left" vertical="center" indent="2"/>
    </xf>
    <xf numFmtId="0" fontId="217" fillId="0" borderId="104" xfId="54" applyFont="1" applyBorder="1" applyAlignment="1" applyProtection="1">
      <alignment vertical="center"/>
    </xf>
    <xf numFmtId="0" fontId="221" fillId="0" borderId="0" xfId="54" applyFont="1" applyFill="1" applyBorder="1" applyAlignment="1" applyProtection="1">
      <alignment vertical="center"/>
    </xf>
    <xf numFmtId="0" fontId="155" fillId="0" borderId="102" xfId="54" applyFont="1" applyBorder="1" applyAlignment="1" applyProtection="1">
      <alignment vertical="center"/>
    </xf>
    <xf numFmtId="0" fontId="155" fillId="0" borderId="128" xfId="54" applyFont="1" applyBorder="1" applyAlignment="1" applyProtection="1">
      <alignment vertical="center"/>
    </xf>
    <xf numFmtId="0" fontId="160" fillId="0" borderId="128" xfId="54" applyFont="1" applyFill="1" applyBorder="1" applyAlignment="1" applyProtection="1">
      <alignment horizontal="left" indent="2"/>
    </xf>
    <xf numFmtId="0" fontId="90" fillId="0" borderId="102" xfId="54" applyFont="1" applyBorder="1" applyAlignment="1" applyProtection="1">
      <alignment horizontal="center" vertical="center"/>
    </xf>
    <xf numFmtId="0" fontId="90" fillId="0" borderId="0" xfId="54" applyFont="1" applyBorder="1" applyAlignment="1" applyProtection="1">
      <alignment horizontal="center" vertical="center"/>
    </xf>
    <xf numFmtId="0" fontId="155" fillId="0" borderId="0" xfId="54" applyFont="1" applyBorder="1" applyAlignment="1" applyProtection="1">
      <alignment vertical="center"/>
    </xf>
    <xf numFmtId="0" fontId="155" fillId="41" borderId="0" xfId="54" applyFont="1" applyFill="1" applyBorder="1" applyAlignment="1" applyProtection="1">
      <alignment vertical="center"/>
    </xf>
    <xf numFmtId="0" fontId="221" fillId="0" borderId="17" xfId="54" applyFont="1" applyFill="1" applyBorder="1" applyAlignment="1" applyProtection="1">
      <alignment horizontal="left" vertical="center" indent="1"/>
    </xf>
    <xf numFmtId="0" fontId="216" fillId="0" borderId="0" xfId="54" applyFont="1" applyFill="1" applyBorder="1" applyAlignment="1" applyProtection="1">
      <alignment vertical="center"/>
    </xf>
    <xf numFmtId="0" fontId="158" fillId="25" borderId="36" xfId="54" applyFont="1" applyFill="1" applyBorder="1" applyAlignment="1" applyProtection="1">
      <alignment horizontal="left"/>
    </xf>
    <xf numFmtId="0" fontId="155" fillId="0" borderId="93" xfId="54" applyFont="1" applyFill="1" applyBorder="1" applyAlignment="1" applyProtection="1">
      <alignment horizontal="center" vertical="center"/>
    </xf>
    <xf numFmtId="0" fontId="90" fillId="0" borderId="17" xfId="54" applyFont="1" applyFill="1" applyBorder="1" applyAlignment="1" applyProtection="1">
      <alignment horizontal="left" vertical="center"/>
    </xf>
    <xf numFmtId="0" fontId="155" fillId="0" borderId="17" xfId="54" applyFont="1" applyFill="1" applyBorder="1" applyAlignment="1" applyProtection="1">
      <alignment horizontal="left" vertical="center"/>
    </xf>
    <xf numFmtId="0" fontId="155" fillId="25" borderId="0" xfId="54" applyFont="1" applyFill="1" applyBorder="1" applyAlignment="1" applyProtection="1">
      <alignment horizontal="left" vertical="center"/>
    </xf>
    <xf numFmtId="0" fontId="155" fillId="25" borderId="17" xfId="54" applyFont="1" applyFill="1" applyBorder="1" applyAlignment="1" applyProtection="1">
      <alignment horizontal="left"/>
    </xf>
    <xf numFmtId="0" fontId="90" fillId="25" borderId="17" xfId="54" applyFont="1" applyFill="1" applyBorder="1" applyProtection="1"/>
    <xf numFmtId="0" fontId="155" fillId="0" borderId="0" xfId="54" applyFont="1" applyFill="1" applyBorder="1" applyAlignment="1" applyProtection="1">
      <alignment horizontal="left"/>
    </xf>
    <xf numFmtId="0" fontId="90" fillId="0" borderId="0" xfId="54" applyFont="1" applyFill="1" applyBorder="1" applyProtection="1"/>
    <xf numFmtId="0" fontId="160" fillId="0" borderId="0" xfId="54" applyFont="1" applyFill="1" applyBorder="1" applyAlignment="1" applyProtection="1">
      <alignment horizontal="left" indent="1"/>
    </xf>
    <xf numFmtId="0" fontId="90" fillId="0" borderId="128" xfId="54" applyFont="1" applyFill="1" applyBorder="1" applyAlignment="1" applyProtection="1">
      <alignment vertical="center"/>
    </xf>
    <xf numFmtId="0" fontId="160" fillId="0" borderId="128" xfId="54" quotePrefix="1" applyFont="1" applyFill="1" applyBorder="1" applyAlignment="1" applyProtection="1">
      <alignment horizontal="left" vertical="center" indent="1"/>
    </xf>
    <xf numFmtId="0" fontId="222" fillId="0" borderId="0" xfId="54" applyFont="1" applyFill="1" applyBorder="1" applyAlignment="1" applyProtection="1">
      <alignment horizontal="left" vertical="center"/>
    </xf>
    <xf numFmtId="0" fontId="221" fillId="0" borderId="17" xfId="54" applyFont="1" applyFill="1" applyBorder="1" applyAlignment="1" applyProtection="1">
      <alignment vertical="center"/>
    </xf>
    <xf numFmtId="0" fontId="155" fillId="0" borderId="102" xfId="54" applyFont="1" applyFill="1" applyBorder="1" applyAlignment="1" applyProtection="1">
      <alignment horizontal="center" vertical="center"/>
    </xf>
    <xf numFmtId="0" fontId="155" fillId="0" borderId="128" xfId="54" applyFont="1" applyFill="1" applyBorder="1" applyAlignment="1" applyProtection="1">
      <alignment horizontal="left"/>
    </xf>
    <xf numFmtId="0" fontId="90" fillId="0" borderId="128" xfId="54" applyFont="1" applyFill="1" applyBorder="1" applyProtection="1"/>
    <xf numFmtId="173" fontId="90" fillId="0" borderId="36" xfId="55" applyNumberFormat="1" applyFont="1" applyBorder="1" applyAlignment="1" applyProtection="1">
      <alignment vertical="center"/>
    </xf>
    <xf numFmtId="0" fontId="160" fillId="0" borderId="0" xfId="54" quotePrefix="1" applyFont="1" applyFill="1" applyBorder="1" applyAlignment="1" applyProtection="1">
      <alignment horizontal="left" vertical="center"/>
    </xf>
    <xf numFmtId="173" fontId="90" fillId="0" borderId="0" xfId="55" applyNumberFormat="1" applyFont="1" applyBorder="1" applyAlignment="1" applyProtection="1">
      <alignment vertical="center"/>
    </xf>
    <xf numFmtId="173" fontId="155" fillId="0" borderId="0" xfId="55" applyNumberFormat="1" applyFont="1" applyBorder="1" applyAlignment="1" applyProtection="1">
      <alignment vertical="center"/>
    </xf>
    <xf numFmtId="173" fontId="155" fillId="0" borderId="13" xfId="55" applyNumberFormat="1" applyFont="1" applyBorder="1" applyAlignment="1" applyProtection="1">
      <alignment vertical="center"/>
    </xf>
    <xf numFmtId="173" fontId="90" fillId="0" borderId="93" xfId="55" applyNumberFormat="1" applyFont="1" applyBorder="1" applyAlignment="1" applyProtection="1">
      <alignment vertical="center"/>
    </xf>
    <xf numFmtId="0" fontId="90" fillId="0" borderId="17" xfId="54" quotePrefix="1" applyFont="1" applyFill="1" applyBorder="1" applyAlignment="1" applyProtection="1">
      <alignment horizontal="left" vertical="center"/>
    </xf>
    <xf numFmtId="173" fontId="90" fillId="0" borderId="17" xfId="55" applyNumberFormat="1" applyFont="1" applyBorder="1" applyAlignment="1" applyProtection="1">
      <alignment vertical="center"/>
    </xf>
    <xf numFmtId="173" fontId="155" fillId="0" borderId="17" xfId="55" applyNumberFormat="1" applyFont="1" applyBorder="1" applyAlignment="1" applyProtection="1">
      <alignment vertical="center"/>
    </xf>
    <xf numFmtId="173" fontId="155" fillId="0" borderId="18" xfId="55" applyNumberFormat="1" applyFont="1" applyBorder="1" applyAlignment="1" applyProtection="1">
      <alignment vertical="center"/>
    </xf>
    <xf numFmtId="0" fontId="155" fillId="25" borderId="0" xfId="54" applyFont="1" applyFill="1" applyBorder="1" applyAlignment="1" applyProtection="1">
      <alignment vertical="center"/>
    </xf>
    <xf numFmtId="0" fontId="155" fillId="25" borderId="0" xfId="54" applyFont="1" applyFill="1" applyBorder="1" applyAlignment="1" applyProtection="1">
      <alignment horizontal="left"/>
    </xf>
    <xf numFmtId="0" fontId="90" fillId="25" borderId="0" xfId="54" applyFont="1" applyFill="1" applyBorder="1" applyProtection="1"/>
    <xf numFmtId="0" fontId="90" fillId="25" borderId="93" xfId="54" applyFont="1" applyFill="1" applyBorder="1" applyAlignment="1" applyProtection="1">
      <alignment horizontal="center" vertical="center"/>
    </xf>
    <xf numFmtId="0" fontId="90" fillId="25" borderId="17" xfId="54" applyFont="1" applyFill="1" applyBorder="1" applyAlignment="1" applyProtection="1">
      <alignment horizontal="left" vertical="center"/>
    </xf>
    <xf numFmtId="0" fontId="155" fillId="25" borderId="17" xfId="54" applyFont="1" applyFill="1" applyBorder="1" applyAlignment="1" applyProtection="1">
      <alignment horizontal="center" vertical="center"/>
    </xf>
    <xf numFmtId="0" fontId="204" fillId="39" borderId="12" xfId="54" applyNumberFormat="1" applyFont="1" applyFill="1" applyBorder="1" applyAlignment="1" applyProtection="1">
      <alignment horizontal="left" vertical="center"/>
    </xf>
    <xf numFmtId="0" fontId="205" fillId="39" borderId="45" xfId="54" applyNumberFormat="1" applyFont="1" applyFill="1" applyBorder="1" applyAlignment="1" applyProtection="1">
      <alignment horizontal="left" vertical="center"/>
    </xf>
    <xf numFmtId="0" fontId="204" fillId="0" borderId="0" xfId="54" applyNumberFormat="1" applyFont="1" applyFill="1" applyBorder="1" applyAlignment="1" applyProtection="1">
      <alignment horizontal="left"/>
      <protection locked="0"/>
    </xf>
    <xf numFmtId="0" fontId="205" fillId="0" borderId="0" xfId="54" applyNumberFormat="1" applyFont="1" applyFill="1" applyBorder="1" applyAlignment="1" applyProtection="1">
      <alignment horizontal="left"/>
      <protection locked="0"/>
    </xf>
    <xf numFmtId="0" fontId="90" fillId="0" borderId="0" xfId="54" applyFont="1" applyBorder="1" applyProtection="1">
      <protection locked="0"/>
    </xf>
    <xf numFmtId="0" fontId="204" fillId="0" borderId="0" xfId="54" applyNumberFormat="1" applyFont="1" applyFill="1" applyBorder="1" applyAlignment="1" applyProtection="1">
      <alignment horizontal="left" vertical="center"/>
      <protection locked="0"/>
    </xf>
    <xf numFmtId="0" fontId="205" fillId="0" borderId="0" xfId="54" applyNumberFormat="1" applyFont="1" applyFill="1" applyBorder="1" applyAlignment="1" applyProtection="1">
      <alignment horizontal="left" vertical="center"/>
      <protection locked="0"/>
    </xf>
    <xf numFmtId="0" fontId="177" fillId="0" borderId="0" xfId="54" applyFont="1" applyBorder="1" applyAlignment="1" applyProtection="1">
      <alignment vertical="center"/>
      <protection locked="0"/>
    </xf>
    <xf numFmtId="0" fontId="176" fillId="0" borderId="0" xfId="54" applyFont="1" applyFill="1" applyBorder="1" applyAlignment="1" applyProtection="1">
      <alignment horizontal="center" vertical="center"/>
      <protection locked="0"/>
    </xf>
    <xf numFmtId="0" fontId="90" fillId="0" borderId="0" xfId="54" applyFont="1" applyBorder="1" applyAlignment="1" applyProtection="1">
      <alignment vertical="center"/>
      <protection locked="0"/>
    </xf>
    <xf numFmtId="0" fontId="158" fillId="0" borderId="0" xfId="54" applyFont="1" applyFill="1" applyBorder="1" applyAlignment="1" applyProtection="1">
      <alignment horizontal="left" vertical="center" indent="1"/>
      <protection locked="0"/>
    </xf>
    <xf numFmtId="0" fontId="209" fillId="0" borderId="0" xfId="54" applyNumberFormat="1" applyFont="1" applyFill="1" applyBorder="1" applyAlignment="1" applyProtection="1">
      <alignment horizontal="left" vertical="center"/>
      <protection locked="0"/>
    </xf>
    <xf numFmtId="0" fontId="210" fillId="0" borderId="0" xfId="54" applyNumberFormat="1" applyFont="1" applyFill="1" applyBorder="1" applyAlignment="1" applyProtection="1">
      <alignment horizontal="left" vertical="center"/>
      <protection locked="0"/>
    </xf>
    <xf numFmtId="0" fontId="177" fillId="0" borderId="0" xfId="54" applyFont="1" applyFill="1" applyBorder="1" applyAlignment="1" applyProtection="1">
      <alignment vertical="center"/>
      <protection locked="0"/>
    </xf>
    <xf numFmtId="0" fontId="90" fillId="0" borderId="0" xfId="54" applyFont="1" applyFill="1" applyBorder="1" applyAlignment="1" applyProtection="1">
      <alignment horizontal="left" vertical="center" indent="1"/>
      <protection locked="0"/>
    </xf>
    <xf numFmtId="0" fontId="160" fillId="0" borderId="0" xfId="54" applyFont="1" applyFill="1" applyBorder="1" applyAlignment="1" applyProtection="1">
      <alignment horizontal="left" vertical="center" indent="1"/>
      <protection locked="0"/>
    </xf>
    <xf numFmtId="0" fontId="223" fillId="0" borderId="0" xfId="54" applyFont="1" applyBorder="1" applyProtection="1">
      <protection locked="0"/>
    </xf>
    <xf numFmtId="0" fontId="224" fillId="0" borderId="0" xfId="54" applyFont="1" applyFill="1" applyBorder="1" applyAlignment="1" applyProtection="1">
      <alignment vertical="center"/>
      <protection locked="0"/>
    </xf>
    <xf numFmtId="0" fontId="92" fillId="0" borderId="0" xfId="54" applyFont="1" applyFill="1" applyBorder="1" applyAlignment="1" applyProtection="1">
      <alignment vertical="center"/>
      <protection locked="0"/>
    </xf>
    <xf numFmtId="0" fontId="90" fillId="0" borderId="0" xfId="54" applyFont="1" applyFill="1" applyBorder="1" applyAlignment="1" applyProtection="1">
      <alignment vertical="center"/>
      <protection locked="0"/>
    </xf>
    <xf numFmtId="0" fontId="157" fillId="0" borderId="0" xfId="54" quotePrefix="1" applyFont="1" applyBorder="1" applyAlignment="1" applyProtection="1">
      <alignment horizontal="left" indent="8"/>
      <protection locked="0"/>
    </xf>
    <xf numFmtId="0" fontId="155" fillId="0" borderId="0" xfId="54" applyFont="1" applyBorder="1" applyAlignment="1" applyProtection="1">
      <alignment horizontal="left" indent="5"/>
      <protection locked="0"/>
    </xf>
    <xf numFmtId="0" fontId="227" fillId="0" borderId="0" xfId="54" applyNumberFormat="1" applyFont="1" applyFill="1" applyBorder="1" applyAlignment="1" applyProtection="1">
      <alignment horizontal="left" vertical="center"/>
      <protection locked="0"/>
    </xf>
    <xf numFmtId="0" fontId="228" fillId="0" borderId="0" xfId="54" applyNumberFormat="1" applyFont="1" applyFill="1" applyBorder="1" applyAlignment="1" applyProtection="1">
      <alignment horizontal="left" vertical="center"/>
      <protection locked="0"/>
    </xf>
    <xf numFmtId="0" fontId="155" fillId="0" borderId="0" xfId="54" applyFont="1" applyBorder="1" applyProtection="1">
      <protection locked="0"/>
    </xf>
    <xf numFmtId="0" fontId="155" fillId="0" borderId="0" xfId="54" applyFont="1" applyBorder="1" applyAlignment="1" applyProtection="1">
      <alignment horizontal="left"/>
      <protection locked="0"/>
    </xf>
    <xf numFmtId="0" fontId="95" fillId="0" borderId="0" xfId="54" applyFont="1" applyBorder="1" applyProtection="1">
      <protection locked="0"/>
    </xf>
    <xf numFmtId="0" fontId="95" fillId="0" borderId="0" xfId="54" applyFont="1" applyBorder="1" applyAlignment="1" applyProtection="1">
      <alignment horizontal="left" vertical="center" indent="1"/>
      <protection locked="0"/>
    </xf>
    <xf numFmtId="0" fontId="155" fillId="0" borderId="0" xfId="54" applyFont="1" applyBorder="1" applyAlignment="1" applyProtection="1">
      <alignment vertical="center"/>
      <protection locked="0"/>
    </xf>
    <xf numFmtId="173" fontId="90" fillId="0" borderId="0" xfId="55" applyNumberFormat="1" applyFont="1" applyBorder="1" applyProtection="1">
      <protection locked="0"/>
    </xf>
    <xf numFmtId="173" fontId="95" fillId="0" borderId="0" xfId="55" applyNumberFormat="1" applyFont="1" applyBorder="1" applyAlignment="1" applyProtection="1">
      <alignment vertical="center"/>
      <protection locked="0"/>
    </xf>
    <xf numFmtId="0" fontId="91" fillId="0" borderId="0" xfId="54" applyFont="1" applyBorder="1" applyAlignment="1" applyProtection="1">
      <alignment vertical="center"/>
      <protection locked="0"/>
    </xf>
    <xf numFmtId="0" fontId="229" fillId="0" borderId="0" xfId="54" applyFont="1" applyBorder="1" applyAlignment="1" applyProtection="1">
      <alignment vertical="center"/>
      <protection locked="0"/>
    </xf>
    <xf numFmtId="0" fontId="204" fillId="0" borderId="0" xfId="55" applyNumberFormat="1" applyFont="1" applyFill="1" applyBorder="1" applyAlignment="1" applyProtection="1">
      <alignment horizontal="left" vertical="center"/>
      <protection locked="0"/>
    </xf>
    <xf numFmtId="0" fontId="205" fillId="0" borderId="0" xfId="55" applyNumberFormat="1" applyFont="1" applyFill="1" applyBorder="1" applyAlignment="1" applyProtection="1">
      <alignment horizontal="left" vertical="center"/>
      <protection locked="0"/>
    </xf>
    <xf numFmtId="173" fontId="90" fillId="0" borderId="0" xfId="55" applyNumberFormat="1" applyFont="1" applyBorder="1" applyAlignment="1" applyProtection="1">
      <alignment vertical="center"/>
      <protection locked="0"/>
    </xf>
    <xf numFmtId="0" fontId="157" fillId="0" borderId="0" xfId="54" quotePrefix="1" applyFont="1" applyFill="1" applyAlignment="1" applyProtection="1">
      <alignment horizontal="left" vertical="center" indent="6"/>
      <protection locked="0"/>
    </xf>
    <xf numFmtId="0" fontId="90" fillId="34" borderId="13" xfId="0" applyFont="1" applyFill="1" applyBorder="1" applyAlignment="1">
      <alignment horizontal="right" vertical="top"/>
    </xf>
    <xf numFmtId="2" fontId="235" fillId="34" borderId="0" xfId="0" applyNumberFormat="1" applyFont="1" applyFill="1" applyBorder="1" applyAlignment="1">
      <alignment horizontal="right" vertical="top"/>
    </xf>
    <xf numFmtId="2" fontId="235" fillId="34" borderId="17" xfId="0" applyNumberFormat="1" applyFont="1" applyFill="1" applyBorder="1" applyAlignment="1">
      <alignment horizontal="right" vertical="top"/>
    </xf>
    <xf numFmtId="2" fontId="243" fillId="34" borderId="0" xfId="0" applyNumberFormat="1" applyFont="1" applyFill="1" applyBorder="1" applyAlignment="1">
      <alignment horizontal="right" vertical="top"/>
    </xf>
    <xf numFmtId="0" fontId="243" fillId="34" borderId="17" xfId="0" applyNumberFormat="1" applyFont="1" applyFill="1" applyBorder="1" applyAlignment="1">
      <alignment horizontal="left" vertical="center"/>
    </xf>
    <xf numFmtId="2" fontId="243" fillId="34" borderId="17" xfId="0" applyNumberFormat="1" applyFont="1" applyFill="1" applyBorder="1" applyAlignment="1">
      <alignment horizontal="right" vertical="top"/>
    </xf>
    <xf numFmtId="0" fontId="158" fillId="0" borderId="0" xfId="0" applyFont="1" applyAlignment="1" applyProtection="1">
      <alignment horizontal="right"/>
    </xf>
    <xf numFmtId="2" fontId="91" fillId="32" borderId="0" xfId="0" applyNumberFormat="1" applyFont="1" applyFill="1" applyAlignment="1" applyProtection="1">
      <alignment vertical="center"/>
    </xf>
    <xf numFmtId="0" fontId="184" fillId="0" borderId="0" xfId="0" applyFont="1" applyProtection="1"/>
    <xf numFmtId="0" fontId="90" fillId="0" borderId="0" xfId="0" applyFont="1" applyProtection="1"/>
    <xf numFmtId="2" fontId="91" fillId="32" borderId="0" xfId="0" applyNumberFormat="1" applyFont="1" applyFill="1" applyAlignment="1" applyProtection="1">
      <alignment horizontal="left" vertical="top"/>
    </xf>
    <xf numFmtId="0" fontId="0" fillId="32" borderId="0" xfId="0" applyFill="1" applyProtection="1"/>
    <xf numFmtId="0" fontId="22" fillId="0" borderId="0" xfId="42" applyFont="1" applyFill="1" applyBorder="1" applyAlignment="1" applyProtection="1">
      <alignment vertical="center"/>
    </xf>
    <xf numFmtId="0" fontId="109" fillId="0" borderId="0" xfId="42" applyFont="1" applyFill="1" applyBorder="1" applyAlignment="1" applyProtection="1">
      <alignment vertical="center"/>
    </xf>
    <xf numFmtId="2" fontId="109" fillId="32" borderId="0" xfId="0" applyNumberFormat="1" applyFont="1" applyFill="1" applyAlignment="1" applyProtection="1">
      <alignment horizontal="left" vertical="top"/>
    </xf>
    <xf numFmtId="0" fontId="88" fillId="0" borderId="0" xfId="42" applyFont="1" applyAlignment="1" applyProtection="1">
      <alignment vertical="center"/>
    </xf>
    <xf numFmtId="0" fontId="1" fillId="0" borderId="0" xfId="42" applyFont="1" applyProtection="1"/>
    <xf numFmtId="0" fontId="108" fillId="0" borderId="0" xfId="42" applyFont="1" applyAlignment="1" applyProtection="1"/>
    <xf numFmtId="0" fontId="88" fillId="0" borderId="0" xfId="0" applyFont="1" applyAlignment="1" applyProtection="1">
      <alignment vertical="center"/>
    </xf>
    <xf numFmtId="0" fontId="108" fillId="0" borderId="0" xfId="0" applyFont="1" applyAlignment="1" applyProtection="1"/>
    <xf numFmtId="0" fontId="37" fillId="0" borderId="0" xfId="44" applyFont="1" applyAlignment="1" applyProtection="1">
      <alignment wrapText="1"/>
    </xf>
    <xf numFmtId="0" fontId="37" fillId="0" borderId="0" xfId="44" applyFont="1" applyProtection="1"/>
    <xf numFmtId="0" fontId="37" fillId="0" borderId="0" xfId="44" applyFont="1" applyAlignment="1" applyProtection="1">
      <alignment vertical="center" wrapText="1"/>
    </xf>
    <xf numFmtId="0" fontId="37" fillId="0" borderId="0" xfId="44" applyFont="1" applyAlignment="1" applyProtection="1">
      <alignment vertical="center"/>
      <protection locked="0"/>
    </xf>
    <xf numFmtId="0" fontId="37" fillId="0" borderId="0" xfId="44" applyFont="1" applyProtection="1">
      <protection locked="0"/>
    </xf>
    <xf numFmtId="0" fontId="37" fillId="0" borderId="0" xfId="44" applyFont="1" applyAlignment="1" applyProtection="1">
      <alignment vertical="center" wrapText="1"/>
      <protection locked="0"/>
    </xf>
    <xf numFmtId="0" fontId="42" fillId="34" borderId="0" xfId="44" applyFont="1" applyFill="1" applyAlignment="1" applyProtection="1">
      <protection locked="0"/>
    </xf>
    <xf numFmtId="0" fontId="43" fillId="0" borderId="0" xfId="0" applyFont="1" applyBorder="1" applyAlignment="1" applyProtection="1">
      <alignment horizontal="left" vertical="center" wrapText="1"/>
      <protection locked="0"/>
    </xf>
    <xf numFmtId="0" fontId="36" fillId="34" borderId="0" xfId="44" applyFont="1" applyFill="1" applyProtection="1">
      <protection locked="0"/>
    </xf>
    <xf numFmtId="0" fontId="40" fillId="0" borderId="0" xfId="44" applyFont="1" applyProtection="1">
      <protection locked="0"/>
    </xf>
    <xf numFmtId="0" fontId="43" fillId="34" borderId="0" xfId="44" applyFont="1" applyFill="1" applyAlignment="1" applyProtection="1">
      <protection locked="0"/>
    </xf>
    <xf numFmtId="0" fontId="43" fillId="0" borderId="0" xfId="44" applyFont="1" applyAlignment="1" applyProtection="1">
      <protection locked="0"/>
    </xf>
    <xf numFmtId="0" fontId="2" fillId="0" borderId="0" xfId="44" applyProtection="1">
      <protection locked="0"/>
    </xf>
    <xf numFmtId="0" fontId="25" fillId="34" borderId="0" xfId="44" applyFont="1" applyFill="1" applyAlignment="1" applyProtection="1">
      <protection locked="0"/>
    </xf>
    <xf numFmtId="0" fontId="25" fillId="0" borderId="0" xfId="44" applyFont="1" applyAlignment="1" applyProtection="1">
      <protection locked="0"/>
    </xf>
    <xf numFmtId="0" fontId="40" fillId="0" borderId="0" xfId="44" applyFont="1" applyFill="1" applyBorder="1" applyAlignment="1" applyProtection="1">
      <alignment vertical="center" wrapText="1"/>
      <protection locked="0"/>
    </xf>
    <xf numFmtId="0" fontId="40" fillId="0" borderId="0" xfId="44" applyFont="1" applyBorder="1" applyAlignment="1" applyProtection="1">
      <alignment vertical="center" wrapText="1"/>
      <protection locked="0"/>
    </xf>
    <xf numFmtId="43" fontId="40" fillId="0" borderId="0" xfId="44" applyNumberFormat="1" applyFont="1" applyBorder="1" applyAlignment="1" applyProtection="1">
      <alignment vertical="center" wrapText="1"/>
      <protection locked="0"/>
    </xf>
    <xf numFmtId="0" fontId="40" fillId="0" borderId="0" xfId="44" applyFont="1" applyAlignment="1" applyProtection="1">
      <alignment wrapText="1"/>
      <protection locked="0"/>
    </xf>
    <xf numFmtId="0" fontId="45" fillId="0" borderId="0" xfId="44" applyFont="1" applyFill="1" applyBorder="1" applyAlignment="1" applyProtection="1">
      <alignment vertical="center"/>
      <protection locked="0"/>
    </xf>
    <xf numFmtId="0" fontId="37" fillId="0" borderId="0" xfId="44" applyFont="1" applyAlignment="1" applyProtection="1">
      <alignment wrapText="1"/>
      <protection locked="0"/>
    </xf>
    <xf numFmtId="0" fontId="46" fillId="0" borderId="0" xfId="44" applyFont="1" applyProtection="1">
      <protection locked="0"/>
    </xf>
    <xf numFmtId="0" fontId="40" fillId="0" borderId="0" xfId="44" applyFont="1" applyAlignment="1" applyProtection="1">
      <alignment vertical="top" wrapText="1"/>
      <protection locked="0"/>
    </xf>
    <xf numFmtId="0" fontId="40" fillId="0" borderId="0" xfId="44" applyFont="1" applyAlignment="1" applyProtection="1">
      <alignment vertical="top"/>
      <protection locked="0"/>
    </xf>
    <xf numFmtId="0" fontId="40" fillId="0" borderId="0" xfId="44" applyFont="1" applyFill="1" applyBorder="1" applyAlignment="1" applyProtection="1">
      <alignment wrapText="1"/>
      <protection locked="0"/>
    </xf>
    <xf numFmtId="0" fontId="40" fillId="0" borderId="0" xfId="44" applyFont="1" applyFill="1" applyBorder="1" applyProtection="1">
      <protection locked="0"/>
    </xf>
    <xf numFmtId="0" fontId="48" fillId="0" borderId="0" xfId="44" applyFont="1" applyFill="1" applyBorder="1" applyAlignment="1" applyProtection="1">
      <alignment horizontal="center" vertical="center" wrapText="1"/>
      <protection locked="0"/>
    </xf>
    <xf numFmtId="0" fontId="51" fillId="0" borderId="0" xfId="44" applyFont="1" applyAlignment="1" applyProtection="1">
      <alignment vertical="center" wrapText="1"/>
      <protection locked="0"/>
    </xf>
    <xf numFmtId="0" fontId="2" fillId="0" borderId="0" xfId="44" applyAlignment="1" applyProtection="1">
      <alignment vertical="center"/>
      <protection locked="0"/>
    </xf>
    <xf numFmtId="0" fontId="53" fillId="0" borderId="0" xfId="44" applyFont="1" applyAlignment="1" applyProtection="1">
      <alignment vertical="center" wrapText="1"/>
      <protection locked="0"/>
    </xf>
    <xf numFmtId="0" fontId="192" fillId="0" borderId="0" xfId="44" applyFont="1" applyAlignment="1" applyProtection="1">
      <alignment horizontal="center" vertical="center"/>
      <protection locked="0"/>
    </xf>
    <xf numFmtId="0" fontId="43" fillId="0" borderId="0" xfId="0" applyFont="1" applyBorder="1" applyAlignment="1" applyProtection="1">
      <alignment horizontal="left" wrapText="1"/>
      <protection locked="0"/>
    </xf>
    <xf numFmtId="0" fontId="56" fillId="36" borderId="0" xfId="44" applyFont="1" applyFill="1" applyAlignment="1" applyProtection="1">
      <alignment horizontal="right" vertical="center"/>
      <protection locked="0"/>
    </xf>
    <xf numFmtId="0" fontId="55" fillId="0" borderId="0" xfId="44" applyFont="1" applyAlignment="1" applyProtection="1">
      <alignment vertical="center"/>
      <protection locked="0"/>
    </xf>
    <xf numFmtId="0" fontId="57" fillId="36" borderId="0" xfId="44" applyFont="1" applyFill="1" applyAlignment="1" applyProtection="1">
      <alignment horizontal="right" vertical="center"/>
      <protection locked="0"/>
    </xf>
    <xf numFmtId="9" fontId="58" fillId="0" borderId="0" xfId="48" applyFont="1" applyFill="1" applyBorder="1" applyAlignment="1" applyProtection="1">
      <alignment horizontal="left" vertical="center"/>
      <protection locked="0"/>
    </xf>
    <xf numFmtId="0" fontId="47" fillId="0" borderId="0" xfId="44" applyFont="1" applyAlignment="1" applyProtection="1">
      <protection locked="0"/>
    </xf>
    <xf numFmtId="0" fontId="59" fillId="0" borderId="0" xfId="44" applyFont="1" applyAlignment="1" applyProtection="1">
      <alignment vertical="center"/>
      <protection locked="0"/>
    </xf>
    <xf numFmtId="0" fontId="22" fillId="0" borderId="0" xfId="44" applyFont="1" applyAlignment="1" applyProtection="1">
      <alignment vertical="center"/>
      <protection locked="0"/>
    </xf>
    <xf numFmtId="0" fontId="47" fillId="0" borderId="0" xfId="44" applyFont="1" applyAlignment="1" applyProtection="1">
      <alignment horizontal="right" vertical="center"/>
      <protection locked="0"/>
    </xf>
    <xf numFmtId="0" fontId="47" fillId="0" borderId="0" xfId="44" applyFont="1" applyAlignment="1" applyProtection="1">
      <alignment vertical="center"/>
      <protection locked="0"/>
    </xf>
    <xf numFmtId="0" fontId="61" fillId="0" borderId="0" xfId="44" applyFont="1" applyAlignment="1" applyProtection="1">
      <alignment vertical="center"/>
      <protection locked="0"/>
    </xf>
    <xf numFmtId="0" fontId="2" fillId="0" borderId="0" xfId="44" applyAlignment="1" applyProtection="1">
      <alignment horizontal="right" vertical="center"/>
      <protection locked="0"/>
    </xf>
    <xf numFmtId="0" fontId="23" fillId="34" borderId="0" xfId="0" applyFont="1" applyFill="1" applyAlignment="1" applyProtection="1">
      <alignment vertical="center"/>
      <protection locked="0"/>
    </xf>
    <xf numFmtId="0" fontId="23" fillId="34" borderId="0" xfId="0" applyFont="1" applyFill="1" applyAlignment="1" applyProtection="1">
      <protection locked="0"/>
    </xf>
    <xf numFmtId="0" fontId="24" fillId="34" borderId="0" xfId="0" applyFont="1" applyFill="1" applyBorder="1" applyAlignment="1" applyProtection="1">
      <alignment horizontal="center" vertical="center"/>
      <protection locked="0"/>
    </xf>
    <xf numFmtId="0" fontId="25" fillId="34" borderId="0" xfId="0" applyFont="1" applyFill="1" applyAlignment="1" applyProtection="1">
      <alignment vertical="center"/>
      <protection locked="0"/>
    </xf>
    <xf numFmtId="0" fontId="25" fillId="34" borderId="0" xfId="0" applyFont="1" applyFill="1" applyAlignment="1" applyProtection="1">
      <protection locked="0"/>
    </xf>
    <xf numFmtId="0" fontId="32" fillId="0" borderId="0" xfId="0" applyFont="1" applyProtection="1">
      <protection locked="0"/>
    </xf>
    <xf numFmtId="0" fontId="21" fillId="0" borderId="0" xfId="0" applyFont="1" applyBorder="1" applyAlignment="1" applyProtection="1">
      <protection locked="0"/>
    </xf>
    <xf numFmtId="2" fontId="92" fillId="32" borderId="0" xfId="0" applyNumberFormat="1" applyFont="1" applyFill="1" applyAlignment="1" applyProtection="1">
      <alignment horizontal="left" vertical="top"/>
      <protection locked="0"/>
    </xf>
    <xf numFmtId="0" fontId="24" fillId="34" borderId="0" xfId="0" applyFont="1" applyFill="1" applyAlignment="1" applyProtection="1">
      <protection locked="0"/>
    </xf>
    <xf numFmtId="0" fontId="25" fillId="34" borderId="0" xfId="0" applyFont="1" applyFill="1" applyAlignment="1" applyProtection="1">
      <alignment horizontal="right" vertical="center"/>
      <protection locked="0"/>
    </xf>
    <xf numFmtId="0" fontId="25" fillId="0" borderId="0" xfId="0" applyFont="1" applyAlignment="1" applyProtection="1">
      <alignment vertical="center"/>
      <protection locked="0"/>
    </xf>
    <xf numFmtId="0" fontId="25" fillId="34" borderId="0" xfId="0" applyFont="1" applyFill="1" applyAlignment="1" applyProtection="1">
      <alignment horizontal="right"/>
      <protection locked="0"/>
    </xf>
    <xf numFmtId="0" fontId="34" fillId="34" borderId="0" xfId="0" applyFont="1" applyFill="1" applyAlignment="1" applyProtection="1">
      <protection locked="0"/>
    </xf>
    <xf numFmtId="0" fontId="25" fillId="0" borderId="0" xfId="0" applyFont="1" applyAlignment="1" applyProtection="1">
      <alignment horizontal="left"/>
      <protection locked="0"/>
    </xf>
    <xf numFmtId="0" fontId="20" fillId="0" borderId="0" xfId="0" applyFont="1" applyAlignment="1" applyProtection="1">
      <alignment vertical="center"/>
    </xf>
    <xf numFmtId="0" fontId="21" fillId="0" borderId="0" xfId="0" applyFont="1" applyAlignment="1" applyProtection="1">
      <alignment vertical="center"/>
    </xf>
    <xf numFmtId="0" fontId="22" fillId="0" borderId="0" xfId="0" applyFont="1" applyProtection="1">
      <protection locked="0"/>
    </xf>
    <xf numFmtId="0" fontId="23" fillId="35" borderId="0" xfId="0" applyFont="1" applyFill="1" applyProtection="1">
      <protection locked="0"/>
    </xf>
    <xf numFmtId="0" fontId="42" fillId="34" borderId="0" xfId="0" applyFont="1" applyFill="1" applyAlignment="1" applyProtection="1">
      <protection locked="0"/>
    </xf>
    <xf numFmtId="0" fontId="73" fillId="34" borderId="0" xfId="0" applyFont="1" applyFill="1" applyAlignment="1" applyProtection="1">
      <alignment horizontal="center" vertical="top"/>
      <protection locked="0"/>
    </xf>
    <xf numFmtId="0" fontId="36" fillId="34" borderId="0" xfId="0" applyFont="1" applyFill="1" applyProtection="1">
      <protection locked="0"/>
    </xf>
    <xf numFmtId="0" fontId="21" fillId="0" borderId="0" xfId="0" applyFont="1" applyAlignment="1" applyProtection="1">
      <alignment horizontal="right"/>
      <protection locked="0"/>
    </xf>
    <xf numFmtId="0" fontId="21" fillId="0" borderId="0" xfId="0" applyFont="1" applyAlignment="1" applyProtection="1">
      <alignment horizontal="left"/>
      <protection locked="0"/>
    </xf>
    <xf numFmtId="0" fontId="26" fillId="0" borderId="0" xfId="0" applyFont="1" applyAlignment="1" applyProtection="1">
      <protection locked="0"/>
    </xf>
    <xf numFmtId="0" fontId="23" fillId="0" borderId="0" xfId="0" applyFont="1" applyFill="1" applyBorder="1" applyAlignment="1" applyProtection="1">
      <alignment horizontal="center" vertical="center"/>
      <protection locked="0"/>
    </xf>
    <xf numFmtId="0" fontId="23" fillId="0" borderId="69" xfId="0" applyNumberFormat="1" applyFont="1" applyFill="1" applyBorder="1" applyAlignment="1" applyProtection="1">
      <alignment horizontal="right" vertical="center"/>
      <protection locked="0"/>
    </xf>
    <xf numFmtId="0" fontId="23" fillId="0" borderId="0" xfId="0" applyNumberFormat="1" applyFont="1" applyFill="1" applyBorder="1" applyAlignment="1" applyProtection="1">
      <alignment horizontal="right" vertical="center"/>
      <protection locked="0"/>
    </xf>
    <xf numFmtId="43" fontId="23" fillId="0" borderId="0" xfId="0" applyNumberFormat="1" applyFont="1" applyFill="1" applyBorder="1" applyAlignment="1" applyProtection="1">
      <alignment vertical="center"/>
      <protection locked="0"/>
    </xf>
    <xf numFmtId="43" fontId="23" fillId="0" borderId="69" xfId="0" applyNumberFormat="1" applyFont="1" applyFill="1" applyBorder="1" applyAlignment="1" applyProtection="1">
      <alignment vertical="center"/>
      <protection locked="0"/>
    </xf>
    <xf numFmtId="0" fontId="0" fillId="0" borderId="0" xfId="0" applyFill="1" applyAlignment="1" applyProtection="1">
      <alignment vertical="center"/>
      <protection locked="0"/>
    </xf>
    <xf numFmtId="0" fontId="43" fillId="0" borderId="0" xfId="0" applyFont="1" applyAlignment="1" applyProtection="1">
      <alignment horizontal="center" vertical="top"/>
      <protection locked="0"/>
    </xf>
    <xf numFmtId="0" fontId="19" fillId="0" borderId="0" xfId="0" applyFont="1" applyAlignment="1" applyProtection="1">
      <alignment horizontal="center"/>
      <protection locked="0"/>
    </xf>
    <xf numFmtId="0" fontId="187" fillId="0" borderId="0" xfId="0" applyFont="1" applyAlignment="1" applyProtection="1">
      <alignment horizontal="left"/>
      <protection locked="0"/>
    </xf>
    <xf numFmtId="0" fontId="26" fillId="0" borderId="0" xfId="0" applyFont="1" applyAlignment="1" applyProtection="1">
      <alignment horizontal="center"/>
      <protection locked="0"/>
    </xf>
    <xf numFmtId="0" fontId="0" fillId="0" borderId="0" xfId="0" applyAlignment="1" applyProtection="1">
      <alignment vertical="top"/>
      <protection locked="0"/>
    </xf>
    <xf numFmtId="0" fontId="188" fillId="0" borderId="0" xfId="0" applyFont="1" applyAlignment="1" applyProtection="1">
      <alignment horizontal="center" vertical="top"/>
      <protection locked="0"/>
    </xf>
    <xf numFmtId="0" fontId="36" fillId="35" borderId="0" xfId="0" applyFont="1" applyFill="1" applyAlignment="1" applyProtection="1">
      <alignment horizontal="right"/>
      <protection locked="0"/>
    </xf>
    <xf numFmtId="0" fontId="36" fillId="35" borderId="0" xfId="0" applyFont="1" applyFill="1" applyAlignment="1" applyProtection="1">
      <alignment horizontal="left"/>
      <protection locked="0"/>
    </xf>
    <xf numFmtId="0" fontId="26" fillId="35" borderId="0" xfId="0" applyFont="1" applyFill="1" applyAlignment="1" applyProtection="1">
      <alignment horizontal="center"/>
      <protection locked="0"/>
    </xf>
    <xf numFmtId="0" fontId="47" fillId="0" borderId="0" xfId="0" applyFont="1" applyAlignment="1" applyProtection="1">
      <protection locked="0"/>
    </xf>
    <xf numFmtId="0" fontId="107" fillId="0" borderId="0" xfId="0" applyFont="1" applyAlignment="1" applyProtection="1">
      <alignment vertical="center"/>
      <protection locked="0"/>
    </xf>
    <xf numFmtId="0" fontId="107" fillId="0" borderId="0" xfId="0" applyFont="1" applyAlignment="1" applyProtection="1">
      <alignment horizontal="left"/>
      <protection locked="0"/>
    </xf>
    <xf numFmtId="0" fontId="189" fillId="0" borderId="0" xfId="0" applyFont="1" applyProtection="1">
      <protection locked="0"/>
    </xf>
    <xf numFmtId="0" fontId="0" fillId="0" borderId="0" xfId="0" applyFill="1" applyBorder="1" applyAlignment="1" applyProtection="1">
      <alignment horizontal="left" indent="4"/>
      <protection locked="0"/>
    </xf>
    <xf numFmtId="0" fontId="158" fillId="34" borderId="0" xfId="0" applyFont="1" applyFill="1" applyBorder="1" applyAlignment="1" applyProtection="1">
      <alignment vertical="center"/>
      <protection locked="0"/>
    </xf>
    <xf numFmtId="0" fontId="90" fillId="34" borderId="0" xfId="0" quotePrefix="1" applyFont="1" applyFill="1" applyBorder="1" applyAlignment="1" applyProtection="1">
      <alignment vertical="center"/>
      <protection locked="0"/>
    </xf>
    <xf numFmtId="0" fontId="90" fillId="34" borderId="0" xfId="0" applyFont="1" applyFill="1" applyBorder="1" applyAlignment="1" applyProtection="1">
      <alignment vertical="center"/>
      <protection locked="0"/>
    </xf>
    <xf numFmtId="0" fontId="0" fillId="0" borderId="0" xfId="0" applyBorder="1" applyAlignment="1" applyProtection="1">
      <alignment horizontal="left"/>
      <protection locked="0"/>
    </xf>
    <xf numFmtId="0" fontId="155" fillId="0" borderId="0" xfId="0" applyFont="1" applyBorder="1" applyProtection="1">
      <protection locked="0"/>
    </xf>
    <xf numFmtId="0" fontId="1" fillId="0" borderId="0" xfId="0" applyFont="1" applyProtection="1">
      <protection locked="0"/>
    </xf>
    <xf numFmtId="0" fontId="59" fillId="0" borderId="0" xfId="44" applyFont="1" applyAlignment="1" applyProtection="1">
      <alignment vertical="center"/>
    </xf>
    <xf numFmtId="0" fontId="70" fillId="0" borderId="0" xfId="44" applyFont="1" applyAlignment="1" applyProtection="1">
      <alignment vertical="center"/>
      <protection locked="0"/>
    </xf>
    <xf numFmtId="0" fontId="69" fillId="0" borderId="0" xfId="44" applyFont="1" applyAlignment="1" applyProtection="1">
      <alignment horizontal="right" vertical="center"/>
      <protection locked="0"/>
    </xf>
    <xf numFmtId="0" fontId="69" fillId="0" borderId="0" xfId="44" applyFont="1" applyAlignment="1" applyProtection="1">
      <alignment vertical="center"/>
      <protection locked="0"/>
    </xf>
    <xf numFmtId="0" fontId="57" fillId="0" borderId="0" xfId="44" applyFont="1" applyAlignment="1" applyProtection="1">
      <alignment horizontal="right" vertical="center"/>
      <protection locked="0"/>
    </xf>
    <xf numFmtId="0" fontId="59" fillId="0" borderId="0" xfId="44" applyFont="1" applyAlignment="1" applyProtection="1">
      <alignment horizontal="center" vertical="center"/>
      <protection locked="0"/>
    </xf>
    <xf numFmtId="0" fontId="73" fillId="0" borderId="0" xfId="0" applyFont="1" applyAlignment="1" applyProtection="1">
      <alignment vertical="center"/>
      <protection locked="0"/>
    </xf>
    <xf numFmtId="0" fontId="0" fillId="0" borderId="0" xfId="0" applyAlignment="1" applyProtection="1">
      <alignment vertical="center"/>
    </xf>
    <xf numFmtId="0" fontId="0" fillId="0" borderId="0" xfId="0" applyAlignment="1" applyProtection="1">
      <alignment horizontal="right" vertical="top"/>
      <protection locked="0"/>
    </xf>
    <xf numFmtId="0" fontId="47" fillId="0" borderId="0" xfId="0" applyFont="1" applyAlignment="1" applyProtection="1">
      <alignment vertical="top"/>
      <protection locked="0"/>
    </xf>
    <xf numFmtId="0" fontId="47" fillId="0" borderId="0" xfId="0" applyFont="1" applyAlignment="1" applyProtection="1">
      <alignment horizontal="center" vertical="top"/>
      <protection locked="0"/>
    </xf>
    <xf numFmtId="0" fontId="57" fillId="0" borderId="0" xfId="45" applyFont="1" applyAlignment="1" applyProtection="1">
      <alignment vertical="center" wrapText="1"/>
      <protection locked="0"/>
    </xf>
    <xf numFmtId="0" fontId="2" fillId="0" borderId="0" xfId="45" applyAlignment="1" applyProtection="1">
      <alignment vertical="center"/>
      <protection locked="0"/>
    </xf>
    <xf numFmtId="0" fontId="2" fillId="0" borderId="0" xfId="45" applyProtection="1"/>
    <xf numFmtId="0" fontId="86" fillId="0" borderId="0" xfId="45" applyFont="1" applyProtection="1">
      <protection locked="0"/>
    </xf>
    <xf numFmtId="0" fontId="57" fillId="0" borderId="0" xfId="45" applyFont="1" applyProtection="1">
      <protection locked="0"/>
    </xf>
    <xf numFmtId="0" fontId="57" fillId="0" borderId="0" xfId="45" applyFont="1" applyAlignment="1" applyProtection="1">
      <alignment vertical="center"/>
      <protection locked="0"/>
    </xf>
    <xf numFmtId="0" fontId="87" fillId="0" borderId="0" xfId="45" applyFont="1" applyAlignment="1" applyProtection="1">
      <alignment horizontal="center" vertical="center"/>
      <protection locked="0"/>
    </xf>
    <xf numFmtId="0" fontId="57" fillId="0" borderId="0" xfId="45" applyFont="1" applyAlignment="1" applyProtection="1">
      <alignment horizontal="center"/>
      <protection locked="0"/>
    </xf>
    <xf numFmtId="0" fontId="110" fillId="34" borderId="113" xfId="0" applyFont="1" applyFill="1" applyBorder="1" applyAlignment="1">
      <alignment horizontal="center" vertical="center" wrapText="1"/>
    </xf>
    <xf numFmtId="0" fontId="54" fillId="0" borderId="0" xfId="0" applyFont="1" applyBorder="1" applyProtection="1">
      <protection locked="0"/>
    </xf>
    <xf numFmtId="0" fontId="54" fillId="0" borderId="0" xfId="0" applyFont="1" applyFill="1" applyBorder="1" applyProtection="1"/>
    <xf numFmtId="9" fontId="113" fillId="34" borderId="113" xfId="28" applyNumberFormat="1" applyFont="1" applyFill="1" applyBorder="1" applyAlignment="1" applyProtection="1">
      <alignment horizontal="right" vertical="center" wrapText="1"/>
    </xf>
    <xf numFmtId="10" fontId="113" fillId="34" borderId="15" xfId="28" applyNumberFormat="1" applyFont="1" applyFill="1" applyBorder="1" applyAlignment="1" applyProtection="1">
      <alignment horizontal="right" vertical="center" wrapText="1"/>
    </xf>
    <xf numFmtId="10" fontId="113" fillId="34" borderId="317" xfId="28" applyNumberFormat="1" applyFont="1" applyFill="1" applyBorder="1" applyAlignment="1" applyProtection="1">
      <alignment horizontal="right" vertical="center" wrapText="1"/>
    </xf>
    <xf numFmtId="10" fontId="113" fillId="34" borderId="318" xfId="28" applyNumberFormat="1" applyFont="1" applyFill="1" applyBorder="1" applyAlignment="1" applyProtection="1">
      <alignment horizontal="right" vertical="center" wrapText="1"/>
    </xf>
    <xf numFmtId="0" fontId="36" fillId="34" borderId="319" xfId="42" applyFont="1" applyFill="1" applyBorder="1" applyAlignment="1">
      <alignment horizontal="center" vertical="center" wrapText="1"/>
    </xf>
    <xf numFmtId="0" fontId="36" fillId="34" borderId="137" xfId="42" applyFont="1" applyFill="1" applyBorder="1" applyAlignment="1">
      <alignment horizontal="center" vertical="center" wrapText="1"/>
    </xf>
    <xf numFmtId="0" fontId="36" fillId="34" borderId="245" xfId="42" applyFont="1" applyFill="1" applyBorder="1" applyAlignment="1">
      <alignment horizontal="center" vertical="center" wrapText="1"/>
    </xf>
    <xf numFmtId="10" fontId="113" fillId="34" borderId="320" xfId="28" applyNumberFormat="1" applyFont="1" applyFill="1" applyBorder="1" applyAlignment="1" applyProtection="1">
      <alignment horizontal="right" vertical="center" wrapText="1"/>
    </xf>
    <xf numFmtId="0" fontId="110" fillId="34" borderId="322" xfId="0" applyFont="1" applyFill="1" applyBorder="1" applyAlignment="1">
      <alignment horizontal="center" vertical="center" wrapText="1"/>
    </xf>
    <xf numFmtId="0" fontId="110" fillId="34" borderId="321" xfId="0" applyFont="1" applyFill="1" applyBorder="1" applyAlignment="1">
      <alignment horizontal="center" vertical="center" wrapText="1"/>
    </xf>
    <xf numFmtId="0" fontId="110" fillId="34" borderId="320" xfId="0" applyFont="1" applyFill="1" applyBorder="1" applyAlignment="1">
      <alignment horizontal="center" vertical="center" wrapText="1"/>
    </xf>
    <xf numFmtId="10" fontId="113" fillId="34" borderId="323" xfId="28" applyNumberFormat="1" applyFont="1" applyFill="1" applyBorder="1" applyAlignment="1" applyProtection="1">
      <alignment horizontal="right" vertical="center" wrapText="1"/>
    </xf>
    <xf numFmtId="10" fontId="113" fillId="34" borderId="324" xfId="28" applyNumberFormat="1" applyFont="1" applyFill="1" applyBorder="1" applyAlignment="1" applyProtection="1">
      <alignment horizontal="right" vertical="center" wrapText="1"/>
    </xf>
    <xf numFmtId="10" fontId="113" fillId="34" borderId="45" xfId="28" applyNumberFormat="1" applyFont="1" applyFill="1" applyBorder="1" applyAlignment="1" applyProtection="1">
      <alignment horizontal="right" vertical="center" wrapText="1"/>
    </xf>
    <xf numFmtId="10" fontId="113" fillId="34" borderId="86" xfId="28" applyNumberFormat="1" applyFont="1" applyFill="1" applyBorder="1" applyAlignment="1" applyProtection="1">
      <alignment horizontal="right" vertical="center" wrapText="1"/>
    </xf>
    <xf numFmtId="0" fontId="1" fillId="34" borderId="124" xfId="42" applyFont="1" applyFill="1" applyBorder="1" applyProtection="1">
      <protection locked="0"/>
    </xf>
    <xf numFmtId="10" fontId="1" fillId="34" borderId="19" xfId="42" applyNumberFormat="1" applyFont="1" applyFill="1" applyBorder="1" applyProtection="1"/>
    <xf numFmtId="10" fontId="277" fillId="34" borderId="19" xfId="42" applyNumberFormat="1" applyFont="1" applyFill="1" applyBorder="1"/>
    <xf numFmtId="10" fontId="1" fillId="27" borderId="79" xfId="42" applyNumberFormat="1" applyFont="1" applyFill="1" applyBorder="1"/>
    <xf numFmtId="0" fontId="44" fillId="39" borderId="41" xfId="44" applyFont="1" applyFill="1" applyBorder="1" applyAlignment="1">
      <alignment vertical="center" wrapText="1"/>
    </xf>
    <xf numFmtId="0" fontId="44" fillId="39" borderId="238" xfId="44" applyFont="1" applyFill="1" applyBorder="1" applyAlignment="1">
      <alignment vertical="center" wrapText="1"/>
    </xf>
    <xf numFmtId="43" fontId="44" fillId="39" borderId="23" xfId="44" applyNumberFormat="1" applyFont="1" applyFill="1" applyBorder="1" applyAlignment="1">
      <alignment vertical="center" wrapText="1"/>
    </xf>
    <xf numFmtId="43" fontId="59" fillId="0" borderId="23" xfId="28" applyFont="1" applyBorder="1" applyProtection="1">
      <protection locked="0"/>
    </xf>
    <xf numFmtId="43" fontId="54" fillId="0" borderId="221" xfId="28" applyFont="1" applyBorder="1" applyProtection="1">
      <protection locked="0"/>
    </xf>
    <xf numFmtId="43" fontId="37" fillId="0" borderId="0" xfId="28" applyFont="1"/>
    <xf numFmtId="43" fontId="54" fillId="35" borderId="221" xfId="28" applyFont="1" applyFill="1" applyBorder="1" applyProtection="1"/>
    <xf numFmtId="43" fontId="37" fillId="0" borderId="221" xfId="28" applyFont="1" applyBorder="1" applyProtection="1">
      <protection locked="0"/>
    </xf>
    <xf numFmtId="43" fontId="54" fillId="34" borderId="222" xfId="28" applyFont="1" applyFill="1" applyBorder="1"/>
    <xf numFmtId="43" fontId="54" fillId="34" borderId="222" xfId="28" applyFont="1" applyFill="1" applyBorder="1" applyProtection="1"/>
    <xf numFmtId="43" fontId="54" fillId="34" borderId="150" xfId="28" applyFont="1" applyFill="1" applyBorder="1"/>
    <xf numFmtId="43" fontId="54" fillId="0" borderId="0" xfId="28" applyFont="1"/>
    <xf numFmtId="43" fontId="54" fillId="34" borderId="150" xfId="28" applyFont="1" applyFill="1" applyBorder="1" applyProtection="1"/>
    <xf numFmtId="43" fontId="54" fillId="34" borderId="221" xfId="28" applyFont="1" applyFill="1" applyBorder="1" applyProtection="1"/>
    <xf numFmtId="174" fontId="54" fillId="35" borderId="221" xfId="0" applyNumberFormat="1" applyFont="1" applyFill="1" applyBorder="1" applyProtection="1"/>
    <xf numFmtId="174" fontId="54" fillId="34" borderId="221" xfId="0" applyNumberFormat="1" applyFont="1" applyFill="1" applyBorder="1" applyProtection="1"/>
    <xf numFmtId="43" fontId="54" fillId="34" borderId="223" xfId="28" applyFont="1" applyFill="1" applyBorder="1"/>
    <xf numFmtId="43" fontId="54" fillId="34" borderId="223" xfId="28" applyFont="1" applyFill="1" applyBorder="1" applyProtection="1"/>
    <xf numFmtId="43" fontId="37" fillId="0" borderId="0" xfId="28" applyFont="1" applyAlignment="1">
      <alignment vertical="center"/>
    </xf>
    <xf numFmtId="43" fontId="37" fillId="0" borderId="0" xfId="28" applyFont="1" applyBorder="1" applyAlignment="1">
      <alignment vertical="center"/>
    </xf>
    <xf numFmtId="43" fontId="37" fillId="34" borderId="222" xfId="28" applyFont="1" applyFill="1" applyBorder="1"/>
    <xf numFmtId="43" fontId="37" fillId="34" borderId="222" xfId="28" applyFont="1" applyFill="1" applyBorder="1" applyProtection="1"/>
    <xf numFmtId="43" fontId="37" fillId="34" borderId="150" xfId="28" applyFont="1" applyFill="1" applyBorder="1"/>
    <xf numFmtId="43" fontId="37" fillId="34" borderId="150" xfId="28" applyFont="1" applyFill="1" applyBorder="1" applyProtection="1"/>
    <xf numFmtId="43" fontId="185" fillId="0" borderId="0" xfId="28" applyFont="1"/>
    <xf numFmtId="43" fontId="54" fillId="34" borderId="224" xfId="28" applyFont="1" applyFill="1" applyBorder="1"/>
    <xf numFmtId="43" fontId="54" fillId="34" borderId="224" xfId="28" applyFont="1" applyFill="1" applyBorder="1" applyProtection="1"/>
    <xf numFmtId="9" fontId="25" fillId="24" borderId="83" xfId="48" applyFont="1" applyFill="1" applyBorder="1" applyAlignment="1" applyProtection="1">
      <alignment horizontal="center" vertical="center"/>
    </xf>
    <xf numFmtId="9" fontId="25" fillId="24" borderId="31" xfId="48" applyFont="1" applyFill="1" applyBorder="1" applyAlignment="1">
      <alignment horizontal="center" vertical="center"/>
    </xf>
    <xf numFmtId="0" fontId="158" fillId="0" borderId="0" xfId="54" applyFont="1" applyFill="1" applyBorder="1" applyAlignment="1" applyProtection="1">
      <alignment horizontal="left" vertical="center" indent="1"/>
      <protection locked="0"/>
    </xf>
    <xf numFmtId="0" fontId="90" fillId="0" borderId="0" xfId="54" applyFont="1" applyFill="1" applyBorder="1" applyAlignment="1" applyProtection="1">
      <alignment horizontal="left" vertical="center" indent="1"/>
      <protection locked="0"/>
    </xf>
    <xf numFmtId="173" fontId="177" fillId="0" borderId="0" xfId="54" applyNumberFormat="1" applyFont="1" applyBorder="1" applyAlignment="1" applyProtection="1">
      <alignment vertical="center"/>
      <protection locked="0"/>
    </xf>
    <xf numFmtId="0" fontId="159" fillId="0" borderId="0" xfId="0" applyFont="1" applyProtection="1">
      <protection locked="0"/>
    </xf>
    <xf numFmtId="2" fontId="0" fillId="0" borderId="0" xfId="0" applyNumberFormat="1" applyProtection="1">
      <protection locked="0"/>
    </xf>
    <xf numFmtId="0" fontId="250" fillId="0" borderId="0" xfId="0" applyFont="1" applyAlignment="1" applyProtection="1">
      <protection locked="0"/>
    </xf>
    <xf numFmtId="0" fontId="0" fillId="34" borderId="288" xfId="0" applyFill="1" applyBorder="1"/>
    <xf numFmtId="0" fontId="109" fillId="34" borderId="171" xfId="0" applyFont="1" applyFill="1" applyBorder="1" applyAlignment="1">
      <alignment horizontal="center" vertical="center" wrapText="1"/>
    </xf>
    <xf numFmtId="4" fontId="109" fillId="34" borderId="171" xfId="0" applyNumberFormat="1" applyFont="1" applyFill="1" applyBorder="1" applyAlignment="1">
      <alignment horizontal="center" vertical="center" wrapText="1"/>
    </xf>
    <xf numFmtId="4" fontId="109" fillId="34" borderId="172" xfId="0" applyNumberFormat="1" applyFont="1" applyFill="1" applyBorder="1" applyAlignment="1">
      <alignment horizontal="center" vertical="center" wrapText="1"/>
    </xf>
    <xf numFmtId="0" fontId="56" fillId="0" borderId="0" xfId="44" applyFont="1" applyAlignment="1" applyProtection="1">
      <alignment horizontal="left" vertical="top"/>
      <protection locked="0"/>
    </xf>
    <xf numFmtId="0" fontId="59" fillId="0" borderId="0" xfId="44" applyFont="1" applyAlignment="1" applyProtection="1">
      <alignment horizontal="left" vertical="top"/>
      <protection locked="0"/>
    </xf>
    <xf numFmtId="0" fontId="57" fillId="34" borderId="163" xfId="45" applyFont="1" applyFill="1" applyBorder="1" applyAlignment="1">
      <alignment vertical="center"/>
    </xf>
    <xf numFmtId="0" fontId="82" fillId="34" borderId="163" xfId="45" applyFont="1" applyFill="1" applyBorder="1" applyAlignment="1">
      <alignment vertical="center"/>
    </xf>
    <xf numFmtId="0" fontId="2" fillId="34" borderId="164" xfId="45" applyFill="1" applyBorder="1" applyAlignment="1">
      <alignment vertical="center"/>
    </xf>
    <xf numFmtId="0" fontId="57" fillId="34" borderId="162" xfId="45" applyFont="1" applyFill="1" applyBorder="1" applyAlignment="1">
      <alignment vertical="center"/>
    </xf>
    <xf numFmtId="0" fontId="56" fillId="0" borderId="0" xfId="44" applyFont="1" applyAlignment="1" applyProtection="1">
      <alignment horizontal="left" vertical="top"/>
      <protection locked="0"/>
    </xf>
    <xf numFmtId="0" fontId="94" fillId="0" borderId="0" xfId="55" applyNumberFormat="1" applyFont="1" applyFill="1" applyBorder="1" applyAlignment="1" applyProtection="1">
      <alignment horizontal="left" vertical="center"/>
      <protection locked="0"/>
    </xf>
    <xf numFmtId="0" fontId="22" fillId="34" borderId="52" xfId="0" applyFont="1" applyFill="1" applyBorder="1" applyAlignment="1">
      <alignment vertical="center" wrapText="1"/>
    </xf>
    <xf numFmtId="0" fontId="27" fillId="0" borderId="104" xfId="0" applyFont="1" applyBorder="1" applyAlignment="1" applyProtection="1">
      <alignment vertical="center"/>
      <protection locked="0"/>
    </xf>
    <xf numFmtId="0" fontId="27" fillId="0" borderId="101" xfId="0" applyFont="1" applyBorder="1" applyAlignment="1" applyProtection="1">
      <alignment vertical="center"/>
      <protection locked="0"/>
    </xf>
    <xf numFmtId="0" fontId="27" fillId="0" borderId="85" xfId="0" applyFont="1" applyBorder="1" applyProtection="1">
      <protection locked="0"/>
    </xf>
    <xf numFmtId="43" fontId="27" fillId="0" borderId="101" xfId="0" applyNumberFormat="1" applyFont="1" applyBorder="1" applyAlignment="1" applyProtection="1">
      <alignment vertical="center"/>
      <protection locked="0"/>
    </xf>
    <xf numFmtId="9" fontId="27" fillId="0" borderId="101" xfId="48" applyFont="1" applyBorder="1" applyAlignment="1" applyProtection="1">
      <alignment horizontal="center" vertical="center"/>
      <protection locked="0"/>
    </xf>
    <xf numFmtId="0" fontId="27" fillId="0" borderId="87" xfId="0" applyFont="1" applyBorder="1" applyAlignment="1" applyProtection="1">
      <alignment vertical="center"/>
      <protection locked="0"/>
    </xf>
    <xf numFmtId="0" fontId="27" fillId="0" borderId="0" xfId="0" applyFont="1" applyAlignment="1">
      <alignment vertical="center"/>
    </xf>
    <xf numFmtId="0" fontId="1" fillId="34" borderId="124" xfId="42" applyFont="1" applyFill="1" applyBorder="1" applyProtection="1"/>
    <xf numFmtId="10" fontId="1" fillId="34" borderId="19" xfId="42" applyNumberFormat="1" applyFont="1" applyFill="1" applyBorder="1" applyProtection="1">
      <protection locked="0"/>
    </xf>
    <xf numFmtId="0" fontId="105" fillId="0" borderId="0" xfId="0" applyFont="1" applyAlignment="1" applyProtection="1">
      <alignment horizontal="left" vertical="center"/>
      <protection locked="0"/>
    </xf>
    <xf numFmtId="0" fontId="92" fillId="0" borderId="0" xfId="0" applyFont="1" applyAlignment="1" applyProtection="1">
      <alignment horizontal="left" vertical="center"/>
      <protection locked="0"/>
    </xf>
    <xf numFmtId="0" fontId="69" fillId="0" borderId="0" xfId="0" applyFont="1" applyAlignment="1" applyProtection="1">
      <alignment horizontal="center" vertical="center"/>
      <protection locked="0"/>
    </xf>
    <xf numFmtId="0" fontId="98" fillId="0" borderId="0" xfId="0" applyFont="1" applyAlignment="1" applyProtection="1">
      <alignment horizontal="center" vertical="center"/>
      <protection locked="0"/>
    </xf>
    <xf numFmtId="0" fontId="69" fillId="0" borderId="0" xfId="0" applyFont="1" applyAlignment="1" applyProtection="1">
      <alignment horizontal="left" vertical="center"/>
      <protection locked="0"/>
    </xf>
    <xf numFmtId="0" fontId="98" fillId="0" borderId="0" xfId="0" applyFont="1" applyAlignment="1" applyProtection="1">
      <alignment horizontal="left" vertical="center"/>
      <protection locked="0"/>
    </xf>
    <xf numFmtId="0" fontId="104" fillId="0" borderId="0" xfId="0" applyFont="1" applyBorder="1" applyAlignment="1" applyProtection="1">
      <alignment horizontal="left" vertical="center" wrapText="1"/>
      <protection locked="0"/>
    </xf>
    <xf numFmtId="0" fontId="99" fillId="0" borderId="0" xfId="0" applyFont="1" applyAlignment="1" applyProtection="1">
      <alignment horizontal="center" vertical="center"/>
      <protection locked="0"/>
    </xf>
    <xf numFmtId="0" fontId="113" fillId="0" borderId="0" xfId="0" applyFont="1" applyAlignment="1" applyProtection="1">
      <alignment horizontal="center" vertical="center"/>
      <protection locked="0"/>
    </xf>
    <xf numFmtId="0" fontId="1" fillId="0" borderId="0" xfId="42" applyFont="1" applyFill="1" applyAlignment="1" applyProtection="1">
      <alignment horizontal="center" vertical="center"/>
      <protection locked="0"/>
    </xf>
    <xf numFmtId="0" fontId="155" fillId="0" borderId="0" xfId="54" applyFont="1" applyBorder="1" applyAlignment="1" applyProtection="1">
      <alignment horizontal="center"/>
      <protection locked="0"/>
    </xf>
    <xf numFmtId="0" fontId="155" fillId="0" borderId="0" xfId="54" quotePrefix="1" applyFont="1" applyBorder="1" applyAlignment="1" applyProtection="1">
      <alignment horizontal="center"/>
      <protection locked="0"/>
    </xf>
    <xf numFmtId="0" fontId="155" fillId="0" borderId="0" xfId="54" applyFont="1" applyBorder="1" applyAlignment="1" applyProtection="1">
      <alignment horizontal="left" vertical="center" indent="10"/>
      <protection locked="0"/>
    </xf>
    <xf numFmtId="0" fontId="23" fillId="0" borderId="0" xfId="0" applyFont="1" applyAlignment="1" applyProtection="1">
      <alignment horizontal="center"/>
      <protection locked="0"/>
    </xf>
    <xf numFmtId="0" fontId="98" fillId="0" borderId="0" xfId="0" applyFont="1" applyAlignment="1" applyProtection="1">
      <alignment horizontal="center" vertical="center"/>
      <protection locked="0"/>
    </xf>
    <xf numFmtId="49" fontId="0" fillId="0" borderId="0" xfId="0" applyNumberFormat="1" applyAlignment="1">
      <alignment horizontal="center"/>
    </xf>
    <xf numFmtId="49" fontId="0" fillId="39" borderId="0" xfId="0" applyNumberFormat="1" applyFill="1"/>
    <xf numFmtId="0" fontId="0" fillId="39" borderId="0" xfId="0" applyFill="1" applyAlignment="1">
      <alignment horizontal="center"/>
    </xf>
    <xf numFmtId="0" fontId="0" fillId="0" borderId="0" xfId="0" applyAlignment="1">
      <alignment horizontal="center" vertical="top"/>
    </xf>
    <xf numFmtId="0" fontId="36" fillId="0" borderId="23" xfId="0" applyFont="1" applyBorder="1" applyAlignment="1">
      <alignment horizontal="center" vertical="center"/>
    </xf>
    <xf numFmtId="0" fontId="19" fillId="0" borderId="23" xfId="0" applyFont="1" applyBorder="1" applyAlignment="1">
      <alignment horizontal="center" vertical="center"/>
    </xf>
    <xf numFmtId="49" fontId="19" fillId="0" borderId="23" xfId="0" applyNumberFormat="1" applyFont="1" applyBorder="1" applyAlignment="1">
      <alignment horizontal="center" vertical="center"/>
    </xf>
    <xf numFmtId="49" fontId="19" fillId="39" borderId="23" xfId="0" applyNumberFormat="1" applyFont="1" applyFill="1" applyBorder="1" applyAlignment="1">
      <alignment horizontal="center" vertical="center"/>
    </xf>
    <xf numFmtId="0" fontId="0" fillId="0" borderId="23" xfId="0" applyBorder="1" applyAlignment="1">
      <alignment vertical="center"/>
    </xf>
    <xf numFmtId="0" fontId="282" fillId="34" borderId="23" xfId="0" applyFont="1" applyFill="1" applyBorder="1" applyAlignment="1">
      <alignment vertical="center"/>
    </xf>
    <xf numFmtId="0" fontId="43" fillId="0" borderId="23" xfId="0" applyFont="1" applyBorder="1" applyAlignment="1">
      <alignment vertical="center"/>
    </xf>
    <xf numFmtId="0" fontId="120" fillId="0" borderId="23" xfId="0" applyFont="1" applyFill="1" applyBorder="1" applyAlignment="1">
      <alignment vertical="center"/>
    </xf>
    <xf numFmtId="0" fontId="1" fillId="0" borderId="23" xfId="0" applyNumberFormat="1" applyFont="1" applyBorder="1" applyAlignment="1">
      <alignment vertical="center"/>
    </xf>
    <xf numFmtId="0" fontId="120" fillId="0" borderId="23" xfId="0" applyFont="1" applyBorder="1" applyAlignment="1">
      <alignment horizontal="center" vertical="center"/>
    </xf>
    <xf numFmtId="0" fontId="120" fillId="0" borderId="23" xfId="0" applyFont="1" applyBorder="1" applyAlignment="1">
      <alignment vertical="center"/>
    </xf>
    <xf numFmtId="0" fontId="25" fillId="0" borderId="23" xfId="0" applyFont="1" applyBorder="1" applyAlignment="1">
      <alignment horizontal="center" vertical="center"/>
    </xf>
    <xf numFmtId="0" fontId="25" fillId="39" borderId="23" xfId="0" applyFont="1" applyFill="1" applyBorder="1" applyAlignment="1">
      <alignment horizontal="center" vertical="center"/>
    </xf>
    <xf numFmtId="0" fontId="0" fillId="0" borderId="236" xfId="0" applyBorder="1" applyAlignment="1">
      <alignment vertical="center"/>
    </xf>
    <xf numFmtId="0" fontId="0" fillId="0" borderId="113" xfId="0" applyBorder="1" applyAlignment="1">
      <alignment vertical="center"/>
    </xf>
    <xf numFmtId="0" fontId="0" fillId="0" borderId="43" xfId="0" applyBorder="1" applyAlignment="1">
      <alignment vertical="center"/>
    </xf>
    <xf numFmtId="0" fontId="0" fillId="39" borderId="23" xfId="0" applyFill="1" applyBorder="1" applyAlignment="1">
      <alignment vertical="center"/>
    </xf>
    <xf numFmtId="0" fontId="283" fillId="30" borderId="23" xfId="0" applyFont="1" applyFill="1" applyBorder="1" applyAlignment="1">
      <alignment vertical="center"/>
    </xf>
    <xf numFmtId="0" fontId="283" fillId="39" borderId="23" xfId="0" applyFont="1" applyFill="1" applyBorder="1" applyAlignment="1">
      <alignment vertical="center"/>
    </xf>
    <xf numFmtId="0" fontId="282" fillId="30" borderId="23" xfId="0" applyFont="1" applyFill="1" applyBorder="1" applyAlignment="1">
      <alignment vertical="center"/>
    </xf>
    <xf numFmtId="0" fontId="283" fillId="46" borderId="23" xfId="0" applyFont="1" applyFill="1" applyBorder="1" applyAlignment="1">
      <alignment vertical="center"/>
    </xf>
    <xf numFmtId="0" fontId="0" fillId="39" borderId="23" xfId="0" applyFill="1" applyBorder="1" applyAlignment="1">
      <alignment horizontal="center" vertical="center"/>
    </xf>
    <xf numFmtId="0" fontId="283" fillId="47" borderId="23" xfId="0" applyFont="1" applyFill="1" applyBorder="1" applyAlignment="1">
      <alignment vertical="center"/>
    </xf>
    <xf numFmtId="0" fontId="283" fillId="47" borderId="23" xfId="0" applyFont="1" applyFill="1" applyBorder="1" applyAlignment="1">
      <alignment horizontal="left" vertical="center"/>
    </xf>
    <xf numFmtId="0" fontId="283" fillId="48" borderId="23" xfId="0" applyFont="1" applyFill="1" applyBorder="1" applyAlignment="1">
      <alignment horizontal="left" vertical="center"/>
    </xf>
    <xf numFmtId="0" fontId="283" fillId="48" borderId="23" xfId="0" applyFont="1" applyFill="1" applyBorder="1" applyAlignment="1">
      <alignment vertical="center"/>
    </xf>
    <xf numFmtId="0" fontId="283" fillId="49" borderId="23" xfId="0" applyFont="1" applyFill="1" applyBorder="1" applyAlignment="1">
      <alignment vertical="center"/>
    </xf>
    <xf numFmtId="0" fontId="0" fillId="0" borderId="0" xfId="0" applyBorder="1" applyAlignment="1">
      <alignment vertical="center"/>
    </xf>
    <xf numFmtId="0" fontId="30" fillId="0" borderId="23" xfId="0" applyFont="1" applyBorder="1" applyAlignment="1">
      <alignment horizontal="center" vertical="center"/>
    </xf>
    <xf numFmtId="0" fontId="30" fillId="39" borderId="23" xfId="0" applyFont="1" applyFill="1" applyBorder="1" applyAlignment="1">
      <alignment horizontal="center" vertical="center"/>
    </xf>
    <xf numFmtId="0" fontId="0" fillId="39" borderId="0" xfId="0" applyFill="1" applyBorder="1" applyAlignment="1">
      <alignment vertical="center"/>
    </xf>
    <xf numFmtId="0" fontId="0" fillId="39" borderId="0" xfId="0" applyFill="1" applyBorder="1" applyAlignment="1">
      <alignment horizontal="center" vertical="center"/>
    </xf>
    <xf numFmtId="0" fontId="33" fillId="0" borderId="0" xfId="0" applyFont="1" applyBorder="1" applyAlignment="1">
      <alignment vertical="center"/>
    </xf>
    <xf numFmtId="0" fontId="48" fillId="0" borderId="0" xfId="0" applyFont="1" applyBorder="1" applyAlignment="1">
      <alignment horizontal="center" vertical="center"/>
    </xf>
    <xf numFmtId="0" fontId="73" fillId="0" borderId="0" xfId="0" applyFont="1" applyBorder="1" applyAlignment="1">
      <alignment horizontal="center" vertical="center"/>
    </xf>
    <xf numFmtId="49" fontId="0" fillId="39" borderId="0" xfId="0" applyNumberFormat="1" applyFill="1" applyBorder="1" applyAlignment="1">
      <alignment vertical="center"/>
    </xf>
    <xf numFmtId="0" fontId="1" fillId="0" borderId="0" xfId="0" applyFont="1" applyBorder="1" applyAlignment="1">
      <alignment horizontal="center" vertical="center"/>
    </xf>
    <xf numFmtId="0" fontId="0" fillId="0" borderId="0" xfId="0" applyBorder="1" applyAlignment="1">
      <alignment horizontal="right" vertical="center"/>
    </xf>
    <xf numFmtId="49" fontId="0" fillId="0" borderId="0" xfId="0" applyNumberFormat="1" applyBorder="1" applyAlignment="1">
      <alignment horizontal="center" vertical="center"/>
    </xf>
    <xf numFmtId="49" fontId="0" fillId="0" borderId="0" xfId="0" applyNumberFormat="1" applyBorder="1" applyAlignment="1">
      <alignment horizontal="right" vertical="center"/>
    </xf>
    <xf numFmtId="0" fontId="19" fillId="0" borderId="0" xfId="0" applyFont="1" applyBorder="1" applyAlignment="1">
      <alignment vertical="center"/>
    </xf>
    <xf numFmtId="49" fontId="0" fillId="0" borderId="0" xfId="0" applyNumberFormat="1" applyBorder="1" applyAlignment="1">
      <alignment horizontal="center"/>
    </xf>
    <xf numFmtId="49" fontId="0" fillId="39" borderId="0" xfId="0" applyNumberFormat="1" applyFill="1" applyBorder="1"/>
    <xf numFmtId="0" fontId="0" fillId="39" borderId="0" xfId="0" applyFill="1" applyBorder="1" applyAlignment="1">
      <alignment horizontal="center"/>
    </xf>
    <xf numFmtId="0" fontId="69" fillId="0" borderId="0" xfId="0" applyFont="1" applyAlignment="1" applyProtection="1">
      <alignment vertical="center"/>
      <protection locked="0"/>
    </xf>
    <xf numFmtId="0" fontId="98" fillId="0" borderId="0" xfId="0" applyFont="1" applyAlignment="1" applyProtection="1">
      <alignment vertical="center"/>
      <protection locked="0"/>
    </xf>
    <xf numFmtId="0" fontId="1" fillId="0" borderId="0" xfId="42" applyFont="1" applyFill="1" applyBorder="1" applyAlignment="1" applyProtection="1">
      <alignment vertical="center"/>
      <protection locked="0"/>
    </xf>
    <xf numFmtId="0" fontId="40" fillId="0" borderId="59" xfId="44" applyFont="1" applyBorder="1" applyAlignment="1" applyProtection="1">
      <alignment horizontal="center" vertical="center" wrapText="1"/>
      <protection locked="0"/>
    </xf>
    <xf numFmtId="0" fontId="40" fillId="0" borderId="43" xfId="44" applyFont="1" applyBorder="1" applyAlignment="1" applyProtection="1">
      <alignment horizontal="center" vertical="center" wrapText="1"/>
      <protection locked="0"/>
    </xf>
    <xf numFmtId="43" fontId="40" fillId="0" borderId="59" xfId="44" applyNumberFormat="1" applyFont="1" applyBorder="1" applyAlignment="1" applyProtection="1">
      <alignment horizontal="center"/>
      <protection locked="0"/>
    </xf>
    <xf numFmtId="0" fontId="40" fillId="0" borderId="0" xfId="44" applyFont="1" applyAlignment="1">
      <alignment horizontal="center" vertical="center" wrapText="1"/>
    </xf>
    <xf numFmtId="0" fontId="40" fillId="34" borderId="23" xfId="44" applyFont="1" applyFill="1" applyBorder="1" applyAlignment="1">
      <alignment horizontal="center" vertical="center" wrapText="1"/>
    </xf>
    <xf numFmtId="0" fontId="40" fillId="34" borderId="22" xfId="44" applyFont="1" applyFill="1" applyBorder="1" applyAlignment="1">
      <alignment horizontal="center" vertical="center" wrapText="1"/>
    </xf>
    <xf numFmtId="0" fontId="40" fillId="0" borderId="0" xfId="44" applyFont="1" applyFill="1" applyBorder="1" applyAlignment="1" applyProtection="1">
      <alignment horizontal="center" vertical="center" wrapText="1"/>
      <protection locked="0"/>
    </xf>
    <xf numFmtId="0" fontId="44" fillId="0" borderId="0" xfId="44" applyFont="1" applyAlignment="1" applyProtection="1">
      <alignment vertical="top" wrapText="1"/>
      <protection locked="0"/>
    </xf>
    <xf numFmtId="0" fontId="1" fillId="0" borderId="0" xfId="56" applyFont="1" applyProtection="1">
      <protection locked="0"/>
    </xf>
    <xf numFmtId="0" fontId="1" fillId="0" borderId="0" xfId="56" applyFont="1" applyAlignment="1" applyProtection="1">
      <alignment horizontal="left" vertical="center"/>
      <protection locked="0"/>
    </xf>
    <xf numFmtId="0" fontId="44" fillId="0" borderId="0" xfId="44" applyFont="1" applyAlignment="1" applyProtection="1">
      <alignment vertical="center" wrapText="1"/>
      <protection locked="0"/>
    </xf>
    <xf numFmtId="0" fontId="40" fillId="34" borderId="330" xfId="44" applyFont="1" applyFill="1" applyBorder="1" applyAlignment="1">
      <alignment horizontal="center" vertical="center" wrapText="1"/>
    </xf>
    <xf numFmtId="0" fontId="40" fillId="34" borderId="10" xfId="44" applyFont="1" applyFill="1" applyBorder="1" applyAlignment="1">
      <alignment horizontal="center" vertical="center" wrapText="1"/>
    </xf>
    <xf numFmtId="0" fontId="40" fillId="0" borderId="43" xfId="44" applyFont="1" applyBorder="1" applyAlignment="1" applyProtection="1">
      <alignment vertical="center" wrapText="1"/>
      <protection locked="0"/>
    </xf>
    <xf numFmtId="0" fontId="40" fillId="0" borderId="59" xfId="44" applyFont="1" applyBorder="1" applyAlignment="1" applyProtection="1">
      <alignment vertical="center" wrapText="1"/>
      <protection locked="0"/>
    </xf>
    <xf numFmtId="49" fontId="1" fillId="0" borderId="94" xfId="0" applyNumberFormat="1" applyFont="1" applyBorder="1" applyAlignment="1" applyProtection="1">
      <alignment horizontal="center" vertical="center"/>
      <protection locked="0"/>
    </xf>
    <xf numFmtId="49" fontId="1" fillId="0" borderId="23" xfId="0" applyNumberFormat="1" applyFont="1" applyBorder="1" applyAlignment="1" applyProtection="1">
      <alignment horizontal="left" indent="1"/>
      <protection locked="0"/>
    </xf>
    <xf numFmtId="49" fontId="1" fillId="0" borderId="95" xfId="0" applyNumberFormat="1" applyFont="1" applyBorder="1" applyAlignment="1" applyProtection="1">
      <alignment horizontal="center" vertical="center"/>
      <protection locked="0"/>
    </xf>
    <xf numFmtId="0" fontId="1" fillId="0" borderId="85" xfId="0" applyFont="1" applyBorder="1" applyProtection="1">
      <protection locked="0"/>
    </xf>
    <xf numFmtId="14" fontId="1" fillId="0" borderId="85" xfId="0" applyNumberFormat="1" applyFont="1" applyBorder="1" applyAlignment="1" applyProtection="1">
      <alignment vertical="center"/>
      <protection locked="0"/>
    </xf>
    <xf numFmtId="0" fontId="1" fillId="0" borderId="40" xfId="0" applyFont="1" applyBorder="1" applyAlignment="1" applyProtection="1">
      <alignment vertical="center"/>
      <protection locked="0"/>
    </xf>
    <xf numFmtId="0" fontId="1" fillId="0" borderId="39" xfId="0" applyFont="1" applyBorder="1" applyAlignment="1" applyProtection="1">
      <alignment vertical="center"/>
      <protection locked="0"/>
    </xf>
    <xf numFmtId="0" fontId="0" fillId="0" borderId="0" xfId="0" applyAlignment="1" applyProtection="1">
      <alignment horizontal="center"/>
      <protection locked="0"/>
    </xf>
    <xf numFmtId="0" fontId="23" fillId="0" borderId="0" xfId="0" applyFont="1" applyAlignment="1" applyProtection="1">
      <alignment horizontal="center" vertical="center"/>
      <protection locked="0"/>
    </xf>
    <xf numFmtId="0" fontId="31" fillId="34" borderId="14" xfId="0" applyFont="1" applyFill="1" applyBorder="1" applyAlignment="1">
      <alignment horizontal="center" vertical="center"/>
    </xf>
    <xf numFmtId="0" fontId="23" fillId="34" borderId="32" xfId="0" applyFont="1" applyFill="1" applyBorder="1" applyAlignment="1">
      <alignment horizontal="center" vertical="center"/>
    </xf>
    <xf numFmtId="43" fontId="23" fillId="38" borderId="83" xfId="0" applyNumberFormat="1" applyFont="1" applyFill="1" applyBorder="1" applyAlignment="1" applyProtection="1">
      <alignment horizontal="center"/>
    </xf>
    <xf numFmtId="0" fontId="0" fillId="34" borderId="247" xfId="0" applyFill="1" applyBorder="1" applyAlignment="1" applyProtection="1"/>
    <xf numFmtId="0" fontId="0" fillId="34" borderId="246" xfId="0" applyFill="1" applyBorder="1" applyAlignment="1" applyProtection="1"/>
    <xf numFmtId="0" fontId="0" fillId="34" borderId="331" xfId="0" applyFill="1" applyBorder="1" applyProtection="1"/>
    <xf numFmtId="43" fontId="0" fillId="34" borderId="332" xfId="0" applyNumberFormat="1" applyFill="1" applyBorder="1" applyAlignment="1" applyProtection="1">
      <alignment horizontal="center"/>
    </xf>
    <xf numFmtId="0" fontId="0" fillId="34" borderId="333" xfId="0" applyFill="1" applyBorder="1" applyProtection="1"/>
    <xf numFmtId="10" fontId="0" fillId="34" borderId="333" xfId="0" applyNumberFormat="1" applyFill="1" applyBorder="1" applyProtection="1"/>
    <xf numFmtId="0" fontId="0" fillId="0" borderId="101" xfId="0" applyBorder="1" applyProtection="1">
      <protection locked="0"/>
    </xf>
    <xf numFmtId="0" fontId="1" fillId="34" borderId="336" xfId="56" applyFont="1" applyFill="1" applyBorder="1" applyProtection="1">
      <protection locked="0"/>
    </xf>
    <xf numFmtId="0" fontId="1" fillId="34" borderId="124" xfId="56" applyFont="1" applyFill="1" applyBorder="1" applyProtection="1">
      <protection locked="0"/>
    </xf>
    <xf numFmtId="0" fontId="1" fillId="34" borderId="338" xfId="56" applyFont="1" applyFill="1" applyBorder="1" applyProtection="1">
      <protection locked="0"/>
    </xf>
    <xf numFmtId="0" fontId="25" fillId="34" borderId="86" xfId="0" applyFont="1" applyFill="1" applyBorder="1" applyAlignment="1">
      <alignment horizontal="center" vertical="center"/>
    </xf>
    <xf numFmtId="0" fontId="31" fillId="34" borderId="179" xfId="0" applyFont="1" applyFill="1" applyBorder="1" applyAlignment="1">
      <alignment horizontal="center" vertical="center"/>
    </xf>
    <xf numFmtId="0" fontId="35" fillId="34" borderId="194" xfId="0" applyFont="1" applyFill="1" applyBorder="1" applyAlignment="1">
      <alignment horizontal="center" vertical="center"/>
    </xf>
    <xf numFmtId="0" fontId="0" fillId="0" borderId="0" xfId="0" applyAlignment="1" applyProtection="1">
      <alignment horizontal="center"/>
      <protection locked="0"/>
    </xf>
    <xf numFmtId="0" fontId="23" fillId="0" borderId="0" xfId="0"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32" fillId="0" borderId="0" xfId="0" applyFont="1" applyAlignment="1" applyProtection="1">
      <alignment vertical="center"/>
      <protection locked="0"/>
    </xf>
    <xf numFmtId="0" fontId="0" fillId="34" borderId="168" xfId="0" applyFill="1" applyBorder="1" applyAlignment="1">
      <alignment vertical="center"/>
    </xf>
    <xf numFmtId="0" fontId="25" fillId="34" borderId="168" xfId="0" applyFont="1" applyFill="1" applyBorder="1" applyAlignment="1">
      <alignment horizontal="left" vertical="center"/>
    </xf>
    <xf numFmtId="0" fontId="25" fillId="34" borderId="227" xfId="0" applyFont="1" applyFill="1" applyBorder="1" applyAlignment="1">
      <alignment horizontal="center" vertical="center"/>
    </xf>
    <xf numFmtId="0" fontId="0" fillId="34" borderId="77" xfId="0" applyFill="1" applyBorder="1"/>
    <xf numFmtId="0" fontId="25" fillId="34" borderId="40" xfId="0" applyFont="1" applyFill="1" applyBorder="1" applyAlignment="1">
      <alignment vertical="center" wrapText="1"/>
    </xf>
    <xf numFmtId="0" fontId="25" fillId="34" borderId="74" xfId="0" applyFont="1" applyFill="1" applyBorder="1" applyAlignment="1">
      <alignment horizontal="center" vertical="center"/>
    </xf>
    <xf numFmtId="0" fontId="0" fillId="34" borderId="74" xfId="0" applyFill="1" applyBorder="1" applyAlignment="1">
      <alignment vertical="center"/>
    </xf>
    <xf numFmtId="0" fontId="25" fillId="34" borderId="74" xfId="0" applyFont="1" applyFill="1" applyBorder="1" applyAlignment="1">
      <alignment vertical="center"/>
    </xf>
    <xf numFmtId="0" fontId="25" fillId="34" borderId="40" xfId="0" applyFont="1" applyFill="1" applyBorder="1" applyAlignment="1">
      <alignment horizontal="left" vertical="center"/>
    </xf>
    <xf numFmtId="0" fontId="0" fillId="34" borderId="40" xfId="0" applyFill="1" applyBorder="1" applyAlignment="1">
      <alignment vertical="center"/>
    </xf>
    <xf numFmtId="0" fontId="25" fillId="34" borderId="74" xfId="0" applyFont="1" applyFill="1" applyBorder="1" applyAlignment="1">
      <alignment horizontal="left" vertical="center"/>
    </xf>
    <xf numFmtId="0" fontId="0" fillId="34" borderId="158" xfId="0" applyFill="1" applyBorder="1"/>
    <xf numFmtId="0" fontId="23" fillId="34" borderId="47" xfId="0" applyFont="1" applyFill="1" applyBorder="1" applyAlignment="1">
      <alignment horizontal="left" vertical="center"/>
    </xf>
    <xf numFmtId="0" fontId="23" fillId="34" borderId="158" xfId="0" applyFont="1" applyFill="1" applyBorder="1" applyAlignment="1">
      <alignment horizontal="left" vertical="center"/>
    </xf>
    <xf numFmtId="0" fontId="31" fillId="34" borderId="12" xfId="0" applyFont="1" applyFill="1" applyBorder="1" applyAlignment="1">
      <alignment horizontal="center" vertical="center"/>
    </xf>
    <xf numFmtId="0" fontId="0" fillId="34" borderId="0" xfId="0" applyFill="1" applyAlignment="1">
      <alignment vertical="center"/>
    </xf>
    <xf numFmtId="0" fontId="25" fillId="34" borderId="13" xfId="0" applyFont="1" applyFill="1" applyBorder="1" applyAlignment="1">
      <alignment horizontal="left" vertical="center"/>
    </xf>
    <xf numFmtId="0" fontId="25" fillId="34" borderId="0" xfId="0" applyFont="1" applyFill="1" applyBorder="1" applyAlignment="1">
      <alignment horizontal="center" vertical="center"/>
    </xf>
    <xf numFmtId="0" fontId="0" fillId="34" borderId="226" xfId="0" applyFill="1" applyBorder="1" applyAlignment="1">
      <alignment vertical="center"/>
    </xf>
    <xf numFmtId="0" fontId="31" fillId="34" borderId="28" xfId="0" applyFont="1" applyFill="1" applyBorder="1" applyAlignment="1">
      <alignment horizontal="center" vertical="center"/>
    </xf>
    <xf numFmtId="0" fontId="23" fillId="34" borderId="0" xfId="0" applyFont="1" applyFill="1" applyBorder="1" applyAlignment="1">
      <alignment horizontal="left" vertical="center"/>
    </xf>
    <xf numFmtId="0" fontId="23" fillId="34" borderId="225" xfId="0" applyFont="1" applyFill="1" applyBorder="1" applyAlignment="1">
      <alignment horizontal="left" vertical="center"/>
    </xf>
    <xf numFmtId="0" fontId="24" fillId="0" borderId="0" xfId="0" applyFont="1" applyBorder="1" applyAlignment="1" applyProtection="1">
      <protection locked="0"/>
    </xf>
    <xf numFmtId="0" fontId="24" fillId="34" borderId="0" xfId="0" applyFont="1" applyFill="1" applyBorder="1" applyAlignment="1" applyProtection="1">
      <protection locked="0"/>
    </xf>
    <xf numFmtId="14" fontId="0" fillId="0" borderId="85" xfId="0" applyNumberFormat="1" applyBorder="1" applyProtection="1">
      <protection locked="0"/>
    </xf>
    <xf numFmtId="0" fontId="0" fillId="34" borderId="340" xfId="0" applyFill="1" applyBorder="1" applyProtection="1"/>
    <xf numFmtId="43" fontId="0" fillId="34" borderId="33" xfId="0" applyNumberFormat="1" applyFill="1" applyBorder="1" applyAlignment="1" applyProtection="1">
      <alignment horizontal="center"/>
    </xf>
    <xf numFmtId="10" fontId="0" fillId="34" borderId="340" xfId="0" applyNumberFormat="1" applyFill="1" applyBorder="1" applyProtection="1"/>
    <xf numFmtId="49" fontId="1" fillId="0" borderId="19" xfId="0" applyNumberFormat="1" applyFont="1" applyBorder="1" applyProtection="1">
      <protection locked="0"/>
    </xf>
    <xf numFmtId="49" fontId="0" fillId="0" borderId="85" xfId="0" applyNumberFormat="1" applyBorder="1" applyProtection="1">
      <protection locked="0"/>
    </xf>
    <xf numFmtId="49" fontId="1" fillId="0" borderId="85" xfId="0" applyNumberFormat="1" applyFont="1" applyBorder="1" applyProtection="1">
      <protection locked="0"/>
    </xf>
    <xf numFmtId="49" fontId="23" fillId="34" borderId="0" xfId="0" applyNumberFormat="1" applyFont="1" applyFill="1" applyAlignment="1" applyProtection="1">
      <alignment vertical="center"/>
      <protection locked="0"/>
    </xf>
    <xf numFmtId="49" fontId="23" fillId="0" borderId="0" xfId="0" applyNumberFormat="1" applyFont="1" applyAlignment="1" applyProtection="1">
      <alignment vertical="center"/>
      <protection locked="0"/>
    </xf>
    <xf numFmtId="49" fontId="23" fillId="34" borderId="0" xfId="0" applyNumberFormat="1" applyFont="1" applyFill="1" applyAlignment="1" applyProtection="1">
      <protection locked="0"/>
    </xf>
    <xf numFmtId="49" fontId="23" fillId="0" borderId="0" xfId="0" applyNumberFormat="1" applyFont="1" applyAlignment="1" applyProtection="1">
      <protection locked="0"/>
    </xf>
    <xf numFmtId="49" fontId="0" fillId="0" borderId="0" xfId="0" applyNumberFormat="1" applyAlignment="1" applyProtection="1">
      <alignment vertical="center"/>
      <protection locked="0"/>
    </xf>
    <xf numFmtId="49" fontId="189" fillId="0" borderId="0" xfId="0" applyNumberFormat="1" applyFont="1" applyAlignment="1" applyProtection="1">
      <alignment vertical="center"/>
      <protection locked="0"/>
    </xf>
    <xf numFmtId="49" fontId="24" fillId="34" borderId="0" xfId="0" applyNumberFormat="1" applyFont="1" applyFill="1" applyBorder="1" applyAlignment="1" applyProtection="1">
      <alignment horizontal="center" vertical="center"/>
      <protection locked="0"/>
    </xf>
    <xf numFmtId="49" fontId="24" fillId="0" borderId="0" xfId="0" applyNumberFormat="1" applyFont="1" applyAlignment="1" applyProtection="1">
      <protection locked="0"/>
    </xf>
    <xf numFmtId="49" fontId="24" fillId="0" borderId="0" xfId="0" applyNumberFormat="1" applyFont="1" applyAlignment="1" applyProtection="1">
      <alignment horizontal="center"/>
      <protection locked="0"/>
    </xf>
    <xf numFmtId="49" fontId="24" fillId="0" borderId="0" xfId="0" applyNumberFormat="1" applyFont="1" applyAlignment="1"/>
    <xf numFmtId="49" fontId="35" fillId="34" borderId="234" xfId="0" applyNumberFormat="1" applyFont="1" applyFill="1" applyBorder="1" applyAlignment="1">
      <alignment horizontal="center" vertical="center"/>
    </xf>
    <xf numFmtId="49" fontId="35" fillId="34" borderId="32" xfId="0" applyNumberFormat="1" applyFont="1" applyFill="1" applyBorder="1" applyAlignment="1">
      <alignment horizontal="center" vertical="center" wrapText="1"/>
    </xf>
    <xf numFmtId="49" fontId="35" fillId="34" borderId="32" xfId="0" applyNumberFormat="1" applyFont="1" applyFill="1" applyBorder="1" applyAlignment="1">
      <alignment horizontal="center" vertical="center"/>
    </xf>
    <xf numFmtId="49" fontId="31" fillId="34" borderId="32" xfId="0" applyNumberFormat="1" applyFont="1" applyFill="1" applyBorder="1" applyAlignment="1">
      <alignment horizontal="center" vertical="center"/>
    </xf>
    <xf numFmtId="49" fontId="31" fillId="34" borderId="55" xfId="0" applyNumberFormat="1" applyFont="1" applyFill="1" applyBorder="1" applyAlignment="1">
      <alignment horizontal="center" vertical="center"/>
    </xf>
    <xf numFmtId="49" fontId="31" fillId="34" borderId="13" xfId="0" applyNumberFormat="1" applyFont="1" applyFill="1" applyBorder="1" applyAlignment="1">
      <alignment horizontal="center" vertical="center" wrapText="1"/>
    </xf>
    <xf numFmtId="49" fontId="31" fillId="34" borderId="14" xfId="0" applyNumberFormat="1" applyFont="1" applyFill="1" applyBorder="1" applyAlignment="1">
      <alignment horizontal="center" vertical="center"/>
    </xf>
    <xf numFmtId="49" fontId="35" fillId="39" borderId="257" xfId="0" applyNumberFormat="1" applyFont="1" applyFill="1" applyBorder="1" applyAlignment="1" applyProtection="1">
      <alignment horizontal="center" vertical="center"/>
    </xf>
    <xf numFmtId="49" fontId="31" fillId="39" borderId="58" xfId="0" applyNumberFormat="1" applyFont="1" applyFill="1" applyBorder="1" applyAlignment="1" applyProtection="1">
      <alignment horizontal="center" vertical="center"/>
    </xf>
    <xf numFmtId="49" fontId="0" fillId="0" borderId="101" xfId="0" applyNumberFormat="1" applyBorder="1" applyProtection="1">
      <protection locked="0"/>
    </xf>
    <xf numFmtId="49" fontId="0" fillId="34" borderId="339" xfId="0" applyNumberFormat="1" applyFill="1" applyBorder="1" applyProtection="1"/>
    <xf numFmtId="49" fontId="0" fillId="34" borderId="340" xfId="0" applyNumberFormat="1" applyFill="1" applyBorder="1" applyProtection="1"/>
    <xf numFmtId="49" fontId="1" fillId="34" borderId="340" xfId="0" applyNumberFormat="1" applyFont="1" applyFill="1" applyBorder="1" applyProtection="1"/>
    <xf numFmtId="49" fontId="0" fillId="34" borderId="334" xfId="0" applyNumberFormat="1" applyFill="1" applyBorder="1" applyProtection="1"/>
    <xf numFmtId="49" fontId="0" fillId="34" borderId="333" xfId="0" applyNumberFormat="1" applyFill="1" applyBorder="1" applyProtection="1"/>
    <xf numFmtId="49" fontId="0" fillId="0" borderId="0" xfId="0" applyNumberFormat="1" applyProtection="1">
      <protection locked="0"/>
    </xf>
    <xf numFmtId="49" fontId="33" fillId="0" borderId="0" xfId="0" applyNumberFormat="1" applyFont="1" applyProtection="1">
      <protection locked="0"/>
    </xf>
    <xf numFmtId="49" fontId="23"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1" fillId="34" borderId="333" xfId="0" applyNumberFormat="1" applyFont="1" applyFill="1" applyBorder="1" applyProtection="1"/>
    <xf numFmtId="49" fontId="88" fillId="0" borderId="0" xfId="42" applyNumberFormat="1" applyFont="1" applyAlignment="1" applyProtection="1">
      <alignment vertical="center"/>
    </xf>
    <xf numFmtId="49" fontId="108" fillId="0" borderId="0" xfId="42" applyNumberFormat="1" applyFont="1" applyAlignment="1" applyProtection="1"/>
    <xf numFmtId="49" fontId="73" fillId="0" borderId="0" xfId="42" applyNumberFormat="1" applyFont="1" applyAlignment="1" applyProtection="1">
      <alignment vertical="top"/>
      <protection locked="0"/>
    </xf>
    <xf numFmtId="49" fontId="1" fillId="0" borderId="0" xfId="42" applyNumberFormat="1" applyFont="1" applyProtection="1">
      <protection locked="0"/>
    </xf>
    <xf numFmtId="49" fontId="1" fillId="32" borderId="0" xfId="42" applyNumberFormat="1" applyFont="1" applyFill="1" applyProtection="1">
      <protection locked="0"/>
    </xf>
    <xf numFmtId="49" fontId="19" fillId="0" borderId="0" xfId="42" applyNumberFormat="1" applyFont="1" applyProtection="1">
      <protection locked="0"/>
    </xf>
    <xf numFmtId="49" fontId="1" fillId="0" borderId="0" xfId="42" applyNumberFormat="1" applyFont="1" applyAlignment="1" applyProtection="1">
      <alignment vertical="center"/>
      <protection locked="0"/>
    </xf>
    <xf numFmtId="49" fontId="1" fillId="0" borderId="0" xfId="42" applyNumberFormat="1" applyFont="1"/>
    <xf numFmtId="49" fontId="31" fillId="34" borderId="134" xfId="42" applyNumberFormat="1" applyFont="1" applyFill="1" applyBorder="1" applyAlignment="1">
      <alignment horizontal="center" vertical="center" wrapText="1"/>
    </xf>
    <xf numFmtId="49" fontId="1" fillId="0" borderId="20" xfId="42" applyNumberFormat="1" applyFont="1" applyBorder="1" applyProtection="1">
      <protection locked="0"/>
    </xf>
    <xf numFmtId="49" fontId="1" fillId="0" borderId="39" xfId="42" applyNumberFormat="1" applyFont="1" applyBorder="1" applyProtection="1">
      <protection locked="0"/>
    </xf>
    <xf numFmtId="49" fontId="1" fillId="27" borderId="80" xfId="42" applyNumberFormat="1" applyFont="1" applyFill="1" applyBorder="1"/>
    <xf numFmtId="49" fontId="1" fillId="0" borderId="0" xfId="42" applyNumberFormat="1" applyFont="1" applyAlignment="1" applyProtection="1">
      <alignment horizontal="center"/>
      <protection locked="0"/>
    </xf>
    <xf numFmtId="4" fontId="25" fillId="34" borderId="19" xfId="31" applyNumberFormat="1" applyFont="1" applyFill="1" applyBorder="1" applyAlignment="1" applyProtection="1">
      <alignment horizontal="center" vertical="center"/>
    </xf>
    <xf numFmtId="4" fontId="48" fillId="0" borderId="40" xfId="0" applyNumberFormat="1" applyFont="1" applyFill="1" applyBorder="1" applyAlignment="1" applyProtection="1">
      <alignment horizontal="center" vertical="center" wrapText="1"/>
      <protection locked="0"/>
    </xf>
    <xf numFmtId="4" fontId="25" fillId="34" borderId="85" xfId="31" applyNumberFormat="1" applyFont="1" applyFill="1" applyBorder="1" applyAlignment="1" applyProtection="1">
      <alignment horizontal="center" vertical="center"/>
    </xf>
    <xf numFmtId="4" fontId="48" fillId="0" borderId="104" xfId="0" applyNumberFormat="1" applyFont="1" applyFill="1" applyBorder="1" applyAlignment="1" applyProtection="1">
      <alignment horizontal="center" vertical="center" wrapText="1"/>
      <protection locked="0"/>
    </xf>
    <xf numFmtId="4" fontId="22" fillId="26" borderId="23" xfId="31" applyNumberFormat="1" applyFont="1" applyFill="1" applyBorder="1" applyAlignment="1" applyProtection="1">
      <alignment horizontal="center" vertical="center"/>
    </xf>
    <xf numFmtId="4" fontId="35" fillId="27" borderId="43" xfId="0" applyNumberFormat="1" applyFont="1" applyFill="1" applyBorder="1" applyAlignment="1">
      <alignment horizontal="left" vertical="top" wrapText="1"/>
    </xf>
    <xf numFmtId="4" fontId="48" fillId="0" borderId="18" xfId="0" applyNumberFormat="1" applyFont="1" applyFill="1" applyBorder="1" applyAlignment="1" applyProtection="1">
      <alignment horizontal="center" vertical="center" wrapText="1"/>
      <protection locked="0"/>
    </xf>
    <xf numFmtId="4" fontId="25" fillId="34" borderId="85" xfId="31" applyNumberFormat="1" applyFont="1" applyFill="1" applyBorder="1" applyAlignment="1" applyProtection="1">
      <alignment horizontal="center" vertical="center" wrapText="1"/>
    </xf>
    <xf numFmtId="39" fontId="113" fillId="0" borderId="131" xfId="28" applyNumberFormat="1" applyFont="1" applyFill="1" applyBorder="1" applyAlignment="1" applyProtection="1">
      <alignment horizontal="center" vertical="center" wrapText="1"/>
      <protection locked="0"/>
    </xf>
    <xf numFmtId="39" fontId="113" fillId="0" borderId="131" xfId="28" applyNumberFormat="1" applyFont="1" applyFill="1" applyBorder="1" applyAlignment="1" applyProtection="1">
      <alignment horizontal="right" vertical="center" wrapText="1"/>
      <protection locked="0"/>
    </xf>
    <xf numFmtId="39" fontId="36" fillId="34" borderId="131" xfId="28" applyNumberFormat="1" applyFont="1" applyFill="1" applyBorder="1" applyAlignment="1">
      <alignment horizontal="left" vertical="center" wrapText="1"/>
    </xf>
    <xf numFmtId="39" fontId="113" fillId="0" borderId="132" xfId="28" applyNumberFormat="1" applyFont="1" applyFill="1" applyBorder="1" applyAlignment="1" applyProtection="1">
      <alignment horizontal="center" vertical="center" wrapText="1"/>
      <protection locked="0"/>
    </xf>
    <xf numFmtId="39" fontId="113" fillId="0" borderId="132" xfId="28" applyNumberFormat="1" applyFont="1" applyFill="1" applyBorder="1" applyAlignment="1" applyProtection="1">
      <alignment horizontal="right" vertical="center" wrapText="1"/>
      <protection locked="0"/>
    </xf>
    <xf numFmtId="39" fontId="36" fillId="34" borderId="132" xfId="28" applyNumberFormat="1" applyFont="1" applyFill="1" applyBorder="1" applyAlignment="1">
      <alignment horizontal="left" vertical="center" wrapText="1"/>
    </xf>
    <xf numFmtId="39" fontId="113" fillId="0" borderId="320" xfId="28" applyNumberFormat="1" applyFont="1" applyFill="1" applyBorder="1" applyAlignment="1" applyProtection="1">
      <alignment horizontal="center" vertical="center" wrapText="1"/>
      <protection locked="0"/>
    </xf>
    <xf numFmtId="39" fontId="113" fillId="0" borderId="320" xfId="28" applyNumberFormat="1" applyFont="1" applyFill="1" applyBorder="1" applyAlignment="1" applyProtection="1">
      <alignment horizontal="right" vertical="center" wrapText="1"/>
      <protection locked="0"/>
    </xf>
    <xf numFmtId="39" fontId="36" fillId="34" borderId="320" xfId="28" applyNumberFormat="1" applyFont="1" applyFill="1" applyBorder="1" applyAlignment="1">
      <alignment horizontal="left" vertical="center" wrapText="1"/>
    </xf>
    <xf numFmtId="39" fontId="113" fillId="0" borderId="113" xfId="28" applyNumberFormat="1" applyFont="1" applyFill="1" applyBorder="1" applyAlignment="1" applyProtection="1">
      <alignment horizontal="center" vertical="center" wrapText="1"/>
      <protection locked="0"/>
    </xf>
    <xf numFmtId="39" fontId="113" fillId="0" borderId="113" xfId="28" applyNumberFormat="1" applyFont="1" applyFill="1" applyBorder="1" applyAlignment="1" applyProtection="1">
      <alignment horizontal="right" vertical="center" wrapText="1"/>
      <protection locked="0"/>
    </xf>
    <xf numFmtId="39" fontId="36" fillId="34" borderId="113" xfId="28" applyNumberFormat="1" applyFont="1" applyFill="1" applyBorder="1" applyAlignment="1">
      <alignment horizontal="left" vertical="center" wrapText="1"/>
    </xf>
    <xf numFmtId="39" fontId="36" fillId="34" borderId="23" xfId="28" applyNumberFormat="1" applyFont="1" applyFill="1" applyBorder="1" applyAlignment="1">
      <alignment horizontal="center" vertical="center" wrapText="1"/>
    </xf>
    <xf numFmtId="39" fontId="36" fillId="34" borderId="23" xfId="28" applyNumberFormat="1" applyFont="1" applyFill="1" applyBorder="1" applyAlignment="1">
      <alignment horizontal="left" vertical="center" wrapText="1"/>
    </xf>
    <xf numFmtId="4" fontId="73" fillId="0" borderId="0" xfId="42" applyNumberFormat="1" applyFont="1" applyAlignment="1" applyProtection="1">
      <alignment horizontal="center" vertical="top"/>
      <protection locked="0"/>
    </xf>
    <xf numFmtId="4" fontId="1" fillId="0" borderId="0" xfId="42" applyNumberFormat="1" applyFont="1" applyProtection="1">
      <protection locked="0"/>
    </xf>
    <xf numFmtId="4" fontId="19" fillId="0" borderId="0" xfId="42" applyNumberFormat="1" applyFont="1" applyProtection="1">
      <protection locked="0"/>
    </xf>
    <xf numFmtId="4" fontId="1" fillId="0" borderId="0" xfId="42" applyNumberFormat="1" applyFont="1" applyAlignment="1" applyProtection="1">
      <alignment vertical="center"/>
      <protection locked="0"/>
    </xf>
    <xf numFmtId="4" fontId="1" fillId="0" borderId="0" xfId="42" applyNumberFormat="1" applyFont="1"/>
    <xf numFmtId="4" fontId="31" fillId="34" borderId="32" xfId="42" applyNumberFormat="1" applyFont="1" applyFill="1" applyBorder="1" applyAlignment="1">
      <alignment horizontal="center" vertical="center" wrapText="1"/>
    </xf>
    <xf numFmtId="4" fontId="19" fillId="34" borderId="135" xfId="42" applyNumberFormat="1" applyFont="1" applyFill="1" applyBorder="1" applyAlignment="1">
      <alignment horizontal="center" vertical="center" wrapText="1"/>
    </xf>
    <xf numFmtId="4" fontId="1" fillId="34" borderId="19" xfId="42" applyNumberFormat="1" applyFont="1" applyFill="1" applyBorder="1"/>
    <xf numFmtId="4" fontId="1" fillId="27" borderId="79" xfId="42" applyNumberFormat="1" applyFont="1" applyFill="1" applyBorder="1"/>
    <xf numFmtId="4" fontId="43" fillId="0" borderId="0" xfId="42" applyNumberFormat="1" applyFont="1" applyAlignment="1" applyProtection="1">
      <alignment horizontal="right"/>
      <protection locked="0"/>
    </xf>
    <xf numFmtId="4" fontId="19" fillId="0" borderId="44" xfId="42" applyNumberFormat="1" applyFont="1" applyBorder="1" applyAlignment="1" applyProtection="1">
      <alignment vertical="center"/>
      <protection locked="0"/>
    </xf>
    <xf numFmtId="4" fontId="47" fillId="0" borderId="0" xfId="42" applyNumberFormat="1" applyFont="1" applyAlignment="1" applyProtection="1">
      <protection locked="0"/>
    </xf>
    <xf numFmtId="4" fontId="73" fillId="0" borderId="0" xfId="0" applyNumberFormat="1" applyFont="1" applyAlignment="1" applyProtection="1">
      <alignment horizontal="center" vertical="top"/>
      <protection locked="0"/>
    </xf>
    <xf numFmtId="4" fontId="43" fillId="35" borderId="0" xfId="0" applyNumberFormat="1" applyFont="1" applyFill="1" applyAlignment="1" applyProtection="1">
      <alignment horizontal="right"/>
      <protection locked="0"/>
    </xf>
    <xf numFmtId="4" fontId="70" fillId="35" borderId="0" xfId="0" applyNumberFormat="1" applyFont="1" applyFill="1" applyAlignment="1" applyProtection="1">
      <alignment horizontal="right" vertical="center"/>
      <protection locked="0"/>
    </xf>
    <xf numFmtId="4" fontId="70" fillId="35" borderId="0" xfId="0" applyNumberFormat="1" applyFont="1" applyFill="1" applyAlignment="1">
      <alignment horizontal="right" vertical="center"/>
    </xf>
    <xf numFmtId="4" fontId="31" fillId="34" borderId="32" xfId="0" applyNumberFormat="1" applyFont="1" applyFill="1" applyBorder="1" applyAlignment="1">
      <alignment horizontal="center" vertical="center" wrapText="1"/>
    </xf>
    <xf numFmtId="4" fontId="0" fillId="34" borderId="235" xfId="0" applyNumberFormat="1" applyFill="1" applyBorder="1" applyAlignment="1">
      <alignment vertical="top"/>
    </xf>
    <xf numFmtId="4" fontId="0" fillId="34" borderId="93" xfId="0" applyNumberFormat="1" applyFill="1" applyBorder="1" applyAlignment="1">
      <alignment vertical="center"/>
    </xf>
    <xf numFmtId="4" fontId="27" fillId="34" borderId="93" xfId="0" applyNumberFormat="1" applyFont="1" applyFill="1" applyBorder="1" applyAlignment="1">
      <alignment vertical="center"/>
    </xf>
    <xf numFmtId="4" fontId="23" fillId="34" borderId="23" xfId="0" applyNumberFormat="1" applyFont="1" applyFill="1" applyBorder="1" applyAlignment="1">
      <alignment vertical="center"/>
    </xf>
    <xf numFmtId="4" fontId="122" fillId="34" borderId="271" xfId="48" applyNumberFormat="1" applyFont="1" applyFill="1" applyBorder="1" applyAlignment="1">
      <alignment horizontal="center" vertical="center"/>
    </xf>
    <xf numFmtId="4" fontId="0" fillId="0" borderId="0" xfId="0" applyNumberFormat="1"/>
    <xf numFmtId="4" fontId="37" fillId="0" borderId="0" xfId="44" applyNumberFormat="1" applyFont="1" applyAlignment="1" applyProtection="1">
      <alignment wrapText="1"/>
    </xf>
    <xf numFmtId="4" fontId="40" fillId="0" borderId="0" xfId="44" applyNumberFormat="1" applyFont="1" applyAlignment="1" applyProtection="1">
      <alignment vertical="center" wrapText="1"/>
      <protection locked="0"/>
    </xf>
    <xf numFmtId="4" fontId="43" fillId="34" borderId="0" xfId="44" applyNumberFormat="1" applyFont="1" applyFill="1" applyAlignment="1" applyProtection="1">
      <alignment horizontal="right"/>
      <protection locked="0"/>
    </xf>
    <xf numFmtId="4" fontId="2" fillId="34" borderId="0" xfId="44" applyNumberFormat="1" applyFill="1" applyAlignment="1" applyProtection="1">
      <alignment horizontal="right"/>
      <protection locked="0"/>
    </xf>
    <xf numFmtId="4" fontId="40" fillId="0" borderId="43" xfId="44" applyNumberFormat="1" applyFont="1" applyBorder="1" applyAlignment="1" applyProtection="1">
      <alignment horizontal="center"/>
      <protection locked="0"/>
    </xf>
    <xf numFmtId="4" fontId="40" fillId="0" borderId="0" xfId="44" applyNumberFormat="1" applyFont="1" applyAlignment="1">
      <alignment vertical="center" wrapText="1"/>
    </xf>
    <xf numFmtId="4" fontId="44" fillId="39" borderId="23" xfId="44" applyNumberFormat="1" applyFont="1" applyFill="1" applyBorder="1" applyAlignment="1">
      <alignment vertical="center" wrapText="1"/>
    </xf>
    <xf numFmtId="4" fontId="40" fillId="0" borderId="23" xfId="44" applyNumberFormat="1" applyFont="1" applyBorder="1" applyAlignment="1" applyProtection="1">
      <alignment vertical="center" wrapText="1"/>
      <protection locked="0"/>
    </xf>
    <xf numFmtId="4" fontId="40" fillId="0" borderId="113" xfId="44" applyNumberFormat="1" applyFont="1" applyBorder="1" applyAlignment="1" applyProtection="1">
      <alignment vertical="center" wrapText="1"/>
      <protection locked="0"/>
    </xf>
    <xf numFmtId="4" fontId="40" fillId="0" borderId="135" xfId="44" applyNumberFormat="1" applyFont="1" applyBorder="1" applyAlignment="1" applyProtection="1">
      <alignment vertical="center" wrapText="1"/>
      <protection locked="0"/>
    </xf>
    <xf numFmtId="4" fontId="40" fillId="0" borderId="219" xfId="44" applyNumberFormat="1" applyFont="1" applyBorder="1" applyAlignment="1" applyProtection="1">
      <alignment vertical="center" wrapText="1"/>
      <protection locked="0"/>
    </xf>
    <xf numFmtId="4" fontId="40" fillId="0" borderId="0" xfId="44" applyNumberFormat="1" applyFont="1" applyBorder="1" applyAlignment="1" applyProtection="1">
      <alignment vertical="center" wrapText="1"/>
      <protection locked="0"/>
    </xf>
    <xf numFmtId="4" fontId="40" fillId="0" borderId="0" xfId="44" applyNumberFormat="1" applyFont="1" applyAlignment="1" applyProtection="1">
      <alignment vertical="top" wrapText="1"/>
      <protection locked="0"/>
    </xf>
    <xf numFmtId="4" fontId="44" fillId="0" borderId="0" xfId="44" applyNumberFormat="1" applyFont="1" applyAlignment="1" applyProtection="1">
      <alignment horizontal="center" vertical="top" wrapText="1"/>
      <protection locked="0"/>
    </xf>
    <xf numFmtId="4" fontId="40" fillId="0" borderId="0" xfId="44" applyNumberFormat="1" applyFont="1" applyFill="1" applyBorder="1" applyAlignment="1" applyProtection="1">
      <alignment horizontal="center" vertical="center" wrapText="1"/>
      <protection locked="0"/>
    </xf>
    <xf numFmtId="4" fontId="40" fillId="0" borderId="0" xfId="44" applyNumberFormat="1" applyFont="1" applyFill="1" applyBorder="1" applyAlignment="1" applyProtection="1">
      <alignment wrapText="1"/>
      <protection locked="0"/>
    </xf>
    <xf numFmtId="4" fontId="37" fillId="0" borderId="0" xfId="44" applyNumberFormat="1" applyFont="1" applyAlignment="1">
      <alignment wrapText="1"/>
    </xf>
    <xf numFmtId="4" fontId="40" fillId="0" borderId="0" xfId="44" applyNumberFormat="1" applyFont="1" applyProtection="1">
      <protection locked="0"/>
    </xf>
    <xf numFmtId="4" fontId="43" fillId="0" borderId="0" xfId="44" applyNumberFormat="1" applyFont="1" applyFill="1" applyAlignment="1" applyProtection="1">
      <alignment horizontal="center"/>
      <protection locked="0"/>
    </xf>
    <xf numFmtId="4" fontId="43" fillId="0" borderId="0" xfId="44" applyNumberFormat="1" applyFont="1" applyAlignment="1" applyProtection="1">
      <alignment horizontal="left"/>
      <protection locked="0"/>
    </xf>
    <xf numFmtId="4" fontId="2" fillId="0" borderId="0" xfId="44" applyNumberFormat="1" applyFill="1" applyAlignment="1" applyProtection="1">
      <alignment horizontal="center"/>
      <protection locked="0"/>
    </xf>
    <xf numFmtId="4" fontId="2" fillId="0" borderId="0" xfId="44" applyNumberFormat="1" applyProtection="1">
      <protection locked="0"/>
    </xf>
    <xf numFmtId="4" fontId="40" fillId="39" borderId="23" xfId="44" applyNumberFormat="1" applyFont="1" applyFill="1" applyBorder="1" applyAlignment="1">
      <alignment wrapText="1"/>
    </xf>
    <xf numFmtId="4" fontId="40" fillId="0" borderId="23" xfId="44" applyNumberFormat="1" applyFont="1" applyBorder="1" applyAlignment="1" applyProtection="1">
      <alignment horizontal="center" wrapText="1"/>
      <protection locked="0"/>
    </xf>
    <xf numFmtId="4" fontId="40" fillId="0" borderId="219" xfId="44" applyNumberFormat="1" applyFont="1" applyBorder="1" applyAlignment="1" applyProtection="1">
      <alignment horizontal="center" wrapText="1"/>
      <protection locked="0"/>
    </xf>
    <xf numFmtId="4" fontId="40" fillId="34" borderId="23" xfId="44" applyNumberFormat="1" applyFont="1" applyFill="1" applyBorder="1" applyAlignment="1">
      <alignment horizontal="center" vertical="top" wrapText="1"/>
    </xf>
    <xf numFmtId="4" fontId="44" fillId="39" borderId="41" xfId="44" applyNumberFormat="1" applyFont="1" applyFill="1" applyBorder="1" applyAlignment="1">
      <alignment vertical="center" wrapText="1"/>
    </xf>
    <xf numFmtId="4" fontId="37" fillId="0" borderId="0" xfId="44" applyNumberFormat="1" applyFont="1" applyAlignment="1" applyProtection="1">
      <alignment wrapText="1"/>
      <protection locked="0"/>
    </xf>
    <xf numFmtId="4" fontId="40" fillId="0" borderId="0" xfId="44" applyNumberFormat="1" applyFont="1" applyAlignment="1">
      <alignment wrapText="1"/>
    </xf>
    <xf numFmtId="4" fontId="40" fillId="0" borderId="0" xfId="44" applyNumberFormat="1" applyFont="1"/>
    <xf numFmtId="4" fontId="52" fillId="0" borderId="0" xfId="44" applyNumberFormat="1" applyFont="1" applyAlignment="1" applyProtection="1">
      <alignment horizontal="center" vertical="center"/>
      <protection locked="0"/>
    </xf>
    <xf numFmtId="4" fontId="40" fillId="0" borderId="0" xfId="44" applyNumberFormat="1" applyFont="1" applyAlignment="1" applyProtection="1">
      <alignment vertical="center"/>
      <protection locked="0"/>
    </xf>
    <xf numFmtId="4" fontId="43" fillId="0" borderId="0" xfId="0" applyNumberFormat="1" applyFont="1" applyBorder="1" applyAlignment="1" applyProtection="1">
      <alignment horizontal="left" wrapText="1"/>
      <protection locked="0"/>
    </xf>
    <xf numFmtId="4" fontId="2" fillId="0" borderId="0" xfId="44" applyNumberFormat="1" applyAlignment="1" applyProtection="1">
      <alignment vertical="center"/>
      <protection locked="0"/>
    </xf>
    <xf numFmtId="4" fontId="91" fillId="32" borderId="0" xfId="0" applyNumberFormat="1" applyFont="1" applyFill="1" applyAlignment="1" applyProtection="1">
      <alignment horizontal="left" vertical="top"/>
      <protection locked="0"/>
    </xf>
    <xf numFmtId="4" fontId="43" fillId="0" borderId="0" xfId="44" applyNumberFormat="1" applyFont="1" applyAlignment="1" applyProtection="1">
      <alignment horizontal="right"/>
      <protection locked="0"/>
    </xf>
    <xf numFmtId="4" fontId="43" fillId="35" borderId="0" xfId="44" applyNumberFormat="1" applyFont="1" applyFill="1" applyAlignment="1" applyProtection="1">
      <alignment horizontal="left"/>
      <protection locked="0"/>
    </xf>
    <xf numFmtId="4" fontId="56" fillId="35" borderId="0" xfId="44" applyNumberFormat="1" applyFont="1" applyFill="1" applyAlignment="1" applyProtection="1">
      <alignment vertical="center"/>
      <protection locked="0"/>
    </xf>
    <xf numFmtId="4" fontId="61" fillId="0" borderId="0" xfId="44" applyNumberFormat="1" applyFont="1" applyProtection="1">
      <protection locked="0"/>
    </xf>
    <xf numFmtId="4" fontId="57" fillId="35" borderId="0" xfId="44" applyNumberFormat="1" applyFont="1" applyFill="1" applyAlignment="1" applyProtection="1">
      <alignment horizontal="left"/>
      <protection locked="0"/>
    </xf>
    <xf numFmtId="4" fontId="44" fillId="34" borderId="53" xfId="44" applyNumberFormat="1" applyFont="1" applyFill="1" applyBorder="1" applyAlignment="1">
      <alignment horizontal="center" vertical="top" wrapText="1"/>
    </xf>
    <xf numFmtId="4" fontId="44" fillId="34" borderId="32" xfId="44" applyNumberFormat="1" applyFont="1" applyFill="1" applyBorder="1" applyAlignment="1">
      <alignment horizontal="center" vertical="top"/>
    </xf>
    <xf numFmtId="4" fontId="44" fillId="34" borderId="134" xfId="44" applyNumberFormat="1" applyFont="1" applyFill="1" applyBorder="1" applyAlignment="1">
      <alignment horizontal="center" vertical="top"/>
    </xf>
    <xf numFmtId="4" fontId="44" fillId="34" borderId="33" xfId="44" applyNumberFormat="1" applyFont="1" applyFill="1" applyBorder="1" applyAlignment="1">
      <alignment horizontal="center" vertical="center" wrapText="1"/>
    </xf>
    <xf numFmtId="4" fontId="44" fillId="34" borderId="33" xfId="44" applyNumberFormat="1" applyFont="1" applyFill="1" applyBorder="1" applyAlignment="1">
      <alignment horizontal="center" vertical="center"/>
    </xf>
    <xf numFmtId="4" fontId="44" fillId="34" borderId="126" xfId="44" applyNumberFormat="1" applyFont="1" applyFill="1" applyBorder="1" applyAlignment="1">
      <alignment horizontal="center" vertical="center"/>
    </xf>
    <xf numFmtId="4" fontId="193" fillId="34" borderId="14" xfId="44" applyNumberFormat="1" applyFont="1" applyFill="1" applyBorder="1" applyAlignment="1">
      <alignment horizontal="center" vertical="center"/>
    </xf>
    <xf numFmtId="4" fontId="199" fillId="34" borderId="0" xfId="0" applyNumberFormat="1" applyFont="1" applyFill="1" applyAlignment="1">
      <alignment horizontal="center" vertical="center"/>
    </xf>
    <xf numFmtId="4" fontId="200" fillId="34" borderId="325" xfId="44" applyNumberFormat="1" applyFont="1" applyFill="1" applyBorder="1" applyAlignment="1">
      <alignment horizontal="center" vertical="center"/>
    </xf>
    <xf numFmtId="4" fontId="193" fillId="34" borderId="85" xfId="28" applyNumberFormat="1" applyFont="1" applyFill="1" applyBorder="1" applyAlignment="1">
      <alignment horizontal="center" vertical="center"/>
    </xf>
    <xf numFmtId="4" fontId="193" fillId="34" borderId="38" xfId="28" applyNumberFormat="1" applyFont="1" applyFill="1" applyBorder="1" applyAlignment="1">
      <alignment horizontal="center" vertical="center"/>
    </xf>
    <xf numFmtId="4" fontId="200" fillId="34" borderId="39" xfId="44" applyNumberFormat="1" applyFont="1" applyFill="1" applyBorder="1" applyAlignment="1">
      <alignment horizontal="center" vertical="center"/>
    </xf>
    <xf numFmtId="4" fontId="193" fillId="0" borderId="85" xfId="28" applyNumberFormat="1" applyFont="1" applyBorder="1" applyAlignment="1" applyProtection="1">
      <alignment horizontal="center" vertical="center"/>
      <protection locked="0"/>
    </xf>
    <xf numFmtId="4" fontId="193" fillId="0" borderId="38" xfId="28" applyNumberFormat="1" applyFont="1" applyBorder="1" applyAlignment="1" applyProtection="1">
      <alignment horizontal="center" vertical="center"/>
      <protection locked="0"/>
    </xf>
    <xf numFmtId="4" fontId="200" fillId="34" borderId="83" xfId="48" applyNumberFormat="1" applyFont="1" applyFill="1" applyBorder="1" applyAlignment="1">
      <alignment horizontal="right" vertical="center"/>
    </xf>
    <xf numFmtId="4" fontId="200" fillId="34" borderId="84" xfId="48" applyNumberFormat="1" applyFont="1" applyFill="1" applyBorder="1" applyAlignment="1">
      <alignment horizontal="right" vertical="center"/>
    </xf>
    <xf numFmtId="4" fontId="200" fillId="34" borderId="228" xfId="48" applyNumberFormat="1" applyFont="1" applyFill="1" applyBorder="1" applyAlignment="1">
      <alignment horizontal="right" vertical="center"/>
    </xf>
    <xf numFmtId="4" fontId="59" fillId="0" borderId="0" xfId="48" applyNumberFormat="1" applyFont="1" applyBorder="1" applyAlignment="1" applyProtection="1">
      <alignment horizontal="center" vertical="center"/>
      <protection locked="0"/>
    </xf>
    <xf numFmtId="4" fontId="37" fillId="0" borderId="0" xfId="44" applyNumberFormat="1" applyFont="1" applyAlignment="1" applyProtection="1">
      <alignment vertical="center"/>
      <protection locked="0"/>
    </xf>
    <xf numFmtId="4" fontId="59" fillId="0" borderId="0" xfId="44" applyNumberFormat="1" applyFont="1" applyAlignment="1" applyProtection="1">
      <alignment vertical="center"/>
      <protection locked="0"/>
    </xf>
    <xf numFmtId="4" fontId="1" fillId="0" borderId="0" xfId="0" applyNumberFormat="1" applyFont="1" applyAlignment="1" applyProtection="1">
      <alignment horizontal="center" vertical="center"/>
      <protection locked="0"/>
    </xf>
    <xf numFmtId="4" fontId="23" fillId="0" borderId="0" xfId="0" applyNumberFormat="1" applyFont="1" applyAlignment="1" applyProtection="1">
      <alignment vertical="center"/>
      <protection locked="0"/>
    </xf>
    <xf numFmtId="4" fontId="23" fillId="0" borderId="0" xfId="0" applyNumberFormat="1" applyFont="1" applyAlignment="1" applyProtection="1">
      <protection locked="0"/>
    </xf>
    <xf numFmtId="4" fontId="0" fillId="0" borderId="0" xfId="0" applyNumberFormat="1" applyAlignment="1" applyProtection="1">
      <alignment vertical="center"/>
      <protection locked="0"/>
    </xf>
    <xf numFmtId="4" fontId="24" fillId="0" borderId="0" xfId="0" applyNumberFormat="1" applyFont="1" applyAlignment="1" applyProtection="1">
      <protection locked="0"/>
    </xf>
    <xf numFmtId="4" fontId="25" fillId="34" borderId="0" xfId="0" applyNumberFormat="1" applyFont="1" applyFill="1" applyAlignment="1" applyProtection="1">
      <alignment horizontal="left" vertical="center"/>
      <protection locked="0"/>
    </xf>
    <xf numFmtId="4" fontId="25" fillId="34" borderId="0" xfId="0" applyNumberFormat="1" applyFont="1" applyFill="1" applyAlignment="1" applyProtection="1">
      <alignment vertical="center"/>
      <protection locked="0"/>
    </xf>
    <xf numFmtId="4" fontId="25" fillId="34" borderId="0" xfId="0" applyNumberFormat="1" applyFont="1" applyFill="1" applyAlignment="1" applyProtection="1">
      <alignment horizontal="left"/>
      <protection locked="0"/>
    </xf>
    <xf numFmtId="4" fontId="25" fillId="34" borderId="0" xfId="0" applyNumberFormat="1" applyFont="1" applyFill="1" applyAlignment="1" applyProtection="1">
      <protection locked="0"/>
    </xf>
    <xf numFmtId="4" fontId="27" fillId="0" borderId="0" xfId="0" applyNumberFormat="1" applyFont="1" applyAlignment="1" applyProtection="1">
      <protection locked="0"/>
    </xf>
    <xf numFmtId="4" fontId="23" fillId="34" borderId="32" xfId="0" applyNumberFormat="1" applyFont="1" applyFill="1" applyBorder="1" applyAlignment="1">
      <alignment horizontal="center" vertical="center"/>
    </xf>
    <xf numFmtId="4" fontId="23" fillId="34" borderId="32" xfId="0" applyNumberFormat="1" applyFont="1" applyFill="1" applyBorder="1" applyAlignment="1">
      <alignment horizontal="center" vertical="center" wrapText="1"/>
    </xf>
    <xf numFmtId="4" fontId="23" fillId="34" borderId="53" xfId="0" applyNumberFormat="1" applyFont="1" applyFill="1" applyBorder="1" applyAlignment="1">
      <alignment horizontal="center" vertical="center"/>
    </xf>
    <xf numFmtId="4" fontId="23" fillId="34" borderId="36" xfId="0" applyNumberFormat="1" applyFont="1" applyFill="1" applyBorder="1" applyAlignment="1">
      <alignment horizontal="center" vertical="center"/>
    </xf>
    <xf numFmtId="4" fontId="30" fillId="34" borderId="14" xfId="0" applyNumberFormat="1" applyFont="1" applyFill="1" applyBorder="1" applyAlignment="1">
      <alignment horizontal="center" vertical="center" wrapText="1"/>
    </xf>
    <xf numFmtId="4" fontId="19" fillId="34" borderId="36" xfId="0" applyNumberFormat="1" applyFont="1" applyFill="1" applyBorder="1" applyAlignment="1">
      <alignment horizontal="center" vertical="center" wrapText="1"/>
    </xf>
    <xf numFmtId="4" fontId="23" fillId="34" borderId="126" xfId="0" applyNumberFormat="1" applyFont="1" applyFill="1" applyBorder="1" applyAlignment="1">
      <alignment horizontal="center" vertical="center"/>
    </xf>
    <xf numFmtId="4" fontId="1" fillId="34" borderId="136" xfId="0" applyNumberFormat="1" applyFont="1" applyFill="1" applyBorder="1" applyAlignment="1">
      <alignment horizontal="center" vertical="center"/>
    </xf>
    <xf numFmtId="4" fontId="1" fillId="34" borderId="136" xfId="48" applyNumberFormat="1" applyFont="1" applyFill="1" applyBorder="1" applyAlignment="1">
      <alignment horizontal="center" vertical="center"/>
    </xf>
    <xf numFmtId="4" fontId="0" fillId="0" borderId="19" xfId="0" applyNumberFormat="1" applyBorder="1" applyAlignment="1" applyProtection="1">
      <alignment horizontal="center" vertical="center"/>
      <protection locked="0"/>
    </xf>
    <xf numFmtId="4" fontId="1" fillId="0" borderId="19" xfId="48" applyNumberFormat="1" applyBorder="1" applyAlignment="1" applyProtection="1">
      <alignment horizontal="center" vertical="center"/>
      <protection locked="0"/>
    </xf>
    <xf numFmtId="4" fontId="1" fillId="0" borderId="93" xfId="0" applyNumberFormat="1" applyFont="1" applyBorder="1" applyAlignment="1" applyProtection="1">
      <alignment horizontal="center" vertical="center"/>
      <protection locked="0"/>
    </xf>
    <xf numFmtId="4" fontId="0" fillId="0" borderId="93" xfId="0" applyNumberFormat="1" applyBorder="1" applyAlignment="1" applyProtection="1">
      <alignment horizontal="center" vertical="center"/>
      <protection locked="0"/>
    </xf>
    <xf numFmtId="4" fontId="0" fillId="0" borderId="20" xfId="0" applyNumberFormat="1" applyBorder="1" applyAlignment="1" applyProtection="1">
      <alignment horizontal="center" vertical="center"/>
      <protection locked="0"/>
    </xf>
    <xf numFmtId="4" fontId="0" fillId="34" borderId="19" xfId="0" applyNumberFormat="1" applyFill="1" applyBorder="1" applyAlignment="1">
      <alignment horizontal="center" vertical="center"/>
    </xf>
    <xf numFmtId="4" fontId="1" fillId="34" borderId="19" xfId="48" applyNumberFormat="1" applyFont="1" applyFill="1" applyBorder="1" applyAlignment="1">
      <alignment horizontal="center" vertical="center"/>
    </xf>
    <xf numFmtId="4" fontId="0" fillId="0" borderId="85" xfId="0" applyNumberFormat="1" applyBorder="1" applyAlignment="1" applyProtection="1">
      <alignment horizontal="center" vertical="center"/>
      <protection locked="0"/>
    </xf>
    <xf numFmtId="4" fontId="1" fillId="0" borderId="85" xfId="48" applyNumberFormat="1" applyFont="1" applyBorder="1" applyAlignment="1" applyProtection="1">
      <alignment horizontal="center" vertical="center"/>
      <protection locked="0"/>
    </xf>
    <xf numFmtId="4" fontId="0" fillId="0" borderId="38" xfId="0" applyNumberFormat="1" applyBorder="1" applyAlignment="1" applyProtection="1">
      <alignment horizontal="center" vertical="center"/>
      <protection locked="0"/>
    </xf>
    <xf numFmtId="4" fontId="0" fillId="0" borderId="39" xfId="0" applyNumberFormat="1" applyBorder="1" applyAlignment="1" applyProtection="1">
      <alignment horizontal="center" vertical="center"/>
      <protection locked="0"/>
    </xf>
    <xf numFmtId="4" fontId="1" fillId="34" borderId="219" xfId="0" applyNumberFormat="1" applyFont="1" applyFill="1" applyBorder="1" applyAlignment="1">
      <alignment horizontal="center"/>
    </xf>
    <xf numFmtId="4" fontId="1" fillId="34" borderId="219" xfId="48" applyNumberFormat="1" applyFill="1" applyBorder="1" applyAlignment="1">
      <alignment horizontal="center"/>
    </xf>
    <xf numFmtId="4" fontId="0" fillId="0" borderId="85" xfId="0" applyNumberFormat="1" applyBorder="1" applyAlignment="1" applyProtection="1">
      <alignment horizontal="center"/>
      <protection locked="0"/>
    </xf>
    <xf numFmtId="4" fontId="1" fillId="0" borderId="85" xfId="48" applyNumberFormat="1" applyBorder="1" applyAlignment="1" applyProtection="1">
      <alignment horizontal="center"/>
      <protection locked="0"/>
    </xf>
    <xf numFmtId="4" fontId="0" fillId="0" borderId="38" xfId="0" applyNumberFormat="1" applyBorder="1" applyAlignment="1" applyProtection="1">
      <alignment horizontal="center"/>
      <protection locked="0"/>
    </xf>
    <xf numFmtId="4" fontId="0" fillId="0" borderId="39" xfId="0" applyNumberFormat="1" applyBorder="1" applyAlignment="1" applyProtection="1">
      <alignment horizontal="center"/>
      <protection locked="0"/>
    </xf>
    <xf numFmtId="4" fontId="0" fillId="34" borderId="85" xfId="0" applyNumberFormat="1" applyFill="1" applyBorder="1" applyAlignment="1">
      <alignment horizontal="center"/>
    </xf>
    <xf numFmtId="4" fontId="1" fillId="34" borderId="85" xfId="48" applyNumberFormat="1" applyFill="1" applyBorder="1" applyAlignment="1">
      <alignment horizontal="center"/>
    </xf>
    <xf numFmtId="4" fontId="23" fillId="0" borderId="0" xfId="0" applyNumberFormat="1" applyFont="1" applyAlignment="1" applyProtection="1">
      <alignment horizontal="center" vertical="center"/>
      <protection locked="0"/>
    </xf>
    <xf numFmtId="4" fontId="0" fillId="0" borderId="0" xfId="0" applyNumberFormat="1" applyAlignment="1" applyProtection="1">
      <alignment horizontal="center"/>
      <protection locked="0"/>
    </xf>
    <xf numFmtId="4" fontId="23" fillId="0" borderId="0" xfId="0" applyNumberFormat="1" applyFont="1"/>
    <xf numFmtId="4" fontId="0" fillId="0" borderId="0" xfId="0" applyNumberFormat="1" applyProtection="1"/>
    <xf numFmtId="4" fontId="28" fillId="0" borderId="0" xfId="0" applyNumberFormat="1" applyFont="1" applyAlignment="1" applyProtection="1">
      <alignment horizontal="center" vertical="center"/>
      <protection locked="0"/>
    </xf>
    <xf numFmtId="4" fontId="41" fillId="0" borderId="0" xfId="0" applyNumberFormat="1" applyFont="1" applyAlignment="1" applyProtection="1">
      <alignment horizontal="center" vertical="center"/>
      <protection locked="0"/>
    </xf>
    <xf numFmtId="4" fontId="23" fillId="0" borderId="0" xfId="0" applyNumberFormat="1" applyFont="1" applyProtection="1">
      <protection locked="0"/>
    </xf>
    <xf numFmtId="4" fontId="43" fillId="0" borderId="0" xfId="0" applyNumberFormat="1" applyFont="1" applyAlignment="1" applyProtection="1">
      <alignment horizontal="right"/>
      <protection locked="0"/>
    </xf>
    <xf numFmtId="4" fontId="43" fillId="0" borderId="0" xfId="0" applyNumberFormat="1" applyFont="1" applyProtection="1">
      <protection locked="0"/>
    </xf>
    <xf numFmtId="4" fontId="43" fillId="35" borderId="0" xfId="0" applyNumberFormat="1" applyFont="1" applyFill="1" applyProtection="1">
      <protection locked="0"/>
    </xf>
    <xf numFmtId="4" fontId="43" fillId="0" borderId="0" xfId="0" applyNumberFormat="1" applyFont="1" applyAlignment="1" applyProtection="1">
      <alignment horizontal="center"/>
      <protection locked="0"/>
    </xf>
    <xf numFmtId="4" fontId="0" fillId="0" borderId="0" xfId="0" applyNumberFormat="1" applyAlignment="1" applyProtection="1">
      <alignment horizontal="center" vertical="center"/>
      <protection locked="0"/>
    </xf>
    <xf numFmtId="4" fontId="19" fillId="0" borderId="0" xfId="0" applyNumberFormat="1" applyFont="1" applyAlignment="1" applyProtection="1">
      <alignment horizontal="right"/>
      <protection locked="0"/>
    </xf>
    <xf numFmtId="4" fontId="19" fillId="0" borderId="0" xfId="0" applyNumberFormat="1" applyFont="1" applyAlignment="1" applyProtection="1">
      <alignment horizontal="left"/>
      <protection locked="0"/>
    </xf>
    <xf numFmtId="4" fontId="19" fillId="35" borderId="0" xfId="0" applyNumberFormat="1" applyFont="1" applyFill="1" applyAlignment="1" applyProtection="1">
      <alignment horizontal="right"/>
      <protection locked="0"/>
    </xf>
    <xf numFmtId="4" fontId="19" fillId="35" borderId="0" xfId="0" applyNumberFormat="1" applyFont="1" applyFill="1" applyAlignment="1" applyProtection="1">
      <alignment horizontal="left"/>
      <protection locked="0"/>
    </xf>
    <xf numFmtId="4" fontId="70" fillId="0" borderId="0" xfId="0" applyNumberFormat="1" applyFont="1" applyAlignment="1" applyProtection="1">
      <alignment horizontal="center"/>
      <protection locked="0"/>
    </xf>
    <xf numFmtId="4" fontId="35" fillId="28" borderId="32" xfId="0" applyNumberFormat="1" applyFont="1" applyFill="1" applyBorder="1" applyAlignment="1">
      <alignment horizontal="center" vertical="center"/>
    </xf>
    <xf numFmtId="4" fontId="35" fillId="28" borderId="14" xfId="0" applyNumberFormat="1" applyFont="1" applyFill="1" applyBorder="1" applyAlignment="1">
      <alignment horizontal="center" vertical="center"/>
    </xf>
    <xf numFmtId="4" fontId="97" fillId="34" borderId="0" xfId="0" applyNumberFormat="1" applyFont="1" applyFill="1" applyBorder="1" applyAlignment="1">
      <alignment horizontal="center" wrapText="1"/>
    </xf>
    <xf numFmtId="4" fontId="97" fillId="34" borderId="46" xfId="0" applyNumberFormat="1" applyFont="1" applyFill="1" applyBorder="1" applyAlignment="1">
      <alignment horizontal="center" wrapText="1"/>
    </xf>
    <xf numFmtId="4" fontId="97" fillId="34" borderId="13" xfId="0" applyNumberFormat="1" applyFont="1" applyFill="1" applyBorder="1" applyAlignment="1">
      <alignment horizontal="center" wrapText="1"/>
    </xf>
    <xf numFmtId="4" fontId="97" fillId="34" borderId="36" xfId="0" applyNumberFormat="1" applyFont="1" applyFill="1" applyBorder="1" applyAlignment="1">
      <alignment horizontal="center" wrapText="1"/>
    </xf>
    <xf numFmtId="4" fontId="97" fillId="34" borderId="14" xfId="0" applyNumberFormat="1" applyFont="1" applyFill="1" applyBorder="1" applyAlignment="1">
      <alignment horizontal="center" wrapText="1"/>
    </xf>
    <xf numFmtId="4" fontId="128" fillId="28" borderId="14" xfId="0" applyNumberFormat="1" applyFont="1" applyFill="1" applyBorder="1" applyAlignment="1">
      <alignment horizontal="center" vertical="top" wrapText="1"/>
    </xf>
    <xf numFmtId="4" fontId="128" fillId="29" borderId="15" xfId="0" applyNumberFormat="1" applyFont="1" applyFill="1" applyBorder="1" applyAlignment="1">
      <alignment horizontal="center" vertical="top" wrapText="1"/>
    </xf>
    <xf numFmtId="4" fontId="130" fillId="25" borderId="13" xfId="0" applyNumberFormat="1" applyFont="1" applyFill="1" applyBorder="1" applyAlignment="1">
      <alignment horizontal="center" vertical="top" wrapText="1"/>
    </xf>
    <xf numFmtId="4" fontId="131" fillId="26" borderId="13" xfId="0" applyNumberFormat="1" applyFont="1" applyFill="1" applyBorder="1" applyAlignment="1">
      <alignment horizontal="center" vertical="top" wrapText="1"/>
    </xf>
    <xf numFmtId="4" fontId="128" fillId="30" borderId="14" xfId="0" applyNumberFormat="1" applyFont="1" applyFill="1" applyBorder="1" applyAlignment="1">
      <alignment horizontal="center" vertical="top" wrapText="1"/>
    </xf>
    <xf numFmtId="4" fontId="122" fillId="27" borderId="0" xfId="0" applyNumberFormat="1" applyFont="1" applyFill="1" applyBorder="1" applyAlignment="1">
      <alignment horizontal="center" vertical="top" wrapText="1"/>
    </xf>
    <xf numFmtId="4" fontId="23" fillId="33" borderId="39" xfId="0" applyNumberFormat="1" applyFont="1" applyFill="1" applyBorder="1" applyAlignment="1">
      <alignment horizontal="center" vertical="center" wrapText="1"/>
    </xf>
    <xf numFmtId="4" fontId="128" fillId="34" borderId="185" xfId="0" applyNumberFormat="1" applyFont="1" applyFill="1" applyBorder="1" applyAlignment="1">
      <alignment horizontal="center" wrapText="1"/>
    </xf>
    <xf numFmtId="4" fontId="128" fillId="34" borderId="33" xfId="0" applyNumberFormat="1" applyFont="1" applyFill="1" applyBorder="1" applyAlignment="1">
      <alignment horizontal="center" wrapText="1"/>
    </xf>
    <xf numFmtId="4" fontId="128" fillId="34" borderId="33" xfId="0" applyNumberFormat="1" applyFont="1" applyFill="1" applyBorder="1" applyAlignment="1">
      <alignment horizontal="center" vertical="center" wrapText="1"/>
    </xf>
    <xf numFmtId="4" fontId="132" fillId="34" borderId="35" xfId="0" applyNumberFormat="1" applyFont="1" applyFill="1" applyBorder="1" applyAlignment="1">
      <alignment horizontal="center" vertical="center" wrapText="1"/>
    </xf>
    <xf numFmtId="4" fontId="128" fillId="34" borderId="61" xfId="0" applyNumberFormat="1" applyFont="1" applyFill="1" applyBorder="1" applyAlignment="1">
      <alignment horizontal="center" vertical="center" wrapText="1"/>
    </xf>
    <xf numFmtId="4" fontId="22" fillId="28" borderId="33" xfId="0" applyNumberFormat="1" applyFont="1" applyFill="1" applyBorder="1" applyAlignment="1">
      <alignment horizontal="center" vertical="center" wrapText="1"/>
    </xf>
    <xf numFmtId="4" fontId="22" fillId="29" borderId="34" xfId="0" applyNumberFormat="1" applyFont="1" applyFill="1" applyBorder="1" applyAlignment="1">
      <alignment horizontal="center" vertical="center" wrapText="1"/>
    </xf>
    <xf numFmtId="4" fontId="22" fillId="25" borderId="35" xfId="0" applyNumberFormat="1" applyFont="1" applyFill="1" applyBorder="1" applyAlignment="1">
      <alignment horizontal="center" vertical="center" wrapText="1"/>
    </xf>
    <xf numFmtId="4" fontId="22" fillId="26" borderId="33" xfId="0" applyNumberFormat="1" applyFont="1" applyFill="1" applyBorder="1" applyAlignment="1">
      <alignment horizontal="center" vertical="center"/>
    </xf>
    <xf numFmtId="4" fontId="22" fillId="30" borderId="35" xfId="0" applyNumberFormat="1" applyFont="1" applyFill="1" applyBorder="1" applyAlignment="1">
      <alignment horizontal="center" vertical="center" wrapText="1"/>
    </xf>
    <xf numFmtId="4" fontId="22" fillId="27" borderId="58" xfId="0" applyNumberFormat="1" applyFont="1" applyFill="1" applyBorder="1" applyAlignment="1">
      <alignment horizontal="center" vertical="center" wrapText="1"/>
    </xf>
    <xf numFmtId="4" fontId="19" fillId="33" borderId="76" xfId="0" applyNumberFormat="1" applyFont="1" applyFill="1" applyBorder="1" applyAlignment="1">
      <alignment horizontal="center" vertical="center" wrapText="1"/>
    </xf>
    <xf numFmtId="4" fontId="23" fillId="34" borderId="13" xfId="0" applyNumberFormat="1" applyFont="1" applyFill="1" applyBorder="1" applyAlignment="1">
      <alignment horizontal="left" vertical="center"/>
    </xf>
    <xf numFmtId="4" fontId="23" fillId="34" borderId="0" xfId="0" applyNumberFormat="1" applyFont="1" applyFill="1" applyBorder="1" applyAlignment="1">
      <alignment horizontal="left" vertical="center"/>
    </xf>
    <xf numFmtId="4" fontId="23" fillId="28" borderId="36" xfId="0" applyNumberFormat="1" applyFont="1" applyFill="1" applyBorder="1" applyAlignment="1">
      <alignment horizontal="left" vertical="center"/>
    </xf>
    <xf numFmtId="4" fontId="23" fillId="29" borderId="37" xfId="0" applyNumberFormat="1" applyFont="1" applyFill="1" applyBorder="1" applyAlignment="1">
      <alignment horizontal="left" vertical="center"/>
    </xf>
    <xf numFmtId="4" fontId="134" fillId="25" borderId="13" xfId="0" applyNumberFormat="1" applyFont="1" applyFill="1" applyBorder="1" applyAlignment="1">
      <alignment horizontal="left" vertical="center"/>
    </xf>
    <xf numFmtId="4" fontId="23" fillId="26" borderId="13" xfId="0" applyNumberFormat="1" applyFont="1" applyFill="1" applyBorder="1" applyAlignment="1">
      <alignment horizontal="left" vertical="center"/>
    </xf>
    <xf numFmtId="4" fontId="23" fillId="30" borderId="13" xfId="0" applyNumberFormat="1" applyFont="1" applyFill="1" applyBorder="1" applyAlignment="1">
      <alignment horizontal="left" vertical="center"/>
    </xf>
    <xf numFmtId="4" fontId="135" fillId="27" borderId="0" xfId="0" applyNumberFormat="1" applyFont="1" applyFill="1" applyBorder="1" applyAlignment="1">
      <alignment horizontal="left" vertical="center"/>
    </xf>
    <xf numFmtId="4" fontId="22" fillId="33" borderId="20" xfId="0" applyNumberFormat="1" applyFont="1" applyFill="1" applyBorder="1" applyAlignment="1">
      <alignment horizontal="left" vertical="center"/>
    </xf>
    <xf numFmtId="4" fontId="1" fillId="0" borderId="40" xfId="0" applyNumberFormat="1" applyFont="1" applyBorder="1" applyAlignment="1" applyProtection="1">
      <alignment horizontal="left" vertical="center"/>
      <protection locked="0"/>
    </xf>
    <xf numFmtId="4" fontId="1" fillId="0" borderId="74" xfId="0" applyNumberFormat="1" applyFont="1" applyBorder="1" applyAlignment="1" applyProtection="1">
      <alignment horizontal="left" vertical="center"/>
      <protection locked="0"/>
    </xf>
    <xf numFmtId="4" fontId="23" fillId="28" borderId="38" xfId="0" applyNumberFormat="1" applyFont="1" applyFill="1" applyBorder="1" applyAlignment="1">
      <alignment horizontal="left" vertical="center"/>
    </xf>
    <xf numFmtId="4" fontId="1" fillId="0" borderId="39" xfId="0" applyNumberFormat="1" applyFont="1" applyFill="1" applyBorder="1" applyAlignment="1" applyProtection="1">
      <alignment horizontal="left" vertical="center"/>
      <protection locked="0"/>
    </xf>
    <xf numFmtId="4" fontId="136" fillId="25" borderId="40" xfId="0" applyNumberFormat="1" applyFont="1" applyFill="1" applyBorder="1" applyAlignment="1">
      <alignment horizontal="left" vertical="center"/>
    </xf>
    <xf numFmtId="4" fontId="1" fillId="0" borderId="85" xfId="0" applyNumberFormat="1" applyFont="1" applyFill="1" applyBorder="1" applyAlignment="1" applyProtection="1">
      <alignment horizontal="left" vertical="center"/>
      <protection locked="0"/>
    </xf>
    <xf numFmtId="4" fontId="137" fillId="27" borderId="74" xfId="0" applyNumberFormat="1" applyFont="1" applyFill="1" applyBorder="1" applyAlignment="1">
      <alignment horizontal="left" vertical="center"/>
    </xf>
    <xf numFmtId="4" fontId="22" fillId="0" borderId="39" xfId="0" applyNumberFormat="1" applyFont="1" applyFill="1" applyBorder="1" applyAlignment="1" applyProtection="1">
      <alignment horizontal="left" vertical="center"/>
      <protection locked="0"/>
    </xf>
    <xf numFmtId="4" fontId="1" fillId="34" borderId="40" xfId="0" applyNumberFormat="1" applyFont="1" applyFill="1" applyBorder="1" applyAlignment="1">
      <alignment horizontal="left" vertical="center"/>
    </xf>
    <xf numFmtId="4" fontId="1" fillId="34" borderId="74" xfId="0" applyNumberFormat="1" applyFont="1" applyFill="1" applyBorder="1" applyAlignment="1">
      <alignment horizontal="left" vertical="center"/>
    </xf>
    <xf numFmtId="4" fontId="1" fillId="29" borderId="39" xfId="0" applyNumberFormat="1" applyFont="1" applyFill="1" applyBorder="1" applyAlignment="1">
      <alignment horizontal="left" vertical="center"/>
    </xf>
    <xf numFmtId="4" fontId="1" fillId="26" borderId="40" xfId="0" applyNumberFormat="1" applyFont="1" applyFill="1" applyBorder="1" applyAlignment="1">
      <alignment horizontal="left" vertical="center"/>
    </xf>
    <xf numFmtId="4" fontId="1" fillId="30" borderId="40" xfId="0" applyNumberFormat="1" applyFont="1" applyFill="1" applyBorder="1" applyAlignment="1">
      <alignment horizontal="left" vertical="center"/>
    </xf>
    <xf numFmtId="4" fontId="22" fillId="38" borderId="39" xfId="0" applyNumberFormat="1" applyFont="1" applyFill="1" applyBorder="1" applyAlignment="1" applyProtection="1">
      <alignment horizontal="left" vertical="center"/>
    </xf>
    <xf numFmtId="4" fontId="22" fillId="33" borderId="39" xfId="0" applyNumberFormat="1" applyFont="1" applyFill="1" applyBorder="1" applyAlignment="1">
      <alignment horizontal="left" vertical="center"/>
    </xf>
    <xf numFmtId="4" fontId="23" fillId="34" borderId="40" xfId="0" applyNumberFormat="1" applyFont="1" applyFill="1" applyBorder="1" applyAlignment="1">
      <alignment horizontal="left" vertical="center"/>
    </xf>
    <xf numFmtId="4" fontId="23" fillId="34" borderId="74" xfId="0" applyNumberFormat="1" applyFont="1" applyFill="1" applyBorder="1" applyAlignment="1">
      <alignment horizontal="left" vertical="center"/>
    </xf>
    <xf numFmtId="4" fontId="23" fillId="29" borderId="39" xfId="0" applyNumberFormat="1" applyFont="1" applyFill="1" applyBorder="1" applyAlignment="1">
      <alignment horizontal="left" vertical="center"/>
    </xf>
    <xf numFmtId="4" fontId="134" fillId="25" borderId="40" xfId="0" applyNumberFormat="1" applyFont="1" applyFill="1" applyBorder="1" applyAlignment="1">
      <alignment horizontal="left" vertical="center"/>
    </xf>
    <xf numFmtId="4" fontId="23" fillId="26" borderId="40" xfId="0" applyNumberFormat="1" applyFont="1" applyFill="1" applyBorder="1" applyAlignment="1">
      <alignment horizontal="left" vertical="center"/>
    </xf>
    <xf numFmtId="4" fontId="23" fillId="30" borderId="40" xfId="0" applyNumberFormat="1" applyFont="1" applyFill="1" applyBorder="1" applyAlignment="1">
      <alignment horizontal="left" vertical="center"/>
    </xf>
    <xf numFmtId="4" fontId="135" fillId="27" borderId="74" xfId="0" applyNumberFormat="1" applyFont="1" applyFill="1" applyBorder="1" applyAlignment="1">
      <alignment horizontal="left" vertical="center"/>
    </xf>
    <xf numFmtId="4" fontId="0" fillId="33" borderId="39" xfId="0" applyNumberFormat="1" applyFill="1" applyBorder="1" applyAlignment="1">
      <alignment horizontal="left" vertical="center"/>
    </xf>
    <xf numFmtId="4" fontId="1" fillId="0" borderId="74" xfId="0" applyNumberFormat="1" applyFont="1" applyFill="1" applyBorder="1" applyAlignment="1" applyProtection="1">
      <alignment horizontal="left" vertical="center"/>
      <protection locked="0"/>
    </xf>
    <xf numFmtId="4" fontId="1" fillId="34" borderId="40" xfId="0" applyNumberFormat="1" applyFont="1" applyFill="1" applyBorder="1" applyAlignment="1" applyProtection="1">
      <alignment horizontal="left" vertical="center"/>
    </xf>
    <xf numFmtId="4" fontId="23" fillId="28" borderId="38" xfId="0" applyNumberFormat="1" applyFont="1" applyFill="1" applyBorder="1" applyAlignment="1" applyProtection="1">
      <alignment horizontal="left" vertical="center"/>
    </xf>
    <xf numFmtId="4" fontId="1" fillId="29" borderId="39" xfId="0" applyNumberFormat="1" applyFont="1" applyFill="1" applyBorder="1" applyAlignment="1" applyProtection="1">
      <alignment horizontal="left" vertical="center"/>
    </xf>
    <xf numFmtId="4" fontId="136" fillId="25" borderId="40" xfId="0" applyNumberFormat="1" applyFont="1" applyFill="1" applyBorder="1" applyAlignment="1" applyProtection="1">
      <alignment horizontal="left" vertical="center"/>
    </xf>
    <xf numFmtId="4" fontId="1" fillId="26" borderId="40" xfId="0" applyNumberFormat="1" applyFont="1" applyFill="1" applyBorder="1" applyAlignment="1" applyProtection="1">
      <alignment horizontal="left" vertical="center"/>
    </xf>
    <xf numFmtId="4" fontId="1" fillId="30" borderId="40" xfId="0" applyNumberFormat="1" applyFont="1" applyFill="1" applyBorder="1" applyAlignment="1" applyProtection="1">
      <alignment horizontal="left" vertical="center"/>
    </xf>
    <xf numFmtId="4" fontId="137" fillId="27" borderId="74" xfId="0" applyNumberFormat="1" applyFont="1" applyFill="1" applyBorder="1" applyAlignment="1" applyProtection="1">
      <alignment horizontal="left" vertical="center"/>
    </xf>
    <xf numFmtId="4" fontId="0" fillId="33" borderId="39" xfId="0" applyNumberFormat="1" applyFill="1" applyBorder="1" applyAlignment="1" applyProtection="1">
      <alignment horizontal="left" vertical="center"/>
    </xf>
    <xf numFmtId="4" fontId="23" fillId="0" borderId="40" xfId="0" applyNumberFormat="1" applyFont="1" applyBorder="1" applyAlignment="1" applyProtection="1">
      <alignment horizontal="left" vertical="center"/>
      <protection locked="0"/>
    </xf>
    <xf numFmtId="4" fontId="23" fillId="0" borderId="74" xfId="0" applyNumberFormat="1" applyFont="1" applyBorder="1" applyAlignment="1" applyProtection="1">
      <alignment horizontal="left" vertical="center"/>
      <protection locked="0"/>
    </xf>
    <xf numFmtId="4" fontId="23" fillId="0" borderId="89" xfId="0" applyNumberFormat="1" applyFont="1" applyFill="1" applyBorder="1" applyAlignment="1" applyProtection="1">
      <alignment horizontal="left" vertical="center"/>
      <protection locked="0"/>
    </xf>
    <xf numFmtId="4" fontId="135" fillId="27" borderId="75" xfId="0" applyNumberFormat="1" applyFont="1" applyFill="1" applyBorder="1" applyAlignment="1">
      <alignment horizontal="left" vertical="center"/>
    </xf>
    <xf numFmtId="4" fontId="22" fillId="0" borderId="89" xfId="0" applyNumberFormat="1" applyFont="1" applyFill="1" applyBorder="1" applyAlignment="1" applyProtection="1">
      <alignment horizontal="left" vertical="center"/>
      <protection locked="0"/>
    </xf>
    <xf numFmtId="4" fontId="23" fillId="28" borderId="43" xfId="0" applyNumberFormat="1" applyFont="1" applyFill="1" applyBorder="1" applyAlignment="1">
      <alignment horizontal="left" vertical="center"/>
    </xf>
    <xf numFmtId="4" fontId="23" fillId="28" borderId="44" xfId="0" applyNumberFormat="1" applyFont="1" applyFill="1" applyBorder="1" applyAlignment="1">
      <alignment horizontal="left" vertical="center"/>
    </xf>
    <xf numFmtId="4" fontId="1" fillId="0" borderId="45" xfId="0" applyNumberFormat="1" applyFont="1" applyFill="1" applyBorder="1" applyAlignment="1">
      <alignment horizontal="left" vertical="center"/>
    </xf>
    <xf numFmtId="4" fontId="136" fillId="0" borderId="21" xfId="0" applyNumberFormat="1" applyFont="1" applyFill="1" applyBorder="1" applyAlignment="1">
      <alignment horizontal="left" vertical="center"/>
    </xf>
    <xf numFmtId="4" fontId="1" fillId="0" borderId="46" xfId="0" applyNumberFormat="1" applyFont="1" applyFill="1" applyBorder="1" applyAlignment="1">
      <alignment horizontal="left" vertical="center"/>
    </xf>
    <xf numFmtId="4" fontId="140" fillId="0" borderId="47" xfId="0" applyNumberFormat="1" applyFont="1" applyFill="1" applyBorder="1" applyAlignment="1">
      <alignment horizontal="center" vertical="center"/>
    </xf>
    <xf numFmtId="4" fontId="137" fillId="0" borderId="46" xfId="0" applyNumberFormat="1" applyFont="1" applyFill="1" applyBorder="1" applyAlignment="1">
      <alignment horizontal="left" vertical="center"/>
    </xf>
    <xf numFmtId="4" fontId="0" fillId="0" borderId="45" xfId="0" applyNumberFormat="1" applyFill="1" applyBorder="1" applyAlignment="1">
      <alignment horizontal="left" vertical="center"/>
    </xf>
    <xf numFmtId="4" fontId="1" fillId="0" borderId="279" xfId="0" applyNumberFormat="1" applyFont="1" applyFill="1" applyBorder="1" applyAlignment="1" applyProtection="1">
      <alignment vertical="center"/>
      <protection locked="0"/>
    </xf>
    <xf numFmtId="4" fontId="1" fillId="0" borderId="79" xfId="0" applyNumberFormat="1" applyFont="1" applyFill="1" applyBorder="1" applyAlignment="1" applyProtection="1">
      <alignment vertical="center"/>
      <protection locked="0"/>
    </xf>
    <xf numFmtId="4" fontId="1" fillId="0" borderId="271" xfId="0" applyNumberFormat="1" applyFont="1" applyFill="1" applyBorder="1" applyAlignment="1" applyProtection="1">
      <alignment vertical="center"/>
      <protection locked="0"/>
    </xf>
    <xf numFmtId="4" fontId="23" fillId="34" borderId="68" xfId="0" applyNumberFormat="1" applyFont="1" applyFill="1" applyBorder="1" applyAlignment="1">
      <alignment vertical="center"/>
    </xf>
    <xf numFmtId="4" fontId="29" fillId="29" borderId="51" xfId="0" applyNumberFormat="1" applyFont="1" applyFill="1" applyBorder="1" applyAlignment="1">
      <alignment vertical="center"/>
    </xf>
    <xf numFmtId="4" fontId="137" fillId="0" borderId="12" xfId="0" applyNumberFormat="1" applyFont="1" applyFill="1" applyBorder="1"/>
    <xf numFmtId="4" fontId="1" fillId="0" borderId="14" xfId="0" applyNumberFormat="1" applyFont="1" applyFill="1" applyBorder="1"/>
    <xf numFmtId="4" fontId="1" fillId="0" borderId="0" xfId="0" applyNumberFormat="1" applyFont="1" applyFill="1" applyBorder="1"/>
    <xf numFmtId="4" fontId="0" fillId="0" borderId="14" xfId="0" applyNumberFormat="1" applyBorder="1"/>
    <xf numFmtId="4" fontId="0" fillId="0" borderId="45" xfId="0" applyNumberFormat="1" applyFill="1" applyBorder="1"/>
    <xf numFmtId="4" fontId="142" fillId="25" borderId="13" xfId="0" applyNumberFormat="1" applyFont="1" applyFill="1" applyBorder="1" applyAlignment="1">
      <alignment horizontal="left" vertical="center"/>
    </xf>
    <xf numFmtId="4" fontId="142" fillId="0" borderId="53" xfId="0" applyNumberFormat="1" applyFont="1" applyFill="1" applyBorder="1" applyAlignment="1">
      <alignment horizontal="left" vertical="center"/>
    </xf>
    <xf numFmtId="4" fontId="143" fillId="0" borderId="54" xfId="0" applyNumberFormat="1" applyFont="1" applyFill="1" applyBorder="1" applyAlignment="1">
      <alignment horizontal="left" vertical="center"/>
    </xf>
    <xf numFmtId="4" fontId="136" fillId="25" borderId="44" xfId="0" applyNumberFormat="1" applyFont="1" applyFill="1" applyBorder="1" applyAlignment="1">
      <alignment horizontal="left" vertical="center"/>
    </xf>
    <xf numFmtId="4" fontId="143" fillId="0" borderId="55" xfId="0" applyNumberFormat="1" applyFont="1" applyFill="1" applyBorder="1" applyAlignment="1">
      <alignment horizontal="left" vertical="center"/>
    </xf>
    <xf numFmtId="4" fontId="143" fillId="0" borderId="0" xfId="0" applyNumberFormat="1" applyFont="1" applyFill="1" applyBorder="1" applyAlignment="1">
      <alignment horizontal="left" vertical="center"/>
    </xf>
    <xf numFmtId="4" fontId="23" fillId="0" borderId="14" xfId="0" applyNumberFormat="1" applyFont="1" applyBorder="1" applyAlignment="1">
      <alignment horizontal="left" vertical="center"/>
    </xf>
    <xf numFmtId="4" fontId="23" fillId="0" borderId="45" xfId="0" applyNumberFormat="1" applyFont="1" applyFill="1" applyBorder="1" applyAlignment="1">
      <alignment horizontal="left" vertical="center"/>
    </xf>
    <xf numFmtId="4" fontId="1" fillId="0" borderId="158" xfId="0" applyNumberFormat="1" applyFont="1" applyFill="1" applyBorder="1" applyAlignment="1" applyProtection="1">
      <alignment horizontal="left" vertical="center"/>
      <protection locked="0"/>
    </xf>
    <xf numFmtId="4" fontId="1" fillId="0" borderId="46" xfId="0" applyNumberFormat="1" applyFont="1" applyFill="1" applyBorder="1" applyAlignment="1" applyProtection="1">
      <alignment horizontal="left" vertical="center"/>
      <protection locked="0"/>
    </xf>
    <xf numFmtId="4" fontId="1" fillId="0" borderId="56" xfId="0" applyNumberFormat="1" applyFont="1" applyFill="1" applyBorder="1" applyAlignment="1">
      <alignment horizontal="left" vertical="center"/>
    </xf>
    <xf numFmtId="4" fontId="140" fillId="0" borderId="41" xfId="0" applyNumberFormat="1" applyFont="1" applyBorder="1" applyAlignment="1">
      <alignment horizontal="left" vertical="center"/>
    </xf>
    <xf numFmtId="4" fontId="145" fillId="0" borderId="57" xfId="0" applyNumberFormat="1" applyFont="1" applyFill="1" applyBorder="1" applyAlignment="1">
      <alignment horizontal="left" vertical="center"/>
    </xf>
    <xf numFmtId="4" fontId="146" fillId="26" borderId="44" xfId="0" applyNumberFormat="1" applyFont="1" applyFill="1" applyBorder="1" applyAlignment="1">
      <alignment horizontal="left" vertical="center"/>
    </xf>
    <xf numFmtId="4" fontId="29" fillId="0" borderId="58" xfId="0" applyNumberFormat="1" applyFont="1" applyFill="1" applyBorder="1" applyAlignment="1">
      <alignment horizontal="left" vertical="center"/>
    </xf>
    <xf numFmtId="4" fontId="0" fillId="0" borderId="14" xfId="0" applyNumberFormat="1" applyBorder="1" applyAlignment="1">
      <alignment horizontal="left" vertical="center"/>
    </xf>
    <xf numFmtId="4" fontId="1" fillId="0" borderId="158" xfId="0" applyNumberFormat="1" applyFont="1" applyFill="1" applyBorder="1" applyAlignment="1" applyProtection="1">
      <alignment horizontal="center" vertical="center"/>
      <protection locked="0"/>
    </xf>
    <xf numFmtId="4" fontId="1" fillId="0" borderId="47" xfId="0" applyNumberFormat="1" applyFont="1" applyFill="1" applyBorder="1" applyAlignment="1" applyProtection="1">
      <alignment horizontal="center" vertical="center"/>
      <protection locked="0"/>
    </xf>
    <xf numFmtId="4" fontId="140" fillId="0" borderId="59" xfId="0" applyNumberFormat="1" applyFont="1" applyFill="1" applyBorder="1" applyAlignment="1">
      <alignment horizontal="center" vertical="center"/>
    </xf>
    <xf numFmtId="4" fontId="145" fillId="0" borderId="41" xfId="0" applyNumberFormat="1" applyFont="1" applyFill="1" applyBorder="1" applyAlignment="1">
      <alignment horizontal="left" vertical="center"/>
    </xf>
    <xf numFmtId="4" fontId="143" fillId="0" borderId="57" xfId="0" applyNumberFormat="1" applyFont="1" applyFill="1" applyBorder="1" applyAlignment="1">
      <alignment horizontal="left" vertical="center"/>
    </xf>
    <xf numFmtId="4" fontId="146" fillId="30" borderId="44" xfId="0" applyNumberFormat="1" applyFont="1" applyFill="1" applyBorder="1" applyAlignment="1">
      <alignment horizontal="left" vertical="center"/>
    </xf>
    <xf numFmtId="4" fontId="147" fillId="0" borderId="14" xfId="0" applyNumberFormat="1" applyFont="1" applyFill="1" applyBorder="1" applyAlignment="1">
      <alignment horizontal="left" vertical="center"/>
    </xf>
    <xf numFmtId="4" fontId="149" fillId="27" borderId="60" xfId="0" applyNumberFormat="1" applyFont="1" applyFill="1" applyBorder="1" applyAlignment="1">
      <alignment horizontal="left" vertical="center"/>
    </xf>
    <xf numFmtId="4" fontId="149" fillId="27" borderId="46" xfId="0" applyNumberFormat="1" applyFont="1" applyFill="1" applyBorder="1" applyAlignment="1">
      <alignment horizontal="left" vertical="center"/>
    </xf>
    <xf numFmtId="4" fontId="149" fillId="0" borderId="61" xfId="0" applyNumberFormat="1" applyFont="1" applyFill="1" applyBorder="1" applyAlignment="1">
      <alignment horizontal="left" vertical="center"/>
    </xf>
    <xf numFmtId="4" fontId="140" fillId="0" borderId="58" xfId="0" applyNumberFormat="1" applyFont="1" applyBorder="1" applyAlignment="1">
      <alignment horizontal="left" vertical="center"/>
    </xf>
    <xf numFmtId="4" fontId="150" fillId="0" borderId="0" xfId="0" applyNumberFormat="1" applyFont="1" applyBorder="1" applyAlignment="1">
      <alignment horizontal="left" vertical="center"/>
    </xf>
    <xf numFmtId="4" fontId="1" fillId="0" borderId="0" xfId="0" applyNumberFormat="1" applyFont="1" applyBorder="1" applyAlignment="1">
      <alignment horizontal="left" vertical="center"/>
    </xf>
    <xf numFmtId="4" fontId="140" fillId="0" borderId="0" xfId="0" applyNumberFormat="1" applyFont="1" applyBorder="1" applyAlignment="1">
      <alignment horizontal="left" vertical="center"/>
    </xf>
    <xf numFmtId="4" fontId="137" fillId="27" borderId="115" xfId="0" applyNumberFormat="1" applyFont="1" applyFill="1" applyBorder="1" applyAlignment="1">
      <alignment horizontal="left" vertical="center"/>
    </xf>
    <xf numFmtId="4" fontId="0" fillId="0" borderId="34" xfId="0" applyNumberFormat="1" applyFill="1" applyBorder="1" applyAlignment="1">
      <alignment horizontal="left" vertical="center"/>
    </xf>
    <xf numFmtId="4" fontId="140" fillId="0" borderId="63" xfId="0" applyNumberFormat="1" applyFont="1" applyFill="1" applyBorder="1" applyAlignment="1">
      <alignment horizontal="center" vertical="center"/>
    </xf>
    <xf numFmtId="4" fontId="151" fillId="0" borderId="63" xfId="0" applyNumberFormat="1" applyFont="1" applyFill="1" applyBorder="1" applyAlignment="1">
      <alignment horizontal="left" vertical="center"/>
    </xf>
    <xf numFmtId="4" fontId="145" fillId="0" borderId="63" xfId="0" applyNumberFormat="1" applyFont="1" applyFill="1" applyBorder="1" applyAlignment="1">
      <alignment horizontal="left" vertical="center"/>
    </xf>
    <xf numFmtId="4" fontId="29" fillId="0" borderId="63" xfId="0" applyNumberFormat="1" applyFont="1" applyFill="1" applyBorder="1" applyAlignment="1">
      <alignment horizontal="left" vertical="center"/>
    </xf>
    <xf numFmtId="4" fontId="146" fillId="0" borderId="64" xfId="0" applyNumberFormat="1" applyFont="1" applyFill="1" applyBorder="1" applyAlignment="1">
      <alignment horizontal="left" vertical="center"/>
    </xf>
    <xf numFmtId="4" fontId="23" fillId="35" borderId="63" xfId="0" applyNumberFormat="1" applyFont="1" applyFill="1" applyBorder="1" applyAlignment="1" applyProtection="1">
      <alignment horizontal="left" vertical="center"/>
      <protection locked="0"/>
    </xf>
    <xf numFmtId="4" fontId="0" fillId="33" borderId="31" xfId="0" applyNumberFormat="1" applyFill="1" applyBorder="1" applyAlignment="1">
      <alignment horizontal="left" vertical="center"/>
    </xf>
    <xf numFmtId="4" fontId="152" fillId="0" borderId="0" xfId="0" applyNumberFormat="1" applyFont="1" applyAlignment="1" applyProtection="1">
      <protection locked="0"/>
    </xf>
    <xf numFmtId="4" fontId="47" fillId="0" borderId="0" xfId="0" applyNumberFormat="1" applyFont="1" applyAlignment="1" applyProtection="1">
      <alignment horizontal="center"/>
      <protection locked="0"/>
    </xf>
    <xf numFmtId="4" fontId="22" fillId="0" borderId="0" xfId="0" applyNumberFormat="1" applyFont="1" applyProtection="1">
      <protection locked="0"/>
    </xf>
    <xf numFmtId="4" fontId="23" fillId="34" borderId="182" xfId="0" applyNumberFormat="1" applyFont="1" applyFill="1" applyBorder="1" applyAlignment="1">
      <alignment horizontal="center" vertical="center"/>
    </xf>
    <xf numFmtId="4" fontId="23" fillId="34" borderId="186" xfId="0" applyNumberFormat="1" applyFont="1" applyFill="1" applyBorder="1" applyAlignment="1">
      <alignment horizontal="center"/>
    </xf>
    <xf numFmtId="4" fontId="23" fillId="34" borderId="214" xfId="0" applyNumberFormat="1" applyFont="1" applyFill="1" applyBorder="1" applyAlignment="1">
      <alignment horizontal="center"/>
    </xf>
    <xf numFmtId="4" fontId="23" fillId="34" borderId="215" xfId="0" applyNumberFormat="1" applyFont="1" applyFill="1" applyBorder="1" applyAlignment="1">
      <alignment horizontal="right" vertical="center"/>
    </xf>
    <xf numFmtId="4" fontId="23" fillId="25" borderId="116" xfId="0" applyNumberFormat="1" applyFont="1" applyFill="1" applyBorder="1" applyAlignment="1">
      <alignment horizontal="right" vertical="center"/>
    </xf>
    <xf numFmtId="4" fontId="23" fillId="0" borderId="0" xfId="0" applyNumberFormat="1" applyFont="1" applyFill="1" applyBorder="1" applyAlignment="1" applyProtection="1">
      <alignment horizontal="right" vertical="center"/>
      <protection locked="0"/>
    </xf>
    <xf numFmtId="4" fontId="92" fillId="0" borderId="0" xfId="0" applyNumberFormat="1" applyFont="1" applyAlignment="1" applyProtection="1">
      <alignment horizontal="left" vertical="top"/>
      <protection locked="0"/>
    </xf>
    <xf numFmtId="4" fontId="0" fillId="34" borderId="0" xfId="0" applyNumberFormat="1" applyFill="1" applyAlignment="1" applyProtection="1">
      <alignment horizontal="center"/>
      <protection locked="0"/>
    </xf>
    <xf numFmtId="4" fontId="43" fillId="34" borderId="0" xfId="0" applyNumberFormat="1" applyFont="1" applyFill="1" applyAlignment="1" applyProtection="1">
      <alignment horizontal="right"/>
      <protection locked="0"/>
    </xf>
    <xf numFmtId="4" fontId="43" fillId="0" borderId="0" xfId="0" applyNumberFormat="1" applyFont="1" applyAlignment="1" applyProtection="1">
      <protection locked="0"/>
    </xf>
    <xf numFmtId="4" fontId="26" fillId="34" borderId="0" xfId="0" applyNumberFormat="1" applyFont="1" applyFill="1" applyAlignment="1" applyProtection="1">
      <alignment horizontal="right"/>
      <protection locked="0"/>
    </xf>
    <xf numFmtId="4" fontId="1" fillId="0" borderId="0" xfId="0" applyNumberFormat="1" applyFont="1" applyProtection="1">
      <protection locked="0"/>
    </xf>
    <xf numFmtId="4" fontId="26" fillId="0" borderId="0" xfId="0" applyNumberFormat="1" applyFont="1" applyAlignment="1" applyProtection="1">
      <protection locked="0"/>
    </xf>
    <xf numFmtId="4" fontId="23" fillId="34" borderId="178" xfId="0" applyNumberFormat="1" applyFont="1" applyFill="1" applyBorder="1" applyAlignment="1">
      <alignment horizontal="center" vertical="center"/>
    </xf>
    <xf numFmtId="4" fontId="23" fillId="34" borderId="180" xfId="0" applyNumberFormat="1" applyFont="1" applyFill="1" applyBorder="1" applyAlignment="1">
      <alignment horizontal="center"/>
    </xf>
    <xf numFmtId="4" fontId="23" fillId="34" borderId="56" xfId="0" applyNumberFormat="1" applyFont="1" applyFill="1" applyBorder="1" applyAlignment="1">
      <alignment horizontal="center" vertical="center"/>
    </xf>
    <xf numFmtId="4" fontId="70" fillId="34" borderId="181" xfId="0" applyNumberFormat="1" applyFont="1" applyFill="1" applyBorder="1" applyAlignment="1">
      <alignment horizontal="center" vertical="center"/>
    </xf>
    <xf numFmtId="4" fontId="70" fillId="34" borderId="36" xfId="0" applyNumberFormat="1" applyFont="1" applyFill="1" applyBorder="1" applyAlignment="1">
      <alignment horizontal="center" vertical="center"/>
    </xf>
    <xf numFmtId="4" fontId="22" fillId="34" borderId="180" xfId="0" applyNumberFormat="1" applyFont="1" applyFill="1" applyBorder="1" applyAlignment="1">
      <alignment vertical="center"/>
    </xf>
    <xf numFmtId="4" fontId="23" fillId="34" borderId="36" xfId="0" applyNumberFormat="1" applyFont="1" applyFill="1" applyBorder="1" applyAlignment="1">
      <alignment horizontal="center"/>
    </xf>
    <xf numFmtId="4" fontId="70" fillId="34" borderId="55" xfId="0" applyNumberFormat="1" applyFont="1" applyFill="1" applyBorder="1" applyAlignment="1">
      <alignment horizontal="center"/>
    </xf>
    <xf numFmtId="4" fontId="70" fillId="34" borderId="14" xfId="0" applyNumberFormat="1" applyFont="1" applyFill="1" applyBorder="1" applyAlignment="1">
      <alignment horizontal="center"/>
    </xf>
    <xf numFmtId="4" fontId="70" fillId="34" borderId="36" xfId="0" applyNumberFormat="1" applyFont="1" applyFill="1" applyBorder="1" applyAlignment="1">
      <alignment horizontal="center"/>
    </xf>
    <xf numFmtId="4" fontId="0" fillId="34" borderId="180" xfId="0" applyNumberFormat="1" applyFill="1" applyBorder="1"/>
    <xf numFmtId="4" fontId="23" fillId="34" borderId="61" xfId="0" applyNumberFormat="1" applyFont="1" applyFill="1" applyBorder="1" applyAlignment="1">
      <alignment horizontal="center"/>
    </xf>
    <xf numFmtId="4" fontId="70" fillId="34" borderId="185" xfId="0" applyNumberFormat="1" applyFont="1" applyFill="1" applyBorder="1" applyAlignment="1">
      <alignment horizontal="center"/>
    </xf>
    <xf numFmtId="4" fontId="70" fillId="34" borderId="33" xfId="0" applyNumberFormat="1" applyFont="1" applyFill="1" applyBorder="1" applyAlignment="1">
      <alignment horizontal="center"/>
    </xf>
    <xf numFmtId="4" fontId="153" fillId="34" borderId="61" xfId="0" applyNumberFormat="1" applyFont="1" applyFill="1" applyBorder="1" applyAlignment="1">
      <alignment horizontal="center"/>
    </xf>
    <xf numFmtId="4" fontId="70" fillId="34" borderId="61" xfId="0" applyNumberFormat="1" applyFont="1" applyFill="1" applyBorder="1" applyAlignment="1">
      <alignment horizontal="center"/>
    </xf>
    <xf numFmtId="4" fontId="0" fillId="34" borderId="187" xfId="0" applyNumberFormat="1" applyFill="1" applyBorder="1"/>
    <xf numFmtId="4" fontId="23" fillId="34" borderId="93" xfId="0" applyNumberFormat="1" applyFont="1" applyFill="1" applyBorder="1" applyAlignment="1">
      <alignment vertical="center"/>
    </xf>
    <xf numFmtId="4" fontId="22" fillId="0" borderId="90" xfId="0" applyNumberFormat="1" applyFont="1" applyBorder="1" applyAlignment="1" applyProtection="1">
      <alignment horizontal="right" vertical="center"/>
      <protection locked="0"/>
    </xf>
    <xf numFmtId="4" fontId="22" fillId="0" borderId="19" xfId="0" applyNumberFormat="1" applyFont="1" applyBorder="1" applyAlignment="1" applyProtection="1">
      <alignment horizontal="right" vertical="center"/>
      <protection locked="0"/>
    </xf>
    <xf numFmtId="4" fontId="22" fillId="0" borderId="18" xfId="0" applyNumberFormat="1" applyFont="1" applyBorder="1" applyAlignment="1" applyProtection="1">
      <alignment horizontal="right" vertical="center"/>
      <protection locked="0"/>
    </xf>
    <xf numFmtId="4" fontId="23" fillId="34" borderId="208" xfId="0" applyNumberFormat="1" applyFont="1" applyFill="1" applyBorder="1" applyAlignment="1">
      <alignment vertical="center"/>
    </xf>
    <xf numFmtId="4" fontId="22" fillId="0" borderId="91" xfId="0" applyNumberFormat="1" applyFont="1" applyBorder="1" applyAlignment="1" applyProtection="1">
      <alignment horizontal="right" vertical="center"/>
      <protection locked="0"/>
    </xf>
    <xf numFmtId="4" fontId="23" fillId="25" borderId="68" xfId="0" applyNumberFormat="1" applyFont="1" applyFill="1" applyBorder="1" applyAlignment="1">
      <alignment vertical="center"/>
    </xf>
    <xf numFmtId="4" fontId="23" fillId="25" borderId="66" xfId="0" applyNumberFormat="1" applyFont="1" applyFill="1" applyBorder="1" applyAlignment="1">
      <alignment vertical="center"/>
    </xf>
    <xf numFmtId="4" fontId="23" fillId="25" borderId="83" xfId="0" applyNumberFormat="1" applyFont="1" applyFill="1" applyBorder="1" applyAlignment="1">
      <alignment vertical="center"/>
    </xf>
    <xf numFmtId="4" fontId="23" fillId="25" borderId="67" xfId="0" applyNumberFormat="1" applyFont="1" applyFill="1" applyBorder="1" applyAlignment="1">
      <alignment vertical="center"/>
    </xf>
    <xf numFmtId="4" fontId="23" fillId="25" borderId="51" xfId="0" applyNumberFormat="1" applyFont="1" applyFill="1" applyBorder="1" applyAlignment="1">
      <alignment vertical="center"/>
    </xf>
    <xf numFmtId="4" fontId="23" fillId="0" borderId="69" xfId="0" applyNumberFormat="1" applyFont="1" applyFill="1" applyBorder="1" applyAlignment="1" applyProtection="1">
      <alignment vertical="center"/>
      <protection locked="0"/>
    </xf>
    <xf numFmtId="4" fontId="23" fillId="0" borderId="0" xfId="0" applyNumberFormat="1" applyFont="1" applyFill="1" applyBorder="1" applyAlignment="1" applyProtection="1">
      <alignment vertical="center"/>
      <protection locked="0"/>
    </xf>
    <xf numFmtId="4" fontId="0" fillId="0" borderId="69" xfId="0" applyNumberFormat="1" applyFill="1" applyBorder="1" applyAlignment="1" applyProtection="1">
      <alignment vertical="center"/>
      <protection locked="0"/>
    </xf>
    <xf numFmtId="4" fontId="22" fillId="0" borderId="0" xfId="0" applyNumberFormat="1" applyFont="1" applyAlignment="1" applyProtection="1">
      <alignment horizontal="center"/>
      <protection locked="0"/>
    </xf>
    <xf numFmtId="4" fontId="25" fillId="0" borderId="0" xfId="0" applyNumberFormat="1" applyFont="1" applyAlignment="1" applyProtection="1">
      <alignment horizontal="left" vertical="center"/>
      <protection locked="0"/>
    </xf>
    <xf numFmtId="4" fontId="25" fillId="0" borderId="0" xfId="0" applyNumberFormat="1" applyFont="1" applyAlignment="1" applyProtection="1">
      <alignment vertical="center"/>
      <protection locked="0"/>
    </xf>
    <xf numFmtId="4" fontId="0" fillId="0" borderId="0" xfId="0" applyNumberFormat="1" applyBorder="1" applyAlignment="1" applyProtection="1">
      <protection locked="0"/>
    </xf>
    <xf numFmtId="4" fontId="25" fillId="0" borderId="0" xfId="0" applyNumberFormat="1" applyFont="1" applyAlignment="1" applyProtection="1">
      <alignment horizontal="left"/>
      <protection locked="0"/>
    </xf>
    <xf numFmtId="4" fontId="0" fillId="0" borderId="44" xfId="0" applyNumberFormat="1" applyBorder="1" applyProtection="1">
      <protection locked="0"/>
    </xf>
    <xf numFmtId="4" fontId="25" fillId="0" borderId="0" xfId="0" applyNumberFormat="1" applyFont="1" applyAlignment="1" applyProtection="1">
      <protection locked="0"/>
    </xf>
    <xf numFmtId="4" fontId="0" fillId="0" borderId="0" xfId="0" applyNumberFormat="1" applyBorder="1" applyProtection="1">
      <protection locked="0"/>
    </xf>
    <xf numFmtId="4" fontId="25" fillId="0" borderId="0" xfId="0" applyNumberFormat="1" applyFont="1" applyAlignment="1" applyProtection="1">
      <alignment horizontal="center"/>
      <protection locked="0"/>
    </xf>
    <xf numFmtId="4" fontId="161" fillId="34" borderId="30" xfId="0" applyNumberFormat="1" applyFont="1" applyFill="1" applyBorder="1" applyAlignment="1">
      <alignment horizontal="center" vertical="center" wrapText="1"/>
    </xf>
    <xf numFmtId="4" fontId="161" fillId="34" borderId="126" xfId="0" applyNumberFormat="1" applyFont="1" applyFill="1" applyBorder="1" applyAlignment="1">
      <alignment horizontal="center" vertical="center" wrapText="1"/>
    </xf>
    <xf numFmtId="4" fontId="0" fillId="34" borderId="113" xfId="0" applyNumberFormat="1" applyFill="1" applyBorder="1"/>
    <xf numFmtId="4" fontId="0" fillId="34" borderId="27" xfId="0" applyNumberFormat="1" applyFill="1" applyBorder="1"/>
    <xf numFmtId="4" fontId="22" fillId="34" borderId="23" xfId="28" applyNumberFormat="1" applyFont="1" applyFill="1" applyBorder="1"/>
    <xf numFmtId="4" fontId="19" fillId="0" borderId="23" xfId="28" applyNumberFormat="1" applyFont="1" applyBorder="1" applyProtection="1">
      <protection locked="0"/>
    </xf>
    <xf numFmtId="4" fontId="19" fillId="0" borderId="24" xfId="28" applyNumberFormat="1" applyFont="1" applyBorder="1" applyProtection="1">
      <protection locked="0"/>
    </xf>
    <xf numFmtId="4" fontId="120" fillId="34" borderId="23" xfId="28" applyNumberFormat="1" applyFont="1" applyFill="1" applyBorder="1"/>
    <xf numFmtId="4" fontId="120" fillId="34" borderId="24" xfId="28" applyNumberFormat="1" applyFont="1" applyFill="1" applyBorder="1"/>
    <xf numFmtId="4" fontId="166" fillId="34" borderId="23" xfId="28" applyNumberFormat="1" applyFont="1" applyFill="1" applyBorder="1"/>
    <xf numFmtId="4" fontId="30" fillId="34" borderId="23" xfId="28" applyNumberFormat="1" applyFont="1" applyFill="1" applyBorder="1"/>
    <xf numFmtId="4" fontId="30" fillId="34" borderId="24" xfId="28" applyNumberFormat="1" applyFont="1" applyFill="1" applyBorder="1"/>
    <xf numFmtId="4" fontId="23" fillId="34" borderId="23" xfId="28" applyNumberFormat="1" applyFont="1" applyFill="1" applyBorder="1"/>
    <xf numFmtId="4" fontId="166" fillId="34" borderId="24" xfId="28" applyNumberFormat="1" applyFont="1" applyFill="1" applyBorder="1"/>
    <xf numFmtId="4" fontId="120" fillId="0" borderId="23" xfId="28" applyNumberFormat="1" applyFont="1" applyBorder="1" applyProtection="1">
      <protection locked="0"/>
    </xf>
    <xf numFmtId="4" fontId="30" fillId="34" borderId="79" xfId="28" applyNumberFormat="1" applyFont="1" applyFill="1" applyBorder="1" applyAlignment="1">
      <alignment vertical="center"/>
    </xf>
    <xf numFmtId="4" fontId="30" fillId="34" borderId="79" xfId="28" applyNumberFormat="1" applyFont="1" applyFill="1" applyBorder="1" applyAlignment="1">
      <alignment horizontal="center" vertical="center"/>
    </xf>
    <xf numFmtId="4" fontId="30" fillId="34" borderId="80" xfId="28" applyNumberFormat="1" applyFont="1" applyFill="1" applyBorder="1" applyAlignment="1">
      <alignment horizontal="center" vertical="center"/>
    </xf>
    <xf numFmtId="4" fontId="0" fillId="0" borderId="0" xfId="0" applyNumberFormat="1" applyAlignment="1" applyProtection="1">
      <alignment horizontal="left" indent="4"/>
      <protection locked="0"/>
    </xf>
    <xf numFmtId="4" fontId="0" fillId="0" borderId="0" xfId="0" applyNumberFormat="1" applyFill="1" applyBorder="1" applyAlignment="1" applyProtection="1">
      <alignment wrapText="1"/>
      <protection locked="0"/>
    </xf>
    <xf numFmtId="4" fontId="0" fillId="0" borderId="0" xfId="0" applyNumberFormat="1" applyFill="1" applyBorder="1" applyAlignment="1" applyProtection="1">
      <alignment horizontal="left" wrapText="1"/>
      <protection locked="0"/>
    </xf>
    <xf numFmtId="4" fontId="0" fillId="0" borderId="0" xfId="0" applyNumberFormat="1" applyAlignment="1" applyProtection="1">
      <protection locked="0"/>
    </xf>
    <xf numFmtId="4" fontId="152" fillId="0" borderId="0" xfId="0" quotePrefix="1" applyNumberFormat="1" applyFont="1" applyFill="1" applyBorder="1" applyAlignment="1" applyProtection="1">
      <alignment horizontal="center" vertical="center"/>
      <protection locked="0"/>
    </xf>
    <xf numFmtId="4" fontId="176" fillId="0" borderId="0" xfId="0" applyNumberFormat="1" applyFont="1" applyFill="1" applyBorder="1" applyAlignment="1" applyProtection="1">
      <alignment horizontal="center" vertical="center"/>
      <protection locked="0"/>
    </xf>
    <xf numFmtId="4" fontId="90" fillId="0" borderId="0" xfId="0" applyNumberFormat="1" applyFont="1" applyBorder="1" applyAlignment="1" applyProtection="1">
      <alignment vertical="center"/>
      <protection locked="0"/>
    </xf>
    <xf numFmtId="4" fontId="158" fillId="0" borderId="0" xfId="0" applyNumberFormat="1" applyFont="1" applyFill="1" applyBorder="1" applyAlignment="1" applyProtection="1">
      <alignment horizontal="left" vertical="center" indent="1"/>
      <protection locked="0"/>
    </xf>
    <xf numFmtId="4" fontId="0" fillId="34" borderId="0" xfId="0" applyNumberFormat="1" applyFont="1" applyFill="1" applyProtection="1">
      <protection locked="0"/>
    </xf>
    <xf numFmtId="4" fontId="185" fillId="0" borderId="0" xfId="0" applyNumberFormat="1" applyFont="1" applyProtection="1">
      <protection locked="0"/>
    </xf>
    <xf numFmtId="4" fontId="177" fillId="0" borderId="0" xfId="0" applyNumberFormat="1" applyFont="1" applyBorder="1" applyAlignment="1" applyProtection="1">
      <alignment vertical="center"/>
      <protection locked="0"/>
    </xf>
    <xf numFmtId="4" fontId="90" fillId="0" borderId="0" xfId="0" applyNumberFormat="1" applyFont="1" applyFill="1" applyBorder="1" applyAlignment="1" applyProtection="1">
      <alignment horizontal="left" vertical="center" indent="1"/>
      <protection locked="0"/>
    </xf>
    <xf numFmtId="4" fontId="0" fillId="34" borderId="0" xfId="0" applyNumberFormat="1" applyFill="1" applyProtection="1">
      <protection locked="0"/>
    </xf>
    <xf numFmtId="4" fontId="186" fillId="34" borderId="170" xfId="0" applyNumberFormat="1" applyFont="1" applyFill="1" applyBorder="1" applyAlignment="1">
      <alignment horizontal="center" vertical="center" wrapText="1"/>
    </xf>
    <xf numFmtId="4" fontId="0" fillId="34" borderId="172" xfId="0" applyNumberFormat="1" applyFill="1" applyBorder="1" applyAlignment="1">
      <alignment horizontal="center" vertical="center" wrapText="1"/>
    </xf>
    <xf numFmtId="4" fontId="186" fillId="34" borderId="173" xfId="0" applyNumberFormat="1" applyFont="1" applyFill="1" applyBorder="1" applyAlignment="1">
      <alignment horizontal="center" vertical="center"/>
    </xf>
    <xf numFmtId="4" fontId="0" fillId="34" borderId="174" xfId="0" applyNumberFormat="1" applyFill="1" applyBorder="1"/>
    <xf numFmtId="4" fontId="22" fillId="0" borderId="23" xfId="0" applyNumberFormat="1" applyFont="1" applyFill="1" applyBorder="1" applyAlignment="1" applyProtection="1">
      <protection locked="0"/>
    </xf>
    <xf numFmtId="4" fontId="1" fillId="0" borderId="23" xfId="0" applyNumberFormat="1" applyFont="1" applyBorder="1" applyAlignment="1" applyProtection="1">
      <protection locked="0"/>
    </xf>
    <xf numFmtId="4" fontId="0" fillId="0" borderId="23" xfId="0" applyNumberFormat="1" applyFill="1" applyBorder="1" applyProtection="1">
      <protection locked="0"/>
    </xf>
    <xf numFmtId="4" fontId="1" fillId="0" borderId="23" xfId="0" applyNumberFormat="1" applyFont="1" applyBorder="1" applyProtection="1">
      <protection locked="0"/>
    </xf>
    <xf numFmtId="4" fontId="196" fillId="0" borderId="23" xfId="0" applyNumberFormat="1" applyFont="1" applyBorder="1" applyAlignment="1" applyProtection="1">
      <alignment horizontal="left" indent="1"/>
      <protection locked="0"/>
    </xf>
    <xf numFmtId="4" fontId="22" fillId="0" borderId="23" xfId="0" applyNumberFormat="1" applyFont="1" applyBorder="1" applyProtection="1">
      <protection locked="0"/>
    </xf>
    <xf numFmtId="4" fontId="0" fillId="0" borderId="23" xfId="0" applyNumberFormat="1" applyBorder="1" applyProtection="1">
      <protection locked="0"/>
    </xf>
    <xf numFmtId="4" fontId="22" fillId="0" borderId="23" xfId="0" applyNumberFormat="1" applyFont="1" applyBorder="1" applyAlignment="1" applyProtection="1">
      <protection locked="0"/>
    </xf>
    <xf numFmtId="4" fontId="0" fillId="34" borderId="171" xfId="0" applyNumberFormat="1" applyFill="1" applyBorder="1"/>
    <xf numFmtId="4" fontId="196" fillId="34" borderId="23" xfId="0" applyNumberFormat="1" applyFont="1" applyFill="1" applyBorder="1" applyAlignment="1">
      <alignment horizontal="left" indent="1"/>
    </xf>
    <xf numFmtId="4" fontId="186" fillId="34" borderId="175" xfId="0" applyNumberFormat="1" applyFont="1" applyFill="1" applyBorder="1" applyAlignment="1">
      <alignment horizontal="center" vertical="center"/>
    </xf>
    <xf numFmtId="4" fontId="186" fillId="0" borderId="0" xfId="0" applyNumberFormat="1" applyFont="1" applyBorder="1" applyAlignment="1">
      <alignment horizontal="center" vertical="center"/>
    </xf>
    <xf numFmtId="4" fontId="0" fillId="0" borderId="0" xfId="0" applyNumberFormat="1" applyBorder="1"/>
    <xf numFmtId="4" fontId="0" fillId="0" borderId="0" xfId="0" applyNumberFormat="1" applyBorder="1" applyAlignment="1" applyProtection="1">
      <alignment horizontal="center" vertical="center" wrapText="1"/>
      <protection locked="0"/>
    </xf>
    <xf numFmtId="4" fontId="0" fillId="0" borderId="0" xfId="0" applyNumberFormat="1" applyBorder="1" applyAlignment="1" applyProtection="1">
      <alignment horizontal="center"/>
      <protection locked="0"/>
    </xf>
    <xf numFmtId="4" fontId="138" fillId="0" borderId="0" xfId="0" applyNumberFormat="1" applyFont="1" applyBorder="1" applyAlignment="1" applyProtection="1">
      <alignment horizontal="center"/>
      <protection locked="0"/>
    </xf>
    <xf numFmtId="4" fontId="138" fillId="0" borderId="0" xfId="0" quotePrefix="1" applyNumberFormat="1" applyFont="1" applyBorder="1" applyAlignment="1" applyProtection="1">
      <alignment horizontal="center"/>
      <protection locked="0"/>
    </xf>
    <xf numFmtId="4" fontId="98" fillId="32" borderId="0" xfId="0" applyNumberFormat="1" applyFont="1" applyFill="1" applyAlignment="1" applyProtection="1">
      <alignment horizontal="left" vertical="top"/>
    </xf>
    <xf numFmtId="4" fontId="63" fillId="34" borderId="157" xfId="44" applyNumberFormat="1" applyFont="1" applyFill="1" applyBorder="1" applyAlignment="1">
      <alignment horizontal="center" vertical="center"/>
    </xf>
    <xf numFmtId="4" fontId="194" fillId="34" borderId="24" xfId="44" applyNumberFormat="1" applyFont="1" applyFill="1" applyBorder="1" applyAlignment="1">
      <alignment horizontal="left" vertical="center"/>
    </xf>
    <xf numFmtId="4" fontId="194" fillId="34" borderId="86" xfId="44" applyNumberFormat="1" applyFont="1" applyFill="1" applyBorder="1" applyAlignment="1">
      <alignment horizontal="left" vertical="center"/>
    </xf>
    <xf numFmtId="4" fontId="194" fillId="0" borderId="39" xfId="44" applyNumberFormat="1" applyFont="1" applyBorder="1" applyAlignment="1" applyProtection="1">
      <alignment horizontal="left" vertical="center"/>
      <protection locked="0"/>
    </xf>
    <xf numFmtId="4" fontId="194" fillId="34" borderId="39" xfId="44" applyNumberFormat="1" applyFont="1" applyFill="1" applyBorder="1" applyAlignment="1">
      <alignment horizontal="left" vertical="center"/>
    </xf>
    <xf numFmtId="4" fontId="194" fillId="34" borderId="88" xfId="28" applyNumberFormat="1" applyFont="1" applyFill="1" applyBorder="1" applyAlignment="1">
      <alignment horizontal="left" vertical="center"/>
    </xf>
    <xf numFmtId="4" fontId="194" fillId="0" borderId="39" xfId="44" applyNumberFormat="1" applyFont="1" applyFill="1" applyBorder="1" applyAlignment="1" applyProtection="1">
      <alignment horizontal="left" vertical="center"/>
      <protection locked="0"/>
    </xf>
    <xf numFmtId="4" fontId="194" fillId="0" borderId="87" xfId="44" applyNumberFormat="1" applyFont="1" applyBorder="1" applyAlignment="1" applyProtection="1">
      <alignment horizontal="left" vertical="center"/>
      <protection locked="0"/>
    </xf>
    <xf numFmtId="4" fontId="194" fillId="0" borderId="88" xfId="44" applyNumberFormat="1" applyFont="1" applyBorder="1" applyAlignment="1" applyProtection="1">
      <alignment horizontal="left" vertical="center"/>
      <protection locked="0"/>
    </xf>
    <xf numFmtId="4" fontId="194" fillId="0" borderId="89" xfId="44" applyNumberFormat="1" applyFont="1" applyBorder="1" applyAlignment="1" applyProtection="1">
      <alignment horizontal="left" vertical="center"/>
      <protection locked="0"/>
    </xf>
    <xf numFmtId="4" fontId="194" fillId="34" borderId="80" xfId="44" applyNumberFormat="1" applyFont="1" applyFill="1" applyBorder="1" applyAlignment="1">
      <alignment horizontal="left" vertical="center"/>
    </xf>
    <xf numFmtId="4" fontId="57" fillId="0" borderId="0" xfId="44" applyNumberFormat="1" applyFont="1" applyAlignment="1" applyProtection="1">
      <alignment vertical="center"/>
      <protection locked="0"/>
    </xf>
    <xf numFmtId="4" fontId="56" fillId="0" borderId="0" xfId="44" applyNumberFormat="1" applyFont="1" applyAlignment="1" applyProtection="1">
      <alignment horizontal="left" vertical="top"/>
      <protection locked="0"/>
    </xf>
    <xf numFmtId="4" fontId="59" fillId="0" borderId="0" xfId="44" applyNumberFormat="1" applyFont="1" applyAlignment="1" applyProtection="1">
      <alignment horizontal="left" vertical="top"/>
      <protection locked="0"/>
    </xf>
    <xf numFmtId="4" fontId="56" fillId="0" borderId="0" xfId="44" applyNumberFormat="1" applyFont="1" applyAlignment="1" applyProtection="1">
      <alignment vertical="center"/>
      <protection locked="0"/>
    </xf>
    <xf numFmtId="4" fontId="77" fillId="0" borderId="0" xfId="45" applyNumberFormat="1" applyFont="1" applyAlignment="1" applyProtection="1">
      <alignment vertical="center"/>
      <protection locked="0"/>
    </xf>
    <xf numFmtId="4" fontId="57" fillId="0" borderId="0" xfId="45" applyNumberFormat="1" applyFont="1" applyAlignment="1" applyProtection="1">
      <alignment vertical="center" wrapText="1"/>
      <protection locked="0"/>
    </xf>
    <xf numFmtId="4" fontId="77" fillId="0" borderId="0" xfId="45" applyNumberFormat="1" applyFont="1" applyAlignment="1" applyProtection="1">
      <alignment vertical="center" wrapText="1"/>
      <protection locked="0"/>
    </xf>
    <xf numFmtId="4" fontId="2" fillId="0" borderId="0" xfId="45" applyNumberFormat="1" applyProtection="1">
      <protection locked="0"/>
    </xf>
    <xf numFmtId="4" fontId="78" fillId="0" borderId="0" xfId="45" applyNumberFormat="1" applyFont="1" applyAlignment="1" applyProtection="1">
      <alignment vertical="center"/>
      <protection locked="0"/>
    </xf>
    <xf numFmtId="4" fontId="79" fillId="0" borderId="0" xfId="45" applyNumberFormat="1" applyFont="1" applyAlignment="1" applyProtection="1">
      <alignment vertical="center"/>
      <protection locked="0"/>
    </xf>
    <xf numFmtId="4" fontId="80" fillId="0" borderId="0" xfId="45" applyNumberFormat="1" applyFont="1" applyAlignment="1" applyProtection="1">
      <alignment vertical="center"/>
      <protection locked="0"/>
    </xf>
    <xf numFmtId="4" fontId="81" fillId="0" borderId="0" xfId="45" applyNumberFormat="1" applyFont="1" applyAlignment="1" applyProtection="1">
      <alignment vertical="center" wrapText="1"/>
      <protection locked="0"/>
    </xf>
    <xf numFmtId="4" fontId="82" fillId="34" borderId="32" xfId="45" applyNumberFormat="1" applyFont="1" applyFill="1" applyBorder="1" applyAlignment="1">
      <alignment horizontal="center" vertical="top" wrapText="1"/>
    </xf>
    <xf numFmtId="4" fontId="82" fillId="34" borderId="134" xfId="45" applyNumberFormat="1" applyFont="1" applyFill="1" applyBorder="1" applyAlignment="1">
      <alignment horizontal="center" vertical="top" wrapText="1"/>
    </xf>
    <xf numFmtId="4" fontId="57" fillId="34" borderId="113" xfId="45" applyNumberFormat="1" applyFont="1" applyFill="1" applyBorder="1" applyAlignment="1">
      <alignment horizontal="center" vertical="center" wrapText="1"/>
    </xf>
    <xf numFmtId="4" fontId="57" fillId="34" borderId="139" xfId="45" applyNumberFormat="1" applyFont="1" applyFill="1" applyBorder="1" applyAlignment="1">
      <alignment horizontal="center" vertical="center" wrapText="1"/>
    </xf>
    <xf numFmtId="4" fontId="55" fillId="37" borderId="19" xfId="45" applyNumberFormat="1" applyFont="1" applyFill="1" applyBorder="1" applyAlignment="1">
      <alignment horizontal="center" vertical="center"/>
    </xf>
    <xf numFmtId="4" fontId="2" fillId="37" borderId="20" xfId="45" applyNumberFormat="1" applyFill="1" applyBorder="1" applyAlignment="1">
      <alignment horizontal="center" vertical="center"/>
    </xf>
    <xf numFmtId="4" fontId="55" fillId="0" borderId="85" xfId="45" applyNumberFormat="1" applyFont="1" applyBorder="1" applyAlignment="1" applyProtection="1">
      <alignment vertical="center"/>
      <protection locked="0"/>
    </xf>
    <xf numFmtId="4" fontId="2" fillId="34" borderId="39" xfId="45" applyNumberFormat="1" applyFill="1" applyBorder="1" applyAlignment="1">
      <alignment vertical="center"/>
    </xf>
    <xf numFmtId="4" fontId="55" fillId="34" borderId="85" xfId="45" applyNumberFormat="1" applyFont="1" applyFill="1" applyBorder="1" applyAlignment="1">
      <alignment vertical="center"/>
    </xf>
    <xf numFmtId="4" fontId="55" fillId="37" borderId="85" xfId="45" applyNumberFormat="1" applyFont="1" applyFill="1" applyBorder="1" applyAlignment="1">
      <alignment vertical="center"/>
    </xf>
    <xf numFmtId="4" fontId="2" fillId="37" borderId="39" xfId="45" applyNumberFormat="1" applyFill="1" applyBorder="1" applyAlignment="1">
      <alignment vertical="center"/>
    </xf>
    <xf numFmtId="4" fontId="84" fillId="25" borderId="23" xfId="45" applyNumberFormat="1" applyFont="1" applyFill="1" applyBorder="1" applyAlignment="1">
      <alignment vertical="center"/>
    </xf>
    <xf numFmtId="4" fontId="84" fillId="25" borderId="24" xfId="45" applyNumberFormat="1" applyFont="1" applyFill="1" applyBorder="1" applyAlignment="1">
      <alignment vertical="center"/>
    </xf>
    <xf numFmtId="4" fontId="84" fillId="37" borderId="79" xfId="45" applyNumberFormat="1" applyFont="1" applyFill="1" applyBorder="1" applyAlignment="1" applyProtection="1">
      <alignment vertical="center"/>
      <protection locked="0"/>
    </xf>
    <xf numFmtId="4" fontId="84" fillId="37" borderId="328" xfId="45" applyNumberFormat="1" applyFont="1" applyFill="1" applyBorder="1" applyAlignment="1" applyProtection="1">
      <alignment vertical="center"/>
      <protection locked="0"/>
    </xf>
    <xf numFmtId="4" fontId="17" fillId="37" borderId="329" xfId="45" applyNumberFormat="1" applyFont="1" applyFill="1" applyBorder="1" applyAlignment="1" applyProtection="1">
      <alignment vertical="center"/>
      <protection locked="0"/>
    </xf>
    <xf numFmtId="4" fontId="57" fillId="0" borderId="0" xfId="45" applyNumberFormat="1" applyFont="1" applyProtection="1">
      <protection locked="0"/>
    </xf>
    <xf numFmtId="4" fontId="57" fillId="0" borderId="0" xfId="45" applyNumberFormat="1" applyFont="1" applyAlignment="1" applyProtection="1">
      <alignment vertical="center"/>
      <protection locked="0"/>
    </xf>
    <xf numFmtId="4" fontId="87" fillId="0" borderId="0" xfId="45" applyNumberFormat="1" applyFont="1" applyAlignment="1" applyProtection="1">
      <alignment horizontal="center" vertical="center"/>
      <protection locked="0"/>
    </xf>
    <xf numFmtId="4" fontId="57" fillId="0" borderId="0" xfId="45" applyNumberFormat="1" applyFont="1" applyAlignment="1" applyProtection="1">
      <alignment horizontal="center"/>
      <protection locked="0"/>
    </xf>
    <xf numFmtId="4" fontId="87" fillId="0" borderId="0" xfId="45" applyNumberFormat="1" applyFont="1" applyAlignment="1" applyProtection="1">
      <alignment horizontal="center"/>
      <protection locked="0"/>
    </xf>
    <xf numFmtId="4" fontId="2" fillId="0" borderId="0" xfId="45" applyNumberFormat="1"/>
    <xf numFmtId="4" fontId="2" fillId="0" borderId="0" xfId="45" applyNumberFormat="1" applyAlignment="1">
      <alignment vertical="center"/>
    </xf>
    <xf numFmtId="4" fontId="0" fillId="0" borderId="0" xfId="0" applyNumberFormat="1" applyBorder="1" applyProtection="1"/>
    <xf numFmtId="4" fontId="174" fillId="0" borderId="0" xfId="0" applyNumberFormat="1" applyFont="1" applyBorder="1" applyProtection="1"/>
    <xf numFmtId="4" fontId="174" fillId="0" borderId="0" xfId="0" applyNumberFormat="1" applyFont="1" applyBorder="1" applyProtection="1">
      <protection locked="0"/>
    </xf>
    <xf numFmtId="4" fontId="174" fillId="0" borderId="0" xfId="0" applyNumberFormat="1" applyFont="1" applyBorder="1"/>
    <xf numFmtId="4" fontId="272" fillId="0" borderId="0" xfId="0" applyNumberFormat="1" applyFont="1" applyBorder="1" applyAlignment="1" applyProtection="1">
      <alignment horizontal="center"/>
      <protection locked="0"/>
    </xf>
    <xf numFmtId="4" fontId="174" fillId="0" borderId="0" xfId="0" applyNumberFormat="1" applyFont="1" applyBorder="1" applyAlignment="1" applyProtection="1">
      <alignment horizontal="center"/>
      <protection locked="0"/>
    </xf>
    <xf numFmtId="4" fontId="112" fillId="35" borderId="0" xfId="0" applyNumberFormat="1" applyFont="1" applyFill="1" applyBorder="1" applyAlignment="1" applyProtection="1">
      <alignment horizontal="left"/>
      <protection locked="0"/>
    </xf>
    <xf numFmtId="4" fontId="159" fillId="0" borderId="0" xfId="0" applyNumberFormat="1" applyFont="1" applyBorder="1" applyAlignment="1" applyProtection="1">
      <alignment horizontal="center"/>
      <protection locked="0"/>
    </xf>
    <xf numFmtId="4" fontId="152" fillId="0" borderId="0" xfId="0" applyNumberFormat="1" applyFont="1" applyBorder="1" applyAlignment="1" applyProtection="1">
      <alignment horizontal="center"/>
      <protection locked="0"/>
    </xf>
    <xf numFmtId="4" fontId="159" fillId="0" borderId="0" xfId="0" applyNumberFormat="1" applyFont="1" applyBorder="1" applyProtection="1">
      <protection locked="0"/>
    </xf>
    <xf numFmtId="4" fontId="25" fillId="35" borderId="0" xfId="0" applyNumberFormat="1" applyFont="1" applyFill="1" applyAlignment="1" applyProtection="1">
      <alignment horizontal="left" vertical="center"/>
      <protection locked="0"/>
    </xf>
    <xf numFmtId="4" fontId="159" fillId="35" borderId="0" xfId="0" applyNumberFormat="1" applyFont="1" applyFill="1" applyBorder="1" applyProtection="1">
      <protection locked="0"/>
    </xf>
    <xf numFmtId="4" fontId="25" fillId="35" borderId="0" xfId="0" applyNumberFormat="1" applyFont="1" applyFill="1" applyAlignment="1" applyProtection="1">
      <alignment vertical="center"/>
      <protection locked="0"/>
    </xf>
    <xf numFmtId="4" fontId="159" fillId="35" borderId="0" xfId="0" applyNumberFormat="1" applyFont="1" applyFill="1" applyBorder="1" applyAlignment="1" applyProtection="1">
      <alignment horizontal="center"/>
      <protection locked="0"/>
    </xf>
    <xf numFmtId="4" fontId="25" fillId="35" borderId="0" xfId="0" applyNumberFormat="1" applyFont="1" applyFill="1" applyAlignment="1" applyProtection="1">
      <alignment horizontal="center" vertical="center"/>
      <protection locked="0"/>
    </xf>
    <xf numFmtId="4" fontId="25" fillId="35" borderId="0" xfId="0" applyNumberFormat="1" applyFont="1" applyFill="1" applyAlignment="1">
      <alignment horizontal="center" vertical="center"/>
    </xf>
    <xf numFmtId="4" fontId="159" fillId="0" borderId="0" xfId="0" applyNumberFormat="1" applyFont="1" applyBorder="1"/>
    <xf numFmtId="4" fontId="1" fillId="35" borderId="0" xfId="0" applyNumberFormat="1" applyFont="1" applyFill="1" applyBorder="1" applyProtection="1">
      <protection locked="0"/>
    </xf>
    <xf numFmtId="4" fontId="25" fillId="35" borderId="0" xfId="0" applyNumberFormat="1" applyFont="1" applyFill="1" applyAlignment="1" applyProtection="1">
      <alignment horizontal="left"/>
      <protection locked="0"/>
    </xf>
    <xf numFmtId="4" fontId="0" fillId="35" borderId="0" xfId="0" applyNumberFormat="1" applyFill="1" applyBorder="1" applyProtection="1">
      <protection locked="0"/>
    </xf>
    <xf numFmtId="4" fontId="25" fillId="35" borderId="0" xfId="0" applyNumberFormat="1" applyFont="1" applyFill="1" applyAlignment="1" applyProtection="1">
      <protection locked="0"/>
    </xf>
    <xf numFmtId="4" fontId="25" fillId="35" borderId="0" xfId="0" applyNumberFormat="1" applyFont="1" applyFill="1" applyAlignment="1" applyProtection="1">
      <alignment horizontal="center"/>
      <protection locked="0"/>
    </xf>
    <xf numFmtId="4" fontId="25" fillId="35" borderId="0" xfId="0" applyNumberFormat="1" applyFont="1" applyFill="1" applyAlignment="1">
      <alignment horizontal="center"/>
    </xf>
    <xf numFmtId="4" fontId="1" fillId="0" borderId="0" xfId="0" applyNumberFormat="1" applyFont="1" applyBorder="1" applyProtection="1">
      <protection locked="0"/>
    </xf>
    <xf numFmtId="4" fontId="25" fillId="0" borderId="0" xfId="0" applyNumberFormat="1" applyFont="1" applyBorder="1" applyAlignment="1" applyProtection="1">
      <alignment horizontal="right"/>
      <protection locked="0"/>
    </xf>
    <xf numFmtId="4" fontId="138" fillId="34" borderId="69" xfId="0" applyNumberFormat="1" applyFont="1" applyFill="1" applyBorder="1" applyAlignment="1">
      <alignment horizontal="center" wrapText="1"/>
    </xf>
    <xf numFmtId="4" fontId="0" fillId="0" borderId="0" xfId="0" applyNumberFormat="1" applyBorder="1" applyAlignment="1">
      <alignment horizontal="center"/>
    </xf>
    <xf numFmtId="4" fontId="160" fillId="34" borderId="285" xfId="0" applyNumberFormat="1" applyFont="1" applyFill="1" applyBorder="1" applyAlignment="1">
      <alignment horizontal="center" wrapText="1"/>
    </xf>
    <xf numFmtId="4" fontId="160" fillId="34" borderId="286" xfId="0" applyNumberFormat="1" applyFont="1" applyFill="1" applyBorder="1" applyAlignment="1">
      <alignment horizontal="center" wrapText="1"/>
    </xf>
    <xf numFmtId="4" fontId="160" fillId="34" borderId="288" xfId="0" applyNumberFormat="1" applyFont="1" applyFill="1" applyBorder="1" applyAlignment="1">
      <alignment horizontal="center" wrapText="1"/>
    </xf>
    <xf numFmtId="4" fontId="160" fillId="34" borderId="171" xfId="0" applyNumberFormat="1" applyFont="1" applyFill="1" applyBorder="1" applyAlignment="1">
      <alignment horizontal="center" wrapText="1"/>
    </xf>
    <xf numFmtId="4" fontId="73" fillId="34" borderId="150" xfId="0" applyNumberFormat="1" applyFont="1" applyFill="1" applyBorder="1" applyAlignment="1">
      <alignment horizontal="center"/>
    </xf>
    <xf numFmtId="4" fontId="73" fillId="34" borderId="40" xfId="0" applyNumberFormat="1" applyFont="1" applyFill="1" applyBorder="1" applyAlignment="1">
      <alignment horizontal="center"/>
    </xf>
    <xf numFmtId="4" fontId="1" fillId="34" borderId="174" xfId="0" applyNumberFormat="1" applyFont="1" applyFill="1" applyBorder="1" applyAlignment="1">
      <alignment horizontal="center" vertical="top" wrapText="1"/>
    </xf>
    <xf numFmtId="4" fontId="160" fillId="34" borderId="303" xfId="0" applyNumberFormat="1" applyFont="1" applyFill="1" applyBorder="1" applyAlignment="1">
      <alignment horizontal="center" wrapText="1"/>
    </xf>
    <xf numFmtId="4" fontId="160" fillId="34" borderId="291" xfId="0" applyNumberFormat="1" applyFont="1" applyFill="1" applyBorder="1" applyAlignment="1">
      <alignment horizontal="center" wrapText="1"/>
    </xf>
    <xf numFmtId="4" fontId="160" fillId="34" borderId="295" xfId="0" applyNumberFormat="1" applyFont="1" applyFill="1" applyBorder="1" applyAlignment="1">
      <alignment horizontal="center" wrapText="1"/>
    </xf>
    <xf numFmtId="4" fontId="73" fillId="34" borderId="326" xfId="0" applyNumberFormat="1" applyFont="1" applyFill="1" applyBorder="1" applyAlignment="1">
      <alignment horizontal="center" vertical="center" wrapText="1"/>
    </xf>
    <xf numFmtId="4" fontId="1" fillId="34" borderId="326" xfId="0" applyNumberFormat="1" applyFont="1" applyFill="1" applyBorder="1" applyAlignment="1">
      <alignment horizontal="center" vertical="center" wrapText="1"/>
    </xf>
    <xf numFmtId="4" fontId="1" fillId="34" borderId="327" xfId="0" applyNumberFormat="1" applyFont="1" applyFill="1" applyBorder="1" applyAlignment="1">
      <alignment horizontal="center" vertical="center" wrapText="1"/>
    </xf>
    <xf numFmtId="4" fontId="73" fillId="34" borderId="313" xfId="0" applyNumberFormat="1" applyFont="1" applyFill="1" applyBorder="1" applyAlignment="1">
      <alignment horizontal="center" vertical="center" wrapText="1"/>
    </xf>
    <xf numFmtId="4" fontId="1" fillId="34" borderId="313" xfId="0" applyNumberFormat="1" applyFont="1" applyFill="1" applyBorder="1" applyAlignment="1">
      <alignment horizontal="center" vertical="center" wrapText="1"/>
    </xf>
    <xf numFmtId="4" fontId="1" fillId="34" borderId="314" xfId="0" applyNumberFormat="1" applyFont="1" applyFill="1" applyBorder="1" applyAlignment="1">
      <alignment horizontal="center" vertical="center" wrapText="1"/>
    </xf>
    <xf numFmtId="4" fontId="1" fillId="34" borderId="174" xfId="0" applyNumberFormat="1" applyFont="1" applyFill="1" applyBorder="1" applyAlignment="1">
      <alignment vertical="top" wrapText="1"/>
    </xf>
    <xf numFmtId="4" fontId="1" fillId="34" borderId="288" xfId="0" applyNumberFormat="1" applyFont="1" applyFill="1" applyBorder="1" applyAlignment="1">
      <alignment horizontal="center" vertical="top" wrapText="1"/>
    </xf>
    <xf numFmtId="4" fontId="1" fillId="34" borderId="304" xfId="0" applyNumberFormat="1" applyFont="1" applyFill="1" applyBorder="1" applyAlignment="1">
      <alignment horizontal="center" vertical="top" wrapText="1"/>
    </xf>
    <xf numFmtId="4" fontId="1" fillId="34" borderId="305" xfId="0" applyNumberFormat="1" applyFont="1" applyFill="1" applyBorder="1" applyAlignment="1">
      <alignment horizontal="center" vertical="top" wrapText="1"/>
    </xf>
    <xf numFmtId="4" fontId="19" fillId="0" borderId="0" xfId="0" applyNumberFormat="1" applyFont="1" applyBorder="1" applyAlignment="1">
      <alignment horizontal="center"/>
    </xf>
    <xf numFmtId="4" fontId="161" fillId="0" borderId="159" xfId="0" applyNumberFormat="1" applyFont="1" applyBorder="1" applyAlignment="1" applyProtection="1">
      <alignment vertical="top" wrapText="1"/>
      <protection locked="0"/>
    </xf>
    <xf numFmtId="4" fontId="1" fillId="0" borderId="282" xfId="0" applyNumberFormat="1" applyFont="1" applyBorder="1" applyAlignment="1" applyProtection="1">
      <alignment horizontal="center" vertical="top" wrapText="1"/>
      <protection locked="0"/>
    </xf>
    <xf numFmtId="4" fontId="1" fillId="0" borderId="283" xfId="0" applyNumberFormat="1" applyFont="1" applyBorder="1" applyAlignment="1" applyProtection="1">
      <alignment horizontal="center" vertical="top" wrapText="1"/>
      <protection locked="0"/>
    </xf>
    <xf numFmtId="4" fontId="1" fillId="0" borderId="283" xfId="0" applyNumberFormat="1" applyFont="1" applyFill="1" applyBorder="1" applyAlignment="1" applyProtection="1">
      <alignment vertical="top" wrapText="1"/>
      <protection locked="0"/>
    </xf>
    <xf numFmtId="4" fontId="1" fillId="0" borderId="283" xfId="0" applyNumberFormat="1" applyFont="1" applyBorder="1" applyAlignment="1" applyProtection="1">
      <alignment vertical="top" wrapText="1"/>
      <protection locked="0"/>
    </xf>
    <xf numFmtId="4" fontId="1" fillId="34" borderId="284" xfId="0" applyNumberFormat="1" applyFont="1" applyFill="1" applyBorder="1" applyAlignment="1" applyProtection="1">
      <alignment vertical="top" wrapText="1"/>
    </xf>
    <xf numFmtId="4" fontId="1" fillId="0" borderId="282" xfId="0" applyNumberFormat="1" applyFont="1" applyBorder="1" applyAlignment="1" applyProtection="1">
      <alignment vertical="top" wrapText="1"/>
      <protection locked="0"/>
    </xf>
    <xf numFmtId="4" fontId="1" fillId="34" borderId="302" xfId="0" applyNumberFormat="1" applyFont="1" applyFill="1" applyBorder="1" applyAlignment="1" applyProtection="1">
      <alignment vertical="top" wrapText="1"/>
    </xf>
    <xf numFmtId="4" fontId="1" fillId="34" borderId="282" xfId="0" applyNumberFormat="1" applyFont="1" applyFill="1" applyBorder="1" applyAlignment="1">
      <alignment vertical="top" wrapText="1"/>
    </xf>
    <xf numFmtId="4" fontId="1" fillId="0" borderId="306" xfId="0" applyNumberFormat="1" applyFont="1" applyBorder="1" applyAlignment="1" applyProtection="1">
      <alignment vertical="top" wrapText="1"/>
      <protection locked="0"/>
    </xf>
    <xf numFmtId="4" fontId="1" fillId="0" borderId="284" xfId="0" applyNumberFormat="1" applyFont="1" applyBorder="1" applyAlignment="1" applyProtection="1">
      <alignment vertical="top" wrapText="1"/>
      <protection locked="0"/>
    </xf>
    <xf numFmtId="4" fontId="1" fillId="0" borderId="219" xfId="0" applyNumberFormat="1" applyFont="1" applyBorder="1" applyAlignment="1" applyProtection="1">
      <alignment vertical="top" wrapText="1"/>
      <protection locked="0"/>
    </xf>
    <xf numFmtId="4" fontId="1" fillId="0" borderId="307" xfId="0" applyNumberFormat="1" applyFont="1" applyBorder="1" applyAlignment="1" applyProtection="1">
      <alignment vertical="top" wrapText="1"/>
      <protection locked="0"/>
    </xf>
    <xf numFmtId="4" fontId="25" fillId="0" borderId="0" xfId="0" applyNumberFormat="1" applyFont="1" applyBorder="1"/>
    <xf numFmtId="4" fontId="1" fillId="34" borderId="310" xfId="0" applyNumberFormat="1" applyFont="1" applyFill="1" applyBorder="1" applyAlignment="1" applyProtection="1">
      <alignment vertical="top" wrapText="1"/>
    </xf>
    <xf numFmtId="4" fontId="1" fillId="34" borderId="308" xfId="0" applyNumberFormat="1" applyFont="1" applyFill="1" applyBorder="1" applyAlignment="1">
      <alignment vertical="top" wrapText="1"/>
    </xf>
    <xf numFmtId="4" fontId="161" fillId="0" borderId="16" xfId="0" applyNumberFormat="1" applyFont="1" applyBorder="1" applyAlignment="1" applyProtection="1">
      <alignment vertical="top" wrapText="1"/>
      <protection locked="0"/>
    </xf>
    <xf numFmtId="4" fontId="1" fillId="0" borderId="287" xfId="0" applyNumberFormat="1" applyFont="1" applyBorder="1" applyAlignment="1" applyProtection="1">
      <alignment horizontal="center" vertical="top" wrapText="1"/>
      <protection locked="0"/>
    </xf>
    <xf numFmtId="4" fontId="1" fillId="0" borderId="144" xfId="0" applyNumberFormat="1" applyFont="1" applyBorder="1" applyAlignment="1" applyProtection="1">
      <alignment horizontal="center" vertical="top" wrapText="1"/>
      <protection locked="0"/>
    </xf>
    <xf numFmtId="4" fontId="1" fillId="0" borderId="150" xfId="0" applyNumberFormat="1" applyFont="1" applyFill="1" applyBorder="1" applyAlignment="1" applyProtection="1">
      <alignment vertical="top" wrapText="1"/>
      <protection locked="0"/>
    </xf>
    <xf numFmtId="4" fontId="1" fillId="0" borderId="144" xfId="0" applyNumberFormat="1" applyFont="1" applyBorder="1" applyAlignment="1" applyProtection="1">
      <alignment vertical="top" wrapText="1"/>
      <protection locked="0"/>
    </xf>
    <xf numFmtId="4" fontId="1" fillId="0" borderId="287" xfId="0" applyNumberFormat="1" applyFont="1" applyBorder="1" applyAlignment="1" applyProtection="1">
      <alignment vertical="top" wrapText="1"/>
      <protection locked="0"/>
    </xf>
    <xf numFmtId="4" fontId="1" fillId="0" borderId="150" xfId="0" applyNumberFormat="1" applyFont="1" applyBorder="1" applyAlignment="1" applyProtection="1">
      <alignment vertical="top" wrapText="1"/>
      <protection locked="0"/>
    </xf>
    <xf numFmtId="4" fontId="1" fillId="0" borderId="148" xfId="0" applyNumberFormat="1" applyFont="1" applyBorder="1" applyAlignment="1" applyProtection="1">
      <alignment vertical="top" wrapText="1"/>
      <protection locked="0"/>
    </xf>
    <xf numFmtId="4" fontId="1" fillId="0" borderId="302" xfId="0" applyNumberFormat="1" applyFont="1" applyBorder="1" applyAlignment="1" applyProtection="1">
      <alignment vertical="top" wrapText="1"/>
      <protection locked="0"/>
    </xf>
    <xf numFmtId="4" fontId="1" fillId="0" borderId="19" xfId="0" applyNumberFormat="1" applyFont="1" applyBorder="1" applyAlignment="1" applyProtection="1">
      <alignment vertical="top" wrapText="1"/>
      <protection locked="0"/>
    </xf>
    <xf numFmtId="4" fontId="1" fillId="0" borderId="147" xfId="0" applyNumberFormat="1" applyFont="1" applyBorder="1" applyAlignment="1" applyProtection="1">
      <alignment vertical="top" wrapText="1"/>
      <protection locked="0"/>
    </xf>
    <xf numFmtId="4" fontId="1" fillId="0" borderId="144" xfId="0" applyNumberFormat="1" applyFont="1" applyFill="1" applyBorder="1" applyAlignment="1" applyProtection="1">
      <alignment vertical="top" wrapText="1"/>
      <protection locked="0"/>
    </xf>
    <xf numFmtId="4" fontId="1" fillId="34" borderId="287" xfId="0" applyNumberFormat="1" applyFont="1" applyFill="1" applyBorder="1" applyAlignment="1">
      <alignment vertical="top" wrapText="1"/>
    </xf>
    <xf numFmtId="4" fontId="1" fillId="0" borderId="93" xfId="0" applyNumberFormat="1" applyFont="1" applyBorder="1" applyAlignment="1" applyProtection="1">
      <alignment vertical="top" wrapText="1"/>
      <protection locked="0"/>
    </xf>
    <xf numFmtId="4" fontId="161" fillId="0" borderId="28" xfId="0" applyNumberFormat="1" applyFont="1" applyBorder="1" applyAlignment="1" applyProtection="1">
      <alignment vertical="top" wrapText="1"/>
      <protection locked="0"/>
    </xf>
    <xf numFmtId="4" fontId="1" fillId="0" borderId="308" xfId="0" applyNumberFormat="1" applyFont="1" applyBorder="1" applyAlignment="1" applyProtection="1">
      <alignment horizontal="center" vertical="top" wrapText="1"/>
      <protection locked="0"/>
    </xf>
    <xf numFmtId="4" fontId="1" fillId="0" borderId="150" xfId="0" applyNumberFormat="1" applyFont="1" applyBorder="1" applyAlignment="1" applyProtection="1">
      <alignment horizontal="center" vertical="top" wrapText="1"/>
      <protection locked="0"/>
    </xf>
    <xf numFmtId="4" fontId="1" fillId="0" borderId="308" xfId="0" applyNumberFormat="1" applyFont="1" applyBorder="1" applyAlignment="1" applyProtection="1">
      <alignment vertical="top" wrapText="1"/>
      <protection locked="0"/>
    </xf>
    <xf numFmtId="4" fontId="1" fillId="0" borderId="152" xfId="0" applyNumberFormat="1" applyFont="1" applyBorder="1" applyAlignment="1" applyProtection="1">
      <alignment vertical="top" wrapText="1"/>
      <protection locked="0"/>
    </xf>
    <xf numFmtId="4" fontId="1" fillId="0" borderId="310" xfId="0" applyNumberFormat="1" applyFont="1" applyBorder="1" applyAlignment="1" applyProtection="1">
      <alignment vertical="top" wrapText="1"/>
      <protection locked="0"/>
    </xf>
    <xf numFmtId="4" fontId="1" fillId="0" borderId="85" xfId="0" applyNumberFormat="1" applyFont="1" applyBorder="1" applyAlignment="1" applyProtection="1">
      <alignment vertical="top" wrapText="1"/>
      <protection locked="0"/>
    </xf>
    <xf numFmtId="4" fontId="1" fillId="0" borderId="38" xfId="0" applyNumberFormat="1" applyFont="1" applyBorder="1" applyAlignment="1" applyProtection="1">
      <alignment vertical="top" wrapText="1"/>
      <protection locked="0"/>
    </xf>
    <xf numFmtId="4" fontId="1" fillId="0" borderId="151" xfId="0" applyNumberFormat="1" applyFont="1" applyBorder="1" applyAlignment="1" applyProtection="1">
      <alignment vertical="top" wrapText="1"/>
      <protection locked="0"/>
    </xf>
    <xf numFmtId="4" fontId="1" fillId="0" borderId="291" xfId="0" applyNumberFormat="1" applyFont="1" applyBorder="1" applyAlignment="1" applyProtection="1">
      <alignment vertical="top" wrapText="1"/>
      <protection locked="0"/>
    </xf>
    <xf numFmtId="4" fontId="1" fillId="0" borderId="303" xfId="0" applyNumberFormat="1" applyFont="1" applyBorder="1" applyAlignment="1" applyProtection="1">
      <alignment vertical="top" wrapText="1"/>
      <protection locked="0"/>
    </xf>
    <xf numFmtId="4" fontId="1" fillId="0" borderId="101" xfId="0" applyNumberFormat="1" applyFont="1" applyBorder="1" applyAlignment="1" applyProtection="1">
      <alignment vertical="top" wrapText="1"/>
      <protection locked="0"/>
    </xf>
    <xf numFmtId="4" fontId="1" fillId="0" borderId="102" xfId="0" applyNumberFormat="1" applyFont="1" applyBorder="1" applyAlignment="1" applyProtection="1">
      <alignment vertical="top" wrapText="1"/>
      <protection locked="0"/>
    </xf>
    <xf numFmtId="4" fontId="1" fillId="0" borderId="285" xfId="0" applyNumberFormat="1" applyFont="1" applyBorder="1" applyAlignment="1" applyProtection="1">
      <alignment vertical="top" wrapText="1"/>
      <protection locked="0"/>
    </xf>
    <xf numFmtId="4" fontId="1" fillId="0" borderId="295" xfId="0" applyNumberFormat="1" applyFont="1" applyBorder="1" applyAlignment="1" applyProtection="1">
      <alignment vertical="top" wrapText="1"/>
      <protection locked="0"/>
    </xf>
    <xf numFmtId="4" fontId="161" fillId="0" borderId="162" xfId="0" applyNumberFormat="1" applyFont="1" applyBorder="1" applyAlignment="1" applyProtection="1">
      <alignment vertical="top" wrapText="1"/>
      <protection locked="0"/>
    </xf>
    <xf numFmtId="4" fontId="1" fillId="0" borderId="312" xfId="0" applyNumberFormat="1" applyFont="1" applyBorder="1" applyAlignment="1" applyProtection="1">
      <alignment horizontal="center" vertical="top" wrapText="1"/>
      <protection locked="0"/>
    </xf>
    <xf numFmtId="4" fontId="1" fillId="0" borderId="313" xfId="0" applyNumberFormat="1" applyFont="1" applyBorder="1" applyAlignment="1" applyProtection="1">
      <alignment horizontal="center" vertical="top" wrapText="1"/>
      <protection locked="0"/>
    </xf>
    <xf numFmtId="4" fontId="1" fillId="0" borderId="312" xfId="0" applyNumberFormat="1" applyFont="1" applyBorder="1" applyAlignment="1" applyProtection="1">
      <alignment vertical="top" wrapText="1"/>
      <protection locked="0"/>
    </xf>
    <xf numFmtId="4" fontId="1" fillId="0" borderId="313" xfId="0" applyNumberFormat="1" applyFont="1" applyFill="1" applyBorder="1" applyAlignment="1" applyProtection="1">
      <alignment vertical="top" wrapText="1"/>
      <protection locked="0"/>
    </xf>
    <xf numFmtId="4" fontId="1" fillId="0" borderId="313" xfId="0" applyNumberFormat="1" applyFont="1" applyBorder="1" applyAlignment="1" applyProtection="1">
      <alignment vertical="top" wrapText="1"/>
      <protection locked="0"/>
    </xf>
    <xf numFmtId="4" fontId="1" fillId="34" borderId="314" xfId="0" applyNumberFormat="1" applyFont="1" applyFill="1" applyBorder="1" applyAlignment="1" applyProtection="1">
      <alignment vertical="top" wrapText="1"/>
    </xf>
    <xf numFmtId="4" fontId="1" fillId="34" borderId="304" xfId="0" applyNumberFormat="1" applyFont="1" applyFill="1" applyBorder="1" applyAlignment="1" applyProtection="1">
      <alignment vertical="top" wrapText="1"/>
    </xf>
    <xf numFmtId="4" fontId="1" fillId="34" borderId="312" xfId="0" applyNumberFormat="1" applyFont="1" applyFill="1" applyBorder="1" applyAlignment="1">
      <alignment vertical="top" wrapText="1"/>
    </xf>
    <xf numFmtId="4" fontId="1" fillId="0" borderId="315" xfId="0" applyNumberFormat="1" applyFont="1" applyBorder="1" applyAlignment="1" applyProtection="1">
      <alignment vertical="top" wrapText="1"/>
      <protection locked="0"/>
    </xf>
    <xf numFmtId="4" fontId="1" fillId="0" borderId="314" xfId="0" applyNumberFormat="1" applyFont="1" applyBorder="1" applyAlignment="1" applyProtection="1">
      <alignment vertical="top" wrapText="1"/>
      <protection locked="0"/>
    </xf>
    <xf numFmtId="4" fontId="1" fillId="0" borderId="135" xfId="0" applyNumberFormat="1" applyFont="1" applyBorder="1" applyAlignment="1" applyProtection="1">
      <alignment vertical="top" wrapText="1"/>
      <protection locked="0"/>
    </xf>
    <xf numFmtId="4" fontId="1" fillId="0" borderId="75" xfId="0" applyNumberFormat="1" applyFont="1" applyBorder="1" applyAlignment="1" applyProtection="1">
      <alignment vertical="top" wrapText="1"/>
      <protection locked="0"/>
    </xf>
    <xf numFmtId="4" fontId="1" fillId="0" borderId="316" xfId="0" applyNumberFormat="1" applyFont="1" applyBorder="1" applyAlignment="1" applyProtection="1">
      <alignment vertical="top" wrapText="1"/>
      <protection locked="0"/>
    </xf>
    <xf numFmtId="4" fontId="152" fillId="34" borderId="77" xfId="0" applyNumberFormat="1" applyFont="1" applyFill="1" applyBorder="1" applyAlignment="1">
      <alignment horizontal="left" vertical="top" wrapText="1" indent="2"/>
    </xf>
    <xf numFmtId="4" fontId="1" fillId="34" borderId="311" xfId="0" applyNumberFormat="1" applyFont="1" applyFill="1" applyBorder="1" applyAlignment="1">
      <alignment horizontal="center" vertical="top" wrapText="1"/>
    </xf>
    <xf numFmtId="4" fontId="1" fillId="34" borderId="79" xfId="0" applyNumberFormat="1" applyFont="1" applyFill="1" applyBorder="1" applyAlignment="1">
      <alignment horizontal="center" vertical="top" wrapText="1"/>
    </xf>
    <xf numFmtId="4" fontId="1" fillId="34" borderId="31" xfId="0" applyNumberFormat="1" applyFont="1" applyFill="1" applyBorder="1" applyAlignment="1">
      <alignment horizontal="center" vertical="top" wrapText="1"/>
    </xf>
    <xf numFmtId="4" fontId="23" fillId="0" borderId="0" xfId="0" applyNumberFormat="1" applyFont="1" applyBorder="1" applyProtection="1">
      <protection locked="0"/>
    </xf>
    <xf numFmtId="4" fontId="158" fillId="0" borderId="0" xfId="0" applyNumberFormat="1" applyFont="1" applyBorder="1" applyProtection="1">
      <protection locked="0"/>
    </xf>
    <xf numFmtId="4" fontId="157" fillId="0" borderId="0" xfId="0" applyNumberFormat="1" applyFont="1" applyAlignment="1" applyProtection="1">
      <alignment horizontal="center"/>
      <protection locked="0"/>
    </xf>
    <xf numFmtId="4" fontId="274" fillId="0" borderId="0" xfId="0" applyNumberFormat="1" applyFont="1" applyProtection="1">
      <protection locked="0"/>
    </xf>
    <xf numFmtId="4" fontId="33" fillId="0" borderId="0" xfId="0" applyNumberFormat="1" applyFont="1" applyAlignment="1" applyProtection="1">
      <alignment vertical="center"/>
      <protection locked="0"/>
    </xf>
    <xf numFmtId="4" fontId="33" fillId="0" borderId="0" xfId="0" applyNumberFormat="1" applyFont="1" applyProtection="1">
      <protection locked="0"/>
    </xf>
    <xf numFmtId="4" fontId="1" fillId="0" borderId="0" xfId="0" applyNumberFormat="1" applyFont="1" applyAlignment="1" applyProtection="1">
      <alignment horizontal="center"/>
      <protection locked="0"/>
    </xf>
    <xf numFmtId="0" fontId="20" fillId="0" borderId="0" xfId="56" applyFont="1" applyAlignment="1">
      <alignment vertical="center"/>
    </xf>
    <xf numFmtId="0" fontId="1" fillId="0" borderId="0" xfId="56"/>
    <xf numFmtId="0" fontId="21" fillId="0" borderId="0" xfId="56" applyFont="1" applyAlignment="1">
      <alignment vertical="center"/>
    </xf>
    <xf numFmtId="0" fontId="1" fillId="0" borderId="0" xfId="56" applyFont="1" applyAlignment="1" applyProtection="1">
      <alignment vertical="center"/>
      <protection locked="0"/>
    </xf>
    <xf numFmtId="0" fontId="1" fillId="0" borderId="0" xfId="56" applyProtection="1">
      <protection locked="0"/>
    </xf>
    <xf numFmtId="0" fontId="1" fillId="0" borderId="0" xfId="56" applyFont="1" applyBorder="1" applyAlignment="1" applyProtection="1">
      <protection locked="0"/>
    </xf>
    <xf numFmtId="0" fontId="28" fillId="34" borderId="0" xfId="56" applyFont="1" applyFill="1" applyAlignment="1" applyProtection="1">
      <alignment vertical="center"/>
      <protection locked="0"/>
    </xf>
    <xf numFmtId="0" fontId="23" fillId="34" borderId="0" xfId="56" applyFont="1" applyFill="1" applyAlignment="1" applyProtection="1">
      <alignment vertical="center"/>
      <protection locked="0"/>
    </xf>
    <xf numFmtId="0" fontId="23" fillId="0" borderId="0" xfId="56" applyFont="1" applyAlignment="1" applyProtection="1">
      <alignment vertical="center"/>
      <protection locked="0"/>
    </xf>
    <xf numFmtId="2" fontId="91" fillId="32" borderId="0" xfId="56" applyNumberFormat="1" applyFont="1" applyFill="1" applyAlignment="1" applyProtection="1">
      <alignment horizontal="center" vertical="center"/>
    </xf>
    <xf numFmtId="0" fontId="1" fillId="0" borderId="0" xfId="56" applyFill="1" applyProtection="1">
      <protection locked="0"/>
    </xf>
    <xf numFmtId="0" fontId="23" fillId="34" borderId="0" xfId="56" applyFont="1" applyFill="1" applyAlignment="1" applyProtection="1">
      <protection locked="0"/>
    </xf>
    <xf numFmtId="0" fontId="23" fillId="0" borderId="0" xfId="56" applyFont="1" applyAlignment="1" applyProtection="1">
      <protection locked="0"/>
    </xf>
    <xf numFmtId="0" fontId="24" fillId="0" borderId="0" xfId="56" applyFont="1" applyAlignment="1" applyProtection="1">
      <protection locked="0"/>
    </xf>
    <xf numFmtId="0" fontId="25" fillId="0" borderId="0" xfId="56" applyFont="1" applyAlignment="1" applyProtection="1">
      <alignment horizontal="right" vertical="center"/>
      <protection locked="0"/>
    </xf>
    <xf numFmtId="0" fontId="25" fillId="0" borderId="0" xfId="56" applyFont="1" applyAlignment="1" applyProtection="1">
      <alignment vertical="center"/>
      <protection locked="0"/>
    </xf>
    <xf numFmtId="0" fontId="25" fillId="0" borderId="0" xfId="56" applyFont="1" applyAlignment="1" applyProtection="1">
      <alignment horizontal="right"/>
      <protection locked="0"/>
    </xf>
    <xf numFmtId="0" fontId="25" fillId="0" borderId="0" xfId="56" applyFont="1" applyAlignment="1" applyProtection="1">
      <protection locked="0"/>
    </xf>
    <xf numFmtId="0" fontId="25" fillId="39" borderId="0" xfId="56" applyFont="1" applyFill="1" applyAlignment="1" applyProtection="1">
      <protection locked="0"/>
    </xf>
    <xf numFmtId="0" fontId="1" fillId="39" borderId="0" xfId="56" applyFill="1" applyProtection="1">
      <protection locked="0"/>
    </xf>
    <xf numFmtId="0" fontId="179" fillId="34" borderId="140" xfId="56" applyFont="1" applyFill="1" applyBorder="1" applyAlignment="1">
      <alignment horizontal="center"/>
    </xf>
    <xf numFmtId="0" fontId="23" fillId="34" borderId="14" xfId="56" applyFont="1" applyFill="1" applyBorder="1" applyAlignment="1">
      <alignment horizontal="center" vertical="center"/>
    </xf>
    <xf numFmtId="0" fontId="179" fillId="34" borderId="141" xfId="56" applyFont="1" applyFill="1" applyBorder="1" applyAlignment="1">
      <alignment horizontal="center" vertical="center"/>
    </xf>
    <xf numFmtId="0" fontId="23" fillId="34" borderId="13" xfId="56" applyFont="1" applyFill="1" applyBorder="1" applyAlignment="1">
      <alignment horizontal="center" vertical="center"/>
    </xf>
    <xf numFmtId="43" fontId="1" fillId="34" borderId="142" xfId="56" applyNumberFormat="1" applyFill="1" applyBorder="1"/>
    <xf numFmtId="0" fontId="1" fillId="34" borderId="143" xfId="56" applyFill="1" applyBorder="1"/>
    <xf numFmtId="0" fontId="1" fillId="34" borderId="144" xfId="56" applyFill="1" applyBorder="1"/>
    <xf numFmtId="0" fontId="1" fillId="34" borderId="147" xfId="56" applyFill="1" applyBorder="1"/>
    <xf numFmtId="0" fontId="1" fillId="34" borderId="145" xfId="56" applyFill="1" applyBorder="1"/>
    <xf numFmtId="43" fontId="1" fillId="34" borderId="146" xfId="56" applyNumberFormat="1" applyFill="1" applyBorder="1"/>
    <xf numFmtId="0" fontId="181" fillId="34" borderId="28" xfId="56" applyFont="1" applyFill="1" applyBorder="1" applyAlignment="1" applyProtection="1">
      <protection locked="0"/>
    </xf>
    <xf numFmtId="0" fontId="179" fillId="34" borderId="217" xfId="56" applyFont="1" applyFill="1" applyBorder="1" applyAlignment="1" applyProtection="1">
      <alignment horizontal="center" vertical="center"/>
      <protection locked="0"/>
    </xf>
    <xf numFmtId="43" fontId="1" fillId="34" borderId="149" xfId="56" applyNumberFormat="1" applyFill="1" applyBorder="1" applyProtection="1">
      <protection locked="0"/>
    </xf>
    <xf numFmtId="43" fontId="1" fillId="34" borderId="150" xfId="56" applyNumberFormat="1" applyFill="1" applyBorder="1" applyProtection="1">
      <protection locked="0"/>
    </xf>
    <xf numFmtId="0" fontId="1" fillId="34" borderId="151" xfId="56" applyNumberFormat="1" applyFill="1" applyBorder="1" applyProtection="1">
      <protection locked="0"/>
    </xf>
    <xf numFmtId="0" fontId="1" fillId="0" borderId="217" xfId="56" applyBorder="1" applyAlignment="1" applyProtection="1">
      <protection locked="0"/>
    </xf>
    <xf numFmtId="43" fontId="1" fillId="0" borderId="149" xfId="56" applyNumberFormat="1" applyBorder="1" applyProtection="1">
      <protection locked="0"/>
    </xf>
    <xf numFmtId="43" fontId="1" fillId="0" borderId="150" xfId="56" applyNumberFormat="1" applyBorder="1" applyProtection="1">
      <protection locked="0"/>
    </xf>
    <xf numFmtId="0" fontId="1" fillId="0" borderId="151" xfId="56" applyNumberFormat="1" applyBorder="1" applyProtection="1">
      <protection locked="0"/>
    </xf>
    <xf numFmtId="43" fontId="1" fillId="0" borderId="152" xfId="56" applyNumberFormat="1" applyBorder="1" applyProtection="1">
      <protection locked="0"/>
    </xf>
    <xf numFmtId="0" fontId="181" fillId="0" borderId="217" xfId="56" applyFont="1" applyBorder="1" applyAlignment="1" applyProtection="1">
      <protection locked="0"/>
    </xf>
    <xf numFmtId="0" fontId="1" fillId="0" borderId="217" xfId="56" applyBorder="1" applyAlignment="1" applyProtection="1">
      <alignment horizontal="left"/>
      <protection locked="0"/>
    </xf>
    <xf numFmtId="0" fontId="179" fillId="34" borderId="28" xfId="56" applyFont="1" applyFill="1" applyBorder="1" applyAlignment="1" applyProtection="1">
      <protection locked="0"/>
    </xf>
    <xf numFmtId="0" fontId="179" fillId="34" borderId="217" xfId="56" applyFont="1" applyFill="1" applyBorder="1" applyAlignment="1" applyProtection="1">
      <protection locked="0"/>
    </xf>
    <xf numFmtId="0" fontId="180" fillId="34" borderId="28" xfId="56" applyFont="1" applyFill="1" applyBorder="1" applyAlignment="1"/>
    <xf numFmtId="0" fontId="179" fillId="34" borderId="217" xfId="56" applyFont="1" applyFill="1" applyBorder="1" applyAlignment="1"/>
    <xf numFmtId="43" fontId="1" fillId="34" borderId="149" xfId="56" applyNumberFormat="1" applyFill="1" applyBorder="1"/>
    <xf numFmtId="0" fontId="1" fillId="34" borderId="150" xfId="56" applyFill="1" applyBorder="1"/>
    <xf numFmtId="0" fontId="1" fillId="34" borderId="151" xfId="56" applyNumberFormat="1" applyFill="1" applyBorder="1"/>
    <xf numFmtId="0" fontId="1" fillId="34" borderId="151" xfId="56" applyFill="1" applyBorder="1"/>
    <xf numFmtId="43" fontId="1" fillId="0" borderId="290" xfId="56" applyNumberFormat="1" applyBorder="1" applyProtection="1">
      <protection locked="0"/>
    </xf>
    <xf numFmtId="43" fontId="1" fillId="0" borderId="286" xfId="56" applyNumberFormat="1" applyBorder="1" applyProtection="1">
      <protection locked="0"/>
    </xf>
    <xf numFmtId="0" fontId="1" fillId="0" borderId="295" xfId="56" applyNumberFormat="1" applyBorder="1" applyProtection="1">
      <protection locked="0"/>
    </xf>
    <xf numFmtId="43" fontId="1" fillId="0" borderId="291" xfId="56" applyNumberFormat="1" applyBorder="1" applyProtection="1">
      <protection locked="0"/>
    </xf>
    <xf numFmtId="0" fontId="1" fillId="0" borderId="294" xfId="56" applyBorder="1" applyAlignment="1" applyProtection="1">
      <protection locked="0"/>
    </xf>
    <xf numFmtId="43" fontId="1" fillId="0" borderId="154" xfId="56" applyNumberFormat="1" applyBorder="1" applyProtection="1">
      <protection locked="0"/>
    </xf>
    <xf numFmtId="43" fontId="1" fillId="0" borderId="155" xfId="56" applyNumberFormat="1" applyBorder="1" applyProtection="1">
      <protection locked="0"/>
    </xf>
    <xf numFmtId="0" fontId="1" fillId="0" borderId="153" xfId="56" applyNumberFormat="1" applyBorder="1" applyProtection="1">
      <protection locked="0"/>
    </xf>
    <xf numFmtId="43" fontId="1" fillId="0" borderId="156" xfId="56" applyNumberFormat="1" applyBorder="1" applyProtection="1">
      <protection locked="0"/>
    </xf>
    <xf numFmtId="0" fontId="183" fillId="0" borderId="0" xfId="56" applyFont="1" applyAlignment="1" applyProtection="1">
      <alignment vertical="center"/>
      <protection locked="0"/>
    </xf>
    <xf numFmtId="0" fontId="183" fillId="0" borderId="0" xfId="56" applyFont="1" applyProtection="1">
      <protection locked="0"/>
    </xf>
    <xf numFmtId="0" fontId="183" fillId="0" borderId="0" xfId="56" applyFont="1" applyAlignment="1" applyProtection="1">
      <alignment horizontal="left" vertical="center"/>
      <protection locked="0"/>
    </xf>
    <xf numFmtId="0" fontId="1" fillId="0" borderId="0" xfId="56" applyAlignment="1" applyProtection="1">
      <alignment vertical="center"/>
      <protection locked="0"/>
    </xf>
    <xf numFmtId="0" fontId="1" fillId="0" borderId="0" xfId="56" applyAlignment="1" applyProtection="1">
      <alignment horizontal="left" vertical="top"/>
      <protection locked="0"/>
    </xf>
    <xf numFmtId="0" fontId="1" fillId="0" borderId="0" xfId="56" applyAlignment="1" applyProtection="1">
      <alignment horizontal="center" vertical="top"/>
      <protection locked="0"/>
    </xf>
    <xf numFmtId="0" fontId="23" fillId="0" borderId="0" xfId="56" applyFont="1" applyAlignment="1" applyProtection="1">
      <alignment horizontal="center"/>
      <protection locked="0"/>
    </xf>
    <xf numFmtId="0" fontId="23" fillId="0" borderId="0" xfId="56" applyFont="1" applyAlignment="1" applyProtection="1">
      <alignment horizontal="center" vertical="center"/>
      <protection locked="0"/>
    </xf>
    <xf numFmtId="0" fontId="1" fillId="0" borderId="0" xfId="56" applyAlignment="1" applyProtection="1">
      <alignment horizontal="center"/>
      <protection locked="0"/>
    </xf>
    <xf numFmtId="0" fontId="44" fillId="39" borderId="29" xfId="44" applyFont="1" applyFill="1" applyBorder="1" applyAlignment="1">
      <alignment vertical="center" wrapText="1"/>
    </xf>
    <xf numFmtId="0" fontId="44" fillId="39" borderId="43" xfId="44" applyFont="1" applyFill="1" applyBorder="1" applyAlignment="1">
      <alignment vertical="center" wrapText="1"/>
    </xf>
    <xf numFmtId="0" fontId="286" fillId="0" borderId="0" xfId="44" applyFont="1" applyAlignment="1">
      <alignment vertical="center" wrapText="1"/>
    </xf>
    <xf numFmtId="0" fontId="285" fillId="34" borderId="242" xfId="0" applyFont="1" applyFill="1" applyBorder="1" applyAlignment="1" applyProtection="1"/>
    <xf numFmtId="0" fontId="285" fillId="34" borderId="184" xfId="0" applyFont="1" applyFill="1" applyBorder="1" applyAlignment="1" applyProtection="1"/>
    <xf numFmtId="0" fontId="285" fillId="34" borderId="335" xfId="0" applyFont="1" applyFill="1" applyBorder="1" applyAlignment="1" applyProtection="1"/>
    <xf numFmtId="0" fontId="285" fillId="34" borderId="297" xfId="0" applyFont="1" applyFill="1" applyBorder="1" applyAlignment="1" applyProtection="1"/>
    <xf numFmtId="49" fontId="1" fillId="0" borderId="96" xfId="0" applyNumberFormat="1" applyFont="1" applyBorder="1" applyAlignment="1" applyProtection="1">
      <alignment horizontal="center" vertical="center"/>
      <protection locked="0"/>
    </xf>
    <xf numFmtId="49" fontId="1" fillId="0" borderId="96" xfId="0" applyNumberFormat="1" applyFont="1" applyBorder="1" applyAlignment="1" applyProtection="1">
      <alignment horizontal="center" vertical="center" wrapText="1"/>
      <protection locked="0"/>
    </xf>
    <xf numFmtId="0" fontId="186" fillId="34" borderId="29" xfId="0" applyFont="1" applyFill="1" applyBorder="1" applyAlignment="1">
      <alignment vertical="center"/>
    </xf>
    <xf numFmtId="0" fontId="186" fillId="34" borderId="25" xfId="0" applyFont="1" applyFill="1" applyBorder="1" applyAlignment="1">
      <alignment vertical="center"/>
    </xf>
    <xf numFmtId="0" fontId="198" fillId="0" borderId="0" xfId="0" applyFont="1"/>
    <xf numFmtId="14" fontId="1" fillId="0" borderId="150" xfId="56" applyNumberFormat="1" applyBorder="1" applyProtection="1">
      <protection locked="0"/>
    </xf>
    <xf numFmtId="14" fontId="23" fillId="0" borderId="0" xfId="56" applyNumberFormat="1" applyFont="1" applyAlignment="1" applyProtection="1">
      <alignment vertical="center"/>
      <protection locked="0"/>
    </xf>
    <xf numFmtId="14" fontId="1" fillId="0" borderId="0" xfId="56" applyNumberFormat="1" applyProtection="1">
      <protection locked="0"/>
    </xf>
    <xf numFmtId="14" fontId="24" fillId="0" borderId="0" xfId="56" applyNumberFormat="1" applyFont="1" applyAlignment="1" applyProtection="1">
      <protection locked="0"/>
    </xf>
    <xf numFmtId="14" fontId="179" fillId="34" borderId="140" xfId="56" applyNumberFormat="1" applyFont="1" applyFill="1" applyBorder="1" applyAlignment="1">
      <alignment horizontal="center"/>
    </xf>
    <xf numFmtId="14" fontId="179" fillId="34" borderId="141" xfId="56" applyNumberFormat="1" applyFont="1" applyFill="1" applyBorder="1" applyAlignment="1">
      <alignment horizontal="center" vertical="center"/>
    </xf>
    <xf numFmtId="14" fontId="1" fillId="34" borderId="144" xfId="56" applyNumberFormat="1" applyFill="1" applyBorder="1"/>
    <xf numFmtId="14" fontId="1" fillId="34" borderId="150" xfId="56" applyNumberFormat="1" applyFill="1" applyBorder="1" applyProtection="1">
      <protection locked="0"/>
    </xf>
    <xf numFmtId="14" fontId="1" fillId="34" borderId="150" xfId="56" applyNumberFormat="1" applyFill="1" applyBorder="1"/>
    <xf numFmtId="14" fontId="1" fillId="0" borderId="286" xfId="56" applyNumberFormat="1" applyBorder="1" applyProtection="1">
      <protection locked="0"/>
    </xf>
    <xf numFmtId="14" fontId="1" fillId="0" borderId="155" xfId="56" applyNumberFormat="1" applyBorder="1" applyProtection="1">
      <protection locked="0"/>
    </xf>
    <xf numFmtId="0" fontId="0" fillId="0" borderId="0" xfId="0" applyAlignment="1" applyProtection="1">
      <alignment horizontal="center" vertical="center"/>
      <protection locked="0"/>
    </xf>
    <xf numFmtId="0" fontId="281" fillId="0" borderId="265" xfId="0" applyFont="1" applyBorder="1" applyAlignment="1">
      <alignment horizontal="center" vertical="top"/>
    </xf>
    <xf numFmtId="0" fontId="281" fillId="0" borderId="240" xfId="0" applyFont="1" applyBorder="1" applyAlignment="1">
      <alignment horizontal="center" vertical="top"/>
    </xf>
    <xf numFmtId="0" fontId="73" fillId="0" borderId="0" xfId="0" applyFont="1" applyBorder="1" applyAlignment="1">
      <alignment horizontal="center" vertical="center"/>
    </xf>
    <xf numFmtId="0" fontId="1" fillId="0" borderId="0" xfId="0" applyFont="1" applyBorder="1" applyAlignment="1">
      <alignment horizontal="center" vertical="center"/>
    </xf>
    <xf numFmtId="0" fontId="0" fillId="0" borderId="0" xfId="0" applyBorder="1" applyAlignment="1">
      <alignment horizontal="center" vertical="center"/>
    </xf>
    <xf numFmtId="0" fontId="99" fillId="0" borderId="0" xfId="0" applyFont="1" applyAlignment="1">
      <alignment horizontal="center"/>
    </xf>
    <xf numFmtId="0" fontId="1" fillId="0" borderId="23" xfId="0" applyFont="1" applyBorder="1" applyAlignment="1">
      <alignment horizontal="center" vertical="center"/>
    </xf>
    <xf numFmtId="0" fontId="0" fillId="0" borderId="23" xfId="0" applyBorder="1" applyAlignment="1">
      <alignment horizontal="center" vertical="center"/>
    </xf>
    <xf numFmtId="0" fontId="278" fillId="0" borderId="23" xfId="0" applyFont="1" applyBorder="1" applyAlignment="1">
      <alignment horizontal="center" vertical="center"/>
    </xf>
    <xf numFmtId="0" fontId="279" fillId="0" borderId="23" xfId="0" applyFont="1" applyBorder="1" applyAlignment="1">
      <alignment horizontal="center" vertical="top"/>
    </xf>
    <xf numFmtId="49" fontId="278" fillId="0" borderId="23" xfId="0" applyNumberFormat="1" applyFont="1" applyBorder="1" applyAlignment="1">
      <alignment horizontal="center" vertical="top" wrapText="1"/>
    </xf>
    <xf numFmtId="0" fontId="280" fillId="0" borderId="23" xfId="0" applyFont="1" applyFill="1" applyBorder="1" applyAlignment="1">
      <alignment horizontal="center" vertical="center"/>
    </xf>
    <xf numFmtId="0" fontId="278" fillId="39" borderId="23" xfId="0" applyFont="1" applyFill="1" applyBorder="1" applyAlignment="1">
      <alignment horizontal="center" vertical="center"/>
    </xf>
    <xf numFmtId="0" fontId="158" fillId="0" borderId="0" xfId="54" applyFont="1" applyFill="1" applyBorder="1" applyAlignment="1" applyProtection="1">
      <alignment horizontal="left" vertical="center" indent="1"/>
      <protection locked="0"/>
    </xf>
    <xf numFmtId="0" fontId="158" fillId="0" borderId="73" xfId="54" quotePrefix="1" applyFont="1" applyFill="1" applyBorder="1" applyAlignment="1" applyProtection="1">
      <alignment horizontal="left" vertical="center" indent="1"/>
      <protection locked="0"/>
    </xf>
    <xf numFmtId="0" fontId="158" fillId="0" borderId="73" xfId="54" applyFont="1" applyFill="1" applyBorder="1" applyAlignment="1" applyProtection="1">
      <alignment horizontal="left" vertical="center" indent="1"/>
      <protection locked="0"/>
    </xf>
    <xf numFmtId="0" fontId="211" fillId="39" borderId="243" xfId="54" applyNumberFormat="1" applyFont="1" applyFill="1" applyBorder="1" applyAlignment="1" applyProtection="1">
      <alignment horizontal="left" vertical="center" wrapText="1"/>
    </xf>
    <xf numFmtId="0" fontId="211" fillId="39" borderId="12" xfId="54" applyNumberFormat="1" applyFont="1" applyFill="1" applyBorder="1" applyAlignment="1" applyProtection="1">
      <alignment horizontal="left" vertical="center" wrapText="1"/>
    </xf>
    <xf numFmtId="0" fontId="212" fillId="39" borderId="165" xfId="54" applyNumberFormat="1" applyFont="1" applyFill="1" applyBorder="1" applyAlignment="1" applyProtection="1">
      <alignment horizontal="left" vertical="center" wrapText="1"/>
    </xf>
    <xf numFmtId="0" fontId="212" fillId="39" borderId="45" xfId="54" applyNumberFormat="1" applyFont="1" applyFill="1" applyBorder="1" applyAlignment="1" applyProtection="1">
      <alignment horizontal="left" vertical="center" wrapText="1"/>
    </xf>
    <xf numFmtId="0" fontId="152" fillId="24" borderId="158" xfId="54" applyFont="1" applyFill="1" applyBorder="1" applyAlignment="1" applyProtection="1">
      <alignment horizontal="center"/>
    </xf>
    <xf numFmtId="0" fontId="152" fillId="24" borderId="46" xfId="54" applyFont="1" applyFill="1" applyBorder="1" applyAlignment="1" applyProtection="1">
      <alignment horizontal="center"/>
    </xf>
    <xf numFmtId="0" fontId="152" fillId="24" borderId="13" xfId="54" applyFont="1" applyFill="1" applyBorder="1" applyAlignment="1" applyProtection="1">
      <alignment horizontal="center"/>
    </xf>
    <xf numFmtId="0" fontId="152" fillId="24" borderId="14" xfId="54" applyFont="1" applyFill="1" applyBorder="1" applyAlignment="1" applyProtection="1">
      <alignment horizontal="center"/>
    </xf>
    <xf numFmtId="0" fontId="160" fillId="24" borderId="46" xfId="54" quotePrefix="1" applyFont="1" applyFill="1" applyBorder="1" applyAlignment="1" applyProtection="1">
      <alignment horizontal="center" vertical="center" wrapText="1"/>
    </xf>
    <xf numFmtId="0" fontId="160" fillId="24" borderId="14" xfId="54" applyFont="1" applyFill="1" applyBorder="1" applyAlignment="1" applyProtection="1">
      <alignment horizontal="center" vertical="center" wrapText="1"/>
    </xf>
    <xf numFmtId="2" fontId="91" fillId="32" borderId="0" xfId="54" applyNumberFormat="1" applyFont="1" applyFill="1" applyAlignment="1" applyProtection="1">
      <alignment horizontal="center" vertical="center"/>
    </xf>
    <xf numFmtId="0" fontId="206" fillId="0" borderId="0" xfId="54" applyFont="1" applyBorder="1" applyAlignment="1" applyProtection="1">
      <alignment horizontal="center"/>
    </xf>
    <xf numFmtId="0" fontId="207" fillId="0" borderId="0" xfId="54" applyFont="1" applyBorder="1" applyAlignment="1" applyProtection="1">
      <alignment horizontal="center"/>
    </xf>
    <xf numFmtId="0" fontId="208" fillId="0" borderId="0" xfId="54" applyFont="1" applyFill="1" applyBorder="1" applyAlignment="1" applyProtection="1">
      <alignment horizontal="center" vertical="center"/>
    </xf>
    <xf numFmtId="0" fontId="152" fillId="0" borderId="0" xfId="54" quotePrefix="1" applyFont="1" applyFill="1" applyBorder="1" applyAlignment="1" applyProtection="1">
      <alignment horizontal="center" vertical="center"/>
      <protection locked="0"/>
    </xf>
    <xf numFmtId="0" fontId="158" fillId="0" borderId="0" xfId="54" applyFont="1" applyFill="1" applyBorder="1" applyAlignment="1" applyProtection="1">
      <alignment horizontal="center" vertical="center"/>
      <protection locked="0"/>
    </xf>
    <xf numFmtId="0" fontId="158" fillId="0" borderId="0" xfId="54" quotePrefix="1" applyFont="1" applyFill="1" applyBorder="1" applyAlignment="1" applyProtection="1">
      <alignment horizontal="left" vertical="center" indent="1"/>
      <protection locked="0"/>
    </xf>
    <xf numFmtId="0" fontId="90" fillId="0" borderId="0" xfId="54" quotePrefix="1" applyFont="1" applyFill="1" applyBorder="1" applyAlignment="1" applyProtection="1">
      <alignment horizontal="left" vertical="center" indent="1"/>
      <protection locked="0"/>
    </xf>
    <xf numFmtId="0" fontId="90" fillId="0" borderId="0" xfId="54" applyFont="1" applyFill="1" applyBorder="1" applyAlignment="1" applyProtection="1">
      <alignment horizontal="left" vertical="center" indent="1"/>
      <protection locked="0"/>
    </xf>
    <xf numFmtId="0" fontId="100" fillId="24" borderId="73" xfId="54" applyFont="1" applyFill="1" applyBorder="1" applyAlignment="1" applyProtection="1">
      <alignment horizontal="center" vertical="center"/>
    </xf>
    <xf numFmtId="0" fontId="100" fillId="24" borderId="236" xfId="54" applyFont="1" applyFill="1" applyBorder="1" applyAlignment="1" applyProtection="1">
      <alignment horizontal="center" vertical="center"/>
    </xf>
    <xf numFmtId="0" fontId="204" fillId="39" borderId="12" xfId="55" applyNumberFormat="1" applyFont="1" applyFill="1" applyBorder="1" applyAlignment="1" applyProtection="1">
      <alignment horizontal="left" vertical="center"/>
    </xf>
    <xf numFmtId="0" fontId="204" fillId="39" borderId="77" xfId="55" applyNumberFormat="1" applyFont="1" applyFill="1" applyBorder="1" applyAlignment="1" applyProtection="1">
      <alignment horizontal="left" vertical="center"/>
    </xf>
    <xf numFmtId="0" fontId="205" fillId="39" borderId="45" xfId="55" applyNumberFormat="1" applyFont="1" applyFill="1" applyBorder="1" applyAlignment="1" applyProtection="1">
      <alignment horizontal="left" vertical="center"/>
    </xf>
    <xf numFmtId="0" fontId="205" fillId="39" borderId="266" xfId="55" applyNumberFormat="1" applyFont="1" applyFill="1" applyBorder="1" applyAlignment="1" applyProtection="1">
      <alignment horizontal="left" vertical="center"/>
    </xf>
    <xf numFmtId="0" fontId="158" fillId="25" borderId="47" xfId="54" applyFont="1" applyFill="1" applyBorder="1" applyAlignment="1" applyProtection="1">
      <alignment vertical="justify" wrapText="1"/>
    </xf>
    <xf numFmtId="0" fontId="215" fillId="25" borderId="47" xfId="54" applyFont="1" applyFill="1" applyBorder="1" applyProtection="1"/>
    <xf numFmtId="0" fontId="215" fillId="25" borderId="158" xfId="54" applyFont="1" applyFill="1" applyBorder="1" applyProtection="1"/>
    <xf numFmtId="4" fontId="155" fillId="25" borderId="46" xfId="55" applyNumberFormat="1" applyFont="1" applyFill="1" applyBorder="1" applyAlignment="1" applyProtection="1">
      <alignment vertical="center"/>
    </xf>
    <xf numFmtId="4" fontId="155" fillId="25" borderId="19" xfId="55" applyNumberFormat="1" applyFont="1" applyFill="1" applyBorder="1" applyAlignment="1" applyProtection="1">
      <alignment vertical="center"/>
    </xf>
    <xf numFmtId="0" fontId="160" fillId="24" borderId="46" xfId="54" applyFont="1" applyFill="1" applyBorder="1" applyAlignment="1" applyProtection="1">
      <alignment horizontal="center" vertical="center"/>
    </xf>
    <xf numFmtId="0" fontId="91" fillId="24" borderId="19" xfId="54" applyFont="1" applyFill="1" applyBorder="1" applyAlignment="1" applyProtection="1">
      <alignment horizontal="center" vertical="center"/>
    </xf>
    <xf numFmtId="0" fontId="204" fillId="39" borderId="12" xfId="54" applyNumberFormat="1" applyFont="1" applyFill="1" applyBorder="1" applyAlignment="1" applyProtection="1">
      <alignment horizontal="left" vertical="top" wrapText="1"/>
    </xf>
    <xf numFmtId="0" fontId="213" fillId="39" borderId="12" xfId="54" applyNumberFormat="1" applyFont="1" applyFill="1" applyBorder="1" applyAlignment="1" applyProtection="1">
      <alignment horizontal="left" vertical="top" wrapText="1"/>
    </xf>
    <xf numFmtId="0" fontId="205" fillId="39" borderId="45" xfId="54" applyNumberFormat="1" applyFont="1" applyFill="1" applyBorder="1" applyAlignment="1" applyProtection="1">
      <alignment horizontal="left" vertical="top" wrapText="1"/>
    </xf>
    <xf numFmtId="0" fontId="214" fillId="39" borderId="45" xfId="54" applyNumberFormat="1" applyFont="1" applyFill="1" applyBorder="1" applyAlignment="1" applyProtection="1">
      <alignment horizontal="left" vertical="top" wrapText="1"/>
    </xf>
    <xf numFmtId="0" fontId="100" fillId="24" borderId="13" xfId="54" applyFont="1" applyFill="1" applyBorder="1" applyAlignment="1" applyProtection="1">
      <alignment horizontal="center" vertical="top"/>
    </xf>
    <xf numFmtId="0" fontId="100" fillId="24" borderId="14" xfId="54" applyFont="1" applyFill="1" applyBorder="1" applyAlignment="1" applyProtection="1">
      <alignment horizontal="center" vertical="top"/>
    </xf>
    <xf numFmtId="0" fontId="90" fillId="24" borderId="14" xfId="54" applyFont="1" applyFill="1" applyBorder="1" applyAlignment="1" applyProtection="1">
      <alignment horizontal="center" vertical="top" wrapText="1"/>
    </xf>
    <xf numFmtId="0" fontId="113" fillId="0" borderId="19" xfId="54" applyFont="1" applyBorder="1" applyAlignment="1" applyProtection="1">
      <alignment horizontal="center" vertical="top" wrapText="1"/>
    </xf>
    <xf numFmtId="4" fontId="155" fillId="25" borderId="85" xfId="55" applyNumberFormat="1" applyFont="1" applyFill="1" applyBorder="1" applyAlignment="1" applyProtection="1">
      <alignment vertical="center"/>
    </xf>
    <xf numFmtId="0" fontId="204" fillId="0" borderId="14" xfId="55" quotePrefix="1" applyNumberFormat="1" applyFont="1" applyFill="1" applyBorder="1" applyAlignment="1" applyProtection="1">
      <alignment horizontal="left" vertical="center"/>
    </xf>
    <xf numFmtId="0" fontId="204" fillId="0" borderId="19" xfId="55" applyNumberFormat="1" applyFont="1" applyFill="1" applyBorder="1" applyAlignment="1" applyProtection="1">
      <alignment horizontal="left" vertical="center"/>
    </xf>
    <xf numFmtId="0" fontId="205" fillId="0" borderId="14" xfId="55" applyNumberFormat="1" applyFont="1" applyFill="1" applyBorder="1" applyAlignment="1" applyProtection="1">
      <alignment horizontal="left" vertical="center"/>
    </xf>
    <xf numFmtId="0" fontId="205" fillId="0" borderId="19" xfId="55" applyNumberFormat="1" applyFont="1" applyFill="1" applyBorder="1" applyAlignment="1" applyProtection="1">
      <alignment horizontal="left" vertical="center"/>
    </xf>
    <xf numFmtId="4" fontId="90" fillId="34" borderId="101" xfId="55" applyNumberFormat="1" applyFont="1" applyFill="1" applyBorder="1" applyAlignment="1" applyProtection="1">
      <alignment vertical="center"/>
    </xf>
    <xf numFmtId="4" fontId="90" fillId="34" borderId="19" xfId="55" applyNumberFormat="1" applyFont="1" applyFill="1" applyBorder="1" applyAlignment="1" applyProtection="1">
      <alignment vertical="center"/>
    </xf>
    <xf numFmtId="4" fontId="90" fillId="0" borderId="101" xfId="55" applyNumberFormat="1" applyFont="1" applyFill="1" applyBorder="1" applyAlignment="1" applyProtection="1">
      <alignment vertical="center"/>
      <protection locked="0"/>
    </xf>
    <xf numFmtId="4" fontId="90" fillId="0" borderId="19" xfId="55" applyNumberFormat="1" applyFont="1" applyFill="1" applyBorder="1" applyAlignment="1" applyProtection="1">
      <alignment vertical="center"/>
      <protection locked="0"/>
    </xf>
    <xf numFmtId="4" fontId="90" fillId="24" borderId="85" xfId="55" applyNumberFormat="1" applyFont="1" applyFill="1" applyBorder="1" applyAlignment="1" applyProtection="1">
      <alignment vertical="center"/>
    </xf>
    <xf numFmtId="0" fontId="204" fillId="0" borderId="101" xfId="55" quotePrefix="1" applyNumberFormat="1" applyFont="1" applyFill="1" applyBorder="1" applyAlignment="1" applyProtection="1">
      <alignment horizontal="left" vertical="center"/>
    </xf>
    <xf numFmtId="0" fontId="205" fillId="0" borderId="101" xfId="55" applyNumberFormat="1" applyFont="1" applyFill="1" applyBorder="1" applyAlignment="1" applyProtection="1">
      <alignment horizontal="left" vertical="center"/>
    </xf>
    <xf numFmtId="0" fontId="204" fillId="0" borderId="101" xfId="55" applyNumberFormat="1" applyFont="1" applyFill="1" applyBorder="1" applyAlignment="1" applyProtection="1">
      <alignment horizontal="left" vertical="center"/>
    </xf>
    <xf numFmtId="0" fontId="205" fillId="0" borderId="101" xfId="55" quotePrefix="1" applyNumberFormat="1" applyFont="1" applyFill="1" applyBorder="1" applyAlignment="1" applyProtection="1">
      <alignment horizontal="left" vertical="center"/>
    </xf>
    <xf numFmtId="4" fontId="155" fillId="25" borderId="101" xfId="55" applyNumberFormat="1" applyFont="1" applyFill="1" applyBorder="1" applyAlignment="1" applyProtection="1">
      <alignment vertical="center"/>
    </xf>
    <xf numFmtId="0" fontId="204" fillId="0" borderId="113" xfId="55" applyNumberFormat="1" applyFont="1" applyFill="1" applyBorder="1" applyAlignment="1" applyProtection="1">
      <alignment horizontal="left" vertical="center"/>
    </xf>
    <xf numFmtId="0" fontId="205" fillId="0" borderId="113" xfId="55" applyNumberFormat="1" applyFont="1" applyFill="1" applyBorder="1" applyAlignment="1" applyProtection="1">
      <alignment horizontal="left" vertical="center"/>
    </xf>
    <xf numFmtId="0" fontId="152" fillId="24" borderId="101" xfId="54" applyFont="1" applyFill="1" applyBorder="1" applyAlignment="1" applyProtection="1">
      <alignment horizontal="left" vertical="center" indent="2"/>
    </xf>
    <xf numFmtId="4" fontId="155" fillId="24" borderId="101" xfId="55" applyNumberFormat="1" applyFont="1" applyFill="1" applyBorder="1" applyAlignment="1" applyProtection="1">
      <alignment vertical="center"/>
    </xf>
    <xf numFmtId="4" fontId="155" fillId="24" borderId="113" xfId="55" applyNumberFormat="1" applyFont="1" applyFill="1" applyBorder="1" applyAlignment="1" applyProtection="1">
      <alignment vertical="center"/>
    </xf>
    <xf numFmtId="0" fontId="155" fillId="24" borderId="113" xfId="54" applyFont="1" applyFill="1" applyBorder="1" applyAlignment="1" applyProtection="1">
      <alignment horizontal="left" vertical="center" indent="2"/>
    </xf>
    <xf numFmtId="4" fontId="90" fillId="44" borderId="101" xfId="55" applyNumberFormat="1" applyFont="1" applyFill="1" applyBorder="1" applyAlignment="1" applyProtection="1">
      <alignment vertical="center"/>
    </xf>
    <xf numFmtId="4" fontId="90" fillId="44" borderId="19" xfId="55" applyNumberFormat="1" applyFont="1" applyFill="1" applyBorder="1" applyAlignment="1" applyProtection="1">
      <alignment vertical="center"/>
    </xf>
    <xf numFmtId="40" fontId="155" fillId="25" borderId="85" xfId="55" applyNumberFormat="1" applyFont="1" applyFill="1" applyBorder="1" applyAlignment="1" applyProtection="1">
      <alignment vertical="center"/>
    </xf>
    <xf numFmtId="0" fontId="204" fillId="0" borderId="85" xfId="55" quotePrefix="1" applyNumberFormat="1" applyFont="1" applyFill="1" applyBorder="1" applyAlignment="1" applyProtection="1">
      <alignment horizontal="left" vertical="center"/>
    </xf>
    <xf numFmtId="0" fontId="204" fillId="0" borderId="85" xfId="55" applyNumberFormat="1" applyFont="1" applyFill="1" applyBorder="1" applyAlignment="1" applyProtection="1">
      <alignment horizontal="left" vertical="center"/>
    </xf>
    <xf numFmtId="0" fontId="205" fillId="0" borderId="85" xfId="55" quotePrefix="1" applyNumberFormat="1" applyFont="1" applyFill="1" applyBorder="1" applyAlignment="1" applyProtection="1">
      <alignment horizontal="left" vertical="center"/>
    </xf>
    <xf numFmtId="0" fontId="205" fillId="0" borderId="85" xfId="55" applyNumberFormat="1" applyFont="1" applyFill="1" applyBorder="1" applyAlignment="1" applyProtection="1">
      <alignment horizontal="left" vertical="center"/>
    </xf>
    <xf numFmtId="40" fontId="90" fillId="0" borderId="101" xfId="55" applyNumberFormat="1" applyFont="1" applyFill="1" applyBorder="1" applyAlignment="1" applyProtection="1">
      <alignment vertical="center"/>
      <protection locked="0"/>
    </xf>
    <xf numFmtId="40" fontId="90" fillId="0" borderId="19" xfId="55" applyNumberFormat="1" applyFont="1" applyFill="1" applyBorder="1" applyAlignment="1" applyProtection="1">
      <alignment vertical="center"/>
      <protection locked="0"/>
    </xf>
    <xf numFmtId="40" fontId="90" fillId="24" borderId="85" xfId="55" applyNumberFormat="1" applyFont="1" applyFill="1" applyBorder="1" applyAlignment="1" applyProtection="1">
      <alignment vertical="center"/>
    </xf>
    <xf numFmtId="0" fontId="152" fillId="24" borderId="56" xfId="54" applyFont="1" applyFill="1" applyBorder="1" applyAlignment="1" applyProtection="1">
      <alignment horizontal="center"/>
    </xf>
    <xf numFmtId="0" fontId="152" fillId="24" borderId="47" xfId="54" applyFont="1" applyFill="1" applyBorder="1" applyAlignment="1" applyProtection="1">
      <alignment horizontal="center"/>
    </xf>
    <xf numFmtId="0" fontId="100" fillId="24" borderId="235" xfId="54" applyFont="1" applyFill="1" applyBorder="1" applyAlignment="1" applyProtection="1">
      <alignment horizontal="center" vertical="top"/>
    </xf>
    <xf numFmtId="0" fontId="100" fillId="24" borderId="73" xfId="54" applyFont="1" applyFill="1" applyBorder="1" applyAlignment="1" applyProtection="1">
      <alignment horizontal="center" vertical="top"/>
    </xf>
    <xf numFmtId="0" fontId="100" fillId="24" borderId="236" xfId="54" applyFont="1" applyFill="1" applyBorder="1" applyAlignment="1" applyProtection="1">
      <alignment horizontal="center" vertical="top"/>
    </xf>
    <xf numFmtId="0" fontId="204" fillId="0" borderId="19" xfId="55" applyNumberFormat="1" applyFont="1" applyFill="1" applyBorder="1" applyAlignment="1" applyProtection="1">
      <alignment horizontal="left" vertical="top"/>
    </xf>
    <xf numFmtId="0" fontId="204" fillId="0" borderId="85" xfId="55" applyNumberFormat="1" applyFont="1" applyFill="1" applyBorder="1" applyAlignment="1" applyProtection="1">
      <alignment horizontal="left" vertical="top"/>
    </xf>
    <xf numFmtId="0" fontId="205" fillId="0" borderId="19" xfId="55" applyNumberFormat="1" applyFont="1" applyFill="1" applyBorder="1" applyAlignment="1" applyProtection="1">
      <alignment horizontal="left" vertical="top"/>
    </xf>
    <xf numFmtId="0" fontId="205" fillId="0" borderId="85" xfId="55" applyNumberFormat="1" applyFont="1" applyFill="1" applyBorder="1" applyAlignment="1" applyProtection="1">
      <alignment horizontal="left" vertical="top"/>
    </xf>
    <xf numFmtId="40" fontId="90" fillId="34" borderId="85" xfId="55" applyNumberFormat="1" applyFont="1" applyFill="1" applyBorder="1" applyAlignment="1" applyProtection="1">
      <alignment vertical="center"/>
    </xf>
    <xf numFmtId="0" fontId="90" fillId="0" borderId="93" xfId="54" applyFont="1" applyBorder="1" applyAlignment="1" applyProtection="1">
      <alignment horizontal="center" vertical="center"/>
    </xf>
    <xf numFmtId="0" fontId="90" fillId="0" borderId="17" xfId="54" applyFont="1" applyBorder="1" applyAlignment="1" applyProtection="1">
      <alignment horizontal="center" vertical="center"/>
    </xf>
    <xf numFmtId="0" fontId="204" fillId="0" borderId="135" xfId="55" applyNumberFormat="1" applyFont="1" applyFill="1" applyBorder="1" applyAlignment="1" applyProtection="1">
      <alignment horizontal="left" vertical="center"/>
    </xf>
    <xf numFmtId="0" fontId="205" fillId="0" borderId="135" xfId="55" applyNumberFormat="1" applyFont="1" applyFill="1" applyBorder="1" applyAlignment="1" applyProtection="1">
      <alignment horizontal="left" vertical="center"/>
    </xf>
    <xf numFmtId="0" fontId="152" fillId="24" borderId="102" xfId="54" applyFont="1" applyFill="1" applyBorder="1" applyAlignment="1" applyProtection="1">
      <alignment horizontal="left" vertical="center" indent="2"/>
    </xf>
    <xf numFmtId="0" fontId="152" fillId="24" borderId="128" xfId="54" applyFont="1" applyFill="1" applyBorder="1" applyAlignment="1" applyProtection="1">
      <alignment horizontal="left" vertical="center" indent="2"/>
    </xf>
    <xf numFmtId="0" fontId="152" fillId="24" borderId="104" xfId="54" applyFont="1" applyFill="1" applyBorder="1" applyAlignment="1" applyProtection="1">
      <alignment horizontal="left" vertical="center" indent="2"/>
    </xf>
    <xf numFmtId="40" fontId="155" fillId="24" borderId="85" xfId="55" applyNumberFormat="1" applyFont="1" applyFill="1" applyBorder="1" applyAlignment="1" applyProtection="1">
      <alignment vertical="center"/>
    </xf>
    <xf numFmtId="40" fontId="155" fillId="24" borderId="135" xfId="55" applyNumberFormat="1" applyFont="1" applyFill="1" applyBorder="1" applyAlignment="1" applyProtection="1">
      <alignment vertical="center"/>
    </xf>
    <xf numFmtId="0" fontId="155" fillId="0" borderId="0" xfId="54" applyFont="1" applyBorder="1" applyAlignment="1" applyProtection="1">
      <alignment horizontal="center"/>
      <protection locked="0"/>
    </xf>
    <xf numFmtId="0" fontId="155" fillId="0" borderId="0" xfId="54" quotePrefix="1" applyFont="1" applyBorder="1" applyAlignment="1" applyProtection="1">
      <alignment horizontal="center"/>
      <protection locked="0"/>
    </xf>
    <xf numFmtId="0" fontId="155" fillId="0" borderId="0" xfId="54" applyFont="1" applyBorder="1" applyAlignment="1" applyProtection="1">
      <alignment horizontal="left" vertical="center" indent="10"/>
      <protection locked="0"/>
    </xf>
    <xf numFmtId="40" fontId="155" fillId="24" borderId="101" xfId="55" applyNumberFormat="1" applyFont="1" applyFill="1" applyBorder="1" applyAlignment="1" applyProtection="1">
      <alignment vertical="center"/>
    </xf>
    <xf numFmtId="40" fontId="155" fillId="24" borderId="113" xfId="55" applyNumberFormat="1" applyFont="1" applyFill="1" applyBorder="1" applyAlignment="1" applyProtection="1">
      <alignment vertical="center"/>
    </xf>
    <xf numFmtId="0" fontId="155" fillId="24" borderId="235" xfId="54" applyFont="1" applyFill="1" applyBorder="1" applyAlignment="1" applyProtection="1">
      <alignment horizontal="left" indent="2"/>
    </xf>
    <xf numFmtId="0" fontId="155" fillId="24" borderId="73" xfId="54" applyFont="1" applyFill="1" applyBorder="1" applyAlignment="1" applyProtection="1">
      <alignment horizontal="left" indent="2"/>
    </xf>
    <xf numFmtId="0" fontId="155" fillId="24" borderId="236" xfId="54" applyFont="1" applyFill="1" applyBorder="1" applyAlignment="1" applyProtection="1">
      <alignment horizontal="left" indent="2"/>
    </xf>
    <xf numFmtId="0" fontId="138" fillId="0" borderId="0" xfId="54" applyFont="1" applyBorder="1" applyAlignment="1" applyProtection="1">
      <alignment horizontal="center"/>
      <protection locked="0"/>
    </xf>
    <xf numFmtId="0" fontId="138" fillId="0" borderId="0" xfId="54" quotePrefix="1" applyFont="1" applyBorder="1" applyAlignment="1" applyProtection="1">
      <alignment horizontal="center"/>
      <protection locked="0"/>
    </xf>
    <xf numFmtId="0" fontId="90" fillId="0" borderId="0" xfId="54" quotePrefix="1" applyFont="1" applyBorder="1" applyAlignment="1" applyProtection="1">
      <alignment horizontal="center"/>
      <protection locked="0"/>
    </xf>
    <xf numFmtId="0" fontId="157" fillId="0" borderId="0" xfId="54" applyFont="1" applyBorder="1" applyAlignment="1" applyProtection="1">
      <alignment horizontal="left" indent="8"/>
      <protection locked="0"/>
    </xf>
    <xf numFmtId="0" fontId="226" fillId="0" borderId="0" xfId="54" applyFont="1" applyBorder="1" applyAlignment="1" applyProtection="1">
      <alignment horizontal="center"/>
      <protection locked="0"/>
    </xf>
    <xf numFmtId="0" fontId="226" fillId="0" borderId="0" xfId="54" quotePrefix="1" applyFont="1" applyBorder="1" applyAlignment="1" applyProtection="1">
      <alignment horizontal="center"/>
      <protection locked="0"/>
    </xf>
    <xf numFmtId="0" fontId="157" fillId="0" borderId="0" xfId="54" quotePrefix="1" applyFont="1" applyBorder="1" applyAlignment="1" applyProtection="1">
      <alignment horizontal="left" indent="10"/>
      <protection locked="0"/>
    </xf>
    <xf numFmtId="2" fontId="239" fillId="34" borderId="0" xfId="0" applyNumberFormat="1" applyFont="1" applyFill="1" applyBorder="1" applyAlignment="1">
      <alignment horizontal="left" vertical="top" wrapText="1"/>
    </xf>
    <xf numFmtId="2" fontId="239" fillId="34" borderId="13" xfId="0" applyNumberFormat="1" applyFont="1" applyFill="1" applyBorder="1" applyAlignment="1">
      <alignment horizontal="left" vertical="top" wrapText="1"/>
    </xf>
    <xf numFmtId="4" fontId="90" fillId="0" borderId="85" xfId="0" applyNumberFormat="1" applyFont="1" applyBorder="1" applyAlignment="1" applyProtection="1">
      <alignment horizontal="right" vertical="top" wrapText="1"/>
      <protection locked="0"/>
    </xf>
    <xf numFmtId="4" fontId="155" fillId="34" borderId="101" xfId="0" applyNumberFormat="1" applyFont="1" applyFill="1" applyBorder="1" applyAlignment="1">
      <alignment horizontal="right" vertical="top" wrapText="1"/>
    </xf>
    <xf numFmtId="4" fontId="155" fillId="34" borderId="19" xfId="0" applyNumberFormat="1" applyFont="1" applyFill="1" applyBorder="1" applyAlignment="1">
      <alignment horizontal="right" vertical="top" wrapText="1"/>
    </xf>
    <xf numFmtId="2" fontId="235" fillId="34" borderId="17" xfId="0" applyNumberFormat="1" applyFont="1" applyFill="1" applyBorder="1" applyAlignment="1">
      <alignment horizontal="left" vertical="top" wrapText="1"/>
    </xf>
    <xf numFmtId="2" fontId="235" fillId="34" borderId="18" xfId="0" applyNumberFormat="1" applyFont="1" applyFill="1" applyBorder="1" applyAlignment="1">
      <alignment horizontal="left" vertical="top" wrapText="1"/>
    </xf>
    <xf numFmtId="4" fontId="155" fillId="34" borderId="85" xfId="0" applyNumberFormat="1" applyFont="1" applyFill="1" applyBorder="1" applyAlignment="1">
      <alignment horizontal="right" vertical="top" wrapText="1"/>
    </xf>
    <xf numFmtId="2" fontId="240" fillId="24" borderId="0" xfId="0" applyNumberFormat="1" applyFont="1" applyFill="1" applyBorder="1" applyAlignment="1">
      <alignment vertical="top" wrapText="1"/>
    </xf>
    <xf numFmtId="2" fontId="240" fillId="24" borderId="158" xfId="0" applyNumberFormat="1" applyFont="1" applyFill="1" applyBorder="1" applyAlignment="1">
      <alignment vertical="top" wrapText="1"/>
    </xf>
    <xf numFmtId="4" fontId="242" fillId="24" borderId="101" xfId="0" applyNumberFormat="1" applyFont="1" applyFill="1" applyBorder="1" applyAlignment="1">
      <alignment horizontal="right" vertical="top" wrapText="1"/>
    </xf>
    <xf numFmtId="4" fontId="242" fillId="24" borderId="19" xfId="0" applyNumberFormat="1" applyFont="1" applyFill="1" applyBorder="1" applyAlignment="1">
      <alignment horizontal="right" vertical="top" wrapText="1"/>
    </xf>
    <xf numFmtId="4" fontId="155" fillId="24" borderId="101" xfId="0" applyNumberFormat="1" applyFont="1" applyFill="1" applyBorder="1" applyAlignment="1">
      <alignment horizontal="right" vertical="top" wrapText="1"/>
    </xf>
    <xf numFmtId="4" fontId="155" fillId="24" borderId="19" xfId="0" applyNumberFormat="1" applyFont="1" applyFill="1" applyBorder="1" applyAlignment="1">
      <alignment horizontal="right" vertical="top" wrapText="1"/>
    </xf>
    <xf numFmtId="2" fontId="242" fillId="24" borderId="17" xfId="0" applyNumberFormat="1" applyFont="1" applyFill="1" applyBorder="1" applyAlignment="1">
      <alignment vertical="top" wrapText="1"/>
    </xf>
    <xf numFmtId="2" fontId="242" fillId="24" borderId="18" xfId="0" applyNumberFormat="1" applyFont="1" applyFill="1" applyBorder="1" applyAlignment="1">
      <alignment vertical="top" wrapText="1"/>
    </xf>
    <xf numFmtId="0" fontId="230" fillId="0" borderId="0" xfId="0" applyFont="1" applyAlignment="1" applyProtection="1">
      <alignment horizontal="center" vertical="center"/>
    </xf>
    <xf numFmtId="0" fontId="231" fillId="0" borderId="0" xfId="0" applyFont="1" applyAlignment="1" applyProtection="1">
      <alignment horizontal="center" vertical="center"/>
    </xf>
    <xf numFmtId="0" fontId="232" fillId="0" borderId="0" xfId="0" applyFont="1" applyAlignment="1" applyProtection="1">
      <alignment horizontal="center" vertical="center" wrapText="1"/>
      <protection locked="0"/>
    </xf>
    <xf numFmtId="0" fontId="236" fillId="0" borderId="0" xfId="0" applyFont="1" applyAlignment="1" applyProtection="1">
      <protection locked="0"/>
    </xf>
    <xf numFmtId="0" fontId="239" fillId="0" borderId="0" xfId="0" applyFont="1" applyAlignment="1" applyProtection="1">
      <protection locked="0"/>
    </xf>
    <xf numFmtId="0" fontId="239" fillId="0" borderId="0" xfId="0" applyFont="1" applyAlignment="1" applyProtection="1">
      <alignment horizontal="right"/>
      <protection locked="0"/>
    </xf>
    <xf numFmtId="0" fontId="90" fillId="45" borderId="56" xfId="0" applyFont="1" applyFill="1" applyBorder="1" applyAlignment="1">
      <alignment horizontal="center" vertical="top"/>
    </xf>
    <xf numFmtId="0" fontId="90" fillId="45" borderId="47" xfId="0" applyFont="1" applyFill="1" applyBorder="1" applyAlignment="1">
      <alignment horizontal="center" vertical="top"/>
    </xf>
    <xf numFmtId="0" fontId="90" fillId="45" borderId="36" xfId="0" applyFont="1" applyFill="1" applyBorder="1" applyAlignment="1">
      <alignment horizontal="center" vertical="top"/>
    </xf>
    <xf numFmtId="0" fontId="90" fillId="45" borderId="0" xfId="0" applyFont="1" applyFill="1" applyBorder="1" applyAlignment="1">
      <alignment horizontal="center" vertical="top"/>
    </xf>
    <xf numFmtId="0" fontId="90" fillId="45" borderId="93" xfId="0" applyFont="1" applyFill="1" applyBorder="1" applyAlignment="1">
      <alignment horizontal="center" vertical="top"/>
    </xf>
    <xf numFmtId="0" fontId="90" fillId="45" borderId="17" xfId="0" applyFont="1" applyFill="1" applyBorder="1" applyAlignment="1">
      <alignment horizontal="center" vertical="top"/>
    </xf>
    <xf numFmtId="0" fontId="158" fillId="45" borderId="46" xfId="0" applyFont="1" applyFill="1" applyBorder="1" applyAlignment="1">
      <alignment horizontal="center"/>
    </xf>
    <xf numFmtId="0" fontId="158" fillId="45" borderId="14" xfId="0" applyFont="1" applyFill="1" applyBorder="1" applyAlignment="1">
      <alignment horizontal="center"/>
    </xf>
    <xf numFmtId="0" fontId="158" fillId="45" borderId="46" xfId="0" applyFont="1" applyFill="1" applyBorder="1" applyAlignment="1">
      <alignment horizontal="center" wrapText="1"/>
    </xf>
    <xf numFmtId="0" fontId="158" fillId="45" borderId="14" xfId="0" applyFont="1" applyFill="1" applyBorder="1" applyAlignment="1">
      <alignment horizontal="center" wrapText="1"/>
    </xf>
    <xf numFmtId="0" fontId="155" fillId="45" borderId="14" xfId="0" applyFont="1" applyFill="1" applyBorder="1" applyAlignment="1">
      <alignment horizontal="center" vertical="top"/>
    </xf>
    <xf numFmtId="0" fontId="155" fillId="45" borderId="19" xfId="0" applyFont="1" applyFill="1" applyBorder="1" applyAlignment="1">
      <alignment horizontal="center" vertical="top"/>
    </xf>
    <xf numFmtId="0" fontId="155" fillId="45" borderId="14" xfId="0" applyFont="1" applyFill="1" applyBorder="1" applyAlignment="1">
      <alignment horizontal="center" vertical="center" wrapText="1"/>
    </xf>
    <xf numFmtId="0" fontId="155" fillId="45" borderId="19" xfId="0" applyFont="1" applyFill="1" applyBorder="1" applyAlignment="1">
      <alignment horizontal="center" vertical="center" wrapText="1"/>
    </xf>
    <xf numFmtId="0" fontId="100" fillId="45" borderId="14" xfId="0" applyFont="1" applyFill="1" applyBorder="1" applyAlignment="1">
      <alignment horizontal="center" vertical="top"/>
    </xf>
    <xf numFmtId="0" fontId="100" fillId="45" borderId="19" xfId="0" applyFont="1" applyFill="1" applyBorder="1" applyAlignment="1">
      <alignment horizontal="center" vertical="top"/>
    </xf>
    <xf numFmtId="4" fontId="90" fillId="0" borderId="85" xfId="0" applyNumberFormat="1" applyFont="1" applyFill="1" applyBorder="1" applyAlignment="1" applyProtection="1">
      <alignment horizontal="right" vertical="top" wrapText="1"/>
      <protection locked="0"/>
    </xf>
    <xf numFmtId="2" fontId="160" fillId="34" borderId="0" xfId="0" applyNumberFormat="1" applyFont="1" applyFill="1" applyBorder="1" applyAlignment="1">
      <alignment horizontal="left" vertical="top" wrapText="1"/>
    </xf>
    <xf numFmtId="2" fontId="160" fillId="34" borderId="158" xfId="0" applyNumberFormat="1" applyFont="1" applyFill="1" applyBorder="1" applyAlignment="1">
      <alignment horizontal="left" vertical="top" wrapText="1"/>
    </xf>
    <xf numFmtId="2" fontId="160" fillId="34" borderId="13" xfId="0" applyNumberFormat="1" applyFont="1" applyFill="1" applyBorder="1" applyAlignment="1">
      <alignment horizontal="left" vertical="top" wrapText="1"/>
    </xf>
    <xf numFmtId="4" fontId="155" fillId="43" borderId="85" xfId="0" applyNumberFormat="1" applyFont="1" applyFill="1" applyBorder="1" applyAlignment="1">
      <alignment horizontal="right" vertical="top" wrapText="1"/>
    </xf>
    <xf numFmtId="2" fontId="239" fillId="34" borderId="158" xfId="0" applyNumberFormat="1" applyFont="1" applyFill="1" applyBorder="1" applyAlignment="1">
      <alignment horizontal="left" vertical="top" wrapText="1"/>
    </xf>
    <xf numFmtId="2" fontId="248" fillId="34" borderId="17" xfId="0" applyNumberFormat="1" applyFont="1" applyFill="1" applyBorder="1" applyAlignment="1">
      <alignment horizontal="left" vertical="top" wrapText="1"/>
    </xf>
    <xf numFmtId="2" fontId="248" fillId="34" borderId="18" xfId="0" applyNumberFormat="1" applyFont="1" applyFill="1" applyBorder="1" applyAlignment="1">
      <alignment horizontal="left" vertical="top" wrapText="1"/>
    </xf>
    <xf numFmtId="4" fontId="90" fillId="0" borderId="101" xfId="0" applyNumberFormat="1" applyFont="1" applyBorder="1" applyAlignment="1" applyProtection="1">
      <alignment horizontal="right" vertical="top" wrapText="1"/>
      <protection locked="0"/>
    </xf>
    <xf numFmtId="4" fontId="90" fillId="0" borderId="19" xfId="0" applyNumberFormat="1" applyFont="1" applyBorder="1" applyAlignment="1" applyProtection="1">
      <alignment horizontal="right" vertical="top" wrapText="1"/>
      <protection locked="0"/>
    </xf>
    <xf numFmtId="2" fontId="240" fillId="43" borderId="0" xfId="0" applyNumberFormat="1" applyFont="1" applyFill="1" applyBorder="1" applyAlignment="1">
      <alignment horizontal="left" vertical="top" wrapText="1"/>
    </xf>
    <xf numFmtId="2" fontId="240" fillId="43" borderId="13" xfId="0" applyNumberFormat="1" applyFont="1" applyFill="1" applyBorder="1" applyAlignment="1">
      <alignment horizontal="left" vertical="top" wrapText="1"/>
    </xf>
    <xf numFmtId="2" fontId="242" fillId="43" borderId="17" xfId="0" applyNumberFormat="1" applyFont="1" applyFill="1" applyBorder="1" applyAlignment="1">
      <alignment horizontal="left" vertical="top" wrapText="1"/>
    </xf>
    <xf numFmtId="2" fontId="242" fillId="43" borderId="18" xfId="0" applyNumberFormat="1" applyFont="1" applyFill="1" applyBorder="1" applyAlignment="1">
      <alignment horizontal="left" vertical="top" wrapText="1"/>
    </xf>
    <xf numFmtId="4" fontId="90" fillId="34" borderId="85" xfId="0" applyNumberFormat="1" applyFont="1" applyFill="1" applyBorder="1" applyAlignment="1" applyProtection="1">
      <alignment horizontal="right" vertical="top" wrapText="1"/>
      <protection locked="0"/>
    </xf>
    <xf numFmtId="2" fontId="113" fillId="34" borderId="17" xfId="0" applyNumberFormat="1" applyFont="1" applyFill="1" applyBorder="1" applyAlignment="1">
      <alignment horizontal="left" vertical="top" wrapText="1"/>
    </xf>
    <xf numFmtId="2" fontId="113" fillId="34" borderId="18" xfId="0" applyNumberFormat="1" applyFont="1" applyFill="1" applyBorder="1" applyAlignment="1">
      <alignment horizontal="left" vertical="top" wrapText="1"/>
    </xf>
    <xf numFmtId="4" fontId="90" fillId="34" borderId="85" xfId="0" applyNumberFormat="1" applyFont="1" applyFill="1" applyBorder="1" applyAlignment="1" applyProtection="1">
      <alignment horizontal="right" vertical="top" wrapText="1"/>
    </xf>
    <xf numFmtId="2" fontId="90" fillId="34" borderId="0" xfId="0" applyNumberFormat="1" applyFont="1" applyFill="1" applyBorder="1" applyAlignment="1">
      <alignment horizontal="left" vertical="top" wrapText="1"/>
    </xf>
    <xf numFmtId="2" fontId="90" fillId="34" borderId="13" xfId="0" applyNumberFormat="1" applyFont="1" applyFill="1" applyBorder="1" applyAlignment="1">
      <alignment horizontal="left" vertical="top" wrapText="1"/>
    </xf>
    <xf numFmtId="2" fontId="25" fillId="34" borderId="17" xfId="0" applyNumberFormat="1" applyFont="1" applyFill="1" applyBorder="1" applyAlignment="1">
      <alignment horizontal="left" vertical="top" wrapText="1"/>
    </xf>
    <xf numFmtId="2" fontId="25" fillId="34" borderId="18" xfId="0" applyNumberFormat="1" applyFont="1" applyFill="1" applyBorder="1" applyAlignment="1">
      <alignment horizontal="left" vertical="top" wrapText="1"/>
    </xf>
    <xf numFmtId="2" fontId="160" fillId="34" borderId="128" xfId="0" applyNumberFormat="1" applyFont="1" applyFill="1" applyBorder="1" applyAlignment="1">
      <alignment horizontal="left" vertical="top" wrapText="1"/>
    </xf>
    <xf numFmtId="2" fontId="160" fillId="34" borderId="104" xfId="0" applyNumberFormat="1" applyFont="1" applyFill="1" applyBorder="1" applyAlignment="1">
      <alignment horizontal="left" vertical="top" wrapText="1"/>
    </xf>
    <xf numFmtId="2" fontId="244" fillId="34" borderId="17" xfId="0" applyNumberFormat="1" applyFont="1" applyFill="1" applyBorder="1" applyAlignment="1">
      <alignment horizontal="left" vertical="top" wrapText="1"/>
    </xf>
    <xf numFmtId="2" fontId="244" fillId="34" borderId="18" xfId="0" applyNumberFormat="1" applyFont="1" applyFill="1" applyBorder="1" applyAlignment="1">
      <alignment horizontal="left" vertical="top" wrapText="1"/>
    </xf>
    <xf numFmtId="4" fontId="155" fillId="34" borderId="85" xfId="0" applyNumberFormat="1" applyFont="1" applyFill="1" applyBorder="1" applyAlignment="1" applyProtection="1">
      <alignment horizontal="right" vertical="top" wrapText="1"/>
    </xf>
    <xf numFmtId="2" fontId="243" fillId="34" borderId="17" xfId="0" applyNumberFormat="1" applyFont="1" applyFill="1" applyBorder="1" applyAlignment="1">
      <alignment horizontal="left" vertical="top" wrapText="1"/>
    </xf>
    <xf numFmtId="2" fontId="243" fillId="34" borderId="18" xfId="0" applyNumberFormat="1" applyFont="1" applyFill="1" applyBorder="1" applyAlignment="1">
      <alignment horizontal="left" vertical="top" wrapText="1"/>
    </xf>
    <xf numFmtId="2" fontId="240" fillId="24" borderId="0" xfId="0" applyNumberFormat="1" applyFont="1" applyFill="1" applyBorder="1" applyAlignment="1">
      <alignment horizontal="left" vertical="top" wrapText="1"/>
    </xf>
    <xf numFmtId="2" fontId="240" fillId="24" borderId="13" xfId="0" applyNumberFormat="1" applyFont="1" applyFill="1" applyBorder="1" applyAlignment="1">
      <alignment horizontal="left" vertical="top" wrapText="1"/>
    </xf>
    <xf numFmtId="2" fontId="242" fillId="24" borderId="17" xfId="0" applyNumberFormat="1" applyFont="1" applyFill="1" applyBorder="1" applyAlignment="1">
      <alignment horizontal="left" vertical="top" wrapText="1"/>
    </xf>
    <xf numFmtId="2" fontId="242" fillId="24" borderId="18" xfId="0" applyNumberFormat="1" applyFont="1" applyFill="1" applyBorder="1" applyAlignment="1">
      <alignment horizontal="left" vertical="top" wrapText="1"/>
    </xf>
    <xf numFmtId="2" fontId="235" fillId="34" borderId="0" xfId="0" applyNumberFormat="1" applyFont="1" applyFill="1" applyBorder="1" applyAlignment="1">
      <alignment horizontal="left" vertical="top" wrapText="1"/>
    </xf>
    <xf numFmtId="2" fontId="235" fillId="34" borderId="13" xfId="0" applyNumberFormat="1" applyFont="1" applyFill="1" applyBorder="1" applyAlignment="1">
      <alignment horizontal="left" vertical="top" wrapText="1"/>
    </xf>
    <xf numFmtId="2" fontId="251" fillId="34" borderId="17" xfId="0" applyNumberFormat="1" applyFont="1" applyFill="1" applyBorder="1" applyAlignment="1">
      <alignment horizontal="left" vertical="top" wrapText="1"/>
    </xf>
    <xf numFmtId="2" fontId="251" fillId="34" borderId="18" xfId="0" applyNumberFormat="1" applyFont="1" applyFill="1" applyBorder="1" applyAlignment="1">
      <alignment horizontal="left" vertical="top" wrapText="1"/>
    </xf>
    <xf numFmtId="2" fontId="239" fillId="34" borderId="128" xfId="0" applyNumberFormat="1" applyFont="1" applyFill="1" applyBorder="1" applyAlignment="1">
      <alignment horizontal="left" vertical="top" wrapText="1"/>
    </xf>
    <xf numFmtId="2" fontId="235" fillId="34" borderId="128" xfId="0" applyNumberFormat="1" applyFont="1" applyFill="1" applyBorder="1" applyAlignment="1">
      <alignment horizontal="left" vertical="top" wrapText="1"/>
    </xf>
    <xf numFmtId="2" fontId="235" fillId="34" borderId="104" xfId="0" applyNumberFormat="1" applyFont="1" applyFill="1" applyBorder="1" applyAlignment="1">
      <alignment horizontal="left" vertical="top" wrapText="1"/>
    </xf>
    <xf numFmtId="2" fontId="240" fillId="24" borderId="36" xfId="0" applyNumberFormat="1" applyFont="1" applyFill="1" applyBorder="1" applyAlignment="1">
      <alignment horizontal="left" vertical="top" wrapText="1"/>
    </xf>
    <xf numFmtId="2" fontId="242" fillId="24" borderId="0" xfId="0" applyNumberFormat="1" applyFont="1" applyFill="1" applyBorder="1" applyAlignment="1">
      <alignment horizontal="left" vertical="top" wrapText="1"/>
    </xf>
    <xf numFmtId="2" fontId="242" fillId="24" borderId="13" xfId="0" applyNumberFormat="1" applyFont="1" applyFill="1" applyBorder="1" applyAlignment="1">
      <alignment horizontal="left" vertical="top" wrapText="1"/>
    </xf>
    <xf numFmtId="4" fontId="155" fillId="24" borderId="85" xfId="0" applyNumberFormat="1" applyFont="1" applyFill="1" applyBorder="1" applyAlignment="1">
      <alignment horizontal="right" vertical="top" wrapText="1"/>
    </xf>
    <xf numFmtId="2" fontId="252" fillId="24" borderId="93" xfId="0" applyNumberFormat="1" applyFont="1" applyFill="1" applyBorder="1" applyAlignment="1">
      <alignment horizontal="left" vertical="top" wrapText="1"/>
    </xf>
    <xf numFmtId="2" fontId="252" fillId="24" borderId="17" xfId="0" applyNumberFormat="1" applyFont="1" applyFill="1" applyBorder="1" applyAlignment="1">
      <alignment horizontal="left" vertical="top" wrapText="1"/>
    </xf>
    <xf numFmtId="2" fontId="252" fillId="24" borderId="18" xfId="0" applyNumberFormat="1" applyFont="1" applyFill="1" applyBorder="1" applyAlignment="1">
      <alignment horizontal="left" vertical="top" wrapText="1"/>
    </xf>
    <xf numFmtId="2" fontId="242" fillId="24" borderId="93" xfId="0" applyNumberFormat="1" applyFont="1" applyFill="1" applyBorder="1" applyAlignment="1">
      <alignment horizontal="left" vertical="top" wrapText="1"/>
    </xf>
    <xf numFmtId="2" fontId="240" fillId="24" borderId="36" xfId="0" applyNumberFormat="1" applyFont="1" applyFill="1" applyBorder="1" applyAlignment="1">
      <alignment horizontal="left" wrapText="1"/>
    </xf>
    <xf numFmtId="2" fontId="240" fillId="24" borderId="0" xfId="0" applyNumberFormat="1" applyFont="1" applyFill="1" applyBorder="1" applyAlignment="1">
      <alignment horizontal="left" wrapText="1"/>
    </xf>
    <xf numFmtId="2" fontId="240" fillId="24" borderId="13" xfId="0" applyNumberFormat="1" applyFont="1" applyFill="1" applyBorder="1" applyAlignment="1">
      <alignment horizontal="left" wrapText="1"/>
    </xf>
    <xf numFmtId="2" fontId="50" fillId="24" borderId="93" xfId="0" applyNumberFormat="1" applyFont="1" applyFill="1" applyBorder="1" applyAlignment="1">
      <alignment horizontal="left" vertical="top" wrapText="1"/>
    </xf>
    <xf numFmtId="2" fontId="50" fillId="24" borderId="17" xfId="0" applyNumberFormat="1" applyFont="1" applyFill="1" applyBorder="1" applyAlignment="1">
      <alignment horizontal="left" vertical="top" wrapText="1"/>
    </xf>
    <xf numFmtId="2" fontId="50" fillId="24" borderId="18" xfId="0" applyNumberFormat="1" applyFont="1" applyFill="1" applyBorder="1" applyAlignment="1">
      <alignment horizontal="left" vertical="top" wrapText="1"/>
    </xf>
    <xf numFmtId="2" fontId="240" fillId="24" borderId="158" xfId="0" applyNumberFormat="1" applyFont="1" applyFill="1" applyBorder="1" applyAlignment="1">
      <alignment horizontal="left" vertical="top" wrapText="1"/>
    </xf>
    <xf numFmtId="2" fontId="235" fillId="34" borderId="0" xfId="0" applyNumberFormat="1" applyFont="1" applyFill="1" applyBorder="1" applyAlignment="1">
      <alignment horizontal="left" vertical="top"/>
    </xf>
    <xf numFmtId="2" fontId="235" fillId="34" borderId="13" xfId="0" applyNumberFormat="1" applyFont="1" applyFill="1" applyBorder="1" applyAlignment="1">
      <alignment horizontal="left" vertical="top"/>
    </xf>
    <xf numFmtId="2" fontId="240" fillId="24" borderId="102" xfId="0" applyNumberFormat="1" applyFont="1" applyFill="1" applyBorder="1" applyAlignment="1">
      <alignment horizontal="left" vertical="top" wrapText="1"/>
    </xf>
    <xf numFmtId="2" fontId="240" fillId="24" borderId="128" xfId="0" applyNumberFormat="1" applyFont="1" applyFill="1" applyBorder="1" applyAlignment="1">
      <alignment horizontal="left" vertical="top" wrapText="1"/>
    </xf>
    <xf numFmtId="2" fontId="240" fillId="24" borderId="104" xfId="0" applyNumberFormat="1" applyFont="1" applyFill="1" applyBorder="1" applyAlignment="1">
      <alignment horizontal="left" vertical="top" wrapText="1"/>
    </xf>
    <xf numFmtId="2" fontId="95" fillId="24" borderId="93" xfId="0" applyNumberFormat="1" applyFont="1" applyFill="1" applyBorder="1" applyAlignment="1">
      <alignment horizontal="left" vertical="top" wrapText="1"/>
    </xf>
    <xf numFmtId="2" fontId="95" fillId="24" borderId="17" xfId="0" applyNumberFormat="1" applyFont="1" applyFill="1" applyBorder="1" applyAlignment="1">
      <alignment horizontal="left" vertical="top" wrapText="1"/>
    </xf>
    <xf numFmtId="2" fontId="95" fillId="24" borderId="18" xfId="0" applyNumberFormat="1" applyFont="1" applyFill="1" applyBorder="1" applyAlignment="1">
      <alignment horizontal="left" vertical="top" wrapText="1"/>
    </xf>
    <xf numFmtId="2" fontId="155" fillId="24" borderId="93" xfId="0" applyNumberFormat="1" applyFont="1" applyFill="1" applyBorder="1" applyAlignment="1">
      <alignment horizontal="left" vertical="top" wrapText="1"/>
    </xf>
    <xf numFmtId="2" fontId="155" fillId="24" borderId="17" xfId="0" applyNumberFormat="1" applyFont="1" applyFill="1" applyBorder="1" applyAlignment="1">
      <alignment horizontal="left" vertical="top" wrapText="1"/>
    </xf>
    <xf numFmtId="2" fontId="155" fillId="24" borderId="18" xfId="0" applyNumberFormat="1" applyFont="1" applyFill="1" applyBorder="1" applyAlignment="1">
      <alignment horizontal="left" vertical="top" wrapText="1"/>
    </xf>
    <xf numFmtId="4" fontId="253" fillId="0" borderId="85" xfId="0" applyNumberFormat="1" applyFont="1" applyFill="1" applyBorder="1" applyAlignment="1" applyProtection="1">
      <alignment horizontal="right" vertical="top" wrapText="1"/>
      <protection locked="0"/>
    </xf>
    <xf numFmtId="0" fontId="240" fillId="0" borderId="47" xfId="0" applyFont="1" applyBorder="1" applyAlignment="1" applyProtection="1">
      <alignment vertical="center" wrapText="1"/>
      <protection locked="0"/>
    </xf>
    <xf numFmtId="0" fontId="243" fillId="0" borderId="0" xfId="0" applyFont="1" applyAlignment="1" applyProtection="1">
      <alignment horizontal="left" vertical="center" wrapText="1"/>
      <protection locked="0"/>
    </xf>
    <xf numFmtId="0" fontId="261" fillId="0" borderId="0" xfId="0" applyFont="1" applyAlignment="1" applyProtection="1">
      <alignment horizontal="center" wrapText="1"/>
      <protection locked="0"/>
    </xf>
    <xf numFmtId="0" fontId="157" fillId="0" borderId="0" xfId="0" applyFont="1" applyAlignment="1" applyProtection="1">
      <alignment horizontal="center" vertical="top"/>
      <protection locked="0"/>
    </xf>
    <xf numFmtId="0" fontId="23" fillId="0" borderId="0" xfId="0" applyFont="1" applyAlignment="1" applyProtection="1">
      <alignment horizontal="center"/>
      <protection locked="0"/>
    </xf>
    <xf numFmtId="4" fontId="155" fillId="24" borderId="135" xfId="0" applyNumberFormat="1" applyFont="1" applyFill="1" applyBorder="1" applyAlignment="1">
      <alignment horizontal="right" vertical="top" wrapText="1"/>
    </xf>
    <xf numFmtId="2" fontId="242" fillId="24" borderId="235" xfId="0" applyNumberFormat="1" applyFont="1" applyFill="1" applyBorder="1" applyAlignment="1">
      <alignment horizontal="left" vertical="top" wrapText="1"/>
    </xf>
    <xf numFmtId="2" fontId="242" fillId="24" borderId="73" xfId="0" applyNumberFormat="1" applyFont="1" applyFill="1" applyBorder="1" applyAlignment="1">
      <alignment horizontal="left" vertical="top" wrapText="1"/>
    </xf>
    <xf numFmtId="2" fontId="242" fillId="24" borderId="236" xfId="0" applyNumberFormat="1" applyFont="1" applyFill="1" applyBorder="1" applyAlignment="1">
      <alignment horizontal="left" vertical="top" wrapText="1"/>
    </xf>
    <xf numFmtId="0" fontId="111" fillId="0" borderId="286" xfId="0" applyFont="1" applyBorder="1" applyAlignment="1" applyProtection="1">
      <alignment horizontal="right"/>
      <protection locked="0"/>
    </xf>
    <xf numFmtId="0" fontId="111" fillId="0" borderId="144" xfId="0" applyFont="1" applyBorder="1" applyAlignment="1" applyProtection="1">
      <alignment horizontal="right"/>
      <protection locked="0"/>
    </xf>
    <xf numFmtId="4" fontId="111" fillId="0" borderId="286" xfId="0" applyNumberFormat="1" applyFont="1" applyBorder="1" applyAlignment="1" applyProtection="1">
      <alignment horizontal="right"/>
      <protection locked="0"/>
    </xf>
    <xf numFmtId="4" fontId="111" fillId="0" borderId="144" xfId="0" applyNumberFormat="1" applyFont="1" applyBorder="1" applyAlignment="1" applyProtection="1">
      <alignment horizontal="right"/>
      <protection locked="0"/>
    </xf>
    <xf numFmtId="2" fontId="155" fillId="32" borderId="0" xfId="0" applyNumberFormat="1" applyFont="1" applyFill="1" applyAlignment="1" applyProtection="1">
      <alignment horizontal="center" vertical="center"/>
    </xf>
    <xf numFmtId="0" fontId="264" fillId="0" borderId="0" xfId="0" applyFont="1" applyAlignment="1" applyProtection="1">
      <alignment horizontal="center"/>
    </xf>
    <xf numFmtId="0" fontId="265" fillId="0" borderId="0" xfId="0" applyFont="1" applyAlignment="1" applyProtection="1">
      <alignment horizontal="center"/>
    </xf>
    <xf numFmtId="0" fontId="266" fillId="0" borderId="0" xfId="0" applyFont="1" applyAlignment="1" applyProtection="1">
      <alignment horizontal="center"/>
      <protection locked="0"/>
    </xf>
    <xf numFmtId="0" fontId="160" fillId="0" borderId="0" xfId="0" applyFont="1" applyBorder="1" applyAlignment="1" applyProtection="1">
      <alignment horizontal="right"/>
      <protection locked="0"/>
    </xf>
    <xf numFmtId="0" fontId="159" fillId="0" borderId="0" xfId="0" applyFont="1" applyBorder="1" applyAlignment="1" applyProtection="1">
      <alignment horizontal="right"/>
      <protection locked="0"/>
    </xf>
    <xf numFmtId="0" fontId="111" fillId="24" borderId="286" xfId="0" applyFont="1" applyFill="1" applyBorder="1" applyAlignment="1">
      <alignment horizontal="right"/>
    </xf>
    <xf numFmtId="0" fontId="111" fillId="24" borderId="144" xfId="0" applyFont="1" applyFill="1" applyBorder="1" applyAlignment="1">
      <alignment horizontal="right"/>
    </xf>
    <xf numFmtId="4" fontId="111" fillId="24" borderId="286" xfId="0" applyNumberFormat="1" applyFont="1" applyFill="1" applyBorder="1" applyAlignment="1">
      <alignment horizontal="right"/>
    </xf>
    <xf numFmtId="4" fontId="111" fillId="24" borderId="144" xfId="0" applyNumberFormat="1" applyFont="1" applyFill="1" applyBorder="1" applyAlignment="1">
      <alignment horizontal="right"/>
    </xf>
    <xf numFmtId="4" fontId="111" fillId="34" borderId="286" xfId="0" applyNumberFormat="1" applyFont="1" applyFill="1" applyBorder="1" applyAlignment="1">
      <alignment horizontal="right"/>
    </xf>
    <xf numFmtId="4" fontId="111" fillId="34" borderId="144" xfId="0" applyNumberFormat="1" applyFont="1" applyFill="1" applyBorder="1" applyAlignment="1">
      <alignment horizontal="right"/>
    </xf>
    <xf numFmtId="43" fontId="111" fillId="0" borderId="286" xfId="0" applyNumberFormat="1" applyFont="1" applyBorder="1" applyAlignment="1" applyProtection="1">
      <alignment horizontal="right"/>
      <protection locked="0"/>
    </xf>
    <xf numFmtId="43" fontId="111" fillId="0" borderId="144" xfId="0" applyNumberFormat="1" applyFont="1" applyBorder="1" applyAlignment="1" applyProtection="1">
      <alignment horizontal="right"/>
      <protection locked="0"/>
    </xf>
    <xf numFmtId="4" fontId="111" fillId="34" borderId="286" xfId="0" applyNumberFormat="1" applyFont="1" applyFill="1" applyBorder="1" applyAlignment="1">
      <alignment horizontal="center"/>
    </xf>
    <xf numFmtId="4" fontId="111" fillId="34" borderId="144" xfId="0" applyNumberFormat="1" applyFont="1" applyFill="1" applyBorder="1" applyAlignment="1">
      <alignment horizontal="center"/>
    </xf>
    <xf numFmtId="0" fontId="111" fillId="34" borderId="286" xfId="0" applyFont="1" applyFill="1" applyBorder="1" applyAlignment="1" applyProtection="1">
      <alignment horizontal="right"/>
    </xf>
    <xf numFmtId="0" fontId="111" fillId="34" borderId="144" xfId="0" applyFont="1" applyFill="1" applyBorder="1" applyAlignment="1" applyProtection="1">
      <alignment horizontal="right"/>
    </xf>
    <xf numFmtId="43" fontId="111" fillId="34" borderId="286" xfId="0" applyNumberFormat="1" applyFont="1" applyFill="1" applyBorder="1" applyAlignment="1" applyProtection="1">
      <alignment horizontal="right"/>
    </xf>
    <xf numFmtId="4" fontId="111" fillId="0" borderId="0" xfId="0" applyNumberFormat="1" applyFont="1" applyBorder="1" applyAlignment="1" applyProtection="1">
      <alignment horizontal="right"/>
      <protection locked="0"/>
    </xf>
    <xf numFmtId="43" fontId="111" fillId="34" borderId="144" xfId="0" applyNumberFormat="1" applyFont="1" applyFill="1" applyBorder="1" applyAlignment="1" applyProtection="1">
      <alignment horizontal="right"/>
    </xf>
    <xf numFmtId="4" fontId="111" fillId="45" borderId="286" xfId="0" applyNumberFormat="1" applyFont="1" applyFill="1" applyBorder="1" applyAlignment="1">
      <alignment horizontal="right"/>
    </xf>
    <xf numFmtId="4" fontId="111" fillId="45" borderId="144" xfId="0" applyNumberFormat="1" applyFont="1" applyFill="1" applyBorder="1" applyAlignment="1">
      <alignment horizontal="right"/>
    </xf>
    <xf numFmtId="43" fontId="111" fillId="24" borderId="286" xfId="0" applyNumberFormat="1" applyFont="1" applyFill="1" applyBorder="1" applyAlignment="1">
      <alignment horizontal="right"/>
    </xf>
    <xf numFmtId="4" fontId="111" fillId="45" borderId="286" xfId="0" applyNumberFormat="1" applyFont="1" applyFill="1" applyBorder="1" applyAlignment="1">
      <alignment horizontal="center"/>
    </xf>
    <xf numFmtId="4" fontId="111" fillId="45" borderId="144" xfId="0" applyNumberFormat="1" applyFont="1" applyFill="1" applyBorder="1" applyAlignment="1">
      <alignment horizontal="center"/>
    </xf>
    <xf numFmtId="0" fontId="160" fillId="0" borderId="0" xfId="0" applyFont="1" applyBorder="1" applyAlignment="1" applyProtection="1">
      <alignment horizontal="center"/>
      <protection locked="0"/>
    </xf>
    <xf numFmtId="0" fontId="113" fillId="0" borderId="0" xfId="0" applyFont="1" applyBorder="1" applyAlignment="1" applyProtection="1">
      <alignment horizontal="center"/>
      <protection locked="0"/>
    </xf>
    <xf numFmtId="0" fontId="90" fillId="0" borderId="0" xfId="0" applyFont="1" applyBorder="1" applyAlignment="1" applyProtection="1">
      <alignment horizontal="center"/>
      <protection locked="0"/>
    </xf>
    <xf numFmtId="0" fontId="157" fillId="0" borderId="0" xfId="0" applyFont="1" applyBorder="1" applyAlignment="1" applyProtection="1">
      <alignment horizontal="center"/>
      <protection locked="0"/>
    </xf>
    <xf numFmtId="0" fontId="54" fillId="0" borderId="0" xfId="0" applyFont="1" applyAlignment="1" applyProtection="1">
      <alignment horizontal="center"/>
      <protection locked="0"/>
    </xf>
    <xf numFmtId="2" fontId="91" fillId="32" borderId="0" xfId="0" applyNumberFormat="1" applyFont="1" applyFill="1" applyAlignment="1" applyProtection="1">
      <alignment horizontal="center" vertical="center"/>
    </xf>
    <xf numFmtId="0" fontId="170" fillId="0" borderId="0" xfId="0" applyFont="1" applyAlignment="1" applyProtection="1">
      <alignment horizontal="center"/>
    </xf>
    <xf numFmtId="0" fontId="59" fillId="0" borderId="0" xfId="0" applyFont="1" applyAlignment="1" applyProtection="1">
      <alignment horizontal="center"/>
      <protection locked="0"/>
    </xf>
    <xf numFmtId="0" fontId="54" fillId="0" borderId="0" xfId="0" applyFont="1" applyAlignment="1" applyProtection="1">
      <alignment horizontal="left"/>
      <protection locked="0"/>
    </xf>
    <xf numFmtId="0" fontId="28" fillId="26" borderId="29" xfId="0" applyFont="1" applyFill="1" applyBorder="1" applyAlignment="1">
      <alignment horizontal="center" vertical="top" wrapText="1"/>
    </xf>
    <xf numFmtId="0" fontId="28" fillId="26" borderId="41" xfId="0" applyFont="1" applyFill="1" applyBorder="1" applyAlignment="1">
      <alignment horizontal="center" vertical="top" wrapText="1"/>
    </xf>
    <xf numFmtId="0" fontId="28" fillId="26" borderId="43" xfId="0" applyFont="1" applyFill="1" applyBorder="1" applyAlignment="1">
      <alignment horizontal="center" vertical="top" wrapText="1"/>
    </xf>
    <xf numFmtId="0" fontId="48" fillId="35" borderId="74" xfId="0" applyFont="1" applyFill="1" applyBorder="1" applyAlignment="1">
      <alignment horizontal="left" vertical="top" wrapText="1"/>
    </xf>
    <xf numFmtId="0" fontId="48" fillId="35" borderId="40" xfId="0" applyFont="1" applyFill="1" applyBorder="1" applyAlignment="1">
      <alignment horizontal="left" vertical="top" wrapText="1"/>
    </xf>
    <xf numFmtId="0" fontId="35" fillId="34" borderId="17" xfId="0" applyFont="1" applyFill="1" applyBorder="1" applyAlignment="1">
      <alignment horizontal="left" vertical="top" wrapText="1"/>
    </xf>
    <xf numFmtId="0" fontId="35" fillId="34" borderId="18" xfId="0" applyFont="1" applyFill="1" applyBorder="1" applyAlignment="1">
      <alignment horizontal="left" vertical="top" wrapText="1"/>
    </xf>
    <xf numFmtId="0" fontId="35" fillId="34" borderId="74" xfId="0" applyFont="1" applyFill="1" applyBorder="1" applyAlignment="1">
      <alignment horizontal="left" vertical="top" wrapText="1"/>
    </xf>
    <xf numFmtId="0" fontId="35" fillId="34" borderId="40" xfId="0" applyFont="1" applyFill="1" applyBorder="1" applyAlignment="1">
      <alignment horizontal="left" vertical="top" wrapText="1"/>
    </xf>
    <xf numFmtId="0" fontId="35" fillId="35" borderId="40" xfId="0" applyFont="1" applyFill="1" applyBorder="1" applyAlignment="1">
      <alignment horizontal="left" vertical="top" wrapText="1"/>
    </xf>
    <xf numFmtId="0" fontId="73" fillId="0" borderId="0" xfId="0" applyFont="1" applyAlignment="1" applyProtection="1">
      <alignment horizontal="center" wrapText="1"/>
      <protection locked="0"/>
    </xf>
    <xf numFmtId="0" fontId="97" fillId="0" borderId="0" xfId="0" applyFont="1" applyBorder="1" applyAlignment="1" applyProtection="1">
      <alignment horizontal="left" vertical="center" wrapText="1"/>
      <protection locked="0"/>
    </xf>
    <xf numFmtId="0" fontId="35" fillId="26" borderId="57" xfId="0" applyFont="1" applyFill="1" applyBorder="1" applyAlignment="1">
      <alignment vertical="top" wrapText="1"/>
    </xf>
    <xf numFmtId="0" fontId="0" fillId="26" borderId="57" xfId="0" applyFill="1" applyBorder="1" applyAlignment="1">
      <alignment vertical="top" wrapText="1"/>
    </xf>
    <xf numFmtId="0" fontId="0" fillId="26" borderId="125" xfId="0" applyFill="1" applyBorder="1" applyAlignment="1">
      <alignment vertical="top" wrapText="1"/>
    </xf>
    <xf numFmtId="0" fontId="71" fillId="35" borderId="231" xfId="0" applyFont="1" applyFill="1" applyBorder="1" applyAlignment="1">
      <alignment horizontal="center" vertical="center" wrapText="1"/>
    </xf>
    <xf numFmtId="0" fontId="71" fillId="35" borderId="129" xfId="0" applyFont="1" applyFill="1" applyBorder="1" applyAlignment="1">
      <alignment horizontal="center" vertical="center" wrapText="1"/>
    </xf>
    <xf numFmtId="0" fontId="71" fillId="35" borderId="129" xfId="0" applyFont="1" applyFill="1" applyBorder="1" applyAlignment="1">
      <alignment horizontal="center" vertical="center"/>
    </xf>
    <xf numFmtId="0" fontId="43" fillId="0" borderId="0" xfId="0" applyFont="1" applyBorder="1" applyAlignment="1" applyProtection="1">
      <alignment horizontal="left" vertical="center"/>
      <protection locked="0"/>
    </xf>
    <xf numFmtId="0" fontId="92" fillId="0" borderId="0" xfId="0" applyFont="1" applyBorder="1" applyAlignment="1" applyProtection="1">
      <alignment horizontal="left"/>
      <protection locked="0"/>
    </xf>
    <xf numFmtId="0" fontId="35" fillId="27" borderId="41" xfId="0" applyFont="1" applyFill="1" applyBorder="1" applyAlignment="1">
      <alignment horizontal="left" vertical="top" wrapText="1"/>
    </xf>
    <xf numFmtId="0" fontId="35" fillId="27" borderId="43" xfId="0" applyFont="1" applyFill="1" applyBorder="1" applyAlignment="1">
      <alignment horizontal="left" vertical="top" wrapText="1"/>
    </xf>
    <xf numFmtId="0" fontId="48" fillId="34" borderId="128" xfId="0" applyFont="1" applyFill="1" applyBorder="1" applyAlignment="1">
      <alignment horizontal="left" vertical="top" wrapText="1"/>
    </xf>
    <xf numFmtId="0" fontId="48" fillId="34" borderId="104" xfId="0" applyFont="1" applyFill="1" applyBorder="1" applyAlignment="1">
      <alignment horizontal="left" vertical="top" wrapText="1"/>
    </xf>
    <xf numFmtId="0" fontId="98" fillId="0" borderId="0" xfId="0" applyFont="1" applyAlignment="1" applyProtection="1">
      <alignment horizontal="center" vertical="center"/>
      <protection locked="0"/>
    </xf>
    <xf numFmtId="0" fontId="99" fillId="0" borderId="0" xfId="0" applyFont="1" applyAlignment="1" applyProtection="1">
      <alignment horizontal="center" vertical="center"/>
    </xf>
    <xf numFmtId="0" fontId="100" fillId="0" borderId="0" xfId="0" applyFont="1" applyAlignment="1" applyProtection="1">
      <alignment horizontal="center" vertical="center" wrapText="1"/>
    </xf>
    <xf numFmtId="0" fontId="100" fillId="0" borderId="0" xfId="0" applyFont="1" applyAlignment="1" applyProtection="1">
      <alignment horizontal="center" vertical="center"/>
    </xf>
    <xf numFmtId="0" fontId="69" fillId="0" borderId="0" xfId="0" applyFont="1" applyAlignment="1" applyProtection="1">
      <alignment horizontal="center" vertical="center"/>
      <protection locked="0"/>
    </xf>
    <xf numFmtId="0" fontId="104" fillId="0" borderId="0" xfId="0" applyFont="1" applyBorder="1" applyAlignment="1" applyProtection="1">
      <alignment horizontal="left" vertical="center" wrapText="1"/>
      <protection locked="0"/>
    </xf>
    <xf numFmtId="0" fontId="28" fillId="27" borderId="232" xfId="0" applyFont="1" applyFill="1" applyBorder="1" applyAlignment="1">
      <alignment horizontal="center" vertical="top" wrapText="1"/>
    </xf>
    <xf numFmtId="0" fontId="28" fillId="27" borderId="30" xfId="0" applyFont="1" applyFill="1" applyBorder="1" applyAlignment="1">
      <alignment horizontal="center" vertical="top" wrapText="1"/>
    </xf>
    <xf numFmtId="0" fontId="48" fillId="35" borderId="128" xfId="0" applyFont="1" applyFill="1" applyBorder="1" applyAlignment="1">
      <alignment horizontal="left" vertical="top" wrapText="1"/>
    </xf>
    <xf numFmtId="0" fontId="48" fillId="35" borderId="104" xfId="0" applyFont="1" applyFill="1" applyBorder="1" applyAlignment="1">
      <alignment horizontal="left" vertical="top" wrapText="1"/>
    </xf>
    <xf numFmtId="0" fontId="105" fillId="0" borderId="0" xfId="0" applyFont="1" applyAlignment="1" applyProtection="1">
      <alignment horizontal="left" vertical="center"/>
      <protection locked="0"/>
    </xf>
    <xf numFmtId="0" fontId="92" fillId="0" borderId="0" xfId="0" applyFont="1" applyAlignment="1" applyProtection="1">
      <alignment horizontal="left" vertical="center"/>
      <protection locked="0"/>
    </xf>
    <xf numFmtId="0" fontId="35" fillId="25" borderId="25" xfId="0" applyFont="1" applyFill="1" applyBorder="1" applyAlignment="1">
      <alignment horizontal="left" vertical="top" wrapText="1"/>
    </xf>
    <xf numFmtId="0" fontId="35" fillId="25" borderId="57" xfId="0" applyFont="1" applyFill="1" applyBorder="1" applyAlignment="1">
      <alignment horizontal="left" vertical="top" wrapText="1"/>
    </xf>
    <xf numFmtId="0" fontId="35" fillId="25" borderId="125" xfId="0" applyFont="1" applyFill="1" applyBorder="1" applyAlignment="1">
      <alignment horizontal="left" vertical="top" wrapText="1"/>
    </xf>
    <xf numFmtId="0" fontId="35" fillId="24" borderId="77" xfId="0" applyFont="1" applyFill="1" applyBorder="1" applyAlignment="1">
      <alignment horizontal="center" vertical="top" wrapText="1"/>
    </xf>
    <xf numFmtId="0" fontId="35" fillId="24" borderId="227" xfId="0" applyFont="1" applyFill="1" applyBorder="1" applyAlignment="1">
      <alignment horizontal="center" vertical="top" wrapText="1"/>
    </xf>
    <xf numFmtId="0" fontId="35" fillId="24" borderId="78" xfId="0" applyFont="1" applyFill="1" applyBorder="1" applyAlignment="1">
      <alignment horizontal="center" vertical="top" wrapText="1"/>
    </xf>
    <xf numFmtId="0" fontId="28" fillId="35" borderId="0" xfId="0" applyFont="1" applyFill="1" applyBorder="1" applyAlignment="1" applyProtection="1">
      <alignment horizontal="left" vertical="center" wrapText="1"/>
      <protection locked="0"/>
    </xf>
    <xf numFmtId="0" fontId="113" fillId="0" borderId="0" xfId="0" applyFont="1" applyAlignment="1" applyProtection="1">
      <alignment horizontal="center" vertical="center"/>
      <protection locked="0"/>
    </xf>
    <xf numFmtId="0" fontId="106" fillId="0" borderId="0" xfId="42" applyFont="1" applyAlignment="1" applyProtection="1">
      <alignment horizontal="center" vertical="center"/>
    </xf>
    <xf numFmtId="0" fontId="107" fillId="0" borderId="0" xfId="42" applyFont="1" applyAlignment="1" applyProtection="1">
      <alignment horizontal="center" vertical="center"/>
    </xf>
    <xf numFmtId="0" fontId="108" fillId="0" borderId="0" xfId="42" applyFont="1" applyAlignment="1" applyProtection="1">
      <alignment horizontal="center" vertical="center" wrapText="1"/>
    </xf>
    <xf numFmtId="0" fontId="110" fillId="0" borderId="0" xfId="0" applyFont="1" applyBorder="1" applyAlignment="1" applyProtection="1">
      <alignment horizontal="center" vertical="center" wrapText="1"/>
      <protection locked="0"/>
    </xf>
    <xf numFmtId="0" fontId="111" fillId="0" borderId="0" xfId="42" applyFont="1" applyAlignment="1" applyProtection="1">
      <alignment horizontal="center" vertical="center" wrapText="1"/>
      <protection locked="0"/>
    </xf>
    <xf numFmtId="0" fontId="110" fillId="34" borderId="216" xfId="0" applyFont="1" applyFill="1" applyBorder="1" applyAlignment="1">
      <alignment horizontal="center" vertical="center" wrapText="1"/>
    </xf>
    <xf numFmtId="0" fontId="110" fillId="34" borderId="245" xfId="0" applyFont="1" applyFill="1" applyBorder="1" applyAlignment="1">
      <alignment horizontal="center" vertical="center" wrapText="1"/>
    </xf>
    <xf numFmtId="0" fontId="110" fillId="34" borderId="137" xfId="0" applyFont="1" applyFill="1" applyBorder="1" applyAlignment="1">
      <alignment horizontal="center" vertical="center" wrapText="1"/>
    </xf>
    <xf numFmtId="0" fontId="47" fillId="0" borderId="0" xfId="0" applyFont="1" applyBorder="1" applyAlignment="1" applyProtection="1">
      <alignment horizontal="left" vertical="center" wrapText="1"/>
      <protection locked="0"/>
    </xf>
    <xf numFmtId="0" fontId="47" fillId="0" borderId="0" xfId="0" applyFont="1" applyAlignment="1" applyProtection="1">
      <alignment horizontal="center" vertical="center"/>
      <protection locked="0"/>
    </xf>
    <xf numFmtId="0" fontId="116" fillId="0" borderId="0" xfId="0" applyFont="1" applyAlignment="1" applyProtection="1">
      <alignment horizontal="center" vertical="center"/>
      <protection locked="0"/>
    </xf>
    <xf numFmtId="0" fontId="110" fillId="34" borderId="53" xfId="0" applyFont="1" applyFill="1" applyBorder="1" applyAlignment="1">
      <alignment horizontal="center" vertical="center" wrapText="1"/>
    </xf>
    <xf numFmtId="0" fontId="110" fillId="34" borderId="69" xfId="0" applyFont="1" applyFill="1" applyBorder="1" applyAlignment="1">
      <alignment horizontal="center" vertical="center" wrapText="1"/>
    </xf>
    <xf numFmtId="0" fontId="110" fillId="34" borderId="234" xfId="0" applyFont="1" applyFill="1" applyBorder="1" applyAlignment="1">
      <alignment horizontal="center" vertical="center" wrapText="1"/>
    </xf>
    <xf numFmtId="0" fontId="99" fillId="0" borderId="0" xfId="0" applyFont="1" applyAlignment="1" applyProtection="1">
      <alignment horizontal="center" vertical="center"/>
      <protection locked="0"/>
    </xf>
    <xf numFmtId="0" fontId="110" fillId="34" borderId="32" xfId="0" applyFont="1" applyFill="1" applyBorder="1" applyAlignment="1">
      <alignment horizontal="center" vertical="center" wrapText="1"/>
    </xf>
    <xf numFmtId="0" fontId="110" fillId="34" borderId="14" xfId="0" applyFont="1" applyFill="1" applyBorder="1" applyAlignment="1">
      <alignment horizontal="center" vertical="center" wrapText="1"/>
    </xf>
    <xf numFmtId="0" fontId="110" fillId="34" borderId="113" xfId="0" applyFont="1" applyFill="1" applyBorder="1" applyAlignment="1">
      <alignment horizontal="center" vertical="center" wrapText="1"/>
    </xf>
    <xf numFmtId="0" fontId="110" fillId="34" borderId="134" xfId="0" applyFont="1" applyFill="1" applyBorder="1" applyAlignment="1">
      <alignment horizontal="center" vertical="center" wrapText="1"/>
    </xf>
    <xf numFmtId="0" fontId="110" fillId="34" borderId="15" xfId="0" applyFont="1" applyFill="1" applyBorder="1" applyAlignment="1">
      <alignment horizontal="center" vertical="center" wrapText="1"/>
    </xf>
    <xf numFmtId="0" fontId="110" fillId="34" borderId="139" xfId="0" applyFont="1" applyFill="1" applyBorder="1" applyAlignment="1">
      <alignment horizontal="center" vertical="center" wrapText="1"/>
    </xf>
    <xf numFmtId="0" fontId="95" fillId="35" borderId="0" xfId="0" applyFont="1" applyFill="1" applyAlignment="1" applyProtection="1">
      <alignment horizontal="left" vertical="center"/>
      <protection locked="0"/>
    </xf>
    <xf numFmtId="0" fontId="112" fillId="0" borderId="0" xfId="0" applyFont="1" applyBorder="1" applyAlignment="1" applyProtection="1">
      <alignment horizontal="left" vertical="center" wrapText="1"/>
      <protection locked="0"/>
    </xf>
    <xf numFmtId="0" fontId="115" fillId="34" borderId="29" xfId="42" applyFont="1" applyFill="1" applyBorder="1" applyAlignment="1">
      <alignment horizontal="center" vertical="center" wrapText="1"/>
    </xf>
    <xf numFmtId="0" fontId="115" fillId="34" borderId="43" xfId="42" applyFont="1" applyFill="1" applyBorder="1" applyAlignment="1">
      <alignment horizontal="center" vertical="center" wrapText="1"/>
    </xf>
    <xf numFmtId="0" fontId="112" fillId="34" borderId="235" xfId="0" applyFont="1" applyFill="1" applyBorder="1" applyAlignment="1">
      <alignment horizontal="center" vertical="center" wrapText="1"/>
    </xf>
    <xf numFmtId="0" fontId="112" fillId="34" borderId="73" xfId="0" applyFont="1" applyFill="1" applyBorder="1" applyAlignment="1">
      <alignment horizontal="center" vertical="center" wrapText="1"/>
    </xf>
    <xf numFmtId="0" fontId="112" fillId="34" borderId="236" xfId="0" applyFont="1" applyFill="1" applyBorder="1" applyAlignment="1">
      <alignment horizontal="center" vertical="center" wrapText="1"/>
    </xf>
    <xf numFmtId="0" fontId="110" fillId="34" borderId="46" xfId="0" applyFont="1" applyFill="1" applyBorder="1" applyAlignment="1">
      <alignment horizontal="center" vertical="center" wrapText="1"/>
    </xf>
    <xf numFmtId="0" fontId="1" fillId="0" borderId="0" xfId="42" applyFont="1" applyFill="1" applyAlignment="1" applyProtection="1">
      <alignment horizontal="center" vertical="center"/>
      <protection locked="0"/>
    </xf>
    <xf numFmtId="0" fontId="1" fillId="0" borderId="0" xfId="42" applyFont="1" applyAlignment="1" applyProtection="1">
      <alignment horizontal="center"/>
      <protection locked="0"/>
    </xf>
    <xf numFmtId="0" fontId="23" fillId="27" borderId="48" xfId="42" applyFont="1" applyFill="1" applyBorder="1" applyAlignment="1">
      <alignment horizontal="center"/>
    </xf>
    <xf numFmtId="0" fontId="23" fillId="27" borderId="49" xfId="42" applyFont="1" applyFill="1" applyBorder="1" applyAlignment="1">
      <alignment horizontal="center"/>
    </xf>
    <xf numFmtId="0" fontId="23" fillId="27" borderId="233" xfId="42" applyFont="1" applyFill="1" applyBorder="1" applyAlignment="1">
      <alignment horizontal="center"/>
    </xf>
    <xf numFmtId="0" fontId="47" fillId="0" borderId="0" xfId="42" applyFont="1" applyAlignment="1" applyProtection="1">
      <alignment horizontal="center"/>
      <protection locked="0"/>
    </xf>
    <xf numFmtId="0" fontId="119" fillId="0" borderId="0" xfId="42" applyFont="1" applyAlignment="1" applyProtection="1">
      <alignment horizontal="center" vertical="center"/>
    </xf>
    <xf numFmtId="0" fontId="108" fillId="0" borderId="0" xfId="42" applyFont="1" applyAlignment="1" applyProtection="1">
      <alignment horizontal="center"/>
    </xf>
    <xf numFmtId="0" fontId="73" fillId="0" borderId="0" xfId="42" applyFont="1" applyAlignment="1" applyProtection="1">
      <alignment horizontal="center" vertical="top"/>
      <protection locked="0"/>
    </xf>
    <xf numFmtId="43" fontId="87" fillId="0" borderId="296" xfId="29" applyFont="1" applyBorder="1" applyAlignment="1" applyProtection="1">
      <alignment horizontal="center" vertical="center"/>
      <protection locked="0"/>
    </xf>
    <xf numFmtId="43" fontId="87" fillId="0" borderId="297" xfId="29" applyFont="1" applyBorder="1" applyAlignment="1" applyProtection="1">
      <alignment horizontal="center" vertical="center"/>
      <protection locked="0"/>
    </xf>
    <xf numFmtId="0" fontId="88" fillId="0" borderId="0" xfId="0" applyFont="1" applyAlignment="1" applyProtection="1">
      <alignment horizontal="center" vertical="center"/>
    </xf>
    <xf numFmtId="0" fontId="108" fillId="0" borderId="0" xfId="0" applyFont="1" applyAlignment="1" applyProtection="1">
      <alignment horizontal="center"/>
    </xf>
    <xf numFmtId="0" fontId="73" fillId="0" borderId="0" xfId="0" applyFont="1" applyAlignment="1" applyProtection="1">
      <alignment horizontal="center" vertical="top"/>
      <protection locked="0"/>
    </xf>
    <xf numFmtId="0" fontId="47"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34" borderId="234" xfId="0" applyFont="1" applyFill="1" applyBorder="1" applyAlignment="1">
      <alignment horizontal="center" vertical="center"/>
    </xf>
    <xf numFmtId="0" fontId="22" fillId="34" borderId="32" xfId="0" applyFont="1" applyFill="1" applyBorder="1" applyAlignment="1">
      <alignment horizontal="center" vertical="center"/>
    </xf>
    <xf numFmtId="0" fontId="23" fillId="34" borderId="36" xfId="0" applyFont="1" applyFill="1" applyBorder="1" applyAlignment="1">
      <alignment horizontal="center" vertical="center" wrapText="1"/>
    </xf>
    <xf numFmtId="0" fontId="22" fillId="34" borderId="69" xfId="0" applyFont="1" applyFill="1" applyBorder="1" applyAlignment="1">
      <alignment horizontal="center" vertical="center" wrapText="1"/>
    </xf>
    <xf numFmtId="0" fontId="22" fillId="34" borderId="234" xfId="0" applyFont="1" applyFill="1" applyBorder="1" applyAlignment="1">
      <alignment horizontal="center" vertical="center" wrapText="1"/>
    </xf>
    <xf numFmtId="0" fontId="0" fillId="34" borderId="272" xfId="0" applyFill="1" applyBorder="1" applyAlignment="1">
      <alignment horizontal="center" vertical="center"/>
    </xf>
    <xf numFmtId="0" fontId="0" fillId="34" borderId="273" xfId="0" applyFill="1" applyBorder="1" applyAlignment="1">
      <alignment horizontal="center" vertical="center"/>
    </xf>
    <xf numFmtId="0" fontId="23" fillId="30" borderId="29" xfId="0" applyFont="1" applyFill="1" applyBorder="1" applyAlignment="1">
      <alignment horizontal="center" vertical="center"/>
    </xf>
    <xf numFmtId="0" fontId="23" fillId="30" borderId="41" xfId="0" applyFont="1" applyFill="1" applyBorder="1" applyAlignment="1">
      <alignment horizontal="center" vertical="center"/>
    </xf>
    <xf numFmtId="0" fontId="23" fillId="30" borderId="43" xfId="0" applyFont="1" applyFill="1" applyBorder="1" applyAlignment="1">
      <alignment horizontal="center" vertical="center"/>
    </xf>
    <xf numFmtId="0" fontId="23" fillId="29" borderId="48" xfId="0" applyFont="1" applyFill="1" applyBorder="1" applyAlignment="1">
      <alignment horizontal="left" vertical="center"/>
    </xf>
    <xf numFmtId="0" fontId="23" fillId="29" borderId="49" xfId="0" applyFont="1" applyFill="1" applyBorder="1" applyAlignment="1">
      <alignment horizontal="left" vertical="center"/>
    </xf>
    <xf numFmtId="0" fontId="23" fillId="29" borderId="233" xfId="0" applyFont="1" applyFill="1" applyBorder="1" applyAlignment="1">
      <alignment horizontal="left" vertical="center"/>
    </xf>
    <xf numFmtId="0" fontId="0" fillId="34" borderId="275" xfId="0" applyFill="1" applyBorder="1" applyAlignment="1">
      <alignment horizontal="center" vertical="center"/>
    </xf>
    <xf numFmtId="0" fontId="0" fillId="34" borderId="276" xfId="0" applyFill="1" applyBorder="1" applyAlignment="1">
      <alignment horizontal="center" vertical="center"/>
    </xf>
    <xf numFmtId="0" fontId="0" fillId="34" borderId="277" xfId="0" applyFill="1" applyBorder="1" applyAlignment="1">
      <alignment horizontal="center" vertical="center"/>
    </xf>
    <xf numFmtId="0" fontId="0" fillId="0" borderId="0" xfId="0" applyAlignment="1" applyProtection="1">
      <alignment horizontal="center"/>
      <protection locked="0"/>
    </xf>
    <xf numFmtId="0" fontId="37" fillId="0" borderId="0" xfId="44" applyFont="1" applyAlignment="1">
      <alignment horizontal="center" wrapText="1"/>
    </xf>
    <xf numFmtId="0" fontId="40" fillId="0" borderId="0" xfId="44" applyFont="1" applyFill="1" applyBorder="1" applyAlignment="1" applyProtection="1">
      <alignment horizontal="center" vertical="center" wrapText="1"/>
      <protection locked="0"/>
    </xf>
    <xf numFmtId="0" fontId="37" fillId="0" borderId="0" xfId="44" applyFont="1" applyAlignment="1" applyProtection="1">
      <alignment horizontal="center" wrapText="1"/>
      <protection locked="0"/>
    </xf>
    <xf numFmtId="0" fontId="40" fillId="0" borderId="0" xfId="44" applyFont="1" applyAlignment="1">
      <alignment horizontal="center" vertical="center" wrapText="1"/>
    </xf>
    <xf numFmtId="0" fontId="40" fillId="34" borderId="134" xfId="44" applyFont="1" applyFill="1" applyBorder="1" applyAlignment="1">
      <alignment horizontal="center" vertical="center" wrapText="1"/>
    </xf>
    <xf numFmtId="0" fontId="40" fillId="34" borderId="15" xfId="44" applyFont="1" applyFill="1" applyBorder="1" applyAlignment="1">
      <alignment horizontal="center" vertical="center" wrapText="1"/>
    </xf>
    <xf numFmtId="0" fontId="40" fillId="34" borderId="139" xfId="44" applyFont="1" applyFill="1" applyBorder="1" applyAlignment="1">
      <alignment horizontal="center" vertical="center" wrapText="1"/>
    </xf>
    <xf numFmtId="0" fontId="40" fillId="34" borderId="32" xfId="44" applyFont="1" applyFill="1" applyBorder="1" applyAlignment="1">
      <alignment horizontal="center" vertical="center" wrapText="1"/>
    </xf>
    <xf numFmtId="0" fontId="40" fillId="34" borderId="14" xfId="44" applyFont="1" applyFill="1" applyBorder="1" applyAlignment="1">
      <alignment horizontal="center" vertical="center" wrapText="1"/>
    </xf>
    <xf numFmtId="0" fontId="40" fillId="34" borderId="113" xfId="44" applyFont="1" applyFill="1" applyBorder="1" applyAlignment="1">
      <alignment horizontal="center" vertical="center" wrapText="1"/>
    </xf>
    <xf numFmtId="4" fontId="40" fillId="34" borderId="239" xfId="44" applyNumberFormat="1" applyFont="1" applyFill="1" applyBorder="1" applyAlignment="1">
      <alignment horizontal="center" vertical="center" wrapText="1"/>
    </xf>
    <xf numFmtId="4" fontId="40" fillId="34" borderId="240" xfId="44" applyNumberFormat="1" applyFont="1" applyFill="1" applyBorder="1" applyAlignment="1">
      <alignment horizontal="center" vertical="center" wrapText="1"/>
    </xf>
    <xf numFmtId="4" fontId="40" fillId="34" borderId="46" xfId="44" applyNumberFormat="1" applyFont="1" applyFill="1" applyBorder="1" applyAlignment="1">
      <alignment horizontal="center" vertical="top" wrapText="1"/>
    </xf>
    <xf numFmtId="4" fontId="40" fillId="34" borderId="113" xfId="44" applyNumberFormat="1" applyFont="1" applyFill="1" applyBorder="1" applyAlignment="1">
      <alignment horizontal="center" vertical="top" wrapText="1"/>
    </xf>
    <xf numFmtId="0" fontId="1" fillId="0" borderId="0" xfId="44" applyFont="1" applyAlignment="1" applyProtection="1">
      <alignment horizontal="center"/>
      <protection locked="0"/>
    </xf>
    <xf numFmtId="0" fontId="47" fillId="0" borderId="0" xfId="44" applyFont="1" applyAlignment="1" applyProtection="1">
      <alignment horizontal="center" vertical="top"/>
      <protection locked="0"/>
    </xf>
    <xf numFmtId="0" fontId="40" fillId="34" borderId="216" xfId="44" applyFont="1" applyFill="1" applyBorder="1" applyAlignment="1">
      <alignment horizontal="center" vertical="center" wrapText="1"/>
    </xf>
    <xf numFmtId="0" fontId="40" fillId="34" borderId="245" xfId="44" applyFont="1" applyFill="1" applyBorder="1" applyAlignment="1">
      <alignment horizontal="center" vertical="center" wrapText="1"/>
    </xf>
    <xf numFmtId="0" fontId="40" fillId="34" borderId="137" xfId="44" applyFont="1" applyFill="1" applyBorder="1" applyAlignment="1">
      <alignment horizontal="center" vertical="center" wrapText="1"/>
    </xf>
    <xf numFmtId="0" fontId="0" fillId="0" borderId="14" xfId="0" applyBorder="1"/>
    <xf numFmtId="0" fontId="0" fillId="0" borderId="113" xfId="0" applyBorder="1"/>
    <xf numFmtId="43" fontId="40" fillId="39" borderId="59" xfId="44" applyNumberFormat="1" applyFont="1" applyFill="1" applyBorder="1" applyAlignment="1">
      <alignment horizontal="center" wrapText="1"/>
    </xf>
    <xf numFmtId="43" fontId="40" fillId="39" borderId="43" xfId="44" applyNumberFormat="1" applyFont="1" applyFill="1" applyBorder="1" applyAlignment="1">
      <alignment horizontal="center" wrapText="1"/>
    </xf>
    <xf numFmtId="43" fontId="44" fillId="39" borderId="59" xfId="44" applyNumberFormat="1" applyFont="1" applyFill="1" applyBorder="1" applyAlignment="1">
      <alignment horizontal="center" vertical="center" wrapText="1"/>
    </xf>
    <xf numFmtId="43" fontId="44" fillId="39" borderId="43" xfId="44" applyNumberFormat="1" applyFont="1" applyFill="1" applyBorder="1" applyAlignment="1">
      <alignment horizontal="center" vertical="center" wrapText="1"/>
    </xf>
    <xf numFmtId="0" fontId="40" fillId="34" borderId="53" xfId="44" applyFont="1" applyFill="1" applyBorder="1" applyAlignment="1">
      <alignment horizontal="center" vertical="center" wrapText="1"/>
    </xf>
    <xf numFmtId="0" fontId="40" fillId="34" borderId="234" xfId="44" applyFont="1" applyFill="1" applyBorder="1" applyAlignment="1">
      <alignment horizontal="center" vertical="center" wrapText="1"/>
    </xf>
    <xf numFmtId="0" fontId="40" fillId="34" borderId="36" xfId="44" applyFont="1" applyFill="1" applyBorder="1" applyAlignment="1">
      <alignment horizontal="center" vertical="center" wrapText="1"/>
    </xf>
    <xf numFmtId="0" fontId="40" fillId="34" borderId="13" xfId="44" applyFont="1" applyFill="1" applyBorder="1" applyAlignment="1">
      <alignment horizontal="center" vertical="center" wrapText="1"/>
    </xf>
    <xf numFmtId="0" fontId="40" fillId="34" borderId="235" xfId="44" applyFont="1" applyFill="1" applyBorder="1" applyAlignment="1">
      <alignment horizontal="center" vertical="center" wrapText="1"/>
    </xf>
    <xf numFmtId="0" fontId="40" fillId="34" borderId="236" xfId="44" applyFont="1" applyFill="1" applyBorder="1" applyAlignment="1">
      <alignment horizontal="center" vertical="center" wrapText="1"/>
    </xf>
    <xf numFmtId="0" fontId="40" fillId="0" borderId="59" xfId="44" applyFont="1" applyBorder="1" applyAlignment="1" applyProtection="1">
      <alignment horizontal="center" vertical="center" wrapText="1"/>
      <protection locked="0"/>
    </xf>
    <xf numFmtId="0" fontId="40" fillId="0" borderId="43" xfId="44" applyFont="1" applyBorder="1" applyAlignment="1" applyProtection="1">
      <alignment horizontal="center" vertical="center" wrapText="1"/>
      <protection locked="0"/>
    </xf>
    <xf numFmtId="43" fontId="40" fillId="0" borderId="59" xfId="44" applyNumberFormat="1" applyFont="1" applyBorder="1" applyAlignment="1" applyProtection="1">
      <alignment horizontal="center"/>
      <protection locked="0"/>
    </xf>
    <xf numFmtId="43" fontId="40" fillId="0" borderId="43" xfId="44" applyNumberFormat="1" applyFont="1" applyBorder="1" applyAlignment="1" applyProtection="1">
      <alignment horizontal="center"/>
      <protection locked="0"/>
    </xf>
    <xf numFmtId="0" fontId="37" fillId="0" borderId="0" xfId="44" applyFont="1" applyAlignment="1" applyProtection="1">
      <alignment horizontal="center" wrapText="1"/>
    </xf>
    <xf numFmtId="0" fontId="40" fillId="0" borderId="0" xfId="44" applyFont="1" applyAlignment="1" applyProtection="1">
      <alignment horizontal="center" vertical="center" wrapText="1"/>
      <protection locked="0"/>
    </xf>
    <xf numFmtId="0" fontId="40" fillId="0" borderId="0" xfId="44" applyFont="1" applyAlignment="1" applyProtection="1">
      <alignment horizontal="center" vertical="center"/>
      <protection locked="0"/>
    </xf>
    <xf numFmtId="0" fontId="39" fillId="0" borderId="0" xfId="44" applyFont="1" applyAlignment="1" applyProtection="1">
      <alignment horizontal="center" vertical="center" wrapText="1"/>
    </xf>
    <xf numFmtId="0" fontId="38" fillId="0" borderId="0" xfId="44" applyFont="1" applyAlignment="1" applyProtection="1">
      <alignment horizontal="center" vertical="center" wrapText="1"/>
    </xf>
    <xf numFmtId="0" fontId="44" fillId="0" borderId="0" xfId="44" applyFont="1" applyAlignment="1" applyProtection="1">
      <alignment horizontal="center" vertical="top" wrapText="1"/>
      <protection locked="0"/>
    </xf>
    <xf numFmtId="4" fontId="40" fillId="34" borderId="32" xfId="44" applyNumberFormat="1" applyFont="1" applyFill="1" applyBorder="1" applyAlignment="1">
      <alignment horizontal="center" vertical="center" wrapText="1"/>
    </xf>
    <xf numFmtId="4" fontId="40" fillId="34" borderId="113" xfId="44" applyNumberFormat="1" applyFont="1" applyFill="1" applyBorder="1" applyAlignment="1">
      <alignment horizontal="center" vertical="center" wrapText="1"/>
    </xf>
    <xf numFmtId="0" fontId="40" fillId="34" borderId="239" xfId="44" applyFont="1" applyFill="1" applyBorder="1" applyAlignment="1">
      <alignment horizontal="center" vertical="center" wrapText="1"/>
    </xf>
    <xf numFmtId="0" fontId="40" fillId="34" borderId="240" xfId="44" applyFont="1" applyFill="1" applyBorder="1" applyAlignment="1">
      <alignment horizontal="center" vertical="center" wrapText="1"/>
    </xf>
    <xf numFmtId="4" fontId="60" fillId="0" borderId="0" xfId="44" applyNumberFormat="1" applyFont="1" applyAlignment="1" applyProtection="1">
      <alignment horizontal="center"/>
      <protection locked="0"/>
    </xf>
    <xf numFmtId="4" fontId="25" fillId="0" borderId="0" xfId="44" applyNumberFormat="1" applyFont="1" applyAlignment="1" applyProtection="1">
      <alignment horizontal="center" vertical="center"/>
      <protection locked="0"/>
    </xf>
    <xf numFmtId="0" fontId="44" fillId="34" borderId="242" xfId="44" applyFont="1" applyFill="1" applyBorder="1" applyAlignment="1">
      <alignment horizontal="center" vertical="center"/>
    </xf>
    <xf numFmtId="0" fontId="44" fillId="34" borderId="58" xfId="44" applyFont="1" applyFill="1" applyBorder="1" applyAlignment="1">
      <alignment horizontal="center" vertical="center"/>
    </xf>
    <xf numFmtId="0" fontId="44" fillId="34" borderId="35" xfId="44" applyFont="1" applyFill="1" applyBorder="1" applyAlignment="1">
      <alignment horizontal="center" vertical="center"/>
    </xf>
    <xf numFmtId="0" fontId="40" fillId="34" borderId="74" xfId="44" applyFont="1" applyFill="1" applyBorder="1" applyAlignment="1">
      <alignment horizontal="left" vertical="center" wrapText="1"/>
    </xf>
    <xf numFmtId="0" fontId="40" fillId="34" borderId="40" xfId="44" applyFont="1" applyFill="1" applyBorder="1" applyAlignment="1">
      <alignment horizontal="left" vertical="center" wrapText="1"/>
    </xf>
    <xf numFmtId="0" fontId="47" fillId="0" borderId="0" xfId="44" applyFont="1" applyAlignment="1" applyProtection="1">
      <alignment horizontal="right" vertical="center"/>
      <protection locked="0"/>
    </xf>
    <xf numFmtId="0" fontId="25" fillId="0" borderId="0" xfId="44" applyFont="1" applyAlignment="1" applyProtection="1">
      <alignment horizontal="right" vertical="center"/>
      <protection locked="0"/>
    </xf>
    <xf numFmtId="170" fontId="40" fillId="34" borderId="74" xfId="44" applyNumberFormat="1" applyFont="1" applyFill="1" applyBorder="1" applyAlignment="1">
      <alignment horizontal="left" vertical="center" wrapText="1"/>
    </xf>
    <xf numFmtId="170" fontId="40" fillId="34" borderId="40" xfId="44" applyNumberFormat="1" applyFont="1" applyFill="1" applyBorder="1" applyAlignment="1">
      <alignment horizontal="left" vertical="center" wrapText="1"/>
    </xf>
    <xf numFmtId="0" fontId="44" fillId="34" borderId="77" xfId="44" applyFont="1" applyFill="1" applyBorder="1" applyAlignment="1">
      <alignment horizontal="left" vertical="top" wrapText="1"/>
    </xf>
    <xf numFmtId="0" fontId="44" fillId="34" borderId="227" xfId="44" applyFont="1" applyFill="1" applyBorder="1" applyAlignment="1">
      <alignment horizontal="left" vertical="top" wrapText="1"/>
    </xf>
    <xf numFmtId="0" fontId="44" fillId="34" borderId="78" xfId="44" applyFont="1" applyFill="1" applyBorder="1" applyAlignment="1">
      <alignment horizontal="left" vertical="top" wrapText="1"/>
    </xf>
    <xf numFmtId="4" fontId="47" fillId="0" borderId="0" xfId="44" applyNumberFormat="1" applyFont="1" applyAlignment="1" applyProtection="1">
      <alignment horizontal="center" vertical="center"/>
      <protection locked="0"/>
    </xf>
    <xf numFmtId="0" fontId="49" fillId="0" borderId="0" xfId="44" applyFont="1" applyAlignment="1">
      <alignment horizontal="center" vertical="center"/>
    </xf>
    <xf numFmtId="0" fontId="50" fillId="0" borderId="0" xfId="44" applyFont="1" applyAlignment="1">
      <alignment horizontal="center" vertical="center"/>
    </xf>
    <xf numFmtId="0" fontId="52" fillId="0" borderId="0" xfId="44" applyFont="1" applyAlignment="1" applyProtection="1">
      <alignment horizontal="center" vertical="center"/>
      <protection locked="0"/>
    </xf>
    <xf numFmtId="0" fontId="54" fillId="34" borderId="243" xfId="44" applyFont="1" applyFill="1" applyBorder="1" applyAlignment="1">
      <alignment horizontal="center" vertical="top"/>
    </xf>
    <xf numFmtId="0" fontId="54" fillId="34" borderId="69" xfId="44" applyFont="1" applyFill="1" applyBorder="1" applyAlignment="1">
      <alignment horizontal="center" vertical="top"/>
    </xf>
    <xf numFmtId="0" fontId="54" fillId="34" borderId="234" xfId="44" applyFont="1" applyFill="1" applyBorder="1" applyAlignment="1">
      <alignment horizontal="center" vertical="top"/>
    </xf>
    <xf numFmtId="0" fontId="40" fillId="36" borderId="0" xfId="44" applyFont="1" applyFill="1" applyAlignment="1" applyProtection="1">
      <alignment horizontal="center" vertical="center"/>
      <protection locked="0"/>
    </xf>
    <xf numFmtId="4" fontId="25" fillId="0" borderId="0" xfId="0" applyNumberFormat="1" applyFont="1" applyAlignment="1" applyProtection="1">
      <alignment horizontal="center"/>
      <protection locked="0"/>
    </xf>
    <xf numFmtId="4" fontId="91" fillId="32" borderId="0" xfId="0" applyNumberFormat="1" applyFont="1" applyFill="1" applyAlignment="1" applyProtection="1">
      <alignment horizontal="center" vertical="center"/>
      <protection locked="0"/>
    </xf>
    <xf numFmtId="0" fontId="20" fillId="0" borderId="0" xfId="0" applyFont="1" applyAlignment="1" applyProtection="1">
      <alignment horizontal="center" vertical="center"/>
    </xf>
    <xf numFmtId="0" fontId="21" fillId="0" borderId="0" xfId="0" applyFont="1" applyAlignment="1" applyProtection="1">
      <alignment horizontal="center" vertical="center"/>
    </xf>
    <xf numFmtId="0" fontId="1" fillId="0" borderId="0" xfId="0" applyFont="1" applyAlignment="1" applyProtection="1">
      <alignment horizontal="center" vertical="center"/>
      <protection locked="0"/>
    </xf>
    <xf numFmtId="0" fontId="1" fillId="0" borderId="0" xfId="0" applyFont="1" applyBorder="1" applyAlignment="1" applyProtection="1">
      <alignment horizontal="center"/>
      <protection locked="0"/>
    </xf>
    <xf numFmtId="4" fontId="25" fillId="0" borderId="0" xfId="0" applyNumberFormat="1" applyFont="1" applyAlignment="1" applyProtection="1">
      <alignment horizontal="center" vertical="center"/>
      <protection locked="0"/>
    </xf>
    <xf numFmtId="0" fontId="189" fillId="0" borderId="0" xfId="0" applyFont="1" applyAlignment="1" applyProtection="1">
      <alignment horizontal="center" vertical="center"/>
      <protection locked="0"/>
    </xf>
    <xf numFmtId="0" fontId="23" fillId="34" borderId="243" xfId="0" applyFont="1" applyFill="1" applyBorder="1" applyAlignment="1">
      <alignment horizontal="center" vertical="center"/>
    </xf>
    <xf numFmtId="0" fontId="23" fillId="34" borderId="69" xfId="0" applyFont="1" applyFill="1" applyBorder="1" applyAlignment="1">
      <alignment horizontal="center" vertical="center"/>
    </xf>
    <xf numFmtId="0" fontId="23" fillId="34" borderId="242" xfId="0" applyFont="1" applyFill="1" applyBorder="1" applyAlignment="1">
      <alignment horizontal="center" vertical="center"/>
    </xf>
    <xf numFmtId="0" fontId="23" fillId="34" borderId="58" xfId="0" applyFont="1" applyFill="1" applyBorder="1" applyAlignment="1">
      <alignment horizontal="center" vertical="center"/>
    </xf>
    <xf numFmtId="0" fontId="23" fillId="34" borderId="35" xfId="0" applyFont="1" applyFill="1" applyBorder="1" applyAlignment="1">
      <alignment horizontal="center" vertical="center"/>
    </xf>
    <xf numFmtId="4" fontId="0" fillId="0" borderId="0" xfId="0" applyNumberFormat="1" applyAlignment="1" applyProtection="1">
      <alignment horizontal="center"/>
      <protection locked="0"/>
    </xf>
    <xf numFmtId="4" fontId="23" fillId="0" borderId="0" xfId="0" applyNumberFormat="1" applyFont="1" applyAlignment="1" applyProtection="1">
      <alignment horizontal="center" vertical="center"/>
      <protection locked="0"/>
    </xf>
    <xf numFmtId="4" fontId="1" fillId="0" borderId="0" xfId="0" applyNumberFormat="1" applyFont="1" applyAlignment="1" applyProtection="1">
      <alignment horizontal="center"/>
      <protection locked="0"/>
    </xf>
    <xf numFmtId="4" fontId="0" fillId="0" borderId="0" xfId="0" applyNumberFormat="1" applyAlignment="1" applyProtection="1">
      <alignment horizontal="center" vertical="center"/>
      <protection locked="0"/>
    </xf>
    <xf numFmtId="4" fontId="23" fillId="34" borderId="239" xfId="0" applyNumberFormat="1" applyFont="1" applyFill="1" applyBorder="1" applyAlignment="1">
      <alignment horizontal="center" vertical="center"/>
    </xf>
    <xf numFmtId="4" fontId="23" fillId="34" borderId="54" xfId="0" applyNumberFormat="1" applyFont="1" applyFill="1" applyBorder="1" applyAlignment="1">
      <alignment horizontal="center" vertical="center"/>
    </xf>
    <xf numFmtId="4" fontId="23" fillId="34" borderId="244" xfId="0" applyNumberFormat="1" applyFont="1" applyFill="1" applyBorder="1" applyAlignment="1">
      <alignment horizontal="center" vertical="center"/>
    </xf>
    <xf numFmtId="0" fontId="1" fillId="34" borderId="205" xfId="0" applyFont="1" applyFill="1" applyBorder="1" applyAlignment="1" applyProtection="1">
      <alignment horizontal="center"/>
    </xf>
    <xf numFmtId="0" fontId="1" fillId="34" borderId="33" xfId="0" applyFont="1" applyFill="1" applyBorder="1" applyAlignment="1" applyProtection="1">
      <alignment horizontal="center"/>
    </xf>
    <xf numFmtId="0" fontId="1" fillId="39" borderId="256" xfId="56" applyFont="1" applyFill="1" applyBorder="1" applyAlignment="1" applyProtection="1">
      <alignment horizontal="center"/>
    </xf>
    <xf numFmtId="0" fontId="1" fillId="39" borderId="242" xfId="56" applyFont="1" applyFill="1" applyBorder="1" applyAlignment="1" applyProtection="1">
      <alignment horizontal="center"/>
    </xf>
    <xf numFmtId="0" fontId="285" fillId="34" borderId="335" xfId="0" applyFont="1" applyFill="1" applyBorder="1" applyAlignment="1" applyProtection="1">
      <alignment horizontal="center"/>
    </xf>
    <xf numFmtId="0" fontId="285" fillId="34" borderId="297" xfId="0" applyFont="1" applyFill="1" applyBorder="1" applyAlignment="1" applyProtection="1">
      <alignment horizontal="center"/>
    </xf>
    <xf numFmtId="49" fontId="1" fillId="34" borderId="205" xfId="0" applyNumberFormat="1" applyFont="1" applyFill="1" applyBorder="1" applyAlignment="1" applyProtection="1">
      <alignment horizontal="center"/>
    </xf>
    <xf numFmtId="49" fontId="1" fillId="34" borderId="33" xfId="0" applyNumberFormat="1" applyFont="1" applyFill="1" applyBorder="1" applyAlignment="1" applyProtection="1">
      <alignment horizontal="center"/>
    </xf>
    <xf numFmtId="0" fontId="0" fillId="34" borderId="14" xfId="0" applyFill="1" applyBorder="1" applyAlignment="1" applyProtection="1">
      <alignment horizontal="center"/>
    </xf>
    <xf numFmtId="0" fontId="0" fillId="34" borderId="19" xfId="0" applyFill="1" applyBorder="1" applyAlignment="1" applyProtection="1">
      <alignment horizontal="center"/>
    </xf>
    <xf numFmtId="0" fontId="0" fillId="34" borderId="15" xfId="0" applyFill="1" applyBorder="1" applyAlignment="1" applyProtection="1">
      <alignment horizontal="center"/>
    </xf>
    <xf numFmtId="0" fontId="0" fillId="34" borderId="20" xfId="0" applyFill="1" applyBorder="1" applyAlignment="1" applyProtection="1">
      <alignment horizontal="center"/>
    </xf>
    <xf numFmtId="0" fontId="28" fillId="39" borderId="337" xfId="0" applyFont="1" applyFill="1" applyBorder="1" applyAlignment="1" applyProtection="1">
      <alignment horizontal="center" vertical="center"/>
    </xf>
    <xf numFmtId="0" fontId="28" fillId="39" borderId="112" xfId="0" applyFont="1" applyFill="1" applyBorder="1" applyAlignment="1" applyProtection="1">
      <alignment horizontal="center" vertical="center"/>
    </xf>
    <xf numFmtId="0" fontId="23" fillId="39" borderId="28" xfId="0" applyFont="1" applyFill="1" applyBorder="1" applyAlignment="1" applyProtection="1">
      <alignment horizontal="center" vertical="center"/>
    </xf>
    <xf numFmtId="0" fontId="23" fillId="39" borderId="40" xfId="0" applyFont="1" applyFill="1" applyBorder="1" applyAlignment="1" applyProtection="1">
      <alignment horizontal="center" vertical="center"/>
    </xf>
    <xf numFmtId="49" fontId="0" fillId="34" borderId="14" xfId="0" applyNumberFormat="1" applyFill="1" applyBorder="1" applyAlignment="1" applyProtection="1">
      <alignment horizontal="center"/>
    </xf>
    <xf numFmtId="49" fontId="0" fillId="34" borderId="19" xfId="0" applyNumberFormat="1" applyFill="1" applyBorder="1" applyAlignment="1" applyProtection="1">
      <alignment horizontal="center"/>
    </xf>
    <xf numFmtId="0" fontId="1" fillId="0" borderId="0" xfId="0" applyFont="1" applyAlignment="1" applyProtection="1">
      <alignment horizontal="center"/>
      <protection locked="0"/>
    </xf>
    <xf numFmtId="0" fontId="23" fillId="0" borderId="0" xfId="0" applyFont="1" applyAlignment="1" applyProtection="1">
      <alignment horizontal="center" vertical="center"/>
      <protection locked="0"/>
    </xf>
    <xf numFmtId="0" fontId="36" fillId="39" borderId="11" xfId="0" applyFont="1" applyFill="1" applyBorder="1" applyAlignment="1" applyProtection="1">
      <alignment horizontal="right" vertical="center"/>
    </xf>
    <xf numFmtId="0" fontId="23" fillId="39" borderId="83" xfId="0" applyFont="1" applyFill="1" applyBorder="1" applyAlignment="1" applyProtection="1">
      <alignment horizontal="right" vertical="center"/>
    </xf>
    <xf numFmtId="0" fontId="31" fillId="34" borderId="239" xfId="0" applyFont="1" applyFill="1" applyBorder="1" applyAlignment="1">
      <alignment horizontal="center" vertical="center" wrapText="1"/>
    </xf>
    <xf numFmtId="0" fontId="31" fillId="34" borderId="240" xfId="0" applyFont="1" applyFill="1" applyBorder="1" applyAlignment="1">
      <alignment horizontal="center" vertical="center" wrapText="1"/>
    </xf>
    <xf numFmtId="0" fontId="31" fillId="34" borderId="237" xfId="0" applyFont="1" applyFill="1" applyBorder="1" applyAlignment="1">
      <alignment horizontal="center" vertical="center"/>
    </xf>
    <xf numFmtId="0" fontId="31" fillId="34" borderId="157" xfId="0" applyFont="1" applyFill="1" applyBorder="1" applyAlignment="1">
      <alignment horizontal="center" vertical="center"/>
    </xf>
    <xf numFmtId="0" fontId="1" fillId="34" borderId="37" xfId="0" applyFont="1" applyFill="1" applyBorder="1" applyAlignment="1" applyProtection="1">
      <alignment horizontal="center"/>
    </xf>
    <xf numFmtId="0" fontId="1" fillId="34" borderId="34" xfId="0" applyFont="1" applyFill="1" applyBorder="1" applyAlignment="1" applyProtection="1">
      <alignment horizontal="center"/>
    </xf>
    <xf numFmtId="0" fontId="123" fillId="0" borderId="0" xfId="0" applyFont="1" applyBorder="1" applyAlignment="1" applyProtection="1">
      <alignment horizontal="center" vertical="center"/>
    </xf>
    <xf numFmtId="0" fontId="124" fillId="0" borderId="0" xfId="0" applyFont="1" applyAlignment="1" applyProtection="1">
      <alignment horizontal="center" vertical="center"/>
    </xf>
    <xf numFmtId="4" fontId="28" fillId="34" borderId="212" xfId="0" applyNumberFormat="1" applyFont="1" applyFill="1" applyBorder="1" applyAlignment="1">
      <alignment horizontal="center"/>
    </xf>
    <xf numFmtId="4" fontId="0" fillId="34" borderId="69" xfId="0" applyNumberFormat="1" applyFill="1" applyBorder="1"/>
    <xf numFmtId="4" fontId="0" fillId="34" borderId="234" xfId="0" applyNumberFormat="1" applyFill="1" applyBorder="1"/>
    <xf numFmtId="0" fontId="28" fillId="34" borderId="74" xfId="0" applyFont="1" applyFill="1" applyBorder="1" applyAlignment="1">
      <alignment horizontal="left" vertical="center" wrapText="1"/>
    </xf>
    <xf numFmtId="0" fontId="125" fillId="34" borderId="96" xfId="0" applyFont="1" applyFill="1" applyBorder="1" applyAlignment="1">
      <alignment horizontal="left" vertical="center" wrapText="1"/>
    </xf>
    <xf numFmtId="4" fontId="129" fillId="34" borderId="113" xfId="0" applyNumberFormat="1" applyFont="1" applyFill="1" applyBorder="1" applyAlignment="1">
      <alignment horizontal="center" vertical="center" wrapText="1"/>
    </xf>
    <xf numFmtId="0" fontId="0" fillId="34" borderId="96" xfId="0" applyFill="1" applyBorder="1" applyAlignment="1">
      <alignment horizontal="left" vertical="center"/>
    </xf>
    <xf numFmtId="4" fontId="128" fillId="34" borderId="248" xfId="0" applyNumberFormat="1" applyFont="1" applyFill="1" applyBorder="1" applyAlignment="1">
      <alignment horizontal="center" vertical="center" wrapText="1"/>
    </xf>
    <xf numFmtId="4" fontId="0" fillId="34" borderId="73" xfId="0" applyNumberFormat="1" applyFill="1" applyBorder="1"/>
    <xf numFmtId="4" fontId="0" fillId="34" borderId="236" xfId="0" applyNumberFormat="1" applyFill="1" applyBorder="1"/>
    <xf numFmtId="4" fontId="128" fillId="34" borderId="113" xfId="0" applyNumberFormat="1" applyFont="1" applyFill="1" applyBorder="1" applyAlignment="1">
      <alignment horizontal="center" vertical="center" wrapText="1"/>
    </xf>
    <xf numFmtId="4" fontId="28" fillId="34" borderId="53" xfId="0" applyNumberFormat="1" applyFont="1" applyFill="1" applyBorder="1" applyAlignment="1">
      <alignment horizontal="center"/>
    </xf>
    <xf numFmtId="4" fontId="28" fillId="34" borderId="234" xfId="0" applyNumberFormat="1" applyFont="1" applyFill="1" applyBorder="1" applyAlignment="1">
      <alignment horizontal="center"/>
    </xf>
    <xf numFmtId="4" fontId="28" fillId="34" borderId="69" xfId="0" applyNumberFormat="1" applyFont="1" applyFill="1" applyBorder="1" applyAlignment="1">
      <alignment horizontal="center"/>
    </xf>
    <xf numFmtId="0" fontId="28" fillId="0" borderId="0" xfId="0" applyFont="1" applyAlignment="1" applyProtection="1">
      <alignment horizontal="center" vertical="center"/>
      <protection locked="0"/>
    </xf>
    <xf numFmtId="4" fontId="23" fillId="33" borderId="134" xfId="0" applyNumberFormat="1" applyFont="1" applyFill="1" applyBorder="1" applyAlignment="1">
      <alignment horizontal="center" vertical="center" wrapText="1"/>
    </xf>
    <xf numFmtId="4" fontId="0" fillId="33" borderId="20" xfId="0" applyNumberFormat="1" applyFill="1" applyBorder="1" applyAlignment="1">
      <alignment horizontal="center" vertical="center" wrapText="1"/>
    </xf>
    <xf numFmtId="4" fontId="47" fillId="0" borderId="0" xfId="0" applyNumberFormat="1" applyFont="1" applyBorder="1" applyAlignment="1" applyProtection="1">
      <alignment horizontal="center" vertical="center"/>
      <protection locked="0"/>
    </xf>
    <xf numFmtId="4" fontId="47" fillId="0" borderId="0" xfId="0" applyNumberFormat="1" applyFont="1" applyAlignment="1" applyProtection="1">
      <alignment horizontal="center" vertical="center"/>
      <protection locked="0"/>
    </xf>
    <xf numFmtId="4" fontId="28" fillId="29" borderId="53" xfId="0" applyNumberFormat="1" applyFont="1" applyFill="1" applyBorder="1" applyAlignment="1">
      <alignment horizontal="center" vertical="center"/>
    </xf>
    <xf numFmtId="4" fontId="28" fillId="29" borderId="36" xfId="0" applyNumberFormat="1" applyFont="1" applyFill="1" applyBorder="1" applyAlignment="1">
      <alignment horizontal="center" vertical="center"/>
    </xf>
    <xf numFmtId="4" fontId="129" fillId="34" borderId="235" xfId="0" applyNumberFormat="1" applyFont="1" applyFill="1" applyBorder="1" applyAlignment="1">
      <alignment horizontal="center" vertical="center" wrapText="1"/>
    </xf>
    <xf numFmtId="4" fontId="28" fillId="30" borderId="32" xfId="0" applyNumberFormat="1" applyFont="1" applyFill="1" applyBorder="1" applyAlignment="1">
      <alignment horizontal="center" vertical="center"/>
    </xf>
    <xf numFmtId="4" fontId="28" fillId="30" borderId="14" xfId="0" applyNumberFormat="1" applyFont="1" applyFill="1" applyBorder="1" applyAlignment="1">
      <alignment horizontal="center" vertical="center"/>
    </xf>
    <xf numFmtId="4" fontId="127" fillId="27" borderId="53" xfId="0" applyNumberFormat="1" applyFont="1" applyFill="1" applyBorder="1" applyAlignment="1">
      <alignment horizontal="center" vertical="center"/>
    </xf>
    <xf numFmtId="4" fontId="127" fillId="27" borderId="36" xfId="0" applyNumberFormat="1" applyFont="1" applyFill="1" applyBorder="1" applyAlignment="1">
      <alignment horizontal="center" vertical="center"/>
    </xf>
    <xf numFmtId="4" fontId="126" fillId="25" borderId="216" xfId="0" applyNumberFormat="1" applyFont="1" applyFill="1" applyBorder="1" applyAlignment="1">
      <alignment horizontal="center" vertical="center"/>
    </xf>
    <xf numFmtId="4" fontId="126" fillId="25" borderId="245" xfId="0" applyNumberFormat="1" applyFont="1" applyFill="1" applyBorder="1" applyAlignment="1">
      <alignment horizontal="center" vertical="center"/>
    </xf>
    <xf numFmtId="4" fontId="126" fillId="26" borderId="32" xfId="0" applyNumberFormat="1" applyFont="1" applyFill="1" applyBorder="1" applyAlignment="1">
      <alignment horizontal="center" vertical="center" wrapText="1"/>
    </xf>
    <xf numFmtId="4" fontId="126" fillId="26" borderId="14" xfId="0" applyNumberFormat="1" applyFont="1" applyFill="1" applyBorder="1" applyAlignment="1">
      <alignment horizontal="center" vertical="center" wrapText="1"/>
    </xf>
    <xf numFmtId="4" fontId="23" fillId="34" borderId="248" xfId="0" applyNumberFormat="1" applyFont="1" applyFill="1" applyBorder="1" applyAlignment="1">
      <alignment horizontal="center"/>
    </xf>
    <xf numFmtId="4" fontId="23" fillId="34" borderId="73" xfId="0" applyNumberFormat="1" applyFont="1" applyFill="1" applyBorder="1" applyAlignment="1">
      <alignment horizontal="center"/>
    </xf>
    <xf numFmtId="4" fontId="23" fillId="34" borderId="249" xfId="0" applyNumberFormat="1" applyFont="1" applyFill="1" applyBorder="1" applyAlignment="1">
      <alignment horizontal="center"/>
    </xf>
    <xf numFmtId="0" fontId="23" fillId="34" borderId="250" xfId="0" applyFont="1" applyFill="1" applyBorder="1" applyAlignment="1">
      <alignment horizontal="center"/>
    </xf>
    <xf numFmtId="0" fontId="23" fillId="34" borderId="113" xfId="0" applyFont="1" applyFill="1" applyBorder="1" applyAlignment="1">
      <alignment horizontal="center"/>
    </xf>
    <xf numFmtId="0" fontId="23" fillId="34" borderId="251" xfId="0" applyFont="1" applyFill="1" applyBorder="1" applyAlignment="1">
      <alignment horizontal="center"/>
    </xf>
    <xf numFmtId="4" fontId="23" fillId="34" borderId="252" xfId="0" applyNumberFormat="1" applyFont="1" applyFill="1" applyBorder="1" applyAlignment="1">
      <alignment horizontal="center" vertical="center"/>
    </xf>
    <xf numFmtId="4" fontId="23" fillId="34" borderId="32" xfId="0" applyNumberFormat="1" applyFont="1" applyFill="1" applyBorder="1" applyAlignment="1">
      <alignment horizontal="center" vertical="center"/>
    </xf>
    <xf numFmtId="4" fontId="23" fillId="34" borderId="253" xfId="0" applyNumberFormat="1" applyFont="1" applyFill="1" applyBorder="1" applyAlignment="1">
      <alignment horizontal="center" vertical="center"/>
    </xf>
    <xf numFmtId="0" fontId="23" fillId="34" borderId="252" xfId="0" applyFont="1" applyFill="1" applyBorder="1" applyAlignment="1">
      <alignment horizontal="center" vertical="center"/>
    </xf>
    <xf numFmtId="0" fontId="23" fillId="34" borderId="32" xfId="0" applyFont="1" applyFill="1" applyBorder="1" applyAlignment="1">
      <alignment horizontal="center" vertical="center"/>
    </xf>
    <xf numFmtId="0" fontId="23" fillId="34" borderId="253" xfId="0" applyFont="1" applyFill="1" applyBorder="1" applyAlignment="1">
      <alignment horizontal="center" vertical="center"/>
    </xf>
    <xf numFmtId="4" fontId="91" fillId="32" borderId="0" xfId="0" applyNumberFormat="1" applyFont="1" applyFill="1" applyAlignment="1" applyProtection="1">
      <alignment horizontal="center" vertical="top"/>
      <protection locked="0"/>
    </xf>
    <xf numFmtId="4" fontId="22" fillId="0" borderId="0" xfId="0" applyNumberFormat="1" applyFont="1" applyAlignment="1" applyProtection="1">
      <alignment horizontal="center"/>
      <protection locked="0"/>
    </xf>
    <xf numFmtId="0" fontId="120" fillId="34" borderId="56" xfId="0" applyFont="1" applyFill="1" applyBorder="1" applyAlignment="1">
      <alignment horizontal="center" vertical="center"/>
    </xf>
    <xf numFmtId="0" fontId="120" fillId="34" borderId="158" xfId="0" applyFont="1" applyFill="1" applyBorder="1" applyAlignment="1">
      <alignment horizontal="center" vertical="center"/>
    </xf>
    <xf numFmtId="0" fontId="70" fillId="34" borderId="235" xfId="0" applyFont="1" applyFill="1" applyBorder="1" applyAlignment="1">
      <alignment horizontal="center"/>
    </xf>
    <xf numFmtId="0" fontId="70" fillId="34" borderId="236" xfId="0" applyFont="1" applyFill="1" applyBorder="1" applyAlignment="1">
      <alignment horizontal="center"/>
    </xf>
    <xf numFmtId="4" fontId="120" fillId="34" borderId="56" xfId="0" applyNumberFormat="1" applyFont="1" applyFill="1" applyBorder="1" applyAlignment="1">
      <alignment horizontal="center" vertical="center"/>
    </xf>
    <xf numFmtId="4" fontId="120" fillId="34" borderId="158" xfId="0" applyNumberFormat="1" applyFont="1" applyFill="1" applyBorder="1" applyAlignment="1">
      <alignment horizontal="center" vertical="center"/>
    </xf>
    <xf numFmtId="4" fontId="70" fillId="34" borderId="235" xfId="0" applyNumberFormat="1" applyFont="1" applyFill="1" applyBorder="1" applyAlignment="1">
      <alignment horizontal="center"/>
    </xf>
    <xf numFmtId="4" fontId="70" fillId="34" borderId="236" xfId="0" applyNumberFormat="1" applyFont="1" applyFill="1" applyBorder="1" applyAlignment="1">
      <alignment horizontal="center"/>
    </xf>
    <xf numFmtId="0" fontId="23" fillId="25" borderId="62" xfId="0" applyFont="1" applyFill="1" applyBorder="1" applyAlignment="1">
      <alignment horizontal="center" vertical="center"/>
    </xf>
    <xf numFmtId="0" fontId="23" fillId="25" borderId="63" xfId="0" applyFont="1" applyFill="1" applyBorder="1" applyAlignment="1">
      <alignment horizontal="center" vertical="center"/>
    </xf>
    <xf numFmtId="0" fontId="23" fillId="25" borderId="292" xfId="0" applyFont="1" applyFill="1" applyBorder="1" applyAlignment="1">
      <alignment horizontal="center" vertical="center"/>
    </xf>
    <xf numFmtId="4" fontId="47" fillId="0" borderId="0" xfId="0" applyNumberFormat="1" applyFont="1" applyAlignment="1" applyProtection="1">
      <alignment horizontal="center"/>
      <protection locked="0"/>
    </xf>
    <xf numFmtId="0" fontId="106" fillId="0" borderId="0" xfId="0" applyFont="1" applyAlignment="1" applyProtection="1">
      <alignment horizontal="center" vertical="center"/>
    </xf>
    <xf numFmtId="0" fontId="154" fillId="0" borderId="0" xfId="0" applyFont="1" applyAlignment="1" applyProtection="1">
      <alignment horizontal="center"/>
    </xf>
    <xf numFmtId="0" fontId="43" fillId="0" borderId="0" xfId="0" applyFont="1" applyAlignment="1" applyProtection="1">
      <alignment horizontal="center"/>
      <protection locked="0"/>
    </xf>
    <xf numFmtId="0" fontId="26" fillId="0" borderId="0" xfId="0" applyFont="1" applyAlignment="1" applyProtection="1">
      <alignment horizontal="center"/>
      <protection locked="0"/>
    </xf>
    <xf numFmtId="0" fontId="23" fillId="34" borderId="248" xfId="0" applyFont="1" applyFill="1" applyBorder="1" applyAlignment="1">
      <alignment horizontal="center"/>
    </xf>
    <xf numFmtId="0" fontId="23" fillId="34" borderId="73" xfId="0" applyFont="1" applyFill="1" applyBorder="1" applyAlignment="1">
      <alignment horizontal="center"/>
    </xf>
    <xf numFmtId="0" fontId="23" fillId="34" borderId="249" xfId="0" applyFont="1" applyFill="1" applyBorder="1" applyAlignment="1">
      <alignment horizontal="center"/>
    </xf>
    <xf numFmtId="0" fontId="23" fillId="34" borderId="53" xfId="0" applyFont="1" applyFill="1" applyBorder="1" applyAlignment="1">
      <alignment horizontal="center" vertical="center"/>
    </xf>
    <xf numFmtId="0" fontId="23" fillId="34" borderId="235" xfId="0" applyFont="1" applyFill="1" applyBorder="1" applyAlignment="1">
      <alignment horizontal="center"/>
    </xf>
    <xf numFmtId="0" fontId="23" fillId="34" borderId="250" xfId="0" applyFont="1" applyFill="1" applyBorder="1" applyAlignment="1">
      <alignment horizontal="center" vertical="center"/>
    </xf>
    <xf numFmtId="0" fontId="23" fillId="34" borderId="113" xfId="0" applyFont="1" applyFill="1" applyBorder="1" applyAlignment="1">
      <alignment horizontal="center" vertical="center"/>
    </xf>
    <xf numFmtId="0" fontId="23" fillId="34" borderId="235" xfId="0" applyFont="1" applyFill="1" applyBorder="1" applyAlignment="1">
      <alignment horizontal="center" vertical="center"/>
    </xf>
    <xf numFmtId="0" fontId="36" fillId="30" borderId="62" xfId="0" applyFont="1" applyFill="1" applyBorder="1" applyAlignment="1">
      <alignment horizontal="center" vertical="center"/>
    </xf>
    <xf numFmtId="0" fontId="36" fillId="30" borderId="64" xfId="0" applyFont="1" applyFill="1" applyBorder="1" applyAlignment="1">
      <alignment horizontal="center" vertical="center"/>
    </xf>
    <xf numFmtId="0" fontId="106" fillId="35" borderId="0" xfId="0" applyFont="1" applyFill="1" applyAlignment="1" applyProtection="1">
      <alignment horizontal="center" vertical="center"/>
    </xf>
    <xf numFmtId="0" fontId="154" fillId="35" borderId="0" xfId="0" applyFont="1" applyFill="1" applyAlignment="1" applyProtection="1">
      <alignment horizontal="center"/>
    </xf>
    <xf numFmtId="0" fontId="43" fillId="35" borderId="0" xfId="0" applyFont="1" applyFill="1" applyAlignment="1" applyProtection="1">
      <alignment horizontal="center"/>
      <protection locked="0"/>
    </xf>
    <xf numFmtId="0" fontId="21" fillId="34" borderId="252" xfId="0" applyFont="1" applyFill="1" applyBorder="1" applyAlignment="1">
      <alignment horizontal="center" vertical="center"/>
    </xf>
    <xf numFmtId="0" fontId="21" fillId="34" borderId="32" xfId="0" applyFont="1" applyFill="1" applyBorder="1" applyAlignment="1">
      <alignment horizontal="center" vertical="center"/>
    </xf>
    <xf numFmtId="0" fontId="21" fillId="34" borderId="53" xfId="0" applyFont="1" applyFill="1" applyBorder="1" applyAlignment="1">
      <alignment horizontal="center" vertical="center"/>
    </xf>
    <xf numFmtId="0" fontId="26" fillId="35" borderId="0" xfId="0" applyFont="1" applyFill="1" applyAlignment="1" applyProtection="1">
      <alignment horizontal="center"/>
      <protection locked="0"/>
    </xf>
    <xf numFmtId="0" fontId="70" fillId="34" borderId="235" xfId="0" applyFont="1" applyFill="1" applyBorder="1" applyAlignment="1">
      <alignment horizontal="center" vertical="center"/>
    </xf>
    <xf numFmtId="0" fontId="70" fillId="34" borderId="73" xfId="0" applyFont="1" applyFill="1" applyBorder="1" applyAlignment="1">
      <alignment horizontal="center" vertical="center"/>
    </xf>
    <xf numFmtId="0" fontId="70" fillId="34" borderId="236" xfId="0" applyFont="1" applyFill="1" applyBorder="1" applyAlignment="1">
      <alignment horizontal="center" vertical="center"/>
    </xf>
    <xf numFmtId="0" fontId="70" fillId="34" borderId="56" xfId="0" applyFont="1" applyFill="1" applyBorder="1" applyAlignment="1">
      <alignment horizontal="center" vertical="center"/>
    </xf>
    <xf numFmtId="0" fontId="70" fillId="34" borderId="47" xfId="0" applyFont="1" applyFill="1" applyBorder="1" applyAlignment="1">
      <alignment horizontal="center" vertical="center"/>
    </xf>
    <xf numFmtId="0" fontId="70" fillId="34" borderId="158" xfId="0" applyFont="1" applyFill="1" applyBorder="1" applyAlignment="1">
      <alignment horizontal="center" vertical="center"/>
    </xf>
    <xf numFmtId="0" fontId="21" fillId="34" borderId="134" xfId="0" applyFont="1" applyFill="1" applyBorder="1" applyAlignment="1">
      <alignment horizontal="center" vertical="center"/>
    </xf>
    <xf numFmtId="0" fontId="23" fillId="34" borderId="139" xfId="0" applyFont="1" applyFill="1" applyBorder="1" applyAlignment="1">
      <alignment horizontal="center" vertical="center"/>
    </xf>
    <xf numFmtId="4" fontId="91" fillId="32" borderId="0" xfId="0" applyNumberFormat="1" applyFont="1" applyFill="1" applyAlignment="1" applyProtection="1">
      <alignment horizontal="center" vertical="center"/>
    </xf>
    <xf numFmtId="0" fontId="106" fillId="0" borderId="0" xfId="0" applyFont="1" applyAlignment="1" applyProtection="1">
      <alignment horizontal="center" wrapText="1"/>
    </xf>
    <xf numFmtId="0" fontId="106" fillId="0" borderId="0" xfId="0" applyFont="1" applyAlignment="1" applyProtection="1">
      <alignment horizontal="center"/>
    </xf>
    <xf numFmtId="0" fontId="138" fillId="34" borderId="241" xfId="0" applyFont="1" applyFill="1" applyBorder="1" applyAlignment="1">
      <alignment horizontal="center" vertical="center" wrapText="1"/>
    </xf>
    <xf numFmtId="0" fontId="22" fillId="34" borderId="232" xfId="0" applyFont="1" applyFill="1" applyBorder="1" applyAlignment="1">
      <alignment horizontal="center" vertical="center"/>
    </xf>
    <xf numFmtId="4" fontId="160" fillId="34" borderId="237" xfId="0" applyNumberFormat="1" applyFont="1" applyFill="1" applyBorder="1" applyAlignment="1">
      <alignment horizontal="center" vertical="center" wrapText="1"/>
    </xf>
    <xf numFmtId="4" fontId="22" fillId="34" borderId="30" xfId="0" applyNumberFormat="1" applyFont="1" applyFill="1" applyBorder="1" applyAlignment="1">
      <alignment horizontal="center" vertical="center"/>
    </xf>
    <xf numFmtId="4" fontId="164" fillId="34" borderId="237" xfId="0" applyNumberFormat="1" applyFont="1" applyFill="1" applyBorder="1" applyAlignment="1">
      <alignment horizontal="center" vertical="center"/>
    </xf>
    <xf numFmtId="4" fontId="23" fillId="34" borderId="237" xfId="0" applyNumberFormat="1" applyFont="1" applyFill="1" applyBorder="1" applyAlignment="1">
      <alignment horizontal="center" vertical="center"/>
    </xf>
    <xf numFmtId="4" fontId="23" fillId="34" borderId="157" xfId="0" applyNumberFormat="1" applyFont="1" applyFill="1" applyBorder="1" applyAlignment="1">
      <alignment horizontal="center" vertical="center"/>
    </xf>
    <xf numFmtId="0" fontId="0" fillId="0" borderId="0" xfId="0" applyFill="1" applyBorder="1" applyAlignment="1" applyProtection="1">
      <alignment horizontal="center" wrapText="1"/>
      <protection locked="0"/>
    </xf>
    <xf numFmtId="4" fontId="158" fillId="0" borderId="0" xfId="0" applyNumberFormat="1" applyFont="1" applyAlignment="1" applyProtection="1">
      <alignment horizontal="center" vertical="center"/>
      <protection locked="0"/>
    </xf>
    <xf numFmtId="4" fontId="139" fillId="0" borderId="0" xfId="0" applyNumberFormat="1" applyFont="1" applyAlignment="1" applyProtection="1">
      <alignment horizontal="center"/>
      <protection locked="0"/>
    </xf>
    <xf numFmtId="4" fontId="23" fillId="0" borderId="0" xfId="0" applyNumberFormat="1" applyFont="1" applyAlignment="1" applyProtection="1">
      <alignment horizontal="center"/>
      <protection locked="0"/>
    </xf>
    <xf numFmtId="4" fontId="0" fillId="0" borderId="23" xfId="0" applyNumberFormat="1" applyBorder="1" applyAlignment="1" applyProtection="1">
      <alignment horizontal="center"/>
      <protection locked="0"/>
    </xf>
    <xf numFmtId="49" fontId="196" fillId="0" borderId="23" xfId="0" applyNumberFormat="1" applyFont="1" applyBorder="1" applyAlignment="1" applyProtection="1">
      <alignment horizontal="center"/>
      <protection locked="0"/>
    </xf>
    <xf numFmtId="0" fontId="106" fillId="0" borderId="0" xfId="0" applyFont="1" applyBorder="1" applyAlignment="1" applyProtection="1">
      <alignment horizontal="center"/>
    </xf>
    <xf numFmtId="0" fontId="175" fillId="0" borderId="0" xfId="0" applyFont="1" applyBorder="1" applyAlignment="1" applyProtection="1">
      <alignment horizontal="center"/>
    </xf>
    <xf numFmtId="0" fontId="89" fillId="0" borderId="0" xfId="0" applyFont="1" applyFill="1" applyBorder="1" applyAlignment="1" applyProtection="1">
      <alignment horizontal="center" vertical="center"/>
    </xf>
    <xf numFmtId="0" fontId="152" fillId="0" borderId="0" xfId="0" quotePrefix="1" applyFont="1" applyFill="1" applyBorder="1" applyAlignment="1" applyProtection="1">
      <alignment horizontal="center"/>
      <protection locked="0"/>
    </xf>
    <xf numFmtId="4" fontId="185" fillId="0" borderId="0" xfId="0" applyNumberFormat="1" applyFont="1" applyAlignment="1" applyProtection="1">
      <alignment horizontal="center"/>
      <protection locked="0"/>
    </xf>
    <xf numFmtId="49" fontId="196" fillId="0" borderId="23" xfId="0" applyNumberFormat="1" applyFont="1" applyBorder="1" applyAlignment="1" applyProtection="1">
      <alignment horizontal="left" indent="1"/>
      <protection locked="0"/>
    </xf>
    <xf numFmtId="4" fontId="0" fillId="0" borderId="0" xfId="0" applyNumberFormat="1" applyFont="1" applyAlignment="1" applyProtection="1">
      <alignment horizontal="center"/>
      <protection locked="0"/>
    </xf>
    <xf numFmtId="4" fontId="22" fillId="39" borderId="0" xfId="0" applyNumberFormat="1" applyFont="1" applyFill="1" applyAlignment="1" applyProtection="1">
      <alignment horizontal="center" vertical="center"/>
    </xf>
    <xf numFmtId="4" fontId="0" fillId="39" borderId="0" xfId="0" applyNumberFormat="1" applyFill="1" applyAlignment="1" applyProtection="1">
      <alignment horizontal="center" vertical="center"/>
    </xf>
    <xf numFmtId="4" fontId="186" fillId="34" borderId="175" xfId="0" applyNumberFormat="1" applyFont="1" applyFill="1" applyBorder="1" applyAlignment="1">
      <alignment horizontal="center" vertical="center"/>
    </xf>
    <xf numFmtId="4" fontId="186" fillId="34" borderId="175" xfId="0" applyNumberFormat="1" applyFont="1" applyFill="1" applyBorder="1" applyAlignment="1">
      <alignment horizontal="center" vertical="center" wrapText="1"/>
    </xf>
    <xf numFmtId="4" fontId="186" fillId="34" borderId="254" xfId="0" applyNumberFormat="1" applyFont="1" applyFill="1" applyBorder="1" applyAlignment="1">
      <alignment horizontal="center" vertical="center" wrapText="1"/>
    </xf>
    <xf numFmtId="4" fontId="186" fillId="34" borderId="255" xfId="0" applyNumberFormat="1" applyFont="1" applyFill="1" applyBorder="1" applyAlignment="1">
      <alignment horizontal="center" vertical="center" wrapText="1"/>
    </xf>
    <xf numFmtId="4" fontId="0" fillId="34" borderId="258" xfId="0" applyNumberFormat="1" applyFill="1" applyBorder="1" applyAlignment="1">
      <alignment horizontal="center"/>
    </xf>
    <xf numFmtId="4" fontId="0" fillId="34" borderId="259" xfId="0" applyNumberFormat="1" applyFill="1" applyBorder="1" applyAlignment="1">
      <alignment horizontal="center"/>
    </xf>
    <xf numFmtId="4" fontId="1" fillId="0" borderId="23" xfId="0" applyNumberFormat="1" applyFont="1" applyBorder="1" applyAlignment="1" applyProtection="1">
      <alignment horizontal="center"/>
      <protection locked="0"/>
    </xf>
    <xf numFmtId="0" fontId="195" fillId="34" borderId="260" xfId="0" applyFont="1" applyFill="1" applyBorder="1" applyAlignment="1">
      <alignment horizontal="left" vertical="center" wrapText="1"/>
    </xf>
    <xf numFmtId="0" fontId="195" fillId="34" borderId="261" xfId="0" applyFont="1" applyFill="1" applyBorder="1" applyAlignment="1">
      <alignment horizontal="left" vertical="center" wrapText="1"/>
    </xf>
    <xf numFmtId="0" fontId="195" fillId="34" borderId="262" xfId="0" applyFont="1" applyFill="1" applyBorder="1" applyAlignment="1">
      <alignment horizontal="left" vertical="center" wrapText="1"/>
    </xf>
    <xf numFmtId="4" fontId="0" fillId="0" borderId="59" xfId="0" applyNumberFormat="1" applyBorder="1" applyAlignment="1" applyProtection="1">
      <alignment horizontal="center"/>
      <protection locked="0"/>
    </xf>
    <xf numFmtId="4" fontId="0" fillId="0" borderId="43" xfId="0" applyNumberFormat="1" applyBorder="1" applyAlignment="1" applyProtection="1">
      <alignment horizontal="center"/>
      <protection locked="0"/>
    </xf>
    <xf numFmtId="0" fontId="186" fillId="34" borderId="57" xfId="0" applyFont="1" applyFill="1" applyBorder="1" applyAlignment="1">
      <alignment horizontal="center"/>
    </xf>
    <xf numFmtId="0" fontId="186" fillId="34" borderId="342" xfId="0" applyFont="1" applyFill="1" applyBorder="1" applyAlignment="1">
      <alignment horizontal="center"/>
    </xf>
    <xf numFmtId="4" fontId="0" fillId="34" borderId="172" xfId="0" applyNumberFormat="1" applyFill="1" applyBorder="1" applyAlignment="1" applyProtection="1">
      <alignment horizontal="center"/>
    </xf>
    <xf numFmtId="4" fontId="0" fillId="34" borderId="45" xfId="0" applyNumberFormat="1" applyFill="1" applyBorder="1" applyAlignment="1" applyProtection="1">
      <alignment horizontal="center"/>
    </xf>
    <xf numFmtId="49" fontId="196" fillId="0" borderId="59" xfId="0" applyNumberFormat="1" applyFont="1" applyBorder="1" applyAlignment="1" applyProtection="1">
      <alignment horizontal="left"/>
      <protection locked="0"/>
    </xf>
    <xf numFmtId="49" fontId="196" fillId="0" borderId="41" xfId="0" applyNumberFormat="1" applyFont="1" applyBorder="1" applyAlignment="1" applyProtection="1">
      <alignment horizontal="left"/>
      <protection locked="0"/>
    </xf>
    <xf numFmtId="49" fontId="196" fillId="0" borderId="43" xfId="0" applyNumberFormat="1" applyFont="1" applyBorder="1" applyAlignment="1" applyProtection="1">
      <alignment horizontal="left"/>
      <protection locked="0"/>
    </xf>
    <xf numFmtId="0" fontId="186" fillId="34" borderId="41" xfId="0" applyFont="1" applyFill="1" applyBorder="1" applyAlignment="1">
      <alignment horizontal="center" vertical="center"/>
    </xf>
    <xf numFmtId="0" fontId="186" fillId="34" borderId="341" xfId="0" applyFont="1" applyFill="1" applyBorder="1" applyAlignment="1">
      <alignment horizontal="center" vertical="center"/>
    </xf>
    <xf numFmtId="0" fontId="195" fillId="34" borderId="243" xfId="0" applyFont="1" applyFill="1" applyBorder="1" applyAlignment="1">
      <alignment horizontal="left" vertical="center"/>
    </xf>
    <xf numFmtId="0" fontId="195" fillId="34" borderId="69" xfId="0" applyFont="1" applyFill="1" applyBorder="1" applyAlignment="1">
      <alignment horizontal="left" vertical="center"/>
    </xf>
    <xf numFmtId="0" fontId="195" fillId="34" borderId="263" xfId="0" applyFont="1" applyFill="1" applyBorder="1" applyAlignment="1">
      <alignment horizontal="left" vertical="center"/>
    </xf>
    <xf numFmtId="4" fontId="186" fillId="34" borderId="264" xfId="0" applyNumberFormat="1" applyFont="1" applyFill="1" applyBorder="1" applyAlignment="1">
      <alignment horizontal="center" vertical="center" wrapText="1"/>
    </xf>
    <xf numFmtId="4" fontId="186" fillId="0" borderId="0" xfId="0" applyNumberFormat="1" applyFont="1" applyBorder="1" applyAlignment="1">
      <alignment horizontal="center" vertical="center"/>
    </xf>
    <xf numFmtId="4" fontId="22" fillId="0" borderId="59" xfId="0" applyNumberFormat="1" applyFont="1" applyBorder="1" applyAlignment="1" applyProtection="1">
      <alignment horizontal="center"/>
      <protection locked="0"/>
    </xf>
    <xf numFmtId="4" fontId="22" fillId="0" borderId="43" xfId="0" applyNumberFormat="1" applyFont="1" applyBorder="1" applyAlignment="1" applyProtection="1">
      <alignment horizontal="center"/>
      <protection locked="0"/>
    </xf>
    <xf numFmtId="49" fontId="196" fillId="0" borderId="59" xfId="0" applyNumberFormat="1" applyFont="1" applyBorder="1" applyAlignment="1" applyProtection="1">
      <alignment horizontal="center"/>
      <protection locked="0"/>
    </xf>
    <xf numFmtId="49" fontId="196" fillId="0" borderId="41" xfId="0" applyNumberFormat="1" applyFont="1" applyBorder="1" applyAlignment="1" applyProtection="1">
      <alignment horizontal="center"/>
      <protection locked="0"/>
    </xf>
    <xf numFmtId="49" fontId="196" fillId="0" borderId="43" xfId="0" applyNumberFormat="1" applyFont="1" applyBorder="1" applyAlignment="1" applyProtection="1">
      <alignment horizontal="center"/>
      <protection locked="0"/>
    </xf>
    <xf numFmtId="4" fontId="22" fillId="0" borderId="23" xfId="0" applyNumberFormat="1" applyFont="1" applyBorder="1" applyAlignment="1" applyProtection="1">
      <alignment horizontal="center"/>
      <protection locked="0"/>
    </xf>
    <xf numFmtId="0" fontId="155" fillId="0" borderId="0" xfId="0" applyFont="1" applyBorder="1" applyAlignment="1" applyProtection="1">
      <alignment horizontal="left" vertical="center" indent="10"/>
      <protection locked="0"/>
    </xf>
    <xf numFmtId="0" fontId="186" fillId="0" borderId="0" xfId="0" applyFont="1" applyAlignment="1" applyProtection="1">
      <alignment horizontal="left"/>
      <protection locked="0"/>
    </xf>
    <xf numFmtId="4" fontId="155" fillId="0" borderId="0" xfId="0" quotePrefix="1" applyNumberFormat="1" applyFont="1" applyBorder="1" applyAlignment="1" applyProtection="1">
      <alignment horizontal="center"/>
      <protection locked="0"/>
    </xf>
    <xf numFmtId="0" fontId="157" fillId="0" borderId="0" xfId="0" applyFont="1" applyBorder="1" applyAlignment="1" applyProtection="1">
      <alignment horizontal="center" vertical="center"/>
      <protection locked="0"/>
    </xf>
    <xf numFmtId="4" fontId="178" fillId="0" borderId="0" xfId="0" applyNumberFormat="1" applyFont="1" applyBorder="1" applyAlignment="1" applyProtection="1">
      <alignment horizontal="center" vertical="center"/>
      <protection locked="0"/>
    </xf>
    <xf numFmtId="4" fontId="157" fillId="0" borderId="0" xfId="0" quotePrefix="1" applyNumberFormat="1" applyFont="1" applyBorder="1" applyAlignment="1" applyProtection="1">
      <alignment horizontal="center" vertical="center"/>
      <protection locked="0"/>
    </xf>
    <xf numFmtId="0" fontId="155" fillId="0" borderId="0" xfId="0" applyFont="1" applyBorder="1" applyAlignment="1" applyProtection="1">
      <alignment horizontal="center"/>
      <protection locked="0"/>
    </xf>
    <xf numFmtId="4" fontId="155" fillId="0" borderId="0" xfId="0" applyNumberFormat="1" applyFont="1" applyBorder="1" applyAlignment="1" applyProtection="1">
      <alignment horizontal="center" vertical="center"/>
      <protection locked="0"/>
    </xf>
    <xf numFmtId="0" fontId="201" fillId="0" borderId="0" xfId="0" applyFont="1" applyAlignment="1" applyProtection="1">
      <alignment horizontal="left"/>
      <protection locked="0"/>
    </xf>
    <xf numFmtId="0" fontId="22" fillId="34" borderId="23" xfId="0" applyFont="1" applyFill="1" applyBorder="1" applyAlignment="1">
      <alignment horizontal="left"/>
    </xf>
    <xf numFmtId="0" fontId="0" fillId="34" borderId="23" xfId="0" applyFill="1" applyBorder="1" applyAlignment="1">
      <alignment horizontal="left"/>
    </xf>
    <xf numFmtId="4" fontId="22" fillId="0" borderId="23" xfId="0" applyNumberFormat="1" applyFont="1" applyBorder="1" applyAlignment="1" applyProtection="1">
      <alignment horizontal="center" vertical="center" wrapText="1"/>
      <protection locked="0"/>
    </xf>
    <xf numFmtId="4" fontId="0" fillId="0" borderId="23" xfId="0" applyNumberFormat="1" applyBorder="1" applyAlignment="1" applyProtection="1">
      <alignment horizontal="center" vertical="center" wrapText="1"/>
      <protection locked="0"/>
    </xf>
    <xf numFmtId="4" fontId="0" fillId="0" borderId="0" xfId="0" applyNumberFormat="1" applyBorder="1" applyAlignment="1">
      <alignment horizontal="center"/>
    </xf>
    <xf numFmtId="4" fontId="138" fillId="0" borderId="0" xfId="0" applyNumberFormat="1" applyFont="1" applyBorder="1" applyAlignment="1" applyProtection="1">
      <alignment horizontal="center"/>
      <protection locked="0"/>
    </xf>
    <xf numFmtId="4" fontId="138" fillId="0" borderId="0" xfId="0" quotePrefix="1" applyNumberFormat="1" applyFont="1" applyBorder="1" applyAlignment="1" applyProtection="1">
      <alignment horizontal="center"/>
      <protection locked="0"/>
    </xf>
    <xf numFmtId="0" fontId="49" fillId="0" borderId="0" xfId="44" applyFont="1" applyAlignment="1" applyProtection="1">
      <alignment horizontal="center" vertical="center" wrapText="1"/>
    </xf>
    <xf numFmtId="0" fontId="62" fillId="0" borderId="0" xfId="44" applyFont="1" applyAlignment="1" applyProtection="1">
      <alignment horizontal="center" vertical="center" wrapText="1"/>
    </xf>
    <xf numFmtId="0" fontId="56" fillId="0" borderId="0" xfId="44" applyFont="1" applyAlignment="1" applyProtection="1">
      <alignment horizontal="center" vertical="center"/>
      <protection locked="0"/>
    </xf>
    <xf numFmtId="0" fontId="56" fillId="0" borderId="0" xfId="44" applyFont="1" applyAlignment="1" applyProtection="1">
      <alignment horizontal="center" vertical="center" wrapText="1"/>
      <protection locked="0"/>
    </xf>
    <xf numFmtId="0" fontId="69" fillId="0" borderId="0" xfId="44" applyFont="1" applyAlignment="1" applyProtection="1">
      <alignment horizontal="center" vertical="center"/>
      <protection locked="0"/>
    </xf>
    <xf numFmtId="0" fontId="69" fillId="0" borderId="0" xfId="44" applyFont="1" applyAlignment="1" applyProtection="1">
      <alignment horizontal="right"/>
      <protection locked="0"/>
    </xf>
    <xf numFmtId="0" fontId="19" fillId="0" borderId="0" xfId="44" applyFont="1" applyAlignment="1" applyProtection="1">
      <alignment horizontal="center" vertical="center"/>
      <protection locked="0"/>
    </xf>
    <xf numFmtId="0" fontId="70" fillId="0" borderId="0" xfId="44" applyFont="1" applyAlignment="1" applyProtection="1">
      <alignment horizontal="center" vertical="center"/>
      <protection locked="0"/>
    </xf>
    <xf numFmtId="0" fontId="202" fillId="0" borderId="0" xfId="44" applyFont="1" applyAlignment="1" applyProtection="1">
      <alignment horizontal="center" vertical="center" wrapText="1"/>
      <protection locked="0"/>
    </xf>
    <xf numFmtId="0" fontId="56" fillId="0" borderId="0" xfId="44" applyFont="1" applyAlignment="1" applyProtection="1">
      <alignment horizontal="left" vertical="top"/>
      <protection locked="0"/>
    </xf>
    <xf numFmtId="0" fontId="56" fillId="0" borderId="0" xfId="44" applyFont="1" applyBorder="1" applyAlignment="1" applyProtection="1">
      <alignment horizontal="right" vertical="center"/>
      <protection locked="0"/>
    </xf>
    <xf numFmtId="0" fontId="63" fillId="34" borderId="265" xfId="44" applyFont="1" applyFill="1" applyBorder="1" applyAlignment="1">
      <alignment horizontal="center" vertical="center"/>
    </xf>
    <xf numFmtId="0" fontId="63" fillId="34" borderId="54" xfId="44" applyFont="1" applyFill="1" applyBorder="1" applyAlignment="1">
      <alignment horizontal="center" vertical="center"/>
    </xf>
    <xf numFmtId="0" fontId="63" fillId="34" borderId="240" xfId="44" applyFont="1" applyFill="1" applyBorder="1" applyAlignment="1">
      <alignment horizontal="center" vertical="center"/>
    </xf>
    <xf numFmtId="0" fontId="64" fillId="34" borderId="41" xfId="44" applyFont="1" applyFill="1" applyBorder="1" applyAlignment="1">
      <alignment horizontal="left" vertical="center" wrapText="1"/>
    </xf>
    <xf numFmtId="0" fontId="64" fillId="34" borderId="43" xfId="44" applyFont="1" applyFill="1" applyBorder="1" applyAlignment="1">
      <alignment horizontal="left" vertical="center" wrapText="1"/>
    </xf>
    <xf numFmtId="0" fontId="64" fillId="34" borderId="48" xfId="44" applyFont="1" applyFill="1" applyBorder="1" applyAlignment="1">
      <alignment horizontal="left" vertical="center" wrapText="1"/>
    </xf>
    <xf numFmtId="0" fontId="64" fillId="34" borderId="49" xfId="44" applyFont="1" applyFill="1" applyBorder="1" applyAlignment="1">
      <alignment horizontal="left" vertical="center" wrapText="1"/>
    </xf>
    <xf numFmtId="0" fontId="64" fillId="34" borderId="233" xfId="44" applyFont="1" applyFill="1" applyBorder="1" applyAlignment="1">
      <alignment horizontal="left" vertical="center" wrapText="1"/>
    </xf>
    <xf numFmtId="0" fontId="23" fillId="34" borderId="242" xfId="0" applyFont="1" applyFill="1" applyBorder="1" applyAlignment="1">
      <alignment horizontal="center"/>
    </xf>
    <xf numFmtId="0" fontId="23" fillId="34" borderId="58" xfId="0" applyFont="1" applyFill="1" applyBorder="1" applyAlignment="1">
      <alignment horizontal="center"/>
    </xf>
    <xf numFmtId="0" fontId="23" fillId="34" borderId="35" xfId="0" applyFont="1" applyFill="1" applyBorder="1" applyAlignment="1">
      <alignment horizontal="center"/>
    </xf>
    <xf numFmtId="0" fontId="21" fillId="34" borderId="243" xfId="0" applyFont="1" applyFill="1" applyBorder="1" applyAlignment="1">
      <alignment horizontal="center" vertical="center"/>
    </xf>
    <xf numFmtId="0" fontId="21" fillId="34" borderId="69" xfId="0" applyFont="1" applyFill="1" applyBorder="1" applyAlignment="1">
      <alignment horizontal="center" vertical="center"/>
    </xf>
    <xf numFmtId="0" fontId="21" fillId="34" borderId="234" xfId="0" applyFont="1" applyFill="1" applyBorder="1" applyAlignment="1">
      <alignment horizontal="center" vertical="center"/>
    </xf>
    <xf numFmtId="0" fontId="23" fillId="0" borderId="0" xfId="0" applyFont="1" applyAlignment="1" applyProtection="1">
      <alignment horizontal="center" vertical="center"/>
    </xf>
    <xf numFmtId="0" fontId="71" fillId="0" borderId="0" xfId="0" applyFont="1" applyAlignment="1" applyProtection="1">
      <alignment horizontal="center"/>
    </xf>
    <xf numFmtId="0" fontId="0" fillId="0" borderId="0" xfId="0" applyAlignment="1" applyProtection="1">
      <alignment horizontal="center" vertical="center"/>
      <protection locked="0"/>
    </xf>
    <xf numFmtId="2" fontId="91" fillId="32" borderId="0" xfId="0" applyNumberFormat="1" applyFont="1" applyFill="1" applyAlignment="1" applyProtection="1">
      <alignment horizontal="center" vertical="top"/>
    </xf>
    <xf numFmtId="0" fontId="189" fillId="0" borderId="0" xfId="0" applyFont="1" applyAlignment="1" applyProtection="1">
      <alignment horizontal="center"/>
      <protection locked="0"/>
    </xf>
    <xf numFmtId="0" fontId="47" fillId="0" borderId="0" xfId="0" applyFont="1" applyAlignment="1" applyProtection="1">
      <alignment horizontal="center" vertical="top"/>
      <protection locked="0"/>
    </xf>
    <xf numFmtId="0" fontId="22" fillId="0" borderId="0" xfId="0" applyFont="1" applyAlignment="1" applyProtection="1">
      <alignment horizontal="center" vertical="top"/>
      <protection locked="0"/>
    </xf>
    <xf numFmtId="0" fontId="47" fillId="0" borderId="0" xfId="0" applyFont="1" applyAlignment="1" applyProtection="1">
      <alignment horizontal="center" vertical="top" wrapText="1"/>
      <protection locked="0"/>
    </xf>
    <xf numFmtId="4" fontId="57" fillId="0" borderId="0" xfId="45" applyNumberFormat="1" applyFont="1" applyAlignment="1" applyProtection="1">
      <alignment horizontal="center"/>
      <protection locked="0"/>
    </xf>
    <xf numFmtId="4" fontId="87" fillId="0" borderId="0" xfId="45" applyNumberFormat="1" applyFont="1" applyAlignment="1" applyProtection="1">
      <alignment horizontal="center" vertical="center"/>
      <protection locked="0"/>
    </xf>
    <xf numFmtId="0" fontId="17" fillId="34" borderId="243" xfId="45" applyFont="1" applyFill="1" applyBorder="1" applyAlignment="1">
      <alignment horizontal="center" vertical="center" wrapText="1"/>
    </xf>
    <xf numFmtId="0" fontId="17" fillId="34" borderId="69" xfId="45" applyFont="1" applyFill="1" applyBorder="1" applyAlignment="1">
      <alignment horizontal="center" vertical="center" wrapText="1"/>
    </xf>
    <xf numFmtId="0" fontId="17" fillId="34" borderId="234" xfId="45" applyFont="1" applyFill="1" applyBorder="1" applyAlignment="1">
      <alignment horizontal="center" vertical="center" wrapText="1"/>
    </xf>
    <xf numFmtId="0" fontId="17" fillId="34" borderId="226" xfId="45" applyFont="1" applyFill="1" applyBorder="1" applyAlignment="1">
      <alignment horizontal="center" vertical="center" wrapText="1"/>
    </xf>
    <xf numFmtId="0" fontId="17" fillId="34" borderId="73" xfId="45" applyFont="1" applyFill="1" applyBorder="1" applyAlignment="1">
      <alignment horizontal="center" vertical="center" wrapText="1"/>
    </xf>
    <xf numFmtId="0" fontId="17" fillId="34" borderId="236" xfId="45" applyFont="1" applyFill="1" applyBorder="1" applyAlignment="1">
      <alignment horizontal="center" vertical="center" wrapText="1"/>
    </xf>
    <xf numFmtId="0" fontId="38" fillId="0" borderId="0" xfId="45" applyFont="1" applyAlignment="1" applyProtection="1">
      <alignment horizontal="center" vertical="center" wrapText="1"/>
    </xf>
    <xf numFmtId="0" fontId="75" fillId="0" borderId="0" xfId="45" applyFont="1" applyAlignment="1" applyProtection="1">
      <alignment horizontal="center" vertical="top" wrapText="1"/>
    </xf>
    <xf numFmtId="0" fontId="50" fillId="0" borderId="0" xfId="45" applyFont="1" applyAlignment="1" applyProtection="1">
      <alignment horizontal="center" vertical="top" wrapText="1"/>
    </xf>
    <xf numFmtId="0" fontId="52" fillId="0" borderId="0" xfId="45" applyFont="1" applyAlignment="1" applyProtection="1">
      <alignment horizontal="center" vertical="top"/>
      <protection locked="0"/>
    </xf>
    <xf numFmtId="0" fontId="53" fillId="0" borderId="0" xfId="45" applyFont="1" applyAlignment="1" applyProtection="1">
      <alignment horizontal="center" vertical="center" wrapText="1"/>
      <protection locked="0"/>
    </xf>
    <xf numFmtId="4" fontId="57" fillId="0" borderId="69" xfId="45" applyNumberFormat="1" applyFont="1" applyBorder="1" applyAlignment="1" applyProtection="1">
      <alignment horizontal="center"/>
      <protection locked="0"/>
    </xf>
    <xf numFmtId="4" fontId="91" fillId="32" borderId="0" xfId="0" applyNumberFormat="1" applyFont="1" applyFill="1" applyAlignment="1" applyProtection="1">
      <alignment horizontal="center" vertical="top"/>
    </xf>
    <xf numFmtId="0" fontId="182" fillId="0" borderId="0" xfId="56" applyFont="1" applyBorder="1" applyAlignment="1" applyProtection="1">
      <alignment horizontal="left"/>
      <protection locked="0"/>
    </xf>
    <xf numFmtId="0" fontId="183" fillId="0" borderId="0" xfId="56" applyFont="1" applyAlignment="1" applyProtection="1">
      <alignment horizontal="left" vertical="center"/>
      <protection locked="0"/>
    </xf>
    <xf numFmtId="0" fontId="179" fillId="34" borderId="77" xfId="56" applyFont="1" applyFill="1" applyBorder="1" applyAlignment="1">
      <alignment horizontal="left" vertical="center" wrapText="1"/>
    </xf>
    <xf numFmtId="0" fontId="179" fillId="34" borderId="266" xfId="56" applyFont="1" applyFill="1" applyBorder="1" applyAlignment="1">
      <alignment horizontal="left" vertical="center" wrapText="1"/>
    </xf>
    <xf numFmtId="0" fontId="180" fillId="34" borderId="229" xfId="56" applyFont="1" applyFill="1" applyBorder="1" applyAlignment="1">
      <alignment horizontal="left"/>
    </xf>
    <xf numFmtId="0" fontId="1" fillId="34" borderId="267" xfId="56" applyFill="1" applyBorder="1" applyAlignment="1">
      <alignment horizontal="left"/>
    </xf>
    <xf numFmtId="0" fontId="179" fillId="34" borderId="28" xfId="56" applyFont="1" applyFill="1" applyBorder="1" applyAlignment="1">
      <alignment horizontal="left" vertical="center"/>
    </xf>
    <xf numFmtId="0" fontId="179" fillId="34" borderId="217" xfId="56" applyFont="1" applyFill="1" applyBorder="1" applyAlignment="1">
      <alignment horizontal="left" vertical="center"/>
    </xf>
    <xf numFmtId="0" fontId="1" fillId="0" borderId="0" xfId="56" applyBorder="1" applyAlignment="1" applyProtection="1">
      <alignment horizontal="center"/>
      <protection locked="0"/>
    </xf>
    <xf numFmtId="0" fontId="182" fillId="0" borderId="0" xfId="56" applyFont="1" applyAlignment="1" applyProtection="1">
      <alignment horizontal="left"/>
      <protection locked="0"/>
    </xf>
    <xf numFmtId="0" fontId="20" fillId="0" borderId="0" xfId="56" applyFont="1" applyAlignment="1">
      <alignment horizontal="center" vertical="center"/>
    </xf>
    <xf numFmtId="0" fontId="21" fillId="0" borderId="0" xfId="56" applyFont="1" applyAlignment="1">
      <alignment horizontal="center" vertical="center"/>
    </xf>
    <xf numFmtId="0" fontId="1" fillId="0" borderId="0" xfId="56" applyFont="1" applyAlignment="1" applyProtection="1">
      <alignment horizontal="center" vertical="center"/>
      <protection locked="0"/>
    </xf>
    <xf numFmtId="0" fontId="1" fillId="0" borderId="0" xfId="56" applyFont="1" applyBorder="1" applyAlignment="1" applyProtection="1">
      <alignment horizontal="center"/>
      <protection locked="0"/>
    </xf>
    <xf numFmtId="0" fontId="179" fillId="34" borderId="243" xfId="56" applyFont="1" applyFill="1" applyBorder="1" applyAlignment="1">
      <alignment horizontal="left" vertical="center" wrapText="1"/>
    </xf>
    <xf numFmtId="0" fontId="179" fillId="34" borderId="165" xfId="56" applyFont="1" applyFill="1" applyBorder="1" applyAlignment="1">
      <alignment horizontal="left" vertical="center" wrapText="1"/>
    </xf>
    <xf numFmtId="0" fontId="179" fillId="34" borderId="12" xfId="56" applyFont="1" applyFill="1" applyBorder="1" applyAlignment="1">
      <alignment horizontal="left" vertical="center" wrapText="1"/>
    </xf>
    <xf numFmtId="0" fontId="179" fillId="34" borderId="45" xfId="56" applyFont="1" applyFill="1" applyBorder="1" applyAlignment="1">
      <alignment horizontal="left" vertical="center" wrapText="1"/>
    </xf>
    <xf numFmtId="0" fontId="179" fillId="34" borderId="268" xfId="56" applyFont="1" applyFill="1" applyBorder="1" applyAlignment="1">
      <alignment horizontal="center" vertical="center"/>
    </xf>
    <xf numFmtId="0" fontId="179" fillId="34" borderId="269" xfId="56" applyFont="1" applyFill="1" applyBorder="1" applyAlignment="1">
      <alignment horizontal="center" vertical="center"/>
    </xf>
    <xf numFmtId="0" fontId="179" fillId="34" borderId="270" xfId="56" applyFont="1" applyFill="1" applyBorder="1" applyAlignment="1">
      <alignment horizontal="center" vertical="center"/>
    </xf>
    <xf numFmtId="4" fontId="159" fillId="0" borderId="0" xfId="0" applyNumberFormat="1" applyFont="1" applyBorder="1" applyAlignment="1" applyProtection="1">
      <alignment horizontal="center"/>
      <protection locked="0"/>
    </xf>
    <xf numFmtId="4" fontId="264" fillId="0" borderId="0" xfId="0" applyNumberFormat="1" applyFont="1" applyBorder="1" applyAlignment="1" applyProtection="1">
      <alignment horizontal="center"/>
    </xf>
    <xf numFmtId="4" fontId="89" fillId="0" borderId="0" xfId="0" applyNumberFormat="1" applyFont="1" applyBorder="1" applyAlignment="1" applyProtection="1">
      <alignment horizontal="center"/>
    </xf>
    <xf numFmtId="4" fontId="1" fillId="0" borderId="0" xfId="0" applyNumberFormat="1" applyFont="1" applyBorder="1" applyAlignment="1" applyProtection="1">
      <alignment horizontal="center"/>
      <protection locked="0"/>
    </xf>
    <xf numFmtId="4" fontId="1" fillId="0" borderId="296" xfId="0" applyNumberFormat="1" applyFont="1" applyBorder="1" applyAlignment="1" applyProtection="1">
      <alignment horizontal="center"/>
      <protection locked="0"/>
    </xf>
    <xf numFmtId="4" fontId="0" fillId="0" borderId="297" xfId="0" applyNumberFormat="1" applyBorder="1" applyAlignment="1" applyProtection="1">
      <alignment horizontal="center"/>
      <protection locked="0"/>
    </xf>
    <xf numFmtId="4" fontId="157" fillId="34" borderId="243" xfId="0" applyNumberFormat="1" applyFont="1" applyFill="1" applyBorder="1" applyAlignment="1">
      <alignment horizontal="center" wrapText="1"/>
    </xf>
    <xf numFmtId="4" fontId="157" fillId="34" borderId="12" xfId="0" applyNumberFormat="1" applyFont="1" applyFill="1" applyBorder="1" applyAlignment="1">
      <alignment horizontal="center" wrapText="1"/>
    </xf>
    <xf numFmtId="4" fontId="138" fillId="34" borderId="298" xfId="0" applyNumberFormat="1" applyFont="1" applyFill="1" applyBorder="1" applyAlignment="1">
      <alignment horizontal="center" wrapText="1"/>
    </xf>
    <xf numFmtId="4" fontId="138" fillId="34" borderId="175" xfId="0" applyNumberFormat="1" applyFont="1" applyFill="1" applyBorder="1" applyAlignment="1">
      <alignment horizontal="center" wrapText="1"/>
    </xf>
    <xf numFmtId="4" fontId="138" fillId="34" borderId="69" xfId="0" applyNumberFormat="1" applyFont="1" applyFill="1" applyBorder="1" applyAlignment="1">
      <alignment horizontal="center" wrapText="1"/>
    </xf>
    <xf numFmtId="4" fontId="138" fillId="34" borderId="299" xfId="0" applyNumberFormat="1" applyFont="1" applyFill="1" applyBorder="1" applyAlignment="1">
      <alignment horizontal="center" wrapText="1"/>
    </xf>
    <xf numFmtId="4" fontId="138" fillId="34" borderId="300" xfId="0" applyNumberFormat="1" applyFont="1" applyFill="1" applyBorder="1" applyAlignment="1">
      <alignment horizontal="center" wrapText="1"/>
    </xf>
    <xf numFmtId="4" fontId="138" fillId="34" borderId="263" xfId="0" applyNumberFormat="1" applyFont="1" applyFill="1" applyBorder="1" applyAlignment="1">
      <alignment horizontal="center" wrapText="1"/>
    </xf>
    <xf numFmtId="4" fontId="138" fillId="34" borderId="32" xfId="0" applyNumberFormat="1" applyFont="1" applyFill="1" applyBorder="1" applyAlignment="1">
      <alignment horizontal="center" wrapText="1"/>
    </xf>
    <xf numFmtId="4" fontId="161" fillId="34" borderId="14" xfId="0" applyNumberFormat="1" applyFont="1" applyFill="1" applyBorder="1" applyAlignment="1">
      <alignment horizontal="center" wrapText="1"/>
    </xf>
    <xf numFmtId="4" fontId="160" fillId="34" borderId="285" xfId="0" applyNumberFormat="1" applyFont="1" applyFill="1" applyBorder="1" applyAlignment="1">
      <alignment horizontal="center" wrapText="1"/>
    </xf>
    <xf numFmtId="4" fontId="160" fillId="34" borderId="0" xfId="0" applyNumberFormat="1" applyFont="1" applyFill="1" applyBorder="1" applyAlignment="1">
      <alignment horizontal="center" wrapText="1"/>
    </xf>
    <xf numFmtId="4" fontId="23" fillId="34" borderId="12" xfId="0" applyNumberFormat="1" applyFont="1" applyFill="1" applyBorder="1" applyAlignment="1">
      <alignment horizontal="center" vertical="top" wrapText="1"/>
    </xf>
    <xf numFmtId="4" fontId="25" fillId="34" borderId="14" xfId="0" applyNumberFormat="1" applyFont="1" applyFill="1" applyBorder="1" applyAlignment="1">
      <alignment horizontal="center" vertical="center" wrapText="1"/>
    </xf>
    <xf numFmtId="4" fontId="160" fillId="34" borderId="309" xfId="0" applyNumberFormat="1" applyFont="1" applyFill="1" applyBorder="1" applyAlignment="1">
      <alignment horizontal="center" wrapText="1"/>
    </xf>
    <xf numFmtId="4" fontId="160" fillId="34" borderId="74" xfId="0" applyNumberFormat="1" applyFont="1" applyFill="1" applyBorder="1" applyAlignment="1">
      <alignment horizontal="center" wrapText="1"/>
    </xf>
    <xf numFmtId="4" fontId="160" fillId="34" borderId="40" xfId="0" applyNumberFormat="1" applyFont="1" applyFill="1" applyBorder="1" applyAlignment="1">
      <alignment horizontal="center" wrapText="1"/>
    </xf>
    <xf numFmtId="4" fontId="73" fillId="34" borderId="309" xfId="0" applyNumberFormat="1" applyFont="1" applyFill="1" applyBorder="1" applyAlignment="1">
      <alignment horizontal="center" vertical="center" wrapText="1"/>
    </xf>
    <xf numFmtId="4" fontId="73" fillId="34" borderId="152" xfId="0" applyNumberFormat="1" applyFont="1" applyFill="1" applyBorder="1" applyAlignment="1">
      <alignment horizontal="center" vertical="center" wrapText="1"/>
    </xf>
    <xf numFmtId="4" fontId="138" fillId="34" borderId="264" xfId="0" applyNumberFormat="1" applyFont="1" applyFill="1" applyBorder="1" applyAlignment="1">
      <alignment horizontal="center" wrapText="1"/>
    </xf>
    <xf numFmtId="4" fontId="1" fillId="34" borderId="287" xfId="0" applyNumberFormat="1" applyFont="1" applyFill="1" applyBorder="1" applyAlignment="1">
      <alignment horizontal="center" wrapText="1"/>
    </xf>
    <xf numFmtId="4" fontId="1" fillId="34" borderId="144" xfId="0" applyNumberFormat="1" applyFont="1" applyFill="1" applyBorder="1" applyAlignment="1">
      <alignment horizontal="center" wrapText="1"/>
    </xf>
    <xf numFmtId="4" fontId="1" fillId="34" borderId="17" xfId="0" applyNumberFormat="1" applyFont="1" applyFill="1" applyBorder="1" applyAlignment="1">
      <alignment horizontal="center" wrapText="1"/>
    </xf>
    <xf numFmtId="4" fontId="1" fillId="34" borderId="301" xfId="0" applyNumberFormat="1" applyFont="1" applyFill="1" applyBorder="1" applyAlignment="1">
      <alignment horizontal="center" wrapText="1"/>
    </xf>
    <xf numFmtId="4" fontId="1" fillId="34" borderId="302" xfId="0" applyNumberFormat="1" applyFont="1" applyFill="1" applyBorder="1" applyAlignment="1">
      <alignment horizontal="center" wrapText="1"/>
    </xf>
    <xf numFmtId="4" fontId="1" fillId="34" borderId="93" xfId="0" applyNumberFormat="1" applyFont="1" applyFill="1" applyBorder="1" applyAlignment="1">
      <alignment horizontal="center" wrapText="1"/>
    </xf>
    <xf numFmtId="4" fontId="1" fillId="34" borderId="18" xfId="0" applyNumberFormat="1" applyFont="1" applyFill="1" applyBorder="1" applyAlignment="1">
      <alignment horizontal="center" wrapText="1"/>
    </xf>
    <xf numFmtId="4" fontId="1" fillId="34" borderId="148" xfId="0" applyNumberFormat="1" applyFont="1" applyFill="1" applyBorder="1" applyAlignment="1">
      <alignment horizontal="center" wrapText="1"/>
    </xf>
    <xf numFmtId="4" fontId="1" fillId="34" borderId="147" xfId="0" applyNumberFormat="1" applyFont="1" applyFill="1" applyBorder="1" applyAlignment="1">
      <alignment horizontal="center" wrapText="1"/>
    </xf>
    <xf numFmtId="4" fontId="25" fillId="34" borderId="113" xfId="0" applyNumberFormat="1" applyFont="1" applyFill="1" applyBorder="1" applyAlignment="1">
      <alignment horizontal="center" vertical="center" wrapText="1"/>
    </xf>
    <xf numFmtId="4" fontId="1" fillId="34" borderId="287" xfId="0" applyNumberFormat="1" applyFont="1" applyFill="1" applyBorder="1" applyAlignment="1">
      <alignment horizontal="center" vertical="center" wrapText="1"/>
    </xf>
    <xf numFmtId="4" fontId="1" fillId="34" borderId="302" xfId="0" applyNumberFormat="1" applyFont="1" applyFill="1" applyBorder="1" applyAlignment="1">
      <alignment horizontal="center" vertical="center" wrapText="1"/>
    </xf>
    <xf numFmtId="4" fontId="160" fillId="34" borderId="36" xfId="0" applyNumberFormat="1" applyFont="1" applyFill="1" applyBorder="1" applyAlignment="1">
      <alignment horizontal="center" wrapText="1"/>
    </xf>
    <xf numFmtId="4" fontId="1" fillId="34" borderId="148" xfId="0" applyNumberFormat="1" applyFont="1" applyFill="1" applyBorder="1" applyAlignment="1">
      <alignment horizontal="center" vertical="center" wrapText="1"/>
    </xf>
    <xf numFmtId="4" fontId="1" fillId="34" borderId="147" xfId="0" applyNumberFormat="1" applyFont="1" applyFill="1" applyBorder="1" applyAlignment="1">
      <alignment horizontal="center" vertical="center" wrapText="1"/>
    </xf>
    <xf numFmtId="4" fontId="1" fillId="34" borderId="288" xfId="0" applyNumberFormat="1" applyFont="1" applyFill="1" applyBorder="1" applyAlignment="1">
      <alignment horizontal="center" vertical="top" wrapText="1"/>
    </xf>
    <xf numFmtId="4" fontId="1" fillId="34" borderId="171" xfId="0" applyNumberFormat="1" applyFont="1" applyFill="1" applyBorder="1" applyAlignment="1">
      <alignment horizontal="center" vertical="top" wrapText="1"/>
    </xf>
    <xf numFmtId="4" fontId="1" fillId="34" borderId="36" xfId="0" applyNumberFormat="1" applyFont="1" applyFill="1" applyBorder="1" applyAlignment="1">
      <alignment horizontal="center" vertical="top" wrapText="1"/>
    </xf>
    <xf numFmtId="4" fontId="1" fillId="34" borderId="310" xfId="0" applyNumberFormat="1" applyFont="1" applyFill="1" applyBorder="1" applyAlignment="1">
      <alignment horizontal="center" vertical="top" wrapText="1"/>
    </xf>
    <xf numFmtId="4" fontId="1" fillId="34" borderId="85" xfId="0" applyNumberFormat="1" applyFont="1" applyFill="1" applyBorder="1" applyAlignment="1">
      <alignment horizontal="center" vertical="top" wrapText="1"/>
    </xf>
    <xf numFmtId="4" fontId="1" fillId="34" borderId="174" xfId="0" applyNumberFormat="1" applyFont="1" applyFill="1" applyBorder="1" applyAlignment="1">
      <alignment horizontal="center" vertical="top" wrapText="1"/>
    </xf>
    <xf numFmtId="4" fontId="1" fillId="34" borderId="309" xfId="0" applyNumberFormat="1" applyFont="1" applyFill="1" applyBorder="1" applyAlignment="1">
      <alignment horizontal="center" vertical="top" wrapText="1"/>
    </xf>
    <xf numFmtId="4" fontId="1" fillId="34" borderId="74" xfId="0" applyNumberFormat="1" applyFont="1" applyFill="1" applyBorder="1" applyAlignment="1">
      <alignment horizontal="center" vertical="top" wrapText="1"/>
    </xf>
    <xf numFmtId="4" fontId="1" fillId="34" borderId="40" xfId="0" applyNumberFormat="1" applyFont="1" applyFill="1" applyBorder="1" applyAlignment="1">
      <alignment horizontal="center" vertical="top" wrapText="1"/>
    </xf>
    <xf numFmtId="4" fontId="0" fillId="34" borderId="174" xfId="0" applyNumberFormat="1" applyFill="1" applyBorder="1"/>
    <xf numFmtId="4" fontId="1" fillId="34" borderId="304" xfId="0" applyNumberFormat="1" applyFont="1" applyFill="1" applyBorder="1" applyAlignment="1">
      <alignment horizontal="center" vertical="top" wrapText="1"/>
    </xf>
    <xf numFmtId="4" fontId="0" fillId="34" borderId="304" xfId="0" applyNumberFormat="1" applyFill="1" applyBorder="1"/>
    <xf numFmtId="4" fontId="109" fillId="34" borderId="291" xfId="0" applyNumberFormat="1" applyFont="1" applyFill="1" applyBorder="1" applyAlignment="1">
      <alignment horizontal="center" wrapText="1"/>
    </xf>
    <xf numFmtId="4" fontId="109" fillId="34" borderId="174" xfId="0" applyNumberFormat="1" applyFont="1" applyFill="1" applyBorder="1" applyAlignment="1">
      <alignment horizontal="center" wrapText="1"/>
    </xf>
    <xf numFmtId="4" fontId="160" fillId="34" borderId="291" xfId="0" applyNumberFormat="1" applyFont="1" applyFill="1" applyBorder="1" applyAlignment="1">
      <alignment horizontal="center" wrapText="1"/>
    </xf>
    <xf numFmtId="4" fontId="160" fillId="34" borderId="174" xfId="0" applyNumberFormat="1" applyFont="1" applyFill="1" applyBorder="1" applyAlignment="1">
      <alignment horizontal="center" wrapText="1"/>
    </xf>
    <xf numFmtId="4" fontId="160" fillId="34" borderId="303" xfId="0" applyNumberFormat="1" applyFont="1" applyFill="1" applyBorder="1" applyAlignment="1">
      <alignment horizontal="center" wrapText="1"/>
    </xf>
    <xf numFmtId="4" fontId="160" fillId="34" borderId="304" xfId="0" applyNumberFormat="1" applyFont="1" applyFill="1" applyBorder="1" applyAlignment="1">
      <alignment horizontal="center" wrapText="1"/>
    </xf>
    <xf numFmtId="4" fontId="138" fillId="34" borderId="291" xfId="0" applyNumberFormat="1" applyFont="1" applyFill="1" applyBorder="1" applyAlignment="1">
      <alignment horizontal="center" wrapText="1"/>
    </xf>
    <xf numFmtId="4" fontId="138" fillId="34" borderId="303" xfId="0" applyNumberFormat="1" applyFont="1" applyFill="1" applyBorder="1" applyAlignment="1">
      <alignment horizontal="center" wrapText="1"/>
    </xf>
    <xf numFmtId="4" fontId="138" fillId="34" borderId="295" xfId="0" applyNumberFormat="1" applyFont="1" applyFill="1" applyBorder="1" applyAlignment="1">
      <alignment horizontal="center" wrapText="1"/>
    </xf>
    <xf numFmtId="4" fontId="138" fillId="34" borderId="14" xfId="0" applyNumberFormat="1" applyFont="1" applyFill="1" applyBorder="1" applyAlignment="1">
      <alignment horizontal="center" wrapText="1"/>
    </xf>
    <xf numFmtId="0" fontId="88" fillId="0" borderId="0" xfId="0" applyFont="1" applyAlignment="1" applyProtection="1">
      <alignment vertical="center"/>
      <protection locked="0"/>
    </xf>
    <xf numFmtId="0" fontId="108" fillId="0" borderId="0" xfId="0" applyFont="1" applyAlignment="1" applyProtection="1">
      <protection locked="0"/>
    </xf>
    <xf numFmtId="0" fontId="27" fillId="0" borderId="0" xfId="0" applyFont="1" applyAlignment="1" applyProtection="1">
      <alignment vertical="center"/>
      <protection locked="0"/>
    </xf>
    <xf numFmtId="4" fontId="0" fillId="34" borderId="93" xfId="0" applyNumberFormat="1" applyFill="1" applyBorder="1" applyAlignment="1" applyProtection="1">
      <alignment vertical="center"/>
      <protection locked="0"/>
    </xf>
  </cellXfs>
  <cellStyles count="5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Comma 2" xfId="29"/>
    <cellStyle name="Comma 2 2" xfId="30"/>
    <cellStyle name="Comma 3" xfId="53"/>
    <cellStyle name="Comma 4" xfId="55"/>
    <cellStyle name="Comma_MONTHLY-June-07" xfId="31"/>
    <cellStyle name="Currency" xfId="32" builtinId="4"/>
    <cellStyle name="Explanatory Text" xfId="33" builtinId="53" customBuiltin="1"/>
    <cellStyle name="Good" xfId="34" builtinId="26" customBuiltin="1"/>
    <cellStyle name="Heading 1" xfId="35" builtinId="16" customBuiltin="1"/>
    <cellStyle name="Heading 2" xfId="36" builtinId="17" customBuiltin="1"/>
    <cellStyle name="Heading 3" xfId="37" builtinId="18" customBuiltin="1"/>
    <cellStyle name="Heading 4" xfId="38" builtinId="19" customBuiltin="1"/>
    <cellStyle name="Input" xfId="39" builtinId="20" customBuiltin="1"/>
    <cellStyle name="Linked Cell" xfId="40" builtinId="24" customBuiltin="1"/>
    <cellStyle name="Neutral" xfId="41" builtinId="28" customBuiltin="1"/>
    <cellStyle name="Normal" xfId="0" builtinId="0"/>
    <cellStyle name="Normal 2" xfId="42"/>
    <cellStyle name="Normal 2 2" xfId="43"/>
    <cellStyle name="Normal 2 3" xfId="56"/>
    <cellStyle name="Normal 3" xfId="54"/>
    <cellStyle name="Normal 4" xfId="57"/>
    <cellStyle name="Normal_Format Version 8" xfId="44"/>
    <cellStyle name="Normal_Interest rate risk" xfId="45"/>
    <cellStyle name="Note" xfId="46" builtinId="10" customBuiltin="1"/>
    <cellStyle name="Output" xfId="47" builtinId="21" customBuiltin="1"/>
    <cellStyle name="Percent" xfId="48" builtinId="5"/>
    <cellStyle name="Percent 2" xfId="49"/>
    <cellStyle name="Title" xfId="50" builtinId="15" customBuiltin="1"/>
    <cellStyle name="Total" xfId="51" builtinId="25" customBuiltin="1"/>
    <cellStyle name="Warning Text" xfId="52" builtinId="11" customBuiltin="1"/>
  </cellStyles>
  <dxfs count="1">
    <dxf>
      <fill>
        <patternFill>
          <bgColor indexed="26"/>
        </patternFill>
      </fill>
    </dxf>
  </dxfs>
  <tableStyles count="0" defaultTableStyle="TableStyleMedium9" defaultPivotStyle="PivotStyleLight16"/>
  <colors>
    <mruColors>
      <color rgb="FFFFFFFF"/>
      <color rgb="FFCCFFFF"/>
      <color rgb="FFFFFF99"/>
      <color rgb="FFE7D99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0</xdr:col>
      <xdr:colOff>85725</xdr:colOff>
      <xdr:row>34</xdr:row>
      <xdr:rowOff>66675</xdr:rowOff>
    </xdr:from>
    <xdr:to>
      <xdr:col>4</xdr:col>
      <xdr:colOff>1447800</xdr:colOff>
      <xdr:row>44</xdr:row>
      <xdr:rowOff>100853</xdr:rowOff>
    </xdr:to>
    <xdr:sp macro="" textlink="">
      <xdr:nvSpPr>
        <xdr:cNvPr id="9224" name="Text Box 8"/>
        <xdr:cNvSpPr txBox="1">
          <a:spLocks noChangeArrowheads="1"/>
        </xdr:cNvSpPr>
      </xdr:nvSpPr>
      <xdr:spPr bwMode="auto">
        <a:xfrm>
          <a:off x="85725" y="8560734"/>
          <a:ext cx="5822016" cy="2499472"/>
        </a:xfrm>
        <a:prstGeom prst="rect">
          <a:avLst/>
        </a:prstGeom>
        <a:solidFill>
          <a:srgbClr val="FFFFFF"/>
        </a:solidFill>
        <a:ln w="9525">
          <a:noFill/>
          <a:miter lim="800000"/>
          <a:headEnd/>
          <a:tailEnd/>
        </a:ln>
      </xdr:spPr>
      <xdr:txBody>
        <a:bodyPr vertOverflow="clip" wrap="square" lIns="27432" tIns="22860" rIns="0" bIns="0" anchor="t" upright="1"/>
        <a:lstStyle/>
        <a:p>
          <a:pPr algn="l" rtl="1">
            <a:defRPr sz="1000"/>
          </a:pPr>
          <a:r>
            <a:rPr lang="km-KH" sz="1000" b="0" i="0" u="sng" strike="noStrike">
              <a:solidFill>
                <a:srgbClr val="000000"/>
              </a:solidFill>
              <a:latin typeface="Khmer OS Battambang" pitchFamily="2" charset="0"/>
              <a:cs typeface="Khmer OS Battambang" pitchFamily="2" charset="0"/>
            </a:rPr>
            <a:t>កំណត់សំគាល់ </a:t>
          </a:r>
          <a:r>
            <a:rPr lang="km-KH" sz="1000" b="0" i="0" u="sng" strike="noStrike">
              <a:solidFill>
                <a:srgbClr val="000000"/>
              </a:solidFill>
              <a:latin typeface="Arial"/>
            </a:rPr>
            <a:t>(</a:t>
          </a:r>
          <a:r>
            <a:rPr lang="en-US" sz="1000" b="0" i="0" u="sng" strike="noStrike">
              <a:solidFill>
                <a:srgbClr val="000000"/>
              </a:solidFill>
              <a:latin typeface="Arial"/>
              <a:cs typeface="Arial"/>
            </a:rPr>
            <a:t>Note):</a:t>
          </a:r>
          <a:endParaRPr lang="en-US" sz="1000" b="0" i="0" strike="noStrike">
            <a:solidFill>
              <a:srgbClr val="000000"/>
            </a:solidFill>
            <a:latin typeface="Arial"/>
            <a:cs typeface="Arial"/>
          </a:endParaRPr>
        </a:p>
        <a:p>
          <a:pPr algn="l" rtl="1">
            <a:defRPr sz="1000"/>
          </a:pPr>
          <a:endParaRPr lang="en-US" sz="1000" b="0" i="0" strike="noStrike">
            <a:solidFill>
              <a:srgbClr val="000000"/>
            </a:solidFill>
            <a:latin typeface="Arial"/>
            <a:cs typeface="Arial"/>
          </a:endParaRP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១)   នៅពេលដែលមានភាពលើស គ្រឹះស្ថានធនាគារនិងហិរញ្ញវត្ថុត្រូវពន្យល់</a:t>
          </a:r>
        </a:p>
        <a:p>
          <a:pPr algn="l" rtl="1">
            <a:defRPr sz="1000"/>
          </a:pPr>
          <a:r>
            <a:rPr lang="km-KH" sz="1000" b="0" i="0" strike="noStrike">
              <a:solidFill>
                <a:srgbClr val="000000"/>
              </a:solidFill>
              <a:latin typeface="Khmer OS Battambang" pitchFamily="2" charset="0"/>
              <a:cs typeface="Khmer OS Battambang" pitchFamily="2" charset="0"/>
            </a:rPr>
            <a:t>        ជាលាយលក្ខណ៏អក្សរពីមូលហេតុនិងវិធានការកែតម្រូវ</a:t>
          </a:r>
        </a:p>
        <a:p>
          <a:pPr algn="l" rtl="1">
            <a:defRPr sz="1000"/>
          </a:pPr>
          <a:r>
            <a:rPr lang="km-KH" sz="1000" b="0" i="0" strike="noStrike">
              <a:solidFill>
                <a:srgbClr val="000000"/>
              </a:solidFill>
              <a:latin typeface="Arial"/>
            </a:rPr>
            <a:t>(1)    </a:t>
          </a:r>
          <a:r>
            <a:rPr lang="en-US" sz="1000" b="0" i="0" strike="noStrike">
              <a:solidFill>
                <a:srgbClr val="000000"/>
              </a:solidFill>
              <a:latin typeface="Arial"/>
              <a:cs typeface="Arial"/>
            </a:rPr>
            <a:t>Where there is an excess, the bank shall submit a written explaination of </a:t>
          </a:r>
        </a:p>
        <a:p>
          <a:pPr algn="l" rtl="1">
            <a:defRPr sz="1000"/>
          </a:pPr>
          <a:r>
            <a:rPr lang="en-US" sz="1000" b="0" i="0" strike="noStrike">
              <a:solidFill>
                <a:srgbClr val="000000"/>
              </a:solidFill>
              <a:latin typeface="Arial"/>
              <a:cs typeface="Arial"/>
            </a:rPr>
            <a:t>        the origin of each excess, and the measures taken to remedy the situation</a:t>
          </a:r>
        </a:p>
        <a:p>
          <a:pPr algn="l" rtl="1">
            <a:defRPr sz="1000"/>
          </a:pPr>
          <a:r>
            <a:rPr lang="en-US" sz="1000" b="0" i="0" strike="noStrike">
              <a:solidFill>
                <a:srgbClr val="000000"/>
              </a:solidFill>
              <a:latin typeface="Arial"/>
              <a:cs typeface="Arial"/>
            </a:rPr>
            <a:t>(</a:t>
          </a:r>
          <a:r>
            <a:rPr lang="km-KH" sz="1000" b="0" i="0" strike="noStrike">
              <a:solidFill>
                <a:srgbClr val="000000"/>
              </a:solidFill>
              <a:latin typeface="Khmer OS Battambang" pitchFamily="2" charset="0"/>
              <a:cs typeface="Khmer OS Battambang" pitchFamily="2" charset="0"/>
            </a:rPr>
            <a:t>២)​ ចំនួនទ្រព្យសកម្មសរុបក្នុងតារាងតុល្យ</a:t>
          </a:r>
          <a:r>
            <a:rPr lang="km-KH" sz="1000" b="0" i="0" strike="noStrike">
              <a:solidFill>
                <a:srgbClr val="000000"/>
              </a:solidFill>
              <a:latin typeface="Arial"/>
            </a:rPr>
            <a:t>ការ</a:t>
          </a:r>
        </a:p>
        <a:p>
          <a:pPr algn="l" rtl="1">
            <a:defRPr sz="1000"/>
          </a:pPr>
          <a:r>
            <a:rPr lang="km-KH" sz="1000" b="0" i="0" strike="noStrike">
              <a:solidFill>
                <a:srgbClr val="000000"/>
              </a:solidFill>
              <a:latin typeface="Arial"/>
            </a:rPr>
            <a:t>(2)   </a:t>
          </a:r>
          <a:r>
            <a:rPr lang="en-US" sz="1000" b="0" i="0" strike="noStrike">
              <a:solidFill>
                <a:srgbClr val="000000"/>
              </a:solidFill>
              <a:latin typeface="Arial"/>
              <a:cs typeface="Arial"/>
            </a:rPr>
            <a:t>Total assets on the balance sheet</a:t>
          </a: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៣)  ចំនួនទ្រព្យអកម្មសរុប​ និងមូលធនក្នុងតារាងតុល្យការ</a:t>
          </a:r>
        </a:p>
        <a:p>
          <a:pPr algn="l" rtl="1">
            <a:defRPr sz="1000"/>
          </a:pPr>
          <a:r>
            <a:rPr lang="km-KH" sz="1000" b="0" i="0" strike="noStrike">
              <a:solidFill>
                <a:srgbClr val="000000"/>
              </a:solidFill>
              <a:latin typeface="Arial"/>
            </a:rPr>
            <a:t>(3)   </a:t>
          </a:r>
          <a:r>
            <a:rPr lang="en-US" sz="1000" b="0" i="0" strike="noStrike">
              <a:solidFill>
                <a:srgbClr val="000000"/>
              </a:solidFill>
              <a:latin typeface="Arial"/>
              <a:cs typeface="Arial"/>
            </a:rPr>
            <a:t>Total liabilities on the balance sheet</a:t>
          </a:r>
        </a:p>
        <a:p>
          <a:pPr algn="l" rtl="1">
            <a:defRPr sz="1000"/>
          </a:pPr>
          <a:r>
            <a:rPr lang="en-US" sz="1000" b="0" i="0" strike="noStrike">
              <a:solidFill>
                <a:srgbClr val="000000"/>
              </a:solidFill>
              <a:latin typeface="Khmer OS Battambang" pitchFamily="2" charset="0"/>
              <a:cs typeface="Khmer OS Battambang" pitchFamily="2" charset="0"/>
            </a:rPr>
            <a:t>(</a:t>
          </a:r>
          <a:r>
            <a:rPr lang="km-KH" sz="1000" b="0" i="0" strike="noStrike">
              <a:solidFill>
                <a:srgbClr val="000000"/>
              </a:solidFill>
              <a:latin typeface="Khmer OS Battambang" pitchFamily="2" charset="0"/>
              <a:cs typeface="Khmer OS Battambang" pitchFamily="2" charset="0"/>
            </a:rPr>
            <a:t>៤)   ចំនួនសរុប = សូន្យ</a:t>
          </a:r>
        </a:p>
        <a:p>
          <a:pPr algn="l" rtl="1">
            <a:defRPr sz="1000"/>
          </a:pPr>
          <a:r>
            <a:rPr lang="km-KH" sz="1000" b="0" i="0" strike="noStrike">
              <a:solidFill>
                <a:srgbClr val="000000"/>
              </a:solidFill>
              <a:latin typeface="Arial"/>
            </a:rPr>
            <a:t>(4)   </a:t>
          </a:r>
          <a:r>
            <a:rPr lang="en-US" sz="1000" b="0" i="0" strike="noStrike">
              <a:solidFill>
                <a:srgbClr val="000000"/>
              </a:solidFill>
              <a:latin typeface="Arial"/>
              <a:cs typeface="Arial"/>
            </a:rPr>
            <a:t>Total = zero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10</xdr:row>
      <xdr:rowOff>28575</xdr:rowOff>
    </xdr:from>
    <xdr:to>
      <xdr:col>4</xdr:col>
      <xdr:colOff>9525</xdr:colOff>
      <xdr:row>14</xdr:row>
      <xdr:rowOff>0</xdr:rowOff>
    </xdr:to>
    <xdr:sp macro="" textlink="">
      <xdr:nvSpPr>
        <xdr:cNvPr id="37979" name="Line 19"/>
        <xdr:cNvSpPr>
          <a:spLocks noChangeShapeType="1"/>
        </xdr:cNvSpPr>
      </xdr:nvSpPr>
      <xdr:spPr bwMode="auto">
        <a:xfrm>
          <a:off x="19050" y="2162175"/>
          <a:ext cx="5314950" cy="1647825"/>
        </a:xfrm>
        <a:prstGeom prst="line">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PRSACCT05/PERSONAL/My%20documents%202006/NBC%20report%2006/monthly%202006/11-2006-Nbc/NEW%20UPDATE%20COA/ACLEDA/Documents%20and%20Settings/acleda/Desktop/Dec20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dministrator/Desktop/Supervisory%20Report/Monthly%20Reports/Supervisorr%20Reports%20Correct/21-New%20Consolidated%20Reports-Final%20(Updated)/Report%20Format/Documents%20and%20Settings/acleda/My%20Documents/Report%20NBC%20and%20COA-06/Report-NBC-2006/NBC%20Oct-%2020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PRSACCT05/PERSONAL/My%20documents%202006/NBC%20report%2006/monthly%202006/11-2006-Nbc/NEW%20UPDATE%20COA/ACLEDA/NBC%20JuL-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VIBOL/Documents/Google%20Talk%20Received%20Files/VPN+Report%20Project/Supervisory_Report/Supervisory%20Report/Monthly%20Reports/Reports_Monthly%20Updat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Administrator/Downloads/VPN+Report%20Project/Supervisory_Report/Supervisory%20Report/Monthly%20Reports/Reports_Monthly.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VIBOL/Desktop/Reports_Monthly_Upd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Administrator/Desktop/Supervisory%20Report/Monthly%20Reports/Reports_Monthly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Input"/>
      <sheetName val="IS-Input"/>
      <sheetName val="OBS-Input"/>
      <sheetName val="ACBS"/>
      <sheetName val="ACIS"/>
      <sheetName val="OBS"/>
      <sheetName val="BS_Input"/>
      <sheetName val="IS_Input"/>
    </sheetNames>
    <sheetDataSet>
      <sheetData sheetId="0">
        <row r="8">
          <cell r="C8">
            <v>1213818.31</v>
          </cell>
          <cell r="D8">
            <v>1</v>
          </cell>
        </row>
        <row r="9">
          <cell r="C9">
            <v>336.53</v>
          </cell>
          <cell r="D9">
            <v>1</v>
          </cell>
        </row>
        <row r="10">
          <cell r="C10">
            <v>4096062.52</v>
          </cell>
          <cell r="D10">
            <v>1</v>
          </cell>
        </row>
        <row r="11">
          <cell r="C11">
            <v>104</v>
          </cell>
          <cell r="D11">
            <v>1</v>
          </cell>
        </row>
        <row r="12">
          <cell r="C12">
            <v>18067.89</v>
          </cell>
          <cell r="D12">
            <v>1</v>
          </cell>
        </row>
        <row r="13">
          <cell r="C13">
            <v>578834.56999999995</v>
          </cell>
          <cell r="D13">
            <v>1</v>
          </cell>
        </row>
        <row r="14">
          <cell r="D14">
            <v>1</v>
          </cell>
        </row>
        <row r="15">
          <cell r="D15">
            <v>1</v>
          </cell>
        </row>
        <row r="16">
          <cell r="D16">
            <v>1</v>
          </cell>
        </row>
        <row r="17">
          <cell r="D17">
            <v>1</v>
          </cell>
        </row>
        <row r="18">
          <cell r="D18">
            <v>1</v>
          </cell>
        </row>
        <row r="19">
          <cell r="C19">
            <v>18559.009999999998</v>
          </cell>
          <cell r="D19">
            <v>1</v>
          </cell>
        </row>
        <row r="20">
          <cell r="D20">
            <v>1</v>
          </cell>
        </row>
        <row r="21">
          <cell r="D21">
            <v>1</v>
          </cell>
        </row>
        <row r="22">
          <cell r="C22">
            <v>1300000</v>
          </cell>
          <cell r="D22">
            <v>1</v>
          </cell>
        </row>
        <row r="23">
          <cell r="C23">
            <v>496.65</v>
          </cell>
          <cell r="D23">
            <v>1</v>
          </cell>
        </row>
        <row r="24">
          <cell r="C24">
            <v>1575000</v>
          </cell>
          <cell r="D24">
            <v>1</v>
          </cell>
        </row>
        <row r="25">
          <cell r="C25">
            <v>74352.67</v>
          </cell>
          <cell r="D25">
            <v>1</v>
          </cell>
        </row>
        <row r="26">
          <cell r="C26">
            <v>1815138.08</v>
          </cell>
          <cell r="D26">
            <v>1</v>
          </cell>
        </row>
        <row r="27">
          <cell r="C27">
            <v>500000</v>
          </cell>
          <cell r="D27">
            <v>1</v>
          </cell>
        </row>
        <row r="28">
          <cell r="C28">
            <v>2362.27</v>
          </cell>
          <cell r="D28">
            <v>1</v>
          </cell>
        </row>
        <row r="29">
          <cell r="C29">
            <v>39490.370000000003</v>
          </cell>
          <cell r="D29">
            <v>1</v>
          </cell>
        </row>
        <row r="30">
          <cell r="C30">
            <v>94674.61</v>
          </cell>
          <cell r="D30">
            <v>1</v>
          </cell>
        </row>
        <row r="31">
          <cell r="C31">
            <v>64248.87</v>
          </cell>
          <cell r="D31">
            <v>1</v>
          </cell>
        </row>
        <row r="32">
          <cell r="C32">
            <v>28122.55</v>
          </cell>
          <cell r="D32">
            <v>1</v>
          </cell>
        </row>
        <row r="33">
          <cell r="D33">
            <v>1</v>
          </cell>
        </row>
        <row r="34">
          <cell r="D34">
            <v>1</v>
          </cell>
        </row>
        <row r="35">
          <cell r="C35">
            <v>1378773.5</v>
          </cell>
          <cell r="D35">
            <v>1</v>
          </cell>
        </row>
        <row r="36">
          <cell r="C36">
            <v>402167.18</v>
          </cell>
          <cell r="D36">
            <v>1</v>
          </cell>
        </row>
        <row r="37">
          <cell r="C37">
            <v>100589.14</v>
          </cell>
          <cell r="D37">
            <v>1</v>
          </cell>
        </row>
        <row r="38">
          <cell r="C38">
            <v>6807.8</v>
          </cell>
          <cell r="D38">
            <v>1</v>
          </cell>
        </row>
        <row r="39">
          <cell r="C39">
            <v>17932.080000000002</v>
          </cell>
          <cell r="D39">
            <v>1</v>
          </cell>
        </row>
        <row r="40">
          <cell r="C40">
            <v>12000</v>
          </cell>
          <cell r="D40">
            <v>1</v>
          </cell>
        </row>
        <row r="41">
          <cell r="D41">
            <v>1</v>
          </cell>
        </row>
        <row r="42">
          <cell r="C42">
            <v>477415.57</v>
          </cell>
          <cell r="D42">
            <v>1</v>
          </cell>
        </row>
        <row r="43">
          <cell r="C43">
            <v>72397.42</v>
          </cell>
          <cell r="D43">
            <v>1</v>
          </cell>
        </row>
        <row r="44">
          <cell r="C44">
            <v>2726417.37</v>
          </cell>
          <cell r="D44">
            <v>1</v>
          </cell>
        </row>
        <row r="45">
          <cell r="C45">
            <v>9770278.8200000003</v>
          </cell>
          <cell r="D45">
            <v>1</v>
          </cell>
        </row>
        <row r="46">
          <cell r="D46">
            <v>1</v>
          </cell>
        </row>
        <row r="47">
          <cell r="D47">
            <v>1</v>
          </cell>
        </row>
        <row r="48">
          <cell r="C48">
            <v>11773783.5</v>
          </cell>
          <cell r="D48">
            <v>1</v>
          </cell>
        </row>
        <row r="49">
          <cell r="C49">
            <v>21576597.25</v>
          </cell>
          <cell r="D49">
            <v>1</v>
          </cell>
        </row>
        <row r="50">
          <cell r="D50">
            <v>1</v>
          </cell>
        </row>
        <row r="51">
          <cell r="C51">
            <v>13976802.470000001</v>
          </cell>
          <cell r="D51">
            <v>1</v>
          </cell>
        </row>
        <row r="52">
          <cell r="C52">
            <v>830245.03</v>
          </cell>
          <cell r="D52">
            <v>1</v>
          </cell>
        </row>
        <row r="53">
          <cell r="C53">
            <v>2392372.87</v>
          </cell>
          <cell r="D53">
            <v>1</v>
          </cell>
        </row>
        <row r="54">
          <cell r="D54">
            <v>1</v>
          </cell>
        </row>
        <row r="55">
          <cell r="C55">
            <v>1304478.5</v>
          </cell>
          <cell r="D55">
            <v>1</v>
          </cell>
        </row>
        <row r="56">
          <cell r="D56">
            <v>1</v>
          </cell>
        </row>
        <row r="57">
          <cell r="C57">
            <v>23835.56</v>
          </cell>
          <cell r="D57">
            <v>1</v>
          </cell>
        </row>
        <row r="58">
          <cell r="C58">
            <v>848116.75</v>
          </cell>
          <cell r="D58">
            <v>1</v>
          </cell>
        </row>
        <row r="59">
          <cell r="C59">
            <v>4880.63</v>
          </cell>
          <cell r="D59">
            <v>1</v>
          </cell>
        </row>
        <row r="60">
          <cell r="D60">
            <v>1</v>
          </cell>
        </row>
        <row r="61">
          <cell r="C61">
            <v>15035.88</v>
          </cell>
          <cell r="D61">
            <v>1</v>
          </cell>
        </row>
        <row r="62">
          <cell r="C62">
            <v>6318.95</v>
          </cell>
          <cell r="D62">
            <v>1</v>
          </cell>
        </row>
        <row r="63">
          <cell r="D63">
            <v>1</v>
          </cell>
        </row>
        <row r="64">
          <cell r="C64">
            <v>7249.84</v>
          </cell>
          <cell r="D64">
            <v>1</v>
          </cell>
        </row>
        <row r="65">
          <cell r="C65">
            <v>16583.7</v>
          </cell>
          <cell r="D65">
            <v>1</v>
          </cell>
        </row>
        <row r="66">
          <cell r="D66">
            <v>1</v>
          </cell>
        </row>
        <row r="67">
          <cell r="C67">
            <v>254.14</v>
          </cell>
          <cell r="D67">
            <v>1</v>
          </cell>
        </row>
        <row r="68">
          <cell r="C68">
            <v>1116.92</v>
          </cell>
          <cell r="D68">
            <v>1</v>
          </cell>
        </row>
        <row r="69">
          <cell r="D69">
            <v>1</v>
          </cell>
        </row>
        <row r="70">
          <cell r="C70">
            <v>49642.31</v>
          </cell>
          <cell r="D70">
            <v>1</v>
          </cell>
        </row>
        <row r="71">
          <cell r="C71">
            <v>93968.76</v>
          </cell>
          <cell r="D71">
            <v>1</v>
          </cell>
        </row>
        <row r="72">
          <cell r="C72">
            <v>1791.2</v>
          </cell>
          <cell r="D72">
            <v>1</v>
          </cell>
        </row>
        <row r="73">
          <cell r="C73">
            <v>5915.99</v>
          </cell>
          <cell r="D73">
            <v>1</v>
          </cell>
        </row>
        <row r="74">
          <cell r="C74">
            <v>5589.48</v>
          </cell>
          <cell r="D74">
            <v>1</v>
          </cell>
        </row>
        <row r="75">
          <cell r="C75">
            <v>139.96</v>
          </cell>
          <cell r="D75">
            <v>1</v>
          </cell>
        </row>
        <row r="76">
          <cell r="C76">
            <v>-16697.830000000002</v>
          </cell>
          <cell r="D76">
            <v>1</v>
          </cell>
        </row>
        <row r="77">
          <cell r="C77">
            <v>-6246.33</v>
          </cell>
          <cell r="D77">
            <v>1</v>
          </cell>
        </row>
        <row r="78">
          <cell r="C78">
            <v>-147114.14000000001</v>
          </cell>
          <cell r="D78">
            <v>1</v>
          </cell>
        </row>
        <row r="79">
          <cell r="C79">
            <v>-41503.370000000003</v>
          </cell>
          <cell r="D79">
            <v>1</v>
          </cell>
        </row>
        <row r="80">
          <cell r="C80">
            <v>-6253.3</v>
          </cell>
          <cell r="D80">
            <v>1</v>
          </cell>
        </row>
        <row r="81">
          <cell r="C81">
            <v>-29910.17</v>
          </cell>
          <cell r="D81">
            <v>1</v>
          </cell>
        </row>
        <row r="82">
          <cell r="C82">
            <v>-323940.33</v>
          </cell>
          <cell r="D82">
            <v>1</v>
          </cell>
        </row>
        <row r="83">
          <cell r="C83">
            <v>-229774.2</v>
          </cell>
          <cell r="D83">
            <v>1</v>
          </cell>
        </row>
        <row r="84">
          <cell r="C84">
            <v>-190877.29</v>
          </cell>
          <cell r="D84">
            <v>1</v>
          </cell>
        </row>
        <row r="85">
          <cell r="C85">
            <v>-7161.22</v>
          </cell>
          <cell r="D85">
            <v>1</v>
          </cell>
        </row>
        <row r="86">
          <cell r="C86">
            <v>-633.91</v>
          </cell>
          <cell r="D86">
            <v>1</v>
          </cell>
        </row>
        <row r="87">
          <cell r="C87">
            <v>-180.52</v>
          </cell>
          <cell r="D87">
            <v>1</v>
          </cell>
        </row>
        <row r="88">
          <cell r="C88">
            <v>-35905.42</v>
          </cell>
          <cell r="D88">
            <v>1</v>
          </cell>
        </row>
        <row r="89">
          <cell r="C89">
            <v>-12544.37</v>
          </cell>
          <cell r="D89">
            <v>1</v>
          </cell>
        </row>
        <row r="90">
          <cell r="D90">
            <v>1</v>
          </cell>
        </row>
        <row r="91">
          <cell r="C91">
            <v>122324.44</v>
          </cell>
          <cell r="D91">
            <v>1</v>
          </cell>
        </row>
        <row r="92">
          <cell r="C92">
            <v>5058.58</v>
          </cell>
          <cell r="D92">
            <v>1</v>
          </cell>
        </row>
        <row r="93">
          <cell r="C93">
            <v>18885.32</v>
          </cell>
          <cell r="D93">
            <v>1</v>
          </cell>
        </row>
        <row r="94">
          <cell r="C94">
            <v>1239.8800000000001</v>
          </cell>
          <cell r="D94">
            <v>1</v>
          </cell>
        </row>
        <row r="95">
          <cell r="C95">
            <v>205764.4</v>
          </cell>
          <cell r="D95">
            <v>1</v>
          </cell>
        </row>
        <row r="96">
          <cell r="C96">
            <v>0</v>
          </cell>
          <cell r="D96">
            <v>1</v>
          </cell>
        </row>
        <row r="97">
          <cell r="C97">
            <v>536.77</v>
          </cell>
          <cell r="D97">
            <v>1</v>
          </cell>
        </row>
        <row r="98">
          <cell r="D98">
            <v>1</v>
          </cell>
        </row>
        <row r="99">
          <cell r="C99">
            <v>262.97000000000003</v>
          </cell>
          <cell r="D99">
            <v>1</v>
          </cell>
        </row>
        <row r="100">
          <cell r="C100">
            <v>95458.53</v>
          </cell>
          <cell r="D100">
            <v>1</v>
          </cell>
        </row>
        <row r="101">
          <cell r="C101">
            <v>1860</v>
          </cell>
          <cell r="D101">
            <v>1</v>
          </cell>
        </row>
        <row r="102">
          <cell r="C102">
            <v>3308.71</v>
          </cell>
          <cell r="D102">
            <v>1</v>
          </cell>
        </row>
        <row r="103">
          <cell r="C103">
            <v>51763.88</v>
          </cell>
          <cell r="D103">
            <v>1</v>
          </cell>
        </row>
        <row r="104">
          <cell r="C104">
            <v>271.17</v>
          </cell>
          <cell r="D104">
            <v>1</v>
          </cell>
        </row>
        <row r="105">
          <cell r="C105">
            <v>272370.03000000003</v>
          </cell>
          <cell r="D105">
            <v>1</v>
          </cell>
        </row>
        <row r="106">
          <cell r="C106">
            <v>4770.9399999999996</v>
          </cell>
          <cell r="D106">
            <v>1</v>
          </cell>
        </row>
        <row r="107">
          <cell r="D107">
            <v>1</v>
          </cell>
        </row>
        <row r="108">
          <cell r="C108">
            <v>49.33</v>
          </cell>
          <cell r="D108">
            <v>1</v>
          </cell>
        </row>
        <row r="109">
          <cell r="C109">
            <v>177.69</v>
          </cell>
          <cell r="D109">
            <v>1</v>
          </cell>
        </row>
        <row r="110">
          <cell r="D110">
            <v>1</v>
          </cell>
        </row>
        <row r="111">
          <cell r="C111">
            <v>1224.98</v>
          </cell>
          <cell r="D111">
            <v>1</v>
          </cell>
        </row>
        <row r="112">
          <cell r="C112">
            <v>245.21</v>
          </cell>
          <cell r="D112">
            <v>1</v>
          </cell>
        </row>
        <row r="113">
          <cell r="D113">
            <v>1</v>
          </cell>
        </row>
        <row r="114">
          <cell r="C114">
            <v>64800.41</v>
          </cell>
          <cell r="D114">
            <v>1</v>
          </cell>
        </row>
        <row r="115">
          <cell r="C115">
            <v>221761.54</v>
          </cell>
          <cell r="D115">
            <v>1</v>
          </cell>
        </row>
        <row r="116">
          <cell r="C116">
            <v>0</v>
          </cell>
          <cell r="D116">
            <v>1</v>
          </cell>
        </row>
        <row r="117">
          <cell r="D117">
            <v>1</v>
          </cell>
        </row>
        <row r="118">
          <cell r="C118">
            <v>154501.53</v>
          </cell>
          <cell r="D118">
            <v>1</v>
          </cell>
        </row>
        <row r="119">
          <cell r="C119">
            <v>221193.93</v>
          </cell>
          <cell r="D119">
            <v>1</v>
          </cell>
        </row>
        <row r="120">
          <cell r="C120">
            <v>119245.44</v>
          </cell>
          <cell r="D120">
            <v>1</v>
          </cell>
        </row>
        <row r="121">
          <cell r="D121">
            <v>1</v>
          </cell>
        </row>
        <row r="122">
          <cell r="C122">
            <v>18579.93</v>
          </cell>
          <cell r="D122">
            <v>1</v>
          </cell>
        </row>
        <row r="123">
          <cell r="C123">
            <v>-12221.23</v>
          </cell>
          <cell r="D123">
            <v>1</v>
          </cell>
        </row>
        <row r="124">
          <cell r="D124">
            <v>1</v>
          </cell>
        </row>
        <row r="125">
          <cell r="C125">
            <v>4202.2700000000004</v>
          </cell>
          <cell r="D125">
            <v>1</v>
          </cell>
        </row>
        <row r="126">
          <cell r="D126">
            <v>1</v>
          </cell>
        </row>
        <row r="127">
          <cell r="C127">
            <v>626.98</v>
          </cell>
          <cell r="D127">
            <v>1</v>
          </cell>
        </row>
        <row r="128">
          <cell r="C128">
            <v>11520.02</v>
          </cell>
          <cell r="D128">
            <v>1</v>
          </cell>
        </row>
        <row r="129">
          <cell r="C129">
            <v>103.61</v>
          </cell>
          <cell r="D129">
            <v>1</v>
          </cell>
        </row>
        <row r="130">
          <cell r="C130">
            <v>2606.84</v>
          </cell>
          <cell r="D130">
            <v>1</v>
          </cell>
        </row>
        <row r="131">
          <cell r="C131">
            <v>2416.7199999999998</v>
          </cell>
          <cell r="D131">
            <v>1</v>
          </cell>
        </row>
        <row r="132">
          <cell r="C132">
            <v>262.22000000000003</v>
          </cell>
          <cell r="D132">
            <v>1</v>
          </cell>
        </row>
        <row r="133">
          <cell r="C133">
            <v>5816.31</v>
          </cell>
          <cell r="D133">
            <v>1</v>
          </cell>
        </row>
        <row r="134">
          <cell r="C134">
            <v>5877.25</v>
          </cell>
          <cell r="D134">
            <v>1</v>
          </cell>
        </row>
        <row r="135">
          <cell r="C135">
            <v>271.44</v>
          </cell>
          <cell r="D135">
            <v>1</v>
          </cell>
        </row>
        <row r="136">
          <cell r="C136">
            <v>956.03</v>
          </cell>
          <cell r="D136">
            <v>1</v>
          </cell>
        </row>
        <row r="137">
          <cell r="C137">
            <v>883.7</v>
          </cell>
          <cell r="D137">
            <v>1</v>
          </cell>
        </row>
        <row r="138">
          <cell r="C138">
            <v>13.49</v>
          </cell>
          <cell r="D138">
            <v>1</v>
          </cell>
        </row>
        <row r="139">
          <cell r="C139">
            <v>1328325.29</v>
          </cell>
          <cell r="D139">
            <v>1</v>
          </cell>
        </row>
        <row r="140">
          <cell r="C140">
            <v>145675.34</v>
          </cell>
          <cell r="D140">
            <v>1</v>
          </cell>
        </row>
        <row r="141">
          <cell r="C141">
            <v>246464.32</v>
          </cell>
          <cell r="D141">
            <v>1</v>
          </cell>
        </row>
        <row r="142">
          <cell r="C142">
            <v>376575.99</v>
          </cell>
          <cell r="D142">
            <v>1</v>
          </cell>
        </row>
        <row r="143">
          <cell r="C143">
            <v>594396.52</v>
          </cell>
          <cell r="D143">
            <v>1</v>
          </cell>
        </row>
        <row r="144">
          <cell r="C144">
            <v>1543055.9</v>
          </cell>
          <cell r="D144">
            <v>1</v>
          </cell>
        </row>
        <row r="145">
          <cell r="C145">
            <v>1820999</v>
          </cell>
          <cell r="D145">
            <v>1</v>
          </cell>
        </row>
        <row r="146">
          <cell r="C146">
            <v>-61236.913999999997</v>
          </cell>
          <cell r="D146">
            <v>1</v>
          </cell>
        </row>
        <row r="147">
          <cell r="C147">
            <v>-210558.04300000001</v>
          </cell>
          <cell r="D147">
            <v>1</v>
          </cell>
        </row>
        <row r="148">
          <cell r="C148">
            <v>-334196.84299999999</v>
          </cell>
          <cell r="D148">
            <v>1</v>
          </cell>
        </row>
        <row r="149">
          <cell r="C149">
            <v>-919353.46400000004</v>
          </cell>
          <cell r="D149">
            <v>1</v>
          </cell>
        </row>
        <row r="150">
          <cell r="C150">
            <v>-1024240.334</v>
          </cell>
          <cell r="D150">
            <v>1</v>
          </cell>
        </row>
        <row r="151">
          <cell r="C151">
            <v>1126015.02</v>
          </cell>
          <cell r="D151">
            <v>1</v>
          </cell>
        </row>
        <row r="152">
          <cell r="C152">
            <v>-620804</v>
          </cell>
          <cell r="D152">
            <v>1</v>
          </cell>
        </row>
        <row r="153">
          <cell r="C153">
            <v>5800</v>
          </cell>
          <cell r="D153">
            <v>1</v>
          </cell>
        </row>
        <row r="154">
          <cell r="C154">
            <v>0</v>
          </cell>
          <cell r="D154">
            <v>1</v>
          </cell>
        </row>
        <row r="155">
          <cell r="C155">
            <v>12130.3</v>
          </cell>
          <cell r="D155">
            <v>1</v>
          </cell>
        </row>
        <row r="156">
          <cell r="D156">
            <v>1</v>
          </cell>
        </row>
        <row r="157">
          <cell r="D157">
            <v>1</v>
          </cell>
        </row>
        <row r="158">
          <cell r="D158">
            <v>1</v>
          </cell>
        </row>
        <row r="159">
          <cell r="C159">
            <v>0</v>
          </cell>
          <cell r="D159">
            <v>1</v>
          </cell>
        </row>
        <row r="160">
          <cell r="C160">
            <v>4277.91</v>
          </cell>
          <cell r="D160">
            <v>1</v>
          </cell>
        </row>
        <row r="161">
          <cell r="D161">
            <v>1</v>
          </cell>
        </row>
        <row r="162">
          <cell r="C162">
            <v>9.6999999999999993</v>
          </cell>
          <cell r="D162">
            <v>1</v>
          </cell>
        </row>
        <row r="163">
          <cell r="D163">
            <v>1</v>
          </cell>
        </row>
        <row r="164">
          <cell r="D164">
            <v>1</v>
          </cell>
        </row>
        <row r="165">
          <cell r="C165">
            <v>40938.49</v>
          </cell>
          <cell r="D165">
            <v>1</v>
          </cell>
        </row>
        <row r="166">
          <cell r="C166">
            <v>-15.023999999999999</v>
          </cell>
          <cell r="D166">
            <v>1</v>
          </cell>
        </row>
        <row r="167">
          <cell r="C167">
            <v>0.75</v>
          </cell>
          <cell r="D167">
            <v>1</v>
          </cell>
        </row>
        <row r="168">
          <cell r="C168">
            <v>2.2200000000000002</v>
          </cell>
          <cell r="D168">
            <v>1</v>
          </cell>
        </row>
        <row r="169">
          <cell r="C169">
            <v>16200.33</v>
          </cell>
          <cell r="D169">
            <v>1</v>
          </cell>
        </row>
        <row r="170">
          <cell r="C170">
            <v>265.39</v>
          </cell>
          <cell r="D170">
            <v>1</v>
          </cell>
        </row>
        <row r="171">
          <cell r="D171">
            <v>1</v>
          </cell>
        </row>
        <row r="172">
          <cell r="C172">
            <v>881.05</v>
          </cell>
          <cell r="D172">
            <v>1</v>
          </cell>
        </row>
        <row r="173">
          <cell r="C173">
            <v>137816.53</v>
          </cell>
          <cell r="D173">
            <v>1</v>
          </cell>
        </row>
        <row r="174">
          <cell r="C174">
            <v>12</v>
          </cell>
          <cell r="D174">
            <v>1</v>
          </cell>
        </row>
        <row r="175">
          <cell r="D175">
            <v>1</v>
          </cell>
        </row>
        <row r="176">
          <cell r="C176">
            <v>-10.954000000000001</v>
          </cell>
          <cell r="D176">
            <v>1</v>
          </cell>
        </row>
        <row r="177">
          <cell r="D177">
            <v>3</v>
          </cell>
        </row>
        <row r="178">
          <cell r="C178">
            <v>28088.67</v>
          </cell>
          <cell r="D178">
            <v>3</v>
          </cell>
        </row>
        <row r="179">
          <cell r="C179">
            <v>64917.72</v>
          </cell>
          <cell r="D179">
            <v>3</v>
          </cell>
        </row>
        <row r="180">
          <cell r="C180">
            <v>541414.71</v>
          </cell>
          <cell r="D180">
            <v>3</v>
          </cell>
        </row>
        <row r="181">
          <cell r="C181">
            <v>205.46</v>
          </cell>
          <cell r="D181">
            <v>3</v>
          </cell>
        </row>
        <row r="182">
          <cell r="C182">
            <v>993391.46</v>
          </cell>
          <cell r="D182">
            <v>3</v>
          </cell>
        </row>
        <row r="183">
          <cell r="C183">
            <v>377733.06</v>
          </cell>
          <cell r="D183">
            <v>3</v>
          </cell>
        </row>
        <row r="184">
          <cell r="C184">
            <v>3490418.3</v>
          </cell>
          <cell r="D184">
            <v>3</v>
          </cell>
        </row>
        <row r="185">
          <cell r="C185">
            <v>56432.36</v>
          </cell>
          <cell r="D185">
            <v>3</v>
          </cell>
        </row>
        <row r="186">
          <cell r="C186">
            <v>60597.59</v>
          </cell>
          <cell r="D186">
            <v>3</v>
          </cell>
        </row>
        <row r="187">
          <cell r="C187">
            <v>57123.41</v>
          </cell>
          <cell r="D187">
            <v>3</v>
          </cell>
        </row>
        <row r="188">
          <cell r="C188">
            <v>919.12</v>
          </cell>
          <cell r="D188">
            <v>3</v>
          </cell>
        </row>
        <row r="189">
          <cell r="C189">
            <v>25477.88</v>
          </cell>
          <cell r="D189">
            <v>3</v>
          </cell>
        </row>
        <row r="190">
          <cell r="C190">
            <v>1555606.98</v>
          </cell>
          <cell r="D190">
            <v>3</v>
          </cell>
        </row>
        <row r="191">
          <cell r="C191">
            <v>5021990.32</v>
          </cell>
          <cell r="D191">
            <v>3</v>
          </cell>
        </row>
        <row r="192">
          <cell r="C192">
            <v>29788.52</v>
          </cell>
          <cell r="D192">
            <v>3</v>
          </cell>
        </row>
        <row r="193">
          <cell r="C193">
            <v>36842.550000000003</v>
          </cell>
          <cell r="D193">
            <v>3</v>
          </cell>
        </row>
        <row r="194">
          <cell r="C194">
            <v>207850.62</v>
          </cell>
          <cell r="D194">
            <v>3</v>
          </cell>
        </row>
        <row r="195">
          <cell r="C195">
            <v>7105436.3200000003</v>
          </cell>
          <cell r="D195">
            <v>3</v>
          </cell>
        </row>
        <row r="196">
          <cell r="C196">
            <v>22561.31</v>
          </cell>
          <cell r="D196">
            <v>3</v>
          </cell>
        </row>
        <row r="197">
          <cell r="C197">
            <v>88608.73</v>
          </cell>
          <cell r="D197">
            <v>3</v>
          </cell>
        </row>
        <row r="198">
          <cell r="C198">
            <v>156803.32</v>
          </cell>
          <cell r="D198">
            <v>3</v>
          </cell>
        </row>
        <row r="199">
          <cell r="C199">
            <v>1847464.75</v>
          </cell>
          <cell r="D199">
            <v>3</v>
          </cell>
        </row>
        <row r="200">
          <cell r="C200">
            <v>113700.23</v>
          </cell>
          <cell r="D200">
            <v>3</v>
          </cell>
        </row>
        <row r="201">
          <cell r="C201">
            <v>309954.26</v>
          </cell>
          <cell r="D201">
            <v>3</v>
          </cell>
        </row>
        <row r="202">
          <cell r="C202">
            <v>10.01</v>
          </cell>
          <cell r="D202">
            <v>3</v>
          </cell>
        </row>
        <row r="203">
          <cell r="C203">
            <v>78772.990000000005</v>
          </cell>
          <cell r="D203">
            <v>3</v>
          </cell>
        </row>
        <row r="204">
          <cell r="C204">
            <v>333321.13</v>
          </cell>
          <cell r="D204">
            <v>3</v>
          </cell>
        </row>
        <row r="205">
          <cell r="C205">
            <v>611.88</v>
          </cell>
          <cell r="D205">
            <v>3</v>
          </cell>
        </row>
        <row r="206">
          <cell r="C206">
            <v>3903.7</v>
          </cell>
          <cell r="D206">
            <v>3</v>
          </cell>
        </row>
        <row r="207">
          <cell r="C207">
            <v>23334.09</v>
          </cell>
          <cell r="D207">
            <v>3</v>
          </cell>
        </row>
        <row r="208">
          <cell r="C208">
            <v>139652.97</v>
          </cell>
          <cell r="D208">
            <v>3</v>
          </cell>
        </row>
        <row r="209">
          <cell r="C209">
            <v>7299450.7000000002</v>
          </cell>
          <cell r="D209">
            <v>3</v>
          </cell>
        </row>
        <row r="210">
          <cell r="C210">
            <v>1620.26</v>
          </cell>
          <cell r="D210">
            <v>3</v>
          </cell>
        </row>
        <row r="211">
          <cell r="C211">
            <v>274259.8</v>
          </cell>
          <cell r="D211">
            <v>3</v>
          </cell>
        </row>
        <row r="212">
          <cell r="D212">
            <v>3</v>
          </cell>
        </row>
        <row r="213">
          <cell r="C213">
            <v>647627.93999999994</v>
          </cell>
          <cell r="D213">
            <v>3</v>
          </cell>
        </row>
        <row r="214">
          <cell r="C214">
            <v>104998.34</v>
          </cell>
          <cell r="D214">
            <v>3</v>
          </cell>
        </row>
        <row r="215">
          <cell r="D215">
            <v>3</v>
          </cell>
        </row>
        <row r="216">
          <cell r="C216">
            <v>7449.71</v>
          </cell>
          <cell r="D216">
            <v>3</v>
          </cell>
        </row>
        <row r="217">
          <cell r="C217">
            <v>526658.29</v>
          </cell>
          <cell r="D217">
            <v>3</v>
          </cell>
        </row>
        <row r="218">
          <cell r="C218">
            <v>78595.97</v>
          </cell>
          <cell r="D218">
            <v>3</v>
          </cell>
        </row>
        <row r="219">
          <cell r="C219">
            <v>44484.12</v>
          </cell>
          <cell r="D219">
            <v>3</v>
          </cell>
        </row>
        <row r="220">
          <cell r="D220">
            <v>3</v>
          </cell>
        </row>
        <row r="221">
          <cell r="D221">
            <v>3</v>
          </cell>
        </row>
        <row r="222">
          <cell r="C222">
            <v>1000000</v>
          </cell>
          <cell r="D222">
            <v>3</v>
          </cell>
        </row>
        <row r="223">
          <cell r="D223">
            <v>3</v>
          </cell>
        </row>
        <row r="224">
          <cell r="D224">
            <v>3</v>
          </cell>
        </row>
        <row r="225">
          <cell r="D225">
            <v>3</v>
          </cell>
        </row>
        <row r="226">
          <cell r="D226">
            <v>3</v>
          </cell>
        </row>
        <row r="227">
          <cell r="C227">
            <v>5396256.8499999996</v>
          </cell>
          <cell r="D227">
            <v>3</v>
          </cell>
        </row>
        <row r="228">
          <cell r="C228">
            <v>28778.05</v>
          </cell>
          <cell r="D228">
            <v>3</v>
          </cell>
        </row>
        <row r="229">
          <cell r="C229">
            <v>615180.01</v>
          </cell>
          <cell r="D229">
            <v>3</v>
          </cell>
        </row>
        <row r="230">
          <cell r="D230">
            <v>3</v>
          </cell>
        </row>
        <row r="231">
          <cell r="C231">
            <v>6000000</v>
          </cell>
          <cell r="D231">
            <v>3</v>
          </cell>
        </row>
        <row r="232">
          <cell r="C232">
            <v>3000000</v>
          </cell>
          <cell r="D232">
            <v>3</v>
          </cell>
        </row>
        <row r="233">
          <cell r="C233">
            <v>4000000</v>
          </cell>
          <cell r="D233">
            <v>3</v>
          </cell>
        </row>
        <row r="234">
          <cell r="C234">
            <v>4000000</v>
          </cell>
          <cell r="D234">
            <v>3</v>
          </cell>
        </row>
        <row r="235">
          <cell r="D235">
            <v>3</v>
          </cell>
        </row>
        <row r="236">
          <cell r="D236">
            <v>3</v>
          </cell>
        </row>
        <row r="237">
          <cell r="C237">
            <v>0</v>
          </cell>
          <cell r="D237">
            <v>3</v>
          </cell>
        </row>
        <row r="238">
          <cell r="C238">
            <v>0</v>
          </cell>
          <cell r="D238">
            <v>3</v>
          </cell>
        </row>
        <row r="239">
          <cell r="C239">
            <v>0</v>
          </cell>
          <cell r="D239">
            <v>3</v>
          </cell>
        </row>
        <row r="240">
          <cell r="C240">
            <v>0</v>
          </cell>
          <cell r="D240">
            <v>3</v>
          </cell>
        </row>
        <row r="241">
          <cell r="C241">
            <v>1880.89</v>
          </cell>
          <cell r="D241">
            <v>3</v>
          </cell>
        </row>
        <row r="242">
          <cell r="C242">
            <v>101821.95</v>
          </cell>
          <cell r="D242">
            <v>3</v>
          </cell>
        </row>
        <row r="243">
          <cell r="C243">
            <v>15.44</v>
          </cell>
          <cell r="D243">
            <v>3</v>
          </cell>
        </row>
        <row r="244">
          <cell r="C244">
            <v>2833</v>
          </cell>
          <cell r="D244">
            <v>3</v>
          </cell>
        </row>
        <row r="245">
          <cell r="C245">
            <v>0.62</v>
          </cell>
          <cell r="D245">
            <v>3</v>
          </cell>
        </row>
        <row r="246">
          <cell r="D246">
            <v>3</v>
          </cell>
        </row>
        <row r="247">
          <cell r="C247">
            <v>0</v>
          </cell>
          <cell r="D247">
            <v>3</v>
          </cell>
        </row>
        <row r="248">
          <cell r="C248">
            <v>0</v>
          </cell>
          <cell r="D248">
            <v>3</v>
          </cell>
        </row>
        <row r="249">
          <cell r="C249">
            <v>0</v>
          </cell>
          <cell r="D249">
            <v>3</v>
          </cell>
        </row>
        <row r="250">
          <cell r="D250">
            <v>3</v>
          </cell>
        </row>
        <row r="251">
          <cell r="C251">
            <v>8576.6200000000008</v>
          </cell>
          <cell r="D251">
            <v>3</v>
          </cell>
        </row>
        <row r="252">
          <cell r="C252">
            <v>233.39</v>
          </cell>
          <cell r="D252">
            <v>3</v>
          </cell>
        </row>
        <row r="253">
          <cell r="D253">
            <v>3</v>
          </cell>
        </row>
        <row r="254">
          <cell r="D254">
            <v>3</v>
          </cell>
        </row>
        <row r="255">
          <cell r="D255">
            <v>3</v>
          </cell>
        </row>
        <row r="256">
          <cell r="D256">
            <v>3</v>
          </cell>
        </row>
        <row r="257">
          <cell r="C257">
            <v>205.31</v>
          </cell>
          <cell r="D257">
            <v>3</v>
          </cell>
        </row>
        <row r="258">
          <cell r="C258">
            <v>4397.16</v>
          </cell>
          <cell r="D258">
            <v>3</v>
          </cell>
        </row>
        <row r="259">
          <cell r="C259">
            <v>0</v>
          </cell>
          <cell r="D259">
            <v>3</v>
          </cell>
        </row>
        <row r="260">
          <cell r="D260">
            <v>3</v>
          </cell>
        </row>
        <row r="261">
          <cell r="D261">
            <v>3</v>
          </cell>
        </row>
        <row r="262">
          <cell r="C262">
            <v>4791.9399999999996</v>
          </cell>
          <cell r="D262">
            <v>3</v>
          </cell>
        </row>
        <row r="263">
          <cell r="D263">
            <v>3</v>
          </cell>
        </row>
        <row r="264">
          <cell r="D264">
            <v>3</v>
          </cell>
        </row>
        <row r="265">
          <cell r="D265">
            <v>3</v>
          </cell>
        </row>
        <row r="266">
          <cell r="D266">
            <v>3</v>
          </cell>
        </row>
        <row r="267">
          <cell r="C267">
            <v>152893.94</v>
          </cell>
          <cell r="D267">
            <v>3</v>
          </cell>
        </row>
        <row r="268">
          <cell r="C268">
            <v>591.48</v>
          </cell>
          <cell r="D268">
            <v>3</v>
          </cell>
        </row>
        <row r="269">
          <cell r="C269">
            <v>3340.76</v>
          </cell>
          <cell r="D269">
            <v>3</v>
          </cell>
        </row>
        <row r="270">
          <cell r="D270">
            <v>3</v>
          </cell>
        </row>
        <row r="271">
          <cell r="C271">
            <v>224337.6</v>
          </cell>
          <cell r="D271">
            <v>3</v>
          </cell>
        </row>
        <row r="272">
          <cell r="C272">
            <v>74127.91</v>
          </cell>
          <cell r="D272">
            <v>3</v>
          </cell>
        </row>
        <row r="273">
          <cell r="C273">
            <v>90989.66</v>
          </cell>
          <cell r="D273">
            <v>3</v>
          </cell>
        </row>
        <row r="274">
          <cell r="C274">
            <v>16343.61</v>
          </cell>
          <cell r="D274">
            <v>3</v>
          </cell>
        </row>
        <row r="275">
          <cell r="C275">
            <v>119781.92</v>
          </cell>
          <cell r="D275">
            <v>3</v>
          </cell>
        </row>
        <row r="276">
          <cell r="C276">
            <v>47169.22</v>
          </cell>
          <cell r="D276">
            <v>3</v>
          </cell>
        </row>
        <row r="277">
          <cell r="C277">
            <v>11927.72</v>
          </cell>
          <cell r="D277">
            <v>3</v>
          </cell>
        </row>
        <row r="278">
          <cell r="C278">
            <v>350632</v>
          </cell>
          <cell r="D278">
            <v>3</v>
          </cell>
        </row>
        <row r="279">
          <cell r="C279">
            <v>36582.92</v>
          </cell>
          <cell r="D279">
            <v>3</v>
          </cell>
        </row>
        <row r="280">
          <cell r="C280">
            <v>13821.88</v>
          </cell>
          <cell r="D280">
            <v>3</v>
          </cell>
        </row>
        <row r="281">
          <cell r="C281">
            <v>209489.98</v>
          </cell>
          <cell r="D281">
            <v>3</v>
          </cell>
        </row>
        <row r="282">
          <cell r="C282">
            <v>3679.25</v>
          </cell>
          <cell r="D282">
            <v>3</v>
          </cell>
        </row>
        <row r="283">
          <cell r="C283">
            <v>133.36000000000001</v>
          </cell>
          <cell r="D283">
            <v>3</v>
          </cell>
        </row>
        <row r="284">
          <cell r="C284">
            <v>312501.34999999998</v>
          </cell>
          <cell r="D284">
            <v>3</v>
          </cell>
        </row>
        <row r="285">
          <cell r="D285">
            <v>3</v>
          </cell>
        </row>
        <row r="286">
          <cell r="C286">
            <v>1527.17</v>
          </cell>
          <cell r="D286">
            <v>3</v>
          </cell>
        </row>
        <row r="287">
          <cell r="C287">
            <v>6323.03</v>
          </cell>
          <cell r="D287">
            <v>3</v>
          </cell>
        </row>
        <row r="288">
          <cell r="C288">
            <v>8.59</v>
          </cell>
          <cell r="D288">
            <v>3</v>
          </cell>
        </row>
        <row r="289">
          <cell r="D289">
            <v>3</v>
          </cell>
        </row>
        <row r="290">
          <cell r="C290">
            <v>16163.7</v>
          </cell>
          <cell r="D290">
            <v>3</v>
          </cell>
        </row>
        <row r="291">
          <cell r="C291">
            <v>1829.56</v>
          </cell>
          <cell r="D291">
            <v>3</v>
          </cell>
        </row>
        <row r="292">
          <cell r="D292">
            <v>3</v>
          </cell>
        </row>
        <row r="293">
          <cell r="D293">
            <v>3</v>
          </cell>
        </row>
        <row r="294">
          <cell r="C294">
            <v>119861.81</v>
          </cell>
          <cell r="D294">
            <v>3</v>
          </cell>
        </row>
        <row r="295">
          <cell r="C295">
            <v>83832.25</v>
          </cell>
          <cell r="D295">
            <v>3</v>
          </cell>
        </row>
        <row r="296">
          <cell r="C296">
            <v>0.01</v>
          </cell>
          <cell r="D296">
            <v>3</v>
          </cell>
        </row>
        <row r="297">
          <cell r="C297">
            <v>7066</v>
          </cell>
          <cell r="D297">
            <v>3</v>
          </cell>
        </row>
        <row r="298">
          <cell r="C298">
            <v>5777.1</v>
          </cell>
          <cell r="D298">
            <v>3</v>
          </cell>
        </row>
        <row r="299">
          <cell r="C299">
            <v>1000.23</v>
          </cell>
          <cell r="D299">
            <v>3</v>
          </cell>
        </row>
        <row r="300">
          <cell r="D300">
            <v>3</v>
          </cell>
        </row>
        <row r="301">
          <cell r="D301">
            <v>3</v>
          </cell>
        </row>
        <row r="302">
          <cell r="C302">
            <v>108.1</v>
          </cell>
          <cell r="D302">
            <v>3</v>
          </cell>
        </row>
        <row r="303">
          <cell r="C303">
            <v>13.36</v>
          </cell>
          <cell r="D303">
            <v>3</v>
          </cell>
        </row>
        <row r="304">
          <cell r="D304">
            <v>3</v>
          </cell>
        </row>
        <row r="305">
          <cell r="C305">
            <v>1474.08</v>
          </cell>
          <cell r="D305">
            <v>3</v>
          </cell>
        </row>
        <row r="306">
          <cell r="C306">
            <v>596</v>
          </cell>
          <cell r="D306">
            <v>3</v>
          </cell>
        </row>
        <row r="307">
          <cell r="C307">
            <v>1624.18</v>
          </cell>
          <cell r="D307">
            <v>3</v>
          </cell>
        </row>
        <row r="308">
          <cell r="C308">
            <v>0</v>
          </cell>
          <cell r="D308">
            <v>3</v>
          </cell>
        </row>
        <row r="309">
          <cell r="D309">
            <v>3</v>
          </cell>
        </row>
        <row r="310">
          <cell r="C310">
            <v>35.369999999999997</v>
          </cell>
          <cell r="D310">
            <v>3</v>
          </cell>
        </row>
        <row r="311">
          <cell r="C311">
            <v>39.47</v>
          </cell>
          <cell r="D311">
            <v>3</v>
          </cell>
        </row>
        <row r="312">
          <cell r="C312">
            <v>10416.24</v>
          </cell>
          <cell r="D312">
            <v>3</v>
          </cell>
        </row>
        <row r="313">
          <cell r="C313">
            <v>12188.09</v>
          </cell>
          <cell r="D313">
            <v>3</v>
          </cell>
        </row>
        <row r="314">
          <cell r="C314">
            <v>790.92</v>
          </cell>
          <cell r="D314">
            <v>3</v>
          </cell>
        </row>
        <row r="315">
          <cell r="C315">
            <v>0</v>
          </cell>
          <cell r="D315">
            <v>3</v>
          </cell>
        </row>
        <row r="316">
          <cell r="D316">
            <v>3</v>
          </cell>
        </row>
        <row r="317">
          <cell r="C317">
            <v>533.71</v>
          </cell>
          <cell r="D317">
            <v>3</v>
          </cell>
        </row>
        <row r="318">
          <cell r="D318">
            <v>3</v>
          </cell>
        </row>
        <row r="319">
          <cell r="D319">
            <v>3</v>
          </cell>
        </row>
        <row r="320">
          <cell r="C320">
            <v>0</v>
          </cell>
          <cell r="D320">
            <v>3</v>
          </cell>
        </row>
        <row r="321">
          <cell r="C321">
            <v>38203.269999999997</v>
          </cell>
          <cell r="D321">
            <v>3</v>
          </cell>
        </row>
        <row r="322">
          <cell r="D322">
            <v>3</v>
          </cell>
        </row>
        <row r="323">
          <cell r="C323">
            <v>263004.45</v>
          </cell>
          <cell r="D323">
            <v>3</v>
          </cell>
        </row>
        <row r="324">
          <cell r="D324">
            <v>3</v>
          </cell>
        </row>
        <row r="325">
          <cell r="C325">
            <v>0</v>
          </cell>
          <cell r="D325">
            <v>3</v>
          </cell>
        </row>
        <row r="326">
          <cell r="C326">
            <v>4030.93</v>
          </cell>
          <cell r="D326">
            <v>3</v>
          </cell>
        </row>
        <row r="327">
          <cell r="C327">
            <v>14.23</v>
          </cell>
          <cell r="D327">
            <v>3</v>
          </cell>
        </row>
        <row r="328">
          <cell r="C328">
            <v>5834.4349899999997</v>
          </cell>
          <cell r="D328">
            <v>3</v>
          </cell>
        </row>
        <row r="329">
          <cell r="C329">
            <v>15</v>
          </cell>
          <cell r="D329">
            <v>3</v>
          </cell>
        </row>
        <row r="330">
          <cell r="C330">
            <v>180.50498999999999</v>
          </cell>
          <cell r="D330">
            <v>3</v>
          </cell>
        </row>
        <row r="331">
          <cell r="C331">
            <v>0</v>
          </cell>
          <cell r="D331">
            <v>4</v>
          </cell>
        </row>
        <row r="332">
          <cell r="C332">
            <v>13000000</v>
          </cell>
          <cell r="D332">
            <v>4</v>
          </cell>
        </row>
        <row r="333">
          <cell r="C333">
            <v>5104347.824</v>
          </cell>
          <cell r="D333">
            <v>4</v>
          </cell>
        </row>
        <row r="334">
          <cell r="C334">
            <v>1162233.0530000001</v>
          </cell>
          <cell r="D334">
            <v>4</v>
          </cell>
        </row>
        <row r="335">
          <cell r="C335">
            <v>2459830.6430000002</v>
          </cell>
          <cell r="D335">
            <v>4</v>
          </cell>
        </row>
        <row r="336">
          <cell r="C336">
            <v>2145471.1519999998</v>
          </cell>
          <cell r="D336">
            <v>4</v>
          </cell>
        </row>
        <row r="337">
          <cell r="D337">
            <v>4</v>
          </cell>
        </row>
        <row r="338">
          <cell r="C338">
            <v>318088.52</v>
          </cell>
          <cell r="D338">
            <v>4</v>
          </cell>
        </row>
        <row r="339">
          <cell r="C339">
            <v>1744984.48</v>
          </cell>
          <cell r="D339">
            <v>4</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row r="401">
          <cell r="D401" t="str">
            <v/>
          </cell>
        </row>
        <row r="402">
          <cell r="D402" t="str">
            <v/>
          </cell>
        </row>
        <row r="403">
          <cell r="D403" t="str">
            <v/>
          </cell>
        </row>
        <row r="404">
          <cell r="D404" t="str">
            <v/>
          </cell>
        </row>
        <row r="405">
          <cell r="D405" t="str">
            <v/>
          </cell>
        </row>
        <row r="406">
          <cell r="D406" t="str">
            <v/>
          </cell>
        </row>
        <row r="407">
          <cell r="D407" t="str">
            <v/>
          </cell>
        </row>
        <row r="408">
          <cell r="D408" t="str">
            <v/>
          </cell>
        </row>
        <row r="409">
          <cell r="D409" t="str">
            <v/>
          </cell>
        </row>
        <row r="410">
          <cell r="D410" t="str">
            <v/>
          </cell>
        </row>
        <row r="411">
          <cell r="D411" t="str">
            <v/>
          </cell>
        </row>
        <row r="412">
          <cell r="D412" t="str">
            <v/>
          </cell>
        </row>
        <row r="413">
          <cell r="D413" t="str">
            <v/>
          </cell>
        </row>
        <row r="414">
          <cell r="D414" t="str">
            <v/>
          </cell>
        </row>
        <row r="415">
          <cell r="D415" t="str">
            <v/>
          </cell>
        </row>
        <row r="416">
          <cell r="D416" t="str">
            <v/>
          </cell>
        </row>
        <row r="417">
          <cell r="D417" t="str">
            <v/>
          </cell>
        </row>
        <row r="418">
          <cell r="D418" t="str">
            <v/>
          </cell>
        </row>
        <row r="419">
          <cell r="D419" t="str">
            <v/>
          </cell>
        </row>
        <row r="420">
          <cell r="D420" t="str">
            <v/>
          </cell>
        </row>
        <row r="421">
          <cell r="D421" t="str">
            <v/>
          </cell>
        </row>
        <row r="422">
          <cell r="D422" t="str">
            <v/>
          </cell>
        </row>
        <row r="423">
          <cell r="D423" t="str">
            <v/>
          </cell>
        </row>
        <row r="424">
          <cell r="D424" t="str">
            <v/>
          </cell>
        </row>
        <row r="425">
          <cell r="D425" t="str">
            <v/>
          </cell>
        </row>
        <row r="426">
          <cell r="D426" t="str">
            <v/>
          </cell>
        </row>
        <row r="427">
          <cell r="D427" t="str">
            <v/>
          </cell>
        </row>
        <row r="428">
          <cell r="D428" t="str">
            <v/>
          </cell>
        </row>
        <row r="429">
          <cell r="D429" t="str">
            <v/>
          </cell>
        </row>
        <row r="430">
          <cell r="D430" t="str">
            <v/>
          </cell>
        </row>
        <row r="431">
          <cell r="D431" t="str">
            <v/>
          </cell>
        </row>
        <row r="432">
          <cell r="D432" t="str">
            <v/>
          </cell>
        </row>
        <row r="433">
          <cell r="D433" t="str">
            <v/>
          </cell>
        </row>
        <row r="434">
          <cell r="D434" t="str">
            <v/>
          </cell>
        </row>
        <row r="435">
          <cell r="D435" t="str">
            <v/>
          </cell>
        </row>
        <row r="436">
          <cell r="D436" t="str">
            <v/>
          </cell>
        </row>
        <row r="437">
          <cell r="D437" t="str">
            <v/>
          </cell>
        </row>
        <row r="438">
          <cell r="D438" t="str">
            <v/>
          </cell>
        </row>
        <row r="439">
          <cell r="D439" t="str">
            <v/>
          </cell>
        </row>
        <row r="440">
          <cell r="D440" t="str">
            <v/>
          </cell>
        </row>
        <row r="441">
          <cell r="D441" t="str">
            <v/>
          </cell>
        </row>
        <row r="442">
          <cell r="D442" t="str">
            <v/>
          </cell>
        </row>
        <row r="443">
          <cell r="D443" t="str">
            <v/>
          </cell>
        </row>
        <row r="444">
          <cell r="D444" t="str">
            <v/>
          </cell>
        </row>
        <row r="445">
          <cell r="D445" t="str">
            <v/>
          </cell>
        </row>
        <row r="446">
          <cell r="D446" t="str">
            <v/>
          </cell>
        </row>
        <row r="447">
          <cell r="D447" t="str">
            <v/>
          </cell>
        </row>
        <row r="448">
          <cell r="D448" t="str">
            <v/>
          </cell>
        </row>
        <row r="449">
          <cell r="D449" t="str">
            <v/>
          </cell>
        </row>
        <row r="450">
          <cell r="D450" t="str">
            <v/>
          </cell>
        </row>
        <row r="451">
          <cell r="D451" t="str">
            <v/>
          </cell>
        </row>
        <row r="452">
          <cell r="D452" t="str">
            <v/>
          </cell>
        </row>
        <row r="453">
          <cell r="D453" t="str">
            <v/>
          </cell>
        </row>
        <row r="454">
          <cell r="D454" t="str">
            <v/>
          </cell>
        </row>
        <row r="455">
          <cell r="D455" t="str">
            <v/>
          </cell>
        </row>
        <row r="456">
          <cell r="D456" t="str">
            <v/>
          </cell>
        </row>
        <row r="457">
          <cell r="D457" t="str">
            <v/>
          </cell>
        </row>
        <row r="458">
          <cell r="D458" t="str">
            <v/>
          </cell>
        </row>
        <row r="459">
          <cell r="D459" t="str">
            <v/>
          </cell>
        </row>
        <row r="460">
          <cell r="D460" t="str">
            <v/>
          </cell>
        </row>
        <row r="461">
          <cell r="D461" t="str">
            <v/>
          </cell>
        </row>
        <row r="462">
          <cell r="D462" t="str">
            <v/>
          </cell>
        </row>
        <row r="463">
          <cell r="D463" t="str">
            <v/>
          </cell>
        </row>
        <row r="464">
          <cell r="D464" t="str">
            <v/>
          </cell>
        </row>
        <row r="465">
          <cell r="D465" t="str">
            <v/>
          </cell>
        </row>
        <row r="466">
          <cell r="D466" t="str">
            <v/>
          </cell>
        </row>
        <row r="467">
          <cell r="D467" t="str">
            <v/>
          </cell>
        </row>
        <row r="468">
          <cell r="D468" t="str">
            <v/>
          </cell>
        </row>
        <row r="469">
          <cell r="D469" t="str">
            <v/>
          </cell>
        </row>
        <row r="470">
          <cell r="D470" t="str">
            <v/>
          </cell>
        </row>
        <row r="471">
          <cell r="D471" t="str">
            <v/>
          </cell>
        </row>
        <row r="472">
          <cell r="D472" t="str">
            <v/>
          </cell>
        </row>
        <row r="473">
          <cell r="D473" t="str">
            <v/>
          </cell>
        </row>
        <row r="474">
          <cell r="D474" t="str">
            <v/>
          </cell>
        </row>
        <row r="475">
          <cell r="D475" t="str">
            <v/>
          </cell>
        </row>
        <row r="476">
          <cell r="D476" t="str">
            <v/>
          </cell>
        </row>
        <row r="477">
          <cell r="D477" t="str">
            <v/>
          </cell>
        </row>
        <row r="478">
          <cell r="D478" t="str">
            <v/>
          </cell>
        </row>
        <row r="479">
          <cell r="D479" t="str">
            <v/>
          </cell>
        </row>
        <row r="480">
          <cell r="D480" t="str">
            <v/>
          </cell>
        </row>
        <row r="481">
          <cell r="D481" t="str">
            <v/>
          </cell>
        </row>
        <row r="482">
          <cell r="D482" t="str">
            <v/>
          </cell>
        </row>
        <row r="483">
          <cell r="D483" t="str">
            <v/>
          </cell>
        </row>
        <row r="484">
          <cell r="D484" t="str">
            <v/>
          </cell>
        </row>
        <row r="485">
          <cell r="D485" t="str">
            <v/>
          </cell>
        </row>
        <row r="486">
          <cell r="D486" t="str">
            <v/>
          </cell>
        </row>
        <row r="487">
          <cell r="D487" t="str">
            <v/>
          </cell>
        </row>
        <row r="488">
          <cell r="D488" t="str">
            <v/>
          </cell>
        </row>
        <row r="489">
          <cell r="D489" t="str">
            <v/>
          </cell>
        </row>
        <row r="490">
          <cell r="D490" t="str">
            <v/>
          </cell>
        </row>
        <row r="491">
          <cell r="D491" t="str">
            <v/>
          </cell>
        </row>
        <row r="492">
          <cell r="D492" t="str">
            <v/>
          </cell>
        </row>
        <row r="493">
          <cell r="D493" t="str">
            <v/>
          </cell>
        </row>
        <row r="494">
          <cell r="D494" t="str">
            <v/>
          </cell>
        </row>
        <row r="495">
          <cell r="D495" t="str">
            <v/>
          </cell>
        </row>
        <row r="496">
          <cell r="D496" t="str">
            <v/>
          </cell>
        </row>
        <row r="497">
          <cell r="D497" t="str">
            <v/>
          </cell>
        </row>
        <row r="498">
          <cell r="D498" t="str">
            <v/>
          </cell>
        </row>
        <row r="499">
          <cell r="D499" t="str">
            <v/>
          </cell>
        </row>
        <row r="500">
          <cell r="D500" t="str">
            <v/>
          </cell>
        </row>
      </sheetData>
      <sheetData sheetId="1">
        <row r="8">
          <cell r="C8">
            <v>804.45</v>
          </cell>
          <cell r="D8">
            <v>5</v>
          </cell>
        </row>
        <row r="9">
          <cell r="C9">
            <v>13.58</v>
          </cell>
          <cell r="D9">
            <v>5</v>
          </cell>
        </row>
        <row r="10">
          <cell r="C10">
            <v>1757.92</v>
          </cell>
          <cell r="D10">
            <v>5</v>
          </cell>
        </row>
        <row r="11">
          <cell r="C11">
            <v>4450.91</v>
          </cell>
          <cell r="D11">
            <v>5</v>
          </cell>
        </row>
        <row r="12">
          <cell r="C12">
            <v>24.92</v>
          </cell>
          <cell r="D12">
            <v>5</v>
          </cell>
        </row>
        <row r="13">
          <cell r="C13">
            <v>36.549999999999997</v>
          </cell>
          <cell r="D13">
            <v>5</v>
          </cell>
        </row>
        <row r="14">
          <cell r="C14">
            <v>5472.82</v>
          </cell>
          <cell r="D14">
            <v>5</v>
          </cell>
        </row>
        <row r="15">
          <cell r="C15">
            <v>612.49</v>
          </cell>
          <cell r="D15">
            <v>5</v>
          </cell>
        </row>
        <row r="16">
          <cell r="C16">
            <v>6994.07</v>
          </cell>
          <cell r="D16">
            <v>5</v>
          </cell>
        </row>
        <row r="17">
          <cell r="C17">
            <v>750.23</v>
          </cell>
          <cell r="D17">
            <v>5</v>
          </cell>
        </row>
        <row r="18">
          <cell r="C18">
            <v>-131.74</v>
          </cell>
          <cell r="D18">
            <v>5</v>
          </cell>
        </row>
        <row r="19">
          <cell r="C19">
            <v>525213.91</v>
          </cell>
          <cell r="D19">
            <v>5</v>
          </cell>
        </row>
        <row r="20">
          <cell r="C20">
            <v>0</v>
          </cell>
          <cell r="D20">
            <v>5</v>
          </cell>
        </row>
        <row r="21">
          <cell r="C21">
            <v>142.87</v>
          </cell>
          <cell r="D21">
            <v>5</v>
          </cell>
        </row>
        <row r="22">
          <cell r="C22">
            <v>717008.72</v>
          </cell>
          <cell r="D22">
            <v>5</v>
          </cell>
        </row>
        <row r="23">
          <cell r="C23">
            <v>209143.58</v>
          </cell>
          <cell r="D23">
            <v>5</v>
          </cell>
        </row>
        <row r="24">
          <cell r="C24">
            <v>0</v>
          </cell>
          <cell r="D24">
            <v>5</v>
          </cell>
        </row>
        <row r="25">
          <cell r="D25">
            <v>5</v>
          </cell>
        </row>
        <row r="26">
          <cell r="C26">
            <v>105815.57</v>
          </cell>
          <cell r="D26">
            <v>5</v>
          </cell>
        </row>
        <row r="27">
          <cell r="C27">
            <v>0</v>
          </cell>
          <cell r="D27">
            <v>5</v>
          </cell>
        </row>
        <row r="28">
          <cell r="C28">
            <v>13511.3</v>
          </cell>
          <cell r="D28">
            <v>5</v>
          </cell>
        </row>
        <row r="29">
          <cell r="D29">
            <v>5</v>
          </cell>
        </row>
        <row r="30">
          <cell r="C30">
            <v>946.05</v>
          </cell>
          <cell r="D30">
            <v>5</v>
          </cell>
        </row>
        <row r="31">
          <cell r="C31">
            <v>17966.330000000002</v>
          </cell>
          <cell r="D31">
            <v>5</v>
          </cell>
        </row>
        <row r="32">
          <cell r="C32">
            <v>175.1</v>
          </cell>
          <cell r="D32">
            <v>5</v>
          </cell>
        </row>
        <row r="33">
          <cell r="C33">
            <v>79.739999999999995</v>
          </cell>
          <cell r="D33">
            <v>5</v>
          </cell>
        </row>
        <row r="34">
          <cell r="C34">
            <v>51.71</v>
          </cell>
          <cell r="D34">
            <v>5</v>
          </cell>
        </row>
        <row r="35">
          <cell r="C35">
            <v>5.39</v>
          </cell>
          <cell r="D35">
            <v>5</v>
          </cell>
        </row>
        <row r="36">
          <cell r="D36">
            <v>5</v>
          </cell>
        </row>
        <row r="37">
          <cell r="C37">
            <v>115.55</v>
          </cell>
          <cell r="D37">
            <v>5</v>
          </cell>
        </row>
        <row r="38">
          <cell r="C38">
            <v>76.930000000000007</v>
          </cell>
          <cell r="D38">
            <v>5</v>
          </cell>
        </row>
        <row r="39">
          <cell r="C39">
            <v>0.85</v>
          </cell>
          <cell r="D39">
            <v>5</v>
          </cell>
        </row>
        <row r="40">
          <cell r="C40">
            <v>16.239999999999998</v>
          </cell>
          <cell r="D40">
            <v>5</v>
          </cell>
        </row>
        <row r="41">
          <cell r="D41">
            <v>5</v>
          </cell>
        </row>
        <row r="42">
          <cell r="C42">
            <v>34727.660000000003</v>
          </cell>
          <cell r="D42">
            <v>5</v>
          </cell>
        </row>
        <row r="43">
          <cell r="C43">
            <v>204.98</v>
          </cell>
          <cell r="D43">
            <v>5</v>
          </cell>
        </row>
        <row r="44">
          <cell r="C44">
            <v>2.48</v>
          </cell>
          <cell r="D44">
            <v>5</v>
          </cell>
        </row>
        <row r="45">
          <cell r="C45">
            <v>730.62</v>
          </cell>
          <cell r="D45">
            <v>5</v>
          </cell>
        </row>
        <row r="46">
          <cell r="C46">
            <v>168.4</v>
          </cell>
          <cell r="D46">
            <v>5</v>
          </cell>
        </row>
        <row r="47">
          <cell r="C47">
            <v>10.01</v>
          </cell>
          <cell r="D47">
            <v>5</v>
          </cell>
        </row>
        <row r="48">
          <cell r="C48">
            <v>64.64</v>
          </cell>
          <cell r="D48">
            <v>5</v>
          </cell>
        </row>
        <row r="49">
          <cell r="C49">
            <v>945.7</v>
          </cell>
          <cell r="D49">
            <v>5</v>
          </cell>
        </row>
        <row r="50">
          <cell r="D50">
            <v>5</v>
          </cell>
        </row>
        <row r="51">
          <cell r="D51">
            <v>5</v>
          </cell>
        </row>
        <row r="52">
          <cell r="C52">
            <v>-1840.38</v>
          </cell>
          <cell r="D52">
            <v>5</v>
          </cell>
        </row>
        <row r="53">
          <cell r="D53">
            <v>5</v>
          </cell>
        </row>
        <row r="54">
          <cell r="C54">
            <v>93.6</v>
          </cell>
          <cell r="D54">
            <v>5</v>
          </cell>
        </row>
        <row r="55">
          <cell r="D55">
            <v>5</v>
          </cell>
        </row>
        <row r="56">
          <cell r="C56">
            <v>2.98</v>
          </cell>
          <cell r="D56">
            <v>5</v>
          </cell>
        </row>
        <row r="57">
          <cell r="C57">
            <v>4354.4399999999996</v>
          </cell>
          <cell r="D57">
            <v>5</v>
          </cell>
        </row>
        <row r="58">
          <cell r="C58">
            <v>17721.650000000001</v>
          </cell>
          <cell r="D58">
            <v>5</v>
          </cell>
        </row>
        <row r="59">
          <cell r="C59">
            <v>14753.91</v>
          </cell>
          <cell r="D59">
            <v>5</v>
          </cell>
        </row>
        <row r="60">
          <cell r="C60">
            <v>2.2799999999999998</v>
          </cell>
          <cell r="D60">
            <v>5</v>
          </cell>
        </row>
        <row r="61">
          <cell r="C61">
            <v>234.84</v>
          </cell>
          <cell r="D61">
            <v>5</v>
          </cell>
        </row>
        <row r="62">
          <cell r="C62">
            <v>1223.54</v>
          </cell>
          <cell r="D62">
            <v>5</v>
          </cell>
        </row>
        <row r="63">
          <cell r="C63">
            <v>126.96</v>
          </cell>
          <cell r="D63">
            <v>5</v>
          </cell>
        </row>
        <row r="64">
          <cell r="C64">
            <v>279.66000000000003</v>
          </cell>
          <cell r="D64">
            <v>5</v>
          </cell>
        </row>
        <row r="65">
          <cell r="C65">
            <v>48.17</v>
          </cell>
          <cell r="D65">
            <v>5</v>
          </cell>
        </row>
        <row r="66">
          <cell r="C66">
            <v>208.09</v>
          </cell>
          <cell r="D66">
            <v>5</v>
          </cell>
        </row>
        <row r="67">
          <cell r="C67">
            <v>16053.04</v>
          </cell>
          <cell r="D67">
            <v>5</v>
          </cell>
        </row>
        <row r="68">
          <cell r="C68">
            <v>1456.9</v>
          </cell>
          <cell r="D68">
            <v>5</v>
          </cell>
        </row>
        <row r="69">
          <cell r="C69">
            <v>500.5</v>
          </cell>
          <cell r="D69">
            <v>5</v>
          </cell>
        </row>
        <row r="70">
          <cell r="D70">
            <v>5</v>
          </cell>
        </row>
        <row r="71">
          <cell r="C71">
            <v>4108.8500000000004</v>
          </cell>
          <cell r="D71">
            <v>5</v>
          </cell>
        </row>
        <row r="72">
          <cell r="C72">
            <v>-158.97999999999999</v>
          </cell>
          <cell r="D72">
            <v>5</v>
          </cell>
        </row>
        <row r="73">
          <cell r="C73">
            <v>0.01</v>
          </cell>
          <cell r="D73">
            <v>5</v>
          </cell>
        </row>
        <row r="74">
          <cell r="C74">
            <v>-1.37</v>
          </cell>
          <cell r="D74">
            <v>5</v>
          </cell>
        </row>
        <row r="75">
          <cell r="C75">
            <v>486.35</v>
          </cell>
          <cell r="D75">
            <v>5</v>
          </cell>
        </row>
        <row r="76">
          <cell r="C76">
            <v>32776.58</v>
          </cell>
          <cell r="D76">
            <v>5</v>
          </cell>
        </row>
        <row r="77">
          <cell r="C77">
            <v>18587.29</v>
          </cell>
          <cell r="D77">
            <v>5</v>
          </cell>
        </row>
        <row r="78">
          <cell r="C78">
            <v>149617.56</v>
          </cell>
          <cell r="D78">
            <v>5</v>
          </cell>
        </row>
        <row r="79">
          <cell r="C79">
            <v>18978.689999999999</v>
          </cell>
          <cell r="D79">
            <v>5</v>
          </cell>
        </row>
        <row r="80">
          <cell r="C80">
            <v>26435.69</v>
          </cell>
          <cell r="D80">
            <v>5</v>
          </cell>
        </row>
        <row r="81">
          <cell r="C81">
            <v>12.89</v>
          </cell>
          <cell r="D81">
            <v>5</v>
          </cell>
        </row>
        <row r="82">
          <cell r="C82">
            <v>4.47</v>
          </cell>
          <cell r="D82">
            <v>5</v>
          </cell>
        </row>
        <row r="83">
          <cell r="C83">
            <v>8645.48</v>
          </cell>
          <cell r="D83">
            <v>5</v>
          </cell>
        </row>
        <row r="84">
          <cell r="C84">
            <v>18.899999999999999</v>
          </cell>
          <cell r="D84">
            <v>5</v>
          </cell>
        </row>
        <row r="85">
          <cell r="C85">
            <v>15.31</v>
          </cell>
          <cell r="D85">
            <v>5</v>
          </cell>
        </row>
        <row r="86">
          <cell r="D86">
            <v>5</v>
          </cell>
        </row>
        <row r="87">
          <cell r="C87">
            <v>109.4</v>
          </cell>
          <cell r="D87">
            <v>5</v>
          </cell>
        </row>
        <row r="88">
          <cell r="C88">
            <v>122905.71</v>
          </cell>
          <cell r="D88">
            <v>5</v>
          </cell>
        </row>
        <row r="89">
          <cell r="C89">
            <v>-122905.71</v>
          </cell>
          <cell r="D89">
            <v>5</v>
          </cell>
        </row>
        <row r="90">
          <cell r="C90">
            <v>1004.04</v>
          </cell>
          <cell r="D90">
            <v>5</v>
          </cell>
        </row>
        <row r="91">
          <cell r="C91">
            <v>8821.0300000000007</v>
          </cell>
          <cell r="D91">
            <v>5</v>
          </cell>
        </row>
        <row r="92">
          <cell r="C92">
            <v>83365.91</v>
          </cell>
          <cell r="D92">
            <v>5</v>
          </cell>
        </row>
        <row r="93">
          <cell r="C93">
            <v>-83365.91</v>
          </cell>
          <cell r="D93">
            <v>5</v>
          </cell>
        </row>
        <row r="94">
          <cell r="C94">
            <v>527.49</v>
          </cell>
          <cell r="D94">
            <v>5</v>
          </cell>
        </row>
        <row r="95">
          <cell r="C95">
            <v>314262.55</v>
          </cell>
          <cell r="D95">
            <v>5</v>
          </cell>
        </row>
        <row r="96">
          <cell r="C96">
            <v>-314262.55</v>
          </cell>
          <cell r="D96">
            <v>5</v>
          </cell>
        </row>
        <row r="97">
          <cell r="C97">
            <v>682.81</v>
          </cell>
          <cell r="D97">
            <v>5</v>
          </cell>
        </row>
        <row r="98">
          <cell r="C98">
            <v>18529.54</v>
          </cell>
          <cell r="D98">
            <v>5</v>
          </cell>
        </row>
        <row r="99">
          <cell r="C99">
            <v>159511.28</v>
          </cell>
          <cell r="D99">
            <v>5</v>
          </cell>
        </row>
        <row r="100">
          <cell r="C100">
            <v>-159511.28</v>
          </cell>
          <cell r="D100">
            <v>5</v>
          </cell>
        </row>
        <row r="101">
          <cell r="D101">
            <v>5</v>
          </cell>
        </row>
        <row r="102">
          <cell r="C102">
            <v>47.2</v>
          </cell>
          <cell r="D102">
            <v>5</v>
          </cell>
        </row>
        <row r="103">
          <cell r="C103">
            <v>-47.2</v>
          </cell>
          <cell r="D103">
            <v>5</v>
          </cell>
        </row>
        <row r="104">
          <cell r="D104">
            <v>5</v>
          </cell>
        </row>
        <row r="105">
          <cell r="C105">
            <v>19136.13</v>
          </cell>
          <cell r="D105">
            <v>5</v>
          </cell>
        </row>
        <row r="106">
          <cell r="C106">
            <v>-19136.13</v>
          </cell>
          <cell r="D106">
            <v>5</v>
          </cell>
        </row>
        <row r="107">
          <cell r="C107">
            <v>137.76</v>
          </cell>
          <cell r="D107">
            <v>5</v>
          </cell>
        </row>
        <row r="108">
          <cell r="C108">
            <v>4846.32</v>
          </cell>
          <cell r="D108">
            <v>5</v>
          </cell>
        </row>
        <row r="109">
          <cell r="C109">
            <v>15921.53</v>
          </cell>
          <cell r="D109">
            <v>5</v>
          </cell>
        </row>
        <row r="110">
          <cell r="C110">
            <v>-15921.53</v>
          </cell>
          <cell r="D110">
            <v>5</v>
          </cell>
        </row>
        <row r="111">
          <cell r="C111">
            <v>0.06</v>
          </cell>
          <cell r="D111">
            <v>6</v>
          </cell>
        </row>
        <row r="112">
          <cell r="C112">
            <v>9.27</v>
          </cell>
          <cell r="D112">
            <v>6</v>
          </cell>
        </row>
        <row r="113">
          <cell r="C113">
            <v>4662.5600000000004</v>
          </cell>
          <cell r="D113">
            <v>6</v>
          </cell>
        </row>
        <row r="114">
          <cell r="C114">
            <v>40.14</v>
          </cell>
          <cell r="D114">
            <v>6</v>
          </cell>
        </row>
        <row r="115">
          <cell r="C115">
            <v>415.55</v>
          </cell>
          <cell r="D115">
            <v>6</v>
          </cell>
        </row>
        <row r="116">
          <cell r="C116">
            <v>10969.06</v>
          </cell>
          <cell r="D116">
            <v>6</v>
          </cell>
        </row>
        <row r="117">
          <cell r="C117">
            <v>-15.34</v>
          </cell>
          <cell r="D117">
            <v>6</v>
          </cell>
        </row>
        <row r="118">
          <cell r="C118">
            <v>140.6</v>
          </cell>
          <cell r="D118">
            <v>6</v>
          </cell>
        </row>
        <row r="119">
          <cell r="C119">
            <v>251.78</v>
          </cell>
          <cell r="D119">
            <v>6</v>
          </cell>
        </row>
        <row r="120">
          <cell r="C120">
            <v>2407.65</v>
          </cell>
          <cell r="D120">
            <v>6</v>
          </cell>
        </row>
        <row r="121">
          <cell r="C121">
            <v>126.28</v>
          </cell>
          <cell r="D121">
            <v>6</v>
          </cell>
        </row>
        <row r="122">
          <cell r="C122">
            <v>315.39999999999998</v>
          </cell>
          <cell r="D122">
            <v>6</v>
          </cell>
        </row>
        <row r="123">
          <cell r="D123">
            <v>6</v>
          </cell>
        </row>
        <row r="124">
          <cell r="C124">
            <v>111.99</v>
          </cell>
          <cell r="D124">
            <v>6</v>
          </cell>
        </row>
        <row r="125">
          <cell r="C125">
            <v>716.86</v>
          </cell>
          <cell r="D125">
            <v>6</v>
          </cell>
        </row>
        <row r="126">
          <cell r="C126">
            <v>0.13</v>
          </cell>
          <cell r="D126">
            <v>6</v>
          </cell>
        </row>
        <row r="127">
          <cell r="C127">
            <v>8.7899999999999991</v>
          </cell>
          <cell r="D127">
            <v>6</v>
          </cell>
        </row>
        <row r="128">
          <cell r="C128">
            <v>40.630000000000003</v>
          </cell>
          <cell r="D128">
            <v>6</v>
          </cell>
        </row>
        <row r="129">
          <cell r="C129">
            <v>587.92999999999995</v>
          </cell>
          <cell r="D129">
            <v>6</v>
          </cell>
        </row>
        <row r="130">
          <cell r="C130">
            <v>33320</v>
          </cell>
          <cell r="D130">
            <v>6</v>
          </cell>
        </row>
        <row r="131">
          <cell r="C131">
            <v>5.41</v>
          </cell>
          <cell r="D131">
            <v>6</v>
          </cell>
        </row>
        <row r="132">
          <cell r="C132">
            <v>1214.6099999999999</v>
          </cell>
          <cell r="D132">
            <v>6</v>
          </cell>
        </row>
        <row r="133">
          <cell r="D133">
            <v>6</v>
          </cell>
        </row>
        <row r="134">
          <cell r="C134">
            <v>3077.99</v>
          </cell>
          <cell r="D134">
            <v>6</v>
          </cell>
        </row>
        <row r="135">
          <cell r="C135">
            <v>251.78</v>
          </cell>
          <cell r="D135">
            <v>6</v>
          </cell>
        </row>
        <row r="136">
          <cell r="C136">
            <v>40.049999999999997</v>
          </cell>
          <cell r="D136">
            <v>6</v>
          </cell>
        </row>
        <row r="137">
          <cell r="C137">
            <v>1813.36</v>
          </cell>
          <cell r="D137">
            <v>6</v>
          </cell>
        </row>
        <row r="138">
          <cell r="C138">
            <v>0.65</v>
          </cell>
          <cell r="D138">
            <v>6</v>
          </cell>
        </row>
        <row r="139">
          <cell r="C139">
            <v>5728.84</v>
          </cell>
          <cell r="D139">
            <v>6</v>
          </cell>
        </row>
        <row r="140">
          <cell r="D140">
            <v>6</v>
          </cell>
        </row>
        <row r="141">
          <cell r="C141">
            <v>27880.66</v>
          </cell>
          <cell r="D141">
            <v>6</v>
          </cell>
        </row>
        <row r="142">
          <cell r="C142">
            <v>107.85</v>
          </cell>
          <cell r="D142">
            <v>6</v>
          </cell>
        </row>
        <row r="143">
          <cell r="C143">
            <v>608.04999999999995</v>
          </cell>
          <cell r="D143">
            <v>6</v>
          </cell>
        </row>
        <row r="144">
          <cell r="C144">
            <v>128264.98</v>
          </cell>
          <cell r="D144">
            <v>6</v>
          </cell>
        </row>
        <row r="145">
          <cell r="C145">
            <v>27190.69</v>
          </cell>
          <cell r="D145">
            <v>6</v>
          </cell>
        </row>
        <row r="146">
          <cell r="C146">
            <v>5550.09</v>
          </cell>
          <cell r="D146">
            <v>6</v>
          </cell>
        </row>
        <row r="147">
          <cell r="C147">
            <v>2007.25</v>
          </cell>
          <cell r="D147">
            <v>6</v>
          </cell>
        </row>
        <row r="148">
          <cell r="C148">
            <v>13782.92</v>
          </cell>
          <cell r="D148">
            <v>6</v>
          </cell>
        </row>
        <row r="149">
          <cell r="C149">
            <v>480093.16</v>
          </cell>
          <cell r="D149">
            <v>6</v>
          </cell>
        </row>
        <row r="150">
          <cell r="C150">
            <v>-3330.22</v>
          </cell>
          <cell r="D150">
            <v>6</v>
          </cell>
        </row>
        <row r="151">
          <cell r="C151">
            <v>-18073.89</v>
          </cell>
          <cell r="D151">
            <v>6</v>
          </cell>
        </row>
        <row r="152">
          <cell r="C152">
            <v>976.63</v>
          </cell>
          <cell r="D152">
            <v>6</v>
          </cell>
        </row>
        <row r="153">
          <cell r="C153">
            <v>2818.97</v>
          </cell>
          <cell r="D153">
            <v>6</v>
          </cell>
        </row>
        <row r="154">
          <cell r="C154">
            <v>22154.83</v>
          </cell>
          <cell r="D154">
            <v>6</v>
          </cell>
        </row>
        <row r="155">
          <cell r="C155">
            <v>45224.44</v>
          </cell>
          <cell r="D155">
            <v>6</v>
          </cell>
        </row>
        <row r="156">
          <cell r="C156">
            <v>2647.43</v>
          </cell>
          <cell r="D156">
            <v>6</v>
          </cell>
        </row>
        <row r="157">
          <cell r="C157">
            <v>11449.84</v>
          </cell>
          <cell r="D157">
            <v>6</v>
          </cell>
        </row>
        <row r="158">
          <cell r="C158">
            <v>3.09</v>
          </cell>
          <cell r="D158">
            <v>6</v>
          </cell>
        </row>
        <row r="159">
          <cell r="C159">
            <v>35.03</v>
          </cell>
          <cell r="D159">
            <v>6</v>
          </cell>
        </row>
        <row r="160">
          <cell r="C160">
            <v>22.85</v>
          </cell>
          <cell r="D160">
            <v>6</v>
          </cell>
        </row>
        <row r="161">
          <cell r="C161">
            <v>14407.96</v>
          </cell>
          <cell r="D161">
            <v>6</v>
          </cell>
        </row>
        <row r="162">
          <cell r="D162">
            <v>6</v>
          </cell>
        </row>
        <row r="163">
          <cell r="C163">
            <v>1082.49</v>
          </cell>
          <cell r="D163">
            <v>6</v>
          </cell>
        </row>
        <row r="164">
          <cell r="D164">
            <v>6</v>
          </cell>
        </row>
        <row r="165">
          <cell r="C165">
            <v>28289.439999999999</v>
          </cell>
          <cell r="D165">
            <v>6</v>
          </cell>
        </row>
        <row r="166">
          <cell r="C166">
            <v>34831.980000000003</v>
          </cell>
          <cell r="D166">
            <v>6</v>
          </cell>
        </row>
        <row r="167">
          <cell r="C167">
            <v>6922.93</v>
          </cell>
          <cell r="D167">
            <v>6</v>
          </cell>
        </row>
        <row r="168">
          <cell r="C168">
            <v>134771.42000000001</v>
          </cell>
          <cell r="D168">
            <v>6</v>
          </cell>
        </row>
        <row r="169">
          <cell r="C169">
            <v>14810.9</v>
          </cell>
          <cell r="D169">
            <v>6</v>
          </cell>
        </row>
        <row r="170">
          <cell r="C170">
            <v>-88242.04</v>
          </cell>
          <cell r="D170">
            <v>6</v>
          </cell>
        </row>
        <row r="171">
          <cell r="D171">
            <v>6</v>
          </cell>
        </row>
        <row r="172">
          <cell r="D172">
            <v>6</v>
          </cell>
        </row>
        <row r="173">
          <cell r="D173">
            <v>6</v>
          </cell>
        </row>
        <row r="174">
          <cell r="C174">
            <v>3570.75</v>
          </cell>
          <cell r="D174">
            <v>6</v>
          </cell>
        </row>
        <row r="175">
          <cell r="C175">
            <v>16694.38</v>
          </cell>
          <cell r="D175">
            <v>6</v>
          </cell>
        </row>
        <row r="176">
          <cell r="C176">
            <v>166.03</v>
          </cell>
          <cell r="D176">
            <v>6</v>
          </cell>
        </row>
        <row r="177">
          <cell r="C177">
            <v>611.65</v>
          </cell>
          <cell r="D177">
            <v>6</v>
          </cell>
        </row>
        <row r="178">
          <cell r="C178">
            <v>48686.94</v>
          </cell>
          <cell r="D178">
            <v>6</v>
          </cell>
        </row>
        <row r="179">
          <cell r="D179">
            <v>6</v>
          </cell>
        </row>
        <row r="180">
          <cell r="D180">
            <v>6</v>
          </cell>
        </row>
        <row r="181">
          <cell r="C181">
            <v>27307.38</v>
          </cell>
          <cell r="D181">
            <v>6</v>
          </cell>
        </row>
        <row r="182">
          <cell r="C182">
            <v>2530.15</v>
          </cell>
          <cell r="D182">
            <v>6</v>
          </cell>
        </row>
        <row r="183">
          <cell r="C183">
            <v>600.35</v>
          </cell>
          <cell r="D183">
            <v>6</v>
          </cell>
        </row>
        <row r="184">
          <cell r="D184">
            <v>6</v>
          </cell>
        </row>
        <row r="185">
          <cell r="C185">
            <v>490.59</v>
          </cell>
          <cell r="D185">
            <v>6</v>
          </cell>
        </row>
        <row r="186">
          <cell r="C186">
            <v>36542.39</v>
          </cell>
          <cell r="D186">
            <v>6</v>
          </cell>
        </row>
        <row r="187">
          <cell r="D187">
            <v>6</v>
          </cell>
        </row>
        <row r="188">
          <cell r="C188">
            <v>150.15</v>
          </cell>
          <cell r="D188">
            <v>6</v>
          </cell>
        </row>
        <row r="189">
          <cell r="D189">
            <v>6</v>
          </cell>
        </row>
        <row r="190">
          <cell r="C190">
            <v>679.56</v>
          </cell>
          <cell r="D190">
            <v>6</v>
          </cell>
        </row>
        <row r="191">
          <cell r="C191">
            <v>1113.17</v>
          </cell>
          <cell r="D191">
            <v>6</v>
          </cell>
        </row>
        <row r="192">
          <cell r="C192">
            <v>2282.9299999999998</v>
          </cell>
          <cell r="D192">
            <v>6</v>
          </cell>
        </row>
        <row r="193">
          <cell r="C193">
            <v>78.209999999999994</v>
          </cell>
          <cell r="D193">
            <v>6</v>
          </cell>
        </row>
        <row r="194">
          <cell r="C194">
            <v>59.75</v>
          </cell>
          <cell r="D194">
            <v>6</v>
          </cell>
        </row>
        <row r="195">
          <cell r="C195">
            <v>7762</v>
          </cell>
          <cell r="D195">
            <v>6</v>
          </cell>
        </row>
        <row r="196">
          <cell r="D196">
            <v>6</v>
          </cell>
        </row>
        <row r="197">
          <cell r="C197">
            <v>3336.31</v>
          </cell>
          <cell r="D197">
            <v>6</v>
          </cell>
        </row>
        <row r="198">
          <cell r="D198">
            <v>6</v>
          </cell>
        </row>
        <row r="199">
          <cell r="C199">
            <v>113.21</v>
          </cell>
          <cell r="D199">
            <v>6</v>
          </cell>
        </row>
        <row r="200">
          <cell r="C200">
            <v>25.33</v>
          </cell>
          <cell r="D200">
            <v>6</v>
          </cell>
        </row>
        <row r="201">
          <cell r="C201">
            <v>7575.42</v>
          </cell>
          <cell r="D201">
            <v>6</v>
          </cell>
        </row>
        <row r="202">
          <cell r="C202">
            <v>7127.56</v>
          </cell>
          <cell r="D202">
            <v>6</v>
          </cell>
        </row>
        <row r="203">
          <cell r="C203">
            <v>428.66</v>
          </cell>
          <cell r="D203">
            <v>6</v>
          </cell>
        </row>
        <row r="204">
          <cell r="C204">
            <v>9480.16</v>
          </cell>
          <cell r="D204">
            <v>6</v>
          </cell>
        </row>
        <row r="205">
          <cell r="C205">
            <v>395.39</v>
          </cell>
          <cell r="D205">
            <v>6</v>
          </cell>
        </row>
        <row r="206">
          <cell r="C206">
            <v>8.75</v>
          </cell>
          <cell r="D206">
            <v>6</v>
          </cell>
        </row>
        <row r="207">
          <cell r="C207">
            <v>16.72</v>
          </cell>
          <cell r="D207">
            <v>6</v>
          </cell>
        </row>
        <row r="208">
          <cell r="D208">
            <v>6</v>
          </cell>
        </row>
        <row r="209">
          <cell r="C209">
            <v>255.9</v>
          </cell>
          <cell r="D209">
            <v>6</v>
          </cell>
        </row>
        <row r="210">
          <cell r="C210">
            <v>15.62</v>
          </cell>
          <cell r="D210">
            <v>6</v>
          </cell>
        </row>
        <row r="211">
          <cell r="C211">
            <v>2631.89</v>
          </cell>
          <cell r="D211">
            <v>6</v>
          </cell>
        </row>
        <row r="212">
          <cell r="D212">
            <v>6</v>
          </cell>
        </row>
        <row r="213">
          <cell r="C213">
            <v>345</v>
          </cell>
          <cell r="D213">
            <v>6</v>
          </cell>
        </row>
        <row r="214">
          <cell r="C214">
            <v>16938.72</v>
          </cell>
          <cell r="D214">
            <v>6</v>
          </cell>
        </row>
        <row r="215">
          <cell r="D215">
            <v>6</v>
          </cell>
        </row>
        <row r="216">
          <cell r="D216">
            <v>6</v>
          </cell>
        </row>
        <row r="217">
          <cell r="C217">
            <v>2026.49</v>
          </cell>
          <cell r="D217">
            <v>6</v>
          </cell>
        </row>
        <row r="218">
          <cell r="D218">
            <v>6</v>
          </cell>
        </row>
        <row r="219">
          <cell r="C219">
            <v>15625.66</v>
          </cell>
          <cell r="D219">
            <v>6</v>
          </cell>
        </row>
        <row r="220">
          <cell r="C220">
            <v>1417.8</v>
          </cell>
          <cell r="D220">
            <v>6</v>
          </cell>
        </row>
        <row r="221">
          <cell r="C221">
            <v>252.86</v>
          </cell>
          <cell r="D221">
            <v>6</v>
          </cell>
        </row>
        <row r="222">
          <cell r="C222">
            <v>21.06</v>
          </cell>
          <cell r="D222">
            <v>6</v>
          </cell>
        </row>
        <row r="223">
          <cell r="C223">
            <v>550.16999999999996</v>
          </cell>
          <cell r="D223">
            <v>6</v>
          </cell>
        </row>
        <row r="224">
          <cell r="C224">
            <v>10528.85</v>
          </cell>
          <cell r="D224">
            <v>6</v>
          </cell>
        </row>
        <row r="225">
          <cell r="C225">
            <v>896.45</v>
          </cell>
          <cell r="D225">
            <v>6</v>
          </cell>
        </row>
        <row r="226">
          <cell r="C226">
            <v>5881.87</v>
          </cell>
          <cell r="D226">
            <v>6</v>
          </cell>
        </row>
        <row r="227">
          <cell r="C227">
            <v>81.599999999999994</v>
          </cell>
          <cell r="D227">
            <v>6</v>
          </cell>
        </row>
        <row r="228">
          <cell r="C228">
            <v>102.68</v>
          </cell>
          <cell r="D228">
            <v>6</v>
          </cell>
        </row>
        <row r="229">
          <cell r="C229">
            <v>54.53</v>
          </cell>
          <cell r="D229">
            <v>6</v>
          </cell>
        </row>
        <row r="230">
          <cell r="C230">
            <v>8345.02</v>
          </cell>
          <cell r="D230">
            <v>6</v>
          </cell>
        </row>
        <row r="231">
          <cell r="C231">
            <v>833.35</v>
          </cell>
          <cell r="D231">
            <v>6</v>
          </cell>
        </row>
        <row r="232">
          <cell r="C232">
            <v>1149.44</v>
          </cell>
          <cell r="D232">
            <v>6</v>
          </cell>
        </row>
        <row r="233">
          <cell r="C233">
            <v>89.4</v>
          </cell>
          <cell r="D233">
            <v>6</v>
          </cell>
        </row>
        <row r="234">
          <cell r="C234">
            <v>4182.13</v>
          </cell>
          <cell r="D234">
            <v>6</v>
          </cell>
        </row>
        <row r="235">
          <cell r="D235">
            <v>6</v>
          </cell>
        </row>
        <row r="236">
          <cell r="C236">
            <v>210.21</v>
          </cell>
          <cell r="D236">
            <v>6</v>
          </cell>
        </row>
        <row r="237">
          <cell r="C237">
            <v>3958.79</v>
          </cell>
          <cell r="D237">
            <v>6</v>
          </cell>
        </row>
        <row r="238">
          <cell r="C238">
            <v>24057.17</v>
          </cell>
          <cell r="D238">
            <v>6</v>
          </cell>
        </row>
        <row r="239">
          <cell r="C239">
            <v>23.93</v>
          </cell>
          <cell r="D239">
            <v>6</v>
          </cell>
        </row>
        <row r="240">
          <cell r="C240">
            <v>204.07</v>
          </cell>
          <cell r="D240">
            <v>6</v>
          </cell>
        </row>
        <row r="241">
          <cell r="C241">
            <v>14753.31</v>
          </cell>
          <cell r="D241">
            <v>6</v>
          </cell>
        </row>
        <row r="242">
          <cell r="C242">
            <v>24.58</v>
          </cell>
          <cell r="D242">
            <v>6</v>
          </cell>
        </row>
        <row r="243">
          <cell r="C243">
            <v>701.09</v>
          </cell>
          <cell r="D243">
            <v>6</v>
          </cell>
        </row>
        <row r="244">
          <cell r="D244">
            <v>6</v>
          </cell>
        </row>
        <row r="245">
          <cell r="C245">
            <v>5247.38</v>
          </cell>
          <cell r="D245">
            <v>6</v>
          </cell>
        </row>
        <row r="246">
          <cell r="C246">
            <v>3029.32</v>
          </cell>
          <cell r="D246">
            <v>6</v>
          </cell>
        </row>
        <row r="247">
          <cell r="C247">
            <v>101.34</v>
          </cell>
          <cell r="D247">
            <v>6</v>
          </cell>
        </row>
        <row r="248">
          <cell r="C248">
            <v>34.770000000000003</v>
          </cell>
          <cell r="D248">
            <v>6</v>
          </cell>
        </row>
        <row r="249">
          <cell r="C249">
            <v>1098.8900000000001</v>
          </cell>
          <cell r="D249">
            <v>6</v>
          </cell>
        </row>
        <row r="250">
          <cell r="D250">
            <v>6</v>
          </cell>
        </row>
        <row r="251">
          <cell r="C251">
            <v>184.72</v>
          </cell>
          <cell r="D251">
            <v>6</v>
          </cell>
        </row>
        <row r="252">
          <cell r="C252">
            <v>9498.36</v>
          </cell>
          <cell r="D252">
            <v>6</v>
          </cell>
        </row>
        <row r="253">
          <cell r="C253">
            <v>1425.83</v>
          </cell>
          <cell r="D253">
            <v>6</v>
          </cell>
        </row>
        <row r="254">
          <cell r="D254">
            <v>6</v>
          </cell>
        </row>
        <row r="255">
          <cell r="C255">
            <v>49.66</v>
          </cell>
          <cell r="D255">
            <v>6</v>
          </cell>
        </row>
        <row r="256">
          <cell r="C256">
            <v>9418.1299999999992</v>
          </cell>
          <cell r="D256">
            <v>6</v>
          </cell>
        </row>
        <row r="257">
          <cell r="C257">
            <v>82.82</v>
          </cell>
          <cell r="D257">
            <v>6</v>
          </cell>
        </row>
        <row r="258">
          <cell r="C258">
            <v>320.32</v>
          </cell>
          <cell r="D258">
            <v>6</v>
          </cell>
        </row>
        <row r="259">
          <cell r="C259">
            <v>41.37</v>
          </cell>
          <cell r="D259">
            <v>6</v>
          </cell>
        </row>
        <row r="260">
          <cell r="C260">
            <v>41.7</v>
          </cell>
          <cell r="D260">
            <v>6</v>
          </cell>
        </row>
        <row r="261">
          <cell r="C261">
            <v>169.13</v>
          </cell>
          <cell r="D261">
            <v>6</v>
          </cell>
        </row>
        <row r="262">
          <cell r="C262">
            <v>1796.75</v>
          </cell>
          <cell r="D262">
            <v>6</v>
          </cell>
        </row>
        <row r="263">
          <cell r="C263">
            <v>16.46</v>
          </cell>
          <cell r="D263">
            <v>6</v>
          </cell>
        </row>
        <row r="264">
          <cell r="C264">
            <v>445.12</v>
          </cell>
          <cell r="D264">
            <v>6</v>
          </cell>
        </row>
        <row r="265">
          <cell r="C265">
            <v>-40237.279999999999</v>
          </cell>
          <cell r="D265">
            <v>6</v>
          </cell>
        </row>
        <row r="266">
          <cell r="C266">
            <v>14676.63</v>
          </cell>
          <cell r="D266">
            <v>6</v>
          </cell>
        </row>
        <row r="267">
          <cell r="C267">
            <v>847.33</v>
          </cell>
          <cell r="D267">
            <v>6</v>
          </cell>
        </row>
        <row r="268">
          <cell r="C268">
            <v>16201.8</v>
          </cell>
          <cell r="D268">
            <v>6</v>
          </cell>
        </row>
        <row r="269">
          <cell r="C269">
            <v>98.83</v>
          </cell>
          <cell r="D269">
            <v>6</v>
          </cell>
        </row>
        <row r="270">
          <cell r="D270">
            <v>6</v>
          </cell>
        </row>
        <row r="271">
          <cell r="C271">
            <v>15212.33</v>
          </cell>
          <cell r="D271">
            <v>6</v>
          </cell>
        </row>
        <row r="272">
          <cell r="C272">
            <v>9298.66</v>
          </cell>
          <cell r="D272">
            <v>6</v>
          </cell>
        </row>
        <row r="273">
          <cell r="C273">
            <v>271.72000000000003</v>
          </cell>
          <cell r="D273">
            <v>6</v>
          </cell>
        </row>
        <row r="274">
          <cell r="D274">
            <v>6</v>
          </cell>
        </row>
        <row r="275">
          <cell r="C275">
            <v>17958.509999999998</v>
          </cell>
          <cell r="D275">
            <v>6</v>
          </cell>
        </row>
        <row r="276">
          <cell r="C276">
            <v>40397.39</v>
          </cell>
          <cell r="D276">
            <v>6</v>
          </cell>
        </row>
        <row r="277">
          <cell r="D277">
            <v>6</v>
          </cell>
        </row>
        <row r="278">
          <cell r="C278">
            <v>4.25</v>
          </cell>
          <cell r="D278">
            <v>6</v>
          </cell>
        </row>
        <row r="279">
          <cell r="D279">
            <v>6</v>
          </cell>
        </row>
        <row r="280">
          <cell r="D280">
            <v>6</v>
          </cell>
        </row>
        <row r="281">
          <cell r="C281">
            <v>2432.13</v>
          </cell>
          <cell r="D281">
            <v>6</v>
          </cell>
        </row>
        <row r="282">
          <cell r="D282">
            <v>6</v>
          </cell>
        </row>
        <row r="283">
          <cell r="C283">
            <v>70.33</v>
          </cell>
          <cell r="D283">
            <v>6</v>
          </cell>
        </row>
        <row r="284">
          <cell r="C284">
            <v>29698.92599</v>
          </cell>
          <cell r="D284">
            <v>6</v>
          </cell>
        </row>
        <row r="285">
          <cell r="D285">
            <v>6</v>
          </cell>
        </row>
        <row r="286">
          <cell r="C286">
            <v>1711.5659900000001</v>
          </cell>
          <cell r="D286">
            <v>6</v>
          </cell>
        </row>
        <row r="287">
          <cell r="C287">
            <v>7657.2</v>
          </cell>
          <cell r="D287">
            <v>6</v>
          </cell>
        </row>
        <row r="288">
          <cell r="C288">
            <v>382.34598999999997</v>
          </cell>
          <cell r="D288">
            <v>6</v>
          </cell>
        </row>
        <row r="289">
          <cell r="C289">
            <v>-1.23</v>
          </cell>
          <cell r="D289">
            <v>6</v>
          </cell>
        </row>
        <row r="290">
          <cell r="C290">
            <v>6932.06</v>
          </cell>
          <cell r="D290">
            <v>6</v>
          </cell>
        </row>
        <row r="291">
          <cell r="D291">
            <v>6</v>
          </cell>
        </row>
        <row r="292">
          <cell r="C292">
            <v>17811.365989999998</v>
          </cell>
          <cell r="D292">
            <v>6</v>
          </cell>
        </row>
        <row r="293">
          <cell r="D293">
            <v>6</v>
          </cell>
        </row>
        <row r="294">
          <cell r="C294">
            <v>549.71599000000003</v>
          </cell>
          <cell r="D294">
            <v>6</v>
          </cell>
        </row>
        <row r="295">
          <cell r="D295">
            <v>6</v>
          </cell>
        </row>
        <row r="296">
          <cell r="D296">
            <v>6</v>
          </cell>
        </row>
        <row r="297">
          <cell r="C297">
            <v>8084.6</v>
          </cell>
          <cell r="D297">
            <v>6</v>
          </cell>
        </row>
        <row r="298">
          <cell r="C298">
            <v>15522.725990000001</v>
          </cell>
          <cell r="D298">
            <v>6</v>
          </cell>
        </row>
        <row r="299">
          <cell r="C299">
            <v>14314.85599</v>
          </cell>
          <cell r="D299">
            <v>6</v>
          </cell>
        </row>
        <row r="300">
          <cell r="C300">
            <v>11826.75599</v>
          </cell>
          <cell r="D300">
            <v>6</v>
          </cell>
        </row>
        <row r="301">
          <cell r="D301">
            <v>6</v>
          </cell>
        </row>
        <row r="302">
          <cell r="C302">
            <v>-737.82</v>
          </cell>
          <cell r="D302">
            <v>6</v>
          </cell>
        </row>
        <row r="303">
          <cell r="C303">
            <v>2343.33599</v>
          </cell>
          <cell r="D303">
            <v>6</v>
          </cell>
        </row>
        <row r="304">
          <cell r="C304">
            <v>822.3</v>
          </cell>
          <cell r="D304">
            <v>6</v>
          </cell>
        </row>
        <row r="305">
          <cell r="C305">
            <v>28943.859899999999</v>
          </cell>
          <cell r="D305">
            <v>6</v>
          </cell>
        </row>
        <row r="306">
          <cell r="C306">
            <v>15768.305499</v>
          </cell>
          <cell r="D306">
            <v>6</v>
          </cell>
        </row>
        <row r="307">
          <cell r="C307">
            <v>146427.54599000001</v>
          </cell>
          <cell r="D307">
            <v>6</v>
          </cell>
        </row>
        <row r="308">
          <cell r="C308">
            <v>497.88598999999999</v>
          </cell>
          <cell r="D308">
            <v>6</v>
          </cell>
        </row>
        <row r="309">
          <cell r="D309">
            <v>6</v>
          </cell>
        </row>
        <row r="310">
          <cell r="D310">
            <v>6</v>
          </cell>
        </row>
        <row r="311">
          <cell r="C311">
            <v>-61.77</v>
          </cell>
          <cell r="D311">
            <v>6</v>
          </cell>
        </row>
        <row r="312">
          <cell r="D312">
            <v>6</v>
          </cell>
        </row>
        <row r="313">
          <cell r="C313">
            <v>3863.3659899999998</v>
          </cell>
          <cell r="D313">
            <v>6</v>
          </cell>
        </row>
        <row r="314">
          <cell r="C314">
            <v>33.585990000000002</v>
          </cell>
          <cell r="D314">
            <v>6</v>
          </cell>
        </row>
        <row r="315">
          <cell r="C315">
            <v>76.825990000000004</v>
          </cell>
          <cell r="D315">
            <v>6</v>
          </cell>
        </row>
        <row r="316">
          <cell r="D316" t="str">
            <v/>
          </cell>
        </row>
        <row r="317">
          <cell r="D317" t="str">
            <v/>
          </cell>
        </row>
        <row r="318">
          <cell r="D318" t="str">
            <v/>
          </cell>
        </row>
        <row r="319">
          <cell r="D319" t="str">
            <v/>
          </cell>
        </row>
        <row r="320">
          <cell r="D320" t="str">
            <v/>
          </cell>
        </row>
        <row r="321">
          <cell r="D321" t="str">
            <v/>
          </cell>
        </row>
        <row r="322">
          <cell r="D322" t="str">
            <v/>
          </cell>
        </row>
        <row r="323">
          <cell r="D323" t="str">
            <v/>
          </cell>
        </row>
        <row r="324">
          <cell r="D324" t="str">
            <v/>
          </cell>
        </row>
        <row r="325">
          <cell r="D325" t="str">
            <v/>
          </cell>
        </row>
        <row r="326">
          <cell r="D326" t="str">
            <v/>
          </cell>
        </row>
        <row r="327">
          <cell r="D327" t="str">
            <v/>
          </cell>
        </row>
        <row r="328">
          <cell r="D328" t="str">
            <v/>
          </cell>
        </row>
        <row r="329">
          <cell r="D329" t="str">
            <v/>
          </cell>
        </row>
        <row r="330">
          <cell r="D330" t="str">
            <v/>
          </cell>
        </row>
        <row r="331">
          <cell r="D331" t="str">
            <v/>
          </cell>
        </row>
        <row r="332">
          <cell r="D332" t="str">
            <v/>
          </cell>
        </row>
        <row r="333">
          <cell r="D333" t="str">
            <v/>
          </cell>
        </row>
        <row r="334">
          <cell r="D334" t="str">
            <v/>
          </cell>
        </row>
        <row r="335">
          <cell r="D335" t="str">
            <v/>
          </cell>
        </row>
        <row r="336">
          <cell r="D336" t="str">
            <v/>
          </cell>
        </row>
        <row r="337">
          <cell r="D337" t="str">
            <v/>
          </cell>
        </row>
        <row r="338">
          <cell r="D338" t="str">
            <v/>
          </cell>
        </row>
        <row r="339">
          <cell r="D339" t="str">
            <v/>
          </cell>
        </row>
        <row r="340">
          <cell r="D340" t="str">
            <v/>
          </cell>
        </row>
        <row r="341">
          <cell r="D341" t="str">
            <v/>
          </cell>
        </row>
        <row r="342">
          <cell r="D342" t="str">
            <v/>
          </cell>
        </row>
        <row r="343">
          <cell r="D343" t="str">
            <v/>
          </cell>
        </row>
        <row r="344">
          <cell r="D344" t="str">
            <v/>
          </cell>
        </row>
        <row r="345">
          <cell r="D345" t="str">
            <v/>
          </cell>
        </row>
        <row r="346">
          <cell r="D346" t="str">
            <v/>
          </cell>
        </row>
        <row r="347">
          <cell r="D347" t="str">
            <v/>
          </cell>
        </row>
        <row r="348">
          <cell r="D348" t="str">
            <v/>
          </cell>
        </row>
        <row r="349">
          <cell r="D349" t="str">
            <v/>
          </cell>
        </row>
        <row r="350">
          <cell r="D350" t="str">
            <v/>
          </cell>
        </row>
        <row r="351">
          <cell r="D351" t="str">
            <v/>
          </cell>
        </row>
        <row r="352">
          <cell r="D352" t="str">
            <v/>
          </cell>
        </row>
        <row r="353">
          <cell r="D353" t="str">
            <v/>
          </cell>
        </row>
        <row r="354">
          <cell r="D354" t="str">
            <v/>
          </cell>
        </row>
        <row r="355">
          <cell r="D355" t="str">
            <v/>
          </cell>
        </row>
        <row r="356">
          <cell r="D356" t="str">
            <v/>
          </cell>
        </row>
        <row r="357">
          <cell r="D357" t="str">
            <v/>
          </cell>
        </row>
        <row r="358">
          <cell r="D358" t="str">
            <v/>
          </cell>
        </row>
        <row r="359">
          <cell r="D359" t="str">
            <v/>
          </cell>
        </row>
        <row r="360">
          <cell r="D360" t="str">
            <v/>
          </cell>
        </row>
        <row r="361">
          <cell r="D361" t="str">
            <v/>
          </cell>
        </row>
        <row r="362">
          <cell r="D362" t="str">
            <v/>
          </cell>
        </row>
        <row r="363">
          <cell r="D363" t="str">
            <v/>
          </cell>
        </row>
        <row r="364">
          <cell r="D364" t="str">
            <v/>
          </cell>
        </row>
        <row r="365">
          <cell r="D365" t="str">
            <v/>
          </cell>
        </row>
        <row r="366">
          <cell r="D366" t="str">
            <v/>
          </cell>
        </row>
        <row r="367">
          <cell r="D367" t="str">
            <v/>
          </cell>
        </row>
        <row r="368">
          <cell r="D368" t="str">
            <v/>
          </cell>
        </row>
        <row r="369">
          <cell r="D369" t="str">
            <v/>
          </cell>
        </row>
        <row r="370">
          <cell r="D370" t="str">
            <v/>
          </cell>
        </row>
        <row r="371">
          <cell r="D371" t="str">
            <v/>
          </cell>
        </row>
        <row r="372">
          <cell r="D372" t="str">
            <v/>
          </cell>
        </row>
        <row r="373">
          <cell r="D373" t="str">
            <v/>
          </cell>
        </row>
        <row r="374">
          <cell r="D374" t="str">
            <v/>
          </cell>
        </row>
        <row r="375">
          <cell r="D375" t="str">
            <v/>
          </cell>
        </row>
        <row r="376">
          <cell r="D376" t="str">
            <v/>
          </cell>
        </row>
        <row r="377">
          <cell r="D377" t="str">
            <v/>
          </cell>
        </row>
        <row r="378">
          <cell r="D378" t="str">
            <v/>
          </cell>
        </row>
        <row r="379">
          <cell r="D379" t="str">
            <v/>
          </cell>
        </row>
        <row r="380">
          <cell r="D380" t="str">
            <v/>
          </cell>
        </row>
        <row r="381">
          <cell r="D381" t="str">
            <v/>
          </cell>
        </row>
        <row r="382">
          <cell r="D382" t="str">
            <v/>
          </cell>
        </row>
        <row r="383">
          <cell r="D383" t="str">
            <v/>
          </cell>
        </row>
        <row r="384">
          <cell r="D384" t="str">
            <v/>
          </cell>
        </row>
        <row r="385">
          <cell r="D385" t="str">
            <v/>
          </cell>
        </row>
        <row r="386">
          <cell r="D386" t="str">
            <v/>
          </cell>
        </row>
        <row r="387">
          <cell r="D387" t="str">
            <v/>
          </cell>
        </row>
        <row r="388">
          <cell r="D388" t="str">
            <v/>
          </cell>
        </row>
        <row r="389">
          <cell r="D389" t="str">
            <v/>
          </cell>
        </row>
        <row r="390">
          <cell r="D390" t="str">
            <v/>
          </cell>
        </row>
        <row r="391">
          <cell r="D391" t="str">
            <v/>
          </cell>
        </row>
        <row r="392">
          <cell r="D392" t="str">
            <v/>
          </cell>
        </row>
        <row r="393">
          <cell r="D393" t="str">
            <v/>
          </cell>
        </row>
        <row r="394">
          <cell r="D394" t="str">
            <v/>
          </cell>
        </row>
        <row r="395">
          <cell r="D395" t="str">
            <v/>
          </cell>
        </row>
        <row r="396">
          <cell r="D396" t="str">
            <v/>
          </cell>
        </row>
        <row r="397">
          <cell r="D397" t="str">
            <v/>
          </cell>
        </row>
        <row r="398">
          <cell r="D398" t="str">
            <v/>
          </cell>
        </row>
        <row r="399">
          <cell r="D399" t="str">
            <v/>
          </cell>
        </row>
        <row r="400">
          <cell r="D400" t="str">
            <v/>
          </cell>
        </row>
      </sheetData>
      <sheetData sheetId="2"/>
      <sheetData sheetId="3" refreshError="1">
        <row r="2">
          <cell r="F2">
            <v>1997316.82</v>
          </cell>
        </row>
        <row r="4">
          <cell r="L4">
            <v>84108842.804000005</v>
          </cell>
          <cell r="Z4" t="str">
            <v>100000</v>
          </cell>
        </row>
        <row r="5">
          <cell r="Z5" t="str">
            <v>110000</v>
          </cell>
        </row>
        <row r="6">
          <cell r="Z6" t="str">
            <v>111000</v>
          </cell>
        </row>
        <row r="7">
          <cell r="Z7" t="str">
            <v>111100</v>
          </cell>
        </row>
        <row r="8">
          <cell r="Z8" t="str">
            <v>111101</v>
          </cell>
        </row>
        <row r="9">
          <cell r="Z9" t="str">
            <v>111102</v>
          </cell>
        </row>
        <row r="10">
          <cell r="Z10" t="str">
            <v>111103</v>
          </cell>
        </row>
        <row r="11">
          <cell r="Z11" t="str">
            <v>111104</v>
          </cell>
        </row>
        <row r="12">
          <cell r="Z12" t="str">
            <v>111105</v>
          </cell>
        </row>
        <row r="13">
          <cell r="Z13" t="str">
            <v>111106</v>
          </cell>
        </row>
        <row r="14">
          <cell r="Z14" t="str">
            <v>111107</v>
          </cell>
        </row>
        <row r="15">
          <cell r="Z15" t="str">
            <v>111108</v>
          </cell>
        </row>
        <row r="16">
          <cell r="Z16" t="str">
            <v>111109</v>
          </cell>
        </row>
        <row r="17">
          <cell r="Z17" t="str">
            <v>111200</v>
          </cell>
        </row>
        <row r="18">
          <cell r="Z18" t="str">
            <v>111201</v>
          </cell>
        </row>
        <row r="19">
          <cell r="Z19" t="str">
            <v>111202</v>
          </cell>
        </row>
        <row r="20">
          <cell r="Z20" t="str">
            <v>111203</v>
          </cell>
        </row>
        <row r="21">
          <cell r="Z21" t="str">
            <v>111204</v>
          </cell>
        </row>
        <row r="22">
          <cell r="Z22" t="str">
            <v>111209</v>
          </cell>
        </row>
        <row r="23">
          <cell r="Z23" t="str">
            <v>112000</v>
          </cell>
        </row>
        <row r="24">
          <cell r="L24">
            <v>58173887.129980005</v>
          </cell>
          <cell r="Z24" t="str">
            <v>112100</v>
          </cell>
        </row>
        <row r="25">
          <cell r="Z25" t="str">
            <v>112101</v>
          </cell>
        </row>
        <row r="26">
          <cell r="Z26" t="str">
            <v>112102</v>
          </cell>
        </row>
        <row r="27">
          <cell r="Z27" t="str">
            <v>112103</v>
          </cell>
        </row>
        <row r="28">
          <cell r="Z28" t="str">
            <v>112104</v>
          </cell>
        </row>
        <row r="29">
          <cell r="Z29" t="str">
            <v>112109</v>
          </cell>
        </row>
        <row r="30">
          <cell r="Z30" t="str">
            <v>112200</v>
          </cell>
        </row>
        <row r="31">
          <cell r="Z31" t="str">
            <v>112201</v>
          </cell>
        </row>
        <row r="32">
          <cell r="Z32" t="str">
            <v>112202</v>
          </cell>
        </row>
        <row r="33">
          <cell r="Z33" t="str">
            <v>112203</v>
          </cell>
        </row>
        <row r="34">
          <cell r="Z34" t="str">
            <v>112204</v>
          </cell>
        </row>
        <row r="35">
          <cell r="Z35" t="str">
            <v>112209</v>
          </cell>
        </row>
        <row r="36">
          <cell r="Z36" t="str">
            <v>112300</v>
          </cell>
        </row>
        <row r="37">
          <cell r="Z37" t="str">
            <v>112301</v>
          </cell>
        </row>
        <row r="38">
          <cell r="Z38" t="str">
            <v>112302</v>
          </cell>
        </row>
        <row r="39">
          <cell r="Z39" t="str">
            <v>112303</v>
          </cell>
        </row>
        <row r="40">
          <cell r="Z40" t="str">
            <v>112304</v>
          </cell>
        </row>
        <row r="41">
          <cell r="Z41" t="str">
            <v>112309</v>
          </cell>
        </row>
        <row r="42">
          <cell r="Z42" t="str">
            <v>113000</v>
          </cell>
        </row>
        <row r="43">
          <cell r="Z43" t="str">
            <v>113100</v>
          </cell>
        </row>
        <row r="44">
          <cell r="Z44" t="str">
            <v>113200</v>
          </cell>
        </row>
        <row r="45">
          <cell r="Z45" t="str">
            <v>113300</v>
          </cell>
        </row>
        <row r="46">
          <cell r="Z46" t="str">
            <v>114000</v>
          </cell>
        </row>
        <row r="47">
          <cell r="Z47" t="str">
            <v>114100</v>
          </cell>
        </row>
        <row r="48">
          <cell r="Z48" t="str">
            <v>114101</v>
          </cell>
        </row>
        <row r="49">
          <cell r="Z49" t="str">
            <v>114102</v>
          </cell>
        </row>
        <row r="50">
          <cell r="Z50" t="str">
            <v>114103</v>
          </cell>
        </row>
        <row r="51">
          <cell r="Z51" t="str">
            <v>114104</v>
          </cell>
        </row>
        <row r="52">
          <cell r="Z52" t="str">
            <v>114109</v>
          </cell>
        </row>
        <row r="53">
          <cell r="Z53" t="str">
            <v>114200</v>
          </cell>
        </row>
        <row r="54">
          <cell r="Z54" t="str">
            <v>114201</v>
          </cell>
        </row>
        <row r="55">
          <cell r="Z55" t="str">
            <v>114202</v>
          </cell>
        </row>
        <row r="56">
          <cell r="Z56" t="str">
            <v>114203</v>
          </cell>
        </row>
        <row r="57">
          <cell r="Z57" t="str">
            <v>114204</v>
          </cell>
        </row>
        <row r="58">
          <cell r="Z58" t="str">
            <v>114209</v>
          </cell>
        </row>
        <row r="59">
          <cell r="Z59" t="str">
            <v>114300</v>
          </cell>
        </row>
        <row r="60">
          <cell r="Z60" t="str">
            <v>114301</v>
          </cell>
        </row>
        <row r="61">
          <cell r="Z61" t="str">
            <v>114302</v>
          </cell>
        </row>
        <row r="62">
          <cell r="Z62" t="str">
            <v>114303</v>
          </cell>
        </row>
        <row r="63">
          <cell r="Z63" t="str">
            <v>114304</v>
          </cell>
        </row>
        <row r="64">
          <cell r="Z64" t="str">
            <v>114309</v>
          </cell>
        </row>
        <row r="65">
          <cell r="Z65" t="str">
            <v>114400</v>
          </cell>
        </row>
        <row r="66">
          <cell r="Z66" t="str">
            <v>114401</v>
          </cell>
        </row>
        <row r="67">
          <cell r="Z67" t="str">
            <v>114402</v>
          </cell>
        </row>
        <row r="68">
          <cell r="Z68" t="str">
            <v>114403</v>
          </cell>
        </row>
        <row r="69">
          <cell r="Z69" t="str">
            <v>114404</v>
          </cell>
        </row>
        <row r="70">
          <cell r="Z70" t="str">
            <v>114409</v>
          </cell>
        </row>
        <row r="71">
          <cell r="Z71" t="str">
            <v>114500</v>
          </cell>
        </row>
        <row r="72">
          <cell r="Z72" t="str">
            <v>114501</v>
          </cell>
        </row>
        <row r="73">
          <cell r="Z73" t="str">
            <v>114502</v>
          </cell>
        </row>
        <row r="74">
          <cell r="Z74" t="str">
            <v>114503</v>
          </cell>
        </row>
        <row r="75">
          <cell r="Z75" t="str">
            <v>114504</v>
          </cell>
        </row>
        <row r="76">
          <cell r="Z76" t="str">
            <v>114509</v>
          </cell>
        </row>
        <row r="77">
          <cell r="Z77" t="str">
            <v>114600</v>
          </cell>
        </row>
        <row r="78">
          <cell r="Z78" t="str">
            <v>114601</v>
          </cell>
        </row>
        <row r="79">
          <cell r="Z79" t="str">
            <v>114602</v>
          </cell>
        </row>
        <row r="80">
          <cell r="Z80" t="str">
            <v>114603</v>
          </cell>
        </row>
        <row r="81">
          <cell r="Z81" t="str">
            <v>114604</v>
          </cell>
        </row>
        <row r="82">
          <cell r="Z82" t="str">
            <v>114609</v>
          </cell>
        </row>
        <row r="83">
          <cell r="Z83" t="str">
            <v>114700</v>
          </cell>
        </row>
        <row r="84">
          <cell r="Z84" t="str">
            <v>114701</v>
          </cell>
        </row>
        <row r="85">
          <cell r="Z85" t="str">
            <v>114702</v>
          </cell>
        </row>
        <row r="86">
          <cell r="Z86" t="str">
            <v>114703</v>
          </cell>
        </row>
        <row r="87">
          <cell r="Z87" t="str">
            <v>114704</v>
          </cell>
        </row>
        <row r="88">
          <cell r="Z88" t="str">
            <v>114709</v>
          </cell>
        </row>
        <row r="89">
          <cell r="Z89" t="str">
            <v>115000</v>
          </cell>
        </row>
        <row r="90">
          <cell r="Z90" t="str">
            <v>115100</v>
          </cell>
        </row>
        <row r="91">
          <cell r="Z91" t="str">
            <v>115101</v>
          </cell>
        </row>
        <row r="92">
          <cell r="Z92" t="str">
            <v>115102</v>
          </cell>
        </row>
        <row r="93">
          <cell r="Z93" t="str">
            <v>115103</v>
          </cell>
        </row>
        <row r="94">
          <cell r="Z94" t="str">
            <v>115104</v>
          </cell>
        </row>
        <row r="95">
          <cell r="Z95" t="str">
            <v>115109</v>
          </cell>
        </row>
        <row r="96">
          <cell r="Z96" t="str">
            <v>115200</v>
          </cell>
        </row>
        <row r="97">
          <cell r="Z97" t="str">
            <v>115201</v>
          </cell>
        </row>
        <row r="98">
          <cell r="Z98" t="str">
            <v>115202</v>
          </cell>
        </row>
        <row r="99">
          <cell r="Z99" t="str">
            <v>115203</v>
          </cell>
        </row>
        <row r="100">
          <cell r="Z100" t="str">
            <v>115204</v>
          </cell>
        </row>
        <row r="101">
          <cell r="Z101" t="str">
            <v>115209</v>
          </cell>
        </row>
        <row r="102">
          <cell r="Z102" t="str">
            <v>115300</v>
          </cell>
        </row>
        <row r="103">
          <cell r="Z103" t="str">
            <v>115301</v>
          </cell>
        </row>
        <row r="104">
          <cell r="Z104" t="str">
            <v>115302</v>
          </cell>
        </row>
        <row r="105">
          <cell r="L105">
            <v>25934955.671999998</v>
          </cell>
          <cell r="Z105" t="str">
            <v>115303</v>
          </cell>
        </row>
        <row r="106">
          <cell r="Z106" t="str">
            <v>115304</v>
          </cell>
        </row>
        <row r="107">
          <cell r="Z107" t="str">
            <v>115309</v>
          </cell>
        </row>
        <row r="108">
          <cell r="Z108" t="str">
            <v>115400</v>
          </cell>
        </row>
        <row r="109">
          <cell r="Z109" t="str">
            <v>115401</v>
          </cell>
        </row>
        <row r="110">
          <cell r="Z110" t="str">
            <v>115402</v>
          </cell>
        </row>
        <row r="111">
          <cell r="Z111" t="str">
            <v>115403</v>
          </cell>
        </row>
        <row r="112">
          <cell r="Z112" t="str">
            <v>115404</v>
          </cell>
        </row>
        <row r="113">
          <cell r="Z113" t="str">
            <v>115409</v>
          </cell>
        </row>
        <row r="114">
          <cell r="Z114" t="str">
            <v>120000</v>
          </cell>
        </row>
        <row r="115">
          <cell r="Z115" t="str">
            <v>121000</v>
          </cell>
        </row>
        <row r="116">
          <cell r="Z116" t="str">
            <v>121100</v>
          </cell>
        </row>
        <row r="117">
          <cell r="Z117" t="str">
            <v>121110</v>
          </cell>
        </row>
        <row r="118">
          <cell r="Z118" t="str">
            <v>121111</v>
          </cell>
        </row>
        <row r="119">
          <cell r="Z119" t="str">
            <v>121112</v>
          </cell>
        </row>
        <row r="120">
          <cell r="Z120" t="str">
            <v>121113</v>
          </cell>
        </row>
        <row r="121">
          <cell r="Z121" t="str">
            <v>121114</v>
          </cell>
        </row>
        <row r="122">
          <cell r="Z122" t="str">
            <v>121119</v>
          </cell>
        </row>
        <row r="123">
          <cell r="Z123" t="str">
            <v>121120</v>
          </cell>
        </row>
        <row r="124">
          <cell r="Z124" t="str">
            <v>121121</v>
          </cell>
        </row>
        <row r="125">
          <cell r="Z125" t="str">
            <v>121122</v>
          </cell>
        </row>
        <row r="126">
          <cell r="Z126" t="str">
            <v>121123</v>
          </cell>
        </row>
        <row r="127">
          <cell r="Z127" t="str">
            <v>121124</v>
          </cell>
        </row>
        <row r="128">
          <cell r="Z128" t="str">
            <v>121129</v>
          </cell>
        </row>
        <row r="129">
          <cell r="Z129" t="str">
            <v>121130</v>
          </cell>
        </row>
        <row r="130">
          <cell r="Z130" t="str">
            <v>121131</v>
          </cell>
        </row>
        <row r="131">
          <cell r="Z131" t="str">
            <v>121132</v>
          </cell>
        </row>
        <row r="132">
          <cell r="Z132" t="str">
            <v>121133</v>
          </cell>
        </row>
        <row r="133">
          <cell r="Z133" t="str">
            <v>121134</v>
          </cell>
        </row>
        <row r="134">
          <cell r="Z134" t="str">
            <v>121139</v>
          </cell>
        </row>
        <row r="135">
          <cell r="Z135" t="str">
            <v>121140</v>
          </cell>
        </row>
        <row r="136">
          <cell r="Z136" t="str">
            <v>121141</v>
          </cell>
        </row>
        <row r="137">
          <cell r="Z137" t="str">
            <v>121142</v>
          </cell>
        </row>
        <row r="138">
          <cell r="Z138" t="str">
            <v>121143</v>
          </cell>
        </row>
        <row r="139">
          <cell r="Z139" t="str">
            <v>121144</v>
          </cell>
        </row>
        <row r="140">
          <cell r="Z140" t="str">
            <v>121149</v>
          </cell>
        </row>
        <row r="141">
          <cell r="Z141" t="str">
            <v>121150</v>
          </cell>
        </row>
        <row r="142">
          <cell r="Z142" t="str">
            <v>121151</v>
          </cell>
        </row>
        <row r="143">
          <cell r="Z143" t="str">
            <v>121152</v>
          </cell>
        </row>
        <row r="144">
          <cell r="Z144" t="str">
            <v>121153</v>
          </cell>
        </row>
        <row r="145">
          <cell r="Z145" t="str">
            <v>121154</v>
          </cell>
        </row>
        <row r="146">
          <cell r="Z146" t="str">
            <v>121159</v>
          </cell>
        </row>
        <row r="147">
          <cell r="Z147" t="str">
            <v>121160</v>
          </cell>
        </row>
        <row r="148">
          <cell r="Z148" t="str">
            <v>121161</v>
          </cell>
        </row>
        <row r="149">
          <cell r="Z149" t="str">
            <v>121162</v>
          </cell>
        </row>
        <row r="150">
          <cell r="Z150" t="str">
            <v>121163</v>
          </cell>
        </row>
        <row r="151">
          <cell r="Z151" t="str">
            <v>121164</v>
          </cell>
        </row>
        <row r="152">
          <cell r="Z152" t="str">
            <v>121169</v>
          </cell>
        </row>
        <row r="153">
          <cell r="Z153" t="str">
            <v>121170</v>
          </cell>
        </row>
        <row r="154">
          <cell r="Z154" t="str">
            <v>121171</v>
          </cell>
        </row>
        <row r="155">
          <cell r="Z155" t="str">
            <v>121172</v>
          </cell>
        </row>
        <row r="156">
          <cell r="Z156" t="str">
            <v>121173</v>
          </cell>
        </row>
        <row r="157">
          <cell r="Z157" t="str">
            <v>121174</v>
          </cell>
        </row>
        <row r="158">
          <cell r="Z158" t="str">
            <v>121179</v>
          </cell>
        </row>
        <row r="159">
          <cell r="Z159" t="str">
            <v>121200</v>
          </cell>
        </row>
        <row r="160">
          <cell r="Z160" t="str">
            <v>121210</v>
          </cell>
        </row>
        <row r="161">
          <cell r="Z161" t="str">
            <v>121211</v>
          </cell>
        </row>
        <row r="162">
          <cell r="Z162" t="str">
            <v>121212</v>
          </cell>
        </row>
        <row r="163">
          <cell r="Z163" t="str">
            <v>121213</v>
          </cell>
        </row>
        <row r="164">
          <cell r="Z164" t="str">
            <v>121214</v>
          </cell>
        </row>
        <row r="165">
          <cell r="Z165" t="str">
            <v>121219</v>
          </cell>
        </row>
        <row r="166">
          <cell r="Z166" t="str">
            <v>121220</v>
          </cell>
        </row>
        <row r="167">
          <cell r="Z167" t="str">
            <v>121221</v>
          </cell>
        </row>
        <row r="168">
          <cell r="Z168" t="str">
            <v>121222</v>
          </cell>
        </row>
        <row r="169">
          <cell r="Z169" t="str">
            <v>121223</v>
          </cell>
        </row>
        <row r="170">
          <cell r="Z170" t="str">
            <v>121224</v>
          </cell>
        </row>
        <row r="171">
          <cell r="Z171" t="str">
            <v>121229</v>
          </cell>
        </row>
        <row r="172">
          <cell r="Z172" t="str">
            <v>121230</v>
          </cell>
        </row>
        <row r="173">
          <cell r="Z173" t="str">
            <v>121231</v>
          </cell>
        </row>
        <row r="174">
          <cell r="Z174" t="str">
            <v>121232</v>
          </cell>
        </row>
        <row r="175">
          <cell r="Z175" t="str">
            <v>121233</v>
          </cell>
        </row>
        <row r="176">
          <cell r="Z176" t="str">
            <v>121234</v>
          </cell>
        </row>
        <row r="177">
          <cell r="Z177" t="str">
            <v>121239</v>
          </cell>
        </row>
        <row r="178">
          <cell r="Z178" t="str">
            <v>121240</v>
          </cell>
        </row>
        <row r="179">
          <cell r="Z179" t="str">
            <v>121241</v>
          </cell>
        </row>
        <row r="180">
          <cell r="Z180" t="str">
            <v>121242</v>
          </cell>
        </row>
        <row r="181">
          <cell r="Z181" t="str">
            <v>121243</v>
          </cell>
        </row>
        <row r="182">
          <cell r="Z182" t="str">
            <v>121244</v>
          </cell>
        </row>
        <row r="183">
          <cell r="Z183" t="str">
            <v>121249</v>
          </cell>
        </row>
        <row r="184">
          <cell r="Z184" t="str">
            <v>121250</v>
          </cell>
        </row>
        <row r="185">
          <cell r="Z185" t="str">
            <v>121251</v>
          </cell>
        </row>
        <row r="186">
          <cell r="Z186" t="str">
            <v>121252</v>
          </cell>
        </row>
        <row r="187">
          <cell r="Z187" t="str">
            <v>121253</v>
          </cell>
        </row>
        <row r="188">
          <cell r="Z188" t="str">
            <v>121254</v>
          </cell>
        </row>
        <row r="189">
          <cell r="Z189" t="str">
            <v>121259</v>
          </cell>
        </row>
        <row r="190">
          <cell r="Z190" t="str">
            <v>121260</v>
          </cell>
        </row>
        <row r="191">
          <cell r="Z191" t="str">
            <v>121261</v>
          </cell>
        </row>
        <row r="192">
          <cell r="Z192" t="str">
            <v>121262</v>
          </cell>
        </row>
        <row r="193">
          <cell r="Z193" t="str">
            <v>121263</v>
          </cell>
        </row>
        <row r="194">
          <cell r="Z194" t="str">
            <v>121264</v>
          </cell>
        </row>
        <row r="195">
          <cell r="Z195" t="str">
            <v>121269</v>
          </cell>
        </row>
        <row r="196">
          <cell r="Z196" t="str">
            <v>121270</v>
          </cell>
        </row>
        <row r="197">
          <cell r="Z197" t="str">
            <v>121271</v>
          </cell>
        </row>
        <row r="198">
          <cell r="Z198" t="str">
            <v>121272</v>
          </cell>
        </row>
        <row r="199">
          <cell r="Z199" t="str">
            <v>121273</v>
          </cell>
        </row>
        <row r="200">
          <cell r="Z200" t="str">
            <v>121274</v>
          </cell>
        </row>
        <row r="201">
          <cell r="Z201" t="str">
            <v>121279</v>
          </cell>
        </row>
        <row r="202">
          <cell r="Z202" t="str">
            <v>121300</v>
          </cell>
        </row>
        <row r="203">
          <cell r="Z203" t="str">
            <v>121310</v>
          </cell>
        </row>
        <row r="204">
          <cell r="Z204" t="str">
            <v>121311</v>
          </cell>
        </row>
        <row r="205">
          <cell r="Z205" t="str">
            <v>121312</v>
          </cell>
        </row>
        <row r="206">
          <cell r="Z206" t="str">
            <v>121313</v>
          </cell>
        </row>
        <row r="207">
          <cell r="Z207" t="str">
            <v>121314</v>
          </cell>
        </row>
        <row r="208">
          <cell r="Z208" t="str">
            <v>121319</v>
          </cell>
        </row>
        <row r="209">
          <cell r="Z209" t="str">
            <v>121320</v>
          </cell>
        </row>
        <row r="210">
          <cell r="Z210" t="str">
            <v>121321</v>
          </cell>
        </row>
        <row r="211">
          <cell r="Z211" t="str">
            <v>121322</v>
          </cell>
        </row>
        <row r="212">
          <cell r="Z212" t="str">
            <v>121323</v>
          </cell>
        </row>
        <row r="213">
          <cell r="Z213" t="str">
            <v>121324</v>
          </cell>
        </row>
        <row r="214">
          <cell r="Z214" t="str">
            <v>121329</v>
          </cell>
        </row>
        <row r="215">
          <cell r="Z215" t="str">
            <v>121330</v>
          </cell>
        </row>
        <row r="216">
          <cell r="Z216" t="str">
            <v>121331</v>
          </cell>
        </row>
        <row r="217">
          <cell r="Z217" t="str">
            <v>121332</v>
          </cell>
        </row>
        <row r="218">
          <cell r="Z218" t="str">
            <v>121333</v>
          </cell>
        </row>
        <row r="219">
          <cell r="Z219" t="str">
            <v>121334</v>
          </cell>
        </row>
        <row r="220">
          <cell r="Z220" t="str">
            <v>121339</v>
          </cell>
        </row>
        <row r="221">
          <cell r="Z221" t="str">
            <v>121340</v>
          </cell>
        </row>
        <row r="222">
          <cell r="Z222" t="str">
            <v>121341</v>
          </cell>
        </row>
        <row r="223">
          <cell r="Z223" t="str">
            <v>121342</v>
          </cell>
        </row>
        <row r="224">
          <cell r="Z224" t="str">
            <v>121343</v>
          </cell>
        </row>
        <row r="225">
          <cell r="Z225" t="str">
            <v>121344</v>
          </cell>
        </row>
        <row r="226">
          <cell r="Z226" t="str">
            <v>121349</v>
          </cell>
        </row>
        <row r="227">
          <cell r="Z227" t="str">
            <v>121350</v>
          </cell>
        </row>
        <row r="228">
          <cell r="Z228" t="str">
            <v>121351</v>
          </cell>
        </row>
        <row r="229">
          <cell r="Z229" t="str">
            <v>121352</v>
          </cell>
        </row>
        <row r="230">
          <cell r="Z230" t="str">
            <v>121353</v>
          </cell>
        </row>
        <row r="231">
          <cell r="Z231" t="str">
            <v>121354</v>
          </cell>
        </row>
        <row r="232">
          <cell r="Z232" t="str">
            <v>121359</v>
          </cell>
        </row>
        <row r="233">
          <cell r="Z233" t="str">
            <v>121360</v>
          </cell>
        </row>
        <row r="234">
          <cell r="Z234" t="str">
            <v>121361</v>
          </cell>
        </row>
        <row r="235">
          <cell r="Z235" t="str">
            <v>121362</v>
          </cell>
        </row>
        <row r="236">
          <cell r="Z236" t="str">
            <v>121363</v>
          </cell>
        </row>
        <row r="237">
          <cell r="Z237" t="str">
            <v>121364</v>
          </cell>
        </row>
        <row r="238">
          <cell r="Z238" t="str">
            <v>121369</v>
          </cell>
        </row>
        <row r="239">
          <cell r="Z239" t="str">
            <v>121370</v>
          </cell>
        </row>
        <row r="240">
          <cell r="Z240" t="str">
            <v>121371</v>
          </cell>
        </row>
        <row r="241">
          <cell r="Z241" t="str">
            <v>121372</v>
          </cell>
        </row>
        <row r="242">
          <cell r="Z242" t="str">
            <v>121373</v>
          </cell>
        </row>
        <row r="243">
          <cell r="Z243" t="str">
            <v>121374</v>
          </cell>
        </row>
        <row r="244">
          <cell r="Z244" t="str">
            <v>121379</v>
          </cell>
        </row>
        <row r="245">
          <cell r="Z245" t="str">
            <v>121400</v>
          </cell>
        </row>
        <row r="246">
          <cell r="Z246" t="str">
            <v>121410</v>
          </cell>
        </row>
        <row r="247">
          <cell r="Z247" t="str">
            <v>121411</v>
          </cell>
        </row>
        <row r="248">
          <cell r="Z248" t="str">
            <v>121412</v>
          </cell>
        </row>
        <row r="249">
          <cell r="Z249" t="str">
            <v>121413</v>
          </cell>
        </row>
        <row r="250">
          <cell r="Z250" t="str">
            <v>121414</v>
          </cell>
        </row>
        <row r="251">
          <cell r="Z251" t="str">
            <v>121419</v>
          </cell>
        </row>
        <row r="252">
          <cell r="Z252" t="str">
            <v>121420</v>
          </cell>
        </row>
        <row r="253">
          <cell r="Z253" t="str">
            <v>121421</v>
          </cell>
        </row>
        <row r="254">
          <cell r="Z254" t="str">
            <v>121422</v>
          </cell>
        </row>
        <row r="255">
          <cell r="Z255" t="str">
            <v>121423</v>
          </cell>
        </row>
        <row r="256">
          <cell r="Z256" t="str">
            <v>121424</v>
          </cell>
        </row>
        <row r="257">
          <cell r="Z257" t="str">
            <v>121429</v>
          </cell>
        </row>
        <row r="258">
          <cell r="Z258" t="str">
            <v>121430</v>
          </cell>
        </row>
        <row r="259">
          <cell r="Z259" t="str">
            <v>121431</v>
          </cell>
        </row>
        <row r="260">
          <cell r="Z260" t="str">
            <v>121432</v>
          </cell>
        </row>
        <row r="261">
          <cell r="Z261" t="str">
            <v>121433</v>
          </cell>
        </row>
        <row r="262">
          <cell r="Z262" t="str">
            <v>121434</v>
          </cell>
        </row>
        <row r="263">
          <cell r="Z263" t="str">
            <v>121439</v>
          </cell>
        </row>
        <row r="264">
          <cell r="Z264" t="str">
            <v>121440</v>
          </cell>
        </row>
        <row r="265">
          <cell r="Z265" t="str">
            <v>121441</v>
          </cell>
        </row>
        <row r="266">
          <cell r="Z266" t="str">
            <v>121442</v>
          </cell>
        </row>
        <row r="267">
          <cell r="Z267" t="str">
            <v>121443</v>
          </cell>
        </row>
        <row r="268">
          <cell r="Z268" t="str">
            <v>121444</v>
          </cell>
        </row>
        <row r="269">
          <cell r="Z269" t="str">
            <v>121449</v>
          </cell>
        </row>
        <row r="270">
          <cell r="Z270" t="str">
            <v>121450</v>
          </cell>
        </row>
        <row r="271">
          <cell r="Z271" t="str">
            <v>121451</v>
          </cell>
        </row>
        <row r="272">
          <cell r="Z272" t="str">
            <v>121452</v>
          </cell>
        </row>
        <row r="273">
          <cell r="Z273" t="str">
            <v>121453</v>
          </cell>
        </row>
        <row r="274">
          <cell r="Z274" t="str">
            <v>121454</v>
          </cell>
        </row>
        <row r="275">
          <cell r="Z275" t="str">
            <v>121459</v>
          </cell>
        </row>
        <row r="276">
          <cell r="Z276" t="str">
            <v>121460</v>
          </cell>
        </row>
        <row r="277">
          <cell r="Z277" t="str">
            <v>121461</v>
          </cell>
        </row>
        <row r="278">
          <cell r="Z278" t="str">
            <v>121462</v>
          </cell>
        </row>
        <row r="279">
          <cell r="Z279" t="str">
            <v>121463</v>
          </cell>
        </row>
        <row r="280">
          <cell r="Z280" t="str">
            <v>121464</v>
          </cell>
        </row>
        <row r="281">
          <cell r="Z281" t="str">
            <v>121469</v>
          </cell>
        </row>
        <row r="282">
          <cell r="Z282" t="str">
            <v>121470</v>
          </cell>
        </row>
        <row r="283">
          <cell r="Z283" t="str">
            <v>121471</v>
          </cell>
        </row>
        <row r="284">
          <cell r="Z284" t="str">
            <v>121472</v>
          </cell>
        </row>
        <row r="285">
          <cell r="Z285" t="str">
            <v>121473</v>
          </cell>
        </row>
        <row r="286">
          <cell r="Z286" t="str">
            <v>121474</v>
          </cell>
        </row>
        <row r="287">
          <cell r="Z287" t="str">
            <v>121479</v>
          </cell>
        </row>
        <row r="288">
          <cell r="Z288" t="str">
            <v>121500</v>
          </cell>
        </row>
        <row r="289">
          <cell r="Z289" t="str">
            <v>121510</v>
          </cell>
        </row>
        <row r="290">
          <cell r="Z290" t="str">
            <v>121511</v>
          </cell>
        </row>
        <row r="291">
          <cell r="Z291" t="str">
            <v>121512</v>
          </cell>
        </row>
        <row r="292">
          <cell r="Z292" t="str">
            <v>121513</v>
          </cell>
        </row>
        <row r="293">
          <cell r="Z293" t="str">
            <v>121514</v>
          </cell>
        </row>
        <row r="294">
          <cell r="Z294" t="str">
            <v>121519</v>
          </cell>
        </row>
        <row r="295">
          <cell r="Z295" t="str">
            <v>121520</v>
          </cell>
        </row>
        <row r="296">
          <cell r="Z296" t="str">
            <v>121521</v>
          </cell>
        </row>
        <row r="297">
          <cell r="Z297" t="str">
            <v>121522</v>
          </cell>
        </row>
        <row r="298">
          <cell r="Z298" t="str">
            <v>121523</v>
          </cell>
        </row>
        <row r="299">
          <cell r="Z299" t="str">
            <v>121524</v>
          </cell>
        </row>
        <row r="300">
          <cell r="Z300" t="str">
            <v>121529</v>
          </cell>
        </row>
        <row r="301">
          <cell r="Z301" t="str">
            <v>121530</v>
          </cell>
        </row>
        <row r="302">
          <cell r="Z302" t="str">
            <v>121531</v>
          </cell>
        </row>
        <row r="303">
          <cell r="Z303" t="str">
            <v>121532</v>
          </cell>
        </row>
        <row r="304">
          <cell r="Z304" t="str">
            <v>121533</v>
          </cell>
        </row>
        <row r="305">
          <cell r="Z305" t="str">
            <v>121534</v>
          </cell>
        </row>
        <row r="306">
          <cell r="Z306" t="str">
            <v>121539</v>
          </cell>
        </row>
        <row r="307">
          <cell r="Z307" t="str">
            <v>121600</v>
          </cell>
        </row>
        <row r="308">
          <cell r="Z308" t="str">
            <v>121610</v>
          </cell>
        </row>
        <row r="309">
          <cell r="Z309" t="str">
            <v>121611</v>
          </cell>
        </row>
        <row r="310">
          <cell r="Z310" t="str">
            <v>121612</v>
          </cell>
        </row>
        <row r="311">
          <cell r="Z311" t="str">
            <v>121613</v>
          </cell>
        </row>
        <row r="312">
          <cell r="Z312" t="str">
            <v>121614</v>
          </cell>
        </row>
        <row r="313">
          <cell r="Z313" t="str">
            <v>121619</v>
          </cell>
        </row>
        <row r="314">
          <cell r="Z314" t="str">
            <v>121620</v>
          </cell>
        </row>
        <row r="315">
          <cell r="Z315" t="str">
            <v>121621</v>
          </cell>
        </row>
        <row r="316">
          <cell r="Z316" t="str">
            <v>121622</v>
          </cell>
        </row>
        <row r="317">
          <cell r="Z317" t="str">
            <v>121623</v>
          </cell>
        </row>
        <row r="318">
          <cell r="Z318" t="str">
            <v>121624</v>
          </cell>
        </row>
        <row r="319">
          <cell r="Z319" t="str">
            <v>121629</v>
          </cell>
        </row>
        <row r="320">
          <cell r="Z320" t="str">
            <v>121630</v>
          </cell>
        </row>
        <row r="321">
          <cell r="Z321" t="str">
            <v>121631</v>
          </cell>
        </row>
        <row r="322">
          <cell r="Z322" t="str">
            <v>121632</v>
          </cell>
        </row>
        <row r="323">
          <cell r="Z323" t="str">
            <v>121633</v>
          </cell>
        </row>
        <row r="324">
          <cell r="Z324" t="str">
            <v>121634</v>
          </cell>
        </row>
        <row r="325">
          <cell r="Z325" t="str">
            <v>121639</v>
          </cell>
        </row>
        <row r="326">
          <cell r="Z326" t="str">
            <v>122000</v>
          </cell>
        </row>
        <row r="327">
          <cell r="Z327" t="str">
            <v>122100</v>
          </cell>
        </row>
        <row r="328">
          <cell r="Z328" t="str">
            <v>122110</v>
          </cell>
        </row>
        <row r="329">
          <cell r="Z329" t="str">
            <v>122111</v>
          </cell>
        </row>
        <row r="330">
          <cell r="Z330" t="str">
            <v>122112</v>
          </cell>
        </row>
        <row r="331">
          <cell r="Z331" t="str">
            <v>122113</v>
          </cell>
        </row>
        <row r="332">
          <cell r="Z332" t="str">
            <v>122114</v>
          </cell>
        </row>
        <row r="333">
          <cell r="Z333" t="str">
            <v>122119</v>
          </cell>
        </row>
        <row r="334">
          <cell r="Z334" t="str">
            <v>122120</v>
          </cell>
        </row>
        <row r="335">
          <cell r="Z335" t="str">
            <v>122121</v>
          </cell>
        </row>
        <row r="336">
          <cell r="Z336" t="str">
            <v>122122</v>
          </cell>
        </row>
        <row r="337">
          <cell r="Z337" t="str">
            <v>122123</v>
          </cell>
        </row>
        <row r="338">
          <cell r="Z338" t="str">
            <v>122124</v>
          </cell>
        </row>
        <row r="339">
          <cell r="Z339" t="str">
            <v>122129</v>
          </cell>
        </row>
        <row r="340">
          <cell r="Z340" t="str">
            <v>122130</v>
          </cell>
        </row>
        <row r="341">
          <cell r="Z341" t="str">
            <v>122131</v>
          </cell>
        </row>
        <row r="342">
          <cell r="Z342" t="str">
            <v>122132</v>
          </cell>
        </row>
        <row r="343">
          <cell r="Z343" t="str">
            <v>122133</v>
          </cell>
        </row>
        <row r="344">
          <cell r="Z344" t="str">
            <v>122134</v>
          </cell>
        </row>
        <row r="345">
          <cell r="Z345" t="str">
            <v>122139</v>
          </cell>
        </row>
        <row r="346">
          <cell r="Z346" t="str">
            <v>122140</v>
          </cell>
        </row>
        <row r="347">
          <cell r="Z347" t="str">
            <v>122141</v>
          </cell>
        </row>
        <row r="348">
          <cell r="Z348" t="str">
            <v>122142</v>
          </cell>
        </row>
        <row r="349">
          <cell r="Z349" t="str">
            <v>122143</v>
          </cell>
        </row>
        <row r="350">
          <cell r="Z350" t="str">
            <v>122144</v>
          </cell>
        </row>
        <row r="351">
          <cell r="Z351" t="str">
            <v>122149</v>
          </cell>
        </row>
        <row r="352">
          <cell r="Z352" t="str">
            <v>122150</v>
          </cell>
        </row>
        <row r="353">
          <cell r="Z353" t="str">
            <v>122151</v>
          </cell>
        </row>
        <row r="354">
          <cell r="Z354" t="str">
            <v>122152</v>
          </cell>
        </row>
        <row r="355">
          <cell r="Z355" t="str">
            <v>122153</v>
          </cell>
        </row>
        <row r="356">
          <cell r="Z356" t="str">
            <v>122154</v>
          </cell>
        </row>
        <row r="357">
          <cell r="Z357" t="str">
            <v>122159</v>
          </cell>
        </row>
        <row r="358">
          <cell r="Z358" t="str">
            <v>122160</v>
          </cell>
        </row>
        <row r="359">
          <cell r="Z359" t="str">
            <v>122161</v>
          </cell>
        </row>
        <row r="360">
          <cell r="Z360" t="str">
            <v>122162</v>
          </cell>
        </row>
        <row r="361">
          <cell r="Z361" t="str">
            <v>122163</v>
          </cell>
        </row>
        <row r="362">
          <cell r="Z362" t="str">
            <v>122164</v>
          </cell>
        </row>
        <row r="363">
          <cell r="Z363" t="str">
            <v>122169</v>
          </cell>
        </row>
        <row r="364">
          <cell r="Z364" t="str">
            <v>122170</v>
          </cell>
        </row>
        <row r="365">
          <cell r="Z365" t="str">
            <v>122171</v>
          </cell>
        </row>
        <row r="366">
          <cell r="Z366" t="str">
            <v>122172</v>
          </cell>
        </row>
        <row r="367">
          <cell r="Z367" t="str">
            <v>122173</v>
          </cell>
        </row>
        <row r="368">
          <cell r="Z368" t="str">
            <v>122174</v>
          </cell>
        </row>
        <row r="369">
          <cell r="Z369" t="str">
            <v>122179</v>
          </cell>
        </row>
        <row r="370">
          <cell r="Z370" t="str">
            <v>122200</v>
          </cell>
        </row>
        <row r="371">
          <cell r="Z371" t="str">
            <v>122210</v>
          </cell>
        </row>
        <row r="372">
          <cell r="Z372" t="str">
            <v>122211</v>
          </cell>
        </row>
        <row r="373">
          <cell r="Z373" t="str">
            <v>122212</v>
          </cell>
        </row>
        <row r="374">
          <cell r="Z374" t="str">
            <v>122213</v>
          </cell>
        </row>
        <row r="375">
          <cell r="Z375" t="str">
            <v>122214</v>
          </cell>
        </row>
        <row r="376">
          <cell r="Z376" t="str">
            <v>122219</v>
          </cell>
        </row>
        <row r="377">
          <cell r="Z377" t="str">
            <v>122220</v>
          </cell>
        </row>
        <row r="378">
          <cell r="Z378" t="str">
            <v>122221</v>
          </cell>
        </row>
        <row r="379">
          <cell r="Z379" t="str">
            <v>122222</v>
          </cell>
        </row>
        <row r="380">
          <cell r="Z380" t="str">
            <v>122223</v>
          </cell>
        </row>
        <row r="381">
          <cell r="Z381" t="str">
            <v>122224</v>
          </cell>
        </row>
        <row r="382">
          <cell r="Z382" t="str">
            <v>122229</v>
          </cell>
        </row>
        <row r="383">
          <cell r="Z383" t="str">
            <v>122230</v>
          </cell>
        </row>
        <row r="384">
          <cell r="Z384" t="str">
            <v>122231</v>
          </cell>
        </row>
        <row r="385">
          <cell r="Z385" t="str">
            <v>122232</v>
          </cell>
        </row>
        <row r="386">
          <cell r="Z386" t="str">
            <v>122233</v>
          </cell>
        </row>
        <row r="387">
          <cell r="Z387" t="str">
            <v>122234</v>
          </cell>
        </row>
        <row r="388">
          <cell r="Z388" t="str">
            <v>122239</v>
          </cell>
        </row>
        <row r="389">
          <cell r="Z389" t="str">
            <v>122240</v>
          </cell>
        </row>
        <row r="390">
          <cell r="Z390" t="str">
            <v>122241</v>
          </cell>
        </row>
        <row r="391">
          <cell r="Z391" t="str">
            <v>122242</v>
          </cell>
        </row>
        <row r="392">
          <cell r="Z392" t="str">
            <v>122243</v>
          </cell>
        </row>
        <row r="393">
          <cell r="Z393" t="str">
            <v>122244</v>
          </cell>
        </row>
        <row r="394">
          <cell r="Z394" t="str">
            <v>122249</v>
          </cell>
        </row>
        <row r="395">
          <cell r="Z395" t="str">
            <v>122250</v>
          </cell>
        </row>
        <row r="396">
          <cell r="Z396" t="str">
            <v>122251</v>
          </cell>
        </row>
        <row r="397">
          <cell r="Z397" t="str">
            <v>122252</v>
          </cell>
        </row>
        <row r="398">
          <cell r="Z398" t="str">
            <v>122253</v>
          </cell>
        </row>
        <row r="399">
          <cell r="Z399" t="str">
            <v>122254</v>
          </cell>
        </row>
        <row r="400">
          <cell r="Z400" t="str">
            <v>122259</v>
          </cell>
        </row>
        <row r="401">
          <cell r="Z401" t="str">
            <v>122260</v>
          </cell>
        </row>
        <row r="402">
          <cell r="Z402" t="str">
            <v>122261</v>
          </cell>
        </row>
        <row r="403">
          <cell r="Z403" t="str">
            <v>122262</v>
          </cell>
        </row>
        <row r="404">
          <cell r="Z404" t="str">
            <v>122263</v>
          </cell>
        </row>
        <row r="405">
          <cell r="Z405" t="str">
            <v>122264</v>
          </cell>
        </row>
        <row r="406">
          <cell r="Z406" t="str">
            <v>122269</v>
          </cell>
        </row>
        <row r="407">
          <cell r="Z407" t="str">
            <v>122270</v>
          </cell>
        </row>
        <row r="408">
          <cell r="Z408" t="str">
            <v>122271</v>
          </cell>
        </row>
        <row r="409">
          <cell r="Z409" t="str">
            <v>122272</v>
          </cell>
        </row>
        <row r="410">
          <cell r="Z410" t="str">
            <v>122273</v>
          </cell>
        </row>
        <row r="411">
          <cell r="Z411" t="str">
            <v>122274</v>
          </cell>
        </row>
        <row r="412">
          <cell r="Z412" t="str">
            <v>122279</v>
          </cell>
        </row>
        <row r="413">
          <cell r="Z413" t="str">
            <v>122300</v>
          </cell>
        </row>
        <row r="414">
          <cell r="Z414" t="str">
            <v>122310</v>
          </cell>
        </row>
        <row r="415">
          <cell r="Z415" t="str">
            <v>122311</v>
          </cell>
        </row>
        <row r="416">
          <cell r="Z416" t="str">
            <v>122312</v>
          </cell>
        </row>
        <row r="417">
          <cell r="Z417" t="str">
            <v>122313</v>
          </cell>
        </row>
        <row r="418">
          <cell r="Z418" t="str">
            <v>122314</v>
          </cell>
        </row>
        <row r="419">
          <cell r="Z419" t="str">
            <v>122319</v>
          </cell>
        </row>
        <row r="420">
          <cell r="Z420" t="str">
            <v>122320</v>
          </cell>
        </row>
        <row r="421">
          <cell r="Z421" t="str">
            <v>122321</v>
          </cell>
        </row>
        <row r="422">
          <cell r="Z422" t="str">
            <v>122322</v>
          </cell>
        </row>
        <row r="423">
          <cell r="Z423" t="str">
            <v>122323</v>
          </cell>
        </row>
        <row r="424">
          <cell r="Z424" t="str">
            <v>122324</v>
          </cell>
        </row>
        <row r="425">
          <cell r="Z425" t="str">
            <v>122329</v>
          </cell>
        </row>
        <row r="426">
          <cell r="Z426" t="str">
            <v>122330</v>
          </cell>
        </row>
        <row r="427">
          <cell r="Z427" t="str">
            <v>122331</v>
          </cell>
        </row>
        <row r="428">
          <cell r="Z428" t="str">
            <v>122332</v>
          </cell>
        </row>
        <row r="429">
          <cell r="Z429" t="str">
            <v>122333</v>
          </cell>
        </row>
        <row r="430">
          <cell r="Z430" t="str">
            <v>122334</v>
          </cell>
        </row>
        <row r="431">
          <cell r="Z431" t="str">
            <v>122339</v>
          </cell>
        </row>
        <row r="432">
          <cell r="Z432" t="str">
            <v>122340</v>
          </cell>
        </row>
        <row r="433">
          <cell r="Z433" t="str">
            <v>122341</v>
          </cell>
        </row>
        <row r="434">
          <cell r="Z434" t="str">
            <v>122342</v>
          </cell>
        </row>
        <row r="435">
          <cell r="Z435" t="str">
            <v>122343</v>
          </cell>
        </row>
        <row r="436">
          <cell r="Z436" t="str">
            <v>122344</v>
          </cell>
        </row>
        <row r="437">
          <cell r="Z437" t="str">
            <v>122349</v>
          </cell>
        </row>
        <row r="438">
          <cell r="Z438" t="str">
            <v>122350</v>
          </cell>
        </row>
        <row r="439">
          <cell r="Z439" t="str">
            <v>122351</v>
          </cell>
        </row>
        <row r="440">
          <cell r="Z440" t="str">
            <v>122352</v>
          </cell>
        </row>
        <row r="441">
          <cell r="Z441" t="str">
            <v>122353</v>
          </cell>
        </row>
        <row r="442">
          <cell r="Z442" t="str">
            <v>122354</v>
          </cell>
        </row>
        <row r="443">
          <cell r="Z443" t="str">
            <v>122359</v>
          </cell>
        </row>
        <row r="444">
          <cell r="Z444" t="str">
            <v>122360</v>
          </cell>
        </row>
        <row r="445">
          <cell r="Z445" t="str">
            <v>122361</v>
          </cell>
        </row>
        <row r="446">
          <cell r="Z446" t="str">
            <v>122362</v>
          </cell>
        </row>
        <row r="447">
          <cell r="Z447" t="str">
            <v>122363</v>
          </cell>
        </row>
        <row r="448">
          <cell r="Z448" t="str">
            <v>122364</v>
          </cell>
        </row>
        <row r="449">
          <cell r="Z449" t="str">
            <v>122369</v>
          </cell>
        </row>
        <row r="450">
          <cell r="Z450" t="str">
            <v>122370</v>
          </cell>
        </row>
        <row r="451">
          <cell r="Z451" t="str">
            <v>122371</v>
          </cell>
        </row>
        <row r="452">
          <cell r="Z452" t="str">
            <v>122372</v>
          </cell>
        </row>
        <row r="453">
          <cell r="Z453" t="str">
            <v>122373</v>
          </cell>
        </row>
        <row r="454">
          <cell r="Z454" t="str">
            <v>122374</v>
          </cell>
        </row>
        <row r="455">
          <cell r="Z455" t="str">
            <v>122379</v>
          </cell>
        </row>
        <row r="456">
          <cell r="Z456" t="str">
            <v>122400</v>
          </cell>
        </row>
        <row r="457">
          <cell r="Z457" t="str">
            <v>122410</v>
          </cell>
        </row>
        <row r="458">
          <cell r="Z458" t="str">
            <v>122411</v>
          </cell>
        </row>
        <row r="459">
          <cell r="Z459" t="str">
            <v>122412</v>
          </cell>
        </row>
        <row r="460">
          <cell r="Z460" t="str">
            <v>122413</v>
          </cell>
        </row>
        <row r="461">
          <cell r="Z461" t="str">
            <v>122414</v>
          </cell>
        </row>
        <row r="462">
          <cell r="Z462" t="str">
            <v>122419</v>
          </cell>
        </row>
        <row r="463">
          <cell r="Z463" t="str">
            <v>122420</v>
          </cell>
        </row>
        <row r="464">
          <cell r="Z464" t="str">
            <v>122421</v>
          </cell>
        </row>
        <row r="465">
          <cell r="Z465" t="str">
            <v>122422</v>
          </cell>
        </row>
        <row r="466">
          <cell r="Z466" t="str">
            <v>122423</v>
          </cell>
        </row>
        <row r="467">
          <cell r="Z467" t="str">
            <v>122424</v>
          </cell>
        </row>
        <row r="468">
          <cell r="Z468" t="str">
            <v>122429</v>
          </cell>
        </row>
        <row r="469">
          <cell r="Z469" t="str">
            <v>122430</v>
          </cell>
        </row>
        <row r="470">
          <cell r="Z470" t="str">
            <v>122431</v>
          </cell>
        </row>
        <row r="471">
          <cell r="Z471" t="str">
            <v>122432</v>
          </cell>
        </row>
        <row r="472">
          <cell r="Z472" t="str">
            <v>122433</v>
          </cell>
        </row>
        <row r="473">
          <cell r="Z473" t="str">
            <v>122434</v>
          </cell>
        </row>
        <row r="474">
          <cell r="Z474" t="str">
            <v>122439</v>
          </cell>
        </row>
        <row r="475">
          <cell r="Z475" t="str">
            <v>122440</v>
          </cell>
        </row>
        <row r="476">
          <cell r="Z476" t="str">
            <v>122441</v>
          </cell>
        </row>
        <row r="477">
          <cell r="Z477" t="str">
            <v>122442</v>
          </cell>
        </row>
        <row r="478">
          <cell r="Z478" t="str">
            <v>122443</v>
          </cell>
        </row>
        <row r="479">
          <cell r="Z479" t="str">
            <v>122444</v>
          </cell>
        </row>
        <row r="480">
          <cell r="Z480" t="str">
            <v>122445</v>
          </cell>
        </row>
        <row r="481">
          <cell r="Z481" t="str">
            <v>122450</v>
          </cell>
        </row>
        <row r="482">
          <cell r="Z482" t="str">
            <v>122451</v>
          </cell>
        </row>
        <row r="483">
          <cell r="Z483" t="str">
            <v>122452</v>
          </cell>
        </row>
        <row r="484">
          <cell r="Z484" t="str">
            <v>122453</v>
          </cell>
        </row>
        <row r="485">
          <cell r="Z485" t="str">
            <v>122454</v>
          </cell>
        </row>
        <row r="486">
          <cell r="Z486" t="str">
            <v>122459</v>
          </cell>
        </row>
        <row r="487">
          <cell r="Z487" t="str">
            <v>122460</v>
          </cell>
        </row>
        <row r="488">
          <cell r="Z488" t="str">
            <v>122461</v>
          </cell>
        </row>
        <row r="489">
          <cell r="Z489" t="str">
            <v>122462</v>
          </cell>
        </row>
        <row r="490">
          <cell r="Z490" t="str">
            <v>122463</v>
          </cell>
        </row>
        <row r="491">
          <cell r="Z491" t="str">
            <v>122464</v>
          </cell>
        </row>
        <row r="492">
          <cell r="Z492" t="str">
            <v>122469</v>
          </cell>
        </row>
        <row r="493">
          <cell r="Z493" t="str">
            <v>122470</v>
          </cell>
        </row>
        <row r="494">
          <cell r="Z494" t="str">
            <v>122471</v>
          </cell>
        </row>
        <row r="495">
          <cell r="Z495" t="str">
            <v>122472</v>
          </cell>
        </row>
        <row r="496">
          <cell r="Z496" t="str">
            <v>122473</v>
          </cell>
        </row>
        <row r="497">
          <cell r="Z497" t="str">
            <v>122474</v>
          </cell>
        </row>
        <row r="498">
          <cell r="Z498" t="str">
            <v>122479</v>
          </cell>
        </row>
        <row r="499">
          <cell r="Z499" t="str">
            <v>122500</v>
          </cell>
        </row>
        <row r="500">
          <cell r="Z500" t="str">
            <v>122510</v>
          </cell>
        </row>
        <row r="501">
          <cell r="Z501" t="str">
            <v>122511</v>
          </cell>
        </row>
        <row r="502">
          <cell r="Z502" t="str">
            <v>122512</v>
          </cell>
        </row>
        <row r="503">
          <cell r="Z503" t="str">
            <v>122513</v>
          </cell>
        </row>
        <row r="504">
          <cell r="Z504" t="str">
            <v>122514</v>
          </cell>
        </row>
        <row r="505">
          <cell r="Z505" t="str">
            <v>122519</v>
          </cell>
        </row>
        <row r="506">
          <cell r="Z506" t="str">
            <v>122520</v>
          </cell>
        </row>
        <row r="507">
          <cell r="Z507" t="str">
            <v>122521</v>
          </cell>
        </row>
        <row r="508">
          <cell r="Z508" t="str">
            <v>122522</v>
          </cell>
        </row>
        <row r="509">
          <cell r="Z509" t="str">
            <v>122523</v>
          </cell>
        </row>
        <row r="510">
          <cell r="Z510" t="str">
            <v>122524</v>
          </cell>
        </row>
        <row r="511">
          <cell r="Z511" t="str">
            <v>122529</v>
          </cell>
        </row>
        <row r="512">
          <cell r="Z512" t="str">
            <v>122530</v>
          </cell>
        </row>
        <row r="513">
          <cell r="Z513" t="str">
            <v>122531</v>
          </cell>
        </row>
        <row r="514">
          <cell r="Z514" t="str">
            <v>122532</v>
          </cell>
        </row>
        <row r="515">
          <cell r="Z515" t="str">
            <v>122533</v>
          </cell>
        </row>
        <row r="516">
          <cell r="Z516" t="str">
            <v>122534</v>
          </cell>
        </row>
        <row r="517">
          <cell r="Z517" t="str">
            <v>122539</v>
          </cell>
        </row>
        <row r="518">
          <cell r="Z518" t="str">
            <v>122600</v>
          </cell>
        </row>
        <row r="519">
          <cell r="Z519" t="str">
            <v>122610</v>
          </cell>
        </row>
        <row r="520">
          <cell r="Z520" t="str">
            <v>122611</v>
          </cell>
        </row>
        <row r="521">
          <cell r="Z521" t="str">
            <v>122612</v>
          </cell>
        </row>
        <row r="522">
          <cell r="Z522" t="str">
            <v>122613</v>
          </cell>
        </row>
        <row r="523">
          <cell r="Z523" t="str">
            <v>122614</v>
          </cell>
        </row>
        <row r="524">
          <cell r="Z524" t="str">
            <v>122619</v>
          </cell>
        </row>
        <row r="525">
          <cell r="Z525" t="str">
            <v>122620</v>
          </cell>
        </row>
        <row r="526">
          <cell r="Z526" t="str">
            <v>122621</v>
          </cell>
        </row>
        <row r="527">
          <cell r="Z527" t="str">
            <v>122622</v>
          </cell>
        </row>
        <row r="528">
          <cell r="Z528" t="str">
            <v>122623</v>
          </cell>
        </row>
        <row r="529">
          <cell r="Z529" t="str">
            <v>122624</v>
          </cell>
        </row>
        <row r="530">
          <cell r="Z530" t="str">
            <v>122629</v>
          </cell>
        </row>
        <row r="531">
          <cell r="Z531" t="str">
            <v>122630</v>
          </cell>
        </row>
        <row r="532">
          <cell r="Z532" t="str">
            <v>122631</v>
          </cell>
        </row>
        <row r="533">
          <cell r="Z533" t="str">
            <v>122632</v>
          </cell>
        </row>
        <row r="534">
          <cell r="Z534" t="str">
            <v>122633</v>
          </cell>
        </row>
        <row r="535">
          <cell r="Z535" t="str">
            <v>122634</v>
          </cell>
        </row>
        <row r="536">
          <cell r="Z536" t="str">
            <v>122639</v>
          </cell>
        </row>
        <row r="537">
          <cell r="Z537" t="str">
            <v>123000</v>
          </cell>
        </row>
        <row r="538">
          <cell r="Z538" t="str">
            <v>123100</v>
          </cell>
        </row>
        <row r="539">
          <cell r="Z539" t="str">
            <v>123110</v>
          </cell>
        </row>
        <row r="540">
          <cell r="Z540" t="str">
            <v>123111</v>
          </cell>
        </row>
        <row r="541">
          <cell r="Z541" t="str">
            <v>123112</v>
          </cell>
        </row>
        <row r="542">
          <cell r="Z542" t="str">
            <v>123113</v>
          </cell>
        </row>
        <row r="543">
          <cell r="Z543" t="str">
            <v>123114</v>
          </cell>
        </row>
        <row r="544">
          <cell r="Z544" t="str">
            <v>123119</v>
          </cell>
        </row>
        <row r="545">
          <cell r="Z545" t="str">
            <v>123120</v>
          </cell>
        </row>
        <row r="546">
          <cell r="Z546" t="str">
            <v>123121</v>
          </cell>
        </row>
        <row r="547">
          <cell r="Z547" t="str">
            <v>123122</v>
          </cell>
        </row>
        <row r="548">
          <cell r="Z548" t="str">
            <v>123123</v>
          </cell>
        </row>
        <row r="549">
          <cell r="Z549" t="str">
            <v>123124</v>
          </cell>
        </row>
        <row r="550">
          <cell r="Z550" t="str">
            <v>123129</v>
          </cell>
        </row>
        <row r="551">
          <cell r="Z551" t="str">
            <v>123130</v>
          </cell>
        </row>
        <row r="552">
          <cell r="Z552" t="str">
            <v>123131</v>
          </cell>
        </row>
        <row r="553">
          <cell r="Z553" t="str">
            <v>123132</v>
          </cell>
        </row>
        <row r="554">
          <cell r="Z554" t="str">
            <v>123133</v>
          </cell>
        </row>
        <row r="555">
          <cell r="Z555" t="str">
            <v>123134</v>
          </cell>
        </row>
        <row r="556">
          <cell r="Z556" t="str">
            <v>123139</v>
          </cell>
        </row>
        <row r="557">
          <cell r="Z557" t="str">
            <v>123140</v>
          </cell>
        </row>
        <row r="558">
          <cell r="Z558" t="str">
            <v>123141</v>
          </cell>
        </row>
        <row r="559">
          <cell r="Z559" t="str">
            <v>123142</v>
          </cell>
        </row>
        <row r="560">
          <cell r="Z560" t="str">
            <v>123143</v>
          </cell>
        </row>
        <row r="561">
          <cell r="Z561" t="str">
            <v>123144</v>
          </cell>
        </row>
        <row r="562">
          <cell r="Z562" t="str">
            <v>123149</v>
          </cell>
        </row>
        <row r="563">
          <cell r="Z563" t="str">
            <v>123150</v>
          </cell>
        </row>
        <row r="564">
          <cell r="Z564" t="str">
            <v>123151</v>
          </cell>
        </row>
        <row r="565">
          <cell r="Z565" t="str">
            <v>123152</v>
          </cell>
        </row>
        <row r="566">
          <cell r="Z566" t="str">
            <v>123153</v>
          </cell>
        </row>
        <row r="567">
          <cell r="Z567" t="str">
            <v>123154</v>
          </cell>
        </row>
        <row r="568">
          <cell r="Z568" t="str">
            <v>123159</v>
          </cell>
        </row>
        <row r="569">
          <cell r="Z569" t="str">
            <v>123160</v>
          </cell>
        </row>
        <row r="570">
          <cell r="Z570" t="str">
            <v>123161</v>
          </cell>
        </row>
        <row r="571">
          <cell r="Z571" t="str">
            <v>123162</v>
          </cell>
        </row>
        <row r="572">
          <cell r="Z572" t="str">
            <v>123163</v>
          </cell>
        </row>
        <row r="573">
          <cell r="Z573" t="str">
            <v>123164</v>
          </cell>
        </row>
        <row r="574">
          <cell r="Z574" t="str">
            <v>123169</v>
          </cell>
        </row>
        <row r="575">
          <cell r="Z575" t="str">
            <v>123170</v>
          </cell>
        </row>
        <row r="576">
          <cell r="Z576" t="str">
            <v>123171</v>
          </cell>
        </row>
        <row r="577">
          <cell r="Z577" t="str">
            <v>123172</v>
          </cell>
        </row>
        <row r="578">
          <cell r="Z578" t="str">
            <v>123173</v>
          </cell>
        </row>
        <row r="579">
          <cell r="Z579" t="str">
            <v>123174</v>
          </cell>
        </row>
        <row r="580">
          <cell r="Z580" t="str">
            <v>123179</v>
          </cell>
        </row>
        <row r="581">
          <cell r="Z581" t="str">
            <v>123200</v>
          </cell>
        </row>
        <row r="582">
          <cell r="Z582" t="str">
            <v>123210</v>
          </cell>
        </row>
        <row r="583">
          <cell r="Z583" t="str">
            <v>123211</v>
          </cell>
        </row>
        <row r="584">
          <cell r="Z584" t="str">
            <v>123212</v>
          </cell>
        </row>
        <row r="585">
          <cell r="Z585" t="str">
            <v>123213</v>
          </cell>
        </row>
        <row r="586">
          <cell r="Z586" t="str">
            <v>123214</v>
          </cell>
        </row>
        <row r="587">
          <cell r="Z587" t="str">
            <v>123219</v>
          </cell>
        </row>
        <row r="588">
          <cell r="Z588" t="str">
            <v>123220</v>
          </cell>
        </row>
        <row r="589">
          <cell r="Z589" t="str">
            <v>123221</v>
          </cell>
        </row>
        <row r="590">
          <cell r="Z590" t="str">
            <v>123222</v>
          </cell>
        </row>
        <row r="591">
          <cell r="Z591" t="str">
            <v>123223</v>
          </cell>
        </row>
        <row r="592">
          <cell r="Z592" t="str">
            <v>123224</v>
          </cell>
        </row>
        <row r="593">
          <cell r="Z593" t="str">
            <v>123229</v>
          </cell>
        </row>
        <row r="594">
          <cell r="Z594" t="str">
            <v>123230</v>
          </cell>
        </row>
        <row r="595">
          <cell r="Z595" t="str">
            <v>123231</v>
          </cell>
        </row>
        <row r="596">
          <cell r="Z596" t="str">
            <v>123232</v>
          </cell>
        </row>
        <row r="597">
          <cell r="Z597" t="str">
            <v>123233</v>
          </cell>
        </row>
        <row r="598">
          <cell r="Z598" t="str">
            <v>123234</v>
          </cell>
        </row>
        <row r="599">
          <cell r="Z599" t="str">
            <v>123239</v>
          </cell>
        </row>
        <row r="600">
          <cell r="Z600" t="str">
            <v>123240</v>
          </cell>
        </row>
        <row r="601">
          <cell r="Z601" t="str">
            <v>123241</v>
          </cell>
        </row>
        <row r="602">
          <cell r="Z602" t="str">
            <v>123242</v>
          </cell>
        </row>
        <row r="603">
          <cell r="Z603" t="str">
            <v>123243</v>
          </cell>
        </row>
        <row r="604">
          <cell r="Z604" t="str">
            <v>123244</v>
          </cell>
        </row>
        <row r="605">
          <cell r="Z605" t="str">
            <v>123249</v>
          </cell>
        </row>
        <row r="606">
          <cell r="Z606" t="str">
            <v>123250</v>
          </cell>
        </row>
        <row r="607">
          <cell r="Z607" t="str">
            <v>123251</v>
          </cell>
        </row>
        <row r="608">
          <cell r="Z608" t="str">
            <v>123252</v>
          </cell>
        </row>
        <row r="609">
          <cell r="Z609" t="str">
            <v>123253</v>
          </cell>
        </row>
        <row r="610">
          <cell r="Z610" t="str">
            <v>123254</v>
          </cell>
        </row>
        <row r="611">
          <cell r="Z611" t="str">
            <v>123259</v>
          </cell>
        </row>
        <row r="612">
          <cell r="Z612" t="str">
            <v>123260</v>
          </cell>
        </row>
        <row r="613">
          <cell r="Z613" t="str">
            <v>123261</v>
          </cell>
        </row>
        <row r="614">
          <cell r="Z614" t="str">
            <v>123262</v>
          </cell>
        </row>
        <row r="615">
          <cell r="Z615" t="str">
            <v>123263</v>
          </cell>
        </row>
        <row r="616">
          <cell r="Z616" t="str">
            <v>123264</v>
          </cell>
        </row>
        <row r="617">
          <cell r="Z617" t="str">
            <v>123269</v>
          </cell>
        </row>
        <row r="618">
          <cell r="Z618" t="str">
            <v>123270</v>
          </cell>
        </row>
        <row r="619">
          <cell r="Z619" t="str">
            <v>123271</v>
          </cell>
        </row>
        <row r="620">
          <cell r="Z620" t="str">
            <v>123272</v>
          </cell>
        </row>
        <row r="621">
          <cell r="Z621" t="str">
            <v>123273</v>
          </cell>
        </row>
        <row r="622">
          <cell r="Z622" t="str">
            <v>123274</v>
          </cell>
        </row>
        <row r="623">
          <cell r="Z623" t="str">
            <v>123279</v>
          </cell>
        </row>
        <row r="624">
          <cell r="Z624" t="str">
            <v>123300</v>
          </cell>
        </row>
        <row r="625">
          <cell r="Z625" t="str">
            <v>123310</v>
          </cell>
        </row>
        <row r="626">
          <cell r="Z626" t="str">
            <v>123311</v>
          </cell>
        </row>
        <row r="627">
          <cell r="Z627" t="str">
            <v>123312</v>
          </cell>
        </row>
        <row r="628">
          <cell r="Z628" t="str">
            <v>123313</v>
          </cell>
        </row>
        <row r="629">
          <cell r="Z629" t="str">
            <v>123314</v>
          </cell>
        </row>
        <row r="630">
          <cell r="Z630" t="str">
            <v>123319</v>
          </cell>
        </row>
        <row r="631">
          <cell r="Z631" t="str">
            <v>123320</v>
          </cell>
        </row>
        <row r="632">
          <cell r="Z632" t="str">
            <v>123321</v>
          </cell>
        </row>
        <row r="633">
          <cell r="Z633" t="str">
            <v>123322</v>
          </cell>
        </row>
        <row r="634">
          <cell r="Z634" t="str">
            <v>123323</v>
          </cell>
        </row>
        <row r="635">
          <cell r="Z635" t="str">
            <v>123324</v>
          </cell>
        </row>
        <row r="636">
          <cell r="Z636" t="str">
            <v>123329</v>
          </cell>
        </row>
        <row r="637">
          <cell r="Z637" t="str">
            <v>123330</v>
          </cell>
        </row>
        <row r="638">
          <cell r="Z638" t="str">
            <v>123331</v>
          </cell>
        </row>
        <row r="639">
          <cell r="Z639" t="str">
            <v>123332</v>
          </cell>
        </row>
        <row r="640">
          <cell r="Z640" t="str">
            <v>123333</v>
          </cell>
        </row>
        <row r="641">
          <cell r="Z641" t="str">
            <v>123334</v>
          </cell>
        </row>
        <row r="642">
          <cell r="Z642" t="str">
            <v>123339</v>
          </cell>
        </row>
        <row r="643">
          <cell r="Z643" t="str">
            <v>123340</v>
          </cell>
        </row>
        <row r="644">
          <cell r="Z644" t="str">
            <v>123341</v>
          </cell>
        </row>
        <row r="645">
          <cell r="Z645" t="str">
            <v>123342</v>
          </cell>
        </row>
        <row r="646">
          <cell r="Z646" t="str">
            <v>123343</v>
          </cell>
        </row>
        <row r="647">
          <cell r="Z647" t="str">
            <v>123344</v>
          </cell>
        </row>
        <row r="648">
          <cell r="Z648" t="str">
            <v>123349</v>
          </cell>
        </row>
        <row r="649">
          <cell r="Z649" t="str">
            <v>123350</v>
          </cell>
        </row>
        <row r="650">
          <cell r="Z650" t="str">
            <v>123351</v>
          </cell>
        </row>
        <row r="651">
          <cell r="Z651" t="str">
            <v>123352</v>
          </cell>
        </row>
        <row r="652">
          <cell r="Z652" t="str">
            <v>123353</v>
          </cell>
        </row>
        <row r="653">
          <cell r="Z653" t="str">
            <v>123354</v>
          </cell>
        </row>
        <row r="654">
          <cell r="Z654" t="str">
            <v>123359</v>
          </cell>
        </row>
        <row r="655">
          <cell r="Z655" t="str">
            <v>123360</v>
          </cell>
        </row>
        <row r="656">
          <cell r="Z656" t="str">
            <v>123361</v>
          </cell>
        </row>
        <row r="657">
          <cell r="Z657" t="str">
            <v>123362</v>
          </cell>
        </row>
        <row r="658">
          <cell r="Z658" t="str">
            <v>123363</v>
          </cell>
        </row>
        <row r="659">
          <cell r="Z659" t="str">
            <v>123364</v>
          </cell>
        </row>
        <row r="660">
          <cell r="Z660" t="str">
            <v>123369</v>
          </cell>
        </row>
        <row r="661">
          <cell r="Z661" t="str">
            <v>123370</v>
          </cell>
        </row>
        <row r="662">
          <cell r="Z662" t="str">
            <v>123371</v>
          </cell>
        </row>
        <row r="663">
          <cell r="Z663" t="str">
            <v>123372</v>
          </cell>
        </row>
        <row r="664">
          <cell r="Z664" t="str">
            <v>123373</v>
          </cell>
        </row>
        <row r="665">
          <cell r="Z665" t="str">
            <v>123374</v>
          </cell>
        </row>
        <row r="666">
          <cell r="Z666" t="str">
            <v>123379</v>
          </cell>
        </row>
        <row r="667">
          <cell r="Z667" t="str">
            <v>123400</v>
          </cell>
        </row>
        <row r="668">
          <cell r="Z668" t="str">
            <v>123410</v>
          </cell>
        </row>
        <row r="669">
          <cell r="Z669" t="str">
            <v>123411</v>
          </cell>
        </row>
        <row r="670">
          <cell r="Z670" t="str">
            <v>123412</v>
          </cell>
        </row>
        <row r="671">
          <cell r="Z671" t="str">
            <v>123413</v>
          </cell>
        </row>
        <row r="672">
          <cell r="Z672" t="str">
            <v>123414</v>
          </cell>
        </row>
        <row r="673">
          <cell r="Z673" t="str">
            <v>123419</v>
          </cell>
        </row>
        <row r="674">
          <cell r="Z674" t="str">
            <v>123420</v>
          </cell>
        </row>
        <row r="675">
          <cell r="Z675" t="str">
            <v>123421</v>
          </cell>
        </row>
        <row r="676">
          <cell r="Z676" t="str">
            <v>123422</v>
          </cell>
        </row>
        <row r="677">
          <cell r="Z677" t="str">
            <v>123423</v>
          </cell>
        </row>
        <row r="678">
          <cell r="Z678" t="str">
            <v>123424</v>
          </cell>
        </row>
        <row r="679">
          <cell r="Z679" t="str">
            <v>123429</v>
          </cell>
        </row>
        <row r="680">
          <cell r="Z680" t="str">
            <v>123430</v>
          </cell>
        </row>
        <row r="681">
          <cell r="Z681" t="str">
            <v>123431</v>
          </cell>
        </row>
        <row r="682">
          <cell r="Z682" t="str">
            <v>123432</v>
          </cell>
        </row>
        <row r="683">
          <cell r="Z683" t="str">
            <v>123433</v>
          </cell>
        </row>
        <row r="684">
          <cell r="Z684" t="str">
            <v>123434</v>
          </cell>
        </row>
        <row r="685">
          <cell r="Z685" t="str">
            <v>123439</v>
          </cell>
        </row>
        <row r="686">
          <cell r="Z686" t="str">
            <v>123440</v>
          </cell>
        </row>
        <row r="687">
          <cell r="Z687" t="str">
            <v>123441</v>
          </cell>
        </row>
        <row r="688">
          <cell r="Z688" t="str">
            <v>123442</v>
          </cell>
        </row>
        <row r="689">
          <cell r="Z689" t="str">
            <v>123443</v>
          </cell>
        </row>
        <row r="690">
          <cell r="Z690" t="str">
            <v>123444</v>
          </cell>
        </row>
        <row r="691">
          <cell r="Z691" t="str">
            <v>123445</v>
          </cell>
        </row>
        <row r="692">
          <cell r="Z692" t="str">
            <v>123450</v>
          </cell>
        </row>
        <row r="693">
          <cell r="Z693" t="str">
            <v>123451</v>
          </cell>
        </row>
        <row r="694">
          <cell r="Z694" t="str">
            <v>123452</v>
          </cell>
        </row>
        <row r="695">
          <cell r="Z695" t="str">
            <v>123453</v>
          </cell>
        </row>
        <row r="696">
          <cell r="Z696" t="str">
            <v>123454</v>
          </cell>
        </row>
        <row r="697">
          <cell r="Z697" t="str">
            <v>123459</v>
          </cell>
        </row>
        <row r="698">
          <cell r="Z698" t="str">
            <v>123460</v>
          </cell>
        </row>
        <row r="699">
          <cell r="Z699" t="str">
            <v>123461</v>
          </cell>
        </row>
        <row r="700">
          <cell r="Z700" t="str">
            <v>123462</v>
          </cell>
        </row>
        <row r="701">
          <cell r="Z701" t="str">
            <v>123463</v>
          </cell>
        </row>
        <row r="702">
          <cell r="Z702" t="str">
            <v>123464</v>
          </cell>
        </row>
        <row r="703">
          <cell r="Z703" t="str">
            <v>123469</v>
          </cell>
        </row>
        <row r="704">
          <cell r="Z704" t="str">
            <v>123470</v>
          </cell>
        </row>
        <row r="705">
          <cell r="Z705" t="str">
            <v>123471</v>
          </cell>
        </row>
        <row r="706">
          <cell r="Z706" t="str">
            <v>123472</v>
          </cell>
        </row>
        <row r="707">
          <cell r="Z707" t="str">
            <v>123473</v>
          </cell>
        </row>
        <row r="708">
          <cell r="Z708" t="str">
            <v>123474</v>
          </cell>
        </row>
        <row r="709">
          <cell r="Z709" t="str">
            <v>123479</v>
          </cell>
        </row>
        <row r="710">
          <cell r="Z710" t="str">
            <v>123500</v>
          </cell>
        </row>
        <row r="711">
          <cell r="Z711" t="str">
            <v>123510</v>
          </cell>
        </row>
        <row r="712">
          <cell r="Z712" t="str">
            <v>123511</v>
          </cell>
        </row>
        <row r="713">
          <cell r="Z713" t="str">
            <v>123512</v>
          </cell>
        </row>
        <row r="714">
          <cell r="Z714" t="str">
            <v>123513</v>
          </cell>
        </row>
        <row r="715">
          <cell r="Z715" t="str">
            <v>123514</v>
          </cell>
        </row>
        <row r="716">
          <cell r="Z716" t="str">
            <v>123519</v>
          </cell>
        </row>
        <row r="717">
          <cell r="Z717" t="str">
            <v>123520</v>
          </cell>
        </row>
        <row r="718">
          <cell r="Z718" t="str">
            <v>123521</v>
          </cell>
        </row>
        <row r="719">
          <cell r="Z719" t="str">
            <v>123522</v>
          </cell>
        </row>
        <row r="720">
          <cell r="Z720" t="str">
            <v>123523</v>
          </cell>
        </row>
        <row r="721">
          <cell r="Z721" t="str">
            <v>123524</v>
          </cell>
        </row>
        <row r="722">
          <cell r="Z722" t="str">
            <v>123529</v>
          </cell>
        </row>
        <row r="723">
          <cell r="Z723" t="str">
            <v>123530</v>
          </cell>
        </row>
        <row r="724">
          <cell r="Z724" t="str">
            <v>123531</v>
          </cell>
        </row>
        <row r="725">
          <cell r="Z725" t="str">
            <v>123532</v>
          </cell>
        </row>
        <row r="726">
          <cell r="Z726" t="str">
            <v>123533</v>
          </cell>
        </row>
        <row r="727">
          <cell r="Z727" t="str">
            <v>123534</v>
          </cell>
        </row>
        <row r="728">
          <cell r="Z728" t="str">
            <v>123539</v>
          </cell>
        </row>
        <row r="729">
          <cell r="Z729" t="str">
            <v>123600</v>
          </cell>
        </row>
        <row r="730">
          <cell r="Z730" t="str">
            <v>123610</v>
          </cell>
        </row>
        <row r="731">
          <cell r="Z731" t="str">
            <v>123611</v>
          </cell>
        </row>
        <row r="732">
          <cell r="Z732" t="str">
            <v>123612</v>
          </cell>
        </row>
        <row r="733">
          <cell r="Z733" t="str">
            <v>123613</v>
          </cell>
        </row>
        <row r="734">
          <cell r="Z734" t="str">
            <v>123614</v>
          </cell>
        </row>
        <row r="735">
          <cell r="Z735" t="str">
            <v>123619</v>
          </cell>
        </row>
        <row r="736">
          <cell r="Z736" t="str">
            <v>123620</v>
          </cell>
        </row>
        <row r="737">
          <cell r="Z737" t="str">
            <v>123621</v>
          </cell>
        </row>
        <row r="738">
          <cell r="Z738" t="str">
            <v>123622</v>
          </cell>
        </row>
        <row r="739">
          <cell r="Z739" t="str">
            <v>123623</v>
          </cell>
        </row>
        <row r="740">
          <cell r="Z740" t="str">
            <v>123624</v>
          </cell>
        </row>
        <row r="741">
          <cell r="Z741" t="str">
            <v>123629</v>
          </cell>
        </row>
        <row r="742">
          <cell r="Z742" t="str">
            <v>123630</v>
          </cell>
        </row>
        <row r="743">
          <cell r="Z743" t="str">
            <v>123631</v>
          </cell>
        </row>
        <row r="744">
          <cell r="Z744" t="str">
            <v>123632</v>
          </cell>
        </row>
        <row r="745">
          <cell r="Z745" t="str">
            <v>123633</v>
          </cell>
        </row>
        <row r="746">
          <cell r="Z746" t="str">
            <v>123634</v>
          </cell>
        </row>
        <row r="747">
          <cell r="Z747" t="str">
            <v>123639</v>
          </cell>
        </row>
        <row r="748">
          <cell r="Z748" t="str">
            <v>124000</v>
          </cell>
        </row>
        <row r="749">
          <cell r="Z749" t="str">
            <v>124100</v>
          </cell>
        </row>
        <row r="750">
          <cell r="Z750" t="str">
            <v>124110</v>
          </cell>
        </row>
        <row r="751">
          <cell r="Z751" t="str">
            <v>124111</v>
          </cell>
        </row>
        <row r="752">
          <cell r="Z752" t="str">
            <v>124112</v>
          </cell>
        </row>
        <row r="753">
          <cell r="Z753" t="str">
            <v>124113</v>
          </cell>
        </row>
        <row r="754">
          <cell r="Z754" t="str">
            <v>124114</v>
          </cell>
        </row>
        <row r="755">
          <cell r="Z755" t="str">
            <v>124119</v>
          </cell>
        </row>
        <row r="756">
          <cell r="Z756" t="str">
            <v>124120</v>
          </cell>
        </row>
        <row r="757">
          <cell r="Z757" t="str">
            <v>124121</v>
          </cell>
        </row>
        <row r="758">
          <cell r="Z758" t="str">
            <v>124122</v>
          </cell>
        </row>
        <row r="759">
          <cell r="Z759" t="str">
            <v>124123</v>
          </cell>
        </row>
        <row r="760">
          <cell r="Z760" t="str">
            <v>124124</v>
          </cell>
        </row>
        <row r="761">
          <cell r="Z761" t="str">
            <v>124129</v>
          </cell>
        </row>
        <row r="762">
          <cell r="Z762" t="str">
            <v>124130</v>
          </cell>
        </row>
        <row r="763">
          <cell r="Z763" t="str">
            <v>124131</v>
          </cell>
        </row>
        <row r="764">
          <cell r="Z764" t="str">
            <v>124132</v>
          </cell>
        </row>
        <row r="765">
          <cell r="Z765" t="str">
            <v>124133</v>
          </cell>
        </row>
        <row r="766">
          <cell r="Z766" t="str">
            <v>124134</v>
          </cell>
        </row>
        <row r="767">
          <cell r="Z767" t="str">
            <v>124139</v>
          </cell>
        </row>
        <row r="768">
          <cell r="Z768" t="str">
            <v>124140</v>
          </cell>
        </row>
        <row r="769">
          <cell r="Z769" t="str">
            <v>124141</v>
          </cell>
        </row>
        <row r="770">
          <cell r="Z770" t="str">
            <v>124142</v>
          </cell>
        </row>
        <row r="771">
          <cell r="Z771" t="str">
            <v>124143</v>
          </cell>
        </row>
        <row r="772">
          <cell r="Z772" t="str">
            <v>124144</v>
          </cell>
        </row>
        <row r="773">
          <cell r="Z773" t="str">
            <v>124149</v>
          </cell>
        </row>
        <row r="774">
          <cell r="Z774" t="str">
            <v>124150</v>
          </cell>
        </row>
        <row r="775">
          <cell r="Z775" t="str">
            <v>124151</v>
          </cell>
        </row>
        <row r="776">
          <cell r="Z776" t="str">
            <v>124152</v>
          </cell>
        </row>
        <row r="777">
          <cell r="Z777" t="str">
            <v>124153</v>
          </cell>
        </row>
        <row r="778">
          <cell r="Z778" t="str">
            <v>124154</v>
          </cell>
        </row>
        <row r="779">
          <cell r="Z779" t="str">
            <v>124159</v>
          </cell>
        </row>
        <row r="780">
          <cell r="Z780" t="str">
            <v>124160</v>
          </cell>
        </row>
        <row r="781">
          <cell r="Z781" t="str">
            <v>124161</v>
          </cell>
        </row>
        <row r="782">
          <cell r="Z782" t="str">
            <v>124162</v>
          </cell>
        </row>
        <row r="783">
          <cell r="Z783" t="str">
            <v>124163</v>
          </cell>
        </row>
        <row r="784">
          <cell r="Z784" t="str">
            <v>124164</v>
          </cell>
        </row>
        <row r="785">
          <cell r="Z785" t="str">
            <v>124169</v>
          </cell>
        </row>
        <row r="786">
          <cell r="Z786" t="str">
            <v>124170</v>
          </cell>
        </row>
        <row r="787">
          <cell r="Z787" t="str">
            <v>124171</v>
          </cell>
        </row>
        <row r="788">
          <cell r="Z788" t="str">
            <v>124172</v>
          </cell>
        </row>
        <row r="789">
          <cell r="Z789" t="str">
            <v>124173</v>
          </cell>
        </row>
        <row r="790">
          <cell r="Z790" t="str">
            <v>124174</v>
          </cell>
        </row>
        <row r="791">
          <cell r="Z791" t="str">
            <v>124179</v>
          </cell>
        </row>
        <row r="792">
          <cell r="Z792" t="str">
            <v>124200</v>
          </cell>
        </row>
        <row r="793">
          <cell r="Z793" t="str">
            <v>124210</v>
          </cell>
        </row>
        <row r="794">
          <cell r="Z794" t="str">
            <v>124211</v>
          </cell>
        </row>
        <row r="795">
          <cell r="Z795" t="str">
            <v>124212</v>
          </cell>
        </row>
        <row r="796">
          <cell r="Z796" t="str">
            <v>124213</v>
          </cell>
        </row>
        <row r="797">
          <cell r="Z797" t="str">
            <v>124214</v>
          </cell>
        </row>
        <row r="798">
          <cell r="Z798" t="str">
            <v>124219</v>
          </cell>
        </row>
        <row r="799">
          <cell r="Z799" t="str">
            <v>124220</v>
          </cell>
        </row>
        <row r="800">
          <cell r="Z800" t="str">
            <v>124221</v>
          </cell>
        </row>
        <row r="801">
          <cell r="Z801" t="str">
            <v>124222</v>
          </cell>
        </row>
        <row r="802">
          <cell r="Z802" t="str">
            <v>124223</v>
          </cell>
        </row>
        <row r="803">
          <cell r="Z803" t="str">
            <v>124224</v>
          </cell>
        </row>
        <row r="804">
          <cell r="Z804" t="str">
            <v>124229</v>
          </cell>
        </row>
        <row r="805">
          <cell r="Z805" t="str">
            <v>124230</v>
          </cell>
        </row>
        <row r="806">
          <cell r="Z806" t="str">
            <v>124231</v>
          </cell>
        </row>
        <row r="807">
          <cell r="Z807" t="str">
            <v>124232</v>
          </cell>
        </row>
        <row r="808">
          <cell r="Z808" t="str">
            <v>124233</v>
          </cell>
        </row>
        <row r="809">
          <cell r="Z809" t="str">
            <v>124234</v>
          </cell>
        </row>
        <row r="810">
          <cell r="Z810" t="str">
            <v>124239</v>
          </cell>
        </row>
        <row r="811">
          <cell r="Z811" t="str">
            <v>124240</v>
          </cell>
        </row>
        <row r="812">
          <cell r="Z812" t="str">
            <v>124241</v>
          </cell>
        </row>
        <row r="813">
          <cell r="Z813" t="str">
            <v>124242</v>
          </cell>
        </row>
        <row r="814">
          <cell r="Z814" t="str">
            <v>124243</v>
          </cell>
        </row>
        <row r="815">
          <cell r="Z815" t="str">
            <v>124244</v>
          </cell>
        </row>
        <row r="816">
          <cell r="Z816" t="str">
            <v>124249</v>
          </cell>
        </row>
        <row r="817">
          <cell r="Z817" t="str">
            <v>124250</v>
          </cell>
        </row>
        <row r="818">
          <cell r="Z818" t="str">
            <v>124251</v>
          </cell>
        </row>
        <row r="819">
          <cell r="Z819" t="str">
            <v>124252</v>
          </cell>
        </row>
        <row r="820">
          <cell r="Z820" t="str">
            <v>124253</v>
          </cell>
        </row>
        <row r="821">
          <cell r="Z821" t="str">
            <v>124254</v>
          </cell>
        </row>
        <row r="822">
          <cell r="Z822" t="str">
            <v>124259</v>
          </cell>
        </row>
        <row r="823">
          <cell r="Z823" t="str">
            <v>124260</v>
          </cell>
        </row>
        <row r="824">
          <cell r="Z824" t="str">
            <v>124261</v>
          </cell>
        </row>
        <row r="825">
          <cell r="Z825" t="str">
            <v>124262</v>
          </cell>
        </row>
        <row r="826">
          <cell r="Z826" t="str">
            <v>124263</v>
          </cell>
        </row>
        <row r="827">
          <cell r="Z827" t="str">
            <v>124264</v>
          </cell>
        </row>
        <row r="828">
          <cell r="Z828" t="str">
            <v>124269</v>
          </cell>
        </row>
        <row r="829">
          <cell r="Z829" t="str">
            <v>124270</v>
          </cell>
        </row>
        <row r="830">
          <cell r="Z830" t="str">
            <v>124271</v>
          </cell>
        </row>
        <row r="831">
          <cell r="Z831" t="str">
            <v>124272</v>
          </cell>
        </row>
        <row r="832">
          <cell r="Z832" t="str">
            <v>124273</v>
          </cell>
        </row>
        <row r="833">
          <cell r="Z833" t="str">
            <v>124274</v>
          </cell>
        </row>
        <row r="834">
          <cell r="Z834" t="str">
            <v>124279</v>
          </cell>
        </row>
        <row r="835">
          <cell r="Z835" t="str">
            <v>124300</v>
          </cell>
        </row>
        <row r="836">
          <cell r="Z836" t="str">
            <v>124310</v>
          </cell>
        </row>
        <row r="837">
          <cell r="Z837" t="str">
            <v>124311</v>
          </cell>
        </row>
        <row r="838">
          <cell r="Z838" t="str">
            <v>124312</v>
          </cell>
        </row>
        <row r="839">
          <cell r="Z839" t="str">
            <v>124313</v>
          </cell>
        </row>
        <row r="840">
          <cell r="Z840" t="str">
            <v>124314</v>
          </cell>
        </row>
        <row r="841">
          <cell r="Z841" t="str">
            <v>124319</v>
          </cell>
        </row>
        <row r="842">
          <cell r="Z842" t="str">
            <v>124320</v>
          </cell>
        </row>
        <row r="843">
          <cell r="Z843" t="str">
            <v>124321</v>
          </cell>
        </row>
        <row r="844">
          <cell r="Z844" t="str">
            <v>124322</v>
          </cell>
        </row>
        <row r="845">
          <cell r="Z845" t="str">
            <v>124323</v>
          </cell>
        </row>
        <row r="846">
          <cell r="Z846" t="str">
            <v>124324</v>
          </cell>
        </row>
        <row r="847">
          <cell r="Z847" t="str">
            <v>124329</v>
          </cell>
        </row>
        <row r="848">
          <cell r="Z848" t="str">
            <v>124330</v>
          </cell>
        </row>
        <row r="849">
          <cell r="Z849" t="str">
            <v>124331</v>
          </cell>
        </row>
        <row r="850">
          <cell r="Z850" t="str">
            <v>124332</v>
          </cell>
        </row>
        <row r="851">
          <cell r="Z851" t="str">
            <v>124333</v>
          </cell>
        </row>
        <row r="852">
          <cell r="Z852" t="str">
            <v>124334</v>
          </cell>
        </row>
        <row r="853">
          <cell r="Z853" t="str">
            <v>124339</v>
          </cell>
        </row>
        <row r="854">
          <cell r="Z854" t="str">
            <v>124340</v>
          </cell>
        </row>
        <row r="855">
          <cell r="Z855" t="str">
            <v>124341</v>
          </cell>
        </row>
        <row r="856">
          <cell r="Z856" t="str">
            <v>124342</v>
          </cell>
        </row>
        <row r="857">
          <cell r="Z857" t="str">
            <v>124343</v>
          </cell>
        </row>
        <row r="858">
          <cell r="Z858" t="str">
            <v>124344</v>
          </cell>
        </row>
        <row r="859">
          <cell r="Z859" t="str">
            <v>124349</v>
          </cell>
        </row>
        <row r="860">
          <cell r="Z860" t="str">
            <v>124350</v>
          </cell>
        </row>
        <row r="861">
          <cell r="Z861" t="str">
            <v>124351</v>
          </cell>
        </row>
        <row r="862">
          <cell r="Z862" t="str">
            <v>124352</v>
          </cell>
        </row>
        <row r="863">
          <cell r="Z863" t="str">
            <v>124353</v>
          </cell>
        </row>
        <row r="864">
          <cell r="Z864" t="str">
            <v>124354</v>
          </cell>
        </row>
        <row r="865">
          <cell r="Z865" t="str">
            <v>124359</v>
          </cell>
        </row>
        <row r="866">
          <cell r="Z866" t="str">
            <v>124360</v>
          </cell>
        </row>
        <row r="867">
          <cell r="Z867" t="str">
            <v>124361</v>
          </cell>
        </row>
        <row r="868">
          <cell r="Z868" t="str">
            <v>124362</v>
          </cell>
        </row>
        <row r="869">
          <cell r="Z869" t="str">
            <v>124363</v>
          </cell>
        </row>
        <row r="870">
          <cell r="Z870" t="str">
            <v>124364</v>
          </cell>
        </row>
        <row r="871">
          <cell r="Z871" t="str">
            <v>124369</v>
          </cell>
        </row>
        <row r="872">
          <cell r="Z872" t="str">
            <v>124370</v>
          </cell>
        </row>
        <row r="873">
          <cell r="Z873" t="str">
            <v>124371</v>
          </cell>
        </row>
        <row r="874">
          <cell r="Z874" t="str">
            <v>124372</v>
          </cell>
        </row>
        <row r="875">
          <cell r="Z875" t="str">
            <v>124373</v>
          </cell>
        </row>
        <row r="876">
          <cell r="Z876" t="str">
            <v>124374</v>
          </cell>
        </row>
        <row r="877">
          <cell r="Z877" t="str">
            <v>124379</v>
          </cell>
        </row>
        <row r="878">
          <cell r="Z878" t="str">
            <v>124400</v>
          </cell>
        </row>
        <row r="879">
          <cell r="Z879" t="str">
            <v>124410</v>
          </cell>
        </row>
        <row r="880">
          <cell r="Z880" t="str">
            <v>124411</v>
          </cell>
        </row>
        <row r="881">
          <cell r="Z881" t="str">
            <v>124412</v>
          </cell>
        </row>
        <row r="882">
          <cell r="Z882" t="str">
            <v>124413</v>
          </cell>
        </row>
        <row r="883">
          <cell r="Z883" t="str">
            <v>124414</v>
          </cell>
        </row>
        <row r="884">
          <cell r="Z884" t="str">
            <v>124419</v>
          </cell>
        </row>
        <row r="885">
          <cell r="Z885" t="str">
            <v>124420</v>
          </cell>
        </row>
        <row r="886">
          <cell r="Z886" t="str">
            <v>124421</v>
          </cell>
        </row>
        <row r="887">
          <cell r="Z887" t="str">
            <v>124422</v>
          </cell>
        </row>
        <row r="888">
          <cell r="Z888" t="str">
            <v>124423</v>
          </cell>
        </row>
        <row r="889">
          <cell r="Z889" t="str">
            <v>124424</v>
          </cell>
        </row>
        <row r="890">
          <cell r="Z890" t="str">
            <v>124429</v>
          </cell>
        </row>
        <row r="891">
          <cell r="Z891" t="str">
            <v>124430</v>
          </cell>
        </row>
        <row r="892">
          <cell r="Z892" t="str">
            <v>124431</v>
          </cell>
        </row>
        <row r="893">
          <cell r="Z893" t="str">
            <v>124432</v>
          </cell>
        </row>
        <row r="894">
          <cell r="Z894" t="str">
            <v>124433</v>
          </cell>
        </row>
        <row r="895">
          <cell r="Z895" t="str">
            <v>124434</v>
          </cell>
        </row>
        <row r="896">
          <cell r="Z896" t="str">
            <v>124439</v>
          </cell>
        </row>
        <row r="897">
          <cell r="Z897" t="str">
            <v>124440</v>
          </cell>
        </row>
        <row r="898">
          <cell r="Z898" t="str">
            <v>124441</v>
          </cell>
        </row>
        <row r="899">
          <cell r="Z899" t="str">
            <v>124442</v>
          </cell>
        </row>
        <row r="900">
          <cell r="Z900" t="str">
            <v>124443</v>
          </cell>
        </row>
        <row r="901">
          <cell r="Z901" t="str">
            <v>124444</v>
          </cell>
        </row>
        <row r="902">
          <cell r="Z902" t="str">
            <v>124449</v>
          </cell>
        </row>
        <row r="903">
          <cell r="Z903" t="str">
            <v>124450</v>
          </cell>
        </row>
        <row r="904">
          <cell r="Z904" t="str">
            <v>124451</v>
          </cell>
        </row>
        <row r="905">
          <cell r="Z905" t="str">
            <v>124452</v>
          </cell>
        </row>
        <row r="906">
          <cell r="Z906" t="str">
            <v>124453</v>
          </cell>
        </row>
        <row r="907">
          <cell r="Z907" t="str">
            <v>124454</v>
          </cell>
        </row>
        <row r="908">
          <cell r="Z908" t="str">
            <v>124459</v>
          </cell>
        </row>
        <row r="909">
          <cell r="Z909" t="str">
            <v>124460</v>
          </cell>
        </row>
        <row r="910">
          <cell r="Z910" t="str">
            <v>124461</v>
          </cell>
        </row>
        <row r="911">
          <cell r="Z911" t="str">
            <v>124462</v>
          </cell>
        </row>
        <row r="912">
          <cell r="Z912" t="str">
            <v>124463</v>
          </cell>
        </row>
        <row r="913">
          <cell r="Z913" t="str">
            <v>124464</v>
          </cell>
        </row>
        <row r="914">
          <cell r="Z914" t="str">
            <v>124469</v>
          </cell>
        </row>
        <row r="915">
          <cell r="Z915" t="str">
            <v>124470</v>
          </cell>
        </row>
        <row r="916">
          <cell r="Z916" t="str">
            <v>124471</v>
          </cell>
        </row>
        <row r="917">
          <cell r="Z917" t="str">
            <v>124472</v>
          </cell>
        </row>
        <row r="918">
          <cell r="Z918" t="str">
            <v>124473</v>
          </cell>
        </row>
        <row r="919">
          <cell r="Z919" t="str">
            <v>124474</v>
          </cell>
        </row>
        <row r="920">
          <cell r="Z920" t="str">
            <v>124479</v>
          </cell>
        </row>
        <row r="921">
          <cell r="Z921" t="str">
            <v>124500</v>
          </cell>
        </row>
        <row r="922">
          <cell r="Z922" t="str">
            <v>124510</v>
          </cell>
        </row>
        <row r="923">
          <cell r="Z923" t="str">
            <v>124511</v>
          </cell>
        </row>
        <row r="924">
          <cell r="Z924" t="str">
            <v>124512</v>
          </cell>
        </row>
        <row r="925">
          <cell r="Z925" t="str">
            <v>124513</v>
          </cell>
        </row>
        <row r="926">
          <cell r="Z926" t="str">
            <v>124514</v>
          </cell>
        </row>
        <row r="927">
          <cell r="Z927" t="str">
            <v>124519</v>
          </cell>
        </row>
        <row r="928">
          <cell r="Z928" t="str">
            <v>124520</v>
          </cell>
        </row>
        <row r="929">
          <cell r="Z929" t="str">
            <v>124521</v>
          </cell>
        </row>
        <row r="930">
          <cell r="Z930" t="str">
            <v>124522</v>
          </cell>
        </row>
        <row r="931">
          <cell r="Z931" t="str">
            <v>124523</v>
          </cell>
        </row>
        <row r="932">
          <cell r="Z932" t="str">
            <v>124524</v>
          </cell>
        </row>
        <row r="933">
          <cell r="Z933" t="str">
            <v>124529</v>
          </cell>
        </row>
        <row r="934">
          <cell r="Z934" t="str">
            <v>124530</v>
          </cell>
        </row>
        <row r="935">
          <cell r="Z935" t="str">
            <v>124531</v>
          </cell>
        </row>
        <row r="936">
          <cell r="Z936" t="str">
            <v>124532</v>
          </cell>
        </row>
        <row r="937">
          <cell r="Z937" t="str">
            <v>124533</v>
          </cell>
        </row>
        <row r="938">
          <cell r="Z938" t="str">
            <v>124534</v>
          </cell>
        </row>
        <row r="939">
          <cell r="Z939" t="str">
            <v>124539</v>
          </cell>
        </row>
        <row r="940">
          <cell r="Z940" t="str">
            <v>124600</v>
          </cell>
        </row>
        <row r="941">
          <cell r="Z941" t="str">
            <v>124610</v>
          </cell>
        </row>
        <row r="942">
          <cell r="Z942" t="str">
            <v>124611</v>
          </cell>
        </row>
        <row r="943">
          <cell r="Z943" t="str">
            <v>124612</v>
          </cell>
        </row>
        <row r="944">
          <cell r="Z944" t="str">
            <v>124613</v>
          </cell>
        </row>
        <row r="945">
          <cell r="Z945" t="str">
            <v>124614</v>
          </cell>
        </row>
        <row r="946">
          <cell r="Z946" t="str">
            <v>124619</v>
          </cell>
        </row>
        <row r="947">
          <cell r="Z947" t="str">
            <v>124620</v>
          </cell>
        </row>
        <row r="948">
          <cell r="Z948" t="str">
            <v>124621</v>
          </cell>
        </row>
        <row r="949">
          <cell r="Z949" t="str">
            <v>124622</v>
          </cell>
        </row>
        <row r="950">
          <cell r="Z950" t="str">
            <v>124623</v>
          </cell>
        </row>
        <row r="951">
          <cell r="Z951" t="str">
            <v>124624</v>
          </cell>
        </row>
        <row r="952">
          <cell r="Z952" t="str">
            <v>124629</v>
          </cell>
        </row>
        <row r="953">
          <cell r="Z953" t="str">
            <v>124630</v>
          </cell>
        </row>
        <row r="954">
          <cell r="Z954" t="str">
            <v>124631</v>
          </cell>
        </row>
        <row r="955">
          <cell r="Z955" t="str">
            <v>124632</v>
          </cell>
        </row>
        <row r="956">
          <cell r="Z956" t="str">
            <v>124633</v>
          </cell>
        </row>
        <row r="957">
          <cell r="Z957" t="str">
            <v>124634</v>
          </cell>
        </row>
        <row r="958">
          <cell r="Z958" t="str">
            <v>124639</v>
          </cell>
        </row>
        <row r="959">
          <cell r="Z959" t="str">
            <v>125000</v>
          </cell>
        </row>
        <row r="960">
          <cell r="Z960" t="str">
            <v>125100</v>
          </cell>
        </row>
        <row r="961">
          <cell r="Z961" t="str">
            <v>125101</v>
          </cell>
        </row>
        <row r="962">
          <cell r="Z962" t="str">
            <v>125102</v>
          </cell>
        </row>
        <row r="963">
          <cell r="Z963" t="str">
            <v>125103</v>
          </cell>
        </row>
        <row r="964">
          <cell r="Z964" t="str">
            <v>125104</v>
          </cell>
        </row>
        <row r="965">
          <cell r="Z965" t="str">
            <v>125109</v>
          </cell>
        </row>
        <row r="966">
          <cell r="Z966" t="str">
            <v>125200</v>
          </cell>
        </row>
        <row r="967">
          <cell r="Z967" t="str">
            <v>125201</v>
          </cell>
        </row>
        <row r="968">
          <cell r="Z968" t="str">
            <v>125202</v>
          </cell>
        </row>
        <row r="969">
          <cell r="Z969" t="str">
            <v>125203</v>
          </cell>
        </row>
        <row r="970">
          <cell r="Z970" t="str">
            <v>125204</v>
          </cell>
        </row>
        <row r="971">
          <cell r="Z971" t="str">
            <v>125209</v>
          </cell>
        </row>
        <row r="972">
          <cell r="Z972" t="str">
            <v>126000</v>
          </cell>
        </row>
        <row r="973">
          <cell r="Z973" t="str">
            <v>126100</v>
          </cell>
        </row>
        <row r="974">
          <cell r="Z974" t="str">
            <v>126101</v>
          </cell>
        </row>
        <row r="975">
          <cell r="Z975" t="str">
            <v>126102</v>
          </cell>
        </row>
        <row r="976">
          <cell r="Z976" t="str">
            <v>126103</v>
          </cell>
        </row>
        <row r="977">
          <cell r="Z977" t="str">
            <v>126104</v>
          </cell>
        </row>
        <row r="978">
          <cell r="Z978" t="str">
            <v>126109</v>
          </cell>
        </row>
        <row r="979">
          <cell r="Z979" t="str">
            <v>126200</v>
          </cell>
        </row>
        <row r="980">
          <cell r="Z980" t="str">
            <v>126201</v>
          </cell>
        </row>
        <row r="981">
          <cell r="Z981" t="str">
            <v>126202</v>
          </cell>
        </row>
        <row r="982">
          <cell r="Z982" t="str">
            <v>126203</v>
          </cell>
        </row>
        <row r="983">
          <cell r="Z983" t="str">
            <v>126204</v>
          </cell>
        </row>
        <row r="984">
          <cell r="Z984" t="str">
            <v>126209</v>
          </cell>
        </row>
        <row r="985">
          <cell r="Z985" t="str">
            <v>126300</v>
          </cell>
        </row>
        <row r="986">
          <cell r="Z986" t="str">
            <v>126301</v>
          </cell>
        </row>
        <row r="987">
          <cell r="Z987" t="str">
            <v>126302</v>
          </cell>
        </row>
        <row r="988">
          <cell r="Z988" t="str">
            <v>126303</v>
          </cell>
        </row>
        <row r="989">
          <cell r="Z989" t="str">
            <v>126304</v>
          </cell>
        </row>
        <row r="990">
          <cell r="Z990" t="str">
            <v>126309</v>
          </cell>
        </row>
        <row r="991">
          <cell r="Z991" t="str">
            <v>126400</v>
          </cell>
        </row>
        <row r="992">
          <cell r="Z992" t="str">
            <v>126401</v>
          </cell>
        </row>
        <row r="993">
          <cell r="Z993" t="str">
            <v>126402</v>
          </cell>
        </row>
        <row r="994">
          <cell r="Z994" t="str">
            <v>126403</v>
          </cell>
        </row>
        <row r="995">
          <cell r="Z995" t="str">
            <v>126404</v>
          </cell>
        </row>
        <row r="996">
          <cell r="Z996" t="str">
            <v>126409</v>
          </cell>
        </row>
        <row r="997">
          <cell r="Z997" t="str">
            <v>126500</v>
          </cell>
        </row>
        <row r="998">
          <cell r="Z998" t="str">
            <v>126501</v>
          </cell>
        </row>
        <row r="999">
          <cell r="Z999" t="str">
            <v>126502</v>
          </cell>
        </row>
        <row r="1000">
          <cell r="Z1000" t="str">
            <v>126503</v>
          </cell>
        </row>
        <row r="1001">
          <cell r="Z1001" t="str">
            <v>126504</v>
          </cell>
        </row>
        <row r="1002">
          <cell r="Z1002" t="str">
            <v>126509</v>
          </cell>
        </row>
        <row r="1003">
          <cell r="Z1003" t="str">
            <v>126600</v>
          </cell>
        </row>
        <row r="1004">
          <cell r="Z1004" t="str">
            <v>126601</v>
          </cell>
        </row>
        <row r="1005">
          <cell r="Z1005" t="str">
            <v>126602</v>
          </cell>
        </row>
        <row r="1006">
          <cell r="Z1006" t="str">
            <v>126603</v>
          </cell>
        </row>
        <row r="1007">
          <cell r="Z1007" t="str">
            <v>126604</v>
          </cell>
        </row>
        <row r="1008">
          <cell r="Z1008" t="str">
            <v>126609</v>
          </cell>
        </row>
        <row r="1009">
          <cell r="Z1009" t="str">
            <v>126700</v>
          </cell>
        </row>
        <row r="1010">
          <cell r="Z1010" t="str">
            <v>126701</v>
          </cell>
        </row>
        <row r="1011">
          <cell r="Z1011" t="str">
            <v>126702</v>
          </cell>
        </row>
        <row r="1012">
          <cell r="Z1012" t="str">
            <v>126703</v>
          </cell>
        </row>
        <row r="1013">
          <cell r="Z1013" t="str">
            <v>126704</v>
          </cell>
        </row>
        <row r="1014">
          <cell r="Z1014" t="str">
            <v>126709</v>
          </cell>
        </row>
        <row r="1015">
          <cell r="Z1015" t="str">
            <v>126800</v>
          </cell>
        </row>
        <row r="1016">
          <cell r="Z1016" t="str">
            <v>126801</v>
          </cell>
        </row>
        <row r="1017">
          <cell r="Z1017" t="str">
            <v>126802</v>
          </cell>
        </row>
        <row r="1018">
          <cell r="Z1018" t="str">
            <v>126803</v>
          </cell>
        </row>
        <row r="1019">
          <cell r="Z1019" t="str">
            <v>126804</v>
          </cell>
        </row>
        <row r="1020">
          <cell r="Z1020" t="str">
            <v>126809</v>
          </cell>
        </row>
        <row r="1021">
          <cell r="Z1021" t="str">
            <v>130000</v>
          </cell>
        </row>
        <row r="1022">
          <cell r="Z1022" t="str">
            <v>131000</v>
          </cell>
        </row>
        <row r="1023">
          <cell r="Z1023" t="str">
            <v>131100</v>
          </cell>
        </row>
        <row r="1024">
          <cell r="Z1024" t="str">
            <v>131110</v>
          </cell>
        </row>
        <row r="1025">
          <cell r="Z1025" t="str">
            <v>131111</v>
          </cell>
        </row>
        <row r="1026">
          <cell r="Z1026" t="str">
            <v>131112</v>
          </cell>
        </row>
        <row r="1027">
          <cell r="Z1027" t="str">
            <v>131113</v>
          </cell>
        </row>
        <row r="1028">
          <cell r="Z1028" t="str">
            <v>131114</v>
          </cell>
        </row>
        <row r="1029">
          <cell r="Z1029" t="str">
            <v>131119</v>
          </cell>
        </row>
        <row r="1030">
          <cell r="Z1030" t="str">
            <v>131120</v>
          </cell>
        </row>
        <row r="1031">
          <cell r="Z1031" t="str">
            <v>131121</v>
          </cell>
        </row>
        <row r="1032">
          <cell r="Z1032" t="str">
            <v>131122</v>
          </cell>
        </row>
        <row r="1033">
          <cell r="Z1033" t="str">
            <v>131123</v>
          </cell>
        </row>
        <row r="1034">
          <cell r="Z1034" t="str">
            <v>131124</v>
          </cell>
        </row>
        <row r="1035">
          <cell r="Z1035" t="str">
            <v>131129</v>
          </cell>
        </row>
        <row r="1036">
          <cell r="Z1036" t="str">
            <v>131200</v>
          </cell>
        </row>
        <row r="1037">
          <cell r="Z1037" t="str">
            <v>131210</v>
          </cell>
        </row>
        <row r="1038">
          <cell r="Z1038" t="str">
            <v>131211</v>
          </cell>
        </row>
        <row r="1039">
          <cell r="Z1039" t="str">
            <v>131212</v>
          </cell>
        </row>
        <row r="1040">
          <cell r="Z1040" t="str">
            <v>131213</v>
          </cell>
        </row>
        <row r="1041">
          <cell r="Z1041" t="str">
            <v>131214</v>
          </cell>
        </row>
        <row r="1042">
          <cell r="Z1042" t="str">
            <v>131219</v>
          </cell>
        </row>
        <row r="1043">
          <cell r="Z1043" t="str">
            <v>131220</v>
          </cell>
        </row>
        <row r="1044">
          <cell r="Z1044" t="str">
            <v>131221</v>
          </cell>
        </row>
        <row r="1045">
          <cell r="Z1045" t="str">
            <v>131222</v>
          </cell>
        </row>
        <row r="1046">
          <cell r="Z1046" t="str">
            <v>131223</v>
          </cell>
        </row>
        <row r="1047">
          <cell r="Z1047" t="str">
            <v>131224</v>
          </cell>
        </row>
        <row r="1048">
          <cell r="Z1048" t="str">
            <v>131229</v>
          </cell>
        </row>
        <row r="1049">
          <cell r="Z1049" t="str">
            <v>131300</v>
          </cell>
        </row>
        <row r="1050">
          <cell r="Z1050" t="str">
            <v>131310</v>
          </cell>
        </row>
        <row r="1051">
          <cell r="Z1051" t="str">
            <v>131311</v>
          </cell>
        </row>
        <row r="1052">
          <cell r="Z1052" t="str">
            <v>131312</v>
          </cell>
        </row>
        <row r="1053">
          <cell r="Z1053" t="str">
            <v>131313</v>
          </cell>
        </row>
        <row r="1054">
          <cell r="Z1054" t="str">
            <v>131314</v>
          </cell>
        </row>
        <row r="1055">
          <cell r="Z1055" t="str">
            <v>131319</v>
          </cell>
        </row>
        <row r="1056">
          <cell r="Z1056" t="str">
            <v>131320</v>
          </cell>
        </row>
        <row r="1057">
          <cell r="Z1057" t="str">
            <v>131321</v>
          </cell>
        </row>
        <row r="1058">
          <cell r="Z1058" t="str">
            <v>131322</v>
          </cell>
        </row>
        <row r="1059">
          <cell r="Z1059" t="str">
            <v>131323</v>
          </cell>
        </row>
        <row r="1060">
          <cell r="Z1060" t="str">
            <v>131324</v>
          </cell>
        </row>
        <row r="1061">
          <cell r="Z1061" t="str">
            <v>131329</v>
          </cell>
        </row>
        <row r="1062">
          <cell r="Z1062" t="str">
            <v>132000</v>
          </cell>
        </row>
        <row r="1063">
          <cell r="Z1063" t="str">
            <v>132100</v>
          </cell>
        </row>
        <row r="1064">
          <cell r="Z1064" t="str">
            <v>132110</v>
          </cell>
        </row>
        <row r="1065">
          <cell r="Z1065" t="str">
            <v>132111</v>
          </cell>
        </row>
        <row r="1066">
          <cell r="Z1066" t="str">
            <v>132112</v>
          </cell>
        </row>
        <row r="1067">
          <cell r="Z1067" t="str">
            <v>132113</v>
          </cell>
        </row>
        <row r="1068">
          <cell r="Z1068" t="str">
            <v>132114</v>
          </cell>
        </row>
        <row r="1069">
          <cell r="Z1069" t="str">
            <v>132119</v>
          </cell>
        </row>
        <row r="1070">
          <cell r="Z1070" t="str">
            <v>132120</v>
          </cell>
        </row>
        <row r="1071">
          <cell r="Z1071" t="str">
            <v>132121</v>
          </cell>
        </row>
        <row r="1072">
          <cell r="Z1072" t="str">
            <v>132122</v>
          </cell>
        </row>
        <row r="1073">
          <cell r="Z1073" t="str">
            <v>132123</v>
          </cell>
        </row>
        <row r="1074">
          <cell r="Z1074" t="str">
            <v>132124</v>
          </cell>
        </row>
        <row r="1075">
          <cell r="Z1075" t="str">
            <v>132129</v>
          </cell>
        </row>
        <row r="1076">
          <cell r="Z1076" t="str">
            <v>132130</v>
          </cell>
        </row>
        <row r="1077">
          <cell r="Z1077" t="str">
            <v>132131</v>
          </cell>
        </row>
        <row r="1078">
          <cell r="Z1078" t="str">
            <v>132132</v>
          </cell>
        </row>
        <row r="1079">
          <cell r="Z1079" t="str">
            <v>132133</v>
          </cell>
        </row>
        <row r="1080">
          <cell r="Z1080" t="str">
            <v>132134</v>
          </cell>
        </row>
        <row r="1081">
          <cell r="Z1081" t="str">
            <v>132139</v>
          </cell>
        </row>
        <row r="1082">
          <cell r="Z1082" t="str">
            <v>132200</v>
          </cell>
        </row>
        <row r="1083">
          <cell r="Z1083" t="str">
            <v>132210</v>
          </cell>
        </row>
        <row r="1084">
          <cell r="Z1084" t="str">
            <v>132211</v>
          </cell>
        </row>
        <row r="1085">
          <cell r="Z1085" t="str">
            <v>132212</v>
          </cell>
        </row>
        <row r="1086">
          <cell r="Z1086" t="str">
            <v>132213</v>
          </cell>
        </row>
        <row r="1087">
          <cell r="Z1087" t="str">
            <v>132214</v>
          </cell>
        </row>
        <row r="1088">
          <cell r="Z1088" t="str">
            <v>132219</v>
          </cell>
        </row>
        <row r="1089">
          <cell r="Z1089" t="str">
            <v>132220</v>
          </cell>
        </row>
        <row r="1090">
          <cell r="Z1090" t="str">
            <v>132221</v>
          </cell>
        </row>
        <row r="1091">
          <cell r="Z1091" t="str">
            <v>132222</v>
          </cell>
        </row>
        <row r="1092">
          <cell r="Z1092" t="str">
            <v>132223</v>
          </cell>
        </row>
        <row r="1093">
          <cell r="Z1093" t="str">
            <v>132224</v>
          </cell>
        </row>
        <row r="1094">
          <cell r="Z1094" t="str">
            <v>132229</v>
          </cell>
        </row>
        <row r="1095">
          <cell r="Z1095" t="str">
            <v>132230</v>
          </cell>
        </row>
        <row r="1096">
          <cell r="Z1096" t="str">
            <v>132231</v>
          </cell>
        </row>
        <row r="1097">
          <cell r="Z1097" t="str">
            <v>132232</v>
          </cell>
        </row>
        <row r="1098">
          <cell r="Z1098" t="str">
            <v>132233</v>
          </cell>
        </row>
        <row r="1099">
          <cell r="Z1099" t="str">
            <v>132234</v>
          </cell>
        </row>
        <row r="1100">
          <cell r="Z1100" t="str">
            <v>132239</v>
          </cell>
        </row>
        <row r="1101">
          <cell r="Z1101" t="str">
            <v>132300</v>
          </cell>
        </row>
        <row r="1102">
          <cell r="Z1102" t="str">
            <v>132310</v>
          </cell>
        </row>
        <row r="1103">
          <cell r="Z1103" t="str">
            <v>132311</v>
          </cell>
        </row>
        <row r="1104">
          <cell r="Z1104" t="str">
            <v>132312</v>
          </cell>
        </row>
        <row r="1105">
          <cell r="Z1105" t="str">
            <v>132313</v>
          </cell>
        </row>
        <row r="1106">
          <cell r="Z1106" t="str">
            <v>132314</v>
          </cell>
        </row>
        <row r="1107">
          <cell r="Z1107" t="str">
            <v>132319</v>
          </cell>
        </row>
        <row r="1108">
          <cell r="Z1108" t="str">
            <v>132320</v>
          </cell>
        </row>
        <row r="1109">
          <cell r="Z1109" t="str">
            <v>132321</v>
          </cell>
        </row>
        <row r="1110">
          <cell r="Z1110" t="str">
            <v>132322</v>
          </cell>
        </row>
        <row r="1111">
          <cell r="Z1111" t="str">
            <v>132323</v>
          </cell>
        </row>
        <row r="1112">
          <cell r="Z1112" t="str">
            <v>132324</v>
          </cell>
        </row>
        <row r="1113">
          <cell r="Z1113" t="str">
            <v>132329</v>
          </cell>
        </row>
        <row r="1114">
          <cell r="Z1114" t="str">
            <v>132330</v>
          </cell>
        </row>
        <row r="1115">
          <cell r="Z1115" t="str">
            <v>132331</v>
          </cell>
        </row>
        <row r="1116">
          <cell r="Z1116" t="str">
            <v>132332</v>
          </cell>
        </row>
        <row r="1117">
          <cell r="Z1117" t="str">
            <v>132333</v>
          </cell>
        </row>
        <row r="1118">
          <cell r="Z1118" t="str">
            <v>132334</v>
          </cell>
        </row>
        <row r="1119">
          <cell r="Z1119" t="str">
            <v>132339</v>
          </cell>
        </row>
        <row r="1120">
          <cell r="Z1120" t="str">
            <v>132340</v>
          </cell>
        </row>
        <row r="1121">
          <cell r="Z1121" t="str">
            <v>132341</v>
          </cell>
        </row>
        <row r="1122">
          <cell r="Z1122" t="str">
            <v>132342</v>
          </cell>
        </row>
        <row r="1123">
          <cell r="Z1123" t="str">
            <v>132343</v>
          </cell>
        </row>
        <row r="1124">
          <cell r="Z1124" t="str">
            <v>132344</v>
          </cell>
        </row>
        <row r="1125">
          <cell r="Z1125" t="str">
            <v>132349</v>
          </cell>
        </row>
        <row r="1126">
          <cell r="Z1126" t="str">
            <v>132350</v>
          </cell>
        </row>
        <row r="1127">
          <cell r="Z1127" t="str">
            <v>132351</v>
          </cell>
        </row>
        <row r="1128">
          <cell r="Z1128" t="str">
            <v>132352</v>
          </cell>
        </row>
        <row r="1129">
          <cell r="Z1129" t="str">
            <v>132353</v>
          </cell>
        </row>
        <row r="1130">
          <cell r="Z1130" t="str">
            <v>132354</v>
          </cell>
        </row>
        <row r="1131">
          <cell r="Z1131" t="str">
            <v>132359</v>
          </cell>
        </row>
        <row r="1132">
          <cell r="Z1132" t="str">
            <v>132360</v>
          </cell>
        </row>
        <row r="1133">
          <cell r="Z1133" t="str">
            <v>132361</v>
          </cell>
        </row>
        <row r="1134">
          <cell r="Z1134" t="str">
            <v>132362</v>
          </cell>
        </row>
        <row r="1135">
          <cell r="Z1135" t="str">
            <v>132363</v>
          </cell>
        </row>
        <row r="1136">
          <cell r="Z1136" t="str">
            <v>132364</v>
          </cell>
        </row>
        <row r="1137">
          <cell r="Z1137" t="str">
            <v>132369</v>
          </cell>
        </row>
        <row r="1138">
          <cell r="Z1138" t="str">
            <v>132370</v>
          </cell>
        </row>
        <row r="1139">
          <cell r="Z1139" t="str">
            <v>132371</v>
          </cell>
        </row>
        <row r="1140">
          <cell r="Z1140" t="str">
            <v>132372</v>
          </cell>
        </row>
        <row r="1141">
          <cell r="Z1141" t="str">
            <v>132373</v>
          </cell>
        </row>
        <row r="1142">
          <cell r="Z1142" t="str">
            <v>132374</v>
          </cell>
        </row>
        <row r="1143">
          <cell r="Z1143" t="str">
            <v>132379</v>
          </cell>
        </row>
        <row r="1144">
          <cell r="Z1144" t="str">
            <v>132380</v>
          </cell>
        </row>
        <row r="1145">
          <cell r="Z1145" t="str">
            <v>132381</v>
          </cell>
        </row>
        <row r="1146">
          <cell r="Z1146" t="str">
            <v>132382</v>
          </cell>
        </row>
        <row r="1147">
          <cell r="Z1147" t="str">
            <v>132383</v>
          </cell>
        </row>
        <row r="1148">
          <cell r="Z1148" t="str">
            <v>132384</v>
          </cell>
        </row>
        <row r="1149">
          <cell r="Z1149" t="str">
            <v>132389</v>
          </cell>
        </row>
        <row r="1150">
          <cell r="Z1150" t="str">
            <v>132390</v>
          </cell>
        </row>
        <row r="1151">
          <cell r="Z1151" t="str">
            <v>132391</v>
          </cell>
        </row>
        <row r="1152">
          <cell r="Z1152" t="str">
            <v>132392</v>
          </cell>
        </row>
        <row r="1153">
          <cell r="Z1153" t="str">
            <v>132393</v>
          </cell>
        </row>
        <row r="1154">
          <cell r="Z1154" t="str">
            <v>132394</v>
          </cell>
        </row>
        <row r="1155">
          <cell r="Z1155" t="str">
            <v>132399</v>
          </cell>
        </row>
        <row r="1156">
          <cell r="Z1156" t="str">
            <v>132400</v>
          </cell>
        </row>
        <row r="1157">
          <cell r="Z1157" t="str">
            <v>132410</v>
          </cell>
        </row>
        <row r="1158">
          <cell r="Z1158" t="str">
            <v>132411</v>
          </cell>
        </row>
        <row r="1159">
          <cell r="Z1159" t="str">
            <v>132412</v>
          </cell>
        </row>
        <row r="1160">
          <cell r="Z1160" t="str">
            <v>132413</v>
          </cell>
        </row>
        <row r="1161">
          <cell r="Z1161" t="str">
            <v>132414</v>
          </cell>
        </row>
        <row r="1162">
          <cell r="Z1162" t="str">
            <v>132419</v>
          </cell>
        </row>
        <row r="1163">
          <cell r="Z1163" t="str">
            <v>132420</v>
          </cell>
        </row>
        <row r="1164">
          <cell r="Z1164" t="str">
            <v>132421</v>
          </cell>
        </row>
        <row r="1165">
          <cell r="Z1165" t="str">
            <v>132422</v>
          </cell>
        </row>
        <row r="1166">
          <cell r="Z1166" t="str">
            <v>132423</v>
          </cell>
        </row>
        <row r="1167">
          <cell r="Z1167" t="str">
            <v>132424</v>
          </cell>
        </row>
        <row r="1168">
          <cell r="Z1168" t="str">
            <v>132429</v>
          </cell>
        </row>
        <row r="1169">
          <cell r="Z1169" t="str">
            <v>132430</v>
          </cell>
        </row>
        <row r="1170">
          <cell r="Z1170" t="str">
            <v>132431</v>
          </cell>
        </row>
        <row r="1171">
          <cell r="Z1171" t="str">
            <v>132432</v>
          </cell>
        </row>
        <row r="1172">
          <cell r="Z1172" t="str">
            <v>132433</v>
          </cell>
        </row>
        <row r="1173">
          <cell r="Z1173" t="str">
            <v>132434</v>
          </cell>
        </row>
        <row r="1174">
          <cell r="Z1174" t="str">
            <v>132439</v>
          </cell>
        </row>
        <row r="1175">
          <cell r="Z1175" t="str">
            <v>132500</v>
          </cell>
        </row>
        <row r="1176">
          <cell r="Z1176" t="str">
            <v>132510</v>
          </cell>
        </row>
        <row r="1177">
          <cell r="Z1177" t="str">
            <v>132511</v>
          </cell>
        </row>
        <row r="1178">
          <cell r="Z1178" t="str">
            <v>132512</v>
          </cell>
        </row>
        <row r="1179">
          <cell r="Z1179" t="str">
            <v>132513</v>
          </cell>
        </row>
        <row r="1180">
          <cell r="Z1180" t="str">
            <v>132514</v>
          </cell>
        </row>
        <row r="1181">
          <cell r="Z1181" t="str">
            <v>132519</v>
          </cell>
        </row>
        <row r="1182">
          <cell r="Z1182" t="str">
            <v>132520</v>
          </cell>
        </row>
        <row r="1183">
          <cell r="Z1183" t="str">
            <v>132521</v>
          </cell>
        </row>
        <row r="1184">
          <cell r="Z1184" t="str">
            <v>132522</v>
          </cell>
        </row>
        <row r="1185">
          <cell r="Z1185" t="str">
            <v>132523</v>
          </cell>
        </row>
        <row r="1186">
          <cell r="Z1186" t="str">
            <v>132524</v>
          </cell>
        </row>
        <row r="1187">
          <cell r="Z1187" t="str">
            <v>132529</v>
          </cell>
        </row>
        <row r="1188">
          <cell r="Z1188" t="str">
            <v>132600</v>
          </cell>
        </row>
        <row r="1189">
          <cell r="Z1189" t="str">
            <v>132610</v>
          </cell>
        </row>
        <row r="1190">
          <cell r="Z1190" t="str">
            <v>132611</v>
          </cell>
        </row>
        <row r="1191">
          <cell r="Z1191" t="str">
            <v>132612</v>
          </cell>
        </row>
        <row r="1192">
          <cell r="Z1192" t="str">
            <v>132613</v>
          </cell>
        </row>
        <row r="1193">
          <cell r="Z1193" t="str">
            <v>132614</v>
          </cell>
        </row>
        <row r="1194">
          <cell r="Z1194" t="str">
            <v>132619</v>
          </cell>
        </row>
        <row r="1195">
          <cell r="Z1195" t="str">
            <v>132620</v>
          </cell>
        </row>
        <row r="1196">
          <cell r="Z1196" t="str">
            <v>132621</v>
          </cell>
        </row>
        <row r="1197">
          <cell r="Z1197" t="str">
            <v>132622</v>
          </cell>
        </row>
        <row r="1198">
          <cell r="Z1198" t="str">
            <v>132623</v>
          </cell>
        </row>
        <row r="1199">
          <cell r="Z1199" t="str">
            <v>132624</v>
          </cell>
        </row>
        <row r="1200">
          <cell r="Z1200" t="str">
            <v>132629</v>
          </cell>
        </row>
        <row r="1201">
          <cell r="Z1201" t="str">
            <v>132700</v>
          </cell>
        </row>
        <row r="1202">
          <cell r="Z1202" t="str">
            <v>132710</v>
          </cell>
        </row>
        <row r="1203">
          <cell r="Z1203" t="str">
            <v>132711</v>
          </cell>
        </row>
        <row r="1204">
          <cell r="Z1204" t="str">
            <v>132712</v>
          </cell>
        </row>
        <row r="1205">
          <cell r="Z1205" t="str">
            <v>132713</v>
          </cell>
        </row>
        <row r="1206">
          <cell r="Z1206" t="str">
            <v>132714</v>
          </cell>
        </row>
        <row r="1207">
          <cell r="Z1207" t="str">
            <v>132719</v>
          </cell>
        </row>
        <row r="1208">
          <cell r="Z1208" t="str">
            <v>132720</v>
          </cell>
        </row>
        <row r="1209">
          <cell r="Z1209" t="str">
            <v>132721</v>
          </cell>
        </row>
        <row r="1210">
          <cell r="Z1210" t="str">
            <v>132722</v>
          </cell>
        </row>
        <row r="1211">
          <cell r="Z1211" t="str">
            <v>132723</v>
          </cell>
        </row>
        <row r="1212">
          <cell r="Z1212" t="str">
            <v>132724</v>
          </cell>
        </row>
        <row r="1213">
          <cell r="Z1213" t="str">
            <v>132729</v>
          </cell>
        </row>
        <row r="1214">
          <cell r="Z1214" t="str">
            <v>132730</v>
          </cell>
        </row>
        <row r="1215">
          <cell r="Z1215" t="str">
            <v>132731</v>
          </cell>
        </row>
        <row r="1216">
          <cell r="Z1216" t="str">
            <v>132732</v>
          </cell>
        </row>
        <row r="1217">
          <cell r="Z1217" t="str">
            <v>132733</v>
          </cell>
        </row>
        <row r="1218">
          <cell r="Z1218" t="str">
            <v>132734</v>
          </cell>
        </row>
        <row r="1219">
          <cell r="Z1219" t="str">
            <v>132739</v>
          </cell>
        </row>
        <row r="1220">
          <cell r="Z1220" t="str">
            <v>132740</v>
          </cell>
        </row>
        <row r="1221">
          <cell r="Z1221" t="str">
            <v>132741</v>
          </cell>
        </row>
        <row r="1222">
          <cell r="Z1222" t="str">
            <v>132742</v>
          </cell>
        </row>
        <row r="1223">
          <cell r="Z1223" t="str">
            <v>132743</v>
          </cell>
        </row>
        <row r="1224">
          <cell r="Z1224" t="str">
            <v>132744</v>
          </cell>
        </row>
        <row r="1225">
          <cell r="Z1225" t="str">
            <v>132749</v>
          </cell>
        </row>
        <row r="1226">
          <cell r="Z1226" t="str">
            <v>132750</v>
          </cell>
        </row>
        <row r="1227">
          <cell r="Z1227" t="str">
            <v>132751</v>
          </cell>
        </row>
        <row r="1228">
          <cell r="Z1228" t="str">
            <v>132752</v>
          </cell>
        </row>
        <row r="1229">
          <cell r="Z1229" t="str">
            <v>132753</v>
          </cell>
        </row>
        <row r="1230">
          <cell r="Z1230" t="str">
            <v>132754</v>
          </cell>
        </row>
        <row r="1231">
          <cell r="Z1231" t="str">
            <v>132759</v>
          </cell>
        </row>
        <row r="1232">
          <cell r="Z1232" t="str">
            <v>132760</v>
          </cell>
        </row>
        <row r="1233">
          <cell r="Z1233" t="str">
            <v>132761</v>
          </cell>
        </row>
        <row r="1234">
          <cell r="Z1234" t="str">
            <v>132762</v>
          </cell>
        </row>
        <row r="1235">
          <cell r="Z1235" t="str">
            <v>132763</v>
          </cell>
        </row>
        <row r="1236">
          <cell r="Z1236" t="str">
            <v>132764</v>
          </cell>
        </row>
        <row r="1237">
          <cell r="Z1237" t="str">
            <v>132769</v>
          </cell>
        </row>
        <row r="1238">
          <cell r="Z1238" t="str">
            <v>132770</v>
          </cell>
        </row>
        <row r="1239">
          <cell r="Z1239" t="str">
            <v>132771</v>
          </cell>
        </row>
        <row r="1240">
          <cell r="Z1240" t="str">
            <v>132772</v>
          </cell>
        </row>
        <row r="1241">
          <cell r="Z1241" t="str">
            <v>132773</v>
          </cell>
        </row>
        <row r="1242">
          <cell r="Z1242" t="str">
            <v>132774</v>
          </cell>
        </row>
        <row r="1243">
          <cell r="Z1243" t="str">
            <v>132779</v>
          </cell>
        </row>
        <row r="1244">
          <cell r="Z1244" t="str">
            <v>132780</v>
          </cell>
        </row>
        <row r="1245">
          <cell r="Z1245" t="str">
            <v>132781</v>
          </cell>
        </row>
        <row r="1246">
          <cell r="Z1246" t="str">
            <v>132782</v>
          </cell>
        </row>
        <row r="1247">
          <cell r="Z1247" t="str">
            <v>132783</v>
          </cell>
        </row>
        <row r="1248">
          <cell r="Z1248" t="str">
            <v>132784</v>
          </cell>
        </row>
        <row r="1249">
          <cell r="Z1249" t="str">
            <v>132789</v>
          </cell>
        </row>
        <row r="1250">
          <cell r="Z1250" t="str">
            <v>132790</v>
          </cell>
        </row>
        <row r="1251">
          <cell r="Z1251" t="str">
            <v>132791</v>
          </cell>
        </row>
        <row r="1252">
          <cell r="Z1252" t="str">
            <v>132792</v>
          </cell>
        </row>
        <row r="1253">
          <cell r="Z1253" t="str">
            <v>132793</v>
          </cell>
        </row>
        <row r="1254">
          <cell r="Z1254" t="str">
            <v>132794</v>
          </cell>
        </row>
        <row r="1255">
          <cell r="Z1255" t="str">
            <v>132799</v>
          </cell>
        </row>
        <row r="1256">
          <cell r="Z1256" t="str">
            <v>13280</v>
          </cell>
        </row>
        <row r="1257">
          <cell r="Z1257" t="str">
            <v>132810</v>
          </cell>
        </row>
        <row r="1258">
          <cell r="Z1258" t="str">
            <v>132811</v>
          </cell>
        </row>
        <row r="1259">
          <cell r="Z1259" t="str">
            <v>132812</v>
          </cell>
        </row>
        <row r="1260">
          <cell r="Z1260" t="str">
            <v>132813</v>
          </cell>
        </row>
        <row r="1261">
          <cell r="Z1261" t="str">
            <v>132814</v>
          </cell>
        </row>
        <row r="1262">
          <cell r="Z1262" t="str">
            <v>132819</v>
          </cell>
        </row>
        <row r="1263">
          <cell r="Z1263" t="str">
            <v>132820</v>
          </cell>
        </row>
        <row r="1264">
          <cell r="Z1264" t="str">
            <v>132821</v>
          </cell>
        </row>
        <row r="1265">
          <cell r="Z1265" t="str">
            <v>132822</v>
          </cell>
        </row>
        <row r="1266">
          <cell r="Z1266" t="str">
            <v>132823</v>
          </cell>
        </row>
        <row r="1267">
          <cell r="Z1267" t="str">
            <v>132824</v>
          </cell>
        </row>
        <row r="1268">
          <cell r="Z1268" t="str">
            <v>132829</v>
          </cell>
        </row>
        <row r="1269">
          <cell r="Z1269" t="str">
            <v>132830</v>
          </cell>
        </row>
        <row r="1270">
          <cell r="Z1270" t="str">
            <v>132831</v>
          </cell>
        </row>
        <row r="1271">
          <cell r="Z1271" t="str">
            <v>132832</v>
          </cell>
        </row>
        <row r="1272">
          <cell r="Z1272" t="str">
            <v>132833</v>
          </cell>
        </row>
        <row r="1273">
          <cell r="Z1273" t="str">
            <v>132834</v>
          </cell>
        </row>
        <row r="1274">
          <cell r="Z1274" t="str">
            <v>132839</v>
          </cell>
        </row>
        <row r="1275">
          <cell r="Z1275" t="str">
            <v>133000</v>
          </cell>
        </row>
        <row r="1276">
          <cell r="Z1276" t="str">
            <v>133100</v>
          </cell>
        </row>
        <row r="1277">
          <cell r="Z1277" t="str">
            <v>133110</v>
          </cell>
        </row>
        <row r="1278">
          <cell r="Z1278" t="str">
            <v>133111</v>
          </cell>
        </row>
        <row r="1279">
          <cell r="Z1279" t="str">
            <v>133112</v>
          </cell>
        </row>
        <row r="1280">
          <cell r="Z1280" t="str">
            <v>133113</v>
          </cell>
        </row>
        <row r="1281">
          <cell r="Z1281" t="str">
            <v>133114</v>
          </cell>
        </row>
        <row r="1282">
          <cell r="Z1282" t="str">
            <v>133119</v>
          </cell>
        </row>
        <row r="1283">
          <cell r="Z1283" t="str">
            <v>133120</v>
          </cell>
        </row>
        <row r="1284">
          <cell r="Z1284" t="str">
            <v>133121</v>
          </cell>
        </row>
        <row r="1285">
          <cell r="Z1285" t="str">
            <v>133122</v>
          </cell>
        </row>
        <row r="1286">
          <cell r="Z1286" t="str">
            <v>133123</v>
          </cell>
        </row>
        <row r="1287">
          <cell r="Z1287" t="str">
            <v>133124</v>
          </cell>
        </row>
        <row r="1288">
          <cell r="Z1288" t="str">
            <v>133129</v>
          </cell>
        </row>
        <row r="1289">
          <cell r="Z1289" t="str">
            <v>133200</v>
          </cell>
        </row>
        <row r="1290">
          <cell r="Z1290" t="str">
            <v>133210</v>
          </cell>
        </row>
        <row r="1291">
          <cell r="Z1291" t="str">
            <v>133211</v>
          </cell>
        </row>
        <row r="1292">
          <cell r="Z1292" t="str">
            <v>133212</v>
          </cell>
        </row>
        <row r="1293">
          <cell r="Z1293" t="str">
            <v>133213</v>
          </cell>
        </row>
        <row r="1294">
          <cell r="Z1294" t="str">
            <v>133214</v>
          </cell>
        </row>
        <row r="1295">
          <cell r="Z1295" t="str">
            <v>133219</v>
          </cell>
        </row>
        <row r="1296">
          <cell r="Z1296" t="str">
            <v>133220</v>
          </cell>
        </row>
        <row r="1297">
          <cell r="Z1297" t="str">
            <v>133221</v>
          </cell>
        </row>
        <row r="1298">
          <cell r="Z1298" t="str">
            <v>133222</v>
          </cell>
        </row>
        <row r="1299">
          <cell r="Z1299" t="str">
            <v>133223</v>
          </cell>
        </row>
        <row r="1300">
          <cell r="Z1300" t="str">
            <v>133224</v>
          </cell>
        </row>
        <row r="1301">
          <cell r="Z1301" t="str">
            <v>133229</v>
          </cell>
        </row>
        <row r="1302">
          <cell r="Z1302" t="str">
            <v>133300</v>
          </cell>
        </row>
        <row r="1303">
          <cell r="Z1303" t="str">
            <v>133310</v>
          </cell>
        </row>
        <row r="1304">
          <cell r="Z1304" t="str">
            <v>133311</v>
          </cell>
        </row>
        <row r="1305">
          <cell r="Z1305" t="str">
            <v>133312</v>
          </cell>
        </row>
        <row r="1306">
          <cell r="Z1306" t="str">
            <v>133313</v>
          </cell>
        </row>
        <row r="1307">
          <cell r="Z1307" t="str">
            <v>133314</v>
          </cell>
        </row>
        <row r="1308">
          <cell r="Z1308" t="str">
            <v>133319</v>
          </cell>
        </row>
        <row r="1309">
          <cell r="Z1309" t="str">
            <v>133320</v>
          </cell>
        </row>
        <row r="1310">
          <cell r="Z1310" t="str">
            <v>133321</v>
          </cell>
        </row>
        <row r="1311">
          <cell r="Z1311" t="str">
            <v>133322</v>
          </cell>
        </row>
        <row r="1312">
          <cell r="Z1312" t="str">
            <v>133323</v>
          </cell>
        </row>
        <row r="1313">
          <cell r="Z1313" t="str">
            <v>133324</v>
          </cell>
        </row>
        <row r="1314">
          <cell r="Z1314" t="str">
            <v>133329</v>
          </cell>
        </row>
        <row r="1315">
          <cell r="Z1315" t="str">
            <v>133400</v>
          </cell>
        </row>
        <row r="1316">
          <cell r="Z1316" t="str">
            <v>133410</v>
          </cell>
        </row>
        <row r="1317">
          <cell r="Z1317" t="str">
            <v>133411</v>
          </cell>
        </row>
        <row r="1318">
          <cell r="Z1318" t="str">
            <v>133412</v>
          </cell>
        </row>
        <row r="1319">
          <cell r="Z1319" t="str">
            <v>133413</v>
          </cell>
        </row>
        <row r="1320">
          <cell r="Z1320" t="str">
            <v>133414</v>
          </cell>
        </row>
        <row r="1321">
          <cell r="Z1321" t="str">
            <v>133419</v>
          </cell>
        </row>
        <row r="1322">
          <cell r="Z1322" t="str">
            <v>133420</v>
          </cell>
        </row>
        <row r="1323">
          <cell r="Z1323" t="str">
            <v>133421</v>
          </cell>
        </row>
        <row r="1324">
          <cell r="Z1324" t="str">
            <v>133422</v>
          </cell>
        </row>
        <row r="1325">
          <cell r="Z1325" t="str">
            <v>133423</v>
          </cell>
        </row>
        <row r="1326">
          <cell r="Z1326" t="str">
            <v>133424</v>
          </cell>
        </row>
        <row r="1327">
          <cell r="Z1327" t="str">
            <v>133429</v>
          </cell>
        </row>
        <row r="1328">
          <cell r="Z1328" t="str">
            <v>133500</v>
          </cell>
        </row>
        <row r="1329">
          <cell r="Z1329" t="str">
            <v>133510</v>
          </cell>
        </row>
        <row r="1330">
          <cell r="Z1330" t="str">
            <v>133511</v>
          </cell>
        </row>
        <row r="1331">
          <cell r="Z1331" t="str">
            <v>133512</v>
          </cell>
        </row>
        <row r="1332">
          <cell r="Z1332" t="str">
            <v>133513</v>
          </cell>
        </row>
        <row r="1333">
          <cell r="Z1333" t="str">
            <v>133514</v>
          </cell>
        </row>
        <row r="1334">
          <cell r="Z1334" t="str">
            <v>133519</v>
          </cell>
        </row>
        <row r="1335">
          <cell r="Z1335" t="str">
            <v>133520</v>
          </cell>
        </row>
        <row r="1336">
          <cell r="Z1336" t="str">
            <v>133521</v>
          </cell>
        </row>
        <row r="1337">
          <cell r="Z1337" t="str">
            <v>133522</v>
          </cell>
        </row>
        <row r="1338">
          <cell r="Z1338" t="str">
            <v>133523</v>
          </cell>
        </row>
        <row r="1339">
          <cell r="Z1339" t="str">
            <v>133524</v>
          </cell>
        </row>
        <row r="1340">
          <cell r="Z1340" t="str">
            <v>133529</v>
          </cell>
        </row>
        <row r="1341">
          <cell r="Z1341" t="str">
            <v>133900</v>
          </cell>
        </row>
        <row r="1342">
          <cell r="Z1342" t="str">
            <v>133910</v>
          </cell>
        </row>
        <row r="1343">
          <cell r="Z1343" t="str">
            <v>133911</v>
          </cell>
        </row>
        <row r="1344">
          <cell r="Z1344" t="str">
            <v>133912</v>
          </cell>
        </row>
        <row r="1345">
          <cell r="Z1345" t="str">
            <v>133913</v>
          </cell>
        </row>
        <row r="1346">
          <cell r="Z1346" t="str">
            <v>133914</v>
          </cell>
        </row>
        <row r="1347">
          <cell r="Z1347" t="str">
            <v>133919</v>
          </cell>
        </row>
        <row r="1348">
          <cell r="Z1348" t="str">
            <v>133920</v>
          </cell>
        </row>
        <row r="1349">
          <cell r="Z1349" t="str">
            <v>133921</v>
          </cell>
        </row>
        <row r="1350">
          <cell r="Z1350" t="str">
            <v>133922</v>
          </cell>
        </row>
        <row r="1351">
          <cell r="Z1351" t="str">
            <v>133923</v>
          </cell>
        </row>
        <row r="1352">
          <cell r="Z1352" t="str">
            <v>133924</v>
          </cell>
        </row>
        <row r="1353">
          <cell r="Z1353" t="str">
            <v>133929</v>
          </cell>
        </row>
        <row r="1354">
          <cell r="Z1354" t="str">
            <v>140000</v>
          </cell>
        </row>
        <row r="1355">
          <cell r="Z1355" t="str">
            <v>141000</v>
          </cell>
        </row>
        <row r="1356">
          <cell r="Z1356" t="str">
            <v>141100</v>
          </cell>
        </row>
        <row r="1357">
          <cell r="Z1357" t="str">
            <v>141110</v>
          </cell>
        </row>
        <row r="1358">
          <cell r="Z1358" t="str">
            <v>141111</v>
          </cell>
        </row>
        <row r="1359">
          <cell r="Z1359" t="str">
            <v>141112</v>
          </cell>
        </row>
        <row r="1360">
          <cell r="Z1360" t="str">
            <v>141113</v>
          </cell>
        </row>
        <row r="1361">
          <cell r="Z1361" t="str">
            <v>141114</v>
          </cell>
        </row>
        <row r="1362">
          <cell r="Z1362" t="str">
            <v>141119</v>
          </cell>
        </row>
        <row r="1363">
          <cell r="Z1363" t="str">
            <v>141120</v>
          </cell>
        </row>
        <row r="1364">
          <cell r="Z1364" t="str">
            <v>141121</v>
          </cell>
        </row>
        <row r="1365">
          <cell r="Z1365" t="str">
            <v>141122</v>
          </cell>
        </row>
        <row r="1366">
          <cell r="Z1366" t="str">
            <v>141123</v>
          </cell>
        </row>
        <row r="1367">
          <cell r="Z1367" t="str">
            <v>141124</v>
          </cell>
        </row>
        <row r="1368">
          <cell r="Z1368" t="str">
            <v>141129</v>
          </cell>
        </row>
        <row r="1369">
          <cell r="Z1369" t="str">
            <v>141200</v>
          </cell>
        </row>
        <row r="1370">
          <cell r="Z1370" t="str">
            <v>141210</v>
          </cell>
        </row>
        <row r="1371">
          <cell r="Z1371" t="str">
            <v>141211</v>
          </cell>
        </row>
        <row r="1372">
          <cell r="Z1372" t="str">
            <v>141212</v>
          </cell>
        </row>
        <row r="1373">
          <cell r="Z1373" t="str">
            <v>141213</v>
          </cell>
        </row>
        <row r="1374">
          <cell r="Z1374" t="str">
            <v>141214</v>
          </cell>
        </row>
        <row r="1375">
          <cell r="Z1375" t="str">
            <v>141219</v>
          </cell>
        </row>
        <row r="1376">
          <cell r="Z1376" t="str">
            <v>141220</v>
          </cell>
        </row>
        <row r="1377">
          <cell r="Z1377" t="str">
            <v>141221</v>
          </cell>
        </row>
        <row r="1378">
          <cell r="Z1378" t="str">
            <v>141222</v>
          </cell>
        </row>
        <row r="1379">
          <cell r="Z1379" t="str">
            <v>141223</v>
          </cell>
        </row>
        <row r="1380">
          <cell r="Z1380" t="str">
            <v>141224</v>
          </cell>
        </row>
        <row r="1381">
          <cell r="Z1381" t="str">
            <v>141229</v>
          </cell>
        </row>
        <row r="1382">
          <cell r="Z1382" t="str">
            <v>141300</v>
          </cell>
        </row>
        <row r="1383">
          <cell r="Z1383" t="str">
            <v>141310</v>
          </cell>
        </row>
        <row r="1384">
          <cell r="Z1384" t="str">
            <v>141311</v>
          </cell>
        </row>
        <row r="1385">
          <cell r="Z1385" t="str">
            <v>141312</v>
          </cell>
        </row>
        <row r="1386">
          <cell r="Z1386" t="str">
            <v>141313</v>
          </cell>
        </row>
        <row r="1387">
          <cell r="Z1387" t="str">
            <v>141314</v>
          </cell>
        </row>
        <row r="1388">
          <cell r="Z1388" t="str">
            <v>141319</v>
          </cell>
        </row>
        <row r="1389">
          <cell r="Z1389" t="str">
            <v>141320</v>
          </cell>
        </row>
        <row r="1390">
          <cell r="Z1390" t="str">
            <v>141321</v>
          </cell>
        </row>
        <row r="1391">
          <cell r="Z1391" t="str">
            <v>141322</v>
          </cell>
        </row>
        <row r="1392">
          <cell r="Z1392" t="str">
            <v>141323</v>
          </cell>
        </row>
        <row r="1393">
          <cell r="Z1393" t="str">
            <v>141324</v>
          </cell>
        </row>
        <row r="1394">
          <cell r="Z1394" t="str">
            <v>141329</v>
          </cell>
        </row>
        <row r="1395">
          <cell r="Z1395" t="str">
            <v>142000</v>
          </cell>
        </row>
        <row r="1396">
          <cell r="Z1396" t="str">
            <v>142100</v>
          </cell>
        </row>
        <row r="1397">
          <cell r="Z1397" t="str">
            <v>142110</v>
          </cell>
        </row>
        <row r="1398">
          <cell r="Z1398" t="str">
            <v>142111</v>
          </cell>
        </row>
        <row r="1399">
          <cell r="Z1399" t="str">
            <v>142112</v>
          </cell>
        </row>
        <row r="1400">
          <cell r="Z1400" t="str">
            <v>142113</v>
          </cell>
        </row>
        <row r="1401">
          <cell r="Z1401" t="str">
            <v>142114</v>
          </cell>
        </row>
        <row r="1402">
          <cell r="Z1402" t="str">
            <v>142119</v>
          </cell>
        </row>
        <row r="1403">
          <cell r="Z1403" t="str">
            <v>142120</v>
          </cell>
        </row>
        <row r="1404">
          <cell r="Z1404" t="str">
            <v>142121</v>
          </cell>
        </row>
        <row r="1405">
          <cell r="Z1405" t="str">
            <v>142122</v>
          </cell>
        </row>
        <row r="1406">
          <cell r="Z1406" t="str">
            <v>142123</v>
          </cell>
        </row>
        <row r="1407">
          <cell r="Z1407" t="str">
            <v>142124</v>
          </cell>
        </row>
        <row r="1408">
          <cell r="Z1408" t="str">
            <v>142129</v>
          </cell>
        </row>
        <row r="1409">
          <cell r="Z1409" t="str">
            <v>142130</v>
          </cell>
        </row>
        <row r="1410">
          <cell r="Z1410" t="str">
            <v>142131</v>
          </cell>
        </row>
        <row r="1411">
          <cell r="Z1411" t="str">
            <v>142132</v>
          </cell>
        </row>
        <row r="1412">
          <cell r="Z1412" t="str">
            <v>142133</v>
          </cell>
        </row>
        <row r="1413">
          <cell r="Z1413" t="str">
            <v>142134</v>
          </cell>
        </row>
        <row r="1414">
          <cell r="Z1414" t="str">
            <v>142139</v>
          </cell>
        </row>
        <row r="1415">
          <cell r="Z1415" t="str">
            <v>142200</v>
          </cell>
        </row>
        <row r="1416">
          <cell r="Z1416" t="str">
            <v>142210</v>
          </cell>
        </row>
        <row r="1417">
          <cell r="Z1417" t="str">
            <v>142211</v>
          </cell>
        </row>
        <row r="1418">
          <cell r="Z1418" t="str">
            <v>142212</v>
          </cell>
        </row>
        <row r="1419">
          <cell r="Z1419" t="str">
            <v>142213</v>
          </cell>
        </row>
        <row r="1420">
          <cell r="Z1420" t="str">
            <v>142214</v>
          </cell>
        </row>
        <row r="1421">
          <cell r="Z1421" t="str">
            <v>142219</v>
          </cell>
        </row>
        <row r="1422">
          <cell r="Z1422" t="str">
            <v>142220</v>
          </cell>
        </row>
        <row r="1423">
          <cell r="Z1423" t="str">
            <v>142221</v>
          </cell>
        </row>
        <row r="1424">
          <cell r="Z1424" t="str">
            <v>142222</v>
          </cell>
        </row>
        <row r="1425">
          <cell r="Z1425" t="str">
            <v>142223</v>
          </cell>
        </row>
        <row r="1426">
          <cell r="Z1426" t="str">
            <v>142224</v>
          </cell>
        </row>
        <row r="1427">
          <cell r="Z1427" t="str">
            <v>142229</v>
          </cell>
        </row>
        <row r="1428">
          <cell r="Z1428" t="str">
            <v>142230</v>
          </cell>
        </row>
        <row r="1429">
          <cell r="Z1429" t="str">
            <v>142231</v>
          </cell>
        </row>
        <row r="1430">
          <cell r="Z1430" t="str">
            <v>142232</v>
          </cell>
        </row>
        <row r="1431">
          <cell r="Z1431" t="str">
            <v>142233</v>
          </cell>
        </row>
        <row r="1432">
          <cell r="Z1432" t="str">
            <v>142234</v>
          </cell>
        </row>
        <row r="1433">
          <cell r="Z1433" t="str">
            <v>142239</v>
          </cell>
        </row>
        <row r="1434">
          <cell r="Z1434" t="str">
            <v>142300</v>
          </cell>
        </row>
        <row r="1435">
          <cell r="Z1435" t="str">
            <v>142310</v>
          </cell>
        </row>
        <row r="1436">
          <cell r="Z1436" t="str">
            <v>142311</v>
          </cell>
        </row>
        <row r="1437">
          <cell r="Z1437" t="str">
            <v>142312</v>
          </cell>
        </row>
        <row r="1438">
          <cell r="Z1438" t="str">
            <v>142313</v>
          </cell>
        </row>
        <row r="1439">
          <cell r="Z1439" t="str">
            <v>142314</v>
          </cell>
        </row>
        <row r="1440">
          <cell r="Z1440" t="str">
            <v>142319</v>
          </cell>
        </row>
        <row r="1441">
          <cell r="Z1441" t="str">
            <v>142320</v>
          </cell>
        </row>
        <row r="1442">
          <cell r="Z1442" t="str">
            <v>142321</v>
          </cell>
        </row>
        <row r="1443">
          <cell r="Z1443" t="str">
            <v>142322</v>
          </cell>
        </row>
        <row r="1444">
          <cell r="Z1444" t="str">
            <v>142323</v>
          </cell>
        </row>
        <row r="1445">
          <cell r="Z1445" t="str">
            <v>142324</v>
          </cell>
        </row>
        <row r="1446">
          <cell r="Z1446" t="str">
            <v>142329</v>
          </cell>
        </row>
        <row r="1447">
          <cell r="Z1447" t="str">
            <v>142330</v>
          </cell>
        </row>
        <row r="1448">
          <cell r="Z1448" t="str">
            <v>142331</v>
          </cell>
        </row>
        <row r="1449">
          <cell r="Z1449" t="str">
            <v>142332</v>
          </cell>
        </row>
        <row r="1450">
          <cell r="Z1450" t="str">
            <v>142333</v>
          </cell>
        </row>
        <row r="1451">
          <cell r="Z1451" t="str">
            <v>142334</v>
          </cell>
        </row>
        <row r="1452">
          <cell r="Z1452" t="str">
            <v>142339</v>
          </cell>
        </row>
        <row r="1453">
          <cell r="Z1453" t="str">
            <v>142340</v>
          </cell>
        </row>
        <row r="1454">
          <cell r="Z1454" t="str">
            <v>142341</v>
          </cell>
        </row>
        <row r="1455">
          <cell r="Z1455" t="str">
            <v>142342</v>
          </cell>
        </row>
        <row r="1456">
          <cell r="Z1456" t="str">
            <v>142343</v>
          </cell>
        </row>
        <row r="1457">
          <cell r="Z1457" t="str">
            <v>142344</v>
          </cell>
        </row>
        <row r="1458">
          <cell r="Z1458" t="str">
            <v>142349</v>
          </cell>
        </row>
        <row r="1459">
          <cell r="Z1459" t="str">
            <v>142350</v>
          </cell>
        </row>
        <row r="1460">
          <cell r="Z1460" t="str">
            <v>142351</v>
          </cell>
        </row>
        <row r="1461">
          <cell r="Z1461" t="str">
            <v>142352</v>
          </cell>
        </row>
        <row r="1462">
          <cell r="Z1462" t="str">
            <v>142353</v>
          </cell>
        </row>
        <row r="1463">
          <cell r="Z1463" t="str">
            <v>142354</v>
          </cell>
        </row>
        <row r="1464">
          <cell r="Z1464" t="str">
            <v>142359</v>
          </cell>
        </row>
        <row r="1465">
          <cell r="Z1465" t="str">
            <v>142360</v>
          </cell>
        </row>
        <row r="1466">
          <cell r="Z1466" t="str">
            <v>142361</v>
          </cell>
        </row>
        <row r="1467">
          <cell r="Z1467" t="str">
            <v>142362</v>
          </cell>
        </row>
        <row r="1468">
          <cell r="Z1468" t="str">
            <v>142363</v>
          </cell>
        </row>
        <row r="1469">
          <cell r="Z1469" t="str">
            <v>142364</v>
          </cell>
        </row>
        <row r="1470">
          <cell r="Z1470" t="str">
            <v>142369</v>
          </cell>
        </row>
        <row r="1471">
          <cell r="Z1471" t="str">
            <v>142370</v>
          </cell>
        </row>
        <row r="1472">
          <cell r="Z1472" t="str">
            <v>142371</v>
          </cell>
        </row>
        <row r="1473">
          <cell r="Z1473" t="str">
            <v>142372</v>
          </cell>
        </row>
        <row r="1474">
          <cell r="Z1474" t="str">
            <v>142373</v>
          </cell>
        </row>
        <row r="1475">
          <cell r="Z1475" t="str">
            <v>142374</v>
          </cell>
        </row>
        <row r="1476">
          <cell r="Z1476" t="str">
            <v>142379</v>
          </cell>
        </row>
        <row r="1477">
          <cell r="Z1477" t="str">
            <v>142380</v>
          </cell>
        </row>
        <row r="1478">
          <cell r="Z1478" t="str">
            <v>142381</v>
          </cell>
        </row>
        <row r="1479">
          <cell r="Z1479" t="str">
            <v>142382</v>
          </cell>
        </row>
        <row r="1480">
          <cell r="Z1480" t="str">
            <v>142383</v>
          </cell>
        </row>
        <row r="1481">
          <cell r="Z1481" t="str">
            <v>142384</v>
          </cell>
        </row>
        <row r="1482">
          <cell r="Z1482" t="str">
            <v>142389</v>
          </cell>
        </row>
        <row r="1483">
          <cell r="Z1483" t="str">
            <v>142390</v>
          </cell>
        </row>
        <row r="1484">
          <cell r="Z1484" t="str">
            <v>142391</v>
          </cell>
        </row>
        <row r="1485">
          <cell r="Z1485" t="str">
            <v>142392</v>
          </cell>
        </row>
        <row r="1486">
          <cell r="Z1486" t="str">
            <v>142393</v>
          </cell>
        </row>
        <row r="1487">
          <cell r="Z1487" t="str">
            <v>142394</v>
          </cell>
        </row>
        <row r="1488">
          <cell r="Z1488" t="str">
            <v>142399</v>
          </cell>
        </row>
        <row r="1489">
          <cell r="Z1489" t="str">
            <v>142400</v>
          </cell>
        </row>
        <row r="1490">
          <cell r="Z1490" t="str">
            <v>142410</v>
          </cell>
        </row>
        <row r="1491">
          <cell r="Z1491" t="str">
            <v>142411</v>
          </cell>
        </row>
        <row r="1492">
          <cell r="Z1492" t="str">
            <v>142412</v>
          </cell>
        </row>
        <row r="1493">
          <cell r="Z1493" t="str">
            <v>142413</v>
          </cell>
        </row>
        <row r="1494">
          <cell r="Z1494" t="str">
            <v>142414</v>
          </cell>
        </row>
        <row r="1495">
          <cell r="Z1495" t="str">
            <v>142419</v>
          </cell>
        </row>
        <row r="1496">
          <cell r="Z1496" t="str">
            <v>142420</v>
          </cell>
        </row>
        <row r="1497">
          <cell r="Z1497" t="str">
            <v>142421</v>
          </cell>
        </row>
        <row r="1498">
          <cell r="Z1498" t="str">
            <v>142422</v>
          </cell>
        </row>
        <row r="1499">
          <cell r="Z1499" t="str">
            <v>142423</v>
          </cell>
        </row>
        <row r="1500">
          <cell r="Z1500" t="str">
            <v>142424</v>
          </cell>
        </row>
        <row r="1501">
          <cell r="Z1501" t="str">
            <v>142429</v>
          </cell>
        </row>
        <row r="1502">
          <cell r="Z1502" t="str">
            <v>142430</v>
          </cell>
        </row>
        <row r="1503">
          <cell r="Z1503" t="str">
            <v>142431</v>
          </cell>
        </row>
        <row r="1504">
          <cell r="Z1504" t="str">
            <v>142432</v>
          </cell>
        </row>
        <row r="1505">
          <cell r="Z1505" t="str">
            <v>142433</v>
          </cell>
        </row>
        <row r="1506">
          <cell r="Z1506" t="str">
            <v>142434</v>
          </cell>
        </row>
        <row r="1507">
          <cell r="Z1507" t="str">
            <v>142439</v>
          </cell>
        </row>
        <row r="1508">
          <cell r="Z1508" t="str">
            <v>142500</v>
          </cell>
        </row>
        <row r="1509">
          <cell r="Z1509" t="str">
            <v>142510</v>
          </cell>
        </row>
        <row r="1510">
          <cell r="Z1510" t="str">
            <v>142511</v>
          </cell>
        </row>
        <row r="1511">
          <cell r="Z1511" t="str">
            <v>142512</v>
          </cell>
        </row>
        <row r="1512">
          <cell r="Z1512" t="str">
            <v>142513</v>
          </cell>
        </row>
        <row r="1513">
          <cell r="Z1513" t="str">
            <v>142514</v>
          </cell>
        </row>
        <row r="1514">
          <cell r="Z1514" t="str">
            <v>142519</v>
          </cell>
        </row>
        <row r="1515">
          <cell r="Z1515" t="str">
            <v>142520</v>
          </cell>
        </row>
        <row r="1516">
          <cell r="Z1516" t="str">
            <v>142521</v>
          </cell>
        </row>
        <row r="1517">
          <cell r="Z1517" t="str">
            <v>142522</v>
          </cell>
        </row>
        <row r="1518">
          <cell r="Z1518" t="str">
            <v>142523</v>
          </cell>
        </row>
        <row r="1519">
          <cell r="Z1519" t="str">
            <v>142524</v>
          </cell>
        </row>
        <row r="1520">
          <cell r="Z1520" t="str">
            <v>142529</v>
          </cell>
        </row>
        <row r="1521">
          <cell r="Z1521" t="str">
            <v>142600</v>
          </cell>
        </row>
        <row r="1522">
          <cell r="Z1522" t="str">
            <v>142610</v>
          </cell>
        </row>
        <row r="1523">
          <cell r="Z1523" t="str">
            <v>142611</v>
          </cell>
        </row>
        <row r="1524">
          <cell r="Z1524" t="str">
            <v>142612</v>
          </cell>
        </row>
        <row r="1525">
          <cell r="Z1525" t="str">
            <v>142613</v>
          </cell>
        </row>
        <row r="1526">
          <cell r="Z1526" t="str">
            <v>142614</v>
          </cell>
        </row>
        <row r="1527">
          <cell r="Z1527" t="str">
            <v>142619</v>
          </cell>
        </row>
        <row r="1528">
          <cell r="Z1528" t="str">
            <v>142620</v>
          </cell>
        </row>
        <row r="1529">
          <cell r="Z1529" t="str">
            <v>142621</v>
          </cell>
        </row>
        <row r="1530">
          <cell r="Z1530" t="str">
            <v>142622</v>
          </cell>
        </row>
        <row r="1531">
          <cell r="Z1531" t="str">
            <v>142623</v>
          </cell>
        </row>
        <row r="1532">
          <cell r="Z1532" t="str">
            <v>142624</v>
          </cell>
        </row>
        <row r="1533">
          <cell r="Z1533" t="str">
            <v>142629</v>
          </cell>
        </row>
        <row r="1534">
          <cell r="Z1534" t="str">
            <v>142700</v>
          </cell>
        </row>
        <row r="1535">
          <cell r="Z1535" t="str">
            <v>142710</v>
          </cell>
        </row>
        <row r="1536">
          <cell r="Z1536" t="str">
            <v>142711</v>
          </cell>
        </row>
        <row r="1537">
          <cell r="Z1537" t="str">
            <v>142712</v>
          </cell>
        </row>
        <row r="1538">
          <cell r="Z1538" t="str">
            <v>142713</v>
          </cell>
        </row>
        <row r="1539">
          <cell r="Z1539" t="str">
            <v>142714</v>
          </cell>
        </row>
        <row r="1540">
          <cell r="Z1540" t="str">
            <v>142719</v>
          </cell>
        </row>
        <row r="1541">
          <cell r="Z1541" t="str">
            <v>142720</v>
          </cell>
        </row>
        <row r="1542">
          <cell r="Z1542" t="str">
            <v>142721</v>
          </cell>
        </row>
        <row r="1543">
          <cell r="Z1543" t="str">
            <v>142722</v>
          </cell>
        </row>
        <row r="1544">
          <cell r="Z1544" t="str">
            <v>142723</v>
          </cell>
        </row>
        <row r="1545">
          <cell r="Z1545" t="str">
            <v>142724</v>
          </cell>
        </row>
        <row r="1546">
          <cell r="Z1546" t="str">
            <v>142729</v>
          </cell>
        </row>
        <row r="1547">
          <cell r="Z1547" t="str">
            <v>142730</v>
          </cell>
        </row>
        <row r="1548">
          <cell r="Z1548" t="str">
            <v>142731</v>
          </cell>
        </row>
        <row r="1549">
          <cell r="Z1549" t="str">
            <v>142732</v>
          </cell>
        </row>
        <row r="1550">
          <cell r="Z1550" t="str">
            <v>142733</v>
          </cell>
        </row>
        <row r="1551">
          <cell r="Z1551" t="str">
            <v>142734</v>
          </cell>
        </row>
        <row r="1552">
          <cell r="Z1552" t="str">
            <v>142739</v>
          </cell>
        </row>
        <row r="1553">
          <cell r="Z1553" t="str">
            <v>142740</v>
          </cell>
        </row>
        <row r="1554">
          <cell r="Z1554" t="str">
            <v>142741</v>
          </cell>
        </row>
        <row r="1555">
          <cell r="Z1555" t="str">
            <v>142742</v>
          </cell>
        </row>
        <row r="1556">
          <cell r="Z1556" t="str">
            <v>142743</v>
          </cell>
        </row>
        <row r="1557">
          <cell r="Z1557" t="str">
            <v>142744</v>
          </cell>
        </row>
        <row r="1558">
          <cell r="Z1558" t="str">
            <v>142749</v>
          </cell>
        </row>
        <row r="1559">
          <cell r="Z1559" t="str">
            <v>142750</v>
          </cell>
        </row>
        <row r="1560">
          <cell r="Z1560" t="str">
            <v>142751</v>
          </cell>
        </row>
        <row r="1561">
          <cell r="Z1561" t="str">
            <v>142752</v>
          </cell>
        </row>
        <row r="1562">
          <cell r="Z1562" t="str">
            <v>142753</v>
          </cell>
        </row>
        <row r="1563">
          <cell r="Z1563" t="str">
            <v>142754</v>
          </cell>
        </row>
        <row r="1564">
          <cell r="Z1564" t="str">
            <v>142759</v>
          </cell>
        </row>
        <row r="1565">
          <cell r="Z1565" t="str">
            <v>142760</v>
          </cell>
        </row>
        <row r="1566">
          <cell r="Z1566" t="str">
            <v>142761</v>
          </cell>
        </row>
        <row r="1567">
          <cell r="Z1567" t="str">
            <v>142762</v>
          </cell>
        </row>
        <row r="1568">
          <cell r="Z1568" t="str">
            <v>142763</v>
          </cell>
        </row>
        <row r="1569">
          <cell r="Z1569" t="str">
            <v>142764</v>
          </cell>
        </row>
        <row r="1570">
          <cell r="Z1570" t="str">
            <v>142769</v>
          </cell>
        </row>
        <row r="1571">
          <cell r="Z1571" t="str">
            <v>142770</v>
          </cell>
        </row>
        <row r="1572">
          <cell r="Z1572" t="str">
            <v>142771</v>
          </cell>
        </row>
        <row r="1573">
          <cell r="Z1573" t="str">
            <v>142772</v>
          </cell>
        </row>
        <row r="1574">
          <cell r="Z1574" t="str">
            <v>142773</v>
          </cell>
        </row>
        <row r="1575">
          <cell r="Z1575" t="str">
            <v>142774</v>
          </cell>
        </row>
        <row r="1576">
          <cell r="Z1576" t="str">
            <v>142779</v>
          </cell>
        </row>
        <row r="1577">
          <cell r="Z1577" t="str">
            <v>142780</v>
          </cell>
        </row>
        <row r="1578">
          <cell r="Z1578" t="str">
            <v>142781</v>
          </cell>
        </row>
        <row r="1579">
          <cell r="Z1579" t="str">
            <v>142782</v>
          </cell>
        </row>
        <row r="1580">
          <cell r="Z1580" t="str">
            <v>142783</v>
          </cell>
        </row>
        <row r="1581">
          <cell r="Z1581" t="str">
            <v>142784</v>
          </cell>
        </row>
        <row r="1582">
          <cell r="Z1582" t="str">
            <v>142789</v>
          </cell>
        </row>
        <row r="1583">
          <cell r="Z1583" t="str">
            <v>142790</v>
          </cell>
        </row>
        <row r="1584">
          <cell r="Z1584" t="str">
            <v>142791</v>
          </cell>
        </row>
        <row r="1585">
          <cell r="Z1585" t="str">
            <v>142792</v>
          </cell>
        </row>
        <row r="1586">
          <cell r="Z1586" t="str">
            <v>142793</v>
          </cell>
        </row>
        <row r="1587">
          <cell r="Z1587" t="str">
            <v>142794</v>
          </cell>
        </row>
        <row r="1588">
          <cell r="Z1588" t="str">
            <v>142799</v>
          </cell>
        </row>
        <row r="1589">
          <cell r="Z1589" t="str">
            <v>14280</v>
          </cell>
        </row>
        <row r="1590">
          <cell r="Z1590" t="str">
            <v>142810</v>
          </cell>
        </row>
        <row r="1591">
          <cell r="Z1591" t="str">
            <v>142811</v>
          </cell>
        </row>
        <row r="1592">
          <cell r="Z1592" t="str">
            <v>142812</v>
          </cell>
        </row>
        <row r="1593">
          <cell r="Z1593" t="str">
            <v>142813</v>
          </cell>
        </row>
        <row r="1594">
          <cell r="Z1594" t="str">
            <v>142814</v>
          </cell>
        </row>
        <row r="1595">
          <cell r="Z1595" t="str">
            <v>142819</v>
          </cell>
        </row>
        <row r="1596">
          <cell r="Z1596" t="str">
            <v>142820</v>
          </cell>
        </row>
        <row r="1597">
          <cell r="Z1597" t="str">
            <v>142821</v>
          </cell>
        </row>
        <row r="1598">
          <cell r="Z1598" t="str">
            <v>142822</v>
          </cell>
        </row>
        <row r="1599">
          <cell r="Z1599" t="str">
            <v>142823</v>
          </cell>
        </row>
        <row r="1600">
          <cell r="Z1600" t="str">
            <v>142824</v>
          </cell>
        </row>
        <row r="1601">
          <cell r="Z1601" t="str">
            <v>142829</v>
          </cell>
        </row>
        <row r="1602">
          <cell r="Z1602" t="str">
            <v>142830</v>
          </cell>
        </row>
        <row r="1603">
          <cell r="Z1603" t="str">
            <v>142831</v>
          </cell>
        </row>
        <row r="1604">
          <cell r="Z1604" t="str">
            <v>142832</v>
          </cell>
        </row>
        <row r="1605">
          <cell r="Z1605" t="str">
            <v>142833</v>
          </cell>
        </row>
        <row r="1606">
          <cell r="Z1606" t="str">
            <v>142834</v>
          </cell>
        </row>
        <row r="1607">
          <cell r="Z1607" t="str">
            <v>142839</v>
          </cell>
        </row>
        <row r="1608">
          <cell r="Z1608" t="str">
            <v>143000</v>
          </cell>
        </row>
        <row r="1609">
          <cell r="Z1609" t="str">
            <v>143100</v>
          </cell>
        </row>
        <row r="1610">
          <cell r="Z1610" t="str">
            <v>143110</v>
          </cell>
        </row>
        <row r="1611">
          <cell r="Z1611" t="str">
            <v>143111</v>
          </cell>
        </row>
        <row r="1612">
          <cell r="Z1612" t="str">
            <v>143112</v>
          </cell>
        </row>
        <row r="1613">
          <cell r="Z1613" t="str">
            <v>143113</v>
          </cell>
        </row>
        <row r="1614">
          <cell r="Z1614" t="str">
            <v>143114</v>
          </cell>
        </row>
        <row r="1615">
          <cell r="Z1615" t="str">
            <v>143119</v>
          </cell>
        </row>
        <row r="1616">
          <cell r="Z1616" t="str">
            <v>143120</v>
          </cell>
        </row>
        <row r="1617">
          <cell r="Z1617" t="str">
            <v>143121</v>
          </cell>
        </row>
        <row r="1618">
          <cell r="Z1618" t="str">
            <v>143122</v>
          </cell>
        </row>
        <row r="1619">
          <cell r="Z1619" t="str">
            <v>143123</v>
          </cell>
        </row>
        <row r="1620">
          <cell r="Z1620" t="str">
            <v>143124</v>
          </cell>
        </row>
        <row r="1621">
          <cell r="Z1621" t="str">
            <v>143129</v>
          </cell>
        </row>
        <row r="1622">
          <cell r="Z1622" t="str">
            <v>143200</v>
          </cell>
        </row>
        <row r="1623">
          <cell r="Z1623" t="str">
            <v>143210</v>
          </cell>
        </row>
        <row r="1624">
          <cell r="Z1624" t="str">
            <v>143211</v>
          </cell>
        </row>
        <row r="1625">
          <cell r="Z1625" t="str">
            <v>143212</v>
          </cell>
        </row>
        <row r="1626">
          <cell r="Z1626" t="str">
            <v>143213</v>
          </cell>
        </row>
        <row r="1627">
          <cell r="Z1627" t="str">
            <v>143214</v>
          </cell>
        </row>
        <row r="1628">
          <cell r="Z1628" t="str">
            <v>143219</v>
          </cell>
        </row>
        <row r="1629">
          <cell r="Z1629" t="str">
            <v>143220</v>
          </cell>
        </row>
        <row r="1630">
          <cell r="Z1630" t="str">
            <v>143221</v>
          </cell>
        </row>
        <row r="1631">
          <cell r="Z1631" t="str">
            <v>143222</v>
          </cell>
        </row>
        <row r="1632">
          <cell r="Z1632" t="str">
            <v>143223</v>
          </cell>
        </row>
        <row r="1633">
          <cell r="Z1633" t="str">
            <v>143224</v>
          </cell>
        </row>
        <row r="1634">
          <cell r="Z1634" t="str">
            <v>143229</v>
          </cell>
        </row>
        <row r="1635">
          <cell r="Z1635" t="str">
            <v>143300</v>
          </cell>
        </row>
        <row r="1636">
          <cell r="Z1636" t="str">
            <v>143310</v>
          </cell>
        </row>
        <row r="1637">
          <cell r="Z1637" t="str">
            <v>143311</v>
          </cell>
        </row>
        <row r="1638">
          <cell r="Z1638" t="str">
            <v>143312</v>
          </cell>
        </row>
        <row r="1639">
          <cell r="Z1639" t="str">
            <v>143313</v>
          </cell>
        </row>
        <row r="1640">
          <cell r="Z1640" t="str">
            <v>143314</v>
          </cell>
        </row>
        <row r="1641">
          <cell r="Z1641" t="str">
            <v>143319</v>
          </cell>
        </row>
        <row r="1642">
          <cell r="Z1642" t="str">
            <v>143320</v>
          </cell>
        </row>
        <row r="1643">
          <cell r="Z1643" t="str">
            <v>143321</v>
          </cell>
        </row>
        <row r="1644">
          <cell r="Z1644" t="str">
            <v>143322</v>
          </cell>
        </row>
        <row r="1645">
          <cell r="Z1645" t="str">
            <v>143323</v>
          </cell>
        </row>
        <row r="1646">
          <cell r="Z1646" t="str">
            <v>143324</v>
          </cell>
        </row>
        <row r="1647">
          <cell r="Z1647" t="str">
            <v>143329</v>
          </cell>
        </row>
        <row r="1648">
          <cell r="Z1648" t="str">
            <v>143400</v>
          </cell>
        </row>
        <row r="1649">
          <cell r="Z1649" t="str">
            <v>143410</v>
          </cell>
        </row>
        <row r="1650">
          <cell r="Z1650" t="str">
            <v>143411</v>
          </cell>
        </row>
        <row r="1651">
          <cell r="Z1651" t="str">
            <v>143412</v>
          </cell>
        </row>
        <row r="1652">
          <cell r="Z1652" t="str">
            <v>143413</v>
          </cell>
        </row>
        <row r="1653">
          <cell r="Z1653" t="str">
            <v>143414</v>
          </cell>
        </row>
        <row r="1654">
          <cell r="Z1654" t="str">
            <v>143419</v>
          </cell>
        </row>
        <row r="1655">
          <cell r="Z1655" t="str">
            <v>143420</v>
          </cell>
        </row>
        <row r="1656">
          <cell r="Z1656" t="str">
            <v>143421</v>
          </cell>
        </row>
        <row r="1657">
          <cell r="Z1657" t="str">
            <v>143422</v>
          </cell>
        </row>
        <row r="1658">
          <cell r="Z1658" t="str">
            <v>143423</v>
          </cell>
        </row>
        <row r="1659">
          <cell r="Z1659" t="str">
            <v>143424</v>
          </cell>
        </row>
        <row r="1660">
          <cell r="Z1660" t="str">
            <v>143429</v>
          </cell>
        </row>
        <row r="1661">
          <cell r="Z1661" t="str">
            <v>143500</v>
          </cell>
        </row>
        <row r="1662">
          <cell r="Z1662" t="str">
            <v>143510</v>
          </cell>
        </row>
        <row r="1663">
          <cell r="Z1663" t="str">
            <v>143511</v>
          </cell>
        </row>
        <row r="1664">
          <cell r="Z1664" t="str">
            <v>143512</v>
          </cell>
        </row>
        <row r="1665">
          <cell r="Z1665" t="str">
            <v>143513</v>
          </cell>
        </row>
        <row r="1666">
          <cell r="Z1666" t="str">
            <v>143514</v>
          </cell>
        </row>
        <row r="1667">
          <cell r="Z1667" t="str">
            <v>143519</v>
          </cell>
        </row>
        <row r="1668">
          <cell r="Z1668" t="str">
            <v>143520</v>
          </cell>
        </row>
        <row r="1669">
          <cell r="Z1669" t="str">
            <v>143521</v>
          </cell>
        </row>
        <row r="1670">
          <cell r="Z1670" t="str">
            <v>143522</v>
          </cell>
        </row>
        <row r="1671">
          <cell r="Z1671" t="str">
            <v>143523</v>
          </cell>
        </row>
        <row r="1672">
          <cell r="Z1672" t="str">
            <v>143524</v>
          </cell>
        </row>
        <row r="1673">
          <cell r="Z1673" t="str">
            <v>143529</v>
          </cell>
        </row>
        <row r="1674">
          <cell r="Z1674" t="str">
            <v>143900</v>
          </cell>
        </row>
        <row r="1675">
          <cell r="Z1675" t="str">
            <v>143910</v>
          </cell>
        </row>
        <row r="1676">
          <cell r="Z1676" t="str">
            <v>143911</v>
          </cell>
        </row>
        <row r="1677">
          <cell r="Z1677" t="str">
            <v>143912</v>
          </cell>
        </row>
        <row r="1678">
          <cell r="Z1678" t="str">
            <v>143913</v>
          </cell>
        </row>
        <row r="1679">
          <cell r="Z1679" t="str">
            <v>143914</v>
          </cell>
        </row>
        <row r="1680">
          <cell r="Z1680" t="str">
            <v>143919</v>
          </cell>
        </row>
        <row r="1681">
          <cell r="Z1681" t="str">
            <v>143920</v>
          </cell>
        </row>
        <row r="1682">
          <cell r="Z1682" t="str">
            <v>143921</v>
          </cell>
        </row>
        <row r="1683">
          <cell r="Z1683" t="str">
            <v>143922</v>
          </cell>
        </row>
        <row r="1684">
          <cell r="Z1684" t="str">
            <v>143923</v>
          </cell>
        </row>
        <row r="1685">
          <cell r="Z1685" t="str">
            <v>143924</v>
          </cell>
        </row>
        <row r="1686">
          <cell r="Z1686" t="str">
            <v>143929</v>
          </cell>
        </row>
        <row r="1687">
          <cell r="Z1687" t="str">
            <v>150000</v>
          </cell>
        </row>
        <row r="1688">
          <cell r="Z1688" t="str">
            <v>151000</v>
          </cell>
        </row>
        <row r="1689">
          <cell r="Z1689" t="str">
            <v>151100</v>
          </cell>
        </row>
        <row r="1690">
          <cell r="Z1690" t="str">
            <v>151110</v>
          </cell>
        </row>
        <row r="1691">
          <cell r="Z1691" t="str">
            <v>151111</v>
          </cell>
        </row>
        <row r="1692">
          <cell r="Z1692" t="str">
            <v>151112</v>
          </cell>
        </row>
        <row r="1693">
          <cell r="Z1693" t="str">
            <v>151113</v>
          </cell>
        </row>
        <row r="1694">
          <cell r="Z1694" t="str">
            <v>151114</v>
          </cell>
        </row>
        <row r="1695">
          <cell r="Z1695" t="str">
            <v>151119</v>
          </cell>
        </row>
        <row r="1696">
          <cell r="Z1696" t="str">
            <v>151120</v>
          </cell>
        </row>
        <row r="1697">
          <cell r="Z1697" t="str">
            <v>151121</v>
          </cell>
        </row>
        <row r="1698">
          <cell r="Z1698" t="str">
            <v>151122</v>
          </cell>
        </row>
        <row r="1699">
          <cell r="Z1699" t="str">
            <v>151123</v>
          </cell>
        </row>
        <row r="1700">
          <cell r="Z1700" t="str">
            <v>151124</v>
          </cell>
        </row>
        <row r="1701">
          <cell r="Z1701" t="str">
            <v>151129</v>
          </cell>
        </row>
        <row r="1702">
          <cell r="Z1702" t="str">
            <v>151200</v>
          </cell>
        </row>
        <row r="1703">
          <cell r="Z1703" t="str">
            <v>151210</v>
          </cell>
        </row>
        <row r="1704">
          <cell r="Z1704" t="str">
            <v>151211</v>
          </cell>
        </row>
        <row r="1705">
          <cell r="Z1705" t="str">
            <v>151212</v>
          </cell>
        </row>
        <row r="1706">
          <cell r="Z1706" t="str">
            <v>151213</v>
          </cell>
        </row>
        <row r="1707">
          <cell r="Z1707" t="str">
            <v>151214</v>
          </cell>
        </row>
        <row r="1708">
          <cell r="Z1708" t="str">
            <v>151219</v>
          </cell>
        </row>
        <row r="1709">
          <cell r="Z1709" t="str">
            <v>151220</v>
          </cell>
        </row>
        <row r="1710">
          <cell r="Z1710" t="str">
            <v>151221</v>
          </cell>
        </row>
        <row r="1711">
          <cell r="Z1711" t="str">
            <v>151222</v>
          </cell>
        </row>
        <row r="1712">
          <cell r="Z1712" t="str">
            <v>151223</v>
          </cell>
        </row>
        <row r="1713">
          <cell r="Z1713" t="str">
            <v>151224</v>
          </cell>
        </row>
        <row r="1714">
          <cell r="Z1714" t="str">
            <v>151229</v>
          </cell>
        </row>
        <row r="1715">
          <cell r="Z1715" t="str">
            <v>151300</v>
          </cell>
        </row>
        <row r="1716">
          <cell r="Z1716" t="str">
            <v>151310</v>
          </cell>
        </row>
        <row r="1717">
          <cell r="Z1717" t="str">
            <v>151311</v>
          </cell>
        </row>
        <row r="1718">
          <cell r="Z1718" t="str">
            <v>151312</v>
          </cell>
        </row>
        <row r="1719">
          <cell r="Z1719" t="str">
            <v>151313</v>
          </cell>
        </row>
        <row r="1720">
          <cell r="Z1720" t="str">
            <v>151314</v>
          </cell>
        </row>
        <row r="1721">
          <cell r="Z1721" t="str">
            <v>151319</v>
          </cell>
        </row>
        <row r="1722">
          <cell r="Z1722" t="str">
            <v>151320</v>
          </cell>
        </row>
        <row r="1723">
          <cell r="Z1723" t="str">
            <v>151321</v>
          </cell>
        </row>
        <row r="1724">
          <cell r="Z1724" t="str">
            <v>151322</v>
          </cell>
        </row>
        <row r="1725">
          <cell r="Z1725" t="str">
            <v>151323</v>
          </cell>
        </row>
        <row r="1726">
          <cell r="Z1726" t="str">
            <v>151324</v>
          </cell>
        </row>
        <row r="1727">
          <cell r="Z1727" t="str">
            <v>151329</v>
          </cell>
        </row>
        <row r="1728">
          <cell r="Z1728" t="str">
            <v>152000</v>
          </cell>
        </row>
        <row r="1729">
          <cell r="Z1729" t="str">
            <v>152100</v>
          </cell>
        </row>
        <row r="1730">
          <cell r="Z1730" t="str">
            <v>152110</v>
          </cell>
        </row>
        <row r="1731">
          <cell r="Z1731" t="str">
            <v>152111</v>
          </cell>
        </row>
        <row r="1732">
          <cell r="Z1732" t="str">
            <v>152112</v>
          </cell>
        </row>
        <row r="1733">
          <cell r="Z1733" t="str">
            <v>152113</v>
          </cell>
        </row>
        <row r="1734">
          <cell r="Z1734" t="str">
            <v>152114</v>
          </cell>
        </row>
        <row r="1735">
          <cell r="Z1735" t="str">
            <v>152119</v>
          </cell>
        </row>
        <row r="1736">
          <cell r="Z1736" t="str">
            <v>152120</v>
          </cell>
        </row>
        <row r="1737">
          <cell r="Z1737" t="str">
            <v>152121</v>
          </cell>
        </row>
        <row r="1738">
          <cell r="Z1738" t="str">
            <v>152122</v>
          </cell>
        </row>
        <row r="1739">
          <cell r="Z1739" t="str">
            <v>152123</v>
          </cell>
        </row>
        <row r="1740">
          <cell r="Z1740" t="str">
            <v>152124</v>
          </cell>
        </row>
        <row r="1741">
          <cell r="Z1741" t="str">
            <v>152129</v>
          </cell>
        </row>
        <row r="1742">
          <cell r="Z1742" t="str">
            <v>152130</v>
          </cell>
        </row>
        <row r="1743">
          <cell r="Z1743" t="str">
            <v>152131</v>
          </cell>
        </row>
        <row r="1744">
          <cell r="Z1744" t="str">
            <v>152132</v>
          </cell>
        </row>
        <row r="1745">
          <cell r="Z1745" t="str">
            <v>152133</v>
          </cell>
        </row>
        <row r="1746">
          <cell r="Z1746" t="str">
            <v>152134</v>
          </cell>
        </row>
        <row r="1747">
          <cell r="Z1747" t="str">
            <v>152139</v>
          </cell>
        </row>
        <row r="1748">
          <cell r="Z1748" t="str">
            <v>152200</v>
          </cell>
        </row>
        <row r="1749">
          <cell r="Z1749" t="str">
            <v>152210</v>
          </cell>
        </row>
        <row r="1750">
          <cell r="Z1750" t="str">
            <v>152211</v>
          </cell>
        </row>
        <row r="1751">
          <cell r="Z1751" t="str">
            <v>152212</v>
          </cell>
        </row>
        <row r="1752">
          <cell r="Z1752" t="str">
            <v>152213</v>
          </cell>
        </row>
        <row r="1753">
          <cell r="Z1753" t="str">
            <v>152214</v>
          </cell>
        </row>
        <row r="1754">
          <cell r="Z1754" t="str">
            <v>152219</v>
          </cell>
        </row>
        <row r="1755">
          <cell r="Z1755" t="str">
            <v>152220</v>
          </cell>
        </row>
        <row r="1756">
          <cell r="Z1756" t="str">
            <v>152221</v>
          </cell>
        </row>
        <row r="1757">
          <cell r="Z1757" t="str">
            <v>152222</v>
          </cell>
        </row>
        <row r="1758">
          <cell r="Z1758" t="str">
            <v>152223</v>
          </cell>
        </row>
        <row r="1759">
          <cell r="Z1759" t="str">
            <v>152224</v>
          </cell>
        </row>
        <row r="1760">
          <cell r="Z1760" t="str">
            <v>152229</v>
          </cell>
        </row>
        <row r="1761">
          <cell r="Z1761" t="str">
            <v>152230</v>
          </cell>
        </row>
        <row r="1762">
          <cell r="Z1762" t="str">
            <v>152231</v>
          </cell>
        </row>
        <row r="1763">
          <cell r="Z1763" t="str">
            <v>152232</v>
          </cell>
        </row>
        <row r="1764">
          <cell r="Z1764" t="str">
            <v>152233</v>
          </cell>
        </row>
        <row r="1765">
          <cell r="Z1765" t="str">
            <v>152234</v>
          </cell>
        </row>
        <row r="1766">
          <cell r="Z1766" t="str">
            <v>152239</v>
          </cell>
        </row>
        <row r="1767">
          <cell r="Z1767" t="str">
            <v>152300</v>
          </cell>
        </row>
        <row r="1768">
          <cell r="Z1768" t="str">
            <v>152310</v>
          </cell>
        </row>
        <row r="1769">
          <cell r="Z1769" t="str">
            <v>152311</v>
          </cell>
        </row>
        <row r="1770">
          <cell r="Z1770" t="str">
            <v>152312</v>
          </cell>
        </row>
        <row r="1771">
          <cell r="Z1771" t="str">
            <v>152313</v>
          </cell>
        </row>
        <row r="1772">
          <cell r="Z1772" t="str">
            <v>152314</v>
          </cell>
        </row>
        <row r="1773">
          <cell r="Z1773" t="str">
            <v>152319</v>
          </cell>
        </row>
        <row r="1774">
          <cell r="Z1774" t="str">
            <v>152320</v>
          </cell>
        </row>
        <row r="1775">
          <cell r="Z1775" t="str">
            <v>152321</v>
          </cell>
        </row>
        <row r="1776">
          <cell r="Z1776" t="str">
            <v>152322</v>
          </cell>
        </row>
        <row r="1777">
          <cell r="Z1777" t="str">
            <v>152323</v>
          </cell>
        </row>
        <row r="1778">
          <cell r="Z1778" t="str">
            <v>152324</v>
          </cell>
        </row>
        <row r="1779">
          <cell r="Z1779" t="str">
            <v>152329</v>
          </cell>
        </row>
        <row r="1780">
          <cell r="Z1780" t="str">
            <v>152330</v>
          </cell>
        </row>
        <row r="1781">
          <cell r="Z1781" t="str">
            <v>152331</v>
          </cell>
        </row>
        <row r="1782">
          <cell r="Z1782" t="str">
            <v>152332</v>
          </cell>
        </row>
        <row r="1783">
          <cell r="Z1783" t="str">
            <v>152333</v>
          </cell>
        </row>
        <row r="1784">
          <cell r="Z1784" t="str">
            <v>152334</v>
          </cell>
        </row>
        <row r="1785">
          <cell r="Z1785" t="str">
            <v>152339</v>
          </cell>
        </row>
        <row r="1786">
          <cell r="Z1786" t="str">
            <v>152340</v>
          </cell>
        </row>
        <row r="1787">
          <cell r="Z1787" t="str">
            <v>152341</v>
          </cell>
        </row>
        <row r="1788">
          <cell r="Z1788" t="str">
            <v>152342</v>
          </cell>
        </row>
        <row r="1789">
          <cell r="Z1789" t="str">
            <v>152343</v>
          </cell>
        </row>
        <row r="1790">
          <cell r="Z1790" t="str">
            <v>152344</v>
          </cell>
        </row>
        <row r="1791">
          <cell r="Z1791" t="str">
            <v>152349</v>
          </cell>
        </row>
        <row r="1792">
          <cell r="Z1792" t="str">
            <v>152350</v>
          </cell>
        </row>
        <row r="1793">
          <cell r="Z1793" t="str">
            <v>152351</v>
          </cell>
        </row>
        <row r="1794">
          <cell r="Z1794" t="str">
            <v>152352</v>
          </cell>
        </row>
        <row r="1795">
          <cell r="Z1795" t="str">
            <v>152353</v>
          </cell>
        </row>
        <row r="1796">
          <cell r="Z1796" t="str">
            <v>152354</v>
          </cell>
        </row>
        <row r="1797">
          <cell r="Z1797" t="str">
            <v>152359</v>
          </cell>
        </row>
        <row r="1798">
          <cell r="Z1798" t="str">
            <v>152360</v>
          </cell>
        </row>
        <row r="1799">
          <cell r="Z1799" t="str">
            <v>152361</v>
          </cell>
        </row>
        <row r="1800">
          <cell r="Z1800" t="str">
            <v>152362</v>
          </cell>
        </row>
        <row r="1801">
          <cell r="Z1801" t="str">
            <v>152363</v>
          </cell>
        </row>
        <row r="1802">
          <cell r="Z1802" t="str">
            <v>152364</v>
          </cell>
        </row>
        <row r="1803">
          <cell r="Z1803" t="str">
            <v>152369</v>
          </cell>
        </row>
        <row r="1804">
          <cell r="Z1804" t="str">
            <v>152370</v>
          </cell>
        </row>
        <row r="1805">
          <cell r="Z1805" t="str">
            <v>152371</v>
          </cell>
        </row>
        <row r="1806">
          <cell r="Z1806" t="str">
            <v>152372</v>
          </cell>
        </row>
        <row r="1807">
          <cell r="Z1807" t="str">
            <v>152373</v>
          </cell>
        </row>
        <row r="1808">
          <cell r="Z1808" t="str">
            <v>152374</v>
          </cell>
        </row>
        <row r="1809">
          <cell r="Z1809" t="str">
            <v>152379</v>
          </cell>
        </row>
        <row r="1810">
          <cell r="Z1810" t="str">
            <v>152380</v>
          </cell>
        </row>
        <row r="1811">
          <cell r="Z1811" t="str">
            <v>152381</v>
          </cell>
        </row>
        <row r="1812">
          <cell r="Z1812" t="str">
            <v>152382</v>
          </cell>
        </row>
        <row r="1813">
          <cell r="Z1813" t="str">
            <v>152383</v>
          </cell>
        </row>
        <row r="1814">
          <cell r="Z1814" t="str">
            <v>152384</v>
          </cell>
        </row>
        <row r="1815">
          <cell r="Z1815" t="str">
            <v>152389</v>
          </cell>
        </row>
        <row r="1816">
          <cell r="Z1816" t="str">
            <v>152390</v>
          </cell>
        </row>
        <row r="1817">
          <cell r="Z1817" t="str">
            <v>152391</v>
          </cell>
        </row>
        <row r="1818">
          <cell r="Z1818" t="str">
            <v>152392</v>
          </cell>
        </row>
        <row r="1819">
          <cell r="Z1819" t="str">
            <v>152393</v>
          </cell>
        </row>
        <row r="1820">
          <cell r="Z1820" t="str">
            <v>152394</v>
          </cell>
        </row>
        <row r="1821">
          <cell r="Z1821" t="str">
            <v>152399</v>
          </cell>
        </row>
        <row r="1822">
          <cell r="Z1822" t="str">
            <v>152400</v>
          </cell>
        </row>
        <row r="1823">
          <cell r="Z1823" t="str">
            <v>152410</v>
          </cell>
        </row>
        <row r="1824">
          <cell r="Z1824" t="str">
            <v>152411</v>
          </cell>
        </row>
        <row r="1825">
          <cell r="Z1825" t="str">
            <v>152412</v>
          </cell>
        </row>
        <row r="1826">
          <cell r="Z1826" t="str">
            <v>152413</v>
          </cell>
        </row>
        <row r="1827">
          <cell r="Z1827" t="str">
            <v>152414</v>
          </cell>
        </row>
        <row r="1828">
          <cell r="Z1828" t="str">
            <v>152419</v>
          </cell>
        </row>
        <row r="1829">
          <cell r="Z1829" t="str">
            <v>152420</v>
          </cell>
        </row>
        <row r="1830">
          <cell r="Z1830" t="str">
            <v>152421</v>
          </cell>
        </row>
        <row r="1831">
          <cell r="Z1831" t="str">
            <v>152422</v>
          </cell>
        </row>
        <row r="1832">
          <cell r="Z1832" t="str">
            <v>152423</v>
          </cell>
        </row>
        <row r="1833">
          <cell r="Z1833" t="str">
            <v>152424</v>
          </cell>
        </row>
        <row r="1834">
          <cell r="Z1834" t="str">
            <v>152429</v>
          </cell>
        </row>
        <row r="1835">
          <cell r="Z1835" t="str">
            <v>152430</v>
          </cell>
        </row>
        <row r="1836">
          <cell r="Z1836" t="str">
            <v>152431</v>
          </cell>
        </row>
        <row r="1837">
          <cell r="Z1837" t="str">
            <v>152432</v>
          </cell>
        </row>
        <row r="1838">
          <cell r="Z1838" t="str">
            <v>152433</v>
          </cell>
        </row>
        <row r="1839">
          <cell r="Z1839" t="str">
            <v>152434</v>
          </cell>
        </row>
        <row r="1840">
          <cell r="Z1840" t="str">
            <v>152439</v>
          </cell>
        </row>
        <row r="1841">
          <cell r="Z1841" t="str">
            <v>152500</v>
          </cell>
        </row>
        <row r="1842">
          <cell r="Z1842" t="str">
            <v>152510</v>
          </cell>
        </row>
        <row r="1843">
          <cell r="Z1843" t="str">
            <v>152511</v>
          </cell>
        </row>
        <row r="1844">
          <cell r="Z1844" t="str">
            <v>152512</v>
          </cell>
        </row>
        <row r="1845">
          <cell r="Z1845" t="str">
            <v>152513</v>
          </cell>
        </row>
        <row r="1846">
          <cell r="Z1846" t="str">
            <v>152514</v>
          </cell>
        </row>
        <row r="1847">
          <cell r="Z1847" t="str">
            <v>152519</v>
          </cell>
        </row>
        <row r="1848">
          <cell r="Z1848" t="str">
            <v>152520</v>
          </cell>
        </row>
        <row r="1849">
          <cell r="Z1849" t="str">
            <v>152521</v>
          </cell>
        </row>
        <row r="1850">
          <cell r="Z1850" t="str">
            <v>152522</v>
          </cell>
        </row>
        <row r="1851">
          <cell r="Z1851" t="str">
            <v>152523</v>
          </cell>
        </row>
        <row r="1852">
          <cell r="Z1852" t="str">
            <v>152524</v>
          </cell>
        </row>
        <row r="1853">
          <cell r="Z1853" t="str">
            <v>152529</v>
          </cell>
        </row>
        <row r="1854">
          <cell r="Z1854" t="str">
            <v>152600</v>
          </cell>
        </row>
        <row r="1855">
          <cell r="Z1855" t="str">
            <v>152610</v>
          </cell>
        </row>
        <row r="1856">
          <cell r="Z1856" t="str">
            <v>152611</v>
          </cell>
        </row>
        <row r="1857">
          <cell r="Z1857" t="str">
            <v>152612</v>
          </cell>
        </row>
        <row r="1858">
          <cell r="Z1858" t="str">
            <v>152613</v>
          </cell>
        </row>
        <row r="1859">
          <cell r="Z1859" t="str">
            <v>152614</v>
          </cell>
        </row>
        <row r="1860">
          <cell r="Z1860" t="str">
            <v>152619</v>
          </cell>
        </row>
        <row r="1861">
          <cell r="Z1861" t="str">
            <v>152620</v>
          </cell>
        </row>
        <row r="1862">
          <cell r="Z1862" t="str">
            <v>152621</v>
          </cell>
        </row>
        <row r="1863">
          <cell r="Z1863" t="str">
            <v>152622</v>
          </cell>
        </row>
        <row r="1864">
          <cell r="Z1864" t="str">
            <v>152623</v>
          </cell>
        </row>
        <row r="1865">
          <cell r="Z1865" t="str">
            <v>152624</v>
          </cell>
        </row>
        <row r="1866">
          <cell r="Z1866" t="str">
            <v>152629</v>
          </cell>
        </row>
        <row r="1867">
          <cell r="Z1867" t="str">
            <v>152700</v>
          </cell>
        </row>
        <row r="1868">
          <cell r="Z1868" t="str">
            <v>152710</v>
          </cell>
        </row>
        <row r="1869">
          <cell r="Z1869" t="str">
            <v>152711</v>
          </cell>
        </row>
        <row r="1870">
          <cell r="Z1870" t="str">
            <v>152712</v>
          </cell>
        </row>
        <row r="1871">
          <cell r="Z1871" t="str">
            <v>152713</v>
          </cell>
        </row>
        <row r="1872">
          <cell r="Z1872" t="str">
            <v>152714</v>
          </cell>
        </row>
        <row r="1873">
          <cell r="Z1873" t="str">
            <v>152719</v>
          </cell>
        </row>
        <row r="1874">
          <cell r="Z1874" t="str">
            <v>152720</v>
          </cell>
        </row>
        <row r="1875">
          <cell r="Z1875" t="str">
            <v>152721</v>
          </cell>
        </row>
        <row r="1876">
          <cell r="Z1876" t="str">
            <v>152722</v>
          </cell>
        </row>
        <row r="1877">
          <cell r="Z1877" t="str">
            <v>152723</v>
          </cell>
        </row>
        <row r="1878">
          <cell r="Z1878" t="str">
            <v>152724</v>
          </cell>
        </row>
        <row r="1879">
          <cell r="Z1879" t="str">
            <v>152729</v>
          </cell>
        </row>
        <row r="1880">
          <cell r="Z1880" t="str">
            <v>152730</v>
          </cell>
        </row>
        <row r="1881">
          <cell r="Z1881" t="str">
            <v>152731</v>
          </cell>
        </row>
        <row r="1882">
          <cell r="Z1882" t="str">
            <v>152732</v>
          </cell>
        </row>
        <row r="1883">
          <cell r="Z1883" t="str">
            <v>152733</v>
          </cell>
        </row>
        <row r="1884">
          <cell r="Z1884" t="str">
            <v>152734</v>
          </cell>
        </row>
        <row r="1885">
          <cell r="Z1885" t="str">
            <v>152739</v>
          </cell>
        </row>
        <row r="1886">
          <cell r="Z1886" t="str">
            <v>152740</v>
          </cell>
        </row>
        <row r="1887">
          <cell r="Z1887" t="str">
            <v>152741</v>
          </cell>
        </row>
        <row r="1888">
          <cell r="Z1888" t="str">
            <v>152742</v>
          </cell>
        </row>
        <row r="1889">
          <cell r="Z1889" t="str">
            <v>152743</v>
          </cell>
        </row>
        <row r="1890">
          <cell r="Z1890" t="str">
            <v>152744</v>
          </cell>
        </row>
        <row r="1891">
          <cell r="Z1891" t="str">
            <v>152749</v>
          </cell>
        </row>
        <row r="1892">
          <cell r="Z1892" t="str">
            <v>152750</v>
          </cell>
        </row>
        <row r="1893">
          <cell r="Z1893" t="str">
            <v>152751</v>
          </cell>
        </row>
        <row r="1894">
          <cell r="Z1894" t="str">
            <v>152752</v>
          </cell>
        </row>
        <row r="1895">
          <cell r="Z1895" t="str">
            <v>152753</v>
          </cell>
        </row>
        <row r="1896">
          <cell r="Z1896" t="str">
            <v>152754</v>
          </cell>
        </row>
        <row r="1897">
          <cell r="Z1897" t="str">
            <v>152759</v>
          </cell>
        </row>
        <row r="1898">
          <cell r="Z1898" t="str">
            <v>152760</v>
          </cell>
        </row>
        <row r="1899">
          <cell r="Z1899" t="str">
            <v>152761</v>
          </cell>
        </row>
        <row r="1900">
          <cell r="Z1900" t="str">
            <v>152762</v>
          </cell>
        </row>
        <row r="1901">
          <cell r="Z1901" t="str">
            <v>152763</v>
          </cell>
        </row>
        <row r="1902">
          <cell r="Z1902" t="str">
            <v>152764</v>
          </cell>
        </row>
        <row r="1903">
          <cell r="Z1903" t="str">
            <v>152769</v>
          </cell>
        </row>
        <row r="1904">
          <cell r="Z1904" t="str">
            <v>152770</v>
          </cell>
        </row>
        <row r="1905">
          <cell r="Z1905" t="str">
            <v>152771</v>
          </cell>
        </row>
        <row r="1906">
          <cell r="Z1906" t="str">
            <v>152772</v>
          </cell>
        </row>
        <row r="1907">
          <cell r="Z1907" t="str">
            <v>152773</v>
          </cell>
        </row>
        <row r="1908">
          <cell r="Z1908" t="str">
            <v>152774</v>
          </cell>
        </row>
        <row r="1909">
          <cell r="Z1909" t="str">
            <v>152779</v>
          </cell>
        </row>
        <row r="1910">
          <cell r="Z1910" t="str">
            <v>152780</v>
          </cell>
        </row>
        <row r="1911">
          <cell r="Z1911" t="str">
            <v>152781</v>
          </cell>
        </row>
        <row r="1912">
          <cell r="Z1912" t="str">
            <v>152782</v>
          </cell>
        </row>
        <row r="1913">
          <cell r="Z1913" t="str">
            <v>152783</v>
          </cell>
        </row>
        <row r="1914">
          <cell r="Z1914" t="str">
            <v>152784</v>
          </cell>
        </row>
        <row r="1915">
          <cell r="Z1915" t="str">
            <v>152789</v>
          </cell>
        </row>
        <row r="1916">
          <cell r="Z1916" t="str">
            <v>152790</v>
          </cell>
        </row>
        <row r="1917">
          <cell r="Z1917" t="str">
            <v>152791</v>
          </cell>
        </row>
        <row r="1918">
          <cell r="Z1918" t="str">
            <v>152792</v>
          </cell>
        </row>
        <row r="1919">
          <cell r="Z1919" t="str">
            <v>152793</v>
          </cell>
        </row>
        <row r="1920">
          <cell r="Z1920" t="str">
            <v>152794</v>
          </cell>
        </row>
        <row r="1921">
          <cell r="Z1921" t="str">
            <v>152799</v>
          </cell>
        </row>
        <row r="1922">
          <cell r="Z1922" t="str">
            <v>15280</v>
          </cell>
        </row>
        <row r="1923">
          <cell r="Z1923" t="str">
            <v>152810</v>
          </cell>
        </row>
        <row r="1924">
          <cell r="Z1924" t="str">
            <v>152811</v>
          </cell>
        </row>
        <row r="1925">
          <cell r="Z1925" t="str">
            <v>152812</v>
          </cell>
        </row>
        <row r="1926">
          <cell r="Z1926" t="str">
            <v>152813</v>
          </cell>
        </row>
        <row r="1927">
          <cell r="Z1927" t="str">
            <v>152814</v>
          </cell>
        </row>
        <row r="1928">
          <cell r="Z1928" t="str">
            <v>152819</v>
          </cell>
        </row>
        <row r="1929">
          <cell r="Z1929" t="str">
            <v>152820</v>
          </cell>
        </row>
        <row r="1930">
          <cell r="Z1930" t="str">
            <v>152821</v>
          </cell>
        </row>
        <row r="1931">
          <cell r="Z1931" t="str">
            <v>152822</v>
          </cell>
        </row>
        <row r="1932">
          <cell r="Z1932" t="str">
            <v>152823</v>
          </cell>
        </row>
        <row r="1933">
          <cell r="Z1933" t="str">
            <v>152824</v>
          </cell>
        </row>
        <row r="1934">
          <cell r="Z1934" t="str">
            <v>152829</v>
          </cell>
        </row>
        <row r="1935">
          <cell r="Z1935" t="str">
            <v>152830</v>
          </cell>
        </row>
        <row r="1936">
          <cell r="Z1936" t="str">
            <v>152831</v>
          </cell>
        </row>
        <row r="1937">
          <cell r="Z1937" t="str">
            <v>152832</v>
          </cell>
        </row>
        <row r="1938">
          <cell r="Z1938" t="str">
            <v>152833</v>
          </cell>
        </row>
        <row r="1939">
          <cell r="Z1939" t="str">
            <v>152834</v>
          </cell>
        </row>
        <row r="1940">
          <cell r="Z1940" t="str">
            <v>152839</v>
          </cell>
        </row>
        <row r="1941">
          <cell r="Z1941" t="str">
            <v>153000</v>
          </cell>
        </row>
        <row r="1942">
          <cell r="Z1942" t="str">
            <v>153100</v>
          </cell>
        </row>
        <row r="1943">
          <cell r="Z1943" t="str">
            <v>153110</v>
          </cell>
        </row>
        <row r="1944">
          <cell r="Z1944" t="str">
            <v>153111</v>
          </cell>
        </row>
        <row r="1945">
          <cell r="Z1945" t="str">
            <v>153112</v>
          </cell>
        </row>
        <row r="1946">
          <cell r="Z1946" t="str">
            <v>153113</v>
          </cell>
        </row>
        <row r="1947">
          <cell r="Z1947" t="str">
            <v>153114</v>
          </cell>
        </row>
        <row r="1948">
          <cell r="Z1948" t="str">
            <v>153119</v>
          </cell>
        </row>
        <row r="1949">
          <cell r="Z1949" t="str">
            <v>153120</v>
          </cell>
        </row>
        <row r="1950">
          <cell r="Z1950" t="str">
            <v>153121</v>
          </cell>
        </row>
        <row r="1951">
          <cell r="Z1951" t="str">
            <v>153122</v>
          </cell>
        </row>
        <row r="1952">
          <cell r="Z1952" t="str">
            <v>153123</v>
          </cell>
        </row>
        <row r="1953">
          <cell r="Z1953" t="str">
            <v>153124</v>
          </cell>
        </row>
        <row r="1954">
          <cell r="Z1954" t="str">
            <v>153129</v>
          </cell>
        </row>
        <row r="1955">
          <cell r="Z1955" t="str">
            <v>153200</v>
          </cell>
        </row>
        <row r="1956">
          <cell r="Z1956" t="str">
            <v>153210</v>
          </cell>
        </row>
        <row r="1957">
          <cell r="Z1957" t="str">
            <v>153211</v>
          </cell>
        </row>
        <row r="1958">
          <cell r="Z1958" t="str">
            <v>153212</v>
          </cell>
        </row>
        <row r="1959">
          <cell r="Z1959" t="str">
            <v>153213</v>
          </cell>
        </row>
        <row r="1960">
          <cell r="Z1960" t="str">
            <v>153214</v>
          </cell>
        </row>
        <row r="1961">
          <cell r="Z1961" t="str">
            <v>153219</v>
          </cell>
        </row>
        <row r="1962">
          <cell r="Z1962" t="str">
            <v>153220</v>
          </cell>
        </row>
        <row r="1963">
          <cell r="Z1963" t="str">
            <v>153221</v>
          </cell>
        </row>
        <row r="1964">
          <cell r="Z1964" t="str">
            <v>153222</v>
          </cell>
        </row>
        <row r="1965">
          <cell r="Z1965" t="str">
            <v>153223</v>
          </cell>
        </row>
        <row r="1966">
          <cell r="Z1966" t="str">
            <v>153224</v>
          </cell>
        </row>
        <row r="1967">
          <cell r="Z1967" t="str">
            <v>153229</v>
          </cell>
        </row>
        <row r="1968">
          <cell r="Z1968" t="str">
            <v>153300</v>
          </cell>
        </row>
        <row r="1969">
          <cell r="Z1969" t="str">
            <v>153310</v>
          </cell>
        </row>
        <row r="1970">
          <cell r="Z1970" t="str">
            <v>153311</v>
          </cell>
        </row>
        <row r="1971">
          <cell r="Z1971" t="str">
            <v>153312</v>
          </cell>
        </row>
        <row r="1972">
          <cell r="Z1972" t="str">
            <v>153313</v>
          </cell>
        </row>
        <row r="1973">
          <cell r="Z1973" t="str">
            <v>153314</v>
          </cell>
        </row>
        <row r="1974">
          <cell r="Z1974" t="str">
            <v>153319</v>
          </cell>
        </row>
        <row r="1975">
          <cell r="Z1975" t="str">
            <v>153320</v>
          </cell>
        </row>
        <row r="1976">
          <cell r="Z1976" t="str">
            <v>153321</v>
          </cell>
        </row>
        <row r="1977">
          <cell r="Z1977" t="str">
            <v>153322</v>
          </cell>
        </row>
        <row r="1978">
          <cell r="Z1978" t="str">
            <v>153323</v>
          </cell>
        </row>
        <row r="1979">
          <cell r="Z1979" t="str">
            <v>153324</v>
          </cell>
        </row>
        <row r="1980">
          <cell r="Z1980" t="str">
            <v>153329</v>
          </cell>
        </row>
        <row r="1981">
          <cell r="Z1981" t="str">
            <v>153400</v>
          </cell>
        </row>
        <row r="1982">
          <cell r="Z1982" t="str">
            <v>153410</v>
          </cell>
        </row>
        <row r="1983">
          <cell r="Z1983" t="str">
            <v>153411</v>
          </cell>
        </row>
        <row r="1984">
          <cell r="Z1984" t="str">
            <v>153412</v>
          </cell>
        </row>
        <row r="1985">
          <cell r="Z1985" t="str">
            <v>153413</v>
          </cell>
        </row>
        <row r="1986">
          <cell r="Z1986" t="str">
            <v>153414</v>
          </cell>
        </row>
        <row r="1987">
          <cell r="Z1987" t="str">
            <v>153419</v>
          </cell>
        </row>
        <row r="1988">
          <cell r="Z1988" t="str">
            <v>153420</v>
          </cell>
        </row>
        <row r="1989">
          <cell r="Z1989" t="str">
            <v>153421</v>
          </cell>
        </row>
        <row r="1990">
          <cell r="Z1990" t="str">
            <v>153422</v>
          </cell>
        </row>
        <row r="1991">
          <cell r="Z1991" t="str">
            <v>153423</v>
          </cell>
        </row>
        <row r="1992">
          <cell r="Z1992" t="str">
            <v>153424</v>
          </cell>
        </row>
        <row r="1993">
          <cell r="Z1993" t="str">
            <v>153429</v>
          </cell>
        </row>
        <row r="1994">
          <cell r="Z1994" t="str">
            <v>153500</v>
          </cell>
        </row>
        <row r="1995">
          <cell r="Z1995" t="str">
            <v>153510</v>
          </cell>
        </row>
        <row r="1996">
          <cell r="Z1996" t="str">
            <v>153511</v>
          </cell>
        </row>
        <row r="1997">
          <cell r="Z1997" t="str">
            <v>153512</v>
          </cell>
        </row>
        <row r="1998">
          <cell r="Z1998" t="str">
            <v>153513</v>
          </cell>
        </row>
        <row r="1999">
          <cell r="Z1999" t="str">
            <v>153514</v>
          </cell>
        </row>
        <row r="2000">
          <cell r="Z2000" t="str">
            <v>153519</v>
          </cell>
        </row>
        <row r="2001">
          <cell r="Z2001" t="str">
            <v>153520</v>
          </cell>
        </row>
        <row r="2002">
          <cell r="Z2002" t="str">
            <v>153521</v>
          </cell>
        </row>
        <row r="2003">
          <cell r="Z2003" t="str">
            <v>153522</v>
          </cell>
        </row>
        <row r="2004">
          <cell r="Z2004" t="str">
            <v>153523</v>
          </cell>
        </row>
        <row r="2005">
          <cell r="Z2005" t="str">
            <v>153524</v>
          </cell>
        </row>
        <row r="2006">
          <cell r="Z2006" t="str">
            <v>153529</v>
          </cell>
        </row>
        <row r="2007">
          <cell r="Z2007" t="str">
            <v>153900</v>
          </cell>
        </row>
        <row r="2008">
          <cell r="Z2008" t="str">
            <v>153910</v>
          </cell>
        </row>
        <row r="2009">
          <cell r="Z2009" t="str">
            <v>153911</v>
          </cell>
        </row>
        <row r="2010">
          <cell r="Z2010" t="str">
            <v>153912</v>
          </cell>
        </row>
        <row r="2011">
          <cell r="Z2011" t="str">
            <v>153913</v>
          </cell>
        </row>
        <row r="2012">
          <cell r="Z2012" t="str">
            <v>153914</v>
          </cell>
        </row>
        <row r="2013">
          <cell r="Z2013" t="str">
            <v>153919</v>
          </cell>
        </row>
        <row r="2014">
          <cell r="Z2014" t="str">
            <v>153920</v>
          </cell>
        </row>
        <row r="2015">
          <cell r="Z2015" t="str">
            <v>153921</v>
          </cell>
        </row>
        <row r="2016">
          <cell r="Z2016" t="str">
            <v>153922</v>
          </cell>
        </row>
        <row r="2017">
          <cell r="Z2017" t="str">
            <v>153923</v>
          </cell>
        </row>
        <row r="2018">
          <cell r="Z2018" t="str">
            <v>153924</v>
          </cell>
        </row>
        <row r="2019">
          <cell r="Z2019" t="str">
            <v>153929</v>
          </cell>
        </row>
        <row r="2020">
          <cell r="Z2020" t="str">
            <v>160000</v>
          </cell>
        </row>
        <row r="2021">
          <cell r="Z2021" t="str">
            <v>161000</v>
          </cell>
        </row>
        <row r="2022">
          <cell r="Z2022" t="str">
            <v>161100</v>
          </cell>
        </row>
        <row r="2023">
          <cell r="Z2023" t="str">
            <v>161110</v>
          </cell>
        </row>
        <row r="2024">
          <cell r="Z2024" t="str">
            <v>161111</v>
          </cell>
        </row>
        <row r="2025">
          <cell r="Z2025" t="str">
            <v>161112</v>
          </cell>
        </row>
        <row r="2026">
          <cell r="Z2026" t="str">
            <v>161113</v>
          </cell>
        </row>
        <row r="2027">
          <cell r="Z2027" t="str">
            <v>161114</v>
          </cell>
        </row>
        <row r="2028">
          <cell r="Z2028" t="str">
            <v>161119</v>
          </cell>
        </row>
        <row r="2029">
          <cell r="Z2029" t="str">
            <v>161120</v>
          </cell>
        </row>
        <row r="2030">
          <cell r="Z2030" t="str">
            <v>161121</v>
          </cell>
        </row>
        <row r="2031">
          <cell r="Z2031" t="str">
            <v>161122</v>
          </cell>
        </row>
        <row r="2032">
          <cell r="Z2032" t="str">
            <v>161123</v>
          </cell>
        </row>
        <row r="2033">
          <cell r="Z2033" t="str">
            <v>161124</v>
          </cell>
        </row>
        <row r="2034">
          <cell r="Z2034" t="str">
            <v>161129</v>
          </cell>
        </row>
        <row r="2035">
          <cell r="Z2035" t="str">
            <v>161200</v>
          </cell>
        </row>
        <row r="2036">
          <cell r="Z2036" t="str">
            <v>161210</v>
          </cell>
        </row>
        <row r="2037">
          <cell r="Z2037" t="str">
            <v>161211</v>
          </cell>
        </row>
        <row r="2038">
          <cell r="Z2038" t="str">
            <v>161212</v>
          </cell>
        </row>
        <row r="2039">
          <cell r="Z2039" t="str">
            <v>161213</v>
          </cell>
        </row>
        <row r="2040">
          <cell r="Z2040" t="str">
            <v>161214</v>
          </cell>
        </row>
        <row r="2041">
          <cell r="Z2041" t="str">
            <v>161219</v>
          </cell>
        </row>
        <row r="2042">
          <cell r="Z2042" t="str">
            <v>161220</v>
          </cell>
        </row>
        <row r="2043">
          <cell r="Z2043" t="str">
            <v>161221</v>
          </cell>
        </row>
        <row r="2044">
          <cell r="Z2044" t="str">
            <v>161222</v>
          </cell>
        </row>
        <row r="2045">
          <cell r="Z2045" t="str">
            <v>161223</v>
          </cell>
        </row>
        <row r="2046">
          <cell r="Z2046" t="str">
            <v>161224</v>
          </cell>
        </row>
        <row r="2047">
          <cell r="Z2047" t="str">
            <v>161229</v>
          </cell>
        </row>
        <row r="2048">
          <cell r="Z2048" t="str">
            <v>161300</v>
          </cell>
        </row>
        <row r="2049">
          <cell r="Z2049" t="str">
            <v>161310</v>
          </cell>
        </row>
        <row r="2050">
          <cell r="Z2050" t="str">
            <v>161311</v>
          </cell>
        </row>
        <row r="2051">
          <cell r="Z2051" t="str">
            <v>161312</v>
          </cell>
        </row>
        <row r="2052">
          <cell r="Z2052" t="str">
            <v>161313</v>
          </cell>
        </row>
        <row r="2053">
          <cell r="Z2053" t="str">
            <v>161314</v>
          </cell>
        </row>
        <row r="2054">
          <cell r="Z2054" t="str">
            <v>161319</v>
          </cell>
        </row>
        <row r="2055">
          <cell r="Z2055" t="str">
            <v>161320</v>
          </cell>
        </row>
        <row r="2056">
          <cell r="Z2056" t="str">
            <v>161321</v>
          </cell>
        </row>
        <row r="2057">
          <cell r="Z2057" t="str">
            <v>161322</v>
          </cell>
        </row>
        <row r="2058">
          <cell r="Z2058" t="str">
            <v>161323</v>
          </cell>
        </row>
        <row r="2059">
          <cell r="Z2059" t="str">
            <v>161324</v>
          </cell>
        </row>
        <row r="2060">
          <cell r="Z2060" t="str">
            <v>161329</v>
          </cell>
        </row>
        <row r="2061">
          <cell r="Z2061" t="str">
            <v>162000</v>
          </cell>
        </row>
        <row r="2062">
          <cell r="Z2062" t="str">
            <v>162100</v>
          </cell>
        </row>
        <row r="2063">
          <cell r="Z2063" t="str">
            <v>162110</v>
          </cell>
        </row>
        <row r="2064">
          <cell r="Z2064" t="str">
            <v>162111</v>
          </cell>
        </row>
        <row r="2065">
          <cell r="Z2065" t="str">
            <v>162112</v>
          </cell>
        </row>
        <row r="2066">
          <cell r="Z2066" t="str">
            <v>162113</v>
          </cell>
        </row>
        <row r="2067">
          <cell r="Z2067" t="str">
            <v>162114</v>
          </cell>
        </row>
        <row r="2068">
          <cell r="Z2068" t="str">
            <v>162119</v>
          </cell>
        </row>
        <row r="2069">
          <cell r="Z2069" t="str">
            <v>162120</v>
          </cell>
        </row>
        <row r="2070">
          <cell r="Z2070" t="str">
            <v>162121</v>
          </cell>
        </row>
        <row r="2071">
          <cell r="Z2071" t="str">
            <v>162122</v>
          </cell>
        </row>
        <row r="2072">
          <cell r="Z2072" t="str">
            <v>162123</v>
          </cell>
        </row>
        <row r="2073">
          <cell r="Z2073" t="str">
            <v>162124</v>
          </cell>
        </row>
        <row r="2074">
          <cell r="Z2074" t="str">
            <v>162129</v>
          </cell>
        </row>
        <row r="2075">
          <cell r="Z2075" t="str">
            <v>162130</v>
          </cell>
        </row>
        <row r="2076">
          <cell r="Z2076" t="str">
            <v>162131</v>
          </cell>
        </row>
        <row r="2077">
          <cell r="Z2077" t="str">
            <v>162132</v>
          </cell>
        </row>
        <row r="2078">
          <cell r="Z2078" t="str">
            <v>162133</v>
          </cell>
        </row>
        <row r="2079">
          <cell r="Z2079" t="str">
            <v>162134</v>
          </cell>
        </row>
        <row r="2080">
          <cell r="Z2080" t="str">
            <v>162139</v>
          </cell>
        </row>
        <row r="2081">
          <cell r="Z2081" t="str">
            <v>162200</v>
          </cell>
        </row>
        <row r="2082">
          <cell r="Z2082" t="str">
            <v>162210</v>
          </cell>
        </row>
        <row r="2083">
          <cell r="Z2083" t="str">
            <v>162211</v>
          </cell>
        </row>
        <row r="2084">
          <cell r="Z2084" t="str">
            <v>162212</v>
          </cell>
        </row>
        <row r="2085">
          <cell r="Z2085" t="str">
            <v>162213</v>
          </cell>
        </row>
        <row r="2086">
          <cell r="Z2086" t="str">
            <v>162214</v>
          </cell>
        </row>
        <row r="2087">
          <cell r="Z2087" t="str">
            <v>162219</v>
          </cell>
        </row>
        <row r="2088">
          <cell r="Z2088" t="str">
            <v>162220</v>
          </cell>
        </row>
        <row r="2089">
          <cell r="Z2089" t="str">
            <v>162221</v>
          </cell>
        </row>
        <row r="2090">
          <cell r="Z2090" t="str">
            <v>162222</v>
          </cell>
        </row>
        <row r="2091">
          <cell r="Z2091" t="str">
            <v>162223</v>
          </cell>
        </row>
        <row r="2092">
          <cell r="Z2092" t="str">
            <v>162224</v>
          </cell>
        </row>
        <row r="2093">
          <cell r="Z2093" t="str">
            <v>162229</v>
          </cell>
        </row>
        <row r="2094">
          <cell r="Z2094" t="str">
            <v>162230</v>
          </cell>
        </row>
        <row r="2095">
          <cell r="Z2095" t="str">
            <v>162231</v>
          </cell>
        </row>
        <row r="2096">
          <cell r="Z2096" t="str">
            <v>162232</v>
          </cell>
        </row>
        <row r="2097">
          <cell r="Z2097" t="str">
            <v>162233</v>
          </cell>
        </row>
        <row r="2098">
          <cell r="Z2098" t="str">
            <v>162234</v>
          </cell>
        </row>
        <row r="2099">
          <cell r="Z2099" t="str">
            <v>162239</v>
          </cell>
        </row>
        <row r="2100">
          <cell r="Z2100" t="str">
            <v>162300</v>
          </cell>
        </row>
        <row r="2101">
          <cell r="Z2101" t="str">
            <v>162310</v>
          </cell>
        </row>
        <row r="2102">
          <cell r="Z2102" t="str">
            <v>162311</v>
          </cell>
        </row>
        <row r="2103">
          <cell r="Z2103" t="str">
            <v>162312</v>
          </cell>
        </row>
        <row r="2104">
          <cell r="Z2104" t="str">
            <v>162313</v>
          </cell>
        </row>
        <row r="2105">
          <cell r="Z2105" t="str">
            <v>162314</v>
          </cell>
        </row>
        <row r="2106">
          <cell r="Z2106" t="str">
            <v>162319</v>
          </cell>
        </row>
        <row r="2107">
          <cell r="Z2107" t="str">
            <v>162320</v>
          </cell>
        </row>
        <row r="2108">
          <cell r="Z2108" t="str">
            <v>162321</v>
          </cell>
        </row>
        <row r="2109">
          <cell r="Z2109" t="str">
            <v>162322</v>
          </cell>
        </row>
        <row r="2110">
          <cell r="Z2110" t="str">
            <v>162323</v>
          </cell>
        </row>
        <row r="2111">
          <cell r="Z2111" t="str">
            <v>162324</v>
          </cell>
        </row>
        <row r="2112">
          <cell r="Z2112" t="str">
            <v>162329</v>
          </cell>
        </row>
        <row r="2113">
          <cell r="Z2113" t="str">
            <v>162330</v>
          </cell>
        </row>
        <row r="2114">
          <cell r="Z2114" t="str">
            <v>162331</v>
          </cell>
        </row>
        <row r="2115">
          <cell r="Z2115" t="str">
            <v>162332</v>
          </cell>
        </row>
        <row r="2116">
          <cell r="Z2116" t="str">
            <v>162333</v>
          </cell>
        </row>
        <row r="2117">
          <cell r="Z2117" t="str">
            <v>162334</v>
          </cell>
        </row>
        <row r="2118">
          <cell r="Z2118" t="str">
            <v>162339</v>
          </cell>
        </row>
        <row r="2119">
          <cell r="Z2119" t="str">
            <v>162340</v>
          </cell>
        </row>
        <row r="2120">
          <cell r="Z2120" t="str">
            <v>162341</v>
          </cell>
        </row>
        <row r="2121">
          <cell r="Z2121" t="str">
            <v>162342</v>
          </cell>
        </row>
        <row r="2122">
          <cell r="Z2122" t="str">
            <v>162343</v>
          </cell>
        </row>
        <row r="2123">
          <cell r="Z2123" t="str">
            <v>162344</v>
          </cell>
        </row>
        <row r="2124">
          <cell r="Z2124" t="str">
            <v>162349</v>
          </cell>
        </row>
        <row r="2125">
          <cell r="Z2125" t="str">
            <v>162350</v>
          </cell>
        </row>
        <row r="2126">
          <cell r="Z2126" t="str">
            <v>162351</v>
          </cell>
        </row>
        <row r="2127">
          <cell r="Z2127" t="str">
            <v>162352</v>
          </cell>
        </row>
        <row r="2128">
          <cell r="Z2128" t="str">
            <v>162353</v>
          </cell>
        </row>
        <row r="2129">
          <cell r="Z2129" t="str">
            <v>162354</v>
          </cell>
        </row>
        <row r="2130">
          <cell r="Z2130" t="str">
            <v>162359</v>
          </cell>
        </row>
        <row r="2131">
          <cell r="Z2131" t="str">
            <v>162360</v>
          </cell>
        </row>
        <row r="2132">
          <cell r="Z2132" t="str">
            <v>162361</v>
          </cell>
        </row>
        <row r="2133">
          <cell r="Z2133" t="str">
            <v>162362</v>
          </cell>
        </row>
        <row r="2134">
          <cell r="Z2134" t="str">
            <v>162363</v>
          </cell>
        </row>
        <row r="2135">
          <cell r="Z2135" t="str">
            <v>162364</v>
          </cell>
        </row>
        <row r="2136">
          <cell r="Z2136" t="str">
            <v>162369</v>
          </cell>
        </row>
        <row r="2137">
          <cell r="Z2137" t="str">
            <v>162370</v>
          </cell>
        </row>
        <row r="2138">
          <cell r="Z2138" t="str">
            <v>162371</v>
          </cell>
        </row>
        <row r="2139">
          <cell r="Z2139" t="str">
            <v>162372</v>
          </cell>
        </row>
        <row r="2140">
          <cell r="Z2140" t="str">
            <v>162373</v>
          </cell>
        </row>
        <row r="2141">
          <cell r="Z2141" t="str">
            <v>162374</v>
          </cell>
        </row>
        <row r="2142">
          <cell r="Z2142" t="str">
            <v>162379</v>
          </cell>
        </row>
        <row r="2143">
          <cell r="Z2143" t="str">
            <v>162380</v>
          </cell>
        </row>
        <row r="2144">
          <cell r="Z2144" t="str">
            <v>162381</v>
          </cell>
        </row>
        <row r="2145">
          <cell r="Z2145" t="str">
            <v>162382</v>
          </cell>
        </row>
        <row r="2146">
          <cell r="Z2146" t="str">
            <v>162383</v>
          </cell>
        </row>
        <row r="2147">
          <cell r="Z2147" t="str">
            <v>162384</v>
          </cell>
        </row>
        <row r="2148">
          <cell r="Z2148" t="str">
            <v>162389</v>
          </cell>
        </row>
        <row r="2149">
          <cell r="Z2149" t="str">
            <v>162390</v>
          </cell>
        </row>
        <row r="2150">
          <cell r="Z2150" t="str">
            <v>162391</v>
          </cell>
        </row>
        <row r="2151">
          <cell r="Z2151" t="str">
            <v>162392</v>
          </cell>
        </row>
        <row r="2152">
          <cell r="Z2152" t="str">
            <v>162393</v>
          </cell>
        </row>
        <row r="2153">
          <cell r="Z2153" t="str">
            <v>162394</v>
          </cell>
        </row>
        <row r="2154">
          <cell r="Z2154" t="str">
            <v>162399</v>
          </cell>
        </row>
        <row r="2155">
          <cell r="Z2155" t="str">
            <v>162400</v>
          </cell>
        </row>
        <row r="2156">
          <cell r="Z2156" t="str">
            <v>162410</v>
          </cell>
        </row>
        <row r="2157">
          <cell r="Z2157" t="str">
            <v>162411</v>
          </cell>
        </row>
        <row r="2158">
          <cell r="Z2158" t="str">
            <v>162412</v>
          </cell>
        </row>
        <row r="2159">
          <cell r="Z2159" t="str">
            <v>162413</v>
          </cell>
        </row>
        <row r="2160">
          <cell r="Z2160" t="str">
            <v>162414</v>
          </cell>
        </row>
        <row r="2161">
          <cell r="Z2161" t="str">
            <v>162419</v>
          </cell>
        </row>
        <row r="2162">
          <cell r="Z2162" t="str">
            <v>162420</v>
          </cell>
        </row>
        <row r="2163">
          <cell r="Z2163" t="str">
            <v>162421</v>
          </cell>
        </row>
        <row r="2164">
          <cell r="Z2164" t="str">
            <v>162422</v>
          </cell>
        </row>
        <row r="2165">
          <cell r="Z2165" t="str">
            <v>162423</v>
          </cell>
        </row>
        <row r="2166">
          <cell r="Z2166" t="str">
            <v>162424</v>
          </cell>
        </row>
        <row r="2167">
          <cell r="Z2167" t="str">
            <v>162429</v>
          </cell>
        </row>
        <row r="2168">
          <cell r="Z2168" t="str">
            <v>162430</v>
          </cell>
        </row>
        <row r="2169">
          <cell r="Z2169" t="str">
            <v>162431</v>
          </cell>
        </row>
        <row r="2170">
          <cell r="Z2170" t="str">
            <v>162432</v>
          </cell>
        </row>
        <row r="2171">
          <cell r="Z2171" t="str">
            <v>162433</v>
          </cell>
        </row>
        <row r="2172">
          <cell r="Z2172" t="str">
            <v>162434</v>
          </cell>
        </row>
        <row r="2173">
          <cell r="Z2173" t="str">
            <v>162439</v>
          </cell>
        </row>
        <row r="2174">
          <cell r="Z2174" t="str">
            <v>162500</v>
          </cell>
        </row>
        <row r="2175">
          <cell r="Z2175" t="str">
            <v>162510</v>
          </cell>
        </row>
        <row r="2176">
          <cell r="Z2176" t="str">
            <v>162511</v>
          </cell>
        </row>
        <row r="2177">
          <cell r="Z2177" t="str">
            <v>162512</v>
          </cell>
        </row>
        <row r="2178">
          <cell r="Z2178" t="str">
            <v>162513</v>
          </cell>
        </row>
        <row r="2179">
          <cell r="Z2179" t="str">
            <v>162514</v>
          </cell>
        </row>
        <row r="2180">
          <cell r="Z2180" t="str">
            <v>162519</v>
          </cell>
        </row>
        <row r="2181">
          <cell r="Z2181" t="str">
            <v>162520</v>
          </cell>
        </row>
        <row r="2182">
          <cell r="Z2182" t="str">
            <v>162521</v>
          </cell>
        </row>
        <row r="2183">
          <cell r="Z2183" t="str">
            <v>162522</v>
          </cell>
        </row>
        <row r="2184">
          <cell r="Z2184" t="str">
            <v>162523</v>
          </cell>
        </row>
        <row r="2185">
          <cell r="Z2185" t="str">
            <v>162524</v>
          </cell>
        </row>
        <row r="2186">
          <cell r="Z2186" t="str">
            <v>162529</v>
          </cell>
        </row>
        <row r="2187">
          <cell r="Z2187" t="str">
            <v>162600</v>
          </cell>
        </row>
        <row r="2188">
          <cell r="Z2188" t="str">
            <v>162610</v>
          </cell>
        </row>
        <row r="2189">
          <cell r="Z2189" t="str">
            <v>162611</v>
          </cell>
        </row>
        <row r="2190">
          <cell r="Z2190" t="str">
            <v>162612</v>
          </cell>
        </row>
        <row r="2191">
          <cell r="Z2191" t="str">
            <v>162613</v>
          </cell>
        </row>
        <row r="2192">
          <cell r="Z2192" t="str">
            <v>162614</v>
          </cell>
        </row>
        <row r="2193">
          <cell r="Z2193" t="str">
            <v>162619</v>
          </cell>
        </row>
        <row r="2194">
          <cell r="Z2194" t="str">
            <v>162620</v>
          </cell>
        </row>
        <row r="2195">
          <cell r="Z2195" t="str">
            <v>162621</v>
          </cell>
        </row>
        <row r="2196">
          <cell r="Z2196" t="str">
            <v>162622</v>
          </cell>
        </row>
        <row r="2197">
          <cell r="Z2197" t="str">
            <v>162623</v>
          </cell>
        </row>
        <row r="2198">
          <cell r="Z2198" t="str">
            <v>162624</v>
          </cell>
        </row>
        <row r="2199">
          <cell r="Z2199" t="str">
            <v>162629</v>
          </cell>
        </row>
        <row r="2200">
          <cell r="Z2200" t="str">
            <v>162700</v>
          </cell>
        </row>
        <row r="2201">
          <cell r="Z2201" t="str">
            <v>162710</v>
          </cell>
        </row>
        <row r="2202">
          <cell r="Z2202" t="str">
            <v>162711</v>
          </cell>
        </row>
        <row r="2203">
          <cell r="Z2203" t="str">
            <v>162712</v>
          </cell>
        </row>
        <row r="2204">
          <cell r="Z2204" t="str">
            <v>162713</v>
          </cell>
        </row>
        <row r="2205">
          <cell r="Z2205" t="str">
            <v>162714</v>
          </cell>
        </row>
        <row r="2206">
          <cell r="Z2206" t="str">
            <v>162719</v>
          </cell>
        </row>
        <row r="2207">
          <cell r="Z2207" t="str">
            <v>162720</v>
          </cell>
        </row>
        <row r="2208">
          <cell r="Z2208" t="str">
            <v>162721</v>
          </cell>
        </row>
        <row r="2209">
          <cell r="Z2209" t="str">
            <v>162722</v>
          </cell>
        </row>
        <row r="2210">
          <cell r="Z2210" t="str">
            <v>162723</v>
          </cell>
        </row>
        <row r="2211">
          <cell r="Z2211" t="str">
            <v>162724</v>
          </cell>
        </row>
        <row r="2212">
          <cell r="Z2212" t="str">
            <v>162729</v>
          </cell>
        </row>
        <row r="2213">
          <cell r="Z2213" t="str">
            <v>162730</v>
          </cell>
        </row>
        <row r="2214">
          <cell r="Z2214" t="str">
            <v>162731</v>
          </cell>
        </row>
        <row r="2215">
          <cell r="Z2215" t="str">
            <v>162732</v>
          </cell>
        </row>
        <row r="2216">
          <cell r="Z2216" t="str">
            <v>162733</v>
          </cell>
        </row>
        <row r="2217">
          <cell r="Z2217" t="str">
            <v>162734</v>
          </cell>
        </row>
        <row r="2218">
          <cell r="Z2218" t="str">
            <v>162739</v>
          </cell>
        </row>
        <row r="2219">
          <cell r="Z2219" t="str">
            <v>162740</v>
          </cell>
        </row>
        <row r="2220">
          <cell r="Z2220" t="str">
            <v>162741</v>
          </cell>
        </row>
        <row r="2221">
          <cell r="Z2221" t="str">
            <v>162742</v>
          </cell>
        </row>
        <row r="2222">
          <cell r="Z2222" t="str">
            <v>162743</v>
          </cell>
        </row>
        <row r="2223">
          <cell r="Z2223" t="str">
            <v>162744</v>
          </cell>
        </row>
        <row r="2224">
          <cell r="Z2224" t="str">
            <v>162749</v>
          </cell>
        </row>
        <row r="2225">
          <cell r="Z2225" t="str">
            <v>162750</v>
          </cell>
        </row>
        <row r="2226">
          <cell r="Z2226" t="str">
            <v>162751</v>
          </cell>
        </row>
        <row r="2227">
          <cell r="Z2227" t="str">
            <v>162752</v>
          </cell>
        </row>
        <row r="2228">
          <cell r="Z2228" t="str">
            <v>162753</v>
          </cell>
        </row>
        <row r="2229">
          <cell r="Z2229" t="str">
            <v>162754</v>
          </cell>
        </row>
        <row r="2230">
          <cell r="Z2230" t="str">
            <v>162759</v>
          </cell>
        </row>
        <row r="2231">
          <cell r="Z2231" t="str">
            <v>162760</v>
          </cell>
        </row>
        <row r="2232">
          <cell r="Z2232" t="str">
            <v>162761</v>
          </cell>
        </row>
        <row r="2233">
          <cell r="Z2233" t="str">
            <v>162762</v>
          </cell>
        </row>
        <row r="2234">
          <cell r="Z2234" t="str">
            <v>162763</v>
          </cell>
        </row>
        <row r="2235">
          <cell r="Z2235" t="str">
            <v>162764</v>
          </cell>
        </row>
        <row r="2236">
          <cell r="Z2236" t="str">
            <v>162769</v>
          </cell>
        </row>
        <row r="2237">
          <cell r="Z2237" t="str">
            <v>162770</v>
          </cell>
        </row>
        <row r="2238">
          <cell r="Z2238" t="str">
            <v>162771</v>
          </cell>
        </row>
        <row r="2239">
          <cell r="Z2239" t="str">
            <v>162772</v>
          </cell>
        </row>
        <row r="2240">
          <cell r="Z2240" t="str">
            <v>162773</v>
          </cell>
        </row>
        <row r="2241">
          <cell r="Z2241" t="str">
            <v>162774</v>
          </cell>
        </row>
        <row r="2242">
          <cell r="Z2242" t="str">
            <v>162779</v>
          </cell>
        </row>
        <row r="2243">
          <cell r="Z2243" t="str">
            <v>162780</v>
          </cell>
        </row>
        <row r="2244">
          <cell r="Z2244" t="str">
            <v>162781</v>
          </cell>
        </row>
        <row r="2245">
          <cell r="Z2245" t="str">
            <v>162782</v>
          </cell>
        </row>
        <row r="2246">
          <cell r="Z2246" t="str">
            <v>162783</v>
          </cell>
        </row>
        <row r="2247">
          <cell r="Z2247" t="str">
            <v>162784</v>
          </cell>
        </row>
        <row r="2248">
          <cell r="Z2248" t="str">
            <v>162789</v>
          </cell>
        </row>
        <row r="2249">
          <cell r="Z2249" t="str">
            <v>162790</v>
          </cell>
        </row>
        <row r="2250">
          <cell r="Z2250" t="str">
            <v>162791</v>
          </cell>
        </row>
        <row r="2251">
          <cell r="Z2251" t="str">
            <v>162792</v>
          </cell>
        </row>
        <row r="2252">
          <cell r="Z2252" t="str">
            <v>162793</v>
          </cell>
        </row>
        <row r="2253">
          <cell r="Z2253" t="str">
            <v>162794</v>
          </cell>
        </row>
        <row r="2254">
          <cell r="Z2254" t="str">
            <v>162799</v>
          </cell>
        </row>
        <row r="2255">
          <cell r="Z2255" t="str">
            <v>16280</v>
          </cell>
        </row>
        <row r="2256">
          <cell r="Z2256" t="str">
            <v>162810</v>
          </cell>
        </row>
        <row r="2257">
          <cell r="Z2257" t="str">
            <v>162811</v>
          </cell>
        </row>
        <row r="2258">
          <cell r="Z2258" t="str">
            <v>162812</v>
          </cell>
        </row>
        <row r="2259">
          <cell r="Z2259" t="str">
            <v>162813</v>
          </cell>
        </row>
        <row r="2260">
          <cell r="Z2260" t="str">
            <v>162814</v>
          </cell>
        </row>
        <row r="2261">
          <cell r="Z2261" t="str">
            <v>162819</v>
          </cell>
        </row>
        <row r="2262">
          <cell r="Z2262" t="str">
            <v>162820</v>
          </cell>
        </row>
        <row r="2263">
          <cell r="Z2263" t="str">
            <v>162821</v>
          </cell>
        </row>
        <row r="2264">
          <cell r="Z2264" t="str">
            <v>162822</v>
          </cell>
        </row>
        <row r="2265">
          <cell r="Z2265" t="str">
            <v>162823</v>
          </cell>
        </row>
        <row r="2266">
          <cell r="Z2266" t="str">
            <v>162824</v>
          </cell>
        </row>
        <row r="2267">
          <cell r="Z2267" t="str">
            <v>162829</v>
          </cell>
        </row>
        <row r="2268">
          <cell r="Z2268" t="str">
            <v>162830</v>
          </cell>
        </row>
        <row r="2269">
          <cell r="Z2269" t="str">
            <v>162831</v>
          </cell>
        </row>
        <row r="2270">
          <cell r="Z2270" t="str">
            <v>162832</v>
          </cell>
        </row>
        <row r="2271">
          <cell r="Z2271" t="str">
            <v>162833</v>
          </cell>
        </row>
        <row r="2272">
          <cell r="Z2272" t="str">
            <v>162834</v>
          </cell>
        </row>
        <row r="2273">
          <cell r="Z2273" t="str">
            <v>162839</v>
          </cell>
        </row>
        <row r="2274">
          <cell r="Z2274" t="str">
            <v>163000</v>
          </cell>
        </row>
        <row r="2275">
          <cell r="Z2275" t="str">
            <v>163100</v>
          </cell>
        </row>
        <row r="2276">
          <cell r="Z2276" t="str">
            <v>163110</v>
          </cell>
        </row>
        <row r="2277">
          <cell r="Z2277" t="str">
            <v>163111</v>
          </cell>
        </row>
        <row r="2278">
          <cell r="Z2278" t="str">
            <v>163112</v>
          </cell>
        </row>
        <row r="2279">
          <cell r="Z2279" t="str">
            <v>163113</v>
          </cell>
        </row>
        <row r="2280">
          <cell r="Z2280" t="str">
            <v>163114</v>
          </cell>
        </row>
        <row r="2281">
          <cell r="Z2281" t="str">
            <v>163119</v>
          </cell>
        </row>
        <row r="2282">
          <cell r="Z2282" t="str">
            <v>163120</v>
          </cell>
        </row>
        <row r="2283">
          <cell r="Z2283" t="str">
            <v>163121</v>
          </cell>
        </row>
        <row r="2284">
          <cell r="Z2284" t="str">
            <v>163122</v>
          </cell>
        </row>
        <row r="2285">
          <cell r="Z2285" t="str">
            <v>163123</v>
          </cell>
        </row>
        <row r="2286">
          <cell r="Z2286" t="str">
            <v>163124</v>
          </cell>
        </row>
        <row r="2287">
          <cell r="Z2287" t="str">
            <v>163129</v>
          </cell>
        </row>
        <row r="2288">
          <cell r="Z2288" t="str">
            <v>163200</v>
          </cell>
        </row>
        <row r="2289">
          <cell r="Z2289" t="str">
            <v>163210</v>
          </cell>
        </row>
        <row r="2290">
          <cell r="Z2290" t="str">
            <v>163211</v>
          </cell>
        </row>
        <row r="2291">
          <cell r="Z2291" t="str">
            <v>163212</v>
          </cell>
        </row>
        <row r="2292">
          <cell r="Z2292" t="str">
            <v>163213</v>
          </cell>
        </row>
        <row r="2293">
          <cell r="Z2293" t="str">
            <v>163214</v>
          </cell>
        </row>
        <row r="2294">
          <cell r="Z2294" t="str">
            <v>163219</v>
          </cell>
        </row>
        <row r="2295">
          <cell r="Z2295" t="str">
            <v>163220</v>
          </cell>
        </row>
        <row r="2296">
          <cell r="Z2296" t="str">
            <v>163221</v>
          </cell>
        </row>
        <row r="2297">
          <cell r="Z2297" t="str">
            <v>163222</v>
          </cell>
        </row>
        <row r="2298">
          <cell r="Z2298" t="str">
            <v>163223</v>
          </cell>
        </row>
        <row r="2299">
          <cell r="Z2299" t="str">
            <v>163224</v>
          </cell>
        </row>
        <row r="2300">
          <cell r="Z2300" t="str">
            <v>163229</v>
          </cell>
        </row>
        <row r="2301">
          <cell r="Z2301" t="str">
            <v>163300</v>
          </cell>
        </row>
        <row r="2302">
          <cell r="Z2302" t="str">
            <v>163310</v>
          </cell>
        </row>
        <row r="2303">
          <cell r="Z2303" t="str">
            <v>163311</v>
          </cell>
        </row>
        <row r="2304">
          <cell r="Z2304" t="str">
            <v>163312</v>
          </cell>
        </row>
        <row r="2305">
          <cell r="Z2305" t="str">
            <v>163313</v>
          </cell>
        </row>
        <row r="2306">
          <cell r="Z2306" t="str">
            <v>163314</v>
          </cell>
        </row>
        <row r="2307">
          <cell r="Z2307" t="str">
            <v>163319</v>
          </cell>
        </row>
        <row r="2308">
          <cell r="Z2308" t="str">
            <v>163320</v>
          </cell>
        </row>
        <row r="2309">
          <cell r="Z2309" t="str">
            <v>163321</v>
          </cell>
        </row>
        <row r="2310">
          <cell r="Z2310" t="str">
            <v>163322</v>
          </cell>
        </row>
        <row r="2311">
          <cell r="Z2311" t="str">
            <v>163323</v>
          </cell>
        </row>
        <row r="2312">
          <cell r="Z2312" t="str">
            <v>163324</v>
          </cell>
        </row>
        <row r="2313">
          <cell r="Z2313" t="str">
            <v>163329</v>
          </cell>
        </row>
        <row r="2314">
          <cell r="Z2314" t="str">
            <v>163400</v>
          </cell>
        </row>
        <row r="2315">
          <cell r="Z2315" t="str">
            <v>163410</v>
          </cell>
        </row>
        <row r="2316">
          <cell r="Z2316" t="str">
            <v>163411</v>
          </cell>
        </row>
        <row r="2317">
          <cell r="Z2317" t="str">
            <v>163412</v>
          </cell>
        </row>
        <row r="2318">
          <cell r="Z2318" t="str">
            <v>163413</v>
          </cell>
        </row>
        <row r="2319">
          <cell r="Z2319" t="str">
            <v>163414</v>
          </cell>
        </row>
        <row r="2320">
          <cell r="Z2320" t="str">
            <v>163419</v>
          </cell>
        </row>
        <row r="2321">
          <cell r="Z2321" t="str">
            <v>163420</v>
          </cell>
        </row>
        <row r="2322">
          <cell r="Z2322" t="str">
            <v>163421</v>
          </cell>
        </row>
        <row r="2323">
          <cell r="Z2323" t="str">
            <v>163422</v>
          </cell>
        </row>
        <row r="2324">
          <cell r="Z2324" t="str">
            <v>163423</v>
          </cell>
        </row>
        <row r="2325">
          <cell r="Z2325" t="str">
            <v>163424</v>
          </cell>
        </row>
        <row r="2326">
          <cell r="Z2326" t="str">
            <v>163429</v>
          </cell>
        </row>
        <row r="2327">
          <cell r="Z2327" t="str">
            <v>163500</v>
          </cell>
        </row>
        <row r="2328">
          <cell r="Z2328" t="str">
            <v>163510</v>
          </cell>
        </row>
        <row r="2329">
          <cell r="Z2329" t="str">
            <v>163511</v>
          </cell>
        </row>
        <row r="2330">
          <cell r="Z2330" t="str">
            <v>163512</v>
          </cell>
        </row>
        <row r="2331">
          <cell r="Z2331" t="str">
            <v>163513</v>
          </cell>
        </row>
        <row r="2332">
          <cell r="Z2332" t="str">
            <v>163514</v>
          </cell>
        </row>
        <row r="2333">
          <cell r="Z2333" t="str">
            <v>163519</v>
          </cell>
        </row>
        <row r="2334">
          <cell r="Z2334" t="str">
            <v>163520</v>
          </cell>
        </row>
        <row r="2335">
          <cell r="Z2335" t="str">
            <v>163521</v>
          </cell>
        </row>
        <row r="2336">
          <cell r="Z2336" t="str">
            <v>163522</v>
          </cell>
        </row>
        <row r="2337">
          <cell r="Z2337" t="str">
            <v>163523</v>
          </cell>
        </row>
        <row r="2338">
          <cell r="Z2338" t="str">
            <v>163524</v>
          </cell>
        </row>
        <row r="2339">
          <cell r="Z2339" t="str">
            <v>163529</v>
          </cell>
        </row>
        <row r="2340">
          <cell r="Z2340" t="str">
            <v>163900</v>
          </cell>
        </row>
        <row r="2341">
          <cell r="Z2341" t="str">
            <v>163910</v>
          </cell>
        </row>
        <row r="2342">
          <cell r="Z2342" t="str">
            <v>163911</v>
          </cell>
        </row>
        <row r="2343">
          <cell r="Z2343" t="str">
            <v>163912</v>
          </cell>
        </row>
        <row r="2344">
          <cell r="Z2344" t="str">
            <v>163913</v>
          </cell>
        </row>
        <row r="2345">
          <cell r="Z2345" t="str">
            <v>163914</v>
          </cell>
        </row>
        <row r="2346">
          <cell r="Z2346" t="str">
            <v>163919</v>
          </cell>
        </row>
        <row r="2347">
          <cell r="Z2347" t="str">
            <v>163920</v>
          </cell>
        </row>
        <row r="2348">
          <cell r="Z2348" t="str">
            <v>163921</v>
          </cell>
        </row>
        <row r="2349">
          <cell r="Z2349" t="str">
            <v>163922</v>
          </cell>
        </row>
        <row r="2350">
          <cell r="Z2350" t="str">
            <v>163923</v>
          </cell>
        </row>
        <row r="2351">
          <cell r="Z2351" t="str">
            <v>163924</v>
          </cell>
        </row>
        <row r="2352">
          <cell r="Z2352" t="str">
            <v>163929</v>
          </cell>
        </row>
        <row r="2353">
          <cell r="Z2353" t="str">
            <v>170000</v>
          </cell>
        </row>
        <row r="2354">
          <cell r="Z2354" t="str">
            <v>171000</v>
          </cell>
        </row>
        <row r="2355">
          <cell r="Z2355" t="str">
            <v>171100</v>
          </cell>
        </row>
        <row r="2356">
          <cell r="Z2356" t="str">
            <v>171101</v>
          </cell>
        </row>
        <row r="2357">
          <cell r="Z2357" t="str">
            <v>171102</v>
          </cell>
        </row>
        <row r="2358">
          <cell r="Z2358" t="str">
            <v>171103</v>
          </cell>
        </row>
        <row r="2359">
          <cell r="Z2359" t="str">
            <v>171104</v>
          </cell>
        </row>
        <row r="2360">
          <cell r="Z2360" t="str">
            <v>171109</v>
          </cell>
        </row>
        <row r="2361">
          <cell r="Z2361" t="str">
            <v>171200</v>
          </cell>
        </row>
        <row r="2362">
          <cell r="Z2362" t="str">
            <v>171201</v>
          </cell>
        </row>
        <row r="2363">
          <cell r="Z2363" t="str">
            <v>171202</v>
          </cell>
        </row>
        <row r="2364">
          <cell r="Z2364" t="str">
            <v>171203</v>
          </cell>
        </row>
        <row r="2365">
          <cell r="Z2365" t="str">
            <v>171204</v>
          </cell>
        </row>
        <row r="2366">
          <cell r="Z2366" t="str">
            <v>171209</v>
          </cell>
        </row>
        <row r="2367">
          <cell r="Z2367" t="str">
            <v>171300</v>
          </cell>
        </row>
        <row r="2368">
          <cell r="Z2368" t="str">
            <v>171301</v>
          </cell>
        </row>
        <row r="2369">
          <cell r="Z2369" t="str">
            <v>171302</v>
          </cell>
        </row>
        <row r="2370">
          <cell r="Z2370" t="str">
            <v>171303</v>
          </cell>
        </row>
        <row r="2371">
          <cell r="Z2371" t="str">
            <v>171304</v>
          </cell>
        </row>
        <row r="2372">
          <cell r="Z2372" t="str">
            <v>171309</v>
          </cell>
        </row>
        <row r="2373">
          <cell r="Z2373" t="str">
            <v>172000</v>
          </cell>
        </row>
        <row r="2374">
          <cell r="Z2374" t="str">
            <v>172100</v>
          </cell>
        </row>
        <row r="2375">
          <cell r="Z2375" t="str">
            <v>172101</v>
          </cell>
        </row>
        <row r="2376">
          <cell r="Z2376" t="str">
            <v>172102</v>
          </cell>
        </row>
        <row r="2377">
          <cell r="Z2377" t="str">
            <v>172103</v>
          </cell>
        </row>
        <row r="2378">
          <cell r="Z2378" t="str">
            <v>172104</v>
          </cell>
        </row>
        <row r="2379">
          <cell r="Z2379" t="str">
            <v>172109</v>
          </cell>
        </row>
        <row r="2380">
          <cell r="Z2380" t="str">
            <v>172200</v>
          </cell>
        </row>
        <row r="2381">
          <cell r="Z2381" t="str">
            <v>172201</v>
          </cell>
        </row>
        <row r="2382">
          <cell r="Z2382" t="str">
            <v>172202</v>
          </cell>
        </row>
        <row r="2383">
          <cell r="Z2383" t="str">
            <v>172203</v>
          </cell>
        </row>
        <row r="2384">
          <cell r="Z2384" t="str">
            <v>172204</v>
          </cell>
        </row>
        <row r="2385">
          <cell r="Z2385" t="str">
            <v>172209</v>
          </cell>
        </row>
        <row r="2386">
          <cell r="Z2386" t="str">
            <v>172300</v>
          </cell>
        </row>
        <row r="2387">
          <cell r="Z2387" t="str">
            <v>172310</v>
          </cell>
        </row>
        <row r="2388">
          <cell r="Z2388" t="str">
            <v>172311</v>
          </cell>
        </row>
        <row r="2389">
          <cell r="Z2389" t="str">
            <v>172312</v>
          </cell>
        </row>
        <row r="2390">
          <cell r="Z2390" t="str">
            <v>172313</v>
          </cell>
        </row>
        <row r="2391">
          <cell r="Z2391" t="str">
            <v>172314</v>
          </cell>
        </row>
        <row r="2392">
          <cell r="Z2392" t="str">
            <v>172319</v>
          </cell>
        </row>
        <row r="2393">
          <cell r="Z2393" t="str">
            <v>172320</v>
          </cell>
        </row>
        <row r="2394">
          <cell r="Z2394" t="str">
            <v>172321</v>
          </cell>
        </row>
        <row r="2395">
          <cell r="Z2395" t="str">
            <v>172322</v>
          </cell>
        </row>
        <row r="2396">
          <cell r="Z2396" t="str">
            <v>172323</v>
          </cell>
        </row>
        <row r="2397">
          <cell r="Z2397" t="str">
            <v>172324</v>
          </cell>
        </row>
        <row r="2398">
          <cell r="Z2398" t="str">
            <v>172329</v>
          </cell>
        </row>
        <row r="2399">
          <cell r="Z2399" t="str">
            <v>172330</v>
          </cell>
        </row>
        <row r="2400">
          <cell r="Z2400" t="str">
            <v>172331</v>
          </cell>
        </row>
        <row r="2401">
          <cell r="Z2401" t="str">
            <v>172332</v>
          </cell>
        </row>
        <row r="2402">
          <cell r="Z2402" t="str">
            <v>172333</v>
          </cell>
        </row>
        <row r="2403">
          <cell r="Z2403" t="str">
            <v>172334</v>
          </cell>
        </row>
        <row r="2404">
          <cell r="Z2404" t="str">
            <v>172339</v>
          </cell>
        </row>
        <row r="2405">
          <cell r="Z2405" t="str">
            <v>172400</v>
          </cell>
        </row>
        <row r="2406">
          <cell r="Z2406" t="str">
            <v>172401</v>
          </cell>
        </row>
        <row r="2407">
          <cell r="Z2407" t="str">
            <v>172402</v>
          </cell>
        </row>
        <row r="2408">
          <cell r="Z2408" t="str">
            <v>172403</v>
          </cell>
        </row>
        <row r="2409">
          <cell r="Z2409" t="str">
            <v>172404</v>
          </cell>
        </row>
        <row r="2410">
          <cell r="Z2410" t="str">
            <v>172409</v>
          </cell>
        </row>
        <row r="2411">
          <cell r="Z2411" t="str">
            <v>172500</v>
          </cell>
        </row>
        <row r="2412">
          <cell r="Z2412" t="str">
            <v>172501</v>
          </cell>
        </row>
        <row r="2413">
          <cell r="Z2413" t="str">
            <v>172502</v>
          </cell>
        </row>
        <row r="2414">
          <cell r="Z2414" t="str">
            <v>172503</v>
          </cell>
        </row>
        <row r="2415">
          <cell r="Z2415" t="str">
            <v>172504</v>
          </cell>
        </row>
        <row r="2416">
          <cell r="Z2416" t="str">
            <v>172509</v>
          </cell>
        </row>
        <row r="2417">
          <cell r="Z2417" t="str">
            <v>172600</v>
          </cell>
        </row>
        <row r="2418">
          <cell r="Z2418" t="str">
            <v>172601</v>
          </cell>
        </row>
        <row r="2419">
          <cell r="Z2419" t="str">
            <v>172602</v>
          </cell>
        </row>
        <row r="2420">
          <cell r="Z2420" t="str">
            <v>172603</v>
          </cell>
        </row>
        <row r="2421">
          <cell r="Z2421" t="str">
            <v>172604</v>
          </cell>
        </row>
        <row r="2422">
          <cell r="Z2422" t="str">
            <v>172609</v>
          </cell>
        </row>
        <row r="2423">
          <cell r="Z2423" t="str">
            <v>172700</v>
          </cell>
        </row>
        <row r="2424">
          <cell r="Z2424" t="str">
            <v>172710</v>
          </cell>
        </row>
        <row r="2425">
          <cell r="Z2425" t="str">
            <v>172711</v>
          </cell>
        </row>
        <row r="2426">
          <cell r="Z2426" t="str">
            <v>172712</v>
          </cell>
        </row>
        <row r="2427">
          <cell r="Z2427" t="str">
            <v>172713</v>
          </cell>
        </row>
        <row r="2428">
          <cell r="Z2428" t="str">
            <v>172714</v>
          </cell>
        </row>
        <row r="2429">
          <cell r="Z2429" t="str">
            <v>172719</v>
          </cell>
        </row>
        <row r="2430">
          <cell r="Z2430" t="str">
            <v>172720</v>
          </cell>
        </row>
        <row r="2431">
          <cell r="Z2431" t="str">
            <v>172721</v>
          </cell>
        </row>
        <row r="2432">
          <cell r="Z2432" t="str">
            <v>172722</v>
          </cell>
        </row>
        <row r="2433">
          <cell r="Z2433" t="str">
            <v>172723</v>
          </cell>
        </row>
        <row r="2434">
          <cell r="Z2434" t="str">
            <v>172724</v>
          </cell>
        </row>
        <row r="2435">
          <cell r="Z2435" t="str">
            <v>172729</v>
          </cell>
        </row>
        <row r="2436">
          <cell r="Z2436" t="str">
            <v>172730</v>
          </cell>
        </row>
        <row r="2437">
          <cell r="Z2437" t="str">
            <v>172731</v>
          </cell>
        </row>
        <row r="2438">
          <cell r="Z2438" t="str">
            <v>172732</v>
          </cell>
        </row>
        <row r="2439">
          <cell r="Z2439" t="str">
            <v>172733</v>
          </cell>
        </row>
        <row r="2440">
          <cell r="Z2440" t="str">
            <v>172734</v>
          </cell>
        </row>
        <row r="2441">
          <cell r="Z2441" t="str">
            <v>172739</v>
          </cell>
        </row>
        <row r="2442">
          <cell r="Z2442" t="str">
            <v>172800</v>
          </cell>
        </row>
        <row r="2443">
          <cell r="Z2443" t="str">
            <v>172801</v>
          </cell>
        </row>
        <row r="2444">
          <cell r="Z2444" t="str">
            <v>172802</v>
          </cell>
        </row>
        <row r="2445">
          <cell r="Z2445" t="str">
            <v>172803</v>
          </cell>
        </row>
        <row r="2446">
          <cell r="Z2446" t="str">
            <v>172804</v>
          </cell>
        </row>
        <row r="2447">
          <cell r="Z2447" t="str">
            <v>172809</v>
          </cell>
        </row>
        <row r="2448">
          <cell r="Z2448" t="str">
            <v>173000</v>
          </cell>
        </row>
        <row r="2449">
          <cell r="Z2449" t="str">
            <v>173100</v>
          </cell>
        </row>
        <row r="2450">
          <cell r="Z2450" t="str">
            <v>173101</v>
          </cell>
        </row>
        <row r="2451">
          <cell r="Z2451" t="str">
            <v>173102</v>
          </cell>
        </row>
        <row r="2452">
          <cell r="Z2452" t="str">
            <v>173103</v>
          </cell>
        </row>
        <row r="2453">
          <cell r="Z2453" t="str">
            <v>173104</v>
          </cell>
        </row>
        <row r="2454">
          <cell r="Z2454" t="str">
            <v>173109</v>
          </cell>
        </row>
        <row r="2455">
          <cell r="Z2455" t="str">
            <v>173200</v>
          </cell>
        </row>
        <row r="2456">
          <cell r="Z2456" t="str">
            <v>173201</v>
          </cell>
        </row>
        <row r="2457">
          <cell r="Z2457" t="str">
            <v>173202</v>
          </cell>
        </row>
        <row r="2458">
          <cell r="Z2458" t="str">
            <v>173203</v>
          </cell>
        </row>
        <row r="2459">
          <cell r="Z2459" t="str">
            <v>173204</v>
          </cell>
        </row>
        <row r="2460">
          <cell r="Z2460" t="str">
            <v>173209</v>
          </cell>
        </row>
        <row r="2461">
          <cell r="Z2461" t="str">
            <v>173300</v>
          </cell>
        </row>
        <row r="2462">
          <cell r="Z2462" t="str">
            <v>173301</v>
          </cell>
        </row>
        <row r="2463">
          <cell r="Z2463" t="str">
            <v>173302</v>
          </cell>
        </row>
        <row r="2464">
          <cell r="Z2464" t="str">
            <v>173303</v>
          </cell>
        </row>
        <row r="2465">
          <cell r="Z2465" t="str">
            <v>173304</v>
          </cell>
        </row>
        <row r="2466">
          <cell r="Z2466" t="str">
            <v>173309</v>
          </cell>
        </row>
        <row r="2467">
          <cell r="Z2467" t="str">
            <v>173400</v>
          </cell>
        </row>
        <row r="2468">
          <cell r="Z2468" t="str">
            <v>173401</v>
          </cell>
        </row>
        <row r="2469">
          <cell r="Z2469" t="str">
            <v>173402</v>
          </cell>
        </row>
        <row r="2470">
          <cell r="Z2470" t="str">
            <v>173403</v>
          </cell>
        </row>
        <row r="2471">
          <cell r="Z2471" t="str">
            <v>173404</v>
          </cell>
        </row>
        <row r="2472">
          <cell r="Z2472" t="str">
            <v>173409</v>
          </cell>
        </row>
        <row r="2473">
          <cell r="Z2473" t="str">
            <v>173500</v>
          </cell>
        </row>
        <row r="2474">
          <cell r="Z2474" t="str">
            <v>173501</v>
          </cell>
        </row>
        <row r="2475">
          <cell r="Z2475" t="str">
            <v>173502</v>
          </cell>
        </row>
        <row r="2476">
          <cell r="Z2476" t="str">
            <v>173503</v>
          </cell>
        </row>
        <row r="2477">
          <cell r="Z2477" t="str">
            <v>173504</v>
          </cell>
        </row>
        <row r="2478">
          <cell r="Z2478" t="str">
            <v>173509</v>
          </cell>
        </row>
        <row r="2479">
          <cell r="Z2479" t="str">
            <v>173900</v>
          </cell>
        </row>
        <row r="2480">
          <cell r="Z2480" t="str">
            <v>173901</v>
          </cell>
        </row>
        <row r="2481">
          <cell r="Z2481" t="str">
            <v>173902</v>
          </cell>
        </row>
        <row r="2482">
          <cell r="Z2482" t="str">
            <v>173903</v>
          </cell>
        </row>
        <row r="2483">
          <cell r="Z2483" t="str">
            <v>173904</v>
          </cell>
        </row>
        <row r="2484">
          <cell r="Z2484" t="str">
            <v>173909</v>
          </cell>
        </row>
        <row r="2485">
          <cell r="Z2485" t="str">
            <v>174000</v>
          </cell>
        </row>
        <row r="2486">
          <cell r="Z2486" t="str">
            <v>174100</v>
          </cell>
        </row>
        <row r="2487">
          <cell r="Z2487" t="str">
            <v>174110</v>
          </cell>
        </row>
        <row r="2488">
          <cell r="Z2488" t="str">
            <v>174111</v>
          </cell>
        </row>
        <row r="2489">
          <cell r="Z2489" t="str">
            <v>174112</v>
          </cell>
        </row>
        <row r="2490">
          <cell r="Z2490" t="str">
            <v>174113</v>
          </cell>
        </row>
        <row r="2491">
          <cell r="Z2491" t="str">
            <v>174114</v>
          </cell>
        </row>
        <row r="2492">
          <cell r="Z2492" t="str">
            <v>174119</v>
          </cell>
        </row>
        <row r="2493">
          <cell r="Z2493" t="str">
            <v>174120</v>
          </cell>
        </row>
        <row r="2494">
          <cell r="Z2494" t="str">
            <v>174121</v>
          </cell>
        </row>
        <row r="2495">
          <cell r="Z2495" t="str">
            <v>174122</v>
          </cell>
        </row>
        <row r="2496">
          <cell r="Z2496" t="str">
            <v>174123</v>
          </cell>
        </row>
        <row r="2497">
          <cell r="Z2497" t="str">
            <v>174124</v>
          </cell>
        </row>
        <row r="2498">
          <cell r="Z2498" t="str">
            <v>174129</v>
          </cell>
        </row>
        <row r="2499">
          <cell r="Z2499" t="str">
            <v>174130</v>
          </cell>
        </row>
        <row r="2500">
          <cell r="Z2500" t="str">
            <v>174131</v>
          </cell>
        </row>
        <row r="2501">
          <cell r="Z2501" t="str">
            <v>174132</v>
          </cell>
        </row>
        <row r="2502">
          <cell r="Z2502" t="str">
            <v>174133</v>
          </cell>
        </row>
        <row r="2503">
          <cell r="Z2503" t="str">
            <v>174134</v>
          </cell>
        </row>
        <row r="2504">
          <cell r="Z2504" t="str">
            <v>174139</v>
          </cell>
        </row>
        <row r="2505">
          <cell r="Z2505" t="str">
            <v>174200</v>
          </cell>
        </row>
        <row r="2506">
          <cell r="Z2506" t="str">
            <v>174210</v>
          </cell>
        </row>
        <row r="2507">
          <cell r="Z2507" t="str">
            <v>174211</v>
          </cell>
        </row>
        <row r="2508">
          <cell r="Z2508" t="str">
            <v>174212</v>
          </cell>
        </row>
        <row r="2509">
          <cell r="Z2509" t="str">
            <v>174213</v>
          </cell>
        </row>
        <row r="2510">
          <cell r="Z2510" t="str">
            <v>1742.14</v>
          </cell>
        </row>
        <row r="2511">
          <cell r="Z2511" t="str">
            <v>174219</v>
          </cell>
        </row>
        <row r="2512">
          <cell r="Z2512" t="str">
            <v>174220</v>
          </cell>
        </row>
        <row r="2513">
          <cell r="Z2513" t="str">
            <v>174221</v>
          </cell>
        </row>
        <row r="2514">
          <cell r="Z2514" t="str">
            <v>174222</v>
          </cell>
        </row>
        <row r="2515">
          <cell r="Z2515" t="str">
            <v>174223</v>
          </cell>
        </row>
        <row r="2516">
          <cell r="Z2516" t="str">
            <v>174224</v>
          </cell>
        </row>
        <row r="2517">
          <cell r="Z2517" t="str">
            <v>174229</v>
          </cell>
        </row>
        <row r="2518">
          <cell r="Z2518" t="str">
            <v>174230</v>
          </cell>
        </row>
        <row r="2519">
          <cell r="Z2519" t="str">
            <v>174231</v>
          </cell>
        </row>
        <row r="2520">
          <cell r="Z2520" t="str">
            <v>174232</v>
          </cell>
        </row>
        <row r="2521">
          <cell r="Z2521" t="str">
            <v>174233</v>
          </cell>
        </row>
        <row r="2522">
          <cell r="Z2522" t="str">
            <v>174234</v>
          </cell>
        </row>
        <row r="2523">
          <cell r="Z2523" t="str">
            <v>174239</v>
          </cell>
        </row>
        <row r="2524">
          <cell r="Z2524" t="str">
            <v>174300</v>
          </cell>
        </row>
        <row r="2525">
          <cell r="Z2525" t="str">
            <v>174310</v>
          </cell>
        </row>
        <row r="2526">
          <cell r="Z2526" t="str">
            <v>174311</v>
          </cell>
        </row>
        <row r="2527">
          <cell r="Z2527" t="str">
            <v>174312</v>
          </cell>
        </row>
        <row r="2528">
          <cell r="Z2528" t="str">
            <v>174313</v>
          </cell>
        </row>
        <row r="2529">
          <cell r="Z2529" t="str">
            <v>174314</v>
          </cell>
        </row>
        <row r="2530">
          <cell r="Z2530" t="str">
            <v>174319</v>
          </cell>
        </row>
        <row r="2531">
          <cell r="Z2531" t="str">
            <v>174320</v>
          </cell>
        </row>
        <row r="2532">
          <cell r="Z2532" t="str">
            <v>174321</v>
          </cell>
        </row>
        <row r="2533">
          <cell r="Z2533" t="str">
            <v>174322</v>
          </cell>
        </row>
        <row r="2534">
          <cell r="Z2534" t="str">
            <v>174323</v>
          </cell>
        </row>
        <row r="2535">
          <cell r="Z2535" t="str">
            <v>174324</v>
          </cell>
        </row>
        <row r="2536">
          <cell r="Z2536" t="str">
            <v>174329</v>
          </cell>
        </row>
        <row r="2537">
          <cell r="Z2537" t="str">
            <v>174330</v>
          </cell>
        </row>
        <row r="2538">
          <cell r="Z2538" t="str">
            <v>174331</v>
          </cell>
        </row>
        <row r="2539">
          <cell r="Z2539" t="str">
            <v>174332</v>
          </cell>
        </row>
        <row r="2540">
          <cell r="Z2540" t="str">
            <v>174333</v>
          </cell>
        </row>
        <row r="2541">
          <cell r="Z2541" t="str">
            <v>174334</v>
          </cell>
        </row>
        <row r="2542">
          <cell r="Z2542" t="str">
            <v>174339</v>
          </cell>
        </row>
        <row r="2543">
          <cell r="Z2543" t="str">
            <v>200000</v>
          </cell>
        </row>
        <row r="2544">
          <cell r="Z2544" t="str">
            <v>210000</v>
          </cell>
        </row>
        <row r="2545">
          <cell r="Z2545" t="str">
            <v>211000</v>
          </cell>
        </row>
        <row r="2546">
          <cell r="Z2546" t="str">
            <v>211100</v>
          </cell>
        </row>
        <row r="2547">
          <cell r="Z2547" t="str">
            <v>211110</v>
          </cell>
        </row>
        <row r="2548">
          <cell r="Z2548" t="str">
            <v>211111</v>
          </cell>
        </row>
        <row r="2549">
          <cell r="Z2549" t="str">
            <v>211112</v>
          </cell>
        </row>
        <row r="2550">
          <cell r="Z2550" t="str">
            <v>211113</v>
          </cell>
        </row>
        <row r="2551">
          <cell r="Z2551" t="str">
            <v>211114</v>
          </cell>
        </row>
        <row r="2552">
          <cell r="Z2552" t="str">
            <v>211119</v>
          </cell>
        </row>
        <row r="2553">
          <cell r="Z2553" t="str">
            <v>211120</v>
          </cell>
        </row>
        <row r="2554">
          <cell r="Z2554" t="str">
            <v>211121</v>
          </cell>
        </row>
        <row r="2555">
          <cell r="Z2555" t="str">
            <v>211122</v>
          </cell>
        </row>
        <row r="2556">
          <cell r="Z2556" t="str">
            <v>211123</v>
          </cell>
        </row>
        <row r="2557">
          <cell r="Z2557" t="str">
            <v>211124</v>
          </cell>
        </row>
        <row r="2558">
          <cell r="Z2558" t="str">
            <v>211129</v>
          </cell>
        </row>
        <row r="2559">
          <cell r="Z2559" t="str">
            <v>211130</v>
          </cell>
        </row>
        <row r="2560">
          <cell r="Z2560" t="str">
            <v>211131</v>
          </cell>
        </row>
        <row r="2561">
          <cell r="Z2561" t="str">
            <v>211132</v>
          </cell>
        </row>
        <row r="2562">
          <cell r="Z2562" t="str">
            <v>211133</v>
          </cell>
        </row>
        <row r="2563">
          <cell r="Z2563" t="str">
            <v>211134</v>
          </cell>
        </row>
        <row r="2564">
          <cell r="Z2564" t="str">
            <v>211139</v>
          </cell>
        </row>
        <row r="2565">
          <cell r="Z2565" t="str">
            <v>211140</v>
          </cell>
        </row>
        <row r="2566">
          <cell r="Z2566" t="str">
            <v>211141</v>
          </cell>
        </row>
        <row r="2567">
          <cell r="Z2567" t="str">
            <v>211142</v>
          </cell>
        </row>
        <row r="2568">
          <cell r="Z2568" t="str">
            <v>211143</v>
          </cell>
        </row>
        <row r="2569">
          <cell r="Z2569" t="str">
            <v>211144</v>
          </cell>
        </row>
        <row r="2570">
          <cell r="Z2570" t="str">
            <v>211149</v>
          </cell>
        </row>
        <row r="2571">
          <cell r="Z2571" t="str">
            <v>211150</v>
          </cell>
        </row>
        <row r="2572">
          <cell r="Z2572" t="str">
            <v>211151</v>
          </cell>
        </row>
        <row r="2573">
          <cell r="Z2573" t="str">
            <v>211152</v>
          </cell>
        </row>
        <row r="2574">
          <cell r="Z2574" t="str">
            <v>211153</v>
          </cell>
        </row>
        <row r="2575">
          <cell r="Z2575" t="str">
            <v>211154</v>
          </cell>
        </row>
        <row r="2576">
          <cell r="Z2576" t="str">
            <v>211159</v>
          </cell>
        </row>
        <row r="2577">
          <cell r="Z2577" t="str">
            <v>211160</v>
          </cell>
        </row>
        <row r="2578">
          <cell r="Z2578" t="str">
            <v>211161</v>
          </cell>
        </row>
        <row r="2579">
          <cell r="Z2579" t="str">
            <v>211162</v>
          </cell>
        </row>
        <row r="2580">
          <cell r="Z2580" t="str">
            <v>211163</v>
          </cell>
        </row>
        <row r="2581">
          <cell r="Z2581" t="str">
            <v>211164</v>
          </cell>
        </row>
        <row r="2582">
          <cell r="Z2582" t="str">
            <v>211169</v>
          </cell>
        </row>
        <row r="2583">
          <cell r="Z2583" t="str">
            <v>211170</v>
          </cell>
        </row>
        <row r="2584">
          <cell r="Z2584" t="str">
            <v>211171</v>
          </cell>
        </row>
        <row r="2585">
          <cell r="Z2585" t="str">
            <v>211172</v>
          </cell>
        </row>
        <row r="2586">
          <cell r="Z2586" t="str">
            <v>211173</v>
          </cell>
        </row>
        <row r="2587">
          <cell r="Z2587" t="str">
            <v>211174</v>
          </cell>
        </row>
        <row r="2588">
          <cell r="Z2588" t="str">
            <v>211179</v>
          </cell>
        </row>
        <row r="2589">
          <cell r="Z2589" t="str">
            <v>211180</v>
          </cell>
        </row>
        <row r="2590">
          <cell r="Z2590" t="str">
            <v>211181</v>
          </cell>
        </row>
        <row r="2591">
          <cell r="Z2591" t="str">
            <v>211182</v>
          </cell>
        </row>
        <row r="2592">
          <cell r="Z2592" t="str">
            <v>211183</v>
          </cell>
        </row>
        <row r="2593">
          <cell r="Z2593" t="str">
            <v>211184</v>
          </cell>
        </row>
        <row r="2594">
          <cell r="Z2594" t="str">
            <v>211189</v>
          </cell>
        </row>
        <row r="2595">
          <cell r="Z2595" t="str">
            <v>211200</v>
          </cell>
        </row>
        <row r="2596">
          <cell r="Z2596" t="str">
            <v>211210</v>
          </cell>
        </row>
        <row r="2597">
          <cell r="Z2597" t="str">
            <v>211211</v>
          </cell>
        </row>
        <row r="2598">
          <cell r="Z2598" t="str">
            <v>211212</v>
          </cell>
        </row>
        <row r="2599">
          <cell r="Z2599" t="str">
            <v>211213</v>
          </cell>
        </row>
        <row r="2600">
          <cell r="Z2600" t="str">
            <v>211214</v>
          </cell>
        </row>
        <row r="2601">
          <cell r="Z2601" t="str">
            <v>211219</v>
          </cell>
        </row>
        <row r="2602">
          <cell r="Z2602" t="str">
            <v>211220</v>
          </cell>
        </row>
        <row r="2603">
          <cell r="Z2603" t="str">
            <v>211221</v>
          </cell>
        </row>
        <row r="2604">
          <cell r="Z2604" t="str">
            <v>211222</v>
          </cell>
        </row>
        <row r="2605">
          <cell r="Z2605" t="str">
            <v>211223</v>
          </cell>
        </row>
        <row r="2606">
          <cell r="Z2606" t="str">
            <v>211224</v>
          </cell>
        </row>
        <row r="2607">
          <cell r="Z2607" t="str">
            <v>211229</v>
          </cell>
        </row>
        <row r="2608">
          <cell r="Z2608" t="str">
            <v>211230</v>
          </cell>
        </row>
        <row r="2609">
          <cell r="Z2609" t="str">
            <v>211231</v>
          </cell>
        </row>
        <row r="2610">
          <cell r="Z2610" t="str">
            <v>211232</v>
          </cell>
        </row>
        <row r="2611">
          <cell r="Z2611" t="str">
            <v>211233</v>
          </cell>
        </row>
        <row r="2612">
          <cell r="Z2612" t="str">
            <v>211234</v>
          </cell>
        </row>
        <row r="2613">
          <cell r="Z2613" t="str">
            <v>211239</v>
          </cell>
        </row>
        <row r="2614">
          <cell r="Z2614" t="str">
            <v>211240</v>
          </cell>
        </row>
        <row r="2615">
          <cell r="Z2615" t="str">
            <v>211241</v>
          </cell>
        </row>
        <row r="2616">
          <cell r="Z2616" t="str">
            <v>211242</v>
          </cell>
        </row>
        <row r="2617">
          <cell r="Z2617" t="str">
            <v>211243</v>
          </cell>
        </row>
        <row r="2618">
          <cell r="Z2618" t="str">
            <v>211244</v>
          </cell>
        </row>
        <row r="2619">
          <cell r="Z2619" t="str">
            <v>211249</v>
          </cell>
        </row>
        <row r="2620">
          <cell r="Z2620" t="str">
            <v>211300</v>
          </cell>
        </row>
        <row r="2621">
          <cell r="Z2621" t="str">
            <v>211310</v>
          </cell>
        </row>
        <row r="2622">
          <cell r="Z2622" t="str">
            <v>211311</v>
          </cell>
        </row>
        <row r="2623">
          <cell r="Z2623" t="str">
            <v>211312</v>
          </cell>
        </row>
        <row r="2624">
          <cell r="Z2624" t="str">
            <v>211313</v>
          </cell>
        </row>
        <row r="2625">
          <cell r="Z2625" t="str">
            <v>211314</v>
          </cell>
        </row>
        <row r="2626">
          <cell r="Z2626" t="str">
            <v>211319</v>
          </cell>
        </row>
        <row r="2627">
          <cell r="Z2627" t="str">
            <v>211320</v>
          </cell>
        </row>
        <row r="2628">
          <cell r="Z2628" t="str">
            <v>211321</v>
          </cell>
        </row>
        <row r="2629">
          <cell r="Z2629" t="str">
            <v>211322</v>
          </cell>
        </row>
        <row r="2630">
          <cell r="Z2630" t="str">
            <v>211323</v>
          </cell>
        </row>
        <row r="2631">
          <cell r="Z2631" t="str">
            <v>211324</v>
          </cell>
        </row>
        <row r="2632">
          <cell r="Z2632" t="str">
            <v>211329</v>
          </cell>
        </row>
        <row r="2633">
          <cell r="Z2633" t="str">
            <v>211330</v>
          </cell>
        </row>
        <row r="2634">
          <cell r="Z2634" t="str">
            <v>211331</v>
          </cell>
        </row>
        <row r="2635">
          <cell r="Z2635" t="str">
            <v>211332</v>
          </cell>
        </row>
        <row r="2636">
          <cell r="Z2636" t="str">
            <v>211333</v>
          </cell>
        </row>
        <row r="2637">
          <cell r="Z2637" t="str">
            <v>211334</v>
          </cell>
        </row>
        <row r="2638">
          <cell r="Z2638" t="str">
            <v>211339</v>
          </cell>
        </row>
        <row r="2639">
          <cell r="Z2639" t="str">
            <v>211340</v>
          </cell>
        </row>
        <row r="2640">
          <cell r="Z2640" t="str">
            <v>211341</v>
          </cell>
        </row>
        <row r="2641">
          <cell r="Z2641" t="str">
            <v>211342</v>
          </cell>
        </row>
        <row r="2642">
          <cell r="Z2642" t="str">
            <v>211343</v>
          </cell>
        </row>
        <row r="2643">
          <cell r="Z2643" t="str">
            <v>211344</v>
          </cell>
        </row>
        <row r="2644">
          <cell r="Z2644" t="str">
            <v>211349</v>
          </cell>
        </row>
        <row r="2645">
          <cell r="Z2645" t="str">
            <v>211400</v>
          </cell>
        </row>
        <row r="2646">
          <cell r="Z2646" t="str">
            <v>211410</v>
          </cell>
        </row>
        <row r="2647">
          <cell r="Z2647" t="str">
            <v>211411</v>
          </cell>
        </row>
        <row r="2648">
          <cell r="Z2648" t="str">
            <v>211412</v>
          </cell>
        </row>
        <row r="2649">
          <cell r="Z2649" t="str">
            <v>211413</v>
          </cell>
        </row>
        <row r="2650">
          <cell r="Z2650" t="str">
            <v>211414</v>
          </cell>
        </row>
        <row r="2651">
          <cell r="Z2651" t="str">
            <v>211419</v>
          </cell>
        </row>
        <row r="2652">
          <cell r="Z2652" t="str">
            <v>211420</v>
          </cell>
        </row>
        <row r="2653">
          <cell r="Z2653" t="str">
            <v>211421</v>
          </cell>
        </row>
        <row r="2654">
          <cell r="Z2654" t="str">
            <v>211422</v>
          </cell>
        </row>
        <row r="2655">
          <cell r="Z2655" t="str">
            <v>211423</v>
          </cell>
        </row>
        <row r="2656">
          <cell r="Z2656" t="str">
            <v>211424</v>
          </cell>
        </row>
        <row r="2657">
          <cell r="Z2657" t="str">
            <v>211429</v>
          </cell>
        </row>
        <row r="2658">
          <cell r="Z2658" t="str">
            <v>211430</v>
          </cell>
        </row>
        <row r="2659">
          <cell r="Z2659" t="str">
            <v>211431</v>
          </cell>
        </row>
        <row r="2660">
          <cell r="Z2660" t="str">
            <v>211432</v>
          </cell>
        </row>
        <row r="2661">
          <cell r="Z2661" t="str">
            <v>211433</v>
          </cell>
        </row>
        <row r="2662">
          <cell r="Z2662" t="str">
            <v>211434</v>
          </cell>
        </row>
        <row r="2663">
          <cell r="Z2663" t="str">
            <v>211439</v>
          </cell>
        </row>
        <row r="2664">
          <cell r="Z2664" t="str">
            <v>211440</v>
          </cell>
        </row>
        <row r="2665">
          <cell r="Z2665" t="str">
            <v>211441</v>
          </cell>
        </row>
        <row r="2666">
          <cell r="Z2666" t="str">
            <v>211442</v>
          </cell>
        </row>
        <row r="2667">
          <cell r="Z2667" t="str">
            <v>211443</v>
          </cell>
        </row>
        <row r="2668">
          <cell r="Z2668" t="str">
            <v>211444</v>
          </cell>
        </row>
        <row r="2669">
          <cell r="Z2669" t="str">
            <v>211449</v>
          </cell>
        </row>
        <row r="2670">
          <cell r="Z2670" t="str">
            <v>211500</v>
          </cell>
        </row>
        <row r="2671">
          <cell r="Z2671" t="str">
            <v>211510</v>
          </cell>
        </row>
        <row r="2672">
          <cell r="Z2672" t="str">
            <v>211511</v>
          </cell>
        </row>
        <row r="2673">
          <cell r="Z2673" t="str">
            <v>211512</v>
          </cell>
        </row>
        <row r="2674">
          <cell r="Z2674" t="str">
            <v>211513</v>
          </cell>
        </row>
        <row r="2675">
          <cell r="Z2675" t="str">
            <v>211514</v>
          </cell>
        </row>
        <row r="2676">
          <cell r="Z2676" t="str">
            <v>211519</v>
          </cell>
        </row>
        <row r="2677">
          <cell r="Z2677" t="str">
            <v>211520</v>
          </cell>
        </row>
        <row r="2678">
          <cell r="Z2678" t="str">
            <v>211521</v>
          </cell>
        </row>
        <row r="2679">
          <cell r="Z2679" t="str">
            <v>211522</v>
          </cell>
        </row>
        <row r="2680">
          <cell r="Z2680" t="str">
            <v>211523</v>
          </cell>
        </row>
        <row r="2681">
          <cell r="Z2681" t="str">
            <v>211524</v>
          </cell>
        </row>
        <row r="2682">
          <cell r="Z2682" t="str">
            <v>211529</v>
          </cell>
        </row>
        <row r="2683">
          <cell r="Z2683" t="str">
            <v>211530</v>
          </cell>
        </row>
        <row r="2684">
          <cell r="Z2684" t="str">
            <v>211531</v>
          </cell>
        </row>
        <row r="2685">
          <cell r="Z2685" t="str">
            <v>211532</v>
          </cell>
        </row>
        <row r="2686">
          <cell r="Z2686" t="str">
            <v>211533</v>
          </cell>
        </row>
        <row r="2687">
          <cell r="Z2687" t="str">
            <v>211534</v>
          </cell>
        </row>
        <row r="2688">
          <cell r="Z2688" t="str">
            <v>211539</v>
          </cell>
        </row>
        <row r="2689">
          <cell r="Z2689" t="str">
            <v>211600</v>
          </cell>
        </row>
        <row r="2690">
          <cell r="Z2690" t="str">
            <v>211601</v>
          </cell>
        </row>
        <row r="2691">
          <cell r="Z2691" t="str">
            <v>211602</v>
          </cell>
        </row>
        <row r="2692">
          <cell r="Z2692" t="str">
            <v>211603</v>
          </cell>
        </row>
        <row r="2693">
          <cell r="Z2693" t="str">
            <v>211604</v>
          </cell>
        </row>
        <row r="2694">
          <cell r="Z2694" t="str">
            <v>211609</v>
          </cell>
        </row>
        <row r="2695">
          <cell r="Z2695" t="str">
            <v>212000</v>
          </cell>
        </row>
        <row r="2696">
          <cell r="Z2696" t="str">
            <v>212100</v>
          </cell>
        </row>
        <row r="2697">
          <cell r="Z2697" t="str">
            <v>212110</v>
          </cell>
        </row>
        <row r="2698">
          <cell r="Z2698" t="str">
            <v>212111</v>
          </cell>
        </row>
        <row r="2699">
          <cell r="Z2699" t="str">
            <v>212112</v>
          </cell>
        </row>
        <row r="2700">
          <cell r="Z2700" t="str">
            <v>212113</v>
          </cell>
        </row>
        <row r="2701">
          <cell r="Z2701" t="str">
            <v>212114</v>
          </cell>
        </row>
        <row r="2702">
          <cell r="Z2702" t="str">
            <v>212119</v>
          </cell>
        </row>
        <row r="2703">
          <cell r="Z2703" t="str">
            <v>212120</v>
          </cell>
        </row>
        <row r="2704">
          <cell r="Z2704" t="str">
            <v>212121</v>
          </cell>
        </row>
        <row r="2705">
          <cell r="Z2705" t="str">
            <v>212122</v>
          </cell>
        </row>
        <row r="2706">
          <cell r="Z2706" t="str">
            <v>212123</v>
          </cell>
        </row>
        <row r="2707">
          <cell r="Z2707" t="str">
            <v>212124</v>
          </cell>
        </row>
        <row r="2708">
          <cell r="Z2708" t="str">
            <v>212129</v>
          </cell>
        </row>
        <row r="2709">
          <cell r="Z2709" t="str">
            <v>212130</v>
          </cell>
        </row>
        <row r="2710">
          <cell r="Z2710" t="str">
            <v>212131</v>
          </cell>
        </row>
        <row r="2711">
          <cell r="Z2711" t="str">
            <v>212132</v>
          </cell>
        </row>
        <row r="2712">
          <cell r="Z2712" t="str">
            <v>212133</v>
          </cell>
        </row>
        <row r="2713">
          <cell r="Z2713" t="str">
            <v>212134</v>
          </cell>
        </row>
        <row r="2714">
          <cell r="Z2714" t="str">
            <v>212139</v>
          </cell>
        </row>
        <row r="2715">
          <cell r="Z2715" t="str">
            <v>212140</v>
          </cell>
        </row>
        <row r="2716">
          <cell r="Z2716" t="str">
            <v>212141</v>
          </cell>
        </row>
        <row r="2717">
          <cell r="Z2717" t="str">
            <v>212142</v>
          </cell>
        </row>
        <row r="2718">
          <cell r="Z2718" t="str">
            <v>212143</v>
          </cell>
        </row>
        <row r="2719">
          <cell r="Z2719" t="str">
            <v>212144</v>
          </cell>
        </row>
        <row r="2720">
          <cell r="Z2720" t="str">
            <v>212149</v>
          </cell>
        </row>
        <row r="2721">
          <cell r="Z2721" t="str">
            <v>212150</v>
          </cell>
        </row>
        <row r="2722">
          <cell r="Z2722" t="str">
            <v>212151</v>
          </cell>
        </row>
        <row r="2723">
          <cell r="Z2723" t="str">
            <v>212152</v>
          </cell>
        </row>
        <row r="2724">
          <cell r="Z2724" t="str">
            <v>212153</v>
          </cell>
        </row>
        <row r="2725">
          <cell r="Z2725" t="str">
            <v>212154</v>
          </cell>
        </row>
        <row r="2726">
          <cell r="Z2726" t="str">
            <v>212159</v>
          </cell>
        </row>
        <row r="2727">
          <cell r="Z2727" t="str">
            <v>212160</v>
          </cell>
        </row>
        <row r="2728">
          <cell r="Z2728" t="str">
            <v>212161</v>
          </cell>
        </row>
        <row r="2729">
          <cell r="Z2729" t="str">
            <v>212162</v>
          </cell>
        </row>
        <row r="2730">
          <cell r="Z2730" t="str">
            <v>212163</v>
          </cell>
        </row>
        <row r="2731">
          <cell r="Z2731" t="str">
            <v>212164</v>
          </cell>
        </row>
        <row r="2732">
          <cell r="Z2732" t="str">
            <v>212169</v>
          </cell>
        </row>
        <row r="2733">
          <cell r="Z2733" t="str">
            <v>212170</v>
          </cell>
        </row>
        <row r="2734">
          <cell r="Z2734" t="str">
            <v>212171</v>
          </cell>
        </row>
        <row r="2735">
          <cell r="Z2735" t="str">
            <v>212172</v>
          </cell>
        </row>
        <row r="2736">
          <cell r="Z2736" t="str">
            <v>212173</v>
          </cell>
        </row>
        <row r="2737">
          <cell r="Z2737" t="str">
            <v>212174</v>
          </cell>
        </row>
        <row r="2738">
          <cell r="Z2738" t="str">
            <v>212179</v>
          </cell>
        </row>
        <row r="2739">
          <cell r="Z2739" t="str">
            <v>212180</v>
          </cell>
        </row>
        <row r="2740">
          <cell r="Z2740" t="str">
            <v>212181</v>
          </cell>
        </row>
        <row r="2741">
          <cell r="Z2741" t="str">
            <v>212182</v>
          </cell>
        </row>
        <row r="2742">
          <cell r="Z2742" t="str">
            <v>212183</v>
          </cell>
        </row>
        <row r="2743">
          <cell r="Z2743" t="str">
            <v>212184</v>
          </cell>
        </row>
        <row r="2744">
          <cell r="Z2744" t="str">
            <v>212189</v>
          </cell>
        </row>
        <row r="2745">
          <cell r="Z2745" t="str">
            <v>212200</v>
          </cell>
        </row>
        <row r="2746">
          <cell r="Z2746" t="str">
            <v>212210</v>
          </cell>
        </row>
        <row r="2747">
          <cell r="Z2747" t="str">
            <v>212211</v>
          </cell>
        </row>
        <row r="2748">
          <cell r="Z2748" t="str">
            <v>212212</v>
          </cell>
        </row>
        <row r="2749">
          <cell r="Z2749" t="str">
            <v>212213</v>
          </cell>
        </row>
        <row r="2750">
          <cell r="Z2750" t="str">
            <v>212214</v>
          </cell>
        </row>
        <row r="2751">
          <cell r="Z2751" t="str">
            <v>212219</v>
          </cell>
        </row>
        <row r="2752">
          <cell r="Z2752" t="str">
            <v>212220</v>
          </cell>
        </row>
        <row r="2753">
          <cell r="Z2753" t="str">
            <v>212221</v>
          </cell>
        </row>
        <row r="2754">
          <cell r="Z2754" t="str">
            <v>212222</v>
          </cell>
        </row>
        <row r="2755">
          <cell r="Z2755" t="str">
            <v>212223</v>
          </cell>
        </row>
        <row r="2756">
          <cell r="Z2756" t="str">
            <v>212224</v>
          </cell>
        </row>
        <row r="2757">
          <cell r="Z2757" t="str">
            <v>212229</v>
          </cell>
        </row>
        <row r="2758">
          <cell r="Z2758" t="str">
            <v>212230</v>
          </cell>
        </row>
        <row r="2759">
          <cell r="Z2759" t="str">
            <v>212231</v>
          </cell>
        </row>
        <row r="2760">
          <cell r="Z2760" t="str">
            <v>212232</v>
          </cell>
        </row>
        <row r="2761">
          <cell r="Z2761" t="str">
            <v>212233</v>
          </cell>
        </row>
        <row r="2762">
          <cell r="Z2762" t="str">
            <v>212234</v>
          </cell>
        </row>
        <row r="2763">
          <cell r="Z2763" t="str">
            <v>212239</v>
          </cell>
        </row>
        <row r="2764">
          <cell r="Z2764" t="str">
            <v>212240</v>
          </cell>
        </row>
        <row r="2765">
          <cell r="Z2765" t="str">
            <v>212241</v>
          </cell>
        </row>
        <row r="2766">
          <cell r="Z2766" t="str">
            <v>212242</v>
          </cell>
        </row>
        <row r="2767">
          <cell r="Z2767" t="str">
            <v>212243</v>
          </cell>
        </row>
        <row r="2768">
          <cell r="Z2768" t="str">
            <v>212244</v>
          </cell>
        </row>
        <row r="2769">
          <cell r="Z2769" t="str">
            <v>212249</v>
          </cell>
        </row>
        <row r="2770">
          <cell r="Z2770" t="str">
            <v>212300</v>
          </cell>
        </row>
        <row r="2771">
          <cell r="Z2771" t="str">
            <v>212310</v>
          </cell>
        </row>
        <row r="2772">
          <cell r="Z2772" t="str">
            <v>212311</v>
          </cell>
        </row>
        <row r="2773">
          <cell r="Z2773" t="str">
            <v>212312</v>
          </cell>
        </row>
        <row r="2774">
          <cell r="Z2774" t="str">
            <v>212313</v>
          </cell>
        </row>
        <row r="2775">
          <cell r="Z2775" t="str">
            <v>212314</v>
          </cell>
        </row>
        <row r="2776">
          <cell r="Z2776" t="str">
            <v>212319</v>
          </cell>
        </row>
        <row r="2777">
          <cell r="Z2777" t="str">
            <v>212320</v>
          </cell>
        </row>
        <row r="2778">
          <cell r="Z2778" t="str">
            <v>212321</v>
          </cell>
        </row>
        <row r="2779">
          <cell r="Z2779" t="str">
            <v>212322</v>
          </cell>
        </row>
        <row r="2780">
          <cell r="Z2780" t="str">
            <v>212323</v>
          </cell>
        </row>
        <row r="2781">
          <cell r="Z2781" t="str">
            <v>212324</v>
          </cell>
        </row>
        <row r="2782">
          <cell r="Z2782" t="str">
            <v>212329</v>
          </cell>
        </row>
        <row r="2783">
          <cell r="Z2783" t="str">
            <v>212330</v>
          </cell>
        </row>
        <row r="2784">
          <cell r="Z2784" t="str">
            <v>212331</v>
          </cell>
        </row>
        <row r="2785">
          <cell r="Z2785" t="str">
            <v>212332</v>
          </cell>
        </row>
        <row r="2786">
          <cell r="Z2786" t="str">
            <v>212333</v>
          </cell>
        </row>
        <row r="2787">
          <cell r="Z2787" t="str">
            <v>212334</v>
          </cell>
        </row>
        <row r="2788">
          <cell r="Z2788" t="str">
            <v>212339</v>
          </cell>
        </row>
        <row r="2789">
          <cell r="Z2789" t="str">
            <v>212340</v>
          </cell>
        </row>
        <row r="2790">
          <cell r="Z2790" t="str">
            <v>212341</v>
          </cell>
        </row>
        <row r="2791">
          <cell r="Z2791" t="str">
            <v>212342</v>
          </cell>
        </row>
        <row r="2792">
          <cell r="Z2792" t="str">
            <v>212343</v>
          </cell>
        </row>
        <row r="2793">
          <cell r="Z2793" t="str">
            <v>212344</v>
          </cell>
        </row>
        <row r="2794">
          <cell r="Z2794" t="str">
            <v>212349</v>
          </cell>
        </row>
        <row r="2795">
          <cell r="Z2795" t="str">
            <v>212400</v>
          </cell>
        </row>
        <row r="2796">
          <cell r="Z2796" t="str">
            <v>212410</v>
          </cell>
        </row>
        <row r="2797">
          <cell r="Z2797" t="str">
            <v>212411</v>
          </cell>
        </row>
        <row r="2798">
          <cell r="Z2798" t="str">
            <v>212412</v>
          </cell>
        </row>
        <row r="2799">
          <cell r="Z2799" t="str">
            <v>212413</v>
          </cell>
        </row>
        <row r="2800">
          <cell r="Z2800" t="str">
            <v>212414</v>
          </cell>
        </row>
        <row r="2801">
          <cell r="Z2801" t="str">
            <v>212419</v>
          </cell>
        </row>
        <row r="2802">
          <cell r="Z2802" t="str">
            <v>212420</v>
          </cell>
        </row>
        <row r="2803">
          <cell r="Z2803" t="str">
            <v>212421</v>
          </cell>
        </row>
        <row r="2804">
          <cell r="Z2804" t="str">
            <v>212422</v>
          </cell>
        </row>
        <row r="2805">
          <cell r="Z2805" t="str">
            <v>212423</v>
          </cell>
        </row>
        <row r="2806">
          <cell r="Z2806" t="str">
            <v>212424</v>
          </cell>
        </row>
        <row r="2807">
          <cell r="Z2807" t="str">
            <v>212429</v>
          </cell>
        </row>
        <row r="2808">
          <cell r="Z2808" t="str">
            <v>212430</v>
          </cell>
        </row>
        <row r="2809">
          <cell r="Z2809" t="str">
            <v>212431</v>
          </cell>
        </row>
        <row r="2810">
          <cell r="Z2810" t="str">
            <v>212432</v>
          </cell>
        </row>
        <row r="2811">
          <cell r="Z2811" t="str">
            <v>212433</v>
          </cell>
        </row>
        <row r="2812">
          <cell r="Z2812" t="str">
            <v>212434</v>
          </cell>
        </row>
        <row r="2813">
          <cell r="Z2813" t="str">
            <v>212439</v>
          </cell>
        </row>
        <row r="2814">
          <cell r="Z2814" t="str">
            <v>212440</v>
          </cell>
        </row>
        <row r="2815">
          <cell r="Z2815" t="str">
            <v>212441</v>
          </cell>
        </row>
        <row r="2816">
          <cell r="Z2816" t="str">
            <v>212442</v>
          </cell>
        </row>
        <row r="2817">
          <cell r="Z2817" t="str">
            <v>212443</v>
          </cell>
        </row>
        <row r="2818">
          <cell r="Z2818" t="str">
            <v>212444</v>
          </cell>
        </row>
        <row r="2819">
          <cell r="Z2819" t="str">
            <v>212449</v>
          </cell>
        </row>
        <row r="2820">
          <cell r="Z2820" t="str">
            <v>212500</v>
          </cell>
        </row>
        <row r="2821">
          <cell r="Z2821" t="str">
            <v>212510</v>
          </cell>
        </row>
        <row r="2822">
          <cell r="Z2822" t="str">
            <v>212511</v>
          </cell>
        </row>
        <row r="2823">
          <cell r="Z2823" t="str">
            <v>212512</v>
          </cell>
        </row>
        <row r="2824">
          <cell r="Z2824" t="str">
            <v>212513</v>
          </cell>
        </row>
        <row r="2825">
          <cell r="Z2825" t="str">
            <v>212514</v>
          </cell>
        </row>
        <row r="2826">
          <cell r="Z2826" t="str">
            <v>212519</v>
          </cell>
        </row>
        <row r="2827">
          <cell r="Z2827" t="str">
            <v>212520</v>
          </cell>
        </row>
        <row r="2828">
          <cell r="Z2828" t="str">
            <v>212521</v>
          </cell>
        </row>
        <row r="2829">
          <cell r="Z2829" t="str">
            <v>212522</v>
          </cell>
        </row>
        <row r="2830">
          <cell r="Z2830" t="str">
            <v>212523</v>
          </cell>
        </row>
        <row r="2831">
          <cell r="Z2831" t="str">
            <v>212524</v>
          </cell>
        </row>
        <row r="2832">
          <cell r="Z2832" t="str">
            <v>212529</v>
          </cell>
        </row>
        <row r="2833">
          <cell r="Z2833" t="str">
            <v>212530</v>
          </cell>
        </row>
        <row r="2834">
          <cell r="Z2834" t="str">
            <v>212531</v>
          </cell>
        </row>
        <row r="2835">
          <cell r="Z2835" t="str">
            <v>212532</v>
          </cell>
        </row>
        <row r="2836">
          <cell r="Z2836" t="str">
            <v>212533</v>
          </cell>
        </row>
        <row r="2837">
          <cell r="Z2837" t="str">
            <v>212534</v>
          </cell>
        </row>
        <row r="2838">
          <cell r="Z2838" t="str">
            <v>212539</v>
          </cell>
        </row>
        <row r="2839">
          <cell r="Z2839" t="str">
            <v>212600</v>
          </cell>
        </row>
        <row r="2840">
          <cell r="Z2840" t="str">
            <v>212601</v>
          </cell>
        </row>
        <row r="2841">
          <cell r="Z2841" t="str">
            <v>212602</v>
          </cell>
        </row>
        <row r="2842">
          <cell r="Z2842" t="str">
            <v>212603</v>
          </cell>
        </row>
        <row r="2843">
          <cell r="Z2843" t="str">
            <v>212604</v>
          </cell>
        </row>
        <row r="2844">
          <cell r="Z2844" t="str">
            <v>212609</v>
          </cell>
        </row>
        <row r="2845">
          <cell r="Z2845" t="str">
            <v>212900</v>
          </cell>
        </row>
        <row r="2846">
          <cell r="Z2846" t="str">
            <v>212910</v>
          </cell>
        </row>
        <row r="2847">
          <cell r="Z2847" t="str">
            <v>212911</v>
          </cell>
        </row>
        <row r="2848">
          <cell r="Z2848" t="str">
            <v>212912</v>
          </cell>
        </row>
        <row r="2849">
          <cell r="Z2849" t="str">
            <v>212913</v>
          </cell>
        </row>
        <row r="2850">
          <cell r="Z2850" t="str">
            <v>212914</v>
          </cell>
        </row>
        <row r="2851">
          <cell r="Z2851" t="str">
            <v>212919</v>
          </cell>
        </row>
        <row r="2852">
          <cell r="Z2852" t="str">
            <v>212920</v>
          </cell>
        </row>
        <row r="2853">
          <cell r="Z2853" t="str">
            <v>212921</v>
          </cell>
        </row>
        <row r="2854">
          <cell r="Z2854" t="str">
            <v>212922</v>
          </cell>
        </row>
        <row r="2855">
          <cell r="Z2855" t="str">
            <v>212923</v>
          </cell>
        </row>
        <row r="2856">
          <cell r="Z2856" t="str">
            <v>212924</v>
          </cell>
        </row>
        <row r="2857">
          <cell r="Z2857" t="str">
            <v>212929</v>
          </cell>
        </row>
        <row r="2858">
          <cell r="Z2858" t="str">
            <v>212930</v>
          </cell>
        </row>
        <row r="2859">
          <cell r="Z2859" t="str">
            <v>212931</v>
          </cell>
        </row>
        <row r="2860">
          <cell r="Z2860" t="str">
            <v>212932</v>
          </cell>
        </row>
        <row r="2861">
          <cell r="Z2861" t="str">
            <v>212933</v>
          </cell>
        </row>
        <row r="2862">
          <cell r="Z2862" t="str">
            <v>212934</v>
          </cell>
        </row>
        <row r="2863">
          <cell r="Z2863" t="str">
            <v>212939</v>
          </cell>
        </row>
        <row r="2864">
          <cell r="Z2864" t="str">
            <v>212940</v>
          </cell>
        </row>
        <row r="2865">
          <cell r="Z2865" t="str">
            <v>212941</v>
          </cell>
        </row>
        <row r="2866">
          <cell r="Z2866" t="str">
            <v>212942</v>
          </cell>
        </row>
        <row r="2867">
          <cell r="Z2867" t="str">
            <v>212943</v>
          </cell>
        </row>
        <row r="2868">
          <cell r="Z2868" t="str">
            <v>212944</v>
          </cell>
        </row>
        <row r="2869">
          <cell r="Z2869" t="str">
            <v>212949</v>
          </cell>
        </row>
        <row r="2870">
          <cell r="Z2870" t="str">
            <v>212950</v>
          </cell>
        </row>
        <row r="2871">
          <cell r="Z2871" t="str">
            <v>212951</v>
          </cell>
        </row>
        <row r="2872">
          <cell r="Z2872" t="str">
            <v>212952</v>
          </cell>
        </row>
        <row r="2873">
          <cell r="Z2873" t="str">
            <v>212953</v>
          </cell>
        </row>
        <row r="2874">
          <cell r="Z2874" t="str">
            <v>212954</v>
          </cell>
        </row>
        <row r="2875">
          <cell r="Z2875" t="str">
            <v>212959</v>
          </cell>
        </row>
        <row r="2876">
          <cell r="Z2876" t="str">
            <v>212960</v>
          </cell>
        </row>
        <row r="2877">
          <cell r="Z2877" t="str">
            <v>212961</v>
          </cell>
        </row>
        <row r="2878">
          <cell r="Z2878" t="str">
            <v>212962</v>
          </cell>
        </row>
        <row r="2879">
          <cell r="Z2879" t="str">
            <v>212963</v>
          </cell>
        </row>
        <row r="2880">
          <cell r="Z2880" t="str">
            <v>212964</v>
          </cell>
        </row>
        <row r="2881">
          <cell r="Z2881" t="str">
            <v>212969</v>
          </cell>
        </row>
        <row r="2882">
          <cell r="Z2882" t="str">
            <v>212970</v>
          </cell>
        </row>
        <row r="2883">
          <cell r="Z2883" t="str">
            <v>212971</v>
          </cell>
        </row>
        <row r="2884">
          <cell r="Z2884" t="str">
            <v>212972</v>
          </cell>
        </row>
        <row r="2885">
          <cell r="Z2885" t="str">
            <v>212973</v>
          </cell>
        </row>
        <row r="2886">
          <cell r="Z2886" t="str">
            <v>212974</v>
          </cell>
        </row>
        <row r="2887">
          <cell r="Z2887" t="str">
            <v>212979</v>
          </cell>
        </row>
        <row r="2888">
          <cell r="Z2888" t="str">
            <v>213000</v>
          </cell>
        </row>
        <row r="2889">
          <cell r="Z2889" t="str">
            <v>213100</v>
          </cell>
        </row>
        <row r="2890">
          <cell r="Z2890" t="str">
            <v>213110</v>
          </cell>
        </row>
        <row r="2891">
          <cell r="Z2891" t="str">
            <v>213111</v>
          </cell>
        </row>
        <row r="2892">
          <cell r="Z2892" t="str">
            <v>213112</v>
          </cell>
        </row>
        <row r="2893">
          <cell r="Z2893" t="str">
            <v>213113</v>
          </cell>
        </row>
        <row r="2894">
          <cell r="Z2894" t="str">
            <v>213114</v>
          </cell>
        </row>
        <row r="2895">
          <cell r="Z2895" t="str">
            <v>213119</v>
          </cell>
        </row>
        <row r="2896">
          <cell r="Z2896" t="str">
            <v>213120</v>
          </cell>
        </row>
        <row r="2897">
          <cell r="Z2897" t="str">
            <v>213121</v>
          </cell>
        </row>
        <row r="2898">
          <cell r="Z2898" t="str">
            <v>213122</v>
          </cell>
        </row>
        <row r="2899">
          <cell r="Z2899" t="str">
            <v>213123</v>
          </cell>
        </row>
        <row r="2900">
          <cell r="Z2900" t="str">
            <v>213124</v>
          </cell>
        </row>
        <row r="2901">
          <cell r="Z2901" t="str">
            <v>213129</v>
          </cell>
        </row>
        <row r="2902">
          <cell r="Z2902" t="str">
            <v>213130</v>
          </cell>
        </row>
        <row r="2903">
          <cell r="Z2903" t="str">
            <v>213131</v>
          </cell>
        </row>
        <row r="2904">
          <cell r="Z2904" t="str">
            <v>213132</v>
          </cell>
        </row>
        <row r="2905">
          <cell r="Z2905" t="str">
            <v>213133</v>
          </cell>
        </row>
        <row r="2906">
          <cell r="Z2906" t="str">
            <v>213134</v>
          </cell>
        </row>
        <row r="2907">
          <cell r="Z2907" t="str">
            <v>213139</v>
          </cell>
        </row>
        <row r="2908">
          <cell r="Z2908" t="str">
            <v>213140</v>
          </cell>
        </row>
        <row r="2909">
          <cell r="Z2909" t="str">
            <v>213141</v>
          </cell>
        </row>
        <row r="2910">
          <cell r="Z2910" t="str">
            <v>213142</v>
          </cell>
        </row>
        <row r="2911">
          <cell r="Z2911" t="str">
            <v>213143</v>
          </cell>
        </row>
        <row r="2912">
          <cell r="Z2912" t="str">
            <v>213144</v>
          </cell>
        </row>
        <row r="2913">
          <cell r="Z2913" t="str">
            <v>213149</v>
          </cell>
        </row>
        <row r="2914">
          <cell r="Z2914" t="str">
            <v>213150</v>
          </cell>
        </row>
        <row r="2915">
          <cell r="Z2915" t="str">
            <v>213151</v>
          </cell>
        </row>
        <row r="2916">
          <cell r="Z2916" t="str">
            <v>213152</v>
          </cell>
        </row>
        <row r="2917">
          <cell r="Z2917" t="str">
            <v>213153</v>
          </cell>
        </row>
        <row r="2918">
          <cell r="Z2918" t="str">
            <v>213154</v>
          </cell>
        </row>
        <row r="2919">
          <cell r="Z2919" t="str">
            <v>213159</v>
          </cell>
        </row>
        <row r="2920">
          <cell r="Z2920" t="str">
            <v>213160</v>
          </cell>
        </row>
        <row r="2921">
          <cell r="Z2921" t="str">
            <v>213161</v>
          </cell>
        </row>
        <row r="2922">
          <cell r="Z2922" t="str">
            <v>213162</v>
          </cell>
        </row>
        <row r="2923">
          <cell r="Z2923" t="str">
            <v>213163</v>
          </cell>
        </row>
        <row r="2924">
          <cell r="Z2924" t="str">
            <v>213164</v>
          </cell>
        </row>
        <row r="2925">
          <cell r="Z2925" t="str">
            <v>213169</v>
          </cell>
        </row>
        <row r="2926">
          <cell r="Z2926" t="str">
            <v>213170</v>
          </cell>
        </row>
        <row r="2927">
          <cell r="Z2927" t="str">
            <v>213171</v>
          </cell>
        </row>
        <row r="2928">
          <cell r="Z2928" t="str">
            <v>213172</v>
          </cell>
        </row>
        <row r="2929">
          <cell r="Z2929" t="str">
            <v>213173</v>
          </cell>
        </row>
        <row r="2930">
          <cell r="Z2930" t="str">
            <v>213174</v>
          </cell>
        </row>
        <row r="2931">
          <cell r="Z2931" t="str">
            <v>213179</v>
          </cell>
        </row>
        <row r="2932">
          <cell r="Z2932" t="str">
            <v>213180</v>
          </cell>
        </row>
        <row r="2933">
          <cell r="Z2933" t="str">
            <v>213181</v>
          </cell>
        </row>
        <row r="2934">
          <cell r="Z2934" t="str">
            <v>213182</v>
          </cell>
        </row>
        <row r="2935">
          <cell r="Z2935" t="str">
            <v>213183</v>
          </cell>
        </row>
        <row r="2936">
          <cell r="Z2936" t="str">
            <v>213184</v>
          </cell>
        </row>
        <row r="2937">
          <cell r="Z2937" t="str">
            <v>213189</v>
          </cell>
        </row>
        <row r="2938">
          <cell r="Z2938" t="str">
            <v>213200</v>
          </cell>
        </row>
        <row r="2939">
          <cell r="Z2939" t="str">
            <v>213210</v>
          </cell>
        </row>
        <row r="2940">
          <cell r="Z2940" t="str">
            <v>213211</v>
          </cell>
        </row>
        <row r="2941">
          <cell r="Z2941" t="str">
            <v>213212</v>
          </cell>
        </row>
        <row r="2942">
          <cell r="Z2942" t="str">
            <v>213213</v>
          </cell>
        </row>
        <row r="2943">
          <cell r="Z2943" t="str">
            <v>213214</v>
          </cell>
        </row>
        <row r="2944">
          <cell r="Z2944" t="str">
            <v>213219</v>
          </cell>
        </row>
        <row r="2945">
          <cell r="Z2945" t="str">
            <v>213220</v>
          </cell>
        </row>
        <row r="2946">
          <cell r="Z2946" t="str">
            <v>213221</v>
          </cell>
        </row>
        <row r="2947">
          <cell r="Z2947" t="str">
            <v>213222</v>
          </cell>
        </row>
        <row r="2948">
          <cell r="Z2948" t="str">
            <v>213223</v>
          </cell>
        </row>
        <row r="2949">
          <cell r="Z2949" t="str">
            <v>213224</v>
          </cell>
        </row>
        <row r="2950">
          <cell r="Z2950" t="str">
            <v>213229</v>
          </cell>
        </row>
        <row r="2951">
          <cell r="Z2951" t="str">
            <v>213230</v>
          </cell>
        </row>
        <row r="2952">
          <cell r="Z2952" t="str">
            <v>213231</v>
          </cell>
        </row>
        <row r="2953">
          <cell r="Z2953" t="str">
            <v>213232</v>
          </cell>
        </row>
        <row r="2954">
          <cell r="Z2954" t="str">
            <v>213233</v>
          </cell>
        </row>
        <row r="2955">
          <cell r="Z2955" t="str">
            <v>213234</v>
          </cell>
        </row>
        <row r="2956">
          <cell r="Z2956" t="str">
            <v>213239</v>
          </cell>
        </row>
        <row r="2957">
          <cell r="Z2957" t="str">
            <v>213240</v>
          </cell>
        </row>
        <row r="2958">
          <cell r="Z2958" t="str">
            <v>213241</v>
          </cell>
        </row>
        <row r="2959">
          <cell r="Z2959" t="str">
            <v>213242</v>
          </cell>
        </row>
        <row r="2960">
          <cell r="Z2960" t="str">
            <v>213243</v>
          </cell>
        </row>
        <row r="2961">
          <cell r="Z2961" t="str">
            <v>213244</v>
          </cell>
        </row>
        <row r="2962">
          <cell r="Z2962" t="str">
            <v>213249</v>
          </cell>
        </row>
        <row r="2963">
          <cell r="Z2963" t="str">
            <v>213300</v>
          </cell>
        </row>
        <row r="2964">
          <cell r="Z2964" t="str">
            <v>213310</v>
          </cell>
        </row>
        <row r="2965">
          <cell r="Z2965" t="str">
            <v>213311</v>
          </cell>
        </row>
        <row r="2966">
          <cell r="Z2966" t="str">
            <v>213312</v>
          </cell>
        </row>
        <row r="2967">
          <cell r="Z2967" t="str">
            <v>213313</v>
          </cell>
        </row>
        <row r="2968">
          <cell r="Z2968" t="str">
            <v>213314</v>
          </cell>
        </row>
        <row r="2969">
          <cell r="Z2969" t="str">
            <v>213319</v>
          </cell>
        </row>
        <row r="2970">
          <cell r="Z2970" t="str">
            <v>213320</v>
          </cell>
        </row>
        <row r="2971">
          <cell r="Z2971" t="str">
            <v>213321</v>
          </cell>
        </row>
        <row r="2972">
          <cell r="Z2972" t="str">
            <v>213322</v>
          </cell>
        </row>
        <row r="2973">
          <cell r="Z2973" t="str">
            <v>213323</v>
          </cell>
        </row>
        <row r="2974">
          <cell r="Z2974" t="str">
            <v>213324</v>
          </cell>
        </row>
        <row r="2975">
          <cell r="Z2975" t="str">
            <v>213329</v>
          </cell>
        </row>
        <row r="2976">
          <cell r="Z2976" t="str">
            <v>213330</v>
          </cell>
        </row>
        <row r="2977">
          <cell r="Z2977" t="str">
            <v>213331</v>
          </cell>
        </row>
        <row r="2978">
          <cell r="Z2978" t="str">
            <v>213332</v>
          </cell>
        </row>
        <row r="2979">
          <cell r="Z2979" t="str">
            <v>213333</v>
          </cell>
        </row>
        <row r="2980">
          <cell r="Z2980" t="str">
            <v>213334</v>
          </cell>
        </row>
        <row r="2981">
          <cell r="Z2981" t="str">
            <v>213339</v>
          </cell>
        </row>
        <row r="2982">
          <cell r="Z2982" t="str">
            <v>213340</v>
          </cell>
        </row>
        <row r="2983">
          <cell r="Z2983" t="str">
            <v>213341</v>
          </cell>
        </row>
        <row r="2984">
          <cell r="Z2984" t="str">
            <v>213342</v>
          </cell>
        </row>
        <row r="2985">
          <cell r="Z2985" t="str">
            <v>213343</v>
          </cell>
        </row>
        <row r="2986">
          <cell r="Z2986" t="str">
            <v>213344</v>
          </cell>
        </row>
        <row r="2987">
          <cell r="Z2987" t="str">
            <v>213349</v>
          </cell>
        </row>
        <row r="2988">
          <cell r="Z2988" t="str">
            <v>213400</v>
          </cell>
        </row>
        <row r="2989">
          <cell r="Z2989" t="str">
            <v>213410</v>
          </cell>
        </row>
        <row r="2990">
          <cell r="Z2990" t="str">
            <v>213411</v>
          </cell>
        </row>
        <row r="2991">
          <cell r="Z2991" t="str">
            <v>213412</v>
          </cell>
        </row>
        <row r="2992">
          <cell r="Z2992" t="str">
            <v>213413</v>
          </cell>
        </row>
        <row r="2993">
          <cell r="Z2993" t="str">
            <v>213414</v>
          </cell>
        </row>
        <row r="2994">
          <cell r="Z2994" t="str">
            <v>213419</v>
          </cell>
        </row>
        <row r="2995">
          <cell r="Z2995" t="str">
            <v>213420</v>
          </cell>
        </row>
        <row r="2996">
          <cell r="Z2996" t="str">
            <v>213421</v>
          </cell>
        </row>
        <row r="2997">
          <cell r="Z2997" t="str">
            <v>213422</v>
          </cell>
        </row>
        <row r="2998">
          <cell r="Z2998" t="str">
            <v>213423</v>
          </cell>
        </row>
        <row r="2999">
          <cell r="Z2999" t="str">
            <v>213424</v>
          </cell>
        </row>
        <row r="3000">
          <cell r="Z3000" t="str">
            <v>213429</v>
          </cell>
        </row>
        <row r="3001">
          <cell r="Z3001" t="str">
            <v>213430</v>
          </cell>
        </row>
        <row r="3002">
          <cell r="Z3002" t="str">
            <v>213431</v>
          </cell>
        </row>
        <row r="3003">
          <cell r="Z3003" t="str">
            <v>213432</v>
          </cell>
        </row>
        <row r="3004">
          <cell r="Z3004" t="str">
            <v>213433</v>
          </cell>
        </row>
        <row r="3005">
          <cell r="Z3005" t="str">
            <v>213434</v>
          </cell>
        </row>
        <row r="3006">
          <cell r="Z3006" t="str">
            <v>213439</v>
          </cell>
        </row>
        <row r="3007">
          <cell r="Z3007" t="str">
            <v>213440</v>
          </cell>
        </row>
        <row r="3008">
          <cell r="Z3008" t="str">
            <v>213441</v>
          </cell>
        </row>
        <row r="3009">
          <cell r="Z3009" t="str">
            <v>213442</v>
          </cell>
        </row>
        <row r="3010">
          <cell r="Z3010" t="str">
            <v>213443</v>
          </cell>
        </row>
        <row r="3011">
          <cell r="Z3011" t="str">
            <v>213444</v>
          </cell>
        </row>
        <row r="3012">
          <cell r="Z3012" t="str">
            <v>213449</v>
          </cell>
        </row>
        <row r="3013">
          <cell r="Z3013" t="str">
            <v>213500</v>
          </cell>
        </row>
        <row r="3014">
          <cell r="Z3014" t="str">
            <v>213510</v>
          </cell>
        </row>
        <row r="3015">
          <cell r="Z3015" t="str">
            <v>213511</v>
          </cell>
        </row>
        <row r="3016">
          <cell r="Z3016" t="str">
            <v>213512</v>
          </cell>
        </row>
        <row r="3017">
          <cell r="Z3017" t="str">
            <v>213513</v>
          </cell>
        </row>
        <row r="3018">
          <cell r="Z3018" t="str">
            <v>213514</v>
          </cell>
        </row>
        <row r="3019">
          <cell r="Z3019" t="str">
            <v>213519</v>
          </cell>
        </row>
        <row r="3020">
          <cell r="Z3020" t="str">
            <v>213520</v>
          </cell>
        </row>
        <row r="3021">
          <cell r="Z3021" t="str">
            <v>213521</v>
          </cell>
        </row>
        <row r="3022">
          <cell r="Z3022" t="str">
            <v>213522</v>
          </cell>
        </row>
        <row r="3023">
          <cell r="Z3023" t="str">
            <v>213523</v>
          </cell>
        </row>
        <row r="3024">
          <cell r="Z3024" t="str">
            <v>213524</v>
          </cell>
        </row>
        <row r="3025">
          <cell r="Z3025" t="str">
            <v>213529</v>
          </cell>
        </row>
        <row r="3026">
          <cell r="Z3026" t="str">
            <v>213530</v>
          </cell>
        </row>
        <row r="3027">
          <cell r="Z3027" t="str">
            <v>213531</v>
          </cell>
        </row>
        <row r="3028">
          <cell r="Z3028" t="str">
            <v>213532</v>
          </cell>
        </row>
        <row r="3029">
          <cell r="Z3029" t="str">
            <v>213533</v>
          </cell>
        </row>
        <row r="3030">
          <cell r="Z3030" t="str">
            <v>213534</v>
          </cell>
        </row>
        <row r="3031">
          <cell r="Z3031" t="str">
            <v>213539</v>
          </cell>
        </row>
        <row r="3032">
          <cell r="Z3032" t="str">
            <v>213600</v>
          </cell>
        </row>
        <row r="3033">
          <cell r="Z3033" t="str">
            <v>213601</v>
          </cell>
        </row>
        <row r="3034">
          <cell r="Z3034" t="str">
            <v>213602</v>
          </cell>
        </row>
        <row r="3035">
          <cell r="Z3035" t="str">
            <v>213603</v>
          </cell>
        </row>
        <row r="3036">
          <cell r="Z3036" t="str">
            <v>213604</v>
          </cell>
        </row>
        <row r="3037">
          <cell r="Z3037" t="str">
            <v>213609</v>
          </cell>
        </row>
        <row r="3038">
          <cell r="Z3038" t="str">
            <v>213900</v>
          </cell>
        </row>
        <row r="3039">
          <cell r="Z3039" t="str">
            <v>213910</v>
          </cell>
        </row>
        <row r="3040">
          <cell r="Z3040" t="str">
            <v>213911</v>
          </cell>
        </row>
        <row r="3041">
          <cell r="Z3041" t="str">
            <v>213912</v>
          </cell>
        </row>
        <row r="3042">
          <cell r="Z3042" t="str">
            <v>213913</v>
          </cell>
        </row>
        <row r="3043">
          <cell r="Z3043" t="str">
            <v>213914</v>
          </cell>
        </row>
        <row r="3044">
          <cell r="Z3044" t="str">
            <v>213919</v>
          </cell>
        </row>
        <row r="3045">
          <cell r="Z3045" t="str">
            <v>213920</v>
          </cell>
        </row>
        <row r="3046">
          <cell r="Z3046" t="str">
            <v>213921</v>
          </cell>
        </row>
        <row r="3047">
          <cell r="Z3047" t="str">
            <v>213922</v>
          </cell>
        </row>
        <row r="3048">
          <cell r="Z3048" t="str">
            <v>213923</v>
          </cell>
        </row>
        <row r="3049">
          <cell r="Z3049" t="str">
            <v>213924</v>
          </cell>
        </row>
        <row r="3050">
          <cell r="Z3050" t="str">
            <v>213929</v>
          </cell>
        </row>
        <row r="3051">
          <cell r="Z3051" t="str">
            <v>213930</v>
          </cell>
        </row>
        <row r="3052">
          <cell r="Z3052" t="str">
            <v>213931</v>
          </cell>
        </row>
        <row r="3053">
          <cell r="Z3053" t="str">
            <v>213932</v>
          </cell>
        </row>
        <row r="3054">
          <cell r="Z3054" t="str">
            <v>213933</v>
          </cell>
        </row>
        <row r="3055">
          <cell r="Z3055" t="str">
            <v>213934</v>
          </cell>
        </row>
        <row r="3056">
          <cell r="Z3056" t="str">
            <v>213939</v>
          </cell>
        </row>
        <row r="3057">
          <cell r="Z3057" t="str">
            <v>213940</v>
          </cell>
        </row>
        <row r="3058">
          <cell r="Z3058" t="str">
            <v>213941</v>
          </cell>
        </row>
        <row r="3059">
          <cell r="Z3059" t="str">
            <v>213942</v>
          </cell>
        </row>
        <row r="3060">
          <cell r="Z3060" t="str">
            <v>213943</v>
          </cell>
        </row>
        <row r="3061">
          <cell r="Z3061" t="str">
            <v>213944</v>
          </cell>
        </row>
        <row r="3062">
          <cell r="Z3062" t="str">
            <v>213949</v>
          </cell>
        </row>
        <row r="3063">
          <cell r="Z3063" t="str">
            <v>213950</v>
          </cell>
        </row>
        <row r="3064">
          <cell r="Z3064" t="str">
            <v>213951</v>
          </cell>
        </row>
        <row r="3065">
          <cell r="Z3065" t="str">
            <v>213952</v>
          </cell>
        </row>
        <row r="3066">
          <cell r="Z3066" t="str">
            <v>213953</v>
          </cell>
        </row>
        <row r="3067">
          <cell r="Z3067" t="str">
            <v>213954</v>
          </cell>
        </row>
        <row r="3068">
          <cell r="Z3068" t="str">
            <v>213959</v>
          </cell>
        </row>
        <row r="3069">
          <cell r="Z3069" t="str">
            <v>213960</v>
          </cell>
        </row>
        <row r="3070">
          <cell r="Z3070" t="str">
            <v>213961</v>
          </cell>
        </row>
        <row r="3071">
          <cell r="Z3071" t="str">
            <v>213962</v>
          </cell>
        </row>
        <row r="3072">
          <cell r="Z3072" t="str">
            <v>213963</v>
          </cell>
        </row>
        <row r="3073">
          <cell r="Z3073" t="str">
            <v>213964</v>
          </cell>
        </row>
        <row r="3074">
          <cell r="Z3074" t="str">
            <v>213969</v>
          </cell>
        </row>
        <row r="3075">
          <cell r="Z3075" t="str">
            <v>213970</v>
          </cell>
        </row>
        <row r="3076">
          <cell r="Z3076" t="str">
            <v>213971</v>
          </cell>
        </row>
        <row r="3077">
          <cell r="Z3077" t="str">
            <v>213972</v>
          </cell>
        </row>
        <row r="3078">
          <cell r="Z3078" t="str">
            <v>213973</v>
          </cell>
        </row>
        <row r="3079">
          <cell r="Z3079" t="str">
            <v>213974</v>
          </cell>
        </row>
        <row r="3080">
          <cell r="Z3080" t="str">
            <v>213979</v>
          </cell>
        </row>
        <row r="3081">
          <cell r="Z3081" t="str">
            <v>214000</v>
          </cell>
        </row>
        <row r="3082">
          <cell r="Z3082" t="str">
            <v>214001</v>
          </cell>
        </row>
        <row r="3083">
          <cell r="Z3083" t="str">
            <v>214002</v>
          </cell>
        </row>
        <row r="3084">
          <cell r="Z3084" t="str">
            <v>214003</v>
          </cell>
        </row>
        <row r="3085">
          <cell r="Z3085" t="str">
            <v>214004</v>
          </cell>
        </row>
        <row r="3086">
          <cell r="Z3086" t="str">
            <v>214009</v>
          </cell>
        </row>
        <row r="3087">
          <cell r="Z3087" t="str">
            <v>215000</v>
          </cell>
        </row>
        <row r="3088">
          <cell r="Z3088" t="str">
            <v>215100</v>
          </cell>
        </row>
        <row r="3089">
          <cell r="Z3089" t="str">
            <v>215110</v>
          </cell>
        </row>
        <row r="3090">
          <cell r="Z3090" t="str">
            <v>215111</v>
          </cell>
        </row>
        <row r="3091">
          <cell r="Z3091" t="str">
            <v>215112</v>
          </cell>
        </row>
        <row r="3092">
          <cell r="Z3092" t="str">
            <v>215113</v>
          </cell>
        </row>
        <row r="3093">
          <cell r="Z3093" t="str">
            <v>215114</v>
          </cell>
        </row>
        <row r="3094">
          <cell r="Z3094" t="str">
            <v>215119</v>
          </cell>
        </row>
        <row r="3095">
          <cell r="Z3095" t="str">
            <v>215120</v>
          </cell>
        </row>
        <row r="3096">
          <cell r="Z3096" t="str">
            <v>215121</v>
          </cell>
        </row>
        <row r="3097">
          <cell r="Z3097" t="str">
            <v>215122</v>
          </cell>
        </row>
        <row r="3098">
          <cell r="Z3098" t="str">
            <v>215123</v>
          </cell>
        </row>
        <row r="3099">
          <cell r="Z3099" t="str">
            <v>215124</v>
          </cell>
        </row>
        <row r="3100">
          <cell r="Z3100" t="str">
            <v>215129</v>
          </cell>
        </row>
        <row r="3101">
          <cell r="Z3101" t="str">
            <v>215130</v>
          </cell>
        </row>
        <row r="3102">
          <cell r="Z3102" t="str">
            <v>215131</v>
          </cell>
        </row>
        <row r="3103">
          <cell r="Z3103" t="str">
            <v>215132</v>
          </cell>
        </row>
        <row r="3104">
          <cell r="Z3104" t="str">
            <v>215133</v>
          </cell>
        </row>
        <row r="3105">
          <cell r="Z3105" t="str">
            <v>215134</v>
          </cell>
        </row>
        <row r="3106">
          <cell r="Z3106" t="str">
            <v>215139</v>
          </cell>
        </row>
        <row r="3107">
          <cell r="Z3107" t="str">
            <v>215140</v>
          </cell>
        </row>
        <row r="3108">
          <cell r="Z3108" t="str">
            <v>215141</v>
          </cell>
        </row>
        <row r="3109">
          <cell r="Z3109" t="str">
            <v>215142</v>
          </cell>
        </row>
        <row r="3110">
          <cell r="Z3110" t="str">
            <v>215143</v>
          </cell>
        </row>
        <row r="3111">
          <cell r="Z3111" t="str">
            <v>215144</v>
          </cell>
        </row>
        <row r="3112">
          <cell r="Z3112" t="str">
            <v>215149</v>
          </cell>
        </row>
        <row r="3113">
          <cell r="Z3113" t="str">
            <v>215150</v>
          </cell>
        </row>
        <row r="3114">
          <cell r="Z3114" t="str">
            <v>215151</v>
          </cell>
        </row>
        <row r="3115">
          <cell r="Z3115" t="str">
            <v>215152</v>
          </cell>
        </row>
        <row r="3116">
          <cell r="Z3116" t="str">
            <v>215153</v>
          </cell>
        </row>
        <row r="3117">
          <cell r="Z3117" t="str">
            <v>215154</v>
          </cell>
        </row>
        <row r="3118">
          <cell r="Z3118" t="str">
            <v>215159</v>
          </cell>
        </row>
        <row r="3119">
          <cell r="Z3119" t="str">
            <v>215160</v>
          </cell>
        </row>
        <row r="3120">
          <cell r="Z3120" t="str">
            <v>215161</v>
          </cell>
        </row>
        <row r="3121">
          <cell r="Z3121" t="str">
            <v>215162</v>
          </cell>
        </row>
        <row r="3122">
          <cell r="Z3122" t="str">
            <v>215163</v>
          </cell>
        </row>
        <row r="3123">
          <cell r="Z3123" t="str">
            <v>215164</v>
          </cell>
        </row>
        <row r="3124">
          <cell r="Z3124" t="str">
            <v>215169</v>
          </cell>
        </row>
        <row r="3125">
          <cell r="Z3125" t="str">
            <v>215170</v>
          </cell>
        </row>
        <row r="3126">
          <cell r="Z3126" t="str">
            <v>215171</v>
          </cell>
        </row>
        <row r="3127">
          <cell r="Z3127" t="str">
            <v>215172</v>
          </cell>
        </row>
        <row r="3128">
          <cell r="Z3128" t="str">
            <v>215173</v>
          </cell>
        </row>
        <row r="3129">
          <cell r="Z3129" t="str">
            <v>215174</v>
          </cell>
        </row>
        <row r="3130">
          <cell r="Z3130" t="str">
            <v>215179</v>
          </cell>
        </row>
        <row r="3131">
          <cell r="Z3131" t="str">
            <v>215200</v>
          </cell>
        </row>
        <row r="3132">
          <cell r="Z3132" t="str">
            <v>215210</v>
          </cell>
        </row>
        <row r="3133">
          <cell r="Z3133" t="str">
            <v>215211</v>
          </cell>
        </row>
        <row r="3134">
          <cell r="Z3134" t="str">
            <v>215212</v>
          </cell>
        </row>
        <row r="3135">
          <cell r="Z3135" t="str">
            <v>215213</v>
          </cell>
        </row>
        <row r="3136">
          <cell r="Z3136" t="str">
            <v>215214</v>
          </cell>
        </row>
        <row r="3137">
          <cell r="Z3137" t="str">
            <v>215219</v>
          </cell>
        </row>
        <row r="3138">
          <cell r="Z3138" t="str">
            <v>215220</v>
          </cell>
        </row>
        <row r="3139">
          <cell r="Z3139" t="str">
            <v>215221</v>
          </cell>
        </row>
        <row r="3140">
          <cell r="Z3140" t="str">
            <v>215222</v>
          </cell>
        </row>
        <row r="3141">
          <cell r="Z3141" t="str">
            <v>215223</v>
          </cell>
        </row>
        <row r="3142">
          <cell r="Z3142" t="str">
            <v>215224</v>
          </cell>
        </row>
        <row r="3143">
          <cell r="Z3143" t="str">
            <v>215229</v>
          </cell>
        </row>
        <row r="3144">
          <cell r="Z3144" t="str">
            <v>215230</v>
          </cell>
        </row>
        <row r="3145">
          <cell r="Z3145" t="str">
            <v>215231</v>
          </cell>
        </row>
        <row r="3146">
          <cell r="Z3146" t="str">
            <v>215232</v>
          </cell>
        </row>
        <row r="3147">
          <cell r="Z3147" t="str">
            <v>215233</v>
          </cell>
        </row>
        <row r="3148">
          <cell r="Z3148" t="str">
            <v>215234</v>
          </cell>
        </row>
        <row r="3149">
          <cell r="Z3149" t="str">
            <v>215239</v>
          </cell>
        </row>
        <row r="3150">
          <cell r="Z3150" t="str">
            <v>215240</v>
          </cell>
        </row>
        <row r="3151">
          <cell r="Z3151" t="str">
            <v>215241</v>
          </cell>
        </row>
        <row r="3152">
          <cell r="Z3152" t="str">
            <v>215242</v>
          </cell>
        </row>
        <row r="3153">
          <cell r="Z3153" t="str">
            <v>215243</v>
          </cell>
        </row>
        <row r="3154">
          <cell r="Z3154" t="str">
            <v>215244</v>
          </cell>
        </row>
        <row r="3155">
          <cell r="Z3155" t="str">
            <v>215249</v>
          </cell>
        </row>
        <row r="3156">
          <cell r="Z3156" t="str">
            <v>215300</v>
          </cell>
        </row>
        <row r="3157">
          <cell r="Z3157" t="str">
            <v>215310</v>
          </cell>
        </row>
        <row r="3158">
          <cell r="Z3158" t="str">
            <v>215311</v>
          </cell>
        </row>
        <row r="3159">
          <cell r="Z3159" t="str">
            <v>215312</v>
          </cell>
        </row>
        <row r="3160">
          <cell r="Z3160" t="str">
            <v>215313</v>
          </cell>
        </row>
        <row r="3161">
          <cell r="Z3161" t="str">
            <v>215314</v>
          </cell>
        </row>
        <row r="3162">
          <cell r="Z3162" t="str">
            <v>215319</v>
          </cell>
        </row>
        <row r="3163">
          <cell r="Z3163" t="str">
            <v>215320</v>
          </cell>
        </row>
        <row r="3164">
          <cell r="Z3164" t="str">
            <v>215321</v>
          </cell>
        </row>
        <row r="3165">
          <cell r="Z3165" t="str">
            <v>215322</v>
          </cell>
        </row>
        <row r="3166">
          <cell r="Z3166" t="str">
            <v>215323</v>
          </cell>
        </row>
        <row r="3167">
          <cell r="Z3167" t="str">
            <v>215324</v>
          </cell>
        </row>
        <row r="3168">
          <cell r="Z3168" t="str">
            <v>215329</v>
          </cell>
        </row>
        <row r="3169">
          <cell r="Z3169" t="str">
            <v>215330</v>
          </cell>
        </row>
        <row r="3170">
          <cell r="Z3170" t="str">
            <v>215331</v>
          </cell>
        </row>
        <row r="3171">
          <cell r="Z3171" t="str">
            <v>215332</v>
          </cell>
        </row>
        <row r="3172">
          <cell r="Z3172" t="str">
            <v>215333</v>
          </cell>
        </row>
        <row r="3173">
          <cell r="Z3173" t="str">
            <v>215334</v>
          </cell>
        </row>
        <row r="3174">
          <cell r="Z3174" t="str">
            <v>215339</v>
          </cell>
        </row>
        <row r="3175">
          <cell r="Z3175" t="str">
            <v>215340</v>
          </cell>
        </row>
        <row r="3176">
          <cell r="Z3176" t="str">
            <v>215341</v>
          </cell>
        </row>
        <row r="3177">
          <cell r="Z3177" t="str">
            <v>215342</v>
          </cell>
        </row>
        <row r="3178">
          <cell r="Z3178" t="str">
            <v>215343</v>
          </cell>
        </row>
        <row r="3179">
          <cell r="Z3179" t="str">
            <v>215344</v>
          </cell>
        </row>
        <row r="3180">
          <cell r="Z3180" t="str">
            <v>215349</v>
          </cell>
        </row>
        <row r="3181">
          <cell r="Z3181" t="str">
            <v>215400</v>
          </cell>
        </row>
        <row r="3182">
          <cell r="Z3182" t="str">
            <v>215410</v>
          </cell>
        </row>
        <row r="3183">
          <cell r="Z3183" t="str">
            <v>215411</v>
          </cell>
        </row>
        <row r="3184">
          <cell r="Z3184" t="str">
            <v>215412</v>
          </cell>
        </row>
        <row r="3185">
          <cell r="Z3185" t="str">
            <v>215413</v>
          </cell>
        </row>
        <row r="3186">
          <cell r="Z3186" t="str">
            <v>215414</v>
          </cell>
        </row>
        <row r="3187">
          <cell r="Z3187" t="str">
            <v>215419</v>
          </cell>
        </row>
        <row r="3188">
          <cell r="Z3188" t="str">
            <v>215420</v>
          </cell>
        </row>
        <row r="3189">
          <cell r="Z3189" t="str">
            <v>215421</v>
          </cell>
        </row>
        <row r="3190">
          <cell r="Z3190" t="str">
            <v>215422</v>
          </cell>
        </row>
        <row r="3191">
          <cell r="Z3191" t="str">
            <v>215423</v>
          </cell>
        </row>
        <row r="3192">
          <cell r="Z3192" t="str">
            <v>215424</v>
          </cell>
        </row>
        <row r="3193">
          <cell r="Z3193" t="str">
            <v>215429</v>
          </cell>
        </row>
        <row r="3194">
          <cell r="Z3194" t="str">
            <v>215430</v>
          </cell>
        </row>
        <row r="3195">
          <cell r="Z3195" t="str">
            <v>215431</v>
          </cell>
        </row>
        <row r="3196">
          <cell r="Z3196" t="str">
            <v>215432</v>
          </cell>
        </row>
        <row r="3197">
          <cell r="Z3197" t="str">
            <v>215433</v>
          </cell>
        </row>
        <row r="3198">
          <cell r="Z3198" t="str">
            <v>215434</v>
          </cell>
        </row>
        <row r="3199">
          <cell r="Z3199" t="str">
            <v>215439</v>
          </cell>
        </row>
        <row r="3200">
          <cell r="Z3200" t="str">
            <v>215440</v>
          </cell>
        </row>
        <row r="3201">
          <cell r="Z3201" t="str">
            <v>215441</v>
          </cell>
        </row>
        <row r="3202">
          <cell r="Z3202" t="str">
            <v>215442</v>
          </cell>
        </row>
        <row r="3203">
          <cell r="Z3203" t="str">
            <v>215443</v>
          </cell>
        </row>
        <row r="3204">
          <cell r="Z3204" t="str">
            <v>215444</v>
          </cell>
        </row>
        <row r="3205">
          <cell r="Z3205" t="str">
            <v>215449</v>
          </cell>
        </row>
        <row r="3206">
          <cell r="Z3206" t="str">
            <v>215500</v>
          </cell>
        </row>
        <row r="3207">
          <cell r="Z3207" t="str">
            <v>215510</v>
          </cell>
        </row>
        <row r="3208">
          <cell r="Z3208" t="str">
            <v>215511</v>
          </cell>
        </row>
        <row r="3209">
          <cell r="Z3209" t="str">
            <v>215512</v>
          </cell>
        </row>
        <row r="3210">
          <cell r="Z3210" t="str">
            <v>215513</v>
          </cell>
        </row>
        <row r="3211">
          <cell r="Z3211" t="str">
            <v>215514</v>
          </cell>
        </row>
        <row r="3212">
          <cell r="Z3212" t="str">
            <v>215519</v>
          </cell>
        </row>
        <row r="3213">
          <cell r="Z3213" t="str">
            <v>215520</v>
          </cell>
        </row>
        <row r="3214">
          <cell r="Z3214" t="str">
            <v>215521</v>
          </cell>
        </row>
        <row r="3215">
          <cell r="Z3215" t="str">
            <v>215522</v>
          </cell>
        </row>
        <row r="3216">
          <cell r="Z3216" t="str">
            <v>215523</v>
          </cell>
        </row>
        <row r="3217">
          <cell r="Z3217" t="str">
            <v>215524</v>
          </cell>
        </row>
        <row r="3218">
          <cell r="Z3218" t="str">
            <v>215529</v>
          </cell>
        </row>
        <row r="3219">
          <cell r="Z3219" t="str">
            <v>215530</v>
          </cell>
        </row>
        <row r="3220">
          <cell r="Z3220" t="str">
            <v>215531</v>
          </cell>
        </row>
        <row r="3221">
          <cell r="Z3221" t="str">
            <v>215532</v>
          </cell>
        </row>
        <row r="3222">
          <cell r="Z3222" t="str">
            <v>215533</v>
          </cell>
        </row>
        <row r="3223">
          <cell r="Z3223" t="str">
            <v>215534</v>
          </cell>
        </row>
        <row r="3224">
          <cell r="Z3224" t="str">
            <v>215539</v>
          </cell>
        </row>
        <row r="3225">
          <cell r="Z3225" t="str">
            <v>215900</v>
          </cell>
        </row>
        <row r="3226">
          <cell r="Z3226" t="str">
            <v>215910</v>
          </cell>
        </row>
        <row r="3227">
          <cell r="Z3227" t="str">
            <v>215911</v>
          </cell>
        </row>
        <row r="3228">
          <cell r="Z3228" t="str">
            <v>215912</v>
          </cell>
        </row>
        <row r="3229">
          <cell r="Z3229" t="str">
            <v>215913</v>
          </cell>
        </row>
        <row r="3230">
          <cell r="Z3230" t="str">
            <v>215914</v>
          </cell>
        </row>
        <row r="3231">
          <cell r="Z3231" t="str">
            <v>215919</v>
          </cell>
        </row>
        <row r="3232">
          <cell r="Z3232" t="str">
            <v>215920</v>
          </cell>
        </row>
        <row r="3233">
          <cell r="Z3233" t="str">
            <v>215921</v>
          </cell>
        </row>
        <row r="3234">
          <cell r="Z3234" t="str">
            <v>215922</v>
          </cell>
        </row>
        <row r="3235">
          <cell r="Z3235" t="str">
            <v>215923</v>
          </cell>
        </row>
        <row r="3236">
          <cell r="Z3236" t="str">
            <v>215924</v>
          </cell>
        </row>
        <row r="3237">
          <cell r="Z3237" t="str">
            <v>215929</v>
          </cell>
        </row>
        <row r="3238">
          <cell r="Z3238" t="str">
            <v>215930</v>
          </cell>
        </row>
        <row r="3239">
          <cell r="Z3239" t="str">
            <v>215931</v>
          </cell>
        </row>
        <row r="3240">
          <cell r="Z3240" t="str">
            <v>215932</v>
          </cell>
        </row>
        <row r="3241">
          <cell r="Z3241" t="str">
            <v>215933</v>
          </cell>
        </row>
        <row r="3242">
          <cell r="Z3242" t="str">
            <v>215934</v>
          </cell>
        </row>
        <row r="3243">
          <cell r="Z3243" t="str">
            <v>215939</v>
          </cell>
        </row>
        <row r="3244">
          <cell r="Z3244" t="str">
            <v>215940</v>
          </cell>
        </row>
        <row r="3245">
          <cell r="Z3245" t="str">
            <v>215941</v>
          </cell>
        </row>
        <row r="3246">
          <cell r="Z3246" t="str">
            <v>215942</v>
          </cell>
        </row>
        <row r="3247">
          <cell r="Z3247" t="str">
            <v>215943</v>
          </cell>
        </row>
        <row r="3248">
          <cell r="Z3248" t="str">
            <v>215944</v>
          </cell>
        </row>
        <row r="3249">
          <cell r="Z3249" t="str">
            <v>215949</v>
          </cell>
        </row>
        <row r="3250">
          <cell r="Z3250" t="str">
            <v>215950</v>
          </cell>
        </row>
        <row r="3251">
          <cell r="Z3251" t="str">
            <v>215951</v>
          </cell>
        </row>
        <row r="3252">
          <cell r="Z3252" t="str">
            <v>215952</v>
          </cell>
        </row>
        <row r="3253">
          <cell r="Z3253" t="str">
            <v>215953</v>
          </cell>
        </row>
        <row r="3254">
          <cell r="Z3254" t="str">
            <v>215954</v>
          </cell>
        </row>
        <row r="3255">
          <cell r="Z3255" t="str">
            <v>215959</v>
          </cell>
        </row>
        <row r="3256">
          <cell r="Z3256" t="str">
            <v>215960</v>
          </cell>
        </row>
        <row r="3257">
          <cell r="Z3257" t="str">
            <v>215961</v>
          </cell>
        </row>
        <row r="3258">
          <cell r="Z3258" t="str">
            <v>215962</v>
          </cell>
        </row>
        <row r="3259">
          <cell r="Z3259" t="str">
            <v>215963</v>
          </cell>
        </row>
        <row r="3260">
          <cell r="Z3260" t="str">
            <v>215964</v>
          </cell>
        </row>
        <row r="3261">
          <cell r="Z3261" t="str">
            <v>215969</v>
          </cell>
        </row>
        <row r="3262">
          <cell r="Z3262" t="str">
            <v>215970</v>
          </cell>
        </row>
        <row r="3263">
          <cell r="Z3263" t="str">
            <v>215971</v>
          </cell>
        </row>
        <row r="3264">
          <cell r="Z3264" t="str">
            <v>215972</v>
          </cell>
        </row>
        <row r="3265">
          <cell r="Z3265" t="str">
            <v>215973</v>
          </cell>
        </row>
        <row r="3266">
          <cell r="Z3266" t="str">
            <v>215974</v>
          </cell>
        </row>
        <row r="3267">
          <cell r="Z3267" t="str">
            <v>215979</v>
          </cell>
        </row>
        <row r="3268">
          <cell r="Z3268" t="str">
            <v>216000</v>
          </cell>
        </row>
        <row r="3269">
          <cell r="Z3269" t="str">
            <v>216100</v>
          </cell>
        </row>
        <row r="3270">
          <cell r="Z3270" t="str">
            <v>216110</v>
          </cell>
        </row>
        <row r="3271">
          <cell r="Z3271" t="str">
            <v>216111</v>
          </cell>
        </row>
        <row r="3272">
          <cell r="Z3272" t="str">
            <v>216112</v>
          </cell>
        </row>
        <row r="3273">
          <cell r="Z3273" t="str">
            <v>216113</v>
          </cell>
        </row>
        <row r="3274">
          <cell r="Z3274" t="str">
            <v>216114</v>
          </cell>
        </row>
        <row r="3275">
          <cell r="Z3275" t="str">
            <v>216119</v>
          </cell>
        </row>
        <row r="3276">
          <cell r="Z3276" t="str">
            <v>216120</v>
          </cell>
        </row>
        <row r="3277">
          <cell r="Z3277" t="str">
            <v>216121</v>
          </cell>
        </row>
        <row r="3278">
          <cell r="Z3278" t="str">
            <v>216122</v>
          </cell>
        </row>
        <row r="3279">
          <cell r="Z3279" t="str">
            <v>216123</v>
          </cell>
        </row>
        <row r="3280">
          <cell r="Z3280" t="str">
            <v>216124</v>
          </cell>
        </row>
        <row r="3281">
          <cell r="Z3281" t="str">
            <v>216129</v>
          </cell>
        </row>
        <row r="3282">
          <cell r="Z3282" t="str">
            <v>216130</v>
          </cell>
        </row>
        <row r="3283">
          <cell r="Z3283" t="str">
            <v>216131</v>
          </cell>
        </row>
        <row r="3284">
          <cell r="Z3284" t="str">
            <v>216132</v>
          </cell>
        </row>
        <row r="3285">
          <cell r="Z3285" t="str">
            <v>216133</v>
          </cell>
        </row>
        <row r="3286">
          <cell r="Z3286" t="str">
            <v>216134</v>
          </cell>
        </row>
        <row r="3287">
          <cell r="Z3287" t="str">
            <v>216139</v>
          </cell>
        </row>
        <row r="3288">
          <cell r="Z3288" t="str">
            <v>216140</v>
          </cell>
        </row>
        <row r="3289">
          <cell r="Z3289" t="str">
            <v>216141</v>
          </cell>
        </row>
        <row r="3290">
          <cell r="Z3290" t="str">
            <v>216142</v>
          </cell>
        </row>
        <row r="3291">
          <cell r="Z3291" t="str">
            <v>216143</v>
          </cell>
        </row>
        <row r="3292">
          <cell r="Z3292" t="str">
            <v>216144</v>
          </cell>
        </row>
        <row r="3293">
          <cell r="Z3293" t="str">
            <v>216149</v>
          </cell>
        </row>
        <row r="3294">
          <cell r="Z3294" t="str">
            <v>216150</v>
          </cell>
        </row>
        <row r="3295">
          <cell r="Z3295" t="str">
            <v>216151</v>
          </cell>
        </row>
        <row r="3296">
          <cell r="Z3296" t="str">
            <v>216152</v>
          </cell>
        </row>
        <row r="3297">
          <cell r="Z3297" t="str">
            <v>216153</v>
          </cell>
        </row>
        <row r="3298">
          <cell r="Z3298" t="str">
            <v>216154</v>
          </cell>
        </row>
        <row r="3299">
          <cell r="Z3299" t="str">
            <v>216159</v>
          </cell>
        </row>
        <row r="3300">
          <cell r="Z3300" t="str">
            <v>216160</v>
          </cell>
        </row>
        <row r="3301">
          <cell r="Z3301" t="str">
            <v>216161</v>
          </cell>
        </row>
        <row r="3302">
          <cell r="Z3302" t="str">
            <v>216162</v>
          </cell>
        </row>
        <row r="3303">
          <cell r="Z3303" t="str">
            <v>216163</v>
          </cell>
        </row>
        <row r="3304">
          <cell r="Z3304" t="str">
            <v>216164</v>
          </cell>
        </row>
        <row r="3305">
          <cell r="Z3305" t="str">
            <v>216169</v>
          </cell>
        </row>
        <row r="3306">
          <cell r="Z3306" t="str">
            <v>216170</v>
          </cell>
        </row>
        <row r="3307">
          <cell r="Z3307" t="str">
            <v>216171</v>
          </cell>
        </row>
        <row r="3308">
          <cell r="Z3308" t="str">
            <v>216172</v>
          </cell>
        </row>
        <row r="3309">
          <cell r="Z3309" t="str">
            <v>216173</v>
          </cell>
        </row>
        <row r="3310">
          <cell r="Z3310" t="str">
            <v>216174</v>
          </cell>
        </row>
        <row r="3311">
          <cell r="Z3311" t="str">
            <v>216179</v>
          </cell>
        </row>
        <row r="3312">
          <cell r="Z3312" t="str">
            <v>216200</v>
          </cell>
        </row>
        <row r="3313">
          <cell r="Z3313" t="str">
            <v>216210</v>
          </cell>
        </row>
        <row r="3314">
          <cell r="Z3314" t="str">
            <v>216211</v>
          </cell>
        </row>
        <row r="3315">
          <cell r="Z3315" t="str">
            <v>216212</v>
          </cell>
        </row>
        <row r="3316">
          <cell r="Z3316" t="str">
            <v>216213</v>
          </cell>
        </row>
        <row r="3317">
          <cell r="Z3317" t="str">
            <v>216214</v>
          </cell>
        </row>
        <row r="3318">
          <cell r="Z3318" t="str">
            <v>216219</v>
          </cell>
        </row>
        <row r="3319">
          <cell r="Z3319" t="str">
            <v>216220</v>
          </cell>
        </row>
        <row r="3320">
          <cell r="Z3320" t="str">
            <v>216221</v>
          </cell>
        </row>
        <row r="3321">
          <cell r="Z3321" t="str">
            <v>216222</v>
          </cell>
        </row>
        <row r="3322">
          <cell r="Z3322" t="str">
            <v>216223</v>
          </cell>
        </row>
        <row r="3323">
          <cell r="Z3323" t="str">
            <v>216224</v>
          </cell>
        </row>
        <row r="3324">
          <cell r="Z3324" t="str">
            <v>216229</v>
          </cell>
        </row>
        <row r="3325">
          <cell r="Z3325" t="str">
            <v>216230</v>
          </cell>
        </row>
        <row r="3326">
          <cell r="Z3326" t="str">
            <v>216231</v>
          </cell>
        </row>
        <row r="3327">
          <cell r="Z3327" t="str">
            <v>216232</v>
          </cell>
        </row>
        <row r="3328">
          <cell r="Z3328" t="str">
            <v>216233</v>
          </cell>
        </row>
        <row r="3329">
          <cell r="Z3329" t="str">
            <v>216234</v>
          </cell>
        </row>
        <row r="3330">
          <cell r="Z3330" t="str">
            <v>216239</v>
          </cell>
        </row>
        <row r="3331">
          <cell r="Z3331" t="str">
            <v>216240</v>
          </cell>
        </row>
        <row r="3332">
          <cell r="Z3332" t="str">
            <v>216241</v>
          </cell>
        </row>
        <row r="3333">
          <cell r="Z3333" t="str">
            <v>216242</v>
          </cell>
        </row>
        <row r="3334">
          <cell r="Z3334" t="str">
            <v>216243</v>
          </cell>
        </row>
        <row r="3335">
          <cell r="Z3335" t="str">
            <v>216244</v>
          </cell>
        </row>
        <row r="3336">
          <cell r="Z3336" t="str">
            <v>216249</v>
          </cell>
        </row>
        <row r="3337">
          <cell r="Z3337" t="str">
            <v>216300</v>
          </cell>
        </row>
        <row r="3338">
          <cell r="Z3338" t="str">
            <v>216310</v>
          </cell>
        </row>
        <row r="3339">
          <cell r="Z3339" t="str">
            <v>216311</v>
          </cell>
        </row>
        <row r="3340">
          <cell r="Z3340" t="str">
            <v>216312</v>
          </cell>
        </row>
        <row r="3341">
          <cell r="Z3341" t="str">
            <v>216313</v>
          </cell>
        </row>
        <row r="3342">
          <cell r="Z3342" t="str">
            <v>216314</v>
          </cell>
        </row>
        <row r="3343">
          <cell r="Z3343" t="str">
            <v>216319</v>
          </cell>
        </row>
        <row r="3344">
          <cell r="Z3344" t="str">
            <v>216320</v>
          </cell>
        </row>
        <row r="3345">
          <cell r="Z3345" t="str">
            <v>216321</v>
          </cell>
        </row>
        <row r="3346">
          <cell r="Z3346" t="str">
            <v>216322</v>
          </cell>
        </row>
        <row r="3347">
          <cell r="Z3347" t="str">
            <v>216323</v>
          </cell>
        </row>
        <row r="3348">
          <cell r="Z3348" t="str">
            <v>216324</v>
          </cell>
        </row>
        <row r="3349">
          <cell r="Z3349" t="str">
            <v>216329</v>
          </cell>
        </row>
        <row r="3350">
          <cell r="Z3350" t="str">
            <v>216330</v>
          </cell>
        </row>
        <row r="3351">
          <cell r="Z3351" t="str">
            <v>216331</v>
          </cell>
        </row>
        <row r="3352">
          <cell r="Z3352" t="str">
            <v>216332</v>
          </cell>
        </row>
        <row r="3353">
          <cell r="Z3353" t="str">
            <v>216333</v>
          </cell>
        </row>
        <row r="3354">
          <cell r="Z3354" t="str">
            <v>216334</v>
          </cell>
        </row>
        <row r="3355">
          <cell r="Z3355" t="str">
            <v>216339</v>
          </cell>
        </row>
        <row r="3356">
          <cell r="Z3356" t="str">
            <v>216340</v>
          </cell>
        </row>
        <row r="3357">
          <cell r="Z3357" t="str">
            <v>216341</v>
          </cell>
        </row>
        <row r="3358">
          <cell r="Z3358" t="str">
            <v>216342</v>
          </cell>
        </row>
        <row r="3359">
          <cell r="Z3359" t="str">
            <v>216343</v>
          </cell>
        </row>
        <row r="3360">
          <cell r="Z3360" t="str">
            <v>216344</v>
          </cell>
        </row>
        <row r="3361">
          <cell r="Z3361" t="str">
            <v>216349</v>
          </cell>
        </row>
        <row r="3362">
          <cell r="Z3362" t="str">
            <v>216400</v>
          </cell>
        </row>
        <row r="3363">
          <cell r="Z3363" t="str">
            <v>216410</v>
          </cell>
        </row>
        <row r="3364">
          <cell r="Z3364" t="str">
            <v>216411</v>
          </cell>
        </row>
        <row r="3365">
          <cell r="Z3365" t="str">
            <v>216412</v>
          </cell>
        </row>
        <row r="3366">
          <cell r="Z3366" t="str">
            <v>216413</v>
          </cell>
        </row>
        <row r="3367">
          <cell r="Z3367" t="str">
            <v>216414</v>
          </cell>
        </row>
        <row r="3368">
          <cell r="Z3368" t="str">
            <v>216419</v>
          </cell>
        </row>
        <row r="3369">
          <cell r="Z3369" t="str">
            <v>216420</v>
          </cell>
        </row>
        <row r="3370">
          <cell r="Z3370" t="str">
            <v>216421</v>
          </cell>
        </row>
        <row r="3371">
          <cell r="Z3371" t="str">
            <v>216422</v>
          </cell>
        </row>
        <row r="3372">
          <cell r="Z3372" t="str">
            <v>216423</v>
          </cell>
        </row>
        <row r="3373">
          <cell r="Z3373" t="str">
            <v>216424</v>
          </cell>
        </row>
        <row r="3374">
          <cell r="Z3374" t="str">
            <v>216429</v>
          </cell>
        </row>
        <row r="3375">
          <cell r="Z3375" t="str">
            <v>216430</v>
          </cell>
        </row>
        <row r="3376">
          <cell r="Z3376" t="str">
            <v>216431</v>
          </cell>
        </row>
        <row r="3377">
          <cell r="Z3377" t="str">
            <v>216432</v>
          </cell>
        </row>
        <row r="3378">
          <cell r="Z3378" t="str">
            <v>216433</v>
          </cell>
        </row>
        <row r="3379">
          <cell r="Z3379" t="str">
            <v>216434</v>
          </cell>
        </row>
        <row r="3380">
          <cell r="Z3380" t="str">
            <v>216439</v>
          </cell>
        </row>
        <row r="3381">
          <cell r="Z3381" t="str">
            <v>216440</v>
          </cell>
        </row>
        <row r="3382">
          <cell r="Z3382" t="str">
            <v>216441</v>
          </cell>
        </row>
        <row r="3383">
          <cell r="Z3383" t="str">
            <v>216442</v>
          </cell>
        </row>
        <row r="3384">
          <cell r="Z3384" t="str">
            <v>216443</v>
          </cell>
        </row>
        <row r="3385">
          <cell r="Z3385" t="str">
            <v>216444</v>
          </cell>
        </row>
        <row r="3386">
          <cell r="Z3386" t="str">
            <v>216449</v>
          </cell>
        </row>
        <row r="3387">
          <cell r="Z3387" t="str">
            <v>216500</v>
          </cell>
        </row>
        <row r="3388">
          <cell r="Z3388" t="str">
            <v>216510</v>
          </cell>
        </row>
        <row r="3389">
          <cell r="Z3389" t="str">
            <v>216511</v>
          </cell>
        </row>
        <row r="3390">
          <cell r="Z3390" t="str">
            <v>216512</v>
          </cell>
        </row>
        <row r="3391">
          <cell r="Z3391" t="str">
            <v>216513</v>
          </cell>
        </row>
        <row r="3392">
          <cell r="Z3392" t="str">
            <v>216514</v>
          </cell>
        </row>
        <row r="3393">
          <cell r="Z3393" t="str">
            <v>216519</v>
          </cell>
        </row>
        <row r="3394">
          <cell r="Z3394" t="str">
            <v>216520</v>
          </cell>
        </row>
        <row r="3395">
          <cell r="Z3395" t="str">
            <v>216521</v>
          </cell>
        </row>
        <row r="3396">
          <cell r="Z3396" t="str">
            <v>216522</v>
          </cell>
        </row>
        <row r="3397">
          <cell r="Z3397" t="str">
            <v>216523</v>
          </cell>
        </row>
        <row r="3398">
          <cell r="Z3398" t="str">
            <v>216524</v>
          </cell>
        </row>
        <row r="3399">
          <cell r="Z3399" t="str">
            <v>216529</v>
          </cell>
        </row>
        <row r="3400">
          <cell r="Z3400" t="str">
            <v>216530</v>
          </cell>
        </row>
        <row r="3401">
          <cell r="Z3401" t="str">
            <v>216531</v>
          </cell>
        </row>
        <row r="3402">
          <cell r="Z3402" t="str">
            <v>216532</v>
          </cell>
        </row>
        <row r="3403">
          <cell r="Z3403" t="str">
            <v>216533</v>
          </cell>
        </row>
        <row r="3404">
          <cell r="Z3404" t="str">
            <v>216534</v>
          </cell>
        </row>
        <row r="3405">
          <cell r="Z3405" t="str">
            <v>216539</v>
          </cell>
        </row>
        <row r="3406">
          <cell r="Z3406" t="str">
            <v>216900</v>
          </cell>
        </row>
        <row r="3407">
          <cell r="Z3407" t="str">
            <v>216910</v>
          </cell>
        </row>
        <row r="3408">
          <cell r="Z3408" t="str">
            <v>216911</v>
          </cell>
        </row>
        <row r="3409">
          <cell r="Z3409" t="str">
            <v>216912</v>
          </cell>
        </row>
        <row r="3410">
          <cell r="Z3410" t="str">
            <v>216913</v>
          </cell>
        </row>
        <row r="3411">
          <cell r="Z3411" t="str">
            <v>216914</v>
          </cell>
        </row>
        <row r="3412">
          <cell r="Z3412" t="str">
            <v>216919</v>
          </cell>
        </row>
        <row r="3413">
          <cell r="Z3413" t="str">
            <v>216920</v>
          </cell>
        </row>
        <row r="3414">
          <cell r="Z3414" t="str">
            <v>216921</v>
          </cell>
        </row>
        <row r="3415">
          <cell r="Z3415" t="str">
            <v>216922</v>
          </cell>
        </row>
        <row r="3416">
          <cell r="Z3416" t="str">
            <v>216923</v>
          </cell>
        </row>
        <row r="3417">
          <cell r="Z3417" t="str">
            <v>216924</v>
          </cell>
        </row>
        <row r="3418">
          <cell r="Z3418" t="str">
            <v>216929</v>
          </cell>
        </row>
        <row r="3419">
          <cell r="Z3419" t="str">
            <v>216930</v>
          </cell>
        </row>
        <row r="3420">
          <cell r="Z3420" t="str">
            <v>216931</v>
          </cell>
        </row>
        <row r="3421">
          <cell r="Z3421" t="str">
            <v>216932</v>
          </cell>
        </row>
        <row r="3422">
          <cell r="Z3422" t="str">
            <v>216933</v>
          </cell>
        </row>
        <row r="3423">
          <cell r="Z3423" t="str">
            <v>216934</v>
          </cell>
        </row>
        <row r="3424">
          <cell r="Z3424" t="str">
            <v>216939</v>
          </cell>
        </row>
        <row r="3425">
          <cell r="Z3425" t="str">
            <v>216940</v>
          </cell>
        </row>
        <row r="3426">
          <cell r="Z3426" t="str">
            <v>216941</v>
          </cell>
        </row>
        <row r="3427">
          <cell r="Z3427" t="str">
            <v>216942</v>
          </cell>
        </row>
        <row r="3428">
          <cell r="Z3428" t="str">
            <v>216943</v>
          </cell>
        </row>
        <row r="3429">
          <cell r="Z3429" t="str">
            <v>216944</v>
          </cell>
        </row>
        <row r="3430">
          <cell r="Z3430" t="str">
            <v>216949</v>
          </cell>
        </row>
        <row r="3431">
          <cell r="Z3431" t="str">
            <v>216950</v>
          </cell>
        </row>
        <row r="3432">
          <cell r="Z3432" t="str">
            <v>216951</v>
          </cell>
        </row>
        <row r="3433">
          <cell r="Z3433" t="str">
            <v>216952</v>
          </cell>
        </row>
        <row r="3434">
          <cell r="Z3434" t="str">
            <v>216953</v>
          </cell>
        </row>
        <row r="3435">
          <cell r="Z3435" t="str">
            <v>216954</v>
          </cell>
        </row>
        <row r="3436">
          <cell r="Z3436" t="str">
            <v>216959</v>
          </cell>
        </row>
        <row r="3437">
          <cell r="Z3437" t="str">
            <v>216960</v>
          </cell>
        </row>
        <row r="3438">
          <cell r="Z3438" t="str">
            <v>216961</v>
          </cell>
        </row>
        <row r="3439">
          <cell r="Z3439" t="str">
            <v>216962</v>
          </cell>
        </row>
        <row r="3440">
          <cell r="Z3440" t="str">
            <v>216963</v>
          </cell>
        </row>
        <row r="3441">
          <cell r="Z3441" t="str">
            <v>216964</v>
          </cell>
        </row>
        <row r="3442">
          <cell r="Z3442" t="str">
            <v>216969</v>
          </cell>
        </row>
        <row r="3443">
          <cell r="Z3443" t="str">
            <v>216970</v>
          </cell>
        </row>
        <row r="3444">
          <cell r="Z3444" t="str">
            <v>216971</v>
          </cell>
        </row>
        <row r="3445">
          <cell r="Z3445" t="str">
            <v>216972</v>
          </cell>
        </row>
        <row r="3446">
          <cell r="Z3446" t="str">
            <v>216973</v>
          </cell>
        </row>
        <row r="3447">
          <cell r="Z3447" t="str">
            <v>216974</v>
          </cell>
        </row>
        <row r="3448">
          <cell r="Z3448" t="str">
            <v>216979</v>
          </cell>
        </row>
        <row r="3449">
          <cell r="Z3449" t="str">
            <v>220000</v>
          </cell>
        </row>
        <row r="3450">
          <cell r="Z3450" t="str">
            <v>221000</v>
          </cell>
        </row>
        <row r="3451">
          <cell r="Z3451" t="str">
            <v>221100</v>
          </cell>
        </row>
        <row r="3452">
          <cell r="Z3452" t="str">
            <v>221101</v>
          </cell>
        </row>
        <row r="3453">
          <cell r="Z3453" t="str">
            <v>221102</v>
          </cell>
        </row>
        <row r="3454">
          <cell r="Z3454" t="str">
            <v>221103</v>
          </cell>
        </row>
        <row r="3455">
          <cell r="Z3455" t="str">
            <v>221104</v>
          </cell>
        </row>
        <row r="3456">
          <cell r="Z3456" t="str">
            <v>221109</v>
          </cell>
        </row>
        <row r="3457">
          <cell r="Z3457" t="str">
            <v>221200</v>
          </cell>
        </row>
        <row r="3458">
          <cell r="Z3458" t="str">
            <v>221201</v>
          </cell>
        </row>
        <row r="3459">
          <cell r="Z3459" t="str">
            <v>221202</v>
          </cell>
        </row>
        <row r="3460">
          <cell r="Z3460" t="str">
            <v>221203</v>
          </cell>
        </row>
        <row r="3461">
          <cell r="Z3461" t="str">
            <v>221204</v>
          </cell>
        </row>
        <row r="3462">
          <cell r="Z3462" t="str">
            <v>221209</v>
          </cell>
        </row>
        <row r="3463">
          <cell r="Z3463" t="str">
            <v>221300</v>
          </cell>
        </row>
        <row r="3464">
          <cell r="Z3464" t="str">
            <v>221301</v>
          </cell>
        </row>
        <row r="3465">
          <cell r="Z3465" t="str">
            <v>221302</v>
          </cell>
        </row>
        <row r="3466">
          <cell r="Z3466" t="str">
            <v>221303</v>
          </cell>
        </row>
        <row r="3467">
          <cell r="Z3467" t="str">
            <v>221304</v>
          </cell>
        </row>
        <row r="3468">
          <cell r="Z3468" t="str">
            <v>221309</v>
          </cell>
        </row>
        <row r="3469">
          <cell r="Z3469" t="str">
            <v>221400</v>
          </cell>
        </row>
        <row r="3470">
          <cell r="Z3470" t="str">
            <v>221401</v>
          </cell>
        </row>
        <row r="3471">
          <cell r="Z3471" t="str">
            <v>221402</v>
          </cell>
        </row>
        <row r="3472">
          <cell r="Z3472" t="str">
            <v>221403</v>
          </cell>
        </row>
        <row r="3473">
          <cell r="Z3473" t="str">
            <v>221404</v>
          </cell>
        </row>
        <row r="3474">
          <cell r="Z3474" t="str">
            <v>221409</v>
          </cell>
        </row>
        <row r="3475">
          <cell r="Z3475" t="str">
            <v>221500</v>
          </cell>
        </row>
        <row r="3476">
          <cell r="Z3476" t="str">
            <v>221501</v>
          </cell>
        </row>
        <row r="3477">
          <cell r="Z3477" t="str">
            <v>221502</v>
          </cell>
        </row>
        <row r="3478">
          <cell r="Z3478" t="str">
            <v>221503</v>
          </cell>
        </row>
        <row r="3479">
          <cell r="Z3479" t="str">
            <v>221504</v>
          </cell>
        </row>
        <row r="3480">
          <cell r="Z3480" t="str">
            <v>221509</v>
          </cell>
        </row>
        <row r="3481">
          <cell r="Z3481" t="str">
            <v>221600</v>
          </cell>
        </row>
        <row r="3482">
          <cell r="Z3482" t="str">
            <v>221601</v>
          </cell>
        </row>
        <row r="3483">
          <cell r="Z3483" t="str">
            <v>221602</v>
          </cell>
        </row>
        <row r="3484">
          <cell r="Z3484" t="str">
            <v>221603</v>
          </cell>
        </row>
        <row r="3485">
          <cell r="Z3485" t="str">
            <v>221604</v>
          </cell>
        </row>
        <row r="3486">
          <cell r="Z3486" t="str">
            <v>221609</v>
          </cell>
        </row>
        <row r="3487">
          <cell r="Z3487" t="str">
            <v>221700</v>
          </cell>
        </row>
        <row r="3488">
          <cell r="Z3488" t="str">
            <v>221701</v>
          </cell>
        </row>
        <row r="3489">
          <cell r="Z3489" t="str">
            <v>221702</v>
          </cell>
        </row>
        <row r="3490">
          <cell r="Z3490" t="str">
            <v>221703</v>
          </cell>
        </row>
        <row r="3491">
          <cell r="Z3491" t="str">
            <v>221704</v>
          </cell>
        </row>
        <row r="3492">
          <cell r="Z3492" t="str">
            <v>221709</v>
          </cell>
        </row>
        <row r="3493">
          <cell r="Z3493" t="str">
            <v>221800</v>
          </cell>
        </row>
        <row r="3494">
          <cell r="Z3494" t="str">
            <v>221801</v>
          </cell>
        </row>
        <row r="3495">
          <cell r="Z3495" t="str">
            <v>221802</v>
          </cell>
        </row>
        <row r="3496">
          <cell r="Z3496" t="str">
            <v>221803</v>
          </cell>
        </row>
        <row r="3497">
          <cell r="Z3497" t="str">
            <v>221804</v>
          </cell>
        </row>
        <row r="3498">
          <cell r="Z3498" t="str">
            <v>221809</v>
          </cell>
        </row>
        <row r="3499">
          <cell r="Z3499" t="str">
            <v>222000</v>
          </cell>
        </row>
        <row r="3500">
          <cell r="Z3500" t="str">
            <v>222100</v>
          </cell>
        </row>
        <row r="3501">
          <cell r="Z3501" t="str">
            <v>222101</v>
          </cell>
        </row>
        <row r="3502">
          <cell r="Z3502" t="str">
            <v>222102</v>
          </cell>
        </row>
        <row r="3503">
          <cell r="Z3503" t="str">
            <v>222103</v>
          </cell>
        </row>
        <row r="3504">
          <cell r="Z3504" t="str">
            <v>222104</v>
          </cell>
        </row>
        <row r="3505">
          <cell r="Z3505" t="str">
            <v>222109</v>
          </cell>
        </row>
        <row r="3506">
          <cell r="Z3506" t="str">
            <v>222200</v>
          </cell>
        </row>
        <row r="3507">
          <cell r="Z3507" t="str">
            <v>222201</v>
          </cell>
        </row>
        <row r="3508">
          <cell r="Z3508" t="str">
            <v>222202</v>
          </cell>
        </row>
        <row r="3509">
          <cell r="Z3509" t="str">
            <v>222203</v>
          </cell>
        </row>
        <row r="3510">
          <cell r="Z3510" t="str">
            <v>222204</v>
          </cell>
        </row>
        <row r="3511">
          <cell r="Z3511" t="str">
            <v>222209</v>
          </cell>
        </row>
        <row r="3512">
          <cell r="Z3512" t="str">
            <v>222300</v>
          </cell>
        </row>
        <row r="3513">
          <cell r="Z3513" t="str">
            <v>222301</v>
          </cell>
        </row>
        <row r="3514">
          <cell r="Z3514" t="str">
            <v>222302</v>
          </cell>
        </row>
        <row r="3515">
          <cell r="Z3515" t="str">
            <v>222303</v>
          </cell>
        </row>
        <row r="3516">
          <cell r="Z3516" t="str">
            <v>222304</v>
          </cell>
        </row>
        <row r="3517">
          <cell r="Z3517" t="str">
            <v>222309</v>
          </cell>
        </row>
        <row r="3518">
          <cell r="Z3518" t="str">
            <v>222400</v>
          </cell>
        </row>
        <row r="3519">
          <cell r="Z3519" t="str">
            <v>222401</v>
          </cell>
        </row>
        <row r="3520">
          <cell r="Z3520" t="str">
            <v>222402</v>
          </cell>
        </row>
        <row r="3521">
          <cell r="Z3521" t="str">
            <v>222403</v>
          </cell>
        </row>
        <row r="3522">
          <cell r="Z3522" t="str">
            <v>222404</v>
          </cell>
        </row>
        <row r="3523">
          <cell r="Z3523" t="str">
            <v>222409</v>
          </cell>
        </row>
        <row r="3524">
          <cell r="Z3524" t="str">
            <v>222500</v>
          </cell>
        </row>
        <row r="3525">
          <cell r="Z3525" t="str">
            <v>222501</v>
          </cell>
        </row>
        <row r="3526">
          <cell r="Z3526" t="str">
            <v>222502</v>
          </cell>
        </row>
        <row r="3527">
          <cell r="Z3527" t="str">
            <v>222503</v>
          </cell>
        </row>
        <row r="3528">
          <cell r="Z3528" t="str">
            <v>222504</v>
          </cell>
        </row>
        <row r="3529">
          <cell r="Z3529" t="str">
            <v>222509</v>
          </cell>
        </row>
        <row r="3530">
          <cell r="Z3530" t="str">
            <v>222600</v>
          </cell>
        </row>
        <row r="3531">
          <cell r="Z3531" t="str">
            <v>222601</v>
          </cell>
        </row>
        <row r="3532">
          <cell r="Z3532" t="str">
            <v>222602</v>
          </cell>
        </row>
        <row r="3533">
          <cell r="Z3533" t="str">
            <v>222603</v>
          </cell>
        </row>
        <row r="3534">
          <cell r="Z3534" t="str">
            <v>222604</v>
          </cell>
        </row>
        <row r="3535">
          <cell r="Z3535" t="str">
            <v>222609</v>
          </cell>
        </row>
        <row r="3536">
          <cell r="Z3536" t="str">
            <v>230000</v>
          </cell>
        </row>
        <row r="3537">
          <cell r="Z3537" t="str">
            <v>231000</v>
          </cell>
        </row>
        <row r="3538">
          <cell r="Z3538" t="str">
            <v>231100</v>
          </cell>
        </row>
        <row r="3539">
          <cell r="Z3539" t="str">
            <v>231110</v>
          </cell>
        </row>
        <row r="3540">
          <cell r="Z3540" t="str">
            <v>231111</v>
          </cell>
        </row>
        <row r="3541">
          <cell r="Z3541" t="str">
            <v>231112</v>
          </cell>
        </row>
        <row r="3542">
          <cell r="Z3542" t="str">
            <v>231113</v>
          </cell>
        </row>
        <row r="3543">
          <cell r="Z3543" t="str">
            <v>231114</v>
          </cell>
        </row>
        <row r="3544">
          <cell r="Z3544" t="str">
            <v>231119</v>
          </cell>
        </row>
        <row r="3545">
          <cell r="Z3545" t="str">
            <v>231120</v>
          </cell>
        </row>
        <row r="3546">
          <cell r="Z3546" t="str">
            <v>231121</v>
          </cell>
        </row>
        <row r="3547">
          <cell r="Z3547" t="str">
            <v>231122</v>
          </cell>
        </row>
        <row r="3548">
          <cell r="Z3548" t="str">
            <v>231123</v>
          </cell>
        </row>
        <row r="3549">
          <cell r="Z3549" t="str">
            <v>231124</v>
          </cell>
        </row>
        <row r="3550">
          <cell r="Z3550" t="str">
            <v>231129</v>
          </cell>
        </row>
        <row r="3551">
          <cell r="Z3551" t="str">
            <v>231130</v>
          </cell>
        </row>
        <row r="3552">
          <cell r="Z3552" t="str">
            <v>231131</v>
          </cell>
        </row>
        <row r="3553">
          <cell r="Z3553" t="str">
            <v>231132</v>
          </cell>
        </row>
        <row r="3554">
          <cell r="Z3554" t="str">
            <v>231133</v>
          </cell>
        </row>
        <row r="3555">
          <cell r="Z3555" t="str">
            <v>231134</v>
          </cell>
        </row>
        <row r="3556">
          <cell r="Z3556" t="str">
            <v>231139</v>
          </cell>
        </row>
        <row r="3557">
          <cell r="Z3557" t="str">
            <v>231140</v>
          </cell>
        </row>
        <row r="3558">
          <cell r="Z3558" t="str">
            <v>231141</v>
          </cell>
        </row>
        <row r="3559">
          <cell r="Z3559" t="str">
            <v>231142</v>
          </cell>
        </row>
        <row r="3560">
          <cell r="Z3560" t="str">
            <v>231143</v>
          </cell>
        </row>
        <row r="3561">
          <cell r="Z3561" t="str">
            <v>231144</v>
          </cell>
        </row>
        <row r="3562">
          <cell r="Z3562" t="str">
            <v>231149</v>
          </cell>
        </row>
        <row r="3563">
          <cell r="Z3563" t="str">
            <v>231150</v>
          </cell>
        </row>
        <row r="3564">
          <cell r="Z3564" t="str">
            <v>231151</v>
          </cell>
        </row>
        <row r="3565">
          <cell r="Z3565" t="str">
            <v>231152</v>
          </cell>
        </row>
        <row r="3566">
          <cell r="Z3566" t="str">
            <v>231153</v>
          </cell>
        </row>
        <row r="3567">
          <cell r="Z3567" t="str">
            <v>231154</v>
          </cell>
        </row>
        <row r="3568">
          <cell r="Z3568" t="str">
            <v>231159</v>
          </cell>
        </row>
        <row r="3569">
          <cell r="Z3569" t="str">
            <v>231200</v>
          </cell>
        </row>
        <row r="3570">
          <cell r="Z3570" t="str">
            <v>231210</v>
          </cell>
        </row>
        <row r="3571">
          <cell r="Z3571" t="str">
            <v>231211</v>
          </cell>
        </row>
        <row r="3572">
          <cell r="Z3572" t="str">
            <v>231212</v>
          </cell>
        </row>
        <row r="3573">
          <cell r="Z3573" t="str">
            <v>231213</v>
          </cell>
        </row>
        <row r="3574">
          <cell r="Z3574" t="str">
            <v>231214</v>
          </cell>
        </row>
        <row r="3575">
          <cell r="Z3575" t="str">
            <v>231219</v>
          </cell>
        </row>
        <row r="3576">
          <cell r="Z3576" t="str">
            <v>231220</v>
          </cell>
        </row>
        <row r="3577">
          <cell r="Z3577" t="str">
            <v>231221</v>
          </cell>
        </row>
        <row r="3578">
          <cell r="Z3578" t="str">
            <v>231222</v>
          </cell>
        </row>
        <row r="3579">
          <cell r="Z3579" t="str">
            <v>231223</v>
          </cell>
        </row>
        <row r="3580">
          <cell r="Z3580" t="str">
            <v>231224</v>
          </cell>
        </row>
        <row r="3581">
          <cell r="Z3581" t="str">
            <v>231229</v>
          </cell>
        </row>
        <row r="3582">
          <cell r="Z3582" t="str">
            <v>232000</v>
          </cell>
        </row>
        <row r="3583">
          <cell r="Z3583" t="str">
            <v>232100</v>
          </cell>
        </row>
        <row r="3584">
          <cell r="Z3584" t="str">
            <v>232110</v>
          </cell>
        </row>
        <row r="3585">
          <cell r="Z3585" t="str">
            <v>232111</v>
          </cell>
        </row>
        <row r="3586">
          <cell r="Z3586" t="str">
            <v>232112</v>
          </cell>
        </row>
        <row r="3587">
          <cell r="Z3587" t="str">
            <v>232113</v>
          </cell>
        </row>
        <row r="3588">
          <cell r="Z3588" t="str">
            <v>232114</v>
          </cell>
        </row>
        <row r="3589">
          <cell r="Z3589" t="str">
            <v>232119</v>
          </cell>
        </row>
        <row r="3590">
          <cell r="Z3590" t="str">
            <v>232120</v>
          </cell>
        </row>
        <row r="3591">
          <cell r="Z3591" t="str">
            <v>232121</v>
          </cell>
        </row>
        <row r="3592">
          <cell r="Z3592" t="str">
            <v>232122</v>
          </cell>
        </row>
        <row r="3593">
          <cell r="Z3593" t="str">
            <v>232123</v>
          </cell>
        </row>
        <row r="3594">
          <cell r="Z3594" t="str">
            <v>232124</v>
          </cell>
        </row>
        <row r="3595">
          <cell r="Z3595" t="str">
            <v>232129</v>
          </cell>
        </row>
        <row r="3596">
          <cell r="Z3596" t="str">
            <v>232130</v>
          </cell>
        </row>
        <row r="3597">
          <cell r="Z3597" t="str">
            <v>232131</v>
          </cell>
        </row>
        <row r="3598">
          <cell r="Z3598" t="str">
            <v>232132</v>
          </cell>
        </row>
        <row r="3599">
          <cell r="Z3599" t="str">
            <v>232133</v>
          </cell>
        </row>
        <row r="3600">
          <cell r="Z3600" t="str">
            <v>232134</v>
          </cell>
        </row>
        <row r="3601">
          <cell r="Z3601" t="str">
            <v>232139</v>
          </cell>
        </row>
        <row r="3602">
          <cell r="Z3602" t="str">
            <v>232140</v>
          </cell>
        </row>
        <row r="3603">
          <cell r="Z3603" t="str">
            <v>232141</v>
          </cell>
        </row>
        <row r="3604">
          <cell r="Z3604" t="str">
            <v>232142</v>
          </cell>
        </row>
        <row r="3605">
          <cell r="Z3605" t="str">
            <v>232143</v>
          </cell>
        </row>
        <row r="3606">
          <cell r="Z3606" t="str">
            <v>232144</v>
          </cell>
        </row>
        <row r="3607">
          <cell r="Z3607" t="str">
            <v>232149</v>
          </cell>
        </row>
        <row r="3608">
          <cell r="Z3608" t="str">
            <v>232150</v>
          </cell>
        </row>
        <row r="3609">
          <cell r="Z3609" t="str">
            <v>232151</v>
          </cell>
        </row>
        <row r="3610">
          <cell r="Z3610" t="str">
            <v>232152</v>
          </cell>
        </row>
        <row r="3611">
          <cell r="Z3611" t="str">
            <v>232153</v>
          </cell>
        </row>
        <row r="3612">
          <cell r="Z3612" t="str">
            <v>232154</v>
          </cell>
        </row>
        <row r="3613">
          <cell r="Z3613" t="str">
            <v>232159</v>
          </cell>
        </row>
        <row r="3614">
          <cell r="Z3614" t="str">
            <v>232160</v>
          </cell>
        </row>
        <row r="3615">
          <cell r="Z3615" t="str">
            <v>232161</v>
          </cell>
        </row>
        <row r="3616">
          <cell r="Z3616" t="str">
            <v>232162</v>
          </cell>
        </row>
        <row r="3617">
          <cell r="Z3617" t="str">
            <v>232163</v>
          </cell>
        </row>
        <row r="3618">
          <cell r="Z3618" t="str">
            <v>232164</v>
          </cell>
        </row>
        <row r="3619">
          <cell r="Z3619" t="str">
            <v>232169</v>
          </cell>
        </row>
        <row r="3620">
          <cell r="Z3620" t="str">
            <v>232170</v>
          </cell>
        </row>
        <row r="3621">
          <cell r="Z3621" t="str">
            <v>232171</v>
          </cell>
        </row>
        <row r="3622">
          <cell r="Z3622" t="str">
            <v>232172</v>
          </cell>
        </row>
        <row r="3623">
          <cell r="Z3623" t="str">
            <v>232173</v>
          </cell>
        </row>
        <row r="3624">
          <cell r="Z3624" t="str">
            <v>232174</v>
          </cell>
        </row>
        <row r="3625">
          <cell r="Z3625" t="str">
            <v>232179</v>
          </cell>
        </row>
        <row r="3626">
          <cell r="Z3626" t="str">
            <v>232200</v>
          </cell>
        </row>
        <row r="3627">
          <cell r="Z3627" t="str">
            <v>232210</v>
          </cell>
        </row>
        <row r="3628">
          <cell r="Z3628" t="str">
            <v>232211</v>
          </cell>
        </row>
        <row r="3629">
          <cell r="Z3629" t="str">
            <v>232212</v>
          </cell>
        </row>
        <row r="3630">
          <cell r="Z3630" t="str">
            <v>232213</v>
          </cell>
        </row>
        <row r="3631">
          <cell r="Z3631" t="str">
            <v>232214</v>
          </cell>
        </row>
        <row r="3632">
          <cell r="Z3632" t="str">
            <v>232219</v>
          </cell>
        </row>
        <row r="3633">
          <cell r="Z3633" t="str">
            <v>232220</v>
          </cell>
        </row>
        <row r="3634">
          <cell r="Z3634" t="str">
            <v>232221</v>
          </cell>
        </row>
        <row r="3635">
          <cell r="Z3635" t="str">
            <v>232222</v>
          </cell>
        </row>
        <row r="3636">
          <cell r="Z3636" t="str">
            <v>232223</v>
          </cell>
        </row>
        <row r="3637">
          <cell r="Z3637" t="str">
            <v>232224</v>
          </cell>
        </row>
        <row r="3638">
          <cell r="Z3638" t="str">
            <v>232229</v>
          </cell>
        </row>
        <row r="3639">
          <cell r="Z3639" t="str">
            <v>232230</v>
          </cell>
        </row>
        <row r="3640">
          <cell r="Z3640" t="str">
            <v>232231</v>
          </cell>
        </row>
        <row r="3641">
          <cell r="Z3641" t="str">
            <v>232232</v>
          </cell>
        </row>
        <row r="3642">
          <cell r="Z3642" t="str">
            <v>232233</v>
          </cell>
        </row>
        <row r="3643">
          <cell r="Z3643" t="str">
            <v>232234</v>
          </cell>
        </row>
        <row r="3644">
          <cell r="Z3644" t="str">
            <v>232239</v>
          </cell>
        </row>
        <row r="3645">
          <cell r="Z3645" t="str">
            <v>232240</v>
          </cell>
        </row>
        <row r="3646">
          <cell r="Z3646" t="str">
            <v>232241</v>
          </cell>
        </row>
        <row r="3647">
          <cell r="Z3647" t="str">
            <v>232242</v>
          </cell>
        </row>
        <row r="3648">
          <cell r="Z3648" t="str">
            <v>232243</v>
          </cell>
        </row>
        <row r="3649">
          <cell r="Z3649" t="str">
            <v>232244</v>
          </cell>
        </row>
        <row r="3650">
          <cell r="Z3650" t="str">
            <v>232249</v>
          </cell>
        </row>
        <row r="3651">
          <cell r="Z3651" t="str">
            <v>232250</v>
          </cell>
        </row>
        <row r="3652">
          <cell r="Z3652" t="str">
            <v>232251</v>
          </cell>
        </row>
        <row r="3653">
          <cell r="Z3653" t="str">
            <v>232252</v>
          </cell>
        </row>
        <row r="3654">
          <cell r="Z3654" t="str">
            <v>232253</v>
          </cell>
        </row>
        <row r="3655">
          <cell r="Z3655" t="str">
            <v>232254</v>
          </cell>
        </row>
        <row r="3656">
          <cell r="Z3656" t="str">
            <v>232259</v>
          </cell>
        </row>
        <row r="3657">
          <cell r="Z3657" t="str">
            <v>232260</v>
          </cell>
        </row>
        <row r="3658">
          <cell r="Z3658" t="str">
            <v>232261</v>
          </cell>
        </row>
        <row r="3659">
          <cell r="Z3659" t="str">
            <v>232262</v>
          </cell>
        </row>
        <row r="3660">
          <cell r="Z3660" t="str">
            <v>232263</v>
          </cell>
        </row>
        <row r="3661">
          <cell r="Z3661" t="str">
            <v>232264</v>
          </cell>
        </row>
        <row r="3662">
          <cell r="Z3662" t="str">
            <v>232269</v>
          </cell>
        </row>
        <row r="3663">
          <cell r="Z3663" t="str">
            <v>232270</v>
          </cell>
        </row>
        <row r="3664">
          <cell r="Z3664" t="str">
            <v>232271</v>
          </cell>
        </row>
        <row r="3665">
          <cell r="Z3665" t="str">
            <v>232272</v>
          </cell>
        </row>
        <row r="3666">
          <cell r="Z3666" t="str">
            <v>232273</v>
          </cell>
        </row>
        <row r="3667">
          <cell r="Z3667" t="str">
            <v>232274</v>
          </cell>
        </row>
        <row r="3668">
          <cell r="Z3668" t="str">
            <v>232279</v>
          </cell>
        </row>
        <row r="3669">
          <cell r="Z3669" t="str">
            <v>232300</v>
          </cell>
        </row>
        <row r="3670">
          <cell r="Z3670" t="str">
            <v>232310</v>
          </cell>
        </row>
        <row r="3671">
          <cell r="Z3671" t="str">
            <v>232311</v>
          </cell>
        </row>
        <row r="3672">
          <cell r="Z3672" t="str">
            <v>232312</v>
          </cell>
        </row>
        <row r="3673">
          <cell r="Z3673" t="str">
            <v>232313</v>
          </cell>
        </row>
        <row r="3674">
          <cell r="Z3674" t="str">
            <v>232314</v>
          </cell>
        </row>
        <row r="3675">
          <cell r="Z3675" t="str">
            <v>232319</v>
          </cell>
        </row>
        <row r="3676">
          <cell r="Z3676" t="str">
            <v>232320</v>
          </cell>
        </row>
        <row r="3677">
          <cell r="Z3677" t="str">
            <v>232321</v>
          </cell>
        </row>
        <row r="3678">
          <cell r="Z3678" t="str">
            <v>232322</v>
          </cell>
        </row>
        <row r="3679">
          <cell r="Z3679" t="str">
            <v>232323</v>
          </cell>
        </row>
        <row r="3680">
          <cell r="Z3680" t="str">
            <v>232324</v>
          </cell>
        </row>
        <row r="3681">
          <cell r="Z3681" t="str">
            <v>232329</v>
          </cell>
        </row>
        <row r="3682">
          <cell r="Z3682" t="str">
            <v>232330</v>
          </cell>
        </row>
        <row r="3683">
          <cell r="Z3683" t="str">
            <v>232331</v>
          </cell>
        </row>
        <row r="3684">
          <cell r="Z3684" t="str">
            <v>232332</v>
          </cell>
        </row>
        <row r="3685">
          <cell r="Z3685" t="str">
            <v>232333</v>
          </cell>
        </row>
        <row r="3686">
          <cell r="Z3686" t="str">
            <v>232334</v>
          </cell>
        </row>
        <row r="3687">
          <cell r="Z3687" t="str">
            <v>232339</v>
          </cell>
        </row>
        <row r="3688">
          <cell r="Z3688" t="str">
            <v>232340</v>
          </cell>
        </row>
        <row r="3689">
          <cell r="Z3689" t="str">
            <v>232341</v>
          </cell>
        </row>
        <row r="3690">
          <cell r="Z3690" t="str">
            <v>232342</v>
          </cell>
        </row>
        <row r="3691">
          <cell r="Z3691" t="str">
            <v>232343</v>
          </cell>
        </row>
        <row r="3692">
          <cell r="Z3692" t="str">
            <v>232344</v>
          </cell>
        </row>
        <row r="3693">
          <cell r="Z3693" t="str">
            <v>232349</v>
          </cell>
        </row>
        <row r="3694">
          <cell r="Z3694" t="str">
            <v>232350</v>
          </cell>
        </row>
        <row r="3695">
          <cell r="Z3695" t="str">
            <v>232351</v>
          </cell>
        </row>
        <row r="3696">
          <cell r="Z3696" t="str">
            <v>232352</v>
          </cell>
        </row>
        <row r="3697">
          <cell r="Z3697" t="str">
            <v>232353</v>
          </cell>
        </row>
        <row r="3698">
          <cell r="Z3698" t="str">
            <v>232354</v>
          </cell>
        </row>
        <row r="3699">
          <cell r="Z3699" t="str">
            <v>232359</v>
          </cell>
        </row>
        <row r="3700">
          <cell r="Z3700" t="str">
            <v>232360</v>
          </cell>
        </row>
        <row r="3701">
          <cell r="Z3701" t="str">
            <v>232361</v>
          </cell>
        </row>
        <row r="3702">
          <cell r="Z3702" t="str">
            <v>232362</v>
          </cell>
        </row>
        <row r="3703">
          <cell r="Z3703" t="str">
            <v>232363</v>
          </cell>
        </row>
        <row r="3704">
          <cell r="Z3704" t="str">
            <v>232364</v>
          </cell>
        </row>
        <row r="3705">
          <cell r="Z3705" t="str">
            <v>232369</v>
          </cell>
        </row>
        <row r="3706">
          <cell r="Z3706" t="str">
            <v>232370</v>
          </cell>
        </row>
        <row r="3707">
          <cell r="Z3707" t="str">
            <v>232371</v>
          </cell>
        </row>
        <row r="3708">
          <cell r="Z3708" t="str">
            <v>232372</v>
          </cell>
        </row>
        <row r="3709">
          <cell r="Z3709" t="str">
            <v>232373</v>
          </cell>
        </row>
        <row r="3710">
          <cell r="Z3710" t="str">
            <v>232374</v>
          </cell>
        </row>
        <row r="3711">
          <cell r="Z3711" t="str">
            <v>232379</v>
          </cell>
        </row>
        <row r="3712">
          <cell r="Z3712" t="str">
            <v>232400</v>
          </cell>
        </row>
        <row r="3713">
          <cell r="Z3713" t="str">
            <v>232410</v>
          </cell>
        </row>
        <row r="3714">
          <cell r="Z3714" t="str">
            <v>232411</v>
          </cell>
        </row>
        <row r="3715">
          <cell r="Z3715" t="str">
            <v>232412</v>
          </cell>
        </row>
        <row r="3716">
          <cell r="Z3716" t="str">
            <v>232413</v>
          </cell>
        </row>
        <row r="3717">
          <cell r="Z3717" t="str">
            <v>232414</v>
          </cell>
        </row>
        <row r="3718">
          <cell r="Z3718" t="str">
            <v>232419</v>
          </cell>
        </row>
        <row r="3719">
          <cell r="Z3719" t="str">
            <v>232420</v>
          </cell>
        </row>
        <row r="3720">
          <cell r="Z3720" t="str">
            <v>232421</v>
          </cell>
        </row>
        <row r="3721">
          <cell r="Z3721" t="str">
            <v>232422</v>
          </cell>
        </row>
        <row r="3722">
          <cell r="Z3722" t="str">
            <v>232423</v>
          </cell>
        </row>
        <row r="3723">
          <cell r="Z3723" t="str">
            <v>232424</v>
          </cell>
        </row>
        <row r="3724">
          <cell r="Z3724" t="str">
            <v>232429</v>
          </cell>
        </row>
        <row r="3725">
          <cell r="Z3725" t="str">
            <v>232430</v>
          </cell>
        </row>
        <row r="3726">
          <cell r="Z3726" t="str">
            <v>232431</v>
          </cell>
        </row>
        <row r="3727">
          <cell r="Z3727" t="str">
            <v>232432</v>
          </cell>
        </row>
        <row r="3728">
          <cell r="Z3728" t="str">
            <v>232433</v>
          </cell>
        </row>
        <row r="3729">
          <cell r="Z3729" t="str">
            <v>232434</v>
          </cell>
        </row>
        <row r="3730">
          <cell r="Z3730" t="str">
            <v>232439</v>
          </cell>
        </row>
        <row r="3731">
          <cell r="Z3731" t="str">
            <v>232440</v>
          </cell>
        </row>
        <row r="3732">
          <cell r="Z3732" t="str">
            <v>232441</v>
          </cell>
        </row>
        <row r="3733">
          <cell r="Z3733" t="str">
            <v>232442</v>
          </cell>
        </row>
        <row r="3734">
          <cell r="Z3734" t="str">
            <v>232443</v>
          </cell>
        </row>
        <row r="3735">
          <cell r="Z3735" t="str">
            <v>232444</v>
          </cell>
        </row>
        <row r="3736">
          <cell r="Z3736" t="str">
            <v>232449</v>
          </cell>
        </row>
        <row r="3737">
          <cell r="Z3737" t="str">
            <v>232450</v>
          </cell>
        </row>
        <row r="3738">
          <cell r="Z3738" t="str">
            <v>232451</v>
          </cell>
        </row>
        <row r="3739">
          <cell r="Z3739" t="str">
            <v>232452</v>
          </cell>
        </row>
        <row r="3740">
          <cell r="Z3740" t="str">
            <v>232453</v>
          </cell>
        </row>
        <row r="3741">
          <cell r="Z3741" t="str">
            <v>232454</v>
          </cell>
        </row>
        <row r="3742">
          <cell r="Z3742" t="str">
            <v>232459</v>
          </cell>
        </row>
        <row r="3743">
          <cell r="Z3743" t="str">
            <v>232460</v>
          </cell>
        </row>
        <row r="3744">
          <cell r="Z3744" t="str">
            <v>232461</v>
          </cell>
        </row>
        <row r="3745">
          <cell r="Z3745" t="str">
            <v>232462</v>
          </cell>
        </row>
        <row r="3746">
          <cell r="Z3746" t="str">
            <v>232463</v>
          </cell>
        </row>
        <row r="3747">
          <cell r="Z3747" t="str">
            <v>232464</v>
          </cell>
        </row>
        <row r="3748">
          <cell r="Z3748" t="str">
            <v>232469</v>
          </cell>
        </row>
        <row r="3749">
          <cell r="Z3749" t="str">
            <v>232470</v>
          </cell>
        </row>
        <row r="3750">
          <cell r="Z3750" t="str">
            <v>232471</v>
          </cell>
        </row>
        <row r="3751">
          <cell r="Z3751" t="str">
            <v>232472</v>
          </cell>
        </row>
        <row r="3752">
          <cell r="Z3752" t="str">
            <v>232473</v>
          </cell>
        </row>
        <row r="3753">
          <cell r="Z3753" t="str">
            <v>232474</v>
          </cell>
        </row>
        <row r="3754">
          <cell r="Z3754" t="str">
            <v>232479</v>
          </cell>
        </row>
        <row r="3755">
          <cell r="Z3755" t="str">
            <v>232500</v>
          </cell>
        </row>
        <row r="3756">
          <cell r="Z3756" t="str">
            <v>232510</v>
          </cell>
        </row>
        <row r="3757">
          <cell r="Z3757" t="str">
            <v>232511</v>
          </cell>
        </row>
        <row r="3758">
          <cell r="Z3758" t="str">
            <v>232512</v>
          </cell>
        </row>
        <row r="3759">
          <cell r="Z3759" t="str">
            <v>232513</v>
          </cell>
        </row>
        <row r="3760">
          <cell r="Z3760" t="str">
            <v>232514</v>
          </cell>
        </row>
        <row r="3761">
          <cell r="Z3761" t="str">
            <v>232519</v>
          </cell>
        </row>
        <row r="3762">
          <cell r="Z3762" t="str">
            <v>232520</v>
          </cell>
        </row>
        <row r="3763">
          <cell r="Z3763" t="str">
            <v>232521</v>
          </cell>
        </row>
        <row r="3764">
          <cell r="Z3764" t="str">
            <v>232522</v>
          </cell>
        </row>
        <row r="3765">
          <cell r="Z3765" t="str">
            <v>232523</v>
          </cell>
        </row>
        <row r="3766">
          <cell r="Z3766" t="str">
            <v>232524</v>
          </cell>
        </row>
        <row r="3767">
          <cell r="Z3767" t="str">
            <v>232529</v>
          </cell>
        </row>
        <row r="3768">
          <cell r="Z3768" t="str">
            <v>232530</v>
          </cell>
        </row>
        <row r="3769">
          <cell r="Z3769" t="str">
            <v>232531</v>
          </cell>
        </row>
        <row r="3770">
          <cell r="Z3770" t="str">
            <v>232532</v>
          </cell>
        </row>
        <row r="3771">
          <cell r="Z3771" t="str">
            <v>232533</v>
          </cell>
        </row>
        <row r="3772">
          <cell r="Z3772" t="str">
            <v>232534</v>
          </cell>
        </row>
        <row r="3773">
          <cell r="Z3773" t="str">
            <v>232539</v>
          </cell>
        </row>
        <row r="3774">
          <cell r="Z3774" t="str">
            <v>232600</v>
          </cell>
        </row>
        <row r="3775">
          <cell r="Z3775" t="str">
            <v>232610</v>
          </cell>
        </row>
        <row r="3776">
          <cell r="Z3776" t="str">
            <v>232611</v>
          </cell>
        </row>
        <row r="3777">
          <cell r="Z3777" t="str">
            <v>232612</v>
          </cell>
        </row>
        <row r="3778">
          <cell r="Z3778" t="str">
            <v>232613</v>
          </cell>
        </row>
        <row r="3779">
          <cell r="Z3779" t="str">
            <v>232614</v>
          </cell>
        </row>
        <row r="3780">
          <cell r="Z3780" t="str">
            <v>232619</v>
          </cell>
        </row>
        <row r="3781">
          <cell r="Z3781" t="str">
            <v>232620</v>
          </cell>
        </row>
        <row r="3782">
          <cell r="Z3782" t="str">
            <v>232621</v>
          </cell>
        </row>
        <row r="3783">
          <cell r="Z3783" t="str">
            <v>232622</v>
          </cell>
        </row>
        <row r="3784">
          <cell r="Z3784" t="str">
            <v>232623</v>
          </cell>
        </row>
        <row r="3785">
          <cell r="Z3785" t="str">
            <v>232624</v>
          </cell>
        </row>
        <row r="3786">
          <cell r="Z3786" t="str">
            <v>232629</v>
          </cell>
        </row>
        <row r="3787">
          <cell r="Z3787" t="str">
            <v>232630</v>
          </cell>
        </row>
        <row r="3788">
          <cell r="Z3788" t="str">
            <v>232631</v>
          </cell>
        </row>
        <row r="3789">
          <cell r="Z3789" t="str">
            <v>232632</v>
          </cell>
        </row>
        <row r="3790">
          <cell r="Z3790" t="str">
            <v>232633</v>
          </cell>
        </row>
        <row r="3791">
          <cell r="Z3791" t="str">
            <v>232634</v>
          </cell>
        </row>
        <row r="3792">
          <cell r="Z3792" t="str">
            <v>232639</v>
          </cell>
        </row>
        <row r="3793">
          <cell r="Z3793" t="str">
            <v>233000</v>
          </cell>
        </row>
        <row r="3794">
          <cell r="Z3794" t="str">
            <v>233100</v>
          </cell>
        </row>
        <row r="3795">
          <cell r="Z3795" t="str">
            <v>233110</v>
          </cell>
        </row>
        <row r="3796">
          <cell r="Z3796" t="str">
            <v>233111</v>
          </cell>
        </row>
        <row r="3797">
          <cell r="Z3797" t="str">
            <v>233112</v>
          </cell>
        </row>
        <row r="3798">
          <cell r="Z3798" t="str">
            <v>233113</v>
          </cell>
        </row>
        <row r="3799">
          <cell r="Z3799" t="str">
            <v>233114</v>
          </cell>
        </row>
        <row r="3800">
          <cell r="Z3800" t="str">
            <v>233119</v>
          </cell>
        </row>
        <row r="3801">
          <cell r="Z3801" t="str">
            <v>233120</v>
          </cell>
        </row>
        <row r="3802">
          <cell r="Z3802" t="str">
            <v>233121</v>
          </cell>
        </row>
        <row r="3803">
          <cell r="Z3803" t="str">
            <v>233122</v>
          </cell>
        </row>
        <row r="3804">
          <cell r="Z3804" t="str">
            <v>233123</v>
          </cell>
        </row>
        <row r="3805">
          <cell r="Z3805" t="str">
            <v>233124</v>
          </cell>
        </row>
        <row r="3806">
          <cell r="Z3806" t="str">
            <v>233129</v>
          </cell>
        </row>
        <row r="3807">
          <cell r="Z3807" t="str">
            <v>233130</v>
          </cell>
        </row>
        <row r="3808">
          <cell r="Z3808" t="str">
            <v>233131</v>
          </cell>
        </row>
        <row r="3809">
          <cell r="Z3809" t="str">
            <v>233132</v>
          </cell>
        </row>
        <row r="3810">
          <cell r="Z3810" t="str">
            <v>233133</v>
          </cell>
        </row>
        <row r="3811">
          <cell r="Z3811" t="str">
            <v>233134</v>
          </cell>
        </row>
        <row r="3812">
          <cell r="Z3812" t="str">
            <v>233139</v>
          </cell>
        </row>
        <row r="3813">
          <cell r="Z3813" t="str">
            <v>233140</v>
          </cell>
        </row>
        <row r="3814">
          <cell r="Z3814" t="str">
            <v>233141</v>
          </cell>
        </row>
        <row r="3815">
          <cell r="Z3815" t="str">
            <v>233142</v>
          </cell>
        </row>
        <row r="3816">
          <cell r="Z3816" t="str">
            <v>233143</v>
          </cell>
        </row>
        <row r="3817">
          <cell r="Z3817" t="str">
            <v>233144</v>
          </cell>
        </row>
        <row r="3818">
          <cell r="Z3818" t="str">
            <v>233149</v>
          </cell>
        </row>
        <row r="3819">
          <cell r="Z3819" t="str">
            <v>233150</v>
          </cell>
        </row>
        <row r="3820">
          <cell r="Z3820" t="str">
            <v>233151</v>
          </cell>
        </row>
        <row r="3821">
          <cell r="Z3821" t="str">
            <v>233152</v>
          </cell>
        </row>
        <row r="3822">
          <cell r="Z3822" t="str">
            <v>233153</v>
          </cell>
        </row>
        <row r="3823">
          <cell r="Z3823" t="str">
            <v>233154</v>
          </cell>
        </row>
        <row r="3824">
          <cell r="Z3824" t="str">
            <v>233159</v>
          </cell>
        </row>
        <row r="3825">
          <cell r="Z3825" t="str">
            <v>233160</v>
          </cell>
        </row>
        <row r="3826">
          <cell r="Z3826" t="str">
            <v>233161</v>
          </cell>
        </row>
        <row r="3827">
          <cell r="Z3827" t="str">
            <v>233162</v>
          </cell>
        </row>
        <row r="3828">
          <cell r="Z3828" t="str">
            <v>233163</v>
          </cell>
        </row>
        <row r="3829">
          <cell r="Z3829" t="str">
            <v>233164</v>
          </cell>
        </row>
        <row r="3830">
          <cell r="Z3830" t="str">
            <v>233169</v>
          </cell>
        </row>
        <row r="3831">
          <cell r="Z3831" t="str">
            <v>233170</v>
          </cell>
        </row>
        <row r="3832">
          <cell r="Z3832" t="str">
            <v>233171</v>
          </cell>
        </row>
        <row r="3833">
          <cell r="Z3833" t="str">
            <v>233172</v>
          </cell>
        </row>
        <row r="3834">
          <cell r="Z3834" t="str">
            <v>233173</v>
          </cell>
        </row>
        <row r="3835">
          <cell r="Z3835" t="str">
            <v>233174</v>
          </cell>
        </row>
        <row r="3836">
          <cell r="Z3836" t="str">
            <v>233179</v>
          </cell>
        </row>
        <row r="3837">
          <cell r="Z3837" t="str">
            <v>233200</v>
          </cell>
        </row>
        <row r="3838">
          <cell r="Z3838" t="str">
            <v>233210</v>
          </cell>
        </row>
        <row r="3839">
          <cell r="Z3839" t="str">
            <v>233211</v>
          </cell>
        </row>
        <row r="3840">
          <cell r="Z3840" t="str">
            <v>233212</v>
          </cell>
        </row>
        <row r="3841">
          <cell r="Z3841" t="str">
            <v>233213</v>
          </cell>
        </row>
        <row r="3842">
          <cell r="Z3842" t="str">
            <v>233214</v>
          </cell>
        </row>
        <row r="3843">
          <cell r="Z3843" t="str">
            <v>233219</v>
          </cell>
        </row>
        <row r="3844">
          <cell r="Z3844" t="str">
            <v>233220</v>
          </cell>
        </row>
        <row r="3845">
          <cell r="Z3845" t="str">
            <v>233221</v>
          </cell>
        </row>
        <row r="3846">
          <cell r="Z3846" t="str">
            <v>233222</v>
          </cell>
        </row>
        <row r="3847">
          <cell r="Z3847" t="str">
            <v>233223</v>
          </cell>
        </row>
        <row r="3848">
          <cell r="Z3848" t="str">
            <v>233224</v>
          </cell>
        </row>
        <row r="3849">
          <cell r="Z3849" t="str">
            <v>233229</v>
          </cell>
        </row>
        <row r="3850">
          <cell r="Z3850" t="str">
            <v>233230</v>
          </cell>
        </row>
        <row r="3851">
          <cell r="Z3851" t="str">
            <v>233231</v>
          </cell>
        </row>
        <row r="3852">
          <cell r="Z3852" t="str">
            <v>233232</v>
          </cell>
        </row>
        <row r="3853">
          <cell r="Z3853" t="str">
            <v>233233</v>
          </cell>
        </row>
        <row r="3854">
          <cell r="Z3854" t="str">
            <v>233234</v>
          </cell>
        </row>
        <row r="3855">
          <cell r="Z3855" t="str">
            <v>233239</v>
          </cell>
        </row>
        <row r="3856">
          <cell r="Z3856" t="str">
            <v>233240</v>
          </cell>
        </row>
        <row r="3857">
          <cell r="Z3857" t="str">
            <v>233241</v>
          </cell>
        </row>
        <row r="3858">
          <cell r="Z3858" t="str">
            <v>233242</v>
          </cell>
        </row>
        <row r="3859">
          <cell r="Z3859" t="str">
            <v>233243</v>
          </cell>
        </row>
        <row r="3860">
          <cell r="Z3860" t="str">
            <v>233244</v>
          </cell>
        </row>
        <row r="3861">
          <cell r="Z3861" t="str">
            <v>233249</v>
          </cell>
        </row>
        <row r="3862">
          <cell r="Z3862" t="str">
            <v>233250</v>
          </cell>
        </row>
        <row r="3863">
          <cell r="Z3863" t="str">
            <v>233251</v>
          </cell>
        </row>
        <row r="3864">
          <cell r="Z3864" t="str">
            <v>233252</v>
          </cell>
        </row>
        <row r="3865">
          <cell r="Z3865" t="str">
            <v>233253</v>
          </cell>
        </row>
        <row r="3866">
          <cell r="Z3866" t="str">
            <v>233254</v>
          </cell>
        </row>
        <row r="3867">
          <cell r="Z3867" t="str">
            <v>233259</v>
          </cell>
        </row>
        <row r="3868">
          <cell r="Z3868" t="str">
            <v>233260</v>
          </cell>
        </row>
        <row r="3869">
          <cell r="Z3869" t="str">
            <v>233261</v>
          </cell>
        </row>
        <row r="3870">
          <cell r="Z3870" t="str">
            <v>233262</v>
          </cell>
        </row>
        <row r="3871">
          <cell r="Z3871" t="str">
            <v>233263</v>
          </cell>
        </row>
        <row r="3872">
          <cell r="Z3872" t="str">
            <v>233264</v>
          </cell>
        </row>
        <row r="3873">
          <cell r="Z3873" t="str">
            <v>233269</v>
          </cell>
        </row>
        <row r="3874">
          <cell r="Z3874" t="str">
            <v>233270</v>
          </cell>
        </row>
        <row r="3875">
          <cell r="Z3875" t="str">
            <v>233271</v>
          </cell>
        </row>
        <row r="3876">
          <cell r="Z3876" t="str">
            <v>233272</v>
          </cell>
        </row>
        <row r="3877">
          <cell r="Z3877" t="str">
            <v>233273</v>
          </cell>
        </row>
        <row r="3878">
          <cell r="Z3878" t="str">
            <v>233274</v>
          </cell>
        </row>
        <row r="3879">
          <cell r="Z3879" t="str">
            <v>233279</v>
          </cell>
        </row>
        <row r="3880">
          <cell r="Z3880" t="str">
            <v>233300</v>
          </cell>
        </row>
        <row r="3881">
          <cell r="Z3881" t="str">
            <v>233310</v>
          </cell>
        </row>
        <row r="3882">
          <cell r="Z3882" t="str">
            <v>233311</v>
          </cell>
        </row>
        <row r="3883">
          <cell r="Z3883" t="str">
            <v>233312</v>
          </cell>
        </row>
        <row r="3884">
          <cell r="Z3884" t="str">
            <v>233313</v>
          </cell>
        </row>
        <row r="3885">
          <cell r="Z3885" t="str">
            <v>233314</v>
          </cell>
        </row>
        <row r="3886">
          <cell r="Z3886" t="str">
            <v>233319</v>
          </cell>
        </row>
        <row r="3887">
          <cell r="Z3887" t="str">
            <v>233320</v>
          </cell>
        </row>
        <row r="3888">
          <cell r="Z3888" t="str">
            <v>233321</v>
          </cell>
        </row>
        <row r="3889">
          <cell r="Z3889" t="str">
            <v>233322</v>
          </cell>
        </row>
        <row r="3890">
          <cell r="Z3890" t="str">
            <v>233323</v>
          </cell>
        </row>
        <row r="3891">
          <cell r="Z3891" t="str">
            <v>233324</v>
          </cell>
        </row>
        <row r="3892">
          <cell r="Z3892" t="str">
            <v>233329</v>
          </cell>
        </row>
        <row r="3893">
          <cell r="Z3893" t="str">
            <v>233330</v>
          </cell>
        </row>
        <row r="3894">
          <cell r="Z3894" t="str">
            <v>233331</v>
          </cell>
        </row>
        <row r="3895">
          <cell r="Z3895" t="str">
            <v>233332</v>
          </cell>
        </row>
        <row r="3896">
          <cell r="Z3896" t="str">
            <v>233333</v>
          </cell>
        </row>
        <row r="3897">
          <cell r="Z3897" t="str">
            <v>233334</v>
          </cell>
        </row>
        <row r="3898">
          <cell r="Z3898" t="str">
            <v>233339</v>
          </cell>
        </row>
        <row r="3899">
          <cell r="Z3899" t="str">
            <v>233340</v>
          </cell>
        </row>
        <row r="3900">
          <cell r="Z3900" t="str">
            <v>233341</v>
          </cell>
        </row>
        <row r="3901">
          <cell r="Z3901" t="str">
            <v>233342</v>
          </cell>
        </row>
        <row r="3902">
          <cell r="Z3902" t="str">
            <v>233343</v>
          </cell>
        </row>
        <row r="3903">
          <cell r="Z3903" t="str">
            <v>233344</v>
          </cell>
        </row>
        <row r="3904">
          <cell r="Z3904" t="str">
            <v>233349</v>
          </cell>
        </row>
        <row r="3905">
          <cell r="Z3905" t="str">
            <v>233350</v>
          </cell>
        </row>
        <row r="3906">
          <cell r="Z3906" t="str">
            <v>233351</v>
          </cell>
        </row>
        <row r="3907">
          <cell r="Z3907" t="str">
            <v>233352</v>
          </cell>
        </row>
        <row r="3908">
          <cell r="Z3908" t="str">
            <v>233353</v>
          </cell>
        </row>
        <row r="3909">
          <cell r="Z3909" t="str">
            <v>233354</v>
          </cell>
        </row>
        <row r="3910">
          <cell r="Z3910" t="str">
            <v>233359</v>
          </cell>
        </row>
        <row r="3911">
          <cell r="Z3911" t="str">
            <v>233360</v>
          </cell>
        </row>
        <row r="3912">
          <cell r="Z3912" t="str">
            <v>233361</v>
          </cell>
        </row>
        <row r="3913">
          <cell r="Z3913" t="str">
            <v>233362</v>
          </cell>
        </row>
        <row r="3914">
          <cell r="Z3914" t="str">
            <v>233363</v>
          </cell>
        </row>
        <row r="3915">
          <cell r="Z3915" t="str">
            <v>233364</v>
          </cell>
        </row>
        <row r="3916">
          <cell r="Z3916" t="str">
            <v>233369</v>
          </cell>
        </row>
        <row r="3917">
          <cell r="Z3917" t="str">
            <v>233370</v>
          </cell>
        </row>
        <row r="3918">
          <cell r="Z3918" t="str">
            <v>233371</v>
          </cell>
        </row>
        <row r="3919">
          <cell r="Z3919" t="str">
            <v>233372</v>
          </cell>
        </row>
        <row r="3920">
          <cell r="Z3920" t="str">
            <v>233373</v>
          </cell>
        </row>
        <row r="3921">
          <cell r="Z3921" t="str">
            <v>233374</v>
          </cell>
        </row>
        <row r="3922">
          <cell r="Z3922" t="str">
            <v>233379</v>
          </cell>
        </row>
        <row r="3923">
          <cell r="Z3923" t="str">
            <v>233400</v>
          </cell>
        </row>
        <row r="3924">
          <cell r="Z3924" t="str">
            <v>233410</v>
          </cell>
        </row>
        <row r="3925">
          <cell r="Z3925" t="str">
            <v>233411</v>
          </cell>
        </row>
        <row r="3926">
          <cell r="Z3926" t="str">
            <v>233412</v>
          </cell>
        </row>
        <row r="3927">
          <cell r="Z3927" t="str">
            <v>233413</v>
          </cell>
        </row>
        <row r="3928">
          <cell r="Z3928" t="str">
            <v>233414</v>
          </cell>
        </row>
        <row r="3929">
          <cell r="Z3929" t="str">
            <v>233419</v>
          </cell>
        </row>
        <row r="3930">
          <cell r="Z3930" t="str">
            <v>233420</v>
          </cell>
        </row>
        <row r="3931">
          <cell r="Z3931" t="str">
            <v>233421</v>
          </cell>
        </row>
        <row r="3932">
          <cell r="Z3932" t="str">
            <v>233422</v>
          </cell>
        </row>
        <row r="3933">
          <cell r="Z3933" t="str">
            <v>233423</v>
          </cell>
        </row>
        <row r="3934">
          <cell r="Z3934" t="str">
            <v>233424</v>
          </cell>
        </row>
        <row r="3935">
          <cell r="Z3935" t="str">
            <v>233429</v>
          </cell>
        </row>
        <row r="3936">
          <cell r="Z3936" t="str">
            <v>233430</v>
          </cell>
        </row>
        <row r="3937">
          <cell r="Z3937" t="str">
            <v>233431</v>
          </cell>
        </row>
        <row r="3938">
          <cell r="Z3938" t="str">
            <v>233432</v>
          </cell>
        </row>
        <row r="3939">
          <cell r="Z3939" t="str">
            <v>233433</v>
          </cell>
        </row>
        <row r="3940">
          <cell r="Z3940" t="str">
            <v>233434</v>
          </cell>
        </row>
        <row r="3941">
          <cell r="Z3941" t="str">
            <v>233439</v>
          </cell>
        </row>
        <row r="3942">
          <cell r="Z3942" t="str">
            <v>233440</v>
          </cell>
        </row>
        <row r="3943">
          <cell r="Z3943" t="str">
            <v>233441</v>
          </cell>
        </row>
        <row r="3944">
          <cell r="Z3944" t="str">
            <v>233442</v>
          </cell>
        </row>
        <row r="3945">
          <cell r="Z3945" t="str">
            <v>233443</v>
          </cell>
        </row>
        <row r="3946">
          <cell r="Z3946" t="str">
            <v>233444</v>
          </cell>
        </row>
        <row r="3947">
          <cell r="Z3947" t="str">
            <v>233445</v>
          </cell>
        </row>
        <row r="3948">
          <cell r="Z3948" t="str">
            <v>233450</v>
          </cell>
        </row>
        <row r="3949">
          <cell r="Z3949" t="str">
            <v>233451</v>
          </cell>
        </row>
        <row r="3950">
          <cell r="Z3950" t="str">
            <v>233452</v>
          </cell>
        </row>
        <row r="3951">
          <cell r="Z3951" t="str">
            <v>233453</v>
          </cell>
        </row>
        <row r="3952">
          <cell r="Z3952" t="str">
            <v>233454</v>
          </cell>
        </row>
        <row r="3953">
          <cell r="Z3953" t="str">
            <v>233459</v>
          </cell>
        </row>
        <row r="3954">
          <cell r="Z3954" t="str">
            <v>233460</v>
          </cell>
        </row>
        <row r="3955">
          <cell r="Z3955" t="str">
            <v>233461</v>
          </cell>
        </row>
        <row r="3956">
          <cell r="Z3956" t="str">
            <v>233462</v>
          </cell>
        </row>
        <row r="3957">
          <cell r="Z3957" t="str">
            <v>233463</v>
          </cell>
        </row>
        <row r="3958">
          <cell r="Z3958" t="str">
            <v>233464</v>
          </cell>
        </row>
        <row r="3959">
          <cell r="Z3959" t="str">
            <v>233469</v>
          </cell>
        </row>
        <row r="3960">
          <cell r="Z3960" t="str">
            <v>233470</v>
          </cell>
        </row>
        <row r="3961">
          <cell r="Z3961" t="str">
            <v>233471</v>
          </cell>
        </row>
        <row r="3962">
          <cell r="Z3962" t="str">
            <v>233472</v>
          </cell>
        </row>
        <row r="3963">
          <cell r="Z3963" t="str">
            <v>233473</v>
          </cell>
        </row>
        <row r="3964">
          <cell r="Z3964" t="str">
            <v>233474</v>
          </cell>
        </row>
        <row r="3965">
          <cell r="Z3965" t="str">
            <v>233479</v>
          </cell>
        </row>
        <row r="3966">
          <cell r="Z3966" t="str">
            <v>233500</v>
          </cell>
        </row>
        <row r="3967">
          <cell r="Z3967" t="str">
            <v>233510</v>
          </cell>
        </row>
        <row r="3968">
          <cell r="Z3968" t="str">
            <v>233511</v>
          </cell>
        </row>
        <row r="3969">
          <cell r="Z3969" t="str">
            <v>233512</v>
          </cell>
        </row>
        <row r="3970">
          <cell r="Z3970" t="str">
            <v>233513</v>
          </cell>
        </row>
        <row r="3971">
          <cell r="Z3971" t="str">
            <v>233514</v>
          </cell>
        </row>
        <row r="3972">
          <cell r="Z3972" t="str">
            <v>233519</v>
          </cell>
        </row>
        <row r="3973">
          <cell r="Z3973" t="str">
            <v>233520</v>
          </cell>
        </row>
        <row r="3974">
          <cell r="Z3974" t="str">
            <v>233521</v>
          </cell>
        </row>
        <row r="3975">
          <cell r="Z3975" t="str">
            <v>233522</v>
          </cell>
        </row>
        <row r="3976">
          <cell r="Z3976" t="str">
            <v>233523</v>
          </cell>
        </row>
        <row r="3977">
          <cell r="Z3977" t="str">
            <v>233524</v>
          </cell>
        </row>
        <row r="3978">
          <cell r="Z3978" t="str">
            <v>233529</v>
          </cell>
        </row>
        <row r="3979">
          <cell r="Z3979" t="str">
            <v>233530</v>
          </cell>
        </row>
        <row r="3980">
          <cell r="Z3980" t="str">
            <v>233531</v>
          </cell>
        </row>
        <row r="3981">
          <cell r="Z3981" t="str">
            <v>233532</v>
          </cell>
        </row>
        <row r="3982">
          <cell r="Z3982" t="str">
            <v>233533</v>
          </cell>
        </row>
        <row r="3983">
          <cell r="Z3983" t="str">
            <v>233534</v>
          </cell>
        </row>
        <row r="3984">
          <cell r="Z3984" t="str">
            <v>233539</v>
          </cell>
        </row>
        <row r="3985">
          <cell r="Z3985" t="str">
            <v>233600</v>
          </cell>
        </row>
        <row r="3986">
          <cell r="Z3986" t="str">
            <v>233610</v>
          </cell>
        </row>
        <row r="3987">
          <cell r="Z3987" t="str">
            <v>233611</v>
          </cell>
        </row>
        <row r="3988">
          <cell r="Z3988" t="str">
            <v>233612</v>
          </cell>
        </row>
        <row r="3989">
          <cell r="Z3989" t="str">
            <v>233613</v>
          </cell>
        </row>
        <row r="3990">
          <cell r="Z3990" t="str">
            <v>233614</v>
          </cell>
        </row>
        <row r="3991">
          <cell r="Z3991" t="str">
            <v>233619</v>
          </cell>
        </row>
        <row r="3992">
          <cell r="Z3992" t="str">
            <v>233620</v>
          </cell>
        </row>
        <row r="3993">
          <cell r="Z3993" t="str">
            <v>233621</v>
          </cell>
        </row>
        <row r="3994">
          <cell r="Z3994" t="str">
            <v>233622</v>
          </cell>
        </row>
        <row r="3995">
          <cell r="Z3995" t="str">
            <v>233623</v>
          </cell>
        </row>
        <row r="3996">
          <cell r="Z3996" t="str">
            <v>233624</v>
          </cell>
        </row>
        <row r="3997">
          <cell r="Z3997" t="str">
            <v>233629</v>
          </cell>
        </row>
        <row r="3998">
          <cell r="Z3998" t="str">
            <v>233630</v>
          </cell>
        </row>
        <row r="3999">
          <cell r="Z3999" t="str">
            <v>233631</v>
          </cell>
        </row>
        <row r="4000">
          <cell r="Z4000" t="str">
            <v>233632</v>
          </cell>
        </row>
        <row r="4001">
          <cell r="Z4001" t="str">
            <v>233633</v>
          </cell>
        </row>
        <row r="4002">
          <cell r="Z4002" t="str">
            <v>233634</v>
          </cell>
        </row>
        <row r="4003">
          <cell r="Z4003" t="str">
            <v>233639</v>
          </cell>
        </row>
        <row r="4004">
          <cell r="Z4004" t="str">
            <v>234000</v>
          </cell>
        </row>
        <row r="4005">
          <cell r="Z4005" t="str">
            <v>234100</v>
          </cell>
        </row>
        <row r="4006">
          <cell r="Z4006" t="str">
            <v>234110</v>
          </cell>
        </row>
        <row r="4007">
          <cell r="Z4007" t="str">
            <v>234111</v>
          </cell>
        </row>
        <row r="4008">
          <cell r="Z4008" t="str">
            <v>234112</v>
          </cell>
        </row>
        <row r="4009">
          <cell r="Z4009" t="str">
            <v>234113</v>
          </cell>
        </row>
        <row r="4010">
          <cell r="Z4010" t="str">
            <v>234114</v>
          </cell>
        </row>
        <row r="4011">
          <cell r="Z4011" t="str">
            <v>234119</v>
          </cell>
        </row>
        <row r="4012">
          <cell r="Z4012" t="str">
            <v>234120</v>
          </cell>
        </row>
        <row r="4013">
          <cell r="Z4013" t="str">
            <v>234121</v>
          </cell>
        </row>
        <row r="4014">
          <cell r="Z4014" t="str">
            <v>234122</v>
          </cell>
        </row>
        <row r="4015">
          <cell r="Z4015" t="str">
            <v>234123</v>
          </cell>
        </row>
        <row r="4016">
          <cell r="Z4016" t="str">
            <v>234124</v>
          </cell>
        </row>
        <row r="4017">
          <cell r="Z4017" t="str">
            <v>234129</v>
          </cell>
        </row>
        <row r="4018">
          <cell r="Z4018" t="str">
            <v>234130</v>
          </cell>
        </row>
        <row r="4019">
          <cell r="Z4019" t="str">
            <v>234131</v>
          </cell>
        </row>
        <row r="4020">
          <cell r="Z4020" t="str">
            <v>234132</v>
          </cell>
        </row>
        <row r="4021">
          <cell r="Z4021" t="str">
            <v>234133</v>
          </cell>
        </row>
        <row r="4022">
          <cell r="Z4022" t="str">
            <v>234134</v>
          </cell>
        </row>
        <row r="4023">
          <cell r="Z4023" t="str">
            <v>234139</v>
          </cell>
        </row>
        <row r="4024">
          <cell r="Z4024" t="str">
            <v>234140</v>
          </cell>
        </row>
        <row r="4025">
          <cell r="Z4025" t="str">
            <v>234141</v>
          </cell>
        </row>
        <row r="4026">
          <cell r="Z4026" t="str">
            <v>234142</v>
          </cell>
        </row>
        <row r="4027">
          <cell r="Z4027" t="str">
            <v>234143</v>
          </cell>
        </row>
        <row r="4028">
          <cell r="Z4028" t="str">
            <v>234144</v>
          </cell>
        </row>
        <row r="4029">
          <cell r="Z4029" t="str">
            <v>234149</v>
          </cell>
        </row>
        <row r="4030">
          <cell r="Z4030" t="str">
            <v>234150</v>
          </cell>
        </row>
        <row r="4031">
          <cell r="Z4031" t="str">
            <v>234151</v>
          </cell>
        </row>
        <row r="4032">
          <cell r="Z4032" t="str">
            <v>234152</v>
          </cell>
        </row>
        <row r="4033">
          <cell r="Z4033" t="str">
            <v>234153</v>
          </cell>
        </row>
        <row r="4034">
          <cell r="Z4034" t="str">
            <v>234154</v>
          </cell>
        </row>
        <row r="4035">
          <cell r="Z4035" t="str">
            <v>234159</v>
          </cell>
        </row>
        <row r="4036">
          <cell r="Z4036" t="str">
            <v>234160</v>
          </cell>
        </row>
        <row r="4037">
          <cell r="Z4037" t="str">
            <v>234161</v>
          </cell>
        </row>
        <row r="4038">
          <cell r="Z4038" t="str">
            <v>234162</v>
          </cell>
        </row>
        <row r="4039">
          <cell r="Z4039" t="str">
            <v>234163</v>
          </cell>
        </row>
        <row r="4040">
          <cell r="Z4040" t="str">
            <v>234164</v>
          </cell>
        </row>
        <row r="4041">
          <cell r="Z4041" t="str">
            <v>234169</v>
          </cell>
        </row>
        <row r="4042">
          <cell r="Z4042" t="str">
            <v>234170</v>
          </cell>
        </row>
        <row r="4043">
          <cell r="Z4043" t="str">
            <v>234171</v>
          </cell>
        </row>
        <row r="4044">
          <cell r="Z4044" t="str">
            <v>234172</v>
          </cell>
        </row>
        <row r="4045">
          <cell r="Z4045" t="str">
            <v>234173</v>
          </cell>
        </row>
        <row r="4046">
          <cell r="Z4046" t="str">
            <v>234174</v>
          </cell>
        </row>
        <row r="4047">
          <cell r="Z4047" t="str">
            <v>234179</v>
          </cell>
        </row>
        <row r="4048">
          <cell r="Z4048" t="str">
            <v>234200</v>
          </cell>
        </row>
        <row r="4049">
          <cell r="Z4049" t="str">
            <v>234210</v>
          </cell>
        </row>
        <row r="4050">
          <cell r="Z4050" t="str">
            <v>234211</v>
          </cell>
        </row>
        <row r="4051">
          <cell r="Z4051" t="str">
            <v>234212</v>
          </cell>
        </row>
        <row r="4052">
          <cell r="Z4052" t="str">
            <v>234213</v>
          </cell>
        </row>
        <row r="4053">
          <cell r="Z4053" t="str">
            <v>234214</v>
          </cell>
        </row>
        <row r="4054">
          <cell r="Z4054" t="str">
            <v>234219</v>
          </cell>
        </row>
        <row r="4055">
          <cell r="Z4055" t="str">
            <v>234220</v>
          </cell>
        </row>
        <row r="4056">
          <cell r="Z4056" t="str">
            <v>234221</v>
          </cell>
        </row>
        <row r="4057">
          <cell r="Z4057" t="str">
            <v>234222</v>
          </cell>
        </row>
        <row r="4058">
          <cell r="Z4058" t="str">
            <v>234223</v>
          </cell>
        </row>
        <row r="4059">
          <cell r="Z4059" t="str">
            <v>234224</v>
          </cell>
        </row>
        <row r="4060">
          <cell r="Z4060" t="str">
            <v>234229</v>
          </cell>
        </row>
        <row r="4061">
          <cell r="Z4061" t="str">
            <v>234230</v>
          </cell>
        </row>
        <row r="4062">
          <cell r="Z4062" t="str">
            <v>234231</v>
          </cell>
        </row>
        <row r="4063">
          <cell r="Z4063" t="str">
            <v>234232</v>
          </cell>
        </row>
        <row r="4064">
          <cell r="Z4064" t="str">
            <v>234233</v>
          </cell>
        </row>
        <row r="4065">
          <cell r="Z4065" t="str">
            <v>234234</v>
          </cell>
        </row>
        <row r="4066">
          <cell r="Z4066" t="str">
            <v>234239</v>
          </cell>
        </row>
        <row r="4067">
          <cell r="Z4067" t="str">
            <v>234240</v>
          </cell>
        </row>
        <row r="4068">
          <cell r="Z4068" t="str">
            <v>234241</v>
          </cell>
        </row>
        <row r="4069">
          <cell r="Z4069" t="str">
            <v>234242</v>
          </cell>
        </row>
        <row r="4070">
          <cell r="Z4070" t="str">
            <v>234243</v>
          </cell>
        </row>
        <row r="4071">
          <cell r="Z4071" t="str">
            <v>234244</v>
          </cell>
        </row>
        <row r="4072">
          <cell r="Z4072" t="str">
            <v>234249</v>
          </cell>
        </row>
        <row r="4073">
          <cell r="Z4073" t="str">
            <v>234250</v>
          </cell>
        </row>
        <row r="4074">
          <cell r="Z4074" t="str">
            <v>234251</v>
          </cell>
        </row>
        <row r="4075">
          <cell r="Z4075" t="str">
            <v>234252</v>
          </cell>
        </row>
        <row r="4076">
          <cell r="Z4076" t="str">
            <v>234253</v>
          </cell>
        </row>
        <row r="4077">
          <cell r="Z4077" t="str">
            <v>234254</v>
          </cell>
        </row>
        <row r="4078">
          <cell r="Z4078" t="str">
            <v>234259</v>
          </cell>
        </row>
        <row r="4079">
          <cell r="Z4079" t="str">
            <v>234260</v>
          </cell>
        </row>
        <row r="4080">
          <cell r="Z4080" t="str">
            <v>234261</v>
          </cell>
        </row>
        <row r="4081">
          <cell r="Z4081" t="str">
            <v>234262</v>
          </cell>
        </row>
        <row r="4082">
          <cell r="Z4082" t="str">
            <v>234263</v>
          </cell>
        </row>
        <row r="4083">
          <cell r="Z4083" t="str">
            <v>234264</v>
          </cell>
        </row>
        <row r="4084">
          <cell r="Z4084" t="str">
            <v>234269</v>
          </cell>
        </row>
        <row r="4085">
          <cell r="Z4085" t="str">
            <v>234270</v>
          </cell>
        </row>
        <row r="4086">
          <cell r="Z4086" t="str">
            <v>234271</v>
          </cell>
        </row>
        <row r="4087">
          <cell r="Z4087" t="str">
            <v>234272</v>
          </cell>
        </row>
        <row r="4088">
          <cell r="Z4088" t="str">
            <v>234273</v>
          </cell>
        </row>
        <row r="4089">
          <cell r="Z4089" t="str">
            <v>234274</v>
          </cell>
        </row>
        <row r="4090">
          <cell r="Z4090" t="str">
            <v>234279</v>
          </cell>
        </row>
        <row r="4091">
          <cell r="Z4091" t="str">
            <v>234300</v>
          </cell>
        </row>
        <row r="4092">
          <cell r="Z4092" t="str">
            <v>234310</v>
          </cell>
        </row>
        <row r="4093">
          <cell r="Z4093" t="str">
            <v>234311</v>
          </cell>
        </row>
        <row r="4094">
          <cell r="Z4094" t="str">
            <v>234312</v>
          </cell>
        </row>
        <row r="4095">
          <cell r="Z4095" t="str">
            <v>234313</v>
          </cell>
        </row>
        <row r="4096">
          <cell r="Z4096" t="str">
            <v>234314</v>
          </cell>
        </row>
        <row r="4097">
          <cell r="Z4097" t="str">
            <v>234319</v>
          </cell>
        </row>
        <row r="4098">
          <cell r="Z4098" t="str">
            <v>234320</v>
          </cell>
        </row>
        <row r="4099">
          <cell r="Z4099" t="str">
            <v>234321</v>
          </cell>
        </row>
        <row r="4100">
          <cell r="Z4100" t="str">
            <v>234322</v>
          </cell>
        </row>
        <row r="4101">
          <cell r="Z4101" t="str">
            <v>234323</v>
          </cell>
        </row>
        <row r="4102">
          <cell r="Z4102" t="str">
            <v>234324</v>
          </cell>
        </row>
        <row r="4103">
          <cell r="Z4103" t="str">
            <v>234329</v>
          </cell>
        </row>
        <row r="4104">
          <cell r="Z4104" t="str">
            <v>234330</v>
          </cell>
        </row>
        <row r="4105">
          <cell r="Z4105" t="str">
            <v>234331</v>
          </cell>
        </row>
        <row r="4106">
          <cell r="Z4106" t="str">
            <v>234332</v>
          </cell>
        </row>
        <row r="4107">
          <cell r="Z4107" t="str">
            <v>234333</v>
          </cell>
        </row>
        <row r="4108">
          <cell r="Z4108" t="str">
            <v>234334</v>
          </cell>
        </row>
        <row r="4109">
          <cell r="Z4109" t="str">
            <v>234339</v>
          </cell>
        </row>
        <row r="4110">
          <cell r="Z4110" t="str">
            <v>234340</v>
          </cell>
        </row>
        <row r="4111">
          <cell r="Z4111" t="str">
            <v>234341</v>
          </cell>
        </row>
        <row r="4112">
          <cell r="Z4112" t="str">
            <v>234342</v>
          </cell>
        </row>
        <row r="4113">
          <cell r="Z4113" t="str">
            <v>234343</v>
          </cell>
        </row>
        <row r="4114">
          <cell r="Z4114" t="str">
            <v>234344</v>
          </cell>
        </row>
        <row r="4115">
          <cell r="Z4115" t="str">
            <v>234349</v>
          </cell>
        </row>
        <row r="4116">
          <cell r="Z4116" t="str">
            <v>234350</v>
          </cell>
        </row>
        <row r="4117">
          <cell r="Z4117" t="str">
            <v>234351</v>
          </cell>
        </row>
        <row r="4118">
          <cell r="Z4118" t="str">
            <v>234352</v>
          </cell>
        </row>
        <row r="4119">
          <cell r="Z4119" t="str">
            <v>234353</v>
          </cell>
        </row>
        <row r="4120">
          <cell r="Z4120" t="str">
            <v>234354</v>
          </cell>
        </row>
        <row r="4121">
          <cell r="Z4121" t="str">
            <v>234359</v>
          </cell>
        </row>
        <row r="4122">
          <cell r="Z4122" t="str">
            <v>234360</v>
          </cell>
        </row>
        <row r="4123">
          <cell r="Z4123" t="str">
            <v>234361</v>
          </cell>
        </row>
        <row r="4124">
          <cell r="Z4124" t="str">
            <v>234362</v>
          </cell>
        </row>
        <row r="4125">
          <cell r="Z4125" t="str">
            <v>234363</v>
          </cell>
        </row>
        <row r="4126">
          <cell r="Z4126" t="str">
            <v>234364</v>
          </cell>
        </row>
        <row r="4127">
          <cell r="Z4127" t="str">
            <v>234369</v>
          </cell>
        </row>
        <row r="4128">
          <cell r="Z4128" t="str">
            <v>234370</v>
          </cell>
        </row>
        <row r="4129">
          <cell r="Z4129" t="str">
            <v>234371</v>
          </cell>
        </row>
        <row r="4130">
          <cell r="Z4130" t="str">
            <v>234372</v>
          </cell>
        </row>
        <row r="4131">
          <cell r="Z4131" t="str">
            <v>234373</v>
          </cell>
        </row>
        <row r="4132">
          <cell r="Z4132" t="str">
            <v>234374</v>
          </cell>
        </row>
        <row r="4133">
          <cell r="Z4133" t="str">
            <v>234379</v>
          </cell>
        </row>
        <row r="4134">
          <cell r="Z4134" t="str">
            <v>234400</v>
          </cell>
        </row>
        <row r="4135">
          <cell r="Z4135" t="str">
            <v>234410</v>
          </cell>
        </row>
        <row r="4136">
          <cell r="Z4136" t="str">
            <v>234411</v>
          </cell>
        </row>
        <row r="4137">
          <cell r="Z4137" t="str">
            <v>234412</v>
          </cell>
        </row>
        <row r="4138">
          <cell r="Z4138" t="str">
            <v>234413</v>
          </cell>
        </row>
        <row r="4139">
          <cell r="Z4139" t="str">
            <v>234414</v>
          </cell>
        </row>
        <row r="4140">
          <cell r="Z4140" t="str">
            <v>234419</v>
          </cell>
        </row>
        <row r="4141">
          <cell r="Z4141" t="str">
            <v>234420</v>
          </cell>
        </row>
        <row r="4142">
          <cell r="Z4142" t="str">
            <v>234421</v>
          </cell>
        </row>
        <row r="4143">
          <cell r="Z4143" t="str">
            <v>234422</v>
          </cell>
        </row>
        <row r="4144">
          <cell r="Z4144" t="str">
            <v>234423</v>
          </cell>
        </row>
        <row r="4145">
          <cell r="Z4145" t="str">
            <v>234424</v>
          </cell>
        </row>
        <row r="4146">
          <cell r="Z4146" t="str">
            <v>234429</v>
          </cell>
        </row>
        <row r="4147">
          <cell r="Z4147" t="str">
            <v>234430</v>
          </cell>
        </row>
        <row r="4148">
          <cell r="Z4148" t="str">
            <v>234431</v>
          </cell>
        </row>
        <row r="4149">
          <cell r="Z4149" t="str">
            <v>234432</v>
          </cell>
        </row>
        <row r="4150">
          <cell r="Z4150" t="str">
            <v>234433</v>
          </cell>
        </row>
        <row r="4151">
          <cell r="Z4151" t="str">
            <v>234434</v>
          </cell>
        </row>
        <row r="4152">
          <cell r="Z4152" t="str">
            <v>234439</v>
          </cell>
        </row>
        <row r="4153">
          <cell r="Z4153" t="str">
            <v>234440</v>
          </cell>
        </row>
        <row r="4154">
          <cell r="Z4154" t="str">
            <v>234441</v>
          </cell>
        </row>
        <row r="4155">
          <cell r="Z4155" t="str">
            <v>234442</v>
          </cell>
        </row>
        <row r="4156">
          <cell r="Z4156" t="str">
            <v>234443</v>
          </cell>
        </row>
        <row r="4157">
          <cell r="Z4157" t="str">
            <v>234444</v>
          </cell>
        </row>
        <row r="4158">
          <cell r="Z4158" t="str">
            <v>234445</v>
          </cell>
        </row>
        <row r="4159">
          <cell r="Z4159" t="str">
            <v>234450</v>
          </cell>
        </row>
        <row r="4160">
          <cell r="Z4160" t="str">
            <v>234451</v>
          </cell>
        </row>
        <row r="4161">
          <cell r="Z4161" t="str">
            <v>234452</v>
          </cell>
        </row>
        <row r="4162">
          <cell r="Z4162" t="str">
            <v>234453</v>
          </cell>
        </row>
        <row r="4163">
          <cell r="Z4163" t="str">
            <v>234454</v>
          </cell>
        </row>
        <row r="4164">
          <cell r="Z4164" t="str">
            <v>234459</v>
          </cell>
        </row>
        <row r="4165">
          <cell r="Z4165" t="str">
            <v>234460</v>
          </cell>
        </row>
        <row r="4166">
          <cell r="Z4166" t="str">
            <v>234461</v>
          </cell>
        </row>
        <row r="4167">
          <cell r="Z4167" t="str">
            <v>234462</v>
          </cell>
        </row>
        <row r="4168">
          <cell r="Z4168" t="str">
            <v>234463</v>
          </cell>
        </row>
        <row r="4169">
          <cell r="Z4169" t="str">
            <v>234464</v>
          </cell>
        </row>
        <row r="4170">
          <cell r="Z4170" t="str">
            <v>234469</v>
          </cell>
        </row>
        <row r="4171">
          <cell r="Z4171" t="str">
            <v>234470</v>
          </cell>
        </row>
        <row r="4172">
          <cell r="Z4172" t="str">
            <v>234471</v>
          </cell>
        </row>
        <row r="4173">
          <cell r="Z4173" t="str">
            <v>234472</v>
          </cell>
        </row>
        <row r="4174">
          <cell r="Z4174" t="str">
            <v>234473</v>
          </cell>
        </row>
        <row r="4175">
          <cell r="Z4175" t="str">
            <v>234474</v>
          </cell>
        </row>
        <row r="4176">
          <cell r="Z4176" t="str">
            <v>234479</v>
          </cell>
        </row>
        <row r="4177">
          <cell r="Z4177" t="str">
            <v>234500</v>
          </cell>
        </row>
        <row r="4178">
          <cell r="Z4178" t="str">
            <v>234510</v>
          </cell>
        </row>
        <row r="4179">
          <cell r="Z4179" t="str">
            <v>234511</v>
          </cell>
        </row>
        <row r="4180">
          <cell r="Z4180" t="str">
            <v>234512</v>
          </cell>
        </row>
        <row r="4181">
          <cell r="Z4181" t="str">
            <v>234513</v>
          </cell>
        </row>
        <row r="4182">
          <cell r="Z4182" t="str">
            <v>234514</v>
          </cell>
        </row>
        <row r="4183">
          <cell r="Z4183" t="str">
            <v>234519</v>
          </cell>
        </row>
        <row r="4184">
          <cell r="Z4184" t="str">
            <v>234520</v>
          </cell>
        </row>
        <row r="4185">
          <cell r="Z4185" t="str">
            <v>234521</v>
          </cell>
        </row>
        <row r="4186">
          <cell r="Z4186" t="str">
            <v>234522</v>
          </cell>
        </row>
        <row r="4187">
          <cell r="Z4187" t="str">
            <v>234523</v>
          </cell>
        </row>
        <row r="4188">
          <cell r="Z4188" t="str">
            <v>234524</v>
          </cell>
        </row>
        <row r="4189">
          <cell r="Z4189" t="str">
            <v>234529</v>
          </cell>
        </row>
        <row r="4190">
          <cell r="Z4190" t="str">
            <v>234530</v>
          </cell>
        </row>
        <row r="4191">
          <cell r="Z4191" t="str">
            <v>234531</v>
          </cell>
        </row>
        <row r="4192">
          <cell r="Z4192" t="str">
            <v>234532</v>
          </cell>
        </row>
        <row r="4193">
          <cell r="Z4193" t="str">
            <v>234533</v>
          </cell>
        </row>
        <row r="4194">
          <cell r="Z4194" t="str">
            <v>234534</v>
          </cell>
        </row>
        <row r="4195">
          <cell r="Z4195" t="str">
            <v>234539</v>
          </cell>
        </row>
        <row r="4196">
          <cell r="Z4196" t="str">
            <v>234600</v>
          </cell>
        </row>
        <row r="4197">
          <cell r="Z4197" t="str">
            <v>234610</v>
          </cell>
        </row>
        <row r="4198">
          <cell r="Z4198" t="str">
            <v>234611</v>
          </cell>
        </row>
        <row r="4199">
          <cell r="Z4199" t="str">
            <v>234612</v>
          </cell>
        </row>
        <row r="4200">
          <cell r="Z4200" t="str">
            <v>234613</v>
          </cell>
        </row>
        <row r="4201">
          <cell r="Z4201" t="str">
            <v>234614</v>
          </cell>
        </row>
        <row r="4202">
          <cell r="Z4202" t="str">
            <v>234619</v>
          </cell>
        </row>
        <row r="4203">
          <cell r="Z4203" t="str">
            <v>234620</v>
          </cell>
        </row>
        <row r="4204">
          <cell r="Z4204" t="str">
            <v>234621</v>
          </cell>
        </row>
        <row r="4205">
          <cell r="Z4205" t="str">
            <v>234622</v>
          </cell>
        </row>
        <row r="4206">
          <cell r="Z4206" t="str">
            <v>234623</v>
          </cell>
        </row>
        <row r="4207">
          <cell r="Z4207" t="str">
            <v>234624</v>
          </cell>
        </row>
        <row r="4208">
          <cell r="Z4208" t="str">
            <v>234629</v>
          </cell>
        </row>
        <row r="4209">
          <cell r="Z4209" t="str">
            <v>234630</v>
          </cell>
        </row>
        <row r="4210">
          <cell r="Z4210" t="str">
            <v>234631</v>
          </cell>
        </row>
        <row r="4211">
          <cell r="Z4211" t="str">
            <v>234632</v>
          </cell>
        </row>
        <row r="4212">
          <cell r="Z4212" t="str">
            <v>234633</v>
          </cell>
        </row>
        <row r="4213">
          <cell r="Z4213" t="str">
            <v>234634</v>
          </cell>
        </row>
        <row r="4214">
          <cell r="Z4214" t="str">
            <v>234639</v>
          </cell>
        </row>
        <row r="4215">
          <cell r="Z4215" t="str">
            <v>235000</v>
          </cell>
        </row>
        <row r="4216">
          <cell r="Z4216" t="str">
            <v>235100</v>
          </cell>
        </row>
        <row r="4217">
          <cell r="Z4217" t="str">
            <v>235110</v>
          </cell>
        </row>
        <row r="4218">
          <cell r="Z4218" t="str">
            <v>235111</v>
          </cell>
        </row>
        <row r="4219">
          <cell r="Z4219" t="str">
            <v>235112</v>
          </cell>
        </row>
        <row r="4220">
          <cell r="Z4220" t="str">
            <v>235113</v>
          </cell>
        </row>
        <row r="4221">
          <cell r="Z4221" t="str">
            <v>235114</v>
          </cell>
        </row>
        <row r="4222">
          <cell r="Z4222" t="str">
            <v>235119</v>
          </cell>
        </row>
        <row r="4223">
          <cell r="Z4223" t="str">
            <v>235120</v>
          </cell>
        </row>
        <row r="4224">
          <cell r="Z4224" t="str">
            <v>235121</v>
          </cell>
        </row>
        <row r="4225">
          <cell r="Z4225" t="str">
            <v>235122</v>
          </cell>
        </row>
        <row r="4226">
          <cell r="Z4226" t="str">
            <v>235123</v>
          </cell>
        </row>
        <row r="4227">
          <cell r="Z4227" t="str">
            <v>235124</v>
          </cell>
        </row>
        <row r="4228">
          <cell r="Z4228" t="str">
            <v>235129</v>
          </cell>
        </row>
        <row r="4229">
          <cell r="Z4229" t="str">
            <v>235130</v>
          </cell>
        </row>
        <row r="4230">
          <cell r="Z4230" t="str">
            <v>235131</v>
          </cell>
        </row>
        <row r="4231">
          <cell r="Z4231" t="str">
            <v>235132</v>
          </cell>
        </row>
        <row r="4232">
          <cell r="Z4232" t="str">
            <v>235133</v>
          </cell>
        </row>
        <row r="4233">
          <cell r="Z4233" t="str">
            <v>235134</v>
          </cell>
        </row>
        <row r="4234">
          <cell r="Z4234" t="str">
            <v>235139</v>
          </cell>
        </row>
        <row r="4235">
          <cell r="Z4235" t="str">
            <v>235140</v>
          </cell>
        </row>
        <row r="4236">
          <cell r="Z4236" t="str">
            <v>235141</v>
          </cell>
        </row>
        <row r="4237">
          <cell r="Z4237" t="str">
            <v>235142</v>
          </cell>
        </row>
        <row r="4238">
          <cell r="Z4238" t="str">
            <v>235143</v>
          </cell>
        </row>
        <row r="4239">
          <cell r="Z4239" t="str">
            <v>235144</v>
          </cell>
        </row>
        <row r="4240">
          <cell r="Z4240" t="str">
            <v>235149</v>
          </cell>
        </row>
        <row r="4241">
          <cell r="Z4241" t="str">
            <v>235150</v>
          </cell>
        </row>
        <row r="4242">
          <cell r="Z4242" t="str">
            <v>235151</v>
          </cell>
        </row>
        <row r="4243">
          <cell r="Z4243" t="str">
            <v>235152</v>
          </cell>
        </row>
        <row r="4244">
          <cell r="Z4244" t="str">
            <v>235153</v>
          </cell>
        </row>
        <row r="4245">
          <cell r="Z4245" t="str">
            <v>235154</v>
          </cell>
        </row>
        <row r="4246">
          <cell r="Z4246" t="str">
            <v>235159</v>
          </cell>
        </row>
        <row r="4247">
          <cell r="Z4247" t="str">
            <v>235160</v>
          </cell>
        </row>
        <row r="4248">
          <cell r="Z4248" t="str">
            <v>235161</v>
          </cell>
        </row>
        <row r="4249">
          <cell r="Z4249" t="str">
            <v>235162</v>
          </cell>
        </row>
        <row r="4250">
          <cell r="Z4250" t="str">
            <v>235163</v>
          </cell>
        </row>
        <row r="4251">
          <cell r="Z4251" t="str">
            <v>235164</v>
          </cell>
        </row>
        <row r="4252">
          <cell r="Z4252" t="str">
            <v>235169</v>
          </cell>
        </row>
        <row r="4253">
          <cell r="Z4253" t="str">
            <v>235170</v>
          </cell>
        </row>
        <row r="4254">
          <cell r="Z4254" t="str">
            <v>235171</v>
          </cell>
        </row>
        <row r="4255">
          <cell r="Z4255" t="str">
            <v>235172</v>
          </cell>
        </row>
        <row r="4256">
          <cell r="Z4256" t="str">
            <v>235173</v>
          </cell>
        </row>
        <row r="4257">
          <cell r="Z4257" t="str">
            <v>235174</v>
          </cell>
        </row>
        <row r="4258">
          <cell r="Z4258" t="str">
            <v>235179</v>
          </cell>
        </row>
        <row r="4259">
          <cell r="Z4259" t="str">
            <v>235200</v>
          </cell>
        </row>
        <row r="4260">
          <cell r="Z4260" t="str">
            <v>235210</v>
          </cell>
        </row>
        <row r="4261">
          <cell r="Z4261" t="str">
            <v>235211</v>
          </cell>
        </row>
        <row r="4262">
          <cell r="Z4262" t="str">
            <v>235212</v>
          </cell>
        </row>
        <row r="4263">
          <cell r="Z4263" t="str">
            <v>235213</v>
          </cell>
        </row>
        <row r="4264">
          <cell r="Z4264" t="str">
            <v>235214</v>
          </cell>
        </row>
        <row r="4265">
          <cell r="Z4265" t="str">
            <v>235219</v>
          </cell>
        </row>
        <row r="4266">
          <cell r="Z4266" t="str">
            <v>235220</v>
          </cell>
        </row>
        <row r="4267">
          <cell r="Z4267" t="str">
            <v>235221</v>
          </cell>
        </row>
        <row r="4268">
          <cell r="Z4268" t="str">
            <v>235222</v>
          </cell>
        </row>
        <row r="4269">
          <cell r="Z4269" t="str">
            <v>235223</v>
          </cell>
        </row>
        <row r="4270">
          <cell r="Z4270" t="str">
            <v>235224</v>
          </cell>
        </row>
        <row r="4271">
          <cell r="Z4271" t="str">
            <v>235229</v>
          </cell>
        </row>
        <row r="4272">
          <cell r="Z4272" t="str">
            <v>235230</v>
          </cell>
        </row>
        <row r="4273">
          <cell r="Z4273" t="str">
            <v>235231</v>
          </cell>
        </row>
        <row r="4274">
          <cell r="Z4274" t="str">
            <v>235232</v>
          </cell>
        </row>
        <row r="4275">
          <cell r="Z4275" t="str">
            <v>235233</v>
          </cell>
        </row>
        <row r="4276">
          <cell r="Z4276" t="str">
            <v>235234</v>
          </cell>
        </row>
        <row r="4277">
          <cell r="Z4277" t="str">
            <v>235239</v>
          </cell>
        </row>
        <row r="4278">
          <cell r="Z4278" t="str">
            <v>235240</v>
          </cell>
        </row>
        <row r="4279">
          <cell r="Z4279" t="str">
            <v>235241</v>
          </cell>
        </row>
        <row r="4280">
          <cell r="Z4280" t="str">
            <v>235242</v>
          </cell>
        </row>
        <row r="4281">
          <cell r="Z4281" t="str">
            <v>235243</v>
          </cell>
        </row>
        <row r="4282">
          <cell r="Z4282" t="str">
            <v>235244</v>
          </cell>
        </row>
        <row r="4283">
          <cell r="Z4283" t="str">
            <v>235249</v>
          </cell>
        </row>
        <row r="4284">
          <cell r="Z4284" t="str">
            <v>235250</v>
          </cell>
        </row>
        <row r="4285">
          <cell r="Z4285" t="str">
            <v>235251</v>
          </cell>
        </row>
        <row r="4286">
          <cell r="Z4286" t="str">
            <v>235252</v>
          </cell>
        </row>
        <row r="4287">
          <cell r="Z4287" t="str">
            <v>235253</v>
          </cell>
        </row>
        <row r="4288">
          <cell r="Z4288" t="str">
            <v>235254</v>
          </cell>
        </row>
        <row r="4289">
          <cell r="Z4289" t="str">
            <v>235259</v>
          </cell>
        </row>
        <row r="4290">
          <cell r="Z4290" t="str">
            <v>235260</v>
          </cell>
        </row>
        <row r="4291">
          <cell r="Z4291" t="str">
            <v>235261</v>
          </cell>
        </row>
        <row r="4292">
          <cell r="Z4292" t="str">
            <v>235262</v>
          </cell>
        </row>
        <row r="4293">
          <cell r="Z4293" t="str">
            <v>235263</v>
          </cell>
        </row>
        <row r="4294">
          <cell r="Z4294" t="str">
            <v>235264</v>
          </cell>
        </row>
        <row r="4295">
          <cell r="Z4295" t="str">
            <v>235269</v>
          </cell>
        </row>
        <row r="4296">
          <cell r="Z4296" t="str">
            <v>235270</v>
          </cell>
        </row>
        <row r="4297">
          <cell r="Z4297" t="str">
            <v>235271</v>
          </cell>
        </row>
        <row r="4298">
          <cell r="Z4298" t="str">
            <v>235272</v>
          </cell>
        </row>
        <row r="4299">
          <cell r="Z4299" t="str">
            <v>235273</v>
          </cell>
        </row>
        <row r="4300">
          <cell r="Z4300" t="str">
            <v>235274</v>
          </cell>
        </row>
        <row r="4301">
          <cell r="Z4301" t="str">
            <v>235279</v>
          </cell>
        </row>
        <row r="4302">
          <cell r="Z4302" t="str">
            <v>235300</v>
          </cell>
        </row>
        <row r="4303">
          <cell r="Z4303" t="str">
            <v>235310</v>
          </cell>
        </row>
        <row r="4304">
          <cell r="Z4304" t="str">
            <v>235311</v>
          </cell>
        </row>
        <row r="4305">
          <cell r="Z4305" t="str">
            <v>235312</v>
          </cell>
        </row>
        <row r="4306">
          <cell r="Z4306" t="str">
            <v>235313</v>
          </cell>
        </row>
        <row r="4307">
          <cell r="Z4307" t="str">
            <v>235314</v>
          </cell>
        </row>
        <row r="4308">
          <cell r="Z4308" t="str">
            <v>235319</v>
          </cell>
        </row>
        <row r="4309">
          <cell r="Z4309" t="str">
            <v>235320</v>
          </cell>
        </row>
        <row r="4310">
          <cell r="Z4310" t="str">
            <v>235321</v>
          </cell>
        </row>
        <row r="4311">
          <cell r="Z4311" t="str">
            <v>235322</v>
          </cell>
        </row>
        <row r="4312">
          <cell r="Z4312" t="str">
            <v>235323</v>
          </cell>
        </row>
        <row r="4313">
          <cell r="Z4313" t="str">
            <v>235324</v>
          </cell>
        </row>
        <row r="4314">
          <cell r="Z4314" t="str">
            <v>235329</v>
          </cell>
        </row>
        <row r="4315">
          <cell r="Z4315" t="str">
            <v>235330</v>
          </cell>
        </row>
        <row r="4316">
          <cell r="Z4316" t="str">
            <v>235331</v>
          </cell>
        </row>
        <row r="4317">
          <cell r="Z4317" t="str">
            <v>235332</v>
          </cell>
        </row>
        <row r="4318">
          <cell r="Z4318" t="str">
            <v>235333</v>
          </cell>
        </row>
        <row r="4319">
          <cell r="Z4319" t="str">
            <v>235334</v>
          </cell>
        </row>
        <row r="4320">
          <cell r="Z4320" t="str">
            <v>235339</v>
          </cell>
        </row>
        <row r="4321">
          <cell r="Z4321" t="str">
            <v>235340</v>
          </cell>
        </row>
        <row r="4322">
          <cell r="Z4322" t="str">
            <v>235341</v>
          </cell>
        </row>
        <row r="4323">
          <cell r="Z4323" t="str">
            <v>235342</v>
          </cell>
        </row>
        <row r="4324">
          <cell r="Z4324" t="str">
            <v>235343</v>
          </cell>
        </row>
        <row r="4325">
          <cell r="Z4325" t="str">
            <v>235344</v>
          </cell>
        </row>
        <row r="4326">
          <cell r="Z4326" t="str">
            <v>235349</v>
          </cell>
        </row>
        <row r="4327">
          <cell r="Z4327" t="str">
            <v>235350</v>
          </cell>
        </row>
        <row r="4328">
          <cell r="Z4328" t="str">
            <v>235351</v>
          </cell>
        </row>
        <row r="4329">
          <cell r="Z4329" t="str">
            <v>235352</v>
          </cell>
        </row>
        <row r="4330">
          <cell r="Z4330" t="str">
            <v>235353</v>
          </cell>
        </row>
        <row r="4331">
          <cell r="Z4331" t="str">
            <v>235354</v>
          </cell>
        </row>
        <row r="4332">
          <cell r="Z4332" t="str">
            <v>235359</v>
          </cell>
        </row>
        <row r="4333">
          <cell r="Z4333" t="str">
            <v>235360</v>
          </cell>
        </row>
        <row r="4334">
          <cell r="Z4334" t="str">
            <v>235361</v>
          </cell>
        </row>
        <row r="4335">
          <cell r="Z4335" t="str">
            <v>235362</v>
          </cell>
        </row>
        <row r="4336">
          <cell r="Z4336" t="str">
            <v>235363</v>
          </cell>
        </row>
        <row r="4337">
          <cell r="Z4337" t="str">
            <v>235364</v>
          </cell>
        </row>
        <row r="4338">
          <cell r="Z4338" t="str">
            <v>235369</v>
          </cell>
        </row>
        <row r="4339">
          <cell r="Z4339" t="str">
            <v>235370</v>
          </cell>
        </row>
        <row r="4340">
          <cell r="Z4340" t="str">
            <v>235371</v>
          </cell>
        </row>
        <row r="4341">
          <cell r="Z4341" t="str">
            <v>235372</v>
          </cell>
        </row>
        <row r="4342">
          <cell r="Z4342" t="str">
            <v>235373</v>
          </cell>
        </row>
        <row r="4343">
          <cell r="Z4343" t="str">
            <v>235374</v>
          </cell>
        </row>
        <row r="4344">
          <cell r="Z4344" t="str">
            <v>235379</v>
          </cell>
        </row>
        <row r="4345">
          <cell r="Z4345" t="str">
            <v>235400</v>
          </cell>
        </row>
        <row r="4346">
          <cell r="Z4346" t="str">
            <v>235410</v>
          </cell>
        </row>
        <row r="4347">
          <cell r="Z4347" t="str">
            <v>235411</v>
          </cell>
        </row>
        <row r="4348">
          <cell r="Z4348" t="str">
            <v>235412</v>
          </cell>
        </row>
        <row r="4349">
          <cell r="Z4349" t="str">
            <v>235413</v>
          </cell>
        </row>
        <row r="4350">
          <cell r="Z4350" t="str">
            <v>235414</v>
          </cell>
        </row>
        <row r="4351">
          <cell r="Z4351" t="str">
            <v>235419</v>
          </cell>
        </row>
        <row r="4352">
          <cell r="Z4352" t="str">
            <v>235420</v>
          </cell>
        </row>
        <row r="4353">
          <cell r="Z4353" t="str">
            <v>235421</v>
          </cell>
        </row>
        <row r="4354">
          <cell r="Z4354" t="str">
            <v>235422</v>
          </cell>
        </row>
        <row r="4355">
          <cell r="Z4355" t="str">
            <v>235423</v>
          </cell>
        </row>
        <row r="4356">
          <cell r="Z4356" t="str">
            <v>235424</v>
          </cell>
        </row>
        <row r="4357">
          <cell r="Z4357" t="str">
            <v>235429</v>
          </cell>
        </row>
        <row r="4358">
          <cell r="Z4358" t="str">
            <v>235430</v>
          </cell>
        </row>
        <row r="4359">
          <cell r="Z4359" t="str">
            <v>235431</v>
          </cell>
        </row>
        <row r="4360">
          <cell r="Z4360" t="str">
            <v>235432</v>
          </cell>
        </row>
        <row r="4361">
          <cell r="Z4361" t="str">
            <v>235433</v>
          </cell>
        </row>
        <row r="4362">
          <cell r="Z4362" t="str">
            <v>235434</v>
          </cell>
        </row>
        <row r="4363">
          <cell r="Z4363" t="str">
            <v>235439</v>
          </cell>
        </row>
        <row r="4364">
          <cell r="Z4364" t="str">
            <v>235440</v>
          </cell>
        </row>
        <row r="4365">
          <cell r="Z4365" t="str">
            <v>235441</v>
          </cell>
        </row>
        <row r="4366">
          <cell r="Z4366" t="str">
            <v>235442</v>
          </cell>
        </row>
        <row r="4367">
          <cell r="Z4367" t="str">
            <v>235443</v>
          </cell>
        </row>
        <row r="4368">
          <cell r="Z4368" t="str">
            <v>235444</v>
          </cell>
        </row>
        <row r="4369">
          <cell r="Z4369" t="str">
            <v>235445</v>
          </cell>
        </row>
        <row r="4370">
          <cell r="Z4370" t="str">
            <v>235450</v>
          </cell>
        </row>
        <row r="4371">
          <cell r="Z4371" t="str">
            <v>235451</v>
          </cell>
        </row>
        <row r="4372">
          <cell r="Z4372" t="str">
            <v>235452</v>
          </cell>
        </row>
        <row r="4373">
          <cell r="Z4373" t="str">
            <v>235453</v>
          </cell>
        </row>
        <row r="4374">
          <cell r="Z4374" t="str">
            <v>235454</v>
          </cell>
        </row>
        <row r="4375">
          <cell r="Z4375" t="str">
            <v>235459</v>
          </cell>
        </row>
        <row r="4376">
          <cell r="Z4376" t="str">
            <v>235460</v>
          </cell>
        </row>
        <row r="4377">
          <cell r="Z4377" t="str">
            <v>235461</v>
          </cell>
        </row>
        <row r="4378">
          <cell r="Z4378" t="str">
            <v>235462</v>
          </cell>
        </row>
        <row r="4379">
          <cell r="Z4379" t="str">
            <v>235463</v>
          </cell>
        </row>
        <row r="4380">
          <cell r="Z4380" t="str">
            <v>235464</v>
          </cell>
        </row>
        <row r="4381">
          <cell r="Z4381" t="str">
            <v>235469</v>
          </cell>
        </row>
        <row r="4382">
          <cell r="Z4382" t="str">
            <v>235470</v>
          </cell>
        </row>
        <row r="4383">
          <cell r="Z4383" t="str">
            <v>235471</v>
          </cell>
        </row>
        <row r="4384">
          <cell r="Z4384" t="str">
            <v>235472</v>
          </cell>
        </row>
        <row r="4385">
          <cell r="Z4385" t="str">
            <v>235473</v>
          </cell>
        </row>
        <row r="4386">
          <cell r="Z4386" t="str">
            <v>235474</v>
          </cell>
        </row>
        <row r="4387">
          <cell r="Z4387" t="str">
            <v>235479</v>
          </cell>
        </row>
        <row r="4388">
          <cell r="Z4388" t="str">
            <v>235500</v>
          </cell>
        </row>
        <row r="4389">
          <cell r="Z4389" t="str">
            <v>235510</v>
          </cell>
        </row>
        <row r="4390">
          <cell r="Z4390" t="str">
            <v>235511</v>
          </cell>
        </row>
        <row r="4391">
          <cell r="Z4391" t="str">
            <v>235512</v>
          </cell>
        </row>
        <row r="4392">
          <cell r="Z4392" t="str">
            <v>235513</v>
          </cell>
        </row>
        <row r="4393">
          <cell r="Z4393" t="str">
            <v>235514</v>
          </cell>
        </row>
        <row r="4394">
          <cell r="Z4394" t="str">
            <v>235519</v>
          </cell>
        </row>
        <row r="4395">
          <cell r="Z4395" t="str">
            <v>235520</v>
          </cell>
        </row>
        <row r="4396">
          <cell r="Z4396" t="str">
            <v>235521</v>
          </cell>
        </row>
        <row r="4397">
          <cell r="Z4397" t="str">
            <v>235522</v>
          </cell>
        </row>
        <row r="4398">
          <cell r="Z4398" t="str">
            <v>235523</v>
          </cell>
        </row>
        <row r="4399">
          <cell r="Z4399" t="str">
            <v>235524</v>
          </cell>
        </row>
        <row r="4400">
          <cell r="Z4400" t="str">
            <v>235529</v>
          </cell>
        </row>
        <row r="4401">
          <cell r="Z4401" t="str">
            <v>235530</v>
          </cell>
        </row>
        <row r="4402">
          <cell r="Z4402" t="str">
            <v>235531</v>
          </cell>
        </row>
        <row r="4403">
          <cell r="Z4403" t="str">
            <v>235532</v>
          </cell>
        </row>
        <row r="4404">
          <cell r="Z4404" t="str">
            <v>235533</v>
          </cell>
        </row>
        <row r="4405">
          <cell r="Z4405" t="str">
            <v>235534</v>
          </cell>
        </row>
        <row r="4406">
          <cell r="Z4406" t="str">
            <v>235539</v>
          </cell>
        </row>
        <row r="4407">
          <cell r="Z4407" t="str">
            <v>235600</v>
          </cell>
        </row>
        <row r="4408">
          <cell r="Z4408" t="str">
            <v>235610</v>
          </cell>
        </row>
        <row r="4409">
          <cell r="Z4409" t="str">
            <v>235611</v>
          </cell>
        </row>
        <row r="4410">
          <cell r="Z4410" t="str">
            <v>235612</v>
          </cell>
        </row>
        <row r="4411">
          <cell r="Z4411" t="str">
            <v>235613</v>
          </cell>
        </row>
        <row r="4412">
          <cell r="Z4412" t="str">
            <v>235614</v>
          </cell>
        </row>
        <row r="4413">
          <cell r="Z4413" t="str">
            <v>235619</v>
          </cell>
        </row>
        <row r="4414">
          <cell r="Z4414" t="str">
            <v>235620</v>
          </cell>
        </row>
        <row r="4415">
          <cell r="Z4415" t="str">
            <v>235621</v>
          </cell>
        </row>
        <row r="4416">
          <cell r="Z4416" t="str">
            <v>235622</v>
          </cell>
        </row>
        <row r="4417">
          <cell r="Z4417" t="str">
            <v>235623</v>
          </cell>
        </row>
        <row r="4418">
          <cell r="Z4418" t="str">
            <v>235624</v>
          </cell>
        </row>
        <row r="4419">
          <cell r="Z4419" t="str">
            <v>235629</v>
          </cell>
        </row>
        <row r="4420">
          <cell r="Z4420" t="str">
            <v>235630</v>
          </cell>
        </row>
        <row r="4421">
          <cell r="Z4421" t="str">
            <v>235631</v>
          </cell>
        </row>
        <row r="4422">
          <cell r="Z4422" t="str">
            <v>235632</v>
          </cell>
        </row>
        <row r="4423">
          <cell r="Z4423" t="str">
            <v>235633</v>
          </cell>
        </row>
        <row r="4424">
          <cell r="Z4424" t="str">
            <v>235634</v>
          </cell>
        </row>
        <row r="4425">
          <cell r="Z4425" t="str">
            <v>235639</v>
          </cell>
        </row>
        <row r="4426">
          <cell r="Z4426" t="str">
            <v>236000</v>
          </cell>
        </row>
        <row r="4427">
          <cell r="Z4427" t="str">
            <v>236100</v>
          </cell>
        </row>
        <row r="4428">
          <cell r="Z4428" t="str">
            <v>236101</v>
          </cell>
        </row>
        <row r="4429">
          <cell r="Z4429" t="str">
            <v>236102</v>
          </cell>
        </row>
        <row r="4430">
          <cell r="Z4430" t="str">
            <v>236103</v>
          </cell>
        </row>
        <row r="4431">
          <cell r="Z4431" t="str">
            <v>236104</v>
          </cell>
        </row>
        <row r="4432">
          <cell r="Z4432" t="str">
            <v>236109</v>
          </cell>
        </row>
        <row r="4433">
          <cell r="Z4433" t="str">
            <v>236200</v>
          </cell>
        </row>
        <row r="4434">
          <cell r="Z4434" t="str">
            <v>236201</v>
          </cell>
        </row>
        <row r="4435">
          <cell r="Z4435" t="str">
            <v>236202</v>
          </cell>
        </row>
        <row r="4436">
          <cell r="Z4436" t="str">
            <v>236203</v>
          </cell>
        </row>
        <row r="4437">
          <cell r="Z4437" t="str">
            <v>236204</v>
          </cell>
        </row>
        <row r="4438">
          <cell r="Z4438" t="str">
            <v>236209</v>
          </cell>
        </row>
        <row r="4439">
          <cell r="Z4439" t="str">
            <v>237000</v>
          </cell>
        </row>
        <row r="4440">
          <cell r="Z4440" t="str">
            <v>237100</v>
          </cell>
        </row>
        <row r="4441">
          <cell r="Z4441" t="str">
            <v>237101</v>
          </cell>
        </row>
        <row r="4442">
          <cell r="Z4442" t="str">
            <v>237102</v>
          </cell>
        </row>
        <row r="4443">
          <cell r="Z4443" t="str">
            <v>237103</v>
          </cell>
        </row>
        <row r="4444">
          <cell r="Z4444" t="str">
            <v>237104</v>
          </cell>
        </row>
        <row r="4445">
          <cell r="Z4445" t="str">
            <v>237109</v>
          </cell>
        </row>
        <row r="4446">
          <cell r="Z4446" t="str">
            <v>237200</v>
          </cell>
        </row>
        <row r="4447">
          <cell r="Z4447" t="str">
            <v>237201</v>
          </cell>
        </row>
        <row r="4448">
          <cell r="Z4448" t="str">
            <v>237202</v>
          </cell>
        </row>
        <row r="4449">
          <cell r="Z4449" t="str">
            <v>237203</v>
          </cell>
        </row>
        <row r="4450">
          <cell r="Z4450" t="str">
            <v>237204</v>
          </cell>
        </row>
        <row r="4451">
          <cell r="Z4451" t="str">
            <v>237209</v>
          </cell>
        </row>
        <row r="4452">
          <cell r="Z4452" t="str">
            <v>237300</v>
          </cell>
        </row>
        <row r="4453">
          <cell r="Z4453" t="str">
            <v>237301</v>
          </cell>
        </row>
        <row r="4454">
          <cell r="Z4454" t="str">
            <v>237302</v>
          </cell>
        </row>
        <row r="4455">
          <cell r="Z4455" t="str">
            <v>237303</v>
          </cell>
        </row>
        <row r="4456">
          <cell r="Z4456" t="str">
            <v>237304</v>
          </cell>
        </row>
        <row r="4457">
          <cell r="Z4457" t="str">
            <v>237309</v>
          </cell>
        </row>
        <row r="4458">
          <cell r="Z4458" t="str">
            <v>237400</v>
          </cell>
        </row>
        <row r="4459">
          <cell r="Z4459" t="str">
            <v>237401</v>
          </cell>
        </row>
        <row r="4460">
          <cell r="Z4460" t="str">
            <v>237402</v>
          </cell>
        </row>
        <row r="4461">
          <cell r="Z4461" t="str">
            <v>237403</v>
          </cell>
        </row>
        <row r="4462">
          <cell r="Z4462" t="str">
            <v>237404</v>
          </cell>
        </row>
        <row r="4463">
          <cell r="Z4463" t="str">
            <v>237409</v>
          </cell>
        </row>
        <row r="4464">
          <cell r="Z4464" t="str">
            <v>237500</v>
          </cell>
        </row>
        <row r="4465">
          <cell r="Z4465" t="str">
            <v>237501</v>
          </cell>
        </row>
        <row r="4466">
          <cell r="Z4466" t="str">
            <v>237502</v>
          </cell>
        </row>
        <row r="4467">
          <cell r="Z4467" t="str">
            <v>237503</v>
          </cell>
        </row>
        <row r="4468">
          <cell r="Z4468" t="str">
            <v>237504</v>
          </cell>
        </row>
        <row r="4469">
          <cell r="Z4469" t="str">
            <v>237509</v>
          </cell>
        </row>
        <row r="4470">
          <cell r="Z4470" t="str">
            <v>237600</v>
          </cell>
        </row>
        <row r="4471">
          <cell r="Z4471" t="str">
            <v>237601</v>
          </cell>
        </row>
        <row r="4472">
          <cell r="Z4472" t="str">
            <v>237602</v>
          </cell>
        </row>
        <row r="4473">
          <cell r="Z4473" t="str">
            <v>237603</v>
          </cell>
        </row>
        <row r="4474">
          <cell r="Z4474" t="str">
            <v>237604</v>
          </cell>
        </row>
        <row r="4475">
          <cell r="Z4475" t="str">
            <v>237609</v>
          </cell>
        </row>
        <row r="4476">
          <cell r="Z4476" t="str">
            <v>237700</v>
          </cell>
        </row>
        <row r="4477">
          <cell r="Z4477" t="str">
            <v>237701</v>
          </cell>
        </row>
        <row r="4478">
          <cell r="Z4478" t="str">
            <v>237702</v>
          </cell>
        </row>
        <row r="4479">
          <cell r="Z4479" t="str">
            <v>237703</v>
          </cell>
        </row>
        <row r="4480">
          <cell r="Z4480" t="str">
            <v>237704</v>
          </cell>
        </row>
        <row r="4481">
          <cell r="Z4481" t="str">
            <v>237709</v>
          </cell>
        </row>
        <row r="4482">
          <cell r="Z4482" t="str">
            <v>237800</v>
          </cell>
        </row>
        <row r="4483">
          <cell r="Z4483" t="str">
            <v>237801</v>
          </cell>
        </row>
        <row r="4484">
          <cell r="Z4484" t="str">
            <v>237802</v>
          </cell>
        </row>
        <row r="4485">
          <cell r="Z4485" t="str">
            <v>237803</v>
          </cell>
        </row>
        <row r="4486">
          <cell r="Z4486" t="str">
            <v>237804</v>
          </cell>
        </row>
        <row r="4487">
          <cell r="Z4487" t="str">
            <v>237809</v>
          </cell>
        </row>
        <row r="4488">
          <cell r="Z4488" t="str">
            <v>240000</v>
          </cell>
        </row>
        <row r="4489">
          <cell r="Z4489" t="str">
            <v>241000</v>
          </cell>
        </row>
        <row r="4490">
          <cell r="Z4490" t="str">
            <v>241100</v>
          </cell>
        </row>
        <row r="4491">
          <cell r="Z4491" t="str">
            <v>241110</v>
          </cell>
        </row>
        <row r="4492">
          <cell r="Z4492" t="str">
            <v>241111</v>
          </cell>
        </row>
        <row r="4493">
          <cell r="Z4493" t="str">
            <v>241112</v>
          </cell>
        </row>
        <row r="4494">
          <cell r="Z4494" t="str">
            <v>241113</v>
          </cell>
        </row>
        <row r="4495">
          <cell r="Z4495" t="str">
            <v>241114</v>
          </cell>
        </row>
        <row r="4496">
          <cell r="Z4496" t="str">
            <v>241119</v>
          </cell>
        </row>
        <row r="4497">
          <cell r="Z4497" t="str">
            <v>241120</v>
          </cell>
        </row>
        <row r="4498">
          <cell r="Z4498" t="str">
            <v>241121</v>
          </cell>
        </row>
        <row r="4499">
          <cell r="Z4499" t="str">
            <v>241122</v>
          </cell>
        </row>
        <row r="4500">
          <cell r="Z4500" t="str">
            <v>241123</v>
          </cell>
        </row>
        <row r="4501">
          <cell r="Z4501" t="str">
            <v>241124</v>
          </cell>
        </row>
        <row r="4502">
          <cell r="Z4502" t="str">
            <v>241129</v>
          </cell>
        </row>
        <row r="4503">
          <cell r="Z4503" t="str">
            <v>241130</v>
          </cell>
        </row>
        <row r="4504">
          <cell r="Z4504" t="str">
            <v>241131</v>
          </cell>
        </row>
        <row r="4505">
          <cell r="Z4505" t="str">
            <v>241132</v>
          </cell>
        </row>
        <row r="4506">
          <cell r="Z4506" t="str">
            <v>241133</v>
          </cell>
        </row>
        <row r="4507">
          <cell r="Z4507" t="str">
            <v>241134</v>
          </cell>
        </row>
        <row r="4508">
          <cell r="Z4508" t="str">
            <v>241139</v>
          </cell>
        </row>
        <row r="4509">
          <cell r="Z4509" t="str">
            <v>241140</v>
          </cell>
        </row>
        <row r="4510">
          <cell r="Z4510" t="str">
            <v>241141</v>
          </cell>
        </row>
        <row r="4511">
          <cell r="Z4511" t="str">
            <v>241142</v>
          </cell>
        </row>
        <row r="4512">
          <cell r="Z4512" t="str">
            <v>241143</v>
          </cell>
        </row>
        <row r="4513">
          <cell r="Z4513" t="str">
            <v>241144</v>
          </cell>
        </row>
        <row r="4514">
          <cell r="Z4514" t="str">
            <v>241149</v>
          </cell>
        </row>
        <row r="4515">
          <cell r="Z4515" t="str">
            <v>241150</v>
          </cell>
        </row>
        <row r="4516">
          <cell r="Z4516" t="str">
            <v>241151</v>
          </cell>
        </row>
        <row r="4517">
          <cell r="Z4517" t="str">
            <v>241152</v>
          </cell>
        </row>
        <row r="4518">
          <cell r="Z4518" t="str">
            <v>241153</v>
          </cell>
        </row>
        <row r="4519">
          <cell r="Z4519" t="str">
            <v>241154</v>
          </cell>
        </row>
        <row r="4520">
          <cell r="Z4520" t="str">
            <v>241159</v>
          </cell>
        </row>
        <row r="4521">
          <cell r="Z4521" t="str">
            <v>241160</v>
          </cell>
        </row>
        <row r="4522">
          <cell r="Z4522" t="str">
            <v>241161</v>
          </cell>
        </row>
        <row r="4523">
          <cell r="Z4523" t="str">
            <v>241162</v>
          </cell>
        </row>
        <row r="4524">
          <cell r="Z4524" t="str">
            <v>241163</v>
          </cell>
        </row>
        <row r="4525">
          <cell r="Z4525" t="str">
            <v>241164</v>
          </cell>
        </row>
        <row r="4526">
          <cell r="Z4526" t="str">
            <v>241169</v>
          </cell>
        </row>
        <row r="4527">
          <cell r="Z4527" t="str">
            <v>241170</v>
          </cell>
        </row>
        <row r="4528">
          <cell r="Z4528" t="str">
            <v>241171</v>
          </cell>
        </row>
        <row r="4529">
          <cell r="Z4529" t="str">
            <v>241172</v>
          </cell>
        </row>
        <row r="4530">
          <cell r="Z4530" t="str">
            <v>241173</v>
          </cell>
        </row>
        <row r="4531">
          <cell r="Z4531" t="str">
            <v>241174</v>
          </cell>
        </row>
        <row r="4532">
          <cell r="Z4532" t="str">
            <v>241179</v>
          </cell>
        </row>
        <row r="4533">
          <cell r="Z4533" t="str">
            <v>241200</v>
          </cell>
        </row>
        <row r="4534">
          <cell r="Z4534" t="str">
            <v>241210</v>
          </cell>
        </row>
        <row r="4535">
          <cell r="Z4535" t="str">
            <v>241211</v>
          </cell>
        </row>
        <row r="4536">
          <cell r="Z4536" t="str">
            <v>241212</v>
          </cell>
        </row>
        <row r="4537">
          <cell r="Z4537" t="str">
            <v>241213</v>
          </cell>
        </row>
        <row r="4538">
          <cell r="Z4538" t="str">
            <v>241214</v>
          </cell>
        </row>
        <row r="4539">
          <cell r="Z4539" t="str">
            <v>241219</v>
          </cell>
        </row>
        <row r="4540">
          <cell r="Z4540" t="str">
            <v>241220</v>
          </cell>
        </row>
        <row r="4541">
          <cell r="Z4541" t="str">
            <v>241221</v>
          </cell>
        </row>
        <row r="4542">
          <cell r="Z4542" t="str">
            <v>241222</v>
          </cell>
        </row>
        <row r="4543">
          <cell r="Z4543" t="str">
            <v>241223</v>
          </cell>
        </row>
        <row r="4544">
          <cell r="Z4544" t="str">
            <v>241224</v>
          </cell>
        </row>
        <row r="4545">
          <cell r="Z4545" t="str">
            <v>241229</v>
          </cell>
        </row>
        <row r="4546">
          <cell r="Z4546" t="str">
            <v>241230</v>
          </cell>
        </row>
        <row r="4547">
          <cell r="Z4547" t="str">
            <v>241231</v>
          </cell>
        </row>
        <row r="4548">
          <cell r="Z4548" t="str">
            <v>241232</v>
          </cell>
        </row>
        <row r="4549">
          <cell r="Z4549" t="str">
            <v>241233</v>
          </cell>
        </row>
        <row r="4550">
          <cell r="Z4550" t="str">
            <v>241234</v>
          </cell>
        </row>
        <row r="4551">
          <cell r="Z4551" t="str">
            <v>241239</v>
          </cell>
        </row>
        <row r="4552">
          <cell r="Z4552" t="str">
            <v>241240</v>
          </cell>
        </row>
        <row r="4553">
          <cell r="Z4553" t="str">
            <v>241241</v>
          </cell>
        </row>
        <row r="4554">
          <cell r="Z4554" t="str">
            <v>241242</v>
          </cell>
        </row>
        <row r="4555">
          <cell r="Z4555" t="str">
            <v>241243</v>
          </cell>
        </row>
        <row r="4556">
          <cell r="Z4556" t="str">
            <v>241244</v>
          </cell>
        </row>
        <row r="4557">
          <cell r="Z4557" t="str">
            <v>241249</v>
          </cell>
        </row>
        <row r="4558">
          <cell r="Z4558" t="str">
            <v>241300</v>
          </cell>
        </row>
        <row r="4559">
          <cell r="Z4559" t="str">
            <v>241310</v>
          </cell>
        </row>
        <row r="4560">
          <cell r="Z4560" t="str">
            <v>241311</v>
          </cell>
        </row>
        <row r="4561">
          <cell r="Z4561" t="str">
            <v>241312</v>
          </cell>
        </row>
        <row r="4562">
          <cell r="Z4562" t="str">
            <v>241313</v>
          </cell>
        </row>
        <row r="4563">
          <cell r="Z4563" t="str">
            <v>241314</v>
          </cell>
        </row>
        <row r="4564">
          <cell r="Z4564" t="str">
            <v>241319</v>
          </cell>
        </row>
        <row r="4565">
          <cell r="Z4565" t="str">
            <v>241320</v>
          </cell>
        </row>
        <row r="4566">
          <cell r="Z4566" t="str">
            <v>241321</v>
          </cell>
        </row>
        <row r="4567">
          <cell r="Z4567" t="str">
            <v>241322</v>
          </cell>
        </row>
        <row r="4568">
          <cell r="Z4568" t="str">
            <v>241323</v>
          </cell>
        </row>
        <row r="4569">
          <cell r="Z4569" t="str">
            <v>241324</v>
          </cell>
        </row>
        <row r="4570">
          <cell r="Z4570" t="str">
            <v>241329</v>
          </cell>
        </row>
        <row r="4571">
          <cell r="Z4571" t="str">
            <v>241330</v>
          </cell>
        </row>
        <row r="4572">
          <cell r="Z4572" t="str">
            <v>241331</v>
          </cell>
        </row>
        <row r="4573">
          <cell r="Z4573" t="str">
            <v>241332</v>
          </cell>
        </row>
        <row r="4574">
          <cell r="Z4574" t="str">
            <v>241333</v>
          </cell>
        </row>
        <row r="4575">
          <cell r="Z4575" t="str">
            <v>241334</v>
          </cell>
        </row>
        <row r="4576">
          <cell r="Z4576" t="str">
            <v>241339</v>
          </cell>
        </row>
        <row r="4577">
          <cell r="Z4577" t="str">
            <v>241340</v>
          </cell>
        </row>
        <row r="4578">
          <cell r="Z4578" t="str">
            <v>241341</v>
          </cell>
        </row>
        <row r="4579">
          <cell r="Z4579" t="str">
            <v>241342</v>
          </cell>
        </row>
        <row r="4580">
          <cell r="Z4580" t="str">
            <v>241343</v>
          </cell>
        </row>
        <row r="4581">
          <cell r="Z4581" t="str">
            <v>241344</v>
          </cell>
        </row>
        <row r="4582">
          <cell r="Z4582" t="str">
            <v>241349</v>
          </cell>
        </row>
        <row r="4583">
          <cell r="Z4583" t="str">
            <v>241400</v>
          </cell>
        </row>
        <row r="4584">
          <cell r="Z4584" t="str">
            <v>241410</v>
          </cell>
        </row>
        <row r="4585">
          <cell r="Z4585" t="str">
            <v>241411</v>
          </cell>
        </row>
        <row r="4586">
          <cell r="Z4586" t="str">
            <v>241412</v>
          </cell>
        </row>
        <row r="4587">
          <cell r="Z4587" t="str">
            <v>241413</v>
          </cell>
        </row>
        <row r="4588">
          <cell r="Z4588" t="str">
            <v>241414</v>
          </cell>
        </row>
        <row r="4589">
          <cell r="Z4589" t="str">
            <v>241419</v>
          </cell>
        </row>
        <row r="4590">
          <cell r="Z4590" t="str">
            <v>241420</v>
          </cell>
        </row>
        <row r="4591">
          <cell r="Z4591" t="str">
            <v>241421</v>
          </cell>
        </row>
        <row r="4592">
          <cell r="Z4592" t="str">
            <v>241422</v>
          </cell>
        </row>
        <row r="4593">
          <cell r="Z4593" t="str">
            <v>241423</v>
          </cell>
        </row>
        <row r="4594">
          <cell r="Z4594" t="str">
            <v>241424</v>
          </cell>
        </row>
        <row r="4595">
          <cell r="Z4595" t="str">
            <v>241429</v>
          </cell>
        </row>
        <row r="4596">
          <cell r="Z4596" t="str">
            <v>241430</v>
          </cell>
        </row>
        <row r="4597">
          <cell r="Z4597" t="str">
            <v>241431</v>
          </cell>
        </row>
        <row r="4598">
          <cell r="Z4598" t="str">
            <v>241432</v>
          </cell>
        </row>
        <row r="4599">
          <cell r="Z4599" t="str">
            <v>241433</v>
          </cell>
        </row>
        <row r="4600">
          <cell r="Z4600" t="str">
            <v>241434</v>
          </cell>
        </row>
        <row r="4601">
          <cell r="Z4601" t="str">
            <v>241439</v>
          </cell>
        </row>
        <row r="4602">
          <cell r="Z4602" t="str">
            <v>241440</v>
          </cell>
        </row>
        <row r="4603">
          <cell r="Z4603" t="str">
            <v>241441</v>
          </cell>
        </row>
        <row r="4604">
          <cell r="Z4604" t="str">
            <v>241442</v>
          </cell>
        </row>
        <row r="4605">
          <cell r="Z4605" t="str">
            <v>241443</v>
          </cell>
        </row>
        <row r="4606">
          <cell r="Z4606" t="str">
            <v>241444</v>
          </cell>
        </row>
        <row r="4607">
          <cell r="Z4607" t="str">
            <v>241449</v>
          </cell>
        </row>
        <row r="4608">
          <cell r="Z4608" t="str">
            <v>241500</v>
          </cell>
        </row>
        <row r="4609">
          <cell r="Z4609" t="str">
            <v>241510</v>
          </cell>
        </row>
        <row r="4610">
          <cell r="Z4610" t="str">
            <v>241511</v>
          </cell>
        </row>
        <row r="4611">
          <cell r="Z4611" t="str">
            <v>241512</v>
          </cell>
        </row>
        <row r="4612">
          <cell r="Z4612" t="str">
            <v>241513</v>
          </cell>
        </row>
        <row r="4613">
          <cell r="Z4613" t="str">
            <v>241514</v>
          </cell>
        </row>
        <row r="4614">
          <cell r="Z4614" t="str">
            <v>241519</v>
          </cell>
        </row>
        <row r="4615">
          <cell r="Z4615" t="str">
            <v>241520</v>
          </cell>
        </row>
        <row r="4616">
          <cell r="Z4616" t="str">
            <v>241521</v>
          </cell>
        </row>
        <row r="4617">
          <cell r="Z4617" t="str">
            <v>241522</v>
          </cell>
        </row>
        <row r="4618">
          <cell r="Z4618" t="str">
            <v>241523</v>
          </cell>
        </row>
        <row r="4619">
          <cell r="Z4619" t="str">
            <v>241524</v>
          </cell>
        </row>
        <row r="4620">
          <cell r="Z4620" t="str">
            <v>241529</v>
          </cell>
        </row>
        <row r="4621">
          <cell r="Z4621" t="str">
            <v>241530</v>
          </cell>
        </row>
        <row r="4622">
          <cell r="Z4622" t="str">
            <v>241531</v>
          </cell>
        </row>
        <row r="4623">
          <cell r="Z4623" t="str">
            <v>241532</v>
          </cell>
        </row>
        <row r="4624">
          <cell r="Z4624" t="str">
            <v>241533</v>
          </cell>
        </row>
        <row r="4625">
          <cell r="Z4625" t="str">
            <v>241534</v>
          </cell>
        </row>
        <row r="4626">
          <cell r="Z4626" t="str">
            <v>241539</v>
          </cell>
        </row>
        <row r="4627">
          <cell r="Z4627" t="str">
            <v>242000</v>
          </cell>
        </row>
        <row r="4628">
          <cell r="Z4628" t="str">
            <v>242100</v>
          </cell>
        </row>
        <row r="4629">
          <cell r="Z4629" t="str">
            <v>242110</v>
          </cell>
        </row>
        <row r="4630">
          <cell r="Z4630" t="str">
            <v>242111</v>
          </cell>
        </row>
        <row r="4631">
          <cell r="Z4631" t="str">
            <v>242112</v>
          </cell>
        </row>
        <row r="4632">
          <cell r="Z4632" t="str">
            <v>242113</v>
          </cell>
        </row>
        <row r="4633">
          <cell r="Z4633" t="str">
            <v>242114</v>
          </cell>
        </row>
        <row r="4634">
          <cell r="Z4634" t="str">
            <v>242119</v>
          </cell>
        </row>
        <row r="4635">
          <cell r="Z4635" t="str">
            <v>242120</v>
          </cell>
        </row>
        <row r="4636">
          <cell r="Z4636" t="str">
            <v>242121</v>
          </cell>
        </row>
        <row r="4637">
          <cell r="Z4637" t="str">
            <v>242122</v>
          </cell>
        </row>
        <row r="4638">
          <cell r="Z4638" t="str">
            <v>242123</v>
          </cell>
        </row>
        <row r="4639">
          <cell r="Z4639" t="str">
            <v>242124</v>
          </cell>
        </row>
        <row r="4640">
          <cell r="Z4640" t="str">
            <v>242129</v>
          </cell>
        </row>
        <row r="4641">
          <cell r="Z4641" t="str">
            <v>242130</v>
          </cell>
        </row>
        <row r="4642">
          <cell r="Z4642" t="str">
            <v>242131</v>
          </cell>
        </row>
        <row r="4643">
          <cell r="Z4643" t="str">
            <v>242132</v>
          </cell>
        </row>
        <row r="4644">
          <cell r="Z4644" t="str">
            <v>242133</v>
          </cell>
        </row>
        <row r="4645">
          <cell r="Z4645" t="str">
            <v>242134</v>
          </cell>
        </row>
        <row r="4646">
          <cell r="Z4646" t="str">
            <v>242139</v>
          </cell>
        </row>
        <row r="4647">
          <cell r="Z4647" t="str">
            <v>242140</v>
          </cell>
        </row>
        <row r="4648">
          <cell r="Z4648" t="str">
            <v>242141</v>
          </cell>
        </row>
        <row r="4649">
          <cell r="Z4649" t="str">
            <v>242142</v>
          </cell>
        </row>
        <row r="4650">
          <cell r="Z4650" t="str">
            <v>242143</v>
          </cell>
        </row>
        <row r="4651">
          <cell r="Z4651" t="str">
            <v>242144</v>
          </cell>
        </row>
        <row r="4652">
          <cell r="Z4652" t="str">
            <v>242149</v>
          </cell>
        </row>
        <row r="4653">
          <cell r="Z4653" t="str">
            <v>242150</v>
          </cell>
        </row>
        <row r="4654">
          <cell r="Z4654" t="str">
            <v>242151</v>
          </cell>
        </row>
        <row r="4655">
          <cell r="Z4655" t="str">
            <v>242152</v>
          </cell>
        </row>
        <row r="4656">
          <cell r="Z4656" t="str">
            <v>242153</v>
          </cell>
        </row>
        <row r="4657">
          <cell r="Z4657" t="str">
            <v>242154</v>
          </cell>
        </row>
        <row r="4658">
          <cell r="Z4658" t="str">
            <v>242159</v>
          </cell>
        </row>
        <row r="4659">
          <cell r="Z4659" t="str">
            <v>242160</v>
          </cell>
        </row>
        <row r="4660">
          <cell r="Z4660" t="str">
            <v>242161</v>
          </cell>
        </row>
        <row r="4661">
          <cell r="Z4661" t="str">
            <v>242162</v>
          </cell>
        </row>
        <row r="4662">
          <cell r="Z4662" t="str">
            <v>242163</v>
          </cell>
        </row>
        <row r="4663">
          <cell r="Z4663" t="str">
            <v>242164</v>
          </cell>
        </row>
        <row r="4664">
          <cell r="Z4664" t="str">
            <v>242169</v>
          </cell>
        </row>
        <row r="4665">
          <cell r="Z4665" t="str">
            <v>242170</v>
          </cell>
        </row>
        <row r="4666">
          <cell r="Z4666" t="str">
            <v>242171</v>
          </cell>
        </row>
        <row r="4667">
          <cell r="Z4667" t="str">
            <v>242172</v>
          </cell>
        </row>
        <row r="4668">
          <cell r="Z4668" t="str">
            <v>242173</v>
          </cell>
        </row>
        <row r="4669">
          <cell r="Z4669" t="str">
            <v>242174</v>
          </cell>
        </row>
        <row r="4670">
          <cell r="Z4670" t="str">
            <v>242179</v>
          </cell>
        </row>
        <row r="4671">
          <cell r="Z4671" t="str">
            <v>242200</v>
          </cell>
        </row>
        <row r="4672">
          <cell r="Z4672" t="str">
            <v>242210</v>
          </cell>
        </row>
        <row r="4673">
          <cell r="Z4673" t="str">
            <v>242211</v>
          </cell>
        </row>
        <row r="4674">
          <cell r="Z4674" t="str">
            <v>242212</v>
          </cell>
        </row>
        <row r="4675">
          <cell r="Z4675" t="str">
            <v>242213</v>
          </cell>
        </row>
        <row r="4676">
          <cell r="Z4676" t="str">
            <v>242214</v>
          </cell>
        </row>
        <row r="4677">
          <cell r="Z4677" t="str">
            <v>242219</v>
          </cell>
        </row>
        <row r="4678">
          <cell r="Z4678" t="str">
            <v>242220</v>
          </cell>
        </row>
        <row r="4679">
          <cell r="Z4679" t="str">
            <v>242221</v>
          </cell>
        </row>
        <row r="4680">
          <cell r="Z4680" t="str">
            <v>242222</v>
          </cell>
        </row>
        <row r="4681">
          <cell r="Z4681" t="str">
            <v>242223</v>
          </cell>
        </row>
        <row r="4682">
          <cell r="Z4682" t="str">
            <v>242224</v>
          </cell>
        </row>
        <row r="4683">
          <cell r="Z4683" t="str">
            <v>242229</v>
          </cell>
        </row>
        <row r="4684">
          <cell r="Z4684" t="str">
            <v>242230</v>
          </cell>
        </row>
        <row r="4685">
          <cell r="Z4685" t="str">
            <v>242231</v>
          </cell>
        </row>
        <row r="4686">
          <cell r="Z4686" t="str">
            <v>242232</v>
          </cell>
        </row>
        <row r="4687">
          <cell r="Z4687" t="str">
            <v>242233</v>
          </cell>
        </row>
        <row r="4688">
          <cell r="Z4688" t="str">
            <v>242234</v>
          </cell>
        </row>
        <row r="4689">
          <cell r="Z4689" t="str">
            <v>242239</v>
          </cell>
        </row>
        <row r="4690">
          <cell r="Z4690" t="str">
            <v>242240</v>
          </cell>
        </row>
        <row r="4691">
          <cell r="Z4691" t="str">
            <v>242241</v>
          </cell>
        </row>
        <row r="4692">
          <cell r="Z4692" t="str">
            <v>242242</v>
          </cell>
        </row>
        <row r="4693">
          <cell r="Z4693" t="str">
            <v>242243</v>
          </cell>
        </row>
        <row r="4694">
          <cell r="Z4694" t="str">
            <v>242244</v>
          </cell>
        </row>
        <row r="4695">
          <cell r="Z4695" t="str">
            <v>242249</v>
          </cell>
        </row>
        <row r="4696">
          <cell r="Z4696" t="str">
            <v>242300</v>
          </cell>
        </row>
        <row r="4697">
          <cell r="Z4697" t="str">
            <v>242310</v>
          </cell>
        </row>
        <row r="4698">
          <cell r="Z4698" t="str">
            <v>242311</v>
          </cell>
        </row>
        <row r="4699">
          <cell r="Z4699" t="str">
            <v>242312</v>
          </cell>
        </row>
        <row r="4700">
          <cell r="Z4700" t="str">
            <v>242313</v>
          </cell>
        </row>
        <row r="4701">
          <cell r="Z4701" t="str">
            <v>242314</v>
          </cell>
        </row>
        <row r="4702">
          <cell r="Z4702" t="str">
            <v>242319</v>
          </cell>
        </row>
        <row r="4703">
          <cell r="Z4703" t="str">
            <v>242320</v>
          </cell>
        </row>
        <row r="4704">
          <cell r="Z4704" t="str">
            <v>242321</v>
          </cell>
        </row>
        <row r="4705">
          <cell r="Z4705" t="str">
            <v>242322</v>
          </cell>
        </row>
        <row r="4706">
          <cell r="Z4706" t="str">
            <v>242323</v>
          </cell>
        </row>
        <row r="4707">
          <cell r="Z4707" t="str">
            <v>242324</v>
          </cell>
        </row>
        <row r="4708">
          <cell r="Z4708" t="str">
            <v>242329</v>
          </cell>
        </row>
        <row r="4709">
          <cell r="Z4709" t="str">
            <v>242330</v>
          </cell>
        </row>
        <row r="4710">
          <cell r="Z4710" t="str">
            <v>242331</v>
          </cell>
        </row>
        <row r="4711">
          <cell r="Z4711" t="str">
            <v>242332</v>
          </cell>
        </row>
        <row r="4712">
          <cell r="Z4712" t="str">
            <v>242333</v>
          </cell>
        </row>
        <row r="4713">
          <cell r="Z4713" t="str">
            <v>242334</v>
          </cell>
        </row>
        <row r="4714">
          <cell r="Z4714" t="str">
            <v>242339</v>
          </cell>
        </row>
        <row r="4715">
          <cell r="Z4715" t="str">
            <v>242340</v>
          </cell>
        </row>
        <row r="4716">
          <cell r="Z4716" t="str">
            <v>242341</v>
          </cell>
        </row>
        <row r="4717">
          <cell r="Z4717" t="str">
            <v>242342</v>
          </cell>
        </row>
        <row r="4718">
          <cell r="Z4718" t="str">
            <v>242343</v>
          </cell>
        </row>
        <row r="4719">
          <cell r="Z4719" t="str">
            <v>242344</v>
          </cell>
        </row>
        <row r="4720">
          <cell r="Z4720" t="str">
            <v>242349</v>
          </cell>
        </row>
        <row r="4721">
          <cell r="Z4721" t="str">
            <v>242400</v>
          </cell>
        </row>
        <row r="4722">
          <cell r="Z4722" t="str">
            <v>242410</v>
          </cell>
        </row>
        <row r="4723">
          <cell r="Z4723" t="str">
            <v>242411</v>
          </cell>
        </row>
        <row r="4724">
          <cell r="Z4724" t="str">
            <v>242412</v>
          </cell>
        </row>
        <row r="4725">
          <cell r="Z4725" t="str">
            <v>242413</v>
          </cell>
        </row>
        <row r="4726">
          <cell r="Z4726" t="str">
            <v>242414</v>
          </cell>
        </row>
        <row r="4727">
          <cell r="Z4727" t="str">
            <v>242419</v>
          </cell>
        </row>
        <row r="4728">
          <cell r="Z4728" t="str">
            <v>242420</v>
          </cell>
        </row>
        <row r="4729">
          <cell r="Z4729" t="str">
            <v>242421</v>
          </cell>
        </row>
        <row r="4730">
          <cell r="Z4730" t="str">
            <v>242422</v>
          </cell>
        </row>
        <row r="4731">
          <cell r="Z4731" t="str">
            <v>242423</v>
          </cell>
        </row>
        <row r="4732">
          <cell r="Z4732" t="str">
            <v>242424</v>
          </cell>
        </row>
        <row r="4733">
          <cell r="Z4733" t="str">
            <v>242429</v>
          </cell>
        </row>
        <row r="4734">
          <cell r="Z4734" t="str">
            <v>242430</v>
          </cell>
        </row>
        <row r="4735">
          <cell r="Z4735" t="str">
            <v>242431</v>
          </cell>
        </row>
        <row r="4736">
          <cell r="Z4736" t="str">
            <v>242432</v>
          </cell>
        </row>
        <row r="4737">
          <cell r="Z4737" t="str">
            <v>242433</v>
          </cell>
        </row>
        <row r="4738">
          <cell r="Z4738" t="str">
            <v>242434</v>
          </cell>
        </row>
        <row r="4739">
          <cell r="Z4739" t="str">
            <v>242439</v>
          </cell>
        </row>
        <row r="4740">
          <cell r="Z4740" t="str">
            <v>242440</v>
          </cell>
        </row>
        <row r="4741">
          <cell r="Z4741" t="str">
            <v>242441</v>
          </cell>
        </row>
        <row r="4742">
          <cell r="Z4742" t="str">
            <v>242442</v>
          </cell>
        </row>
        <row r="4743">
          <cell r="Z4743" t="str">
            <v>242443</v>
          </cell>
        </row>
        <row r="4744">
          <cell r="Z4744" t="str">
            <v>242444</v>
          </cell>
        </row>
        <row r="4745">
          <cell r="Z4745" t="str">
            <v>242449</v>
          </cell>
        </row>
        <row r="4746">
          <cell r="Z4746" t="str">
            <v>242500</v>
          </cell>
        </row>
        <row r="4747">
          <cell r="Z4747" t="str">
            <v>242510</v>
          </cell>
        </row>
        <row r="4748">
          <cell r="Z4748" t="str">
            <v>242511</v>
          </cell>
        </row>
        <row r="4749">
          <cell r="Z4749" t="str">
            <v>242512</v>
          </cell>
        </row>
        <row r="4750">
          <cell r="Z4750" t="str">
            <v>242513</v>
          </cell>
        </row>
        <row r="4751">
          <cell r="Z4751" t="str">
            <v>242514</v>
          </cell>
        </row>
        <row r="4752">
          <cell r="Z4752" t="str">
            <v>242519</v>
          </cell>
        </row>
        <row r="4753">
          <cell r="Z4753" t="str">
            <v>242520</v>
          </cell>
        </row>
        <row r="4754">
          <cell r="Z4754" t="str">
            <v>242521</v>
          </cell>
        </row>
        <row r="4755">
          <cell r="Z4755" t="str">
            <v>242522</v>
          </cell>
        </row>
        <row r="4756">
          <cell r="Z4756" t="str">
            <v>242523</v>
          </cell>
        </row>
        <row r="4757">
          <cell r="Z4757" t="str">
            <v>242524</v>
          </cell>
        </row>
        <row r="4758">
          <cell r="Z4758" t="str">
            <v>242529</v>
          </cell>
        </row>
        <row r="4759">
          <cell r="Z4759" t="str">
            <v>242530</v>
          </cell>
        </row>
        <row r="4760">
          <cell r="Z4760" t="str">
            <v>242531</v>
          </cell>
        </row>
        <row r="4761">
          <cell r="Z4761" t="str">
            <v>242532</v>
          </cell>
        </row>
        <row r="4762">
          <cell r="Z4762" t="str">
            <v>242533</v>
          </cell>
        </row>
        <row r="4763">
          <cell r="Z4763" t="str">
            <v>242534</v>
          </cell>
        </row>
        <row r="4764">
          <cell r="Z4764" t="str">
            <v>242539</v>
          </cell>
        </row>
        <row r="4765">
          <cell r="Z4765" t="str">
            <v>242900</v>
          </cell>
        </row>
        <row r="4766">
          <cell r="Z4766" t="str">
            <v>242910</v>
          </cell>
        </row>
        <row r="4767">
          <cell r="Z4767" t="str">
            <v>242911</v>
          </cell>
        </row>
        <row r="4768">
          <cell r="Z4768" t="str">
            <v>242912</v>
          </cell>
        </row>
        <row r="4769">
          <cell r="Z4769" t="str">
            <v>242913</v>
          </cell>
        </row>
        <row r="4770">
          <cell r="Z4770" t="str">
            <v>242914</v>
          </cell>
        </row>
        <row r="4771">
          <cell r="Z4771" t="str">
            <v>242919</v>
          </cell>
        </row>
        <row r="4772">
          <cell r="Z4772" t="str">
            <v>242920</v>
          </cell>
        </row>
        <row r="4773">
          <cell r="Z4773" t="str">
            <v>242921</v>
          </cell>
        </row>
        <row r="4774">
          <cell r="Z4774" t="str">
            <v>242922</v>
          </cell>
        </row>
        <row r="4775">
          <cell r="Z4775" t="str">
            <v>242923</v>
          </cell>
        </row>
        <row r="4776">
          <cell r="Z4776" t="str">
            <v>242924</v>
          </cell>
        </row>
        <row r="4777">
          <cell r="Z4777" t="str">
            <v>242929</v>
          </cell>
        </row>
        <row r="4778">
          <cell r="Z4778" t="str">
            <v>242930</v>
          </cell>
        </row>
        <row r="4779">
          <cell r="Z4779" t="str">
            <v>242931</v>
          </cell>
        </row>
        <row r="4780">
          <cell r="Z4780" t="str">
            <v>242932</v>
          </cell>
        </row>
        <row r="4781">
          <cell r="Z4781" t="str">
            <v>242933</v>
          </cell>
        </row>
        <row r="4782">
          <cell r="Z4782" t="str">
            <v>242934</v>
          </cell>
        </row>
        <row r="4783">
          <cell r="Z4783" t="str">
            <v>242939</v>
          </cell>
        </row>
        <row r="4784">
          <cell r="Z4784" t="str">
            <v>242940</v>
          </cell>
        </row>
        <row r="4785">
          <cell r="Z4785" t="str">
            <v>242941</v>
          </cell>
        </row>
        <row r="4786">
          <cell r="Z4786" t="str">
            <v>242942</v>
          </cell>
        </row>
        <row r="4787">
          <cell r="Z4787" t="str">
            <v>242943</v>
          </cell>
        </row>
        <row r="4788">
          <cell r="Z4788" t="str">
            <v>242944</v>
          </cell>
        </row>
        <row r="4789">
          <cell r="Z4789" t="str">
            <v>242949</v>
          </cell>
        </row>
        <row r="4790">
          <cell r="Z4790" t="str">
            <v>242950</v>
          </cell>
        </row>
        <row r="4791">
          <cell r="Z4791" t="str">
            <v>242951</v>
          </cell>
        </row>
        <row r="4792">
          <cell r="Z4792" t="str">
            <v>242952</v>
          </cell>
        </row>
        <row r="4793">
          <cell r="Z4793" t="str">
            <v>242953</v>
          </cell>
        </row>
        <row r="4794">
          <cell r="Z4794" t="str">
            <v>242954</v>
          </cell>
        </row>
        <row r="4795">
          <cell r="Z4795" t="str">
            <v>242959</v>
          </cell>
        </row>
        <row r="4796">
          <cell r="Z4796" t="str">
            <v>242960</v>
          </cell>
        </row>
        <row r="4797">
          <cell r="Z4797" t="str">
            <v>242961</v>
          </cell>
        </row>
        <row r="4798">
          <cell r="Z4798" t="str">
            <v>242962</v>
          </cell>
        </row>
        <row r="4799">
          <cell r="Z4799" t="str">
            <v>242963</v>
          </cell>
        </row>
        <row r="4800">
          <cell r="Z4800" t="str">
            <v>242964</v>
          </cell>
        </row>
        <row r="4801">
          <cell r="Z4801" t="str">
            <v>242969</v>
          </cell>
        </row>
        <row r="4802">
          <cell r="Z4802" t="str">
            <v>242970</v>
          </cell>
        </row>
        <row r="4803">
          <cell r="Z4803" t="str">
            <v>242971</v>
          </cell>
        </row>
        <row r="4804">
          <cell r="Z4804" t="str">
            <v>242972</v>
          </cell>
        </row>
        <row r="4805">
          <cell r="Z4805" t="str">
            <v>242973</v>
          </cell>
        </row>
        <row r="4806">
          <cell r="Z4806" t="str">
            <v>242974</v>
          </cell>
        </row>
        <row r="4807">
          <cell r="Z4807" t="str">
            <v>242979</v>
          </cell>
        </row>
        <row r="4808">
          <cell r="Z4808" t="str">
            <v>243000</v>
          </cell>
        </row>
        <row r="4809">
          <cell r="Z4809" t="str">
            <v>243100</v>
          </cell>
        </row>
        <row r="4810">
          <cell r="Z4810" t="str">
            <v>243110</v>
          </cell>
        </row>
        <row r="4811">
          <cell r="Z4811" t="str">
            <v>243111</v>
          </cell>
        </row>
        <row r="4812">
          <cell r="Z4812" t="str">
            <v>243112</v>
          </cell>
        </row>
        <row r="4813">
          <cell r="Z4813" t="str">
            <v>243113</v>
          </cell>
        </row>
        <row r="4814">
          <cell r="Z4814" t="str">
            <v>243114</v>
          </cell>
        </row>
        <row r="4815">
          <cell r="Z4815" t="str">
            <v>243119</v>
          </cell>
        </row>
        <row r="4816">
          <cell r="Z4816" t="str">
            <v>243120</v>
          </cell>
        </row>
        <row r="4817">
          <cell r="Z4817" t="str">
            <v>243121</v>
          </cell>
        </row>
        <row r="4818">
          <cell r="Z4818" t="str">
            <v>243122</v>
          </cell>
        </row>
        <row r="4819">
          <cell r="Z4819" t="str">
            <v>243123</v>
          </cell>
        </row>
        <row r="4820">
          <cell r="Z4820" t="str">
            <v>243124</v>
          </cell>
        </row>
        <row r="4821">
          <cell r="Z4821" t="str">
            <v>243129</v>
          </cell>
        </row>
        <row r="4822">
          <cell r="Z4822" t="str">
            <v>243130</v>
          </cell>
        </row>
        <row r="4823">
          <cell r="Z4823" t="str">
            <v>243131</v>
          </cell>
        </row>
        <row r="4824">
          <cell r="Z4824" t="str">
            <v>243132</v>
          </cell>
        </row>
        <row r="4825">
          <cell r="Z4825" t="str">
            <v>243133</v>
          </cell>
        </row>
        <row r="4826">
          <cell r="Z4826" t="str">
            <v>243134</v>
          </cell>
        </row>
        <row r="4827">
          <cell r="Z4827" t="str">
            <v>243139</v>
          </cell>
        </row>
        <row r="4828">
          <cell r="Z4828" t="str">
            <v>243140</v>
          </cell>
        </row>
        <row r="4829">
          <cell r="Z4829" t="str">
            <v>243141</v>
          </cell>
        </row>
        <row r="4830">
          <cell r="Z4830" t="str">
            <v>243142</v>
          </cell>
        </row>
        <row r="4831">
          <cell r="Z4831" t="str">
            <v>243143</v>
          </cell>
        </row>
        <row r="4832">
          <cell r="Z4832" t="str">
            <v>243144</v>
          </cell>
        </row>
        <row r="4833">
          <cell r="Z4833" t="str">
            <v>243149</v>
          </cell>
        </row>
        <row r="4834">
          <cell r="Z4834" t="str">
            <v>243150</v>
          </cell>
        </row>
        <row r="4835">
          <cell r="Z4835" t="str">
            <v>243151</v>
          </cell>
        </row>
        <row r="4836">
          <cell r="Z4836" t="str">
            <v>243152</v>
          </cell>
        </row>
        <row r="4837">
          <cell r="Z4837" t="str">
            <v>243153</v>
          </cell>
        </row>
        <row r="4838">
          <cell r="Z4838" t="str">
            <v>243154</v>
          </cell>
        </row>
        <row r="4839">
          <cell r="Z4839" t="str">
            <v>243159</v>
          </cell>
        </row>
        <row r="4840">
          <cell r="Z4840" t="str">
            <v>243160</v>
          </cell>
        </row>
        <row r="4841">
          <cell r="Z4841" t="str">
            <v>243161</v>
          </cell>
        </row>
        <row r="4842">
          <cell r="Z4842" t="str">
            <v>243162</v>
          </cell>
        </row>
        <row r="4843">
          <cell r="Z4843" t="str">
            <v>243163</v>
          </cell>
        </row>
        <row r="4844">
          <cell r="Z4844" t="str">
            <v>243164</v>
          </cell>
        </row>
        <row r="4845">
          <cell r="Z4845" t="str">
            <v>243169</v>
          </cell>
        </row>
        <row r="4846">
          <cell r="Z4846" t="str">
            <v>243170</v>
          </cell>
        </row>
        <row r="4847">
          <cell r="Z4847" t="str">
            <v>243171</v>
          </cell>
        </row>
        <row r="4848">
          <cell r="Z4848" t="str">
            <v>243172</v>
          </cell>
        </row>
        <row r="4849">
          <cell r="Z4849" t="str">
            <v>243173</v>
          </cell>
        </row>
        <row r="4850">
          <cell r="Z4850" t="str">
            <v>243174</v>
          </cell>
        </row>
        <row r="4851">
          <cell r="Z4851" t="str">
            <v>243179</v>
          </cell>
        </row>
        <row r="4852">
          <cell r="Z4852" t="str">
            <v>243200</v>
          </cell>
        </row>
        <row r="4853">
          <cell r="Z4853" t="str">
            <v>243210</v>
          </cell>
        </row>
        <row r="4854">
          <cell r="Z4854" t="str">
            <v>243211</v>
          </cell>
        </row>
        <row r="4855">
          <cell r="Z4855" t="str">
            <v>243212</v>
          </cell>
        </row>
        <row r="4856">
          <cell r="Z4856" t="str">
            <v>243213</v>
          </cell>
        </row>
        <row r="4857">
          <cell r="Z4857" t="str">
            <v>243214</v>
          </cell>
        </row>
        <row r="4858">
          <cell r="Z4858" t="str">
            <v>243219</v>
          </cell>
        </row>
        <row r="4859">
          <cell r="Z4859" t="str">
            <v>243220</v>
          </cell>
        </row>
        <row r="4860">
          <cell r="Z4860" t="str">
            <v>243221</v>
          </cell>
        </row>
        <row r="4861">
          <cell r="Z4861" t="str">
            <v>243222</v>
          </cell>
        </row>
        <row r="4862">
          <cell r="Z4862" t="str">
            <v>243223</v>
          </cell>
        </row>
        <row r="4863">
          <cell r="Z4863" t="str">
            <v>243224</v>
          </cell>
        </row>
        <row r="4864">
          <cell r="Z4864" t="str">
            <v>243229</v>
          </cell>
        </row>
        <row r="4865">
          <cell r="Z4865" t="str">
            <v>243230</v>
          </cell>
        </row>
        <row r="4866">
          <cell r="Z4866" t="str">
            <v>243231</v>
          </cell>
        </row>
        <row r="4867">
          <cell r="Z4867" t="str">
            <v>243232</v>
          </cell>
        </row>
        <row r="4868">
          <cell r="Z4868" t="str">
            <v>243233</v>
          </cell>
        </row>
        <row r="4869">
          <cell r="Z4869" t="str">
            <v>243234</v>
          </cell>
        </row>
        <row r="4870">
          <cell r="Z4870" t="str">
            <v>243239</v>
          </cell>
        </row>
        <row r="4871">
          <cell r="Z4871" t="str">
            <v>243240</v>
          </cell>
        </row>
        <row r="4872">
          <cell r="Z4872" t="str">
            <v>243241</v>
          </cell>
        </row>
        <row r="4873">
          <cell r="Z4873" t="str">
            <v>243242</v>
          </cell>
        </row>
        <row r="4874">
          <cell r="Z4874" t="str">
            <v>243243</v>
          </cell>
        </row>
        <row r="4875">
          <cell r="Z4875" t="str">
            <v>243244</v>
          </cell>
        </row>
        <row r="4876">
          <cell r="Z4876" t="str">
            <v>243249</v>
          </cell>
        </row>
        <row r="4877">
          <cell r="Z4877" t="str">
            <v>243300</v>
          </cell>
        </row>
        <row r="4878">
          <cell r="Z4878" t="str">
            <v>243310</v>
          </cell>
        </row>
        <row r="4879">
          <cell r="Z4879" t="str">
            <v>243311</v>
          </cell>
        </row>
        <row r="4880">
          <cell r="Z4880" t="str">
            <v>243312</v>
          </cell>
        </row>
        <row r="4881">
          <cell r="Z4881" t="str">
            <v>243313</v>
          </cell>
        </row>
        <row r="4882">
          <cell r="Z4882" t="str">
            <v>243314</v>
          </cell>
        </row>
        <row r="4883">
          <cell r="Z4883" t="str">
            <v>243319</v>
          </cell>
        </row>
        <row r="4884">
          <cell r="Z4884" t="str">
            <v>243320</v>
          </cell>
        </row>
        <row r="4885">
          <cell r="Z4885" t="str">
            <v>243321</v>
          </cell>
        </row>
        <row r="4886">
          <cell r="Z4886" t="str">
            <v>243322</v>
          </cell>
        </row>
        <row r="4887">
          <cell r="Z4887" t="str">
            <v>243323</v>
          </cell>
        </row>
        <row r="4888">
          <cell r="Z4888" t="str">
            <v>243324</v>
          </cell>
        </row>
        <row r="4889">
          <cell r="Z4889" t="str">
            <v>243329</v>
          </cell>
        </row>
        <row r="4890">
          <cell r="Z4890" t="str">
            <v>243330</v>
          </cell>
        </row>
        <row r="4891">
          <cell r="Z4891" t="str">
            <v>243331</v>
          </cell>
        </row>
        <row r="4892">
          <cell r="Z4892" t="str">
            <v>243332</v>
          </cell>
        </row>
        <row r="4893">
          <cell r="Z4893" t="str">
            <v>243333</v>
          </cell>
        </row>
        <row r="4894">
          <cell r="Z4894" t="str">
            <v>243334</v>
          </cell>
        </row>
        <row r="4895">
          <cell r="Z4895" t="str">
            <v>243339</v>
          </cell>
        </row>
        <row r="4896">
          <cell r="Z4896" t="str">
            <v>243340</v>
          </cell>
        </row>
        <row r="4897">
          <cell r="Z4897" t="str">
            <v>243341</v>
          </cell>
        </row>
        <row r="4898">
          <cell r="Z4898" t="str">
            <v>243342</v>
          </cell>
        </row>
        <row r="4899">
          <cell r="Z4899" t="str">
            <v>243343</v>
          </cell>
        </row>
        <row r="4900">
          <cell r="Z4900" t="str">
            <v>243344</v>
          </cell>
        </row>
        <row r="4901">
          <cell r="Z4901" t="str">
            <v>243349</v>
          </cell>
        </row>
        <row r="4902">
          <cell r="Z4902" t="str">
            <v>243400</v>
          </cell>
        </row>
        <row r="4903">
          <cell r="Z4903" t="str">
            <v>243410</v>
          </cell>
        </row>
        <row r="4904">
          <cell r="Z4904" t="str">
            <v>243411</v>
          </cell>
        </row>
        <row r="4905">
          <cell r="Z4905" t="str">
            <v>243412</v>
          </cell>
        </row>
        <row r="4906">
          <cell r="Z4906" t="str">
            <v>243413</v>
          </cell>
        </row>
        <row r="4907">
          <cell r="Z4907" t="str">
            <v>243414</v>
          </cell>
        </row>
        <row r="4908">
          <cell r="Z4908" t="str">
            <v>243419</v>
          </cell>
        </row>
        <row r="4909">
          <cell r="Z4909" t="str">
            <v>243420</v>
          </cell>
        </row>
        <row r="4910">
          <cell r="Z4910" t="str">
            <v>243421</v>
          </cell>
        </row>
        <row r="4911">
          <cell r="Z4911" t="str">
            <v>243422</v>
          </cell>
        </row>
        <row r="4912">
          <cell r="Z4912" t="str">
            <v>243423</v>
          </cell>
        </row>
        <row r="4913">
          <cell r="Z4913" t="str">
            <v>243424</v>
          </cell>
        </row>
        <row r="4914">
          <cell r="Z4914" t="str">
            <v>243429</v>
          </cell>
        </row>
        <row r="4915">
          <cell r="Z4915" t="str">
            <v>243430</v>
          </cell>
        </row>
        <row r="4916">
          <cell r="Z4916" t="str">
            <v>243431</v>
          </cell>
        </row>
        <row r="4917">
          <cell r="Z4917" t="str">
            <v>243432</v>
          </cell>
        </row>
        <row r="4918">
          <cell r="Z4918" t="str">
            <v>243433</v>
          </cell>
        </row>
        <row r="4919">
          <cell r="Z4919" t="str">
            <v>243434</v>
          </cell>
        </row>
        <row r="4920">
          <cell r="Z4920" t="str">
            <v>243439</v>
          </cell>
        </row>
        <row r="4921">
          <cell r="Z4921" t="str">
            <v>243440</v>
          </cell>
        </row>
        <row r="4922">
          <cell r="Z4922" t="str">
            <v>243441</v>
          </cell>
        </row>
        <row r="4923">
          <cell r="Z4923" t="str">
            <v>243442</v>
          </cell>
        </row>
        <row r="4924">
          <cell r="Z4924" t="str">
            <v>243443</v>
          </cell>
        </row>
        <row r="4925">
          <cell r="Z4925" t="str">
            <v>243444</v>
          </cell>
        </row>
        <row r="4926">
          <cell r="Z4926" t="str">
            <v>243449</v>
          </cell>
        </row>
        <row r="4927">
          <cell r="Z4927" t="str">
            <v>243500</v>
          </cell>
        </row>
        <row r="4928">
          <cell r="Z4928" t="str">
            <v>243510</v>
          </cell>
        </row>
        <row r="4929">
          <cell r="Z4929" t="str">
            <v>243511</v>
          </cell>
        </row>
        <row r="4930">
          <cell r="Z4930" t="str">
            <v>243512</v>
          </cell>
        </row>
        <row r="4931">
          <cell r="Z4931" t="str">
            <v>243513</v>
          </cell>
        </row>
        <row r="4932">
          <cell r="Z4932" t="str">
            <v>243514</v>
          </cell>
        </row>
        <row r="4933">
          <cell r="Z4933" t="str">
            <v>243519</v>
          </cell>
        </row>
        <row r="4934">
          <cell r="Z4934" t="str">
            <v>243520</v>
          </cell>
        </row>
        <row r="4935">
          <cell r="Z4935" t="str">
            <v>243521</v>
          </cell>
        </row>
        <row r="4936">
          <cell r="Z4936" t="str">
            <v>243522</v>
          </cell>
        </row>
        <row r="4937">
          <cell r="Z4937" t="str">
            <v>243523</v>
          </cell>
        </row>
        <row r="4938">
          <cell r="Z4938" t="str">
            <v>243524</v>
          </cell>
        </row>
        <row r="4939">
          <cell r="Z4939" t="str">
            <v>243529</v>
          </cell>
        </row>
        <row r="4940">
          <cell r="Z4940" t="str">
            <v>243530</v>
          </cell>
        </row>
        <row r="4941">
          <cell r="Z4941" t="str">
            <v>243531</v>
          </cell>
        </row>
        <row r="4942">
          <cell r="Z4942" t="str">
            <v>243532</v>
          </cell>
        </row>
        <row r="4943">
          <cell r="Z4943" t="str">
            <v>243533</v>
          </cell>
        </row>
        <row r="4944">
          <cell r="Z4944" t="str">
            <v>243534</v>
          </cell>
        </row>
        <row r="4945">
          <cell r="Z4945" t="str">
            <v>243539</v>
          </cell>
        </row>
        <row r="4946">
          <cell r="Z4946" t="str">
            <v>243900</v>
          </cell>
        </row>
        <row r="4947">
          <cell r="Z4947" t="str">
            <v>243910</v>
          </cell>
        </row>
        <row r="4948">
          <cell r="Z4948" t="str">
            <v>243911</v>
          </cell>
        </row>
        <row r="4949">
          <cell r="Z4949" t="str">
            <v>243912</v>
          </cell>
        </row>
        <row r="4950">
          <cell r="Z4950" t="str">
            <v>243913</v>
          </cell>
        </row>
        <row r="4951">
          <cell r="Z4951" t="str">
            <v>243914</v>
          </cell>
        </row>
        <row r="4952">
          <cell r="Z4952" t="str">
            <v>243919</v>
          </cell>
        </row>
        <row r="4953">
          <cell r="Z4953" t="str">
            <v>243920</v>
          </cell>
        </row>
        <row r="4954">
          <cell r="Z4954" t="str">
            <v>243921</v>
          </cell>
        </row>
        <row r="4955">
          <cell r="Z4955" t="str">
            <v>243922</v>
          </cell>
        </row>
        <row r="4956">
          <cell r="Z4956" t="str">
            <v>243923</v>
          </cell>
        </row>
        <row r="4957">
          <cell r="Z4957" t="str">
            <v>243924</v>
          </cell>
        </row>
        <row r="4958">
          <cell r="Z4958" t="str">
            <v>243929</v>
          </cell>
        </row>
        <row r="4959">
          <cell r="Z4959" t="str">
            <v>243930</v>
          </cell>
        </row>
        <row r="4960">
          <cell r="Z4960" t="str">
            <v>243931</v>
          </cell>
        </row>
        <row r="4961">
          <cell r="Z4961" t="str">
            <v>243932</v>
          </cell>
        </row>
        <row r="4962">
          <cell r="Z4962" t="str">
            <v>243933</v>
          </cell>
        </row>
        <row r="4963">
          <cell r="Z4963" t="str">
            <v>243934</v>
          </cell>
        </row>
        <row r="4964">
          <cell r="Z4964" t="str">
            <v>243939</v>
          </cell>
        </row>
        <row r="4965">
          <cell r="Z4965" t="str">
            <v>243940</v>
          </cell>
        </row>
        <row r="4966">
          <cell r="Z4966" t="str">
            <v>243941</v>
          </cell>
        </row>
        <row r="4967">
          <cell r="Z4967" t="str">
            <v>243942</v>
          </cell>
        </row>
        <row r="4968">
          <cell r="Z4968" t="str">
            <v>243943</v>
          </cell>
        </row>
        <row r="4969">
          <cell r="Z4969" t="str">
            <v>243944</v>
          </cell>
        </row>
        <row r="4970">
          <cell r="Z4970" t="str">
            <v>243949</v>
          </cell>
        </row>
        <row r="4971">
          <cell r="Z4971" t="str">
            <v>243950</v>
          </cell>
        </row>
        <row r="4972">
          <cell r="Z4972" t="str">
            <v>243951</v>
          </cell>
        </row>
        <row r="4973">
          <cell r="Z4973" t="str">
            <v>243952</v>
          </cell>
        </row>
        <row r="4974">
          <cell r="Z4974" t="str">
            <v>243953</v>
          </cell>
        </row>
        <row r="4975">
          <cell r="Z4975" t="str">
            <v>243954</v>
          </cell>
        </row>
        <row r="4976">
          <cell r="Z4976" t="str">
            <v>243959</v>
          </cell>
        </row>
        <row r="4977">
          <cell r="Z4977" t="str">
            <v>243960</v>
          </cell>
        </row>
        <row r="4978">
          <cell r="Z4978" t="str">
            <v>243961</v>
          </cell>
        </row>
        <row r="4979">
          <cell r="Z4979" t="str">
            <v>243962</v>
          </cell>
        </row>
        <row r="4980">
          <cell r="Z4980" t="str">
            <v>243963</v>
          </cell>
        </row>
        <row r="4981">
          <cell r="Z4981" t="str">
            <v>243964</v>
          </cell>
        </row>
        <row r="4982">
          <cell r="Z4982" t="str">
            <v>243969</v>
          </cell>
        </row>
        <row r="4983">
          <cell r="Z4983" t="str">
            <v>243970</v>
          </cell>
        </row>
        <row r="4984">
          <cell r="Z4984" t="str">
            <v>243971</v>
          </cell>
        </row>
        <row r="4985">
          <cell r="Z4985" t="str">
            <v>243972</v>
          </cell>
        </row>
        <row r="4986">
          <cell r="Z4986" t="str">
            <v>243973</v>
          </cell>
        </row>
        <row r="4987">
          <cell r="Z4987" t="str">
            <v>243974</v>
          </cell>
        </row>
        <row r="4988">
          <cell r="Z4988" t="str">
            <v>243979</v>
          </cell>
        </row>
        <row r="4989">
          <cell r="Z4989" t="str">
            <v>250000</v>
          </cell>
        </row>
        <row r="4990">
          <cell r="Z4990" t="str">
            <v>251000</v>
          </cell>
        </row>
        <row r="4991">
          <cell r="Z4991" t="str">
            <v>251100</v>
          </cell>
        </row>
        <row r="4992">
          <cell r="Z4992" t="str">
            <v>251110</v>
          </cell>
        </row>
        <row r="4993">
          <cell r="Z4993" t="str">
            <v>251111</v>
          </cell>
        </row>
        <row r="4994">
          <cell r="Z4994" t="str">
            <v>251112</v>
          </cell>
        </row>
        <row r="4995">
          <cell r="Z4995" t="str">
            <v>251113</v>
          </cell>
        </row>
        <row r="4996">
          <cell r="Z4996" t="str">
            <v>251114</v>
          </cell>
        </row>
        <row r="4997">
          <cell r="Z4997" t="str">
            <v>251119</v>
          </cell>
        </row>
        <row r="4998">
          <cell r="Z4998" t="str">
            <v>251120</v>
          </cell>
        </row>
        <row r="4999">
          <cell r="Z4999" t="str">
            <v>251121</v>
          </cell>
        </row>
        <row r="5000">
          <cell r="Z5000" t="str">
            <v>251122</v>
          </cell>
        </row>
        <row r="5001">
          <cell r="Z5001" t="str">
            <v>251123</v>
          </cell>
        </row>
        <row r="5002">
          <cell r="Z5002" t="str">
            <v>251124</v>
          </cell>
        </row>
        <row r="5003">
          <cell r="Z5003" t="str">
            <v>251129</v>
          </cell>
        </row>
        <row r="5004">
          <cell r="Z5004" t="str">
            <v>251200</v>
          </cell>
        </row>
        <row r="5005">
          <cell r="Z5005" t="str">
            <v>251210</v>
          </cell>
        </row>
        <row r="5006">
          <cell r="Z5006" t="str">
            <v>251211</v>
          </cell>
        </row>
        <row r="5007">
          <cell r="Z5007" t="str">
            <v>251212</v>
          </cell>
        </row>
        <row r="5008">
          <cell r="Z5008" t="str">
            <v>251213</v>
          </cell>
        </row>
        <row r="5009">
          <cell r="Z5009" t="str">
            <v>251214</v>
          </cell>
        </row>
        <row r="5010">
          <cell r="Z5010" t="str">
            <v>251219</v>
          </cell>
        </row>
        <row r="5011">
          <cell r="Z5011" t="str">
            <v>251220</v>
          </cell>
        </row>
        <row r="5012">
          <cell r="Z5012" t="str">
            <v>251221</v>
          </cell>
        </row>
        <row r="5013">
          <cell r="Z5013" t="str">
            <v>251222</v>
          </cell>
        </row>
        <row r="5014">
          <cell r="Z5014" t="str">
            <v>251223</v>
          </cell>
        </row>
        <row r="5015">
          <cell r="Z5015" t="str">
            <v>251224</v>
          </cell>
        </row>
        <row r="5016">
          <cell r="Z5016" t="str">
            <v>251229</v>
          </cell>
        </row>
        <row r="5017">
          <cell r="Z5017" t="str">
            <v>251300</v>
          </cell>
        </row>
        <row r="5018">
          <cell r="Z5018" t="str">
            <v>251310</v>
          </cell>
        </row>
        <row r="5019">
          <cell r="Z5019" t="str">
            <v>251311</v>
          </cell>
        </row>
        <row r="5020">
          <cell r="Z5020" t="str">
            <v>251312</v>
          </cell>
        </row>
        <row r="5021">
          <cell r="Z5021" t="str">
            <v>251313</v>
          </cell>
        </row>
        <row r="5022">
          <cell r="Z5022" t="str">
            <v>251314</v>
          </cell>
        </row>
        <row r="5023">
          <cell r="Z5023" t="str">
            <v>251319</v>
          </cell>
        </row>
        <row r="5024">
          <cell r="Z5024" t="str">
            <v>251320</v>
          </cell>
        </row>
        <row r="5025">
          <cell r="Z5025" t="str">
            <v>251321</v>
          </cell>
        </row>
        <row r="5026">
          <cell r="Z5026" t="str">
            <v>251322</v>
          </cell>
        </row>
        <row r="5027">
          <cell r="Z5027" t="str">
            <v>251323</v>
          </cell>
        </row>
        <row r="5028">
          <cell r="Z5028" t="str">
            <v>251324</v>
          </cell>
        </row>
        <row r="5029">
          <cell r="Z5029" t="str">
            <v>251329</v>
          </cell>
        </row>
        <row r="5030">
          <cell r="Z5030" t="str">
            <v>252000</v>
          </cell>
        </row>
        <row r="5031">
          <cell r="Z5031" t="str">
            <v>252100</v>
          </cell>
        </row>
        <row r="5032">
          <cell r="Z5032" t="str">
            <v>252110</v>
          </cell>
        </row>
        <row r="5033">
          <cell r="Z5033" t="str">
            <v>252111</v>
          </cell>
        </row>
        <row r="5034">
          <cell r="Z5034" t="str">
            <v>252112</v>
          </cell>
        </row>
        <row r="5035">
          <cell r="Z5035" t="str">
            <v>252113</v>
          </cell>
        </row>
        <row r="5036">
          <cell r="Z5036" t="str">
            <v>252114</v>
          </cell>
        </row>
        <row r="5037">
          <cell r="Z5037" t="str">
            <v>252119</v>
          </cell>
        </row>
        <row r="5038">
          <cell r="Z5038" t="str">
            <v>252120</v>
          </cell>
        </row>
        <row r="5039">
          <cell r="Z5039" t="str">
            <v>252121</v>
          </cell>
        </row>
        <row r="5040">
          <cell r="Z5040" t="str">
            <v>252122</v>
          </cell>
        </row>
        <row r="5041">
          <cell r="Z5041" t="str">
            <v>252123</v>
          </cell>
        </row>
        <row r="5042">
          <cell r="Z5042" t="str">
            <v>252124</v>
          </cell>
        </row>
        <row r="5043">
          <cell r="Z5043" t="str">
            <v>252129</v>
          </cell>
        </row>
        <row r="5044">
          <cell r="Z5044" t="str">
            <v>252130</v>
          </cell>
        </row>
        <row r="5045">
          <cell r="Z5045" t="str">
            <v>252131</v>
          </cell>
        </row>
        <row r="5046">
          <cell r="Z5046" t="str">
            <v>252132</v>
          </cell>
        </row>
        <row r="5047">
          <cell r="Z5047" t="str">
            <v>252133</v>
          </cell>
        </row>
        <row r="5048">
          <cell r="Z5048" t="str">
            <v>252134</v>
          </cell>
        </row>
        <row r="5049">
          <cell r="Z5049" t="str">
            <v>252139</v>
          </cell>
        </row>
        <row r="5050">
          <cell r="Z5050" t="str">
            <v>252200</v>
          </cell>
        </row>
        <row r="5051">
          <cell r="Z5051" t="str">
            <v>252210</v>
          </cell>
        </row>
        <row r="5052">
          <cell r="Z5052" t="str">
            <v>252211</v>
          </cell>
        </row>
        <row r="5053">
          <cell r="Z5053" t="str">
            <v>252212</v>
          </cell>
        </row>
        <row r="5054">
          <cell r="Z5054" t="str">
            <v>252213</v>
          </cell>
        </row>
        <row r="5055">
          <cell r="Z5055" t="str">
            <v>252214</v>
          </cell>
        </row>
        <row r="5056">
          <cell r="Z5056" t="str">
            <v>252219</v>
          </cell>
        </row>
        <row r="5057">
          <cell r="Z5057" t="str">
            <v>252220</v>
          </cell>
        </row>
        <row r="5058">
          <cell r="Z5058" t="str">
            <v>252221</v>
          </cell>
        </row>
        <row r="5059">
          <cell r="Z5059" t="str">
            <v>252222</v>
          </cell>
        </row>
        <row r="5060">
          <cell r="Z5060" t="str">
            <v>252223</v>
          </cell>
        </row>
        <row r="5061">
          <cell r="Z5061" t="str">
            <v>252224</v>
          </cell>
        </row>
        <row r="5062">
          <cell r="Z5062" t="str">
            <v>252229</v>
          </cell>
        </row>
        <row r="5063">
          <cell r="Z5063" t="str">
            <v>252230</v>
          </cell>
        </row>
        <row r="5064">
          <cell r="Z5064" t="str">
            <v>252231</v>
          </cell>
        </row>
        <row r="5065">
          <cell r="Z5065" t="str">
            <v>252232</v>
          </cell>
        </row>
        <row r="5066">
          <cell r="Z5066" t="str">
            <v>252233</v>
          </cell>
        </row>
        <row r="5067">
          <cell r="Z5067" t="str">
            <v>252234</v>
          </cell>
        </row>
        <row r="5068">
          <cell r="Z5068" t="str">
            <v>252239</v>
          </cell>
        </row>
        <row r="5069">
          <cell r="Z5069" t="str">
            <v>252300</v>
          </cell>
        </row>
        <row r="5070">
          <cell r="Z5070" t="str">
            <v>252310</v>
          </cell>
        </row>
        <row r="5071">
          <cell r="Z5071" t="str">
            <v>252311</v>
          </cell>
        </row>
        <row r="5072">
          <cell r="Z5072" t="str">
            <v>252312</v>
          </cell>
        </row>
        <row r="5073">
          <cell r="Z5073" t="str">
            <v>252313</v>
          </cell>
        </row>
        <row r="5074">
          <cell r="Z5074" t="str">
            <v>252314</v>
          </cell>
        </row>
        <row r="5075">
          <cell r="Z5075" t="str">
            <v>252319</v>
          </cell>
        </row>
        <row r="5076">
          <cell r="Z5076" t="str">
            <v>252320</v>
          </cell>
        </row>
        <row r="5077">
          <cell r="Z5077" t="str">
            <v>252321</v>
          </cell>
        </row>
        <row r="5078">
          <cell r="Z5078" t="str">
            <v>252322</v>
          </cell>
        </row>
        <row r="5079">
          <cell r="Z5079" t="str">
            <v>252323</v>
          </cell>
        </row>
        <row r="5080">
          <cell r="Z5080" t="str">
            <v>252324</v>
          </cell>
        </row>
        <row r="5081">
          <cell r="Z5081" t="str">
            <v>252329</v>
          </cell>
        </row>
        <row r="5082">
          <cell r="Z5082" t="str">
            <v>252330</v>
          </cell>
        </row>
        <row r="5083">
          <cell r="Z5083" t="str">
            <v>252331</v>
          </cell>
        </row>
        <row r="5084">
          <cell r="Z5084" t="str">
            <v>252332</v>
          </cell>
        </row>
        <row r="5085">
          <cell r="Z5085" t="str">
            <v>252333</v>
          </cell>
        </row>
        <row r="5086">
          <cell r="Z5086" t="str">
            <v>252334</v>
          </cell>
        </row>
        <row r="5087">
          <cell r="Z5087" t="str">
            <v>252339</v>
          </cell>
        </row>
        <row r="5088">
          <cell r="Z5088" t="str">
            <v>252340</v>
          </cell>
        </row>
        <row r="5089">
          <cell r="Z5089" t="str">
            <v>252341</v>
          </cell>
        </row>
        <row r="5090">
          <cell r="Z5090" t="str">
            <v>252342</v>
          </cell>
        </row>
        <row r="5091">
          <cell r="Z5091" t="str">
            <v>252343</v>
          </cell>
        </row>
        <row r="5092">
          <cell r="Z5092" t="str">
            <v>252344</v>
          </cell>
        </row>
        <row r="5093">
          <cell r="Z5093" t="str">
            <v>252349</v>
          </cell>
        </row>
        <row r="5094">
          <cell r="Z5094" t="str">
            <v>252350</v>
          </cell>
        </row>
        <row r="5095">
          <cell r="Z5095" t="str">
            <v>252351</v>
          </cell>
        </row>
        <row r="5096">
          <cell r="Z5096" t="str">
            <v>252352</v>
          </cell>
        </row>
        <row r="5097">
          <cell r="Z5097" t="str">
            <v>252353</v>
          </cell>
        </row>
        <row r="5098">
          <cell r="Z5098" t="str">
            <v>252354</v>
          </cell>
        </row>
        <row r="5099">
          <cell r="Z5099" t="str">
            <v>252359</v>
          </cell>
        </row>
        <row r="5100">
          <cell r="Z5100" t="str">
            <v>252360</v>
          </cell>
        </row>
        <row r="5101">
          <cell r="Z5101" t="str">
            <v>252361</v>
          </cell>
        </row>
        <row r="5102">
          <cell r="Z5102" t="str">
            <v>252362</v>
          </cell>
        </row>
        <row r="5103">
          <cell r="Z5103" t="str">
            <v>252363</v>
          </cell>
        </row>
        <row r="5104">
          <cell r="Z5104" t="str">
            <v>252364</v>
          </cell>
        </row>
        <row r="5105">
          <cell r="Z5105" t="str">
            <v>252369</v>
          </cell>
        </row>
        <row r="5106">
          <cell r="Z5106" t="str">
            <v>252370</v>
          </cell>
        </row>
        <row r="5107">
          <cell r="Z5107" t="str">
            <v>252371</v>
          </cell>
        </row>
        <row r="5108">
          <cell r="Z5108" t="str">
            <v>252372</v>
          </cell>
        </row>
        <row r="5109">
          <cell r="Z5109" t="str">
            <v>252373</v>
          </cell>
        </row>
        <row r="5110">
          <cell r="Z5110" t="str">
            <v>252374</v>
          </cell>
        </row>
        <row r="5111">
          <cell r="Z5111" t="str">
            <v>252379</v>
          </cell>
        </row>
        <row r="5112">
          <cell r="Z5112" t="str">
            <v>252380</v>
          </cell>
        </row>
        <row r="5113">
          <cell r="Z5113" t="str">
            <v>252381</v>
          </cell>
        </row>
        <row r="5114">
          <cell r="Z5114" t="str">
            <v>252382</v>
          </cell>
        </row>
        <row r="5115">
          <cell r="Z5115" t="str">
            <v>252383</v>
          </cell>
        </row>
        <row r="5116">
          <cell r="Z5116" t="str">
            <v>252384</v>
          </cell>
        </row>
        <row r="5117">
          <cell r="Z5117" t="str">
            <v>252389</v>
          </cell>
        </row>
        <row r="5118">
          <cell r="Z5118" t="str">
            <v>252390</v>
          </cell>
        </row>
        <row r="5119">
          <cell r="Z5119" t="str">
            <v>252391</v>
          </cell>
        </row>
        <row r="5120">
          <cell r="Z5120" t="str">
            <v>252392</v>
          </cell>
        </row>
        <row r="5121">
          <cell r="Z5121" t="str">
            <v>252393</v>
          </cell>
        </row>
        <row r="5122">
          <cell r="Z5122" t="str">
            <v>252394</v>
          </cell>
        </row>
        <row r="5123">
          <cell r="Z5123" t="str">
            <v>252399</v>
          </cell>
        </row>
        <row r="5124">
          <cell r="Z5124" t="str">
            <v>252400</v>
          </cell>
        </row>
        <row r="5125">
          <cell r="Z5125" t="str">
            <v>252410</v>
          </cell>
        </row>
        <row r="5126">
          <cell r="Z5126" t="str">
            <v>252411</v>
          </cell>
        </row>
        <row r="5127">
          <cell r="Z5127" t="str">
            <v>252412</v>
          </cell>
        </row>
        <row r="5128">
          <cell r="Z5128" t="str">
            <v>252413</v>
          </cell>
        </row>
        <row r="5129">
          <cell r="Z5129" t="str">
            <v>252414</v>
          </cell>
        </row>
        <row r="5130">
          <cell r="Z5130" t="str">
            <v>252419</v>
          </cell>
        </row>
        <row r="5131">
          <cell r="Z5131" t="str">
            <v>252420</v>
          </cell>
        </row>
        <row r="5132">
          <cell r="Z5132" t="str">
            <v>252421</v>
          </cell>
        </row>
        <row r="5133">
          <cell r="Z5133" t="str">
            <v>252422</v>
          </cell>
        </row>
        <row r="5134">
          <cell r="Z5134" t="str">
            <v>252423</v>
          </cell>
        </row>
        <row r="5135">
          <cell r="Z5135" t="str">
            <v>252424</v>
          </cell>
        </row>
        <row r="5136">
          <cell r="Z5136" t="str">
            <v>252429</v>
          </cell>
        </row>
        <row r="5137">
          <cell r="Z5137" t="str">
            <v>252430</v>
          </cell>
        </row>
        <row r="5138">
          <cell r="Z5138" t="str">
            <v>252431</v>
          </cell>
        </row>
        <row r="5139">
          <cell r="Z5139" t="str">
            <v>252432</v>
          </cell>
        </row>
        <row r="5140">
          <cell r="Z5140" t="str">
            <v>252433</v>
          </cell>
        </row>
        <row r="5141">
          <cell r="Z5141" t="str">
            <v>252434</v>
          </cell>
        </row>
        <row r="5142">
          <cell r="Z5142" t="str">
            <v>252439</v>
          </cell>
        </row>
        <row r="5143">
          <cell r="Z5143" t="str">
            <v>252500</v>
          </cell>
        </row>
        <row r="5144">
          <cell r="Z5144" t="str">
            <v>252510</v>
          </cell>
        </row>
        <row r="5145">
          <cell r="Z5145" t="str">
            <v>252511</v>
          </cell>
        </row>
        <row r="5146">
          <cell r="Z5146" t="str">
            <v>252512</v>
          </cell>
        </row>
        <row r="5147">
          <cell r="Z5147" t="str">
            <v>252513</v>
          </cell>
        </row>
        <row r="5148">
          <cell r="Z5148" t="str">
            <v>252514</v>
          </cell>
        </row>
        <row r="5149">
          <cell r="Z5149" t="str">
            <v>252519</v>
          </cell>
        </row>
        <row r="5150">
          <cell r="Z5150" t="str">
            <v>252520</v>
          </cell>
        </row>
        <row r="5151">
          <cell r="Z5151" t="str">
            <v>252521</v>
          </cell>
        </row>
        <row r="5152">
          <cell r="Z5152" t="str">
            <v>252522</v>
          </cell>
        </row>
        <row r="5153">
          <cell r="Z5153" t="str">
            <v>252523</v>
          </cell>
        </row>
        <row r="5154">
          <cell r="Z5154" t="str">
            <v>252524</v>
          </cell>
        </row>
        <row r="5155">
          <cell r="Z5155" t="str">
            <v>252529</v>
          </cell>
        </row>
        <row r="5156">
          <cell r="Z5156" t="str">
            <v>252600</v>
          </cell>
        </row>
        <row r="5157">
          <cell r="Z5157" t="str">
            <v>252610</v>
          </cell>
        </row>
        <row r="5158">
          <cell r="Z5158" t="str">
            <v>252611</v>
          </cell>
        </row>
        <row r="5159">
          <cell r="Z5159" t="str">
            <v>252612</v>
          </cell>
        </row>
        <row r="5160">
          <cell r="Z5160" t="str">
            <v>252613</v>
          </cell>
        </row>
        <row r="5161">
          <cell r="Z5161" t="str">
            <v>252614</v>
          </cell>
        </row>
        <row r="5162">
          <cell r="Z5162" t="str">
            <v>252619</v>
          </cell>
        </row>
        <row r="5163">
          <cell r="Z5163" t="str">
            <v>252620</v>
          </cell>
        </row>
        <row r="5164">
          <cell r="Z5164" t="str">
            <v>252621</v>
          </cell>
        </row>
        <row r="5165">
          <cell r="Z5165" t="str">
            <v>252622</v>
          </cell>
        </row>
        <row r="5166">
          <cell r="Z5166" t="str">
            <v>252623</v>
          </cell>
        </row>
        <row r="5167">
          <cell r="Z5167" t="str">
            <v>252624</v>
          </cell>
        </row>
        <row r="5168">
          <cell r="Z5168" t="str">
            <v>252629</v>
          </cell>
        </row>
        <row r="5169">
          <cell r="Z5169" t="str">
            <v>252700</v>
          </cell>
        </row>
        <row r="5170">
          <cell r="Z5170" t="str">
            <v>252710</v>
          </cell>
        </row>
        <row r="5171">
          <cell r="Z5171" t="str">
            <v>252711</v>
          </cell>
        </row>
        <row r="5172">
          <cell r="Z5172" t="str">
            <v>252712</v>
          </cell>
        </row>
        <row r="5173">
          <cell r="Z5173" t="str">
            <v>252713</v>
          </cell>
        </row>
        <row r="5174">
          <cell r="Z5174" t="str">
            <v>252714</v>
          </cell>
        </row>
        <row r="5175">
          <cell r="Z5175" t="str">
            <v>252719</v>
          </cell>
        </row>
        <row r="5176">
          <cell r="Z5176" t="str">
            <v>252720</v>
          </cell>
        </row>
        <row r="5177">
          <cell r="Z5177" t="str">
            <v>252721</v>
          </cell>
        </row>
        <row r="5178">
          <cell r="Z5178" t="str">
            <v>252722</v>
          </cell>
        </row>
        <row r="5179">
          <cell r="Z5179" t="str">
            <v>252723</v>
          </cell>
        </row>
        <row r="5180">
          <cell r="Z5180" t="str">
            <v>252724</v>
          </cell>
        </row>
        <row r="5181">
          <cell r="Z5181" t="str">
            <v>252729</v>
          </cell>
        </row>
        <row r="5182">
          <cell r="Z5182" t="str">
            <v>252730</v>
          </cell>
        </row>
        <row r="5183">
          <cell r="Z5183" t="str">
            <v>252731</v>
          </cell>
        </row>
        <row r="5184">
          <cell r="Z5184" t="str">
            <v>252732</v>
          </cell>
        </row>
        <row r="5185">
          <cell r="Z5185" t="str">
            <v>252733</v>
          </cell>
        </row>
        <row r="5186">
          <cell r="Z5186" t="str">
            <v>252734</v>
          </cell>
        </row>
        <row r="5187">
          <cell r="Z5187" t="str">
            <v>252739</v>
          </cell>
        </row>
        <row r="5188">
          <cell r="Z5188" t="str">
            <v>252740</v>
          </cell>
        </row>
        <row r="5189">
          <cell r="Z5189" t="str">
            <v>252741</v>
          </cell>
        </row>
        <row r="5190">
          <cell r="Z5190" t="str">
            <v>252742</v>
          </cell>
        </row>
        <row r="5191">
          <cell r="Z5191" t="str">
            <v>252743</v>
          </cell>
        </row>
        <row r="5192">
          <cell r="Z5192" t="str">
            <v>252744</v>
          </cell>
        </row>
        <row r="5193">
          <cell r="Z5193" t="str">
            <v>252749</v>
          </cell>
        </row>
        <row r="5194">
          <cell r="Z5194" t="str">
            <v>252750</v>
          </cell>
        </row>
        <row r="5195">
          <cell r="Z5195" t="str">
            <v>252751</v>
          </cell>
        </row>
        <row r="5196">
          <cell r="Z5196" t="str">
            <v>252752</v>
          </cell>
        </row>
        <row r="5197">
          <cell r="Z5197" t="str">
            <v>252753</v>
          </cell>
        </row>
        <row r="5198">
          <cell r="Z5198" t="str">
            <v>252754</v>
          </cell>
        </row>
        <row r="5199">
          <cell r="Z5199" t="str">
            <v>252759</v>
          </cell>
        </row>
        <row r="5200">
          <cell r="Z5200" t="str">
            <v>252760</v>
          </cell>
        </row>
        <row r="5201">
          <cell r="Z5201" t="str">
            <v>252761</v>
          </cell>
        </row>
        <row r="5202">
          <cell r="Z5202" t="str">
            <v>252762</v>
          </cell>
        </row>
        <row r="5203">
          <cell r="Z5203" t="str">
            <v>252763</v>
          </cell>
        </row>
        <row r="5204">
          <cell r="Z5204" t="str">
            <v>252764</v>
          </cell>
        </row>
        <row r="5205">
          <cell r="Z5205" t="str">
            <v>252769</v>
          </cell>
        </row>
        <row r="5206">
          <cell r="Z5206" t="str">
            <v>252770</v>
          </cell>
        </row>
        <row r="5207">
          <cell r="Z5207" t="str">
            <v>252771</v>
          </cell>
        </row>
        <row r="5208">
          <cell r="Z5208" t="str">
            <v>252772</v>
          </cell>
        </row>
        <row r="5209">
          <cell r="Z5209" t="str">
            <v>252773</v>
          </cell>
        </row>
        <row r="5210">
          <cell r="Z5210" t="str">
            <v>252774</v>
          </cell>
        </row>
        <row r="5211">
          <cell r="Z5211" t="str">
            <v>252779</v>
          </cell>
        </row>
        <row r="5212">
          <cell r="Z5212" t="str">
            <v>252780</v>
          </cell>
        </row>
        <row r="5213">
          <cell r="Z5213" t="str">
            <v>252781</v>
          </cell>
        </row>
        <row r="5214">
          <cell r="Z5214" t="str">
            <v>252782</v>
          </cell>
        </row>
        <row r="5215">
          <cell r="Z5215" t="str">
            <v>252783</v>
          </cell>
        </row>
        <row r="5216">
          <cell r="Z5216" t="str">
            <v>252784</v>
          </cell>
        </row>
        <row r="5217">
          <cell r="Z5217" t="str">
            <v>252789</v>
          </cell>
        </row>
        <row r="5218">
          <cell r="Z5218" t="str">
            <v>252790</v>
          </cell>
        </row>
        <row r="5219">
          <cell r="Z5219" t="str">
            <v>252791</v>
          </cell>
        </row>
        <row r="5220">
          <cell r="Z5220" t="str">
            <v>252792</v>
          </cell>
        </row>
        <row r="5221">
          <cell r="Z5221" t="str">
            <v>252793</v>
          </cell>
        </row>
        <row r="5222">
          <cell r="Z5222" t="str">
            <v>252794</v>
          </cell>
        </row>
        <row r="5223">
          <cell r="Z5223" t="str">
            <v>252799</v>
          </cell>
        </row>
        <row r="5224">
          <cell r="Z5224" t="str">
            <v>252800</v>
          </cell>
        </row>
        <row r="5225">
          <cell r="Z5225" t="str">
            <v>252810</v>
          </cell>
        </row>
        <row r="5226">
          <cell r="Z5226" t="str">
            <v>252811</v>
          </cell>
        </row>
        <row r="5227">
          <cell r="Z5227" t="str">
            <v>252812</v>
          </cell>
        </row>
        <row r="5228">
          <cell r="Z5228" t="str">
            <v>252813</v>
          </cell>
        </row>
        <row r="5229">
          <cell r="Z5229" t="str">
            <v>252814</v>
          </cell>
        </row>
        <row r="5230">
          <cell r="Z5230" t="str">
            <v>252819</v>
          </cell>
        </row>
        <row r="5231">
          <cell r="Z5231" t="str">
            <v>252820</v>
          </cell>
        </row>
        <row r="5232">
          <cell r="Z5232" t="str">
            <v>252821</v>
          </cell>
        </row>
        <row r="5233">
          <cell r="Z5233" t="str">
            <v>252822</v>
          </cell>
        </row>
        <row r="5234">
          <cell r="Z5234" t="str">
            <v>252823</v>
          </cell>
        </row>
        <row r="5235">
          <cell r="Z5235" t="str">
            <v>252824</v>
          </cell>
        </row>
        <row r="5236">
          <cell r="Z5236" t="str">
            <v>252829</v>
          </cell>
        </row>
        <row r="5237">
          <cell r="Z5237" t="str">
            <v>252830</v>
          </cell>
        </row>
        <row r="5238">
          <cell r="Z5238" t="str">
            <v>252831</v>
          </cell>
        </row>
        <row r="5239">
          <cell r="Z5239" t="str">
            <v>252832</v>
          </cell>
        </row>
        <row r="5240">
          <cell r="Z5240" t="str">
            <v>252833</v>
          </cell>
        </row>
        <row r="5241">
          <cell r="Z5241" t="str">
            <v>252834</v>
          </cell>
        </row>
        <row r="5242">
          <cell r="Z5242" t="str">
            <v>252839</v>
          </cell>
        </row>
        <row r="5243">
          <cell r="Z5243" t="str">
            <v>253000</v>
          </cell>
        </row>
        <row r="5244">
          <cell r="Z5244" t="str">
            <v>253100</v>
          </cell>
        </row>
        <row r="5245">
          <cell r="Z5245" t="str">
            <v>253110</v>
          </cell>
        </row>
        <row r="5246">
          <cell r="Z5246" t="str">
            <v>253111</v>
          </cell>
        </row>
        <row r="5247">
          <cell r="Z5247" t="str">
            <v>253112</v>
          </cell>
        </row>
        <row r="5248">
          <cell r="Z5248" t="str">
            <v>253113</v>
          </cell>
        </row>
        <row r="5249">
          <cell r="Z5249" t="str">
            <v>253114</v>
          </cell>
        </row>
        <row r="5250">
          <cell r="Z5250" t="str">
            <v>253119</v>
          </cell>
        </row>
        <row r="5251">
          <cell r="Z5251" t="str">
            <v>253120</v>
          </cell>
        </row>
        <row r="5252">
          <cell r="Z5252" t="str">
            <v>253121</v>
          </cell>
        </row>
        <row r="5253">
          <cell r="Z5253" t="str">
            <v>253122</v>
          </cell>
        </row>
        <row r="5254">
          <cell r="Z5254" t="str">
            <v>253123</v>
          </cell>
        </row>
        <row r="5255">
          <cell r="Z5255" t="str">
            <v>253124</v>
          </cell>
        </row>
        <row r="5256">
          <cell r="Z5256" t="str">
            <v>253129</v>
          </cell>
        </row>
        <row r="5257">
          <cell r="Z5257" t="str">
            <v>253200</v>
          </cell>
        </row>
        <row r="5258">
          <cell r="Z5258" t="str">
            <v>253210</v>
          </cell>
        </row>
        <row r="5259">
          <cell r="Z5259" t="str">
            <v>253211</v>
          </cell>
        </row>
        <row r="5260">
          <cell r="Z5260" t="str">
            <v>253212</v>
          </cell>
        </row>
        <row r="5261">
          <cell r="Z5261" t="str">
            <v>253213</v>
          </cell>
        </row>
        <row r="5262">
          <cell r="Z5262" t="str">
            <v>253214</v>
          </cell>
        </row>
        <row r="5263">
          <cell r="Z5263" t="str">
            <v>253219</v>
          </cell>
        </row>
        <row r="5264">
          <cell r="Z5264" t="str">
            <v>253220</v>
          </cell>
        </row>
        <row r="5265">
          <cell r="Z5265" t="str">
            <v>253221</v>
          </cell>
        </row>
        <row r="5266">
          <cell r="Z5266" t="str">
            <v>253222</v>
          </cell>
        </row>
        <row r="5267">
          <cell r="Z5267" t="str">
            <v>253223</v>
          </cell>
        </row>
        <row r="5268">
          <cell r="Z5268" t="str">
            <v>253224</v>
          </cell>
        </row>
        <row r="5269">
          <cell r="Z5269" t="str">
            <v>253229</v>
          </cell>
        </row>
        <row r="5270">
          <cell r="Z5270" t="str">
            <v>253300</v>
          </cell>
        </row>
        <row r="5271">
          <cell r="Z5271" t="str">
            <v>253310</v>
          </cell>
        </row>
        <row r="5272">
          <cell r="Z5272" t="str">
            <v>253311</v>
          </cell>
        </row>
        <row r="5273">
          <cell r="Z5273" t="str">
            <v>253312</v>
          </cell>
        </row>
        <row r="5274">
          <cell r="Z5274" t="str">
            <v>253313</v>
          </cell>
        </row>
        <row r="5275">
          <cell r="Z5275" t="str">
            <v>253314</v>
          </cell>
        </row>
        <row r="5276">
          <cell r="Z5276" t="str">
            <v>253319</v>
          </cell>
        </row>
        <row r="5277">
          <cell r="Z5277" t="str">
            <v>253320</v>
          </cell>
        </row>
        <row r="5278">
          <cell r="Z5278" t="str">
            <v>253321</v>
          </cell>
        </row>
        <row r="5279">
          <cell r="Z5279" t="str">
            <v>253322</v>
          </cell>
        </row>
        <row r="5280">
          <cell r="Z5280" t="str">
            <v>253323</v>
          </cell>
        </row>
        <row r="5281">
          <cell r="Z5281" t="str">
            <v>253324</v>
          </cell>
        </row>
        <row r="5282">
          <cell r="Z5282" t="str">
            <v>253329</v>
          </cell>
        </row>
        <row r="5283">
          <cell r="Z5283" t="str">
            <v>253400</v>
          </cell>
        </row>
        <row r="5284">
          <cell r="Z5284" t="str">
            <v>253410</v>
          </cell>
        </row>
        <row r="5285">
          <cell r="Z5285" t="str">
            <v>253411</v>
          </cell>
        </row>
        <row r="5286">
          <cell r="Z5286" t="str">
            <v>253412</v>
          </cell>
        </row>
        <row r="5287">
          <cell r="Z5287" t="str">
            <v>253413</v>
          </cell>
        </row>
        <row r="5288">
          <cell r="Z5288" t="str">
            <v>253414</v>
          </cell>
        </row>
        <row r="5289">
          <cell r="Z5289" t="str">
            <v>253419</v>
          </cell>
        </row>
        <row r="5290">
          <cell r="Z5290" t="str">
            <v>253420</v>
          </cell>
        </row>
        <row r="5291">
          <cell r="Z5291" t="str">
            <v>253421</v>
          </cell>
        </row>
        <row r="5292">
          <cell r="Z5292" t="str">
            <v>253422</v>
          </cell>
        </row>
        <row r="5293">
          <cell r="Z5293" t="str">
            <v>253423</v>
          </cell>
        </row>
        <row r="5294">
          <cell r="Z5294" t="str">
            <v>253424</v>
          </cell>
        </row>
        <row r="5295">
          <cell r="Z5295" t="str">
            <v>253429</v>
          </cell>
        </row>
        <row r="5296">
          <cell r="Z5296" t="str">
            <v>253500</v>
          </cell>
        </row>
        <row r="5297">
          <cell r="Z5297" t="str">
            <v>253510</v>
          </cell>
        </row>
        <row r="5298">
          <cell r="Z5298" t="str">
            <v>253511</v>
          </cell>
        </row>
        <row r="5299">
          <cell r="Z5299" t="str">
            <v>253512</v>
          </cell>
        </row>
        <row r="5300">
          <cell r="Z5300" t="str">
            <v>253513</v>
          </cell>
        </row>
        <row r="5301">
          <cell r="Z5301" t="str">
            <v>253514</v>
          </cell>
        </row>
        <row r="5302">
          <cell r="Z5302" t="str">
            <v>253519</v>
          </cell>
        </row>
        <row r="5303">
          <cell r="Z5303" t="str">
            <v>253520</v>
          </cell>
        </row>
        <row r="5304">
          <cell r="Z5304" t="str">
            <v>253521</v>
          </cell>
        </row>
        <row r="5305">
          <cell r="Z5305" t="str">
            <v>253522</v>
          </cell>
        </row>
        <row r="5306">
          <cell r="Z5306" t="str">
            <v>253523</v>
          </cell>
        </row>
        <row r="5307">
          <cell r="Z5307" t="str">
            <v>253524</v>
          </cell>
        </row>
        <row r="5308">
          <cell r="Z5308" t="str">
            <v>253529</v>
          </cell>
        </row>
        <row r="5309">
          <cell r="Z5309" t="str">
            <v>253900</v>
          </cell>
        </row>
        <row r="5310">
          <cell r="Z5310" t="str">
            <v>253910</v>
          </cell>
        </row>
        <row r="5311">
          <cell r="Z5311" t="str">
            <v>253911</v>
          </cell>
        </row>
        <row r="5312">
          <cell r="Z5312" t="str">
            <v>253912</v>
          </cell>
        </row>
        <row r="5313">
          <cell r="Z5313" t="str">
            <v>253913</v>
          </cell>
        </row>
        <row r="5314">
          <cell r="Z5314" t="str">
            <v>253914</v>
          </cell>
        </row>
        <row r="5315">
          <cell r="Z5315" t="str">
            <v>253919</v>
          </cell>
        </row>
        <row r="5316">
          <cell r="Z5316" t="str">
            <v>253920</v>
          </cell>
        </row>
        <row r="5317">
          <cell r="Z5317" t="str">
            <v>253921</v>
          </cell>
        </row>
        <row r="5318">
          <cell r="Z5318" t="str">
            <v>253922</v>
          </cell>
        </row>
        <row r="5319">
          <cell r="Z5319" t="str">
            <v>253923</v>
          </cell>
        </row>
        <row r="5320">
          <cell r="Z5320" t="str">
            <v>253924</v>
          </cell>
        </row>
        <row r="5321">
          <cell r="Z5321" t="str">
            <v>253929</v>
          </cell>
        </row>
        <row r="5322">
          <cell r="Z5322" t="str">
            <v>260000</v>
          </cell>
        </row>
        <row r="5323">
          <cell r="Z5323" t="str">
            <v>261000</v>
          </cell>
        </row>
        <row r="5324">
          <cell r="Z5324" t="str">
            <v>261100</v>
          </cell>
        </row>
        <row r="5325">
          <cell r="Z5325" t="str">
            <v>261110</v>
          </cell>
        </row>
        <row r="5326">
          <cell r="Z5326" t="str">
            <v>261111</v>
          </cell>
        </row>
        <row r="5327">
          <cell r="Z5327" t="str">
            <v>261112</v>
          </cell>
        </row>
        <row r="5328">
          <cell r="Z5328" t="str">
            <v>261113</v>
          </cell>
        </row>
        <row r="5329">
          <cell r="Z5329" t="str">
            <v>261114</v>
          </cell>
        </row>
        <row r="5330">
          <cell r="Z5330" t="str">
            <v>261119</v>
          </cell>
        </row>
        <row r="5331">
          <cell r="Z5331" t="str">
            <v>261120</v>
          </cell>
        </row>
        <row r="5332">
          <cell r="Z5332" t="str">
            <v>261121</v>
          </cell>
        </row>
        <row r="5333">
          <cell r="Z5333" t="str">
            <v>261122</v>
          </cell>
        </row>
        <row r="5334">
          <cell r="Z5334" t="str">
            <v>261123</v>
          </cell>
        </row>
        <row r="5335">
          <cell r="Z5335" t="str">
            <v>261124</v>
          </cell>
        </row>
        <row r="5336">
          <cell r="Z5336" t="str">
            <v>261129</v>
          </cell>
        </row>
        <row r="5337">
          <cell r="Z5337" t="str">
            <v>261200</v>
          </cell>
        </row>
        <row r="5338">
          <cell r="Z5338" t="str">
            <v>261210</v>
          </cell>
        </row>
        <row r="5339">
          <cell r="Z5339" t="str">
            <v>261211</v>
          </cell>
        </row>
        <row r="5340">
          <cell r="Z5340" t="str">
            <v>261212</v>
          </cell>
        </row>
        <row r="5341">
          <cell r="Z5341" t="str">
            <v>261213</v>
          </cell>
        </row>
        <row r="5342">
          <cell r="Z5342" t="str">
            <v>261214</v>
          </cell>
        </row>
        <row r="5343">
          <cell r="Z5343" t="str">
            <v>261219</v>
          </cell>
        </row>
        <row r="5344">
          <cell r="Z5344" t="str">
            <v>261220</v>
          </cell>
        </row>
        <row r="5345">
          <cell r="Z5345" t="str">
            <v>261221</v>
          </cell>
        </row>
        <row r="5346">
          <cell r="Z5346" t="str">
            <v>261222</v>
          </cell>
        </row>
        <row r="5347">
          <cell r="Z5347" t="str">
            <v>261223</v>
          </cell>
        </row>
        <row r="5348">
          <cell r="Z5348" t="str">
            <v>261224</v>
          </cell>
        </row>
        <row r="5349">
          <cell r="Z5349" t="str">
            <v>261229</v>
          </cell>
        </row>
        <row r="5350">
          <cell r="Z5350" t="str">
            <v>261300</v>
          </cell>
        </row>
        <row r="5351">
          <cell r="Z5351" t="str">
            <v>261310</v>
          </cell>
        </row>
        <row r="5352">
          <cell r="Z5352" t="str">
            <v>261311</v>
          </cell>
        </row>
        <row r="5353">
          <cell r="Z5353" t="str">
            <v>261312</v>
          </cell>
        </row>
        <row r="5354">
          <cell r="Z5354" t="str">
            <v>261313</v>
          </cell>
        </row>
        <row r="5355">
          <cell r="Z5355" t="str">
            <v>261314</v>
          </cell>
        </row>
        <row r="5356">
          <cell r="Z5356" t="str">
            <v>261319</v>
          </cell>
        </row>
        <row r="5357">
          <cell r="Z5357" t="str">
            <v>261320</v>
          </cell>
        </row>
        <row r="5358">
          <cell r="Z5358" t="str">
            <v>261321</v>
          </cell>
        </row>
        <row r="5359">
          <cell r="Z5359" t="str">
            <v>261322</v>
          </cell>
        </row>
        <row r="5360">
          <cell r="Z5360" t="str">
            <v>261323</v>
          </cell>
        </row>
        <row r="5361">
          <cell r="Z5361" t="str">
            <v>261324</v>
          </cell>
        </row>
        <row r="5362">
          <cell r="Z5362" t="str">
            <v>261329</v>
          </cell>
        </row>
        <row r="5363">
          <cell r="Z5363" t="str">
            <v>262000</v>
          </cell>
        </row>
        <row r="5364">
          <cell r="Z5364" t="str">
            <v>262100</v>
          </cell>
        </row>
        <row r="5365">
          <cell r="Z5365" t="str">
            <v>262110</v>
          </cell>
        </row>
        <row r="5366">
          <cell r="Z5366" t="str">
            <v>262111</v>
          </cell>
        </row>
        <row r="5367">
          <cell r="Z5367" t="str">
            <v>262112</v>
          </cell>
        </row>
        <row r="5368">
          <cell r="Z5368" t="str">
            <v>262113</v>
          </cell>
        </row>
        <row r="5369">
          <cell r="Z5369" t="str">
            <v>262114</v>
          </cell>
        </row>
        <row r="5370">
          <cell r="Z5370" t="str">
            <v>262119</v>
          </cell>
        </row>
        <row r="5371">
          <cell r="Z5371" t="str">
            <v>262120</v>
          </cell>
        </row>
        <row r="5372">
          <cell r="Z5372" t="str">
            <v>262121</v>
          </cell>
        </row>
        <row r="5373">
          <cell r="Z5373" t="str">
            <v>262122</v>
          </cell>
        </row>
        <row r="5374">
          <cell r="Z5374" t="str">
            <v>262123</v>
          </cell>
        </row>
        <row r="5375">
          <cell r="Z5375" t="str">
            <v>262124</v>
          </cell>
        </row>
        <row r="5376">
          <cell r="Z5376" t="str">
            <v>262129</v>
          </cell>
        </row>
        <row r="5377">
          <cell r="Z5377" t="str">
            <v>262130</v>
          </cell>
        </row>
        <row r="5378">
          <cell r="Z5378" t="str">
            <v>262131</v>
          </cell>
        </row>
        <row r="5379">
          <cell r="Z5379" t="str">
            <v>262132</v>
          </cell>
        </row>
        <row r="5380">
          <cell r="Z5380" t="str">
            <v>262133</v>
          </cell>
        </row>
        <row r="5381">
          <cell r="Z5381" t="str">
            <v>262134</v>
          </cell>
        </row>
        <row r="5382">
          <cell r="Z5382" t="str">
            <v>262139</v>
          </cell>
        </row>
        <row r="5383">
          <cell r="Z5383" t="str">
            <v>262200</v>
          </cell>
        </row>
        <row r="5384">
          <cell r="Z5384" t="str">
            <v>262210</v>
          </cell>
        </row>
        <row r="5385">
          <cell r="Z5385" t="str">
            <v>262211</v>
          </cell>
        </row>
        <row r="5386">
          <cell r="Z5386" t="str">
            <v>262212</v>
          </cell>
        </row>
        <row r="5387">
          <cell r="Z5387" t="str">
            <v>262213</v>
          </cell>
        </row>
        <row r="5388">
          <cell r="Z5388" t="str">
            <v>262214</v>
          </cell>
        </row>
        <row r="5389">
          <cell r="Z5389" t="str">
            <v>262219</v>
          </cell>
        </row>
        <row r="5390">
          <cell r="Z5390" t="str">
            <v>262220</v>
          </cell>
        </row>
        <row r="5391">
          <cell r="Z5391" t="str">
            <v>262221</v>
          </cell>
        </row>
        <row r="5392">
          <cell r="Z5392" t="str">
            <v>262222</v>
          </cell>
        </row>
        <row r="5393">
          <cell r="Z5393" t="str">
            <v>262223</v>
          </cell>
        </row>
        <row r="5394">
          <cell r="Z5394" t="str">
            <v>262224</v>
          </cell>
        </row>
        <row r="5395">
          <cell r="Z5395" t="str">
            <v>262229</v>
          </cell>
        </row>
        <row r="5396">
          <cell r="Z5396" t="str">
            <v>262230</v>
          </cell>
        </row>
        <row r="5397">
          <cell r="Z5397" t="str">
            <v>262231</v>
          </cell>
        </row>
        <row r="5398">
          <cell r="Z5398" t="str">
            <v>262232</v>
          </cell>
        </row>
        <row r="5399">
          <cell r="Z5399" t="str">
            <v>262233</v>
          </cell>
        </row>
        <row r="5400">
          <cell r="Z5400" t="str">
            <v>262234</v>
          </cell>
        </row>
        <row r="5401">
          <cell r="Z5401" t="str">
            <v>262239</v>
          </cell>
        </row>
        <row r="5402">
          <cell r="Z5402" t="str">
            <v>262300</v>
          </cell>
        </row>
        <row r="5403">
          <cell r="Z5403" t="str">
            <v>262310</v>
          </cell>
        </row>
        <row r="5404">
          <cell r="Z5404" t="str">
            <v>262311</v>
          </cell>
        </row>
        <row r="5405">
          <cell r="Z5405" t="str">
            <v>262312</v>
          </cell>
        </row>
        <row r="5406">
          <cell r="Z5406" t="str">
            <v>262313</v>
          </cell>
        </row>
        <row r="5407">
          <cell r="Z5407" t="str">
            <v>262314</v>
          </cell>
        </row>
        <row r="5408">
          <cell r="Z5408" t="str">
            <v>262319</v>
          </cell>
        </row>
        <row r="5409">
          <cell r="Z5409" t="str">
            <v>262320</v>
          </cell>
        </row>
        <row r="5410">
          <cell r="Z5410" t="str">
            <v>262321</v>
          </cell>
        </row>
        <row r="5411">
          <cell r="Z5411" t="str">
            <v>262322</v>
          </cell>
        </row>
        <row r="5412">
          <cell r="Z5412" t="str">
            <v>262323</v>
          </cell>
        </row>
        <row r="5413">
          <cell r="Z5413" t="str">
            <v>262324</v>
          </cell>
        </row>
        <row r="5414">
          <cell r="Z5414" t="str">
            <v>262329</v>
          </cell>
        </row>
        <row r="5415">
          <cell r="Z5415" t="str">
            <v>262330</v>
          </cell>
        </row>
        <row r="5416">
          <cell r="Z5416" t="str">
            <v>262331</v>
          </cell>
        </row>
        <row r="5417">
          <cell r="Z5417" t="str">
            <v>262332</v>
          </cell>
        </row>
        <row r="5418">
          <cell r="Z5418" t="str">
            <v>262333</v>
          </cell>
        </row>
        <row r="5419">
          <cell r="Z5419" t="str">
            <v>262334</v>
          </cell>
        </row>
        <row r="5420">
          <cell r="Z5420" t="str">
            <v>262339</v>
          </cell>
        </row>
        <row r="5421">
          <cell r="Z5421" t="str">
            <v>262340</v>
          </cell>
        </row>
        <row r="5422">
          <cell r="Z5422" t="str">
            <v>262341</v>
          </cell>
        </row>
        <row r="5423">
          <cell r="Z5423" t="str">
            <v>262342</v>
          </cell>
        </row>
        <row r="5424">
          <cell r="Z5424" t="str">
            <v>262343</v>
          </cell>
        </row>
        <row r="5425">
          <cell r="Z5425" t="str">
            <v>262344</v>
          </cell>
        </row>
        <row r="5426">
          <cell r="Z5426" t="str">
            <v>262349</v>
          </cell>
        </row>
        <row r="5427">
          <cell r="Z5427" t="str">
            <v>262350</v>
          </cell>
        </row>
        <row r="5428">
          <cell r="Z5428" t="str">
            <v>262351</v>
          </cell>
        </row>
        <row r="5429">
          <cell r="Z5429" t="str">
            <v>262352</v>
          </cell>
        </row>
        <row r="5430">
          <cell r="Z5430" t="str">
            <v>262353</v>
          </cell>
        </row>
        <row r="5431">
          <cell r="Z5431" t="str">
            <v>262354</v>
          </cell>
        </row>
        <row r="5432">
          <cell r="Z5432" t="str">
            <v>262359</v>
          </cell>
        </row>
        <row r="5433">
          <cell r="Z5433" t="str">
            <v>262360</v>
          </cell>
        </row>
        <row r="5434">
          <cell r="Z5434" t="str">
            <v>262361</v>
          </cell>
        </row>
        <row r="5435">
          <cell r="Z5435" t="str">
            <v>262362</v>
          </cell>
        </row>
        <row r="5436">
          <cell r="Z5436" t="str">
            <v>262363</v>
          </cell>
        </row>
        <row r="5437">
          <cell r="Z5437" t="str">
            <v>262364</v>
          </cell>
        </row>
        <row r="5438">
          <cell r="Z5438" t="str">
            <v>262369</v>
          </cell>
        </row>
        <row r="5439">
          <cell r="Z5439" t="str">
            <v>262370</v>
          </cell>
        </row>
        <row r="5440">
          <cell r="Z5440" t="str">
            <v>262371</v>
          </cell>
        </row>
        <row r="5441">
          <cell r="Z5441" t="str">
            <v>262372</v>
          </cell>
        </row>
        <row r="5442">
          <cell r="Z5442" t="str">
            <v>262373</v>
          </cell>
        </row>
        <row r="5443">
          <cell r="Z5443" t="str">
            <v>262374</v>
          </cell>
        </row>
        <row r="5444">
          <cell r="Z5444" t="str">
            <v>262379</v>
          </cell>
        </row>
        <row r="5445">
          <cell r="Z5445" t="str">
            <v>262380</v>
          </cell>
        </row>
        <row r="5446">
          <cell r="Z5446" t="str">
            <v>262381</v>
          </cell>
        </row>
        <row r="5447">
          <cell r="Z5447" t="str">
            <v>262382</v>
          </cell>
        </row>
        <row r="5448">
          <cell r="Z5448" t="str">
            <v>262383</v>
          </cell>
        </row>
        <row r="5449">
          <cell r="Z5449" t="str">
            <v>262384</v>
          </cell>
        </row>
        <row r="5450">
          <cell r="Z5450" t="str">
            <v>262389</v>
          </cell>
        </row>
        <row r="5451">
          <cell r="Z5451" t="str">
            <v>262390</v>
          </cell>
        </row>
        <row r="5452">
          <cell r="Z5452" t="str">
            <v>262391</v>
          </cell>
        </row>
        <row r="5453">
          <cell r="Z5453" t="str">
            <v>262392</v>
          </cell>
        </row>
        <row r="5454">
          <cell r="Z5454" t="str">
            <v>262393</v>
          </cell>
        </row>
        <row r="5455">
          <cell r="Z5455" t="str">
            <v>262394</v>
          </cell>
        </row>
        <row r="5456">
          <cell r="Z5456" t="str">
            <v>262399</v>
          </cell>
        </row>
        <row r="5457">
          <cell r="Z5457" t="str">
            <v>262400</v>
          </cell>
        </row>
        <row r="5458">
          <cell r="Z5458" t="str">
            <v>262410</v>
          </cell>
        </row>
        <row r="5459">
          <cell r="Z5459" t="str">
            <v>262411</v>
          </cell>
        </row>
        <row r="5460">
          <cell r="Z5460" t="str">
            <v>262412</v>
          </cell>
        </row>
        <row r="5461">
          <cell r="Z5461" t="str">
            <v>262413</v>
          </cell>
        </row>
        <row r="5462">
          <cell r="Z5462" t="str">
            <v>262414</v>
          </cell>
        </row>
        <row r="5463">
          <cell r="Z5463" t="str">
            <v>262419</v>
          </cell>
        </row>
        <row r="5464">
          <cell r="Z5464" t="str">
            <v>262420</v>
          </cell>
        </row>
        <row r="5465">
          <cell r="Z5465" t="str">
            <v>262421</v>
          </cell>
        </row>
        <row r="5466">
          <cell r="Z5466" t="str">
            <v>262422</v>
          </cell>
        </row>
        <row r="5467">
          <cell r="Z5467" t="str">
            <v>262423</v>
          </cell>
        </row>
        <row r="5468">
          <cell r="Z5468" t="str">
            <v>262424</v>
          </cell>
        </row>
        <row r="5469">
          <cell r="Z5469" t="str">
            <v>262429</v>
          </cell>
        </row>
        <row r="5470">
          <cell r="Z5470" t="str">
            <v>262430</v>
          </cell>
        </row>
        <row r="5471">
          <cell r="Z5471" t="str">
            <v>262431</v>
          </cell>
        </row>
        <row r="5472">
          <cell r="Z5472" t="str">
            <v>262432</v>
          </cell>
        </row>
        <row r="5473">
          <cell r="Z5473" t="str">
            <v>262433</v>
          </cell>
        </row>
        <row r="5474">
          <cell r="Z5474" t="str">
            <v>262434</v>
          </cell>
        </row>
        <row r="5475">
          <cell r="Z5475" t="str">
            <v>262439</v>
          </cell>
        </row>
        <row r="5476">
          <cell r="Z5476" t="str">
            <v>262500</v>
          </cell>
        </row>
        <row r="5477">
          <cell r="Z5477" t="str">
            <v>262510</v>
          </cell>
        </row>
        <row r="5478">
          <cell r="Z5478" t="str">
            <v>262511</v>
          </cell>
        </row>
        <row r="5479">
          <cell r="Z5479" t="str">
            <v>262512</v>
          </cell>
        </row>
        <row r="5480">
          <cell r="Z5480" t="str">
            <v>262513</v>
          </cell>
        </row>
        <row r="5481">
          <cell r="Z5481" t="str">
            <v>262514</v>
          </cell>
        </row>
        <row r="5482">
          <cell r="Z5482" t="str">
            <v>262519</v>
          </cell>
        </row>
        <row r="5483">
          <cell r="Z5483" t="str">
            <v>262520</v>
          </cell>
        </row>
        <row r="5484">
          <cell r="Z5484" t="str">
            <v>262521</v>
          </cell>
        </row>
        <row r="5485">
          <cell r="Z5485" t="str">
            <v>262522</v>
          </cell>
        </row>
        <row r="5486">
          <cell r="Z5486" t="str">
            <v>262523</v>
          </cell>
        </row>
        <row r="5487">
          <cell r="Z5487" t="str">
            <v>262524</v>
          </cell>
        </row>
        <row r="5488">
          <cell r="Z5488" t="str">
            <v>262529</v>
          </cell>
        </row>
        <row r="5489">
          <cell r="Z5489" t="str">
            <v>262600</v>
          </cell>
        </row>
        <row r="5490">
          <cell r="Z5490" t="str">
            <v>262610</v>
          </cell>
        </row>
        <row r="5491">
          <cell r="Z5491" t="str">
            <v>262611</v>
          </cell>
        </row>
        <row r="5492">
          <cell r="Z5492" t="str">
            <v>262612</v>
          </cell>
        </row>
        <row r="5493">
          <cell r="Z5493" t="str">
            <v>262613</v>
          </cell>
        </row>
        <row r="5494">
          <cell r="Z5494" t="str">
            <v>262614</v>
          </cell>
        </row>
        <row r="5495">
          <cell r="Z5495" t="str">
            <v>262619</v>
          </cell>
        </row>
        <row r="5496">
          <cell r="Z5496" t="str">
            <v>262620</v>
          </cell>
        </row>
        <row r="5497">
          <cell r="Z5497" t="str">
            <v>262621</v>
          </cell>
        </row>
        <row r="5498">
          <cell r="Z5498" t="str">
            <v>262622</v>
          </cell>
        </row>
        <row r="5499">
          <cell r="Z5499" t="str">
            <v>262623</v>
          </cell>
        </row>
        <row r="5500">
          <cell r="Z5500" t="str">
            <v>262624</v>
          </cell>
        </row>
        <row r="5501">
          <cell r="Z5501" t="str">
            <v>262629</v>
          </cell>
        </row>
        <row r="5502">
          <cell r="Z5502" t="str">
            <v>262700</v>
          </cell>
        </row>
        <row r="5503">
          <cell r="Z5503" t="str">
            <v>262710</v>
          </cell>
        </row>
        <row r="5504">
          <cell r="Z5504" t="str">
            <v>262711</v>
          </cell>
        </row>
        <row r="5505">
          <cell r="Z5505" t="str">
            <v>262712</v>
          </cell>
        </row>
        <row r="5506">
          <cell r="Z5506" t="str">
            <v>262713</v>
          </cell>
        </row>
        <row r="5507">
          <cell r="Z5507" t="str">
            <v>262714</v>
          </cell>
        </row>
        <row r="5508">
          <cell r="Z5508" t="str">
            <v>262719</v>
          </cell>
        </row>
        <row r="5509">
          <cell r="Z5509" t="str">
            <v>262720</v>
          </cell>
        </row>
        <row r="5510">
          <cell r="Z5510" t="str">
            <v>262721</v>
          </cell>
        </row>
        <row r="5511">
          <cell r="Z5511" t="str">
            <v>262722</v>
          </cell>
        </row>
        <row r="5512">
          <cell r="Z5512" t="str">
            <v>262723</v>
          </cell>
        </row>
        <row r="5513">
          <cell r="Z5513" t="str">
            <v>262724</v>
          </cell>
        </row>
        <row r="5514">
          <cell r="Z5514" t="str">
            <v>262729</v>
          </cell>
        </row>
        <row r="5515">
          <cell r="Z5515" t="str">
            <v>262730</v>
          </cell>
        </row>
        <row r="5516">
          <cell r="Z5516" t="str">
            <v>262731</v>
          </cell>
        </row>
        <row r="5517">
          <cell r="Z5517" t="str">
            <v>262732</v>
          </cell>
        </row>
        <row r="5518">
          <cell r="Z5518" t="str">
            <v>262733</v>
          </cell>
        </row>
        <row r="5519">
          <cell r="Z5519" t="str">
            <v>262734</v>
          </cell>
        </row>
        <row r="5520">
          <cell r="Z5520" t="str">
            <v>262739</v>
          </cell>
        </row>
        <row r="5521">
          <cell r="Z5521" t="str">
            <v>262740</v>
          </cell>
        </row>
        <row r="5522">
          <cell r="Z5522" t="str">
            <v>262741</v>
          </cell>
        </row>
        <row r="5523">
          <cell r="Z5523" t="str">
            <v>262742</v>
          </cell>
        </row>
        <row r="5524">
          <cell r="Z5524" t="str">
            <v>262743</v>
          </cell>
        </row>
        <row r="5525">
          <cell r="Z5525" t="str">
            <v>262744</v>
          </cell>
        </row>
        <row r="5526">
          <cell r="Z5526" t="str">
            <v>262749</v>
          </cell>
        </row>
        <row r="5527">
          <cell r="Z5527" t="str">
            <v>262750</v>
          </cell>
        </row>
        <row r="5528">
          <cell r="Z5528" t="str">
            <v>262751</v>
          </cell>
        </row>
        <row r="5529">
          <cell r="Z5529" t="str">
            <v>262752</v>
          </cell>
        </row>
        <row r="5530">
          <cell r="Z5530" t="str">
            <v>262753</v>
          </cell>
        </row>
        <row r="5531">
          <cell r="Z5531" t="str">
            <v>262754</v>
          </cell>
        </row>
        <row r="5532">
          <cell r="Z5532" t="str">
            <v>262759</v>
          </cell>
        </row>
        <row r="5533">
          <cell r="Z5533" t="str">
            <v>262760</v>
          </cell>
        </row>
        <row r="5534">
          <cell r="Z5534" t="str">
            <v>262761</v>
          </cell>
        </row>
        <row r="5535">
          <cell r="Z5535" t="str">
            <v>262762</v>
          </cell>
        </row>
        <row r="5536">
          <cell r="Z5536" t="str">
            <v>262763</v>
          </cell>
        </row>
        <row r="5537">
          <cell r="Z5537" t="str">
            <v>262764</v>
          </cell>
        </row>
        <row r="5538">
          <cell r="Z5538" t="str">
            <v>262769</v>
          </cell>
        </row>
        <row r="5539">
          <cell r="Z5539" t="str">
            <v>262770</v>
          </cell>
        </row>
        <row r="5540">
          <cell r="Z5540" t="str">
            <v>262771</v>
          </cell>
        </row>
        <row r="5541">
          <cell r="Z5541" t="str">
            <v>262772</v>
          </cell>
        </row>
        <row r="5542">
          <cell r="Z5542" t="str">
            <v>262773</v>
          </cell>
        </row>
        <row r="5543">
          <cell r="Z5543" t="str">
            <v>262774</v>
          </cell>
        </row>
        <row r="5544">
          <cell r="Z5544" t="str">
            <v>262779</v>
          </cell>
        </row>
        <row r="5545">
          <cell r="Z5545" t="str">
            <v>262780</v>
          </cell>
        </row>
        <row r="5546">
          <cell r="Z5546" t="str">
            <v>262781</v>
          </cell>
        </row>
        <row r="5547">
          <cell r="Z5547" t="str">
            <v>262782</v>
          </cell>
        </row>
        <row r="5548">
          <cell r="Z5548" t="str">
            <v>262783</v>
          </cell>
        </row>
        <row r="5549">
          <cell r="Z5549" t="str">
            <v>262784</v>
          </cell>
        </row>
        <row r="5550">
          <cell r="Z5550" t="str">
            <v>262789</v>
          </cell>
        </row>
        <row r="5551">
          <cell r="Z5551" t="str">
            <v>262790</v>
          </cell>
        </row>
        <row r="5552">
          <cell r="Z5552" t="str">
            <v>262791</v>
          </cell>
        </row>
        <row r="5553">
          <cell r="Z5553" t="str">
            <v>262792</v>
          </cell>
        </row>
        <row r="5554">
          <cell r="Z5554" t="str">
            <v>262793</v>
          </cell>
        </row>
        <row r="5555">
          <cell r="Z5555" t="str">
            <v>262794</v>
          </cell>
        </row>
        <row r="5556">
          <cell r="Z5556" t="str">
            <v>262799</v>
          </cell>
        </row>
        <row r="5557">
          <cell r="Z5557" t="str">
            <v>262800</v>
          </cell>
        </row>
        <row r="5558">
          <cell r="Z5558" t="str">
            <v>262810</v>
          </cell>
        </row>
        <row r="5559">
          <cell r="Z5559" t="str">
            <v>262811</v>
          </cell>
        </row>
        <row r="5560">
          <cell r="Z5560" t="str">
            <v>262812</v>
          </cell>
        </row>
        <row r="5561">
          <cell r="Z5561" t="str">
            <v>262813</v>
          </cell>
        </row>
        <row r="5562">
          <cell r="Z5562" t="str">
            <v>262814</v>
          </cell>
        </row>
        <row r="5563">
          <cell r="Z5563" t="str">
            <v>262819</v>
          </cell>
        </row>
        <row r="5564">
          <cell r="Z5564" t="str">
            <v>262820</v>
          </cell>
        </row>
        <row r="5565">
          <cell r="Z5565" t="str">
            <v>262821</v>
          </cell>
        </row>
        <row r="5566">
          <cell r="Z5566" t="str">
            <v>262822</v>
          </cell>
        </row>
        <row r="5567">
          <cell r="Z5567" t="str">
            <v>262823</v>
          </cell>
        </row>
        <row r="5568">
          <cell r="Z5568" t="str">
            <v>262824</v>
          </cell>
        </row>
        <row r="5569">
          <cell r="Z5569" t="str">
            <v>262829</v>
          </cell>
        </row>
        <row r="5570">
          <cell r="Z5570" t="str">
            <v>262830</v>
          </cell>
        </row>
        <row r="5571">
          <cell r="Z5571" t="str">
            <v>262831</v>
          </cell>
        </row>
        <row r="5572">
          <cell r="Z5572" t="str">
            <v>262832</v>
          </cell>
        </row>
        <row r="5573">
          <cell r="Z5573" t="str">
            <v>262833</v>
          </cell>
        </row>
        <row r="5574">
          <cell r="Z5574" t="str">
            <v>262834</v>
          </cell>
        </row>
        <row r="5575">
          <cell r="Z5575" t="str">
            <v>262839</v>
          </cell>
        </row>
        <row r="5576">
          <cell r="Z5576" t="str">
            <v>263000</v>
          </cell>
        </row>
        <row r="5577">
          <cell r="Z5577" t="str">
            <v>263100</v>
          </cell>
        </row>
        <row r="5578">
          <cell r="Z5578" t="str">
            <v>263110</v>
          </cell>
        </row>
        <row r="5579">
          <cell r="Z5579" t="str">
            <v>263111</v>
          </cell>
        </row>
        <row r="5580">
          <cell r="Z5580" t="str">
            <v>263112</v>
          </cell>
        </row>
        <row r="5581">
          <cell r="Z5581" t="str">
            <v>263113</v>
          </cell>
        </row>
        <row r="5582">
          <cell r="Z5582" t="str">
            <v>263114</v>
          </cell>
        </row>
        <row r="5583">
          <cell r="Z5583" t="str">
            <v>263119</v>
          </cell>
        </row>
        <row r="5584">
          <cell r="Z5584" t="str">
            <v>263120</v>
          </cell>
        </row>
        <row r="5585">
          <cell r="Z5585" t="str">
            <v>263121</v>
          </cell>
        </row>
        <row r="5586">
          <cell r="Z5586" t="str">
            <v>263122</v>
          </cell>
        </row>
        <row r="5587">
          <cell r="Z5587" t="str">
            <v>263123</v>
          </cell>
        </row>
        <row r="5588">
          <cell r="Z5588" t="str">
            <v>263124</v>
          </cell>
        </row>
        <row r="5589">
          <cell r="Z5589" t="str">
            <v>263129</v>
          </cell>
        </row>
        <row r="5590">
          <cell r="Z5590" t="str">
            <v>263200</v>
          </cell>
        </row>
        <row r="5591">
          <cell r="Z5591" t="str">
            <v>263210</v>
          </cell>
        </row>
        <row r="5592">
          <cell r="Z5592" t="str">
            <v>263211</v>
          </cell>
        </row>
        <row r="5593">
          <cell r="Z5593" t="str">
            <v>263212</v>
          </cell>
        </row>
        <row r="5594">
          <cell r="Z5594" t="str">
            <v>263213</v>
          </cell>
        </row>
        <row r="5595">
          <cell r="Z5595" t="str">
            <v>263214</v>
          </cell>
        </row>
        <row r="5596">
          <cell r="Z5596" t="str">
            <v>263219</v>
          </cell>
        </row>
        <row r="5597">
          <cell r="Z5597" t="str">
            <v>263220</v>
          </cell>
        </row>
        <row r="5598">
          <cell r="Z5598" t="str">
            <v>263221</v>
          </cell>
        </row>
        <row r="5599">
          <cell r="Z5599" t="str">
            <v>263222</v>
          </cell>
        </row>
        <row r="5600">
          <cell r="Z5600" t="str">
            <v>263223</v>
          </cell>
        </row>
        <row r="5601">
          <cell r="Z5601" t="str">
            <v>263224</v>
          </cell>
        </row>
        <row r="5602">
          <cell r="Z5602" t="str">
            <v>263229</v>
          </cell>
        </row>
        <row r="5603">
          <cell r="Z5603" t="str">
            <v>263300</v>
          </cell>
        </row>
        <row r="5604">
          <cell r="Z5604" t="str">
            <v>263310</v>
          </cell>
        </row>
        <row r="5605">
          <cell r="Z5605" t="str">
            <v>263311</v>
          </cell>
        </row>
        <row r="5606">
          <cell r="Z5606" t="str">
            <v>263312</v>
          </cell>
        </row>
        <row r="5607">
          <cell r="Z5607" t="str">
            <v>263313</v>
          </cell>
        </row>
        <row r="5608">
          <cell r="Z5608" t="str">
            <v>263314</v>
          </cell>
        </row>
        <row r="5609">
          <cell r="Z5609" t="str">
            <v>263319</v>
          </cell>
        </row>
        <row r="5610">
          <cell r="Z5610" t="str">
            <v>263320</v>
          </cell>
        </row>
        <row r="5611">
          <cell r="Z5611" t="str">
            <v>263321</v>
          </cell>
        </row>
        <row r="5612">
          <cell r="Z5612" t="str">
            <v>263322</v>
          </cell>
        </row>
        <row r="5613">
          <cell r="Z5613" t="str">
            <v>263323</v>
          </cell>
        </row>
        <row r="5614">
          <cell r="Z5614" t="str">
            <v>263324</v>
          </cell>
        </row>
        <row r="5615">
          <cell r="Z5615" t="str">
            <v>263329</v>
          </cell>
        </row>
        <row r="5616">
          <cell r="Z5616" t="str">
            <v>263400</v>
          </cell>
        </row>
        <row r="5617">
          <cell r="Z5617" t="str">
            <v>263410</v>
          </cell>
        </row>
        <row r="5618">
          <cell r="Z5618" t="str">
            <v>263411</v>
          </cell>
        </row>
        <row r="5619">
          <cell r="Z5619" t="str">
            <v>263412</v>
          </cell>
        </row>
        <row r="5620">
          <cell r="Z5620" t="str">
            <v>263413</v>
          </cell>
        </row>
        <row r="5621">
          <cell r="Z5621" t="str">
            <v>263414</v>
          </cell>
        </row>
        <row r="5622">
          <cell r="Z5622" t="str">
            <v>263419</v>
          </cell>
        </row>
        <row r="5623">
          <cell r="Z5623" t="str">
            <v>263420</v>
          </cell>
        </row>
        <row r="5624">
          <cell r="Z5624" t="str">
            <v>263421</v>
          </cell>
        </row>
        <row r="5625">
          <cell r="Z5625" t="str">
            <v>263422</v>
          </cell>
        </row>
        <row r="5626">
          <cell r="Z5626" t="str">
            <v>263423</v>
          </cell>
        </row>
        <row r="5627">
          <cell r="Z5627" t="str">
            <v>263424</v>
          </cell>
        </row>
        <row r="5628">
          <cell r="Z5628" t="str">
            <v>263429</v>
          </cell>
        </row>
        <row r="5629">
          <cell r="Z5629" t="str">
            <v>263500</v>
          </cell>
        </row>
        <row r="5630">
          <cell r="Z5630" t="str">
            <v>263510</v>
          </cell>
        </row>
        <row r="5631">
          <cell r="Z5631" t="str">
            <v>263511</v>
          </cell>
        </row>
        <row r="5632">
          <cell r="Z5632" t="str">
            <v>263512</v>
          </cell>
        </row>
        <row r="5633">
          <cell r="Z5633" t="str">
            <v>263513</v>
          </cell>
        </row>
        <row r="5634">
          <cell r="Z5634" t="str">
            <v>263514</v>
          </cell>
        </row>
        <row r="5635">
          <cell r="Z5635" t="str">
            <v>263519</v>
          </cell>
        </row>
        <row r="5636">
          <cell r="Z5636" t="str">
            <v>263520</v>
          </cell>
        </row>
        <row r="5637">
          <cell r="Z5637" t="str">
            <v>263521</v>
          </cell>
        </row>
        <row r="5638">
          <cell r="Z5638" t="str">
            <v>263522</v>
          </cell>
        </row>
        <row r="5639">
          <cell r="Z5639" t="str">
            <v>263523</v>
          </cell>
        </row>
        <row r="5640">
          <cell r="Z5640" t="str">
            <v>263524</v>
          </cell>
        </row>
        <row r="5641">
          <cell r="Z5641" t="str">
            <v>263529</v>
          </cell>
        </row>
        <row r="5642">
          <cell r="Z5642" t="str">
            <v>263900</v>
          </cell>
        </row>
        <row r="5643">
          <cell r="Z5643" t="str">
            <v>263910</v>
          </cell>
        </row>
        <row r="5644">
          <cell r="Z5644" t="str">
            <v>263911</v>
          </cell>
        </row>
        <row r="5645">
          <cell r="Z5645" t="str">
            <v>263912</v>
          </cell>
        </row>
        <row r="5646">
          <cell r="Z5646" t="str">
            <v>263913</v>
          </cell>
        </row>
        <row r="5647">
          <cell r="Z5647" t="str">
            <v>263914</v>
          </cell>
        </row>
        <row r="5648">
          <cell r="Z5648" t="str">
            <v>263919</v>
          </cell>
        </row>
        <row r="5649">
          <cell r="Z5649" t="str">
            <v>263920</v>
          </cell>
        </row>
        <row r="5650">
          <cell r="Z5650" t="str">
            <v>263921</v>
          </cell>
        </row>
        <row r="5651">
          <cell r="Z5651" t="str">
            <v>263922</v>
          </cell>
        </row>
        <row r="5652">
          <cell r="Z5652" t="str">
            <v>263923</v>
          </cell>
        </row>
        <row r="5653">
          <cell r="Z5653" t="str">
            <v>263924</v>
          </cell>
        </row>
        <row r="5654">
          <cell r="Z5654" t="str">
            <v>263929</v>
          </cell>
        </row>
        <row r="5655">
          <cell r="Z5655" t="str">
            <v>270000</v>
          </cell>
        </row>
        <row r="5656">
          <cell r="Z5656" t="str">
            <v>271000</v>
          </cell>
        </row>
        <row r="5657">
          <cell r="Z5657" t="str">
            <v>271100</v>
          </cell>
        </row>
        <row r="5658">
          <cell r="Z5658" t="str">
            <v>271110</v>
          </cell>
        </row>
        <row r="5659">
          <cell r="Z5659" t="str">
            <v>271111</v>
          </cell>
        </row>
        <row r="5660">
          <cell r="Z5660" t="str">
            <v>271112</v>
          </cell>
        </row>
        <row r="5661">
          <cell r="Z5661" t="str">
            <v>271113</v>
          </cell>
        </row>
        <row r="5662">
          <cell r="Z5662" t="str">
            <v>271114</v>
          </cell>
        </row>
        <row r="5663">
          <cell r="Z5663" t="str">
            <v>271119</v>
          </cell>
        </row>
        <row r="5664">
          <cell r="Z5664" t="str">
            <v>271120</v>
          </cell>
        </row>
        <row r="5665">
          <cell r="Z5665" t="str">
            <v>271121</v>
          </cell>
        </row>
        <row r="5666">
          <cell r="Z5666" t="str">
            <v>271122</v>
          </cell>
        </row>
        <row r="5667">
          <cell r="Z5667" t="str">
            <v>271123</v>
          </cell>
        </row>
        <row r="5668">
          <cell r="Z5668" t="str">
            <v>271124</v>
          </cell>
        </row>
        <row r="5669">
          <cell r="Z5669" t="str">
            <v>271129</v>
          </cell>
        </row>
        <row r="5670">
          <cell r="Z5670" t="str">
            <v>271200</v>
          </cell>
        </row>
        <row r="5671">
          <cell r="Z5671" t="str">
            <v>271210</v>
          </cell>
        </row>
        <row r="5672">
          <cell r="Z5672" t="str">
            <v>271211</v>
          </cell>
        </row>
        <row r="5673">
          <cell r="Z5673" t="str">
            <v>271212</v>
          </cell>
        </row>
        <row r="5674">
          <cell r="Z5674" t="str">
            <v>271213</v>
          </cell>
        </row>
        <row r="5675">
          <cell r="Z5675" t="str">
            <v>271214</v>
          </cell>
        </row>
        <row r="5676">
          <cell r="Z5676" t="str">
            <v>271219</v>
          </cell>
        </row>
        <row r="5677">
          <cell r="Z5677" t="str">
            <v>271220</v>
          </cell>
        </row>
        <row r="5678">
          <cell r="Z5678" t="str">
            <v>271221</v>
          </cell>
        </row>
        <row r="5679">
          <cell r="Z5679" t="str">
            <v>271222</v>
          </cell>
        </row>
        <row r="5680">
          <cell r="Z5680" t="str">
            <v>271223</v>
          </cell>
        </row>
        <row r="5681">
          <cell r="Z5681" t="str">
            <v>271224</v>
          </cell>
        </row>
        <row r="5682">
          <cell r="Z5682" t="str">
            <v>271229</v>
          </cell>
        </row>
        <row r="5683">
          <cell r="Z5683" t="str">
            <v>271300</v>
          </cell>
        </row>
        <row r="5684">
          <cell r="Z5684" t="str">
            <v>271310</v>
          </cell>
        </row>
        <row r="5685">
          <cell r="Z5685" t="str">
            <v>271311</v>
          </cell>
        </row>
        <row r="5686">
          <cell r="Z5686" t="str">
            <v>271312</v>
          </cell>
        </row>
        <row r="5687">
          <cell r="Z5687" t="str">
            <v>271313</v>
          </cell>
        </row>
        <row r="5688">
          <cell r="Z5688" t="str">
            <v>271314</v>
          </cell>
        </row>
        <row r="5689">
          <cell r="Z5689" t="str">
            <v>271319</v>
          </cell>
        </row>
        <row r="5690">
          <cell r="Z5690" t="str">
            <v>271320</v>
          </cell>
        </row>
        <row r="5691">
          <cell r="Z5691" t="str">
            <v>271321</v>
          </cell>
        </row>
        <row r="5692">
          <cell r="Z5692" t="str">
            <v>271322</v>
          </cell>
        </row>
        <row r="5693">
          <cell r="Z5693" t="str">
            <v>271323</v>
          </cell>
        </row>
        <row r="5694">
          <cell r="Z5694" t="str">
            <v>271324</v>
          </cell>
        </row>
        <row r="5695">
          <cell r="Z5695" t="str">
            <v>271329</v>
          </cell>
        </row>
        <row r="5696">
          <cell r="Z5696" t="str">
            <v>272000</v>
          </cell>
        </row>
        <row r="5697">
          <cell r="Z5697" t="str">
            <v>272100</v>
          </cell>
        </row>
        <row r="5698">
          <cell r="Z5698" t="str">
            <v>272110</v>
          </cell>
        </row>
        <row r="5699">
          <cell r="Z5699" t="str">
            <v>272111</v>
          </cell>
        </row>
        <row r="5700">
          <cell r="Z5700" t="str">
            <v>272112</v>
          </cell>
        </row>
        <row r="5701">
          <cell r="Z5701" t="str">
            <v>272113</v>
          </cell>
        </row>
        <row r="5702">
          <cell r="Z5702" t="str">
            <v>272114</v>
          </cell>
        </row>
        <row r="5703">
          <cell r="Z5703" t="str">
            <v>272119</v>
          </cell>
        </row>
        <row r="5704">
          <cell r="Z5704" t="str">
            <v>272120</v>
          </cell>
        </row>
        <row r="5705">
          <cell r="Z5705" t="str">
            <v>272121</v>
          </cell>
        </row>
        <row r="5706">
          <cell r="Z5706" t="str">
            <v>272122</v>
          </cell>
        </row>
        <row r="5707">
          <cell r="Z5707" t="str">
            <v>272123</v>
          </cell>
        </row>
        <row r="5708">
          <cell r="Z5708" t="str">
            <v>272124</v>
          </cell>
        </row>
        <row r="5709">
          <cell r="Z5709" t="str">
            <v>272129</v>
          </cell>
        </row>
        <row r="5710">
          <cell r="Z5710" t="str">
            <v>272130</v>
          </cell>
        </row>
        <row r="5711">
          <cell r="Z5711" t="str">
            <v>272131</v>
          </cell>
        </row>
        <row r="5712">
          <cell r="Z5712" t="str">
            <v>272132</v>
          </cell>
        </row>
        <row r="5713">
          <cell r="Z5713" t="str">
            <v>272133</v>
          </cell>
        </row>
        <row r="5714">
          <cell r="Z5714" t="str">
            <v>272134</v>
          </cell>
        </row>
        <row r="5715">
          <cell r="Z5715" t="str">
            <v>272139</v>
          </cell>
        </row>
        <row r="5716">
          <cell r="Z5716" t="str">
            <v>272200</v>
          </cell>
        </row>
        <row r="5717">
          <cell r="Z5717" t="str">
            <v>272210</v>
          </cell>
        </row>
        <row r="5718">
          <cell r="Z5718" t="str">
            <v>272211</v>
          </cell>
        </row>
        <row r="5719">
          <cell r="Z5719" t="str">
            <v>272212</v>
          </cell>
        </row>
        <row r="5720">
          <cell r="Z5720" t="str">
            <v>272213</v>
          </cell>
        </row>
        <row r="5721">
          <cell r="Z5721" t="str">
            <v>272214</v>
          </cell>
        </row>
        <row r="5722">
          <cell r="Z5722" t="str">
            <v>272219</v>
          </cell>
        </row>
        <row r="5723">
          <cell r="Z5723" t="str">
            <v>272220</v>
          </cell>
        </row>
        <row r="5724">
          <cell r="Z5724" t="str">
            <v>272221</v>
          </cell>
        </row>
        <row r="5725">
          <cell r="Z5725" t="str">
            <v>272222</v>
          </cell>
        </row>
        <row r="5726">
          <cell r="Z5726" t="str">
            <v>272223</v>
          </cell>
        </row>
        <row r="5727">
          <cell r="Z5727" t="str">
            <v>272224</v>
          </cell>
        </row>
        <row r="5728">
          <cell r="Z5728" t="str">
            <v>272229</v>
          </cell>
        </row>
        <row r="5729">
          <cell r="Z5729" t="str">
            <v>272230</v>
          </cell>
        </row>
        <row r="5730">
          <cell r="Z5730" t="str">
            <v>272231</v>
          </cell>
        </row>
        <row r="5731">
          <cell r="Z5731" t="str">
            <v>272232</v>
          </cell>
        </row>
        <row r="5732">
          <cell r="Z5732" t="str">
            <v>272233</v>
          </cell>
        </row>
        <row r="5733">
          <cell r="Z5733" t="str">
            <v>272234</v>
          </cell>
        </row>
        <row r="5734">
          <cell r="Z5734" t="str">
            <v>272239</v>
          </cell>
        </row>
        <row r="5735">
          <cell r="Z5735" t="str">
            <v>272300</v>
          </cell>
        </row>
        <row r="5736">
          <cell r="Z5736" t="str">
            <v>272310</v>
          </cell>
        </row>
        <row r="5737">
          <cell r="Z5737" t="str">
            <v>272311</v>
          </cell>
        </row>
        <row r="5738">
          <cell r="Z5738" t="str">
            <v>272312</v>
          </cell>
        </row>
        <row r="5739">
          <cell r="Z5739" t="str">
            <v>272313</v>
          </cell>
        </row>
        <row r="5740">
          <cell r="Z5740" t="str">
            <v>272314</v>
          </cell>
        </row>
        <row r="5741">
          <cell r="Z5741" t="str">
            <v>272319</v>
          </cell>
        </row>
        <row r="5742">
          <cell r="Z5742" t="str">
            <v>272320</v>
          </cell>
        </row>
        <row r="5743">
          <cell r="Z5743" t="str">
            <v>272321</v>
          </cell>
        </row>
        <row r="5744">
          <cell r="Z5744" t="str">
            <v>272322</v>
          </cell>
        </row>
        <row r="5745">
          <cell r="Z5745" t="str">
            <v>272323</v>
          </cell>
        </row>
        <row r="5746">
          <cell r="Z5746" t="str">
            <v>272324</v>
          </cell>
        </row>
        <row r="5747">
          <cell r="Z5747" t="str">
            <v>272329</v>
          </cell>
        </row>
        <row r="5748">
          <cell r="Z5748" t="str">
            <v>272330</v>
          </cell>
        </row>
        <row r="5749">
          <cell r="Z5749" t="str">
            <v>272331</v>
          </cell>
        </row>
        <row r="5750">
          <cell r="Z5750" t="str">
            <v>272332</v>
          </cell>
        </row>
        <row r="5751">
          <cell r="Z5751" t="str">
            <v>272333</v>
          </cell>
        </row>
        <row r="5752">
          <cell r="Z5752" t="str">
            <v>272334</v>
          </cell>
        </row>
        <row r="5753">
          <cell r="Z5753" t="str">
            <v>272339</v>
          </cell>
        </row>
        <row r="5754">
          <cell r="Z5754" t="str">
            <v>272340</v>
          </cell>
        </row>
        <row r="5755">
          <cell r="Z5755" t="str">
            <v>272341</v>
          </cell>
        </row>
        <row r="5756">
          <cell r="Z5756" t="str">
            <v>272342</v>
          </cell>
        </row>
        <row r="5757">
          <cell r="Z5757" t="str">
            <v>272343</v>
          </cell>
        </row>
        <row r="5758">
          <cell r="Z5758" t="str">
            <v>272344</v>
          </cell>
        </row>
        <row r="5759">
          <cell r="Z5759" t="str">
            <v>272349</v>
          </cell>
        </row>
        <row r="5760">
          <cell r="Z5760" t="str">
            <v>272350</v>
          </cell>
        </row>
        <row r="5761">
          <cell r="Z5761" t="str">
            <v>272351</v>
          </cell>
        </row>
        <row r="5762">
          <cell r="Z5762" t="str">
            <v>272352</v>
          </cell>
        </row>
        <row r="5763">
          <cell r="Z5763" t="str">
            <v>272353</v>
          </cell>
        </row>
        <row r="5764">
          <cell r="Z5764" t="str">
            <v>272354</v>
          </cell>
        </row>
        <row r="5765">
          <cell r="Z5765" t="str">
            <v>272359</v>
          </cell>
        </row>
        <row r="5766">
          <cell r="Z5766" t="str">
            <v>272360</v>
          </cell>
        </row>
        <row r="5767">
          <cell r="Z5767" t="str">
            <v>272361</v>
          </cell>
        </row>
        <row r="5768">
          <cell r="Z5768" t="str">
            <v>272362</v>
          </cell>
        </row>
        <row r="5769">
          <cell r="Z5769" t="str">
            <v>272363</v>
          </cell>
        </row>
        <row r="5770">
          <cell r="Z5770" t="str">
            <v>272364</v>
          </cell>
        </row>
        <row r="5771">
          <cell r="Z5771" t="str">
            <v>272369</v>
          </cell>
        </row>
        <row r="5772">
          <cell r="Z5772" t="str">
            <v>272370</v>
          </cell>
        </row>
        <row r="5773">
          <cell r="Z5773" t="str">
            <v>272371</v>
          </cell>
        </row>
        <row r="5774">
          <cell r="Z5774" t="str">
            <v>272372</v>
          </cell>
        </row>
        <row r="5775">
          <cell r="Z5775" t="str">
            <v>272373</v>
          </cell>
        </row>
        <row r="5776">
          <cell r="Z5776" t="str">
            <v>272374</v>
          </cell>
        </row>
        <row r="5777">
          <cell r="Z5777" t="str">
            <v>272379</v>
          </cell>
        </row>
        <row r="5778">
          <cell r="Z5778" t="str">
            <v>272380</v>
          </cell>
        </row>
        <row r="5779">
          <cell r="Z5779" t="str">
            <v>272381</v>
          </cell>
        </row>
        <row r="5780">
          <cell r="Z5780" t="str">
            <v>272382</v>
          </cell>
        </row>
        <row r="5781">
          <cell r="Z5781" t="str">
            <v>272383</v>
          </cell>
        </row>
        <row r="5782">
          <cell r="Z5782" t="str">
            <v>272384</v>
          </cell>
        </row>
        <row r="5783">
          <cell r="Z5783" t="str">
            <v>272389</v>
          </cell>
        </row>
        <row r="5784">
          <cell r="Z5784" t="str">
            <v>272390</v>
          </cell>
        </row>
        <row r="5785">
          <cell r="Z5785" t="str">
            <v>272391</v>
          </cell>
        </row>
        <row r="5786">
          <cell r="Z5786" t="str">
            <v>272392</v>
          </cell>
        </row>
        <row r="5787">
          <cell r="Z5787" t="str">
            <v>272393</v>
          </cell>
        </row>
        <row r="5788">
          <cell r="Z5788" t="str">
            <v>272394</v>
          </cell>
        </row>
        <row r="5789">
          <cell r="Z5789" t="str">
            <v>272399</v>
          </cell>
        </row>
        <row r="5790">
          <cell r="Z5790" t="str">
            <v>272400</v>
          </cell>
        </row>
        <row r="5791">
          <cell r="Z5791" t="str">
            <v>272410</v>
          </cell>
        </row>
        <row r="5792">
          <cell r="Z5792" t="str">
            <v>272411</v>
          </cell>
        </row>
        <row r="5793">
          <cell r="Z5793" t="str">
            <v>272412</v>
          </cell>
        </row>
        <row r="5794">
          <cell r="Z5794" t="str">
            <v>272413</v>
          </cell>
        </row>
        <row r="5795">
          <cell r="Z5795" t="str">
            <v>272414</v>
          </cell>
        </row>
        <row r="5796">
          <cell r="Z5796" t="str">
            <v>272419</v>
          </cell>
        </row>
        <row r="5797">
          <cell r="Z5797" t="str">
            <v>272420</v>
          </cell>
        </row>
        <row r="5798">
          <cell r="Z5798" t="str">
            <v>272421</v>
          </cell>
        </row>
        <row r="5799">
          <cell r="Z5799" t="str">
            <v>272422</v>
          </cell>
        </row>
        <row r="5800">
          <cell r="Z5800" t="str">
            <v>272423</v>
          </cell>
        </row>
        <row r="5801">
          <cell r="Z5801" t="str">
            <v>272424</v>
          </cell>
        </row>
        <row r="5802">
          <cell r="Z5802" t="str">
            <v>272429</v>
          </cell>
        </row>
        <row r="5803">
          <cell r="Z5803" t="str">
            <v>272430</v>
          </cell>
        </row>
        <row r="5804">
          <cell r="Z5804" t="str">
            <v>272431</v>
          </cell>
        </row>
        <row r="5805">
          <cell r="Z5805" t="str">
            <v>272432</v>
          </cell>
        </row>
        <row r="5806">
          <cell r="Z5806" t="str">
            <v>272433</v>
          </cell>
        </row>
        <row r="5807">
          <cell r="Z5807" t="str">
            <v>272434</v>
          </cell>
        </row>
        <row r="5808">
          <cell r="Z5808" t="str">
            <v>272439</v>
          </cell>
        </row>
        <row r="5809">
          <cell r="Z5809" t="str">
            <v>272500</v>
          </cell>
        </row>
        <row r="5810">
          <cell r="Z5810" t="str">
            <v>272510</v>
          </cell>
        </row>
        <row r="5811">
          <cell r="Z5811" t="str">
            <v>272511</v>
          </cell>
        </row>
        <row r="5812">
          <cell r="Z5812" t="str">
            <v>272512</v>
          </cell>
        </row>
        <row r="5813">
          <cell r="Z5813" t="str">
            <v>272513</v>
          </cell>
        </row>
        <row r="5814">
          <cell r="Z5814" t="str">
            <v>272514</v>
          </cell>
        </row>
        <row r="5815">
          <cell r="Z5815" t="str">
            <v>272519</v>
          </cell>
        </row>
        <row r="5816">
          <cell r="Z5816" t="str">
            <v>272520</v>
          </cell>
        </row>
        <row r="5817">
          <cell r="Z5817" t="str">
            <v>272521</v>
          </cell>
        </row>
        <row r="5818">
          <cell r="Z5818" t="str">
            <v>272522</v>
          </cell>
        </row>
        <row r="5819">
          <cell r="Z5819" t="str">
            <v>272523</v>
          </cell>
        </row>
        <row r="5820">
          <cell r="Z5820" t="str">
            <v>272524</v>
          </cell>
        </row>
        <row r="5821">
          <cell r="Z5821" t="str">
            <v>272529</v>
          </cell>
        </row>
        <row r="5822">
          <cell r="Z5822" t="str">
            <v>272600</v>
          </cell>
        </row>
        <row r="5823">
          <cell r="Z5823" t="str">
            <v>272610</v>
          </cell>
        </row>
        <row r="5824">
          <cell r="Z5824" t="str">
            <v>272611</v>
          </cell>
        </row>
        <row r="5825">
          <cell r="Z5825" t="str">
            <v>272612</v>
          </cell>
        </row>
        <row r="5826">
          <cell r="Z5826" t="str">
            <v>272613</v>
          </cell>
        </row>
        <row r="5827">
          <cell r="Z5827" t="str">
            <v>272614</v>
          </cell>
        </row>
        <row r="5828">
          <cell r="Z5828" t="str">
            <v>272619</v>
          </cell>
        </row>
        <row r="5829">
          <cell r="Z5829" t="str">
            <v>272620</v>
          </cell>
        </row>
        <row r="5830">
          <cell r="Z5830" t="str">
            <v>272621</v>
          </cell>
        </row>
        <row r="5831">
          <cell r="Z5831" t="str">
            <v>272622</v>
          </cell>
        </row>
        <row r="5832">
          <cell r="Z5832" t="str">
            <v>272623</v>
          </cell>
        </row>
        <row r="5833">
          <cell r="Z5833" t="str">
            <v>272624</v>
          </cell>
        </row>
        <row r="5834">
          <cell r="Z5834" t="str">
            <v>272629</v>
          </cell>
        </row>
        <row r="5835">
          <cell r="Z5835" t="str">
            <v>272700</v>
          </cell>
        </row>
        <row r="5836">
          <cell r="Z5836" t="str">
            <v>272710</v>
          </cell>
        </row>
        <row r="5837">
          <cell r="Z5837" t="str">
            <v>272711</v>
          </cell>
        </row>
        <row r="5838">
          <cell r="Z5838" t="str">
            <v>272712</v>
          </cell>
        </row>
        <row r="5839">
          <cell r="Z5839" t="str">
            <v>272713</v>
          </cell>
        </row>
        <row r="5840">
          <cell r="Z5840" t="str">
            <v>272714</v>
          </cell>
        </row>
        <row r="5841">
          <cell r="Z5841" t="str">
            <v>272719</v>
          </cell>
        </row>
        <row r="5842">
          <cell r="Z5842" t="str">
            <v>272720</v>
          </cell>
        </row>
        <row r="5843">
          <cell r="Z5843" t="str">
            <v>272721</v>
          </cell>
        </row>
        <row r="5844">
          <cell r="Z5844" t="str">
            <v>272722</v>
          </cell>
        </row>
        <row r="5845">
          <cell r="Z5845" t="str">
            <v>272723</v>
          </cell>
        </row>
        <row r="5846">
          <cell r="Z5846" t="str">
            <v>272724</v>
          </cell>
        </row>
        <row r="5847">
          <cell r="Z5847" t="str">
            <v>272729</v>
          </cell>
        </row>
        <row r="5848">
          <cell r="Z5848" t="str">
            <v>272730</v>
          </cell>
        </row>
        <row r="5849">
          <cell r="Z5849" t="str">
            <v>272731</v>
          </cell>
        </row>
        <row r="5850">
          <cell r="Z5850" t="str">
            <v>272732</v>
          </cell>
        </row>
        <row r="5851">
          <cell r="Z5851" t="str">
            <v>272733</v>
          </cell>
        </row>
        <row r="5852">
          <cell r="Z5852" t="str">
            <v>272734</v>
          </cell>
        </row>
        <row r="5853">
          <cell r="Z5853" t="str">
            <v>272739</v>
          </cell>
        </row>
        <row r="5854">
          <cell r="Z5854" t="str">
            <v>272740</v>
          </cell>
        </row>
        <row r="5855">
          <cell r="Z5855" t="str">
            <v>272741</v>
          </cell>
        </row>
        <row r="5856">
          <cell r="Z5856" t="str">
            <v>272742</v>
          </cell>
        </row>
        <row r="5857">
          <cell r="Z5857" t="str">
            <v>272743</v>
          </cell>
        </row>
        <row r="5858">
          <cell r="Z5858" t="str">
            <v>272744</v>
          </cell>
        </row>
        <row r="5859">
          <cell r="Z5859" t="str">
            <v>272749</v>
          </cell>
        </row>
        <row r="5860">
          <cell r="Z5860" t="str">
            <v>272750</v>
          </cell>
        </row>
        <row r="5861">
          <cell r="Z5861" t="str">
            <v>272751</v>
          </cell>
        </row>
        <row r="5862">
          <cell r="Z5862" t="str">
            <v>272752</v>
          </cell>
        </row>
        <row r="5863">
          <cell r="Z5863" t="str">
            <v>272753</v>
          </cell>
        </row>
        <row r="5864">
          <cell r="Z5864" t="str">
            <v>272754</v>
          </cell>
        </row>
        <row r="5865">
          <cell r="Z5865" t="str">
            <v>272759</v>
          </cell>
        </row>
        <row r="5866">
          <cell r="Z5866" t="str">
            <v>272760</v>
          </cell>
        </row>
        <row r="5867">
          <cell r="Z5867" t="str">
            <v>272761</v>
          </cell>
        </row>
        <row r="5868">
          <cell r="Z5868" t="str">
            <v>272762</v>
          </cell>
        </row>
        <row r="5869">
          <cell r="Z5869" t="str">
            <v>272763</v>
          </cell>
        </row>
        <row r="5870">
          <cell r="Z5870" t="str">
            <v>272764</v>
          </cell>
        </row>
        <row r="5871">
          <cell r="Z5871" t="str">
            <v>272769</v>
          </cell>
        </row>
        <row r="5872">
          <cell r="Z5872" t="str">
            <v>272770</v>
          </cell>
        </row>
        <row r="5873">
          <cell r="Z5873" t="str">
            <v>272771</v>
          </cell>
        </row>
        <row r="5874">
          <cell r="Z5874" t="str">
            <v>272772</v>
          </cell>
        </row>
        <row r="5875">
          <cell r="Z5875" t="str">
            <v>272773</v>
          </cell>
        </row>
        <row r="5876">
          <cell r="Z5876" t="str">
            <v>272774</v>
          </cell>
        </row>
        <row r="5877">
          <cell r="Z5877" t="str">
            <v>272779</v>
          </cell>
        </row>
        <row r="5878">
          <cell r="Z5878" t="str">
            <v>272780</v>
          </cell>
        </row>
        <row r="5879">
          <cell r="Z5879" t="str">
            <v>272781</v>
          </cell>
        </row>
        <row r="5880">
          <cell r="Z5880" t="str">
            <v>272782</v>
          </cell>
        </row>
        <row r="5881">
          <cell r="Z5881" t="str">
            <v>272783</v>
          </cell>
        </row>
        <row r="5882">
          <cell r="Z5882" t="str">
            <v>272784</v>
          </cell>
        </row>
        <row r="5883">
          <cell r="Z5883" t="str">
            <v>272789</v>
          </cell>
        </row>
        <row r="5884">
          <cell r="Z5884" t="str">
            <v>272790</v>
          </cell>
        </row>
        <row r="5885">
          <cell r="Z5885" t="str">
            <v>272791</v>
          </cell>
        </row>
        <row r="5886">
          <cell r="Z5886" t="str">
            <v>272792</v>
          </cell>
        </row>
        <row r="5887">
          <cell r="Z5887" t="str">
            <v>272793</v>
          </cell>
        </row>
        <row r="5888">
          <cell r="Z5888" t="str">
            <v>272794</v>
          </cell>
        </row>
        <row r="5889">
          <cell r="Z5889" t="str">
            <v>272799</v>
          </cell>
        </row>
        <row r="5890">
          <cell r="Z5890" t="str">
            <v>272800</v>
          </cell>
        </row>
        <row r="5891">
          <cell r="Z5891" t="str">
            <v>272810</v>
          </cell>
        </row>
        <row r="5892">
          <cell r="Z5892" t="str">
            <v>272811</v>
          </cell>
        </row>
        <row r="5893">
          <cell r="Z5893" t="str">
            <v>272812</v>
          </cell>
        </row>
        <row r="5894">
          <cell r="Z5894" t="str">
            <v>272813</v>
          </cell>
        </row>
        <row r="5895">
          <cell r="Z5895" t="str">
            <v>272814</v>
          </cell>
        </row>
        <row r="5896">
          <cell r="Z5896" t="str">
            <v>272819</v>
          </cell>
        </row>
        <row r="5897">
          <cell r="Z5897" t="str">
            <v>272820</v>
          </cell>
        </row>
        <row r="5898">
          <cell r="Z5898" t="str">
            <v>272821</v>
          </cell>
        </row>
        <row r="5899">
          <cell r="Z5899" t="str">
            <v>272822</v>
          </cell>
        </row>
        <row r="5900">
          <cell r="Z5900" t="str">
            <v>272823</v>
          </cell>
        </row>
        <row r="5901">
          <cell r="Z5901" t="str">
            <v>272824</v>
          </cell>
        </row>
        <row r="5902">
          <cell r="Z5902" t="str">
            <v>272829</v>
          </cell>
        </row>
        <row r="5903">
          <cell r="Z5903" t="str">
            <v>272830</v>
          </cell>
        </row>
        <row r="5904">
          <cell r="Z5904" t="str">
            <v>272831</v>
          </cell>
        </row>
        <row r="5905">
          <cell r="Z5905" t="str">
            <v>272832</v>
          </cell>
        </row>
        <row r="5906">
          <cell r="Z5906" t="str">
            <v>272833</v>
          </cell>
        </row>
        <row r="5907">
          <cell r="Z5907" t="str">
            <v>272834</v>
          </cell>
        </row>
        <row r="5908">
          <cell r="Z5908" t="str">
            <v>272839</v>
          </cell>
        </row>
        <row r="5909">
          <cell r="Z5909" t="str">
            <v>273000</v>
          </cell>
        </row>
        <row r="5910">
          <cell r="Z5910" t="str">
            <v>273100</v>
          </cell>
        </row>
        <row r="5911">
          <cell r="Z5911" t="str">
            <v>273110</v>
          </cell>
        </row>
        <row r="5912">
          <cell r="Z5912" t="str">
            <v>273111</v>
          </cell>
        </row>
        <row r="5913">
          <cell r="Z5913" t="str">
            <v>273112</v>
          </cell>
        </row>
        <row r="5914">
          <cell r="Z5914" t="str">
            <v>273113</v>
          </cell>
        </row>
        <row r="5915">
          <cell r="Z5915" t="str">
            <v>273114</v>
          </cell>
        </row>
        <row r="5916">
          <cell r="Z5916" t="str">
            <v>273119</v>
          </cell>
        </row>
        <row r="5917">
          <cell r="Z5917" t="str">
            <v>273120</v>
          </cell>
        </row>
        <row r="5918">
          <cell r="Z5918" t="str">
            <v>273121</v>
          </cell>
        </row>
        <row r="5919">
          <cell r="Z5919" t="str">
            <v>273122</v>
          </cell>
        </row>
        <row r="5920">
          <cell r="Z5920" t="str">
            <v>273123</v>
          </cell>
        </row>
        <row r="5921">
          <cell r="Z5921" t="str">
            <v>273124</v>
          </cell>
        </row>
        <row r="5922">
          <cell r="Z5922" t="str">
            <v>273129</v>
          </cell>
        </row>
        <row r="5923">
          <cell r="Z5923" t="str">
            <v>273200</v>
          </cell>
        </row>
        <row r="5924">
          <cell r="Z5924" t="str">
            <v>273210</v>
          </cell>
        </row>
        <row r="5925">
          <cell r="Z5925" t="str">
            <v>273211</v>
          </cell>
        </row>
        <row r="5926">
          <cell r="Z5926" t="str">
            <v>273212</v>
          </cell>
        </row>
        <row r="5927">
          <cell r="Z5927" t="str">
            <v>273213</v>
          </cell>
        </row>
        <row r="5928">
          <cell r="Z5928" t="str">
            <v>273214</v>
          </cell>
        </row>
        <row r="5929">
          <cell r="Z5929" t="str">
            <v>273219</v>
          </cell>
        </row>
        <row r="5930">
          <cell r="Z5930" t="str">
            <v>273220</v>
          </cell>
        </row>
        <row r="5931">
          <cell r="Z5931" t="str">
            <v>273221</v>
          </cell>
        </row>
        <row r="5932">
          <cell r="Z5932" t="str">
            <v>273222</v>
          </cell>
        </row>
        <row r="5933">
          <cell r="Z5933" t="str">
            <v>273223</v>
          </cell>
        </row>
        <row r="5934">
          <cell r="Z5934" t="str">
            <v>273224</v>
          </cell>
        </row>
        <row r="5935">
          <cell r="Z5935" t="str">
            <v>273229</v>
          </cell>
        </row>
        <row r="5936">
          <cell r="Z5936" t="str">
            <v>273300</v>
          </cell>
        </row>
        <row r="5937">
          <cell r="Z5937" t="str">
            <v>273310</v>
          </cell>
        </row>
        <row r="5938">
          <cell r="Z5938" t="str">
            <v>273311</v>
          </cell>
        </row>
        <row r="5939">
          <cell r="Z5939" t="str">
            <v>273312</v>
          </cell>
        </row>
        <row r="5940">
          <cell r="Z5940" t="str">
            <v>273313</v>
          </cell>
        </row>
        <row r="5941">
          <cell r="Z5941" t="str">
            <v>273314</v>
          </cell>
        </row>
        <row r="5942">
          <cell r="Z5942" t="str">
            <v>273319</v>
          </cell>
        </row>
        <row r="5943">
          <cell r="Z5943" t="str">
            <v>273320</v>
          </cell>
        </row>
        <row r="5944">
          <cell r="Z5944" t="str">
            <v>273321</v>
          </cell>
        </row>
        <row r="5945">
          <cell r="Z5945" t="str">
            <v>273322</v>
          </cell>
        </row>
        <row r="5946">
          <cell r="Z5946" t="str">
            <v>273323</v>
          </cell>
        </row>
        <row r="5947">
          <cell r="Z5947" t="str">
            <v>273324</v>
          </cell>
        </row>
        <row r="5948">
          <cell r="Z5948" t="str">
            <v>273329</v>
          </cell>
        </row>
        <row r="5949">
          <cell r="Z5949" t="str">
            <v>273400</v>
          </cell>
        </row>
        <row r="5950">
          <cell r="Z5950" t="str">
            <v>273410</v>
          </cell>
        </row>
        <row r="5951">
          <cell r="Z5951" t="str">
            <v>273411</v>
          </cell>
        </row>
        <row r="5952">
          <cell r="Z5952" t="str">
            <v>273412</v>
          </cell>
        </row>
        <row r="5953">
          <cell r="Z5953" t="str">
            <v>273413</v>
          </cell>
        </row>
        <row r="5954">
          <cell r="Z5954" t="str">
            <v>273414</v>
          </cell>
        </row>
        <row r="5955">
          <cell r="Z5955" t="str">
            <v>273419</v>
          </cell>
        </row>
        <row r="5956">
          <cell r="Z5956" t="str">
            <v>273420</v>
          </cell>
        </row>
        <row r="5957">
          <cell r="Z5957" t="str">
            <v>273421</v>
          </cell>
        </row>
        <row r="5958">
          <cell r="Z5958" t="str">
            <v>273422</v>
          </cell>
        </row>
        <row r="5959">
          <cell r="Z5959" t="str">
            <v>273423</v>
          </cell>
        </row>
        <row r="5960">
          <cell r="Z5960" t="str">
            <v>273424</v>
          </cell>
        </row>
        <row r="5961">
          <cell r="Z5961" t="str">
            <v>273429</v>
          </cell>
        </row>
        <row r="5962">
          <cell r="Z5962" t="str">
            <v>273500</v>
          </cell>
        </row>
        <row r="5963">
          <cell r="Z5963" t="str">
            <v>273510</v>
          </cell>
        </row>
        <row r="5964">
          <cell r="Z5964" t="str">
            <v>273511</v>
          </cell>
        </row>
        <row r="5965">
          <cell r="Z5965" t="str">
            <v>273512</v>
          </cell>
        </row>
        <row r="5966">
          <cell r="Z5966" t="str">
            <v>273513</v>
          </cell>
        </row>
        <row r="5967">
          <cell r="Z5967" t="str">
            <v>273514</v>
          </cell>
        </row>
        <row r="5968">
          <cell r="Z5968" t="str">
            <v>273519</v>
          </cell>
        </row>
        <row r="5969">
          <cell r="Z5969" t="str">
            <v>273520</v>
          </cell>
        </row>
        <row r="5970">
          <cell r="Z5970" t="str">
            <v>273521</v>
          </cell>
        </row>
        <row r="5971">
          <cell r="Z5971" t="str">
            <v>273522</v>
          </cell>
        </row>
        <row r="5972">
          <cell r="Z5972" t="str">
            <v>273523</v>
          </cell>
        </row>
        <row r="5973">
          <cell r="Z5973" t="str">
            <v>273524</v>
          </cell>
        </row>
        <row r="5974">
          <cell r="Z5974" t="str">
            <v>273529</v>
          </cell>
        </row>
        <row r="5975">
          <cell r="Z5975" t="str">
            <v>273900</v>
          </cell>
        </row>
        <row r="5976">
          <cell r="Z5976" t="str">
            <v>273910</v>
          </cell>
        </row>
        <row r="5977">
          <cell r="Z5977" t="str">
            <v>273911</v>
          </cell>
        </row>
        <row r="5978">
          <cell r="Z5978" t="str">
            <v>273912</v>
          </cell>
        </row>
        <row r="5979">
          <cell r="Z5979" t="str">
            <v>273913</v>
          </cell>
        </row>
        <row r="5980">
          <cell r="Z5980" t="str">
            <v>273914</v>
          </cell>
        </row>
        <row r="5981">
          <cell r="Z5981" t="str">
            <v>273919</v>
          </cell>
        </row>
        <row r="5982">
          <cell r="Z5982" t="str">
            <v>273920</v>
          </cell>
        </row>
        <row r="5983">
          <cell r="Z5983" t="str">
            <v>273921</v>
          </cell>
        </row>
        <row r="5984">
          <cell r="Z5984" t="str">
            <v>273922</v>
          </cell>
        </row>
        <row r="5985">
          <cell r="Z5985" t="str">
            <v>273923</v>
          </cell>
        </row>
        <row r="5986">
          <cell r="Z5986" t="str">
            <v>273924</v>
          </cell>
        </row>
        <row r="5987">
          <cell r="Z5987" t="str">
            <v>273929</v>
          </cell>
        </row>
        <row r="5988">
          <cell r="Z5988" t="str">
            <v>280000</v>
          </cell>
        </row>
        <row r="5989">
          <cell r="Z5989" t="str">
            <v>281000</v>
          </cell>
        </row>
        <row r="5990">
          <cell r="Z5990" t="str">
            <v>281100</v>
          </cell>
        </row>
        <row r="5991">
          <cell r="Z5991" t="str">
            <v>281110</v>
          </cell>
        </row>
        <row r="5992">
          <cell r="Z5992" t="str">
            <v>281111</v>
          </cell>
        </row>
        <row r="5993">
          <cell r="Z5993" t="str">
            <v>281112</v>
          </cell>
        </row>
        <row r="5994">
          <cell r="Z5994" t="str">
            <v>281113</v>
          </cell>
        </row>
        <row r="5995">
          <cell r="Z5995" t="str">
            <v>281114</v>
          </cell>
        </row>
        <row r="5996">
          <cell r="Z5996" t="str">
            <v>281119</v>
          </cell>
        </row>
        <row r="5997">
          <cell r="Z5997" t="str">
            <v>281120</v>
          </cell>
        </row>
        <row r="5998">
          <cell r="Z5998" t="str">
            <v>281121</v>
          </cell>
        </row>
        <row r="5999">
          <cell r="Z5999" t="str">
            <v>281122</v>
          </cell>
        </row>
        <row r="6000">
          <cell r="Z6000" t="str">
            <v>281123</v>
          </cell>
        </row>
        <row r="6001">
          <cell r="Z6001" t="str">
            <v>281124</v>
          </cell>
        </row>
        <row r="6002">
          <cell r="Z6002" t="str">
            <v>281129</v>
          </cell>
        </row>
        <row r="6003">
          <cell r="Z6003" t="str">
            <v>281200</v>
          </cell>
        </row>
        <row r="6004">
          <cell r="Z6004" t="str">
            <v>281210</v>
          </cell>
        </row>
        <row r="6005">
          <cell r="Z6005" t="str">
            <v>281211</v>
          </cell>
        </row>
        <row r="6006">
          <cell r="Z6006" t="str">
            <v>281212</v>
          </cell>
        </row>
        <row r="6007">
          <cell r="Z6007" t="str">
            <v>281213</v>
          </cell>
        </row>
        <row r="6008">
          <cell r="Z6008" t="str">
            <v>281214</v>
          </cell>
        </row>
        <row r="6009">
          <cell r="Z6009" t="str">
            <v>281219</v>
          </cell>
        </row>
        <row r="6010">
          <cell r="Z6010" t="str">
            <v>281220</v>
          </cell>
        </row>
        <row r="6011">
          <cell r="Z6011" t="str">
            <v>281221</v>
          </cell>
        </row>
        <row r="6012">
          <cell r="Z6012" t="str">
            <v>281222</v>
          </cell>
        </row>
        <row r="6013">
          <cell r="Z6013" t="str">
            <v>281223</v>
          </cell>
        </row>
        <row r="6014">
          <cell r="Z6014" t="str">
            <v>281224</v>
          </cell>
        </row>
        <row r="6015">
          <cell r="Z6015" t="str">
            <v>281229</v>
          </cell>
        </row>
        <row r="6016">
          <cell r="Z6016" t="str">
            <v>281300</v>
          </cell>
        </row>
        <row r="6017">
          <cell r="Z6017" t="str">
            <v>281310</v>
          </cell>
        </row>
        <row r="6018">
          <cell r="Z6018" t="str">
            <v>281311</v>
          </cell>
        </row>
        <row r="6019">
          <cell r="Z6019" t="str">
            <v>281312</v>
          </cell>
        </row>
        <row r="6020">
          <cell r="Z6020" t="str">
            <v>281313</v>
          </cell>
        </row>
        <row r="6021">
          <cell r="Z6021" t="str">
            <v>281314</v>
          </cell>
        </row>
        <row r="6022">
          <cell r="Z6022" t="str">
            <v>281319</v>
          </cell>
        </row>
        <row r="6023">
          <cell r="Z6023" t="str">
            <v>281320</v>
          </cell>
        </row>
        <row r="6024">
          <cell r="Z6024" t="str">
            <v>281321</v>
          </cell>
        </row>
        <row r="6025">
          <cell r="Z6025" t="str">
            <v>281322</v>
          </cell>
        </row>
        <row r="6026">
          <cell r="Z6026" t="str">
            <v>281323</v>
          </cell>
        </row>
        <row r="6027">
          <cell r="Z6027" t="str">
            <v>281324</v>
          </cell>
        </row>
        <row r="6028">
          <cell r="Z6028" t="str">
            <v>281329</v>
          </cell>
        </row>
        <row r="6029">
          <cell r="Z6029" t="str">
            <v>282000</v>
          </cell>
        </row>
        <row r="6030">
          <cell r="Z6030" t="str">
            <v>282100</v>
          </cell>
        </row>
        <row r="6031">
          <cell r="Z6031" t="str">
            <v>282110</v>
          </cell>
        </row>
        <row r="6032">
          <cell r="Z6032" t="str">
            <v>282111</v>
          </cell>
        </row>
        <row r="6033">
          <cell r="Z6033" t="str">
            <v>282112</v>
          </cell>
        </row>
        <row r="6034">
          <cell r="Z6034" t="str">
            <v>282113</v>
          </cell>
        </row>
        <row r="6035">
          <cell r="Z6035" t="str">
            <v>282114</v>
          </cell>
        </row>
        <row r="6036">
          <cell r="Z6036" t="str">
            <v>282119</v>
          </cell>
        </row>
        <row r="6037">
          <cell r="Z6037" t="str">
            <v>282120</v>
          </cell>
        </row>
        <row r="6038">
          <cell r="Z6038" t="str">
            <v>282121</v>
          </cell>
        </row>
        <row r="6039">
          <cell r="Z6039" t="str">
            <v>282122</v>
          </cell>
        </row>
        <row r="6040">
          <cell r="Z6040" t="str">
            <v>282123</v>
          </cell>
        </row>
        <row r="6041">
          <cell r="Z6041" t="str">
            <v>282124</v>
          </cell>
        </row>
        <row r="6042">
          <cell r="Z6042" t="str">
            <v>282129</v>
          </cell>
        </row>
        <row r="6043">
          <cell r="Z6043" t="str">
            <v>282130</v>
          </cell>
        </row>
        <row r="6044">
          <cell r="Z6044" t="str">
            <v>282131</v>
          </cell>
        </row>
        <row r="6045">
          <cell r="Z6045" t="str">
            <v>282132</v>
          </cell>
        </row>
        <row r="6046">
          <cell r="Z6046" t="str">
            <v>282133</v>
          </cell>
        </row>
        <row r="6047">
          <cell r="Z6047" t="str">
            <v>282134</v>
          </cell>
        </row>
        <row r="6048">
          <cell r="Z6048" t="str">
            <v>282139</v>
          </cell>
        </row>
        <row r="6049">
          <cell r="Z6049" t="str">
            <v>282200</v>
          </cell>
        </row>
        <row r="6050">
          <cell r="Z6050" t="str">
            <v>282210</v>
          </cell>
        </row>
        <row r="6051">
          <cell r="Z6051" t="str">
            <v>282211</v>
          </cell>
        </row>
        <row r="6052">
          <cell r="Z6052" t="str">
            <v>282212</v>
          </cell>
        </row>
        <row r="6053">
          <cell r="Z6053" t="str">
            <v>282213</v>
          </cell>
        </row>
        <row r="6054">
          <cell r="Z6054" t="str">
            <v>282214</v>
          </cell>
        </row>
        <row r="6055">
          <cell r="Z6055" t="str">
            <v>282219</v>
          </cell>
        </row>
        <row r="6056">
          <cell r="Z6056" t="str">
            <v>282220</v>
          </cell>
        </row>
        <row r="6057">
          <cell r="Z6057" t="str">
            <v>282221</v>
          </cell>
        </row>
        <row r="6058">
          <cell r="Z6058" t="str">
            <v>282222</v>
          </cell>
        </row>
        <row r="6059">
          <cell r="Z6059" t="str">
            <v>282223</v>
          </cell>
        </row>
        <row r="6060">
          <cell r="Z6060" t="str">
            <v>282224</v>
          </cell>
        </row>
        <row r="6061">
          <cell r="Z6061" t="str">
            <v>282229</v>
          </cell>
        </row>
        <row r="6062">
          <cell r="Z6062" t="str">
            <v>282230</v>
          </cell>
        </row>
        <row r="6063">
          <cell r="Z6063" t="str">
            <v>282231</v>
          </cell>
        </row>
        <row r="6064">
          <cell r="Z6064" t="str">
            <v>282232</v>
          </cell>
        </row>
        <row r="6065">
          <cell r="Z6065" t="str">
            <v>282233</v>
          </cell>
        </row>
        <row r="6066">
          <cell r="Z6066" t="str">
            <v>282234</v>
          </cell>
        </row>
        <row r="6067">
          <cell r="Z6067" t="str">
            <v>282239</v>
          </cell>
        </row>
        <row r="6068">
          <cell r="Z6068" t="str">
            <v>282300</v>
          </cell>
        </row>
        <row r="6069">
          <cell r="Z6069" t="str">
            <v>282310</v>
          </cell>
        </row>
        <row r="6070">
          <cell r="Z6070" t="str">
            <v>282311</v>
          </cell>
        </row>
        <row r="6071">
          <cell r="Z6071" t="str">
            <v>282312</v>
          </cell>
        </row>
        <row r="6072">
          <cell r="Z6072" t="str">
            <v>282313</v>
          </cell>
        </row>
        <row r="6073">
          <cell r="Z6073" t="str">
            <v>282314</v>
          </cell>
        </row>
        <row r="6074">
          <cell r="Z6074" t="str">
            <v>282319</v>
          </cell>
        </row>
        <row r="6075">
          <cell r="Z6075" t="str">
            <v>282320</v>
          </cell>
        </row>
        <row r="6076">
          <cell r="Z6076" t="str">
            <v>282321</v>
          </cell>
        </row>
        <row r="6077">
          <cell r="Z6077" t="str">
            <v>282322</v>
          </cell>
        </row>
        <row r="6078">
          <cell r="Z6078" t="str">
            <v>282323</v>
          </cell>
        </row>
        <row r="6079">
          <cell r="Z6079" t="str">
            <v>282324</v>
          </cell>
        </row>
        <row r="6080">
          <cell r="Z6080" t="str">
            <v>282329</v>
          </cell>
        </row>
        <row r="6081">
          <cell r="Z6081" t="str">
            <v>282330</v>
          </cell>
        </row>
        <row r="6082">
          <cell r="Z6082" t="str">
            <v>282331</v>
          </cell>
        </row>
        <row r="6083">
          <cell r="Z6083" t="str">
            <v>282332</v>
          </cell>
        </row>
        <row r="6084">
          <cell r="Z6084" t="str">
            <v>282333</v>
          </cell>
        </row>
        <row r="6085">
          <cell r="Z6085" t="str">
            <v>282334</v>
          </cell>
        </row>
        <row r="6086">
          <cell r="Z6086" t="str">
            <v>282339</v>
          </cell>
        </row>
        <row r="6087">
          <cell r="Z6087" t="str">
            <v>282340</v>
          </cell>
        </row>
        <row r="6088">
          <cell r="Z6088" t="str">
            <v>282341</v>
          </cell>
        </row>
        <row r="6089">
          <cell r="Z6089" t="str">
            <v>282342</v>
          </cell>
        </row>
        <row r="6090">
          <cell r="Z6090" t="str">
            <v>282343</v>
          </cell>
        </row>
        <row r="6091">
          <cell r="Z6091" t="str">
            <v>282344</v>
          </cell>
        </row>
        <row r="6092">
          <cell r="Z6092" t="str">
            <v>282349</v>
          </cell>
        </row>
        <row r="6093">
          <cell r="Z6093" t="str">
            <v>282350</v>
          </cell>
        </row>
        <row r="6094">
          <cell r="Z6094" t="str">
            <v>282351</v>
          </cell>
        </row>
        <row r="6095">
          <cell r="Z6095" t="str">
            <v>282352</v>
          </cell>
        </row>
        <row r="6096">
          <cell r="Z6096" t="str">
            <v>282353</v>
          </cell>
        </row>
        <row r="6097">
          <cell r="Z6097" t="str">
            <v>282354</v>
          </cell>
        </row>
        <row r="6098">
          <cell r="Z6098" t="str">
            <v>282359</v>
          </cell>
        </row>
        <row r="6099">
          <cell r="Z6099" t="str">
            <v>282360</v>
          </cell>
        </row>
        <row r="6100">
          <cell r="Z6100" t="str">
            <v>282361</v>
          </cell>
        </row>
        <row r="6101">
          <cell r="Z6101" t="str">
            <v>282362</v>
          </cell>
        </row>
        <row r="6102">
          <cell r="Z6102" t="str">
            <v>282363</v>
          </cell>
        </row>
        <row r="6103">
          <cell r="Z6103" t="str">
            <v>282364</v>
          </cell>
        </row>
        <row r="6104">
          <cell r="Z6104" t="str">
            <v>282369</v>
          </cell>
        </row>
        <row r="6105">
          <cell r="Z6105" t="str">
            <v>282370</v>
          </cell>
        </row>
        <row r="6106">
          <cell r="Z6106" t="str">
            <v>282371</v>
          </cell>
        </row>
        <row r="6107">
          <cell r="Z6107" t="str">
            <v>282372</v>
          </cell>
        </row>
        <row r="6108">
          <cell r="Z6108" t="str">
            <v>282373</v>
          </cell>
        </row>
        <row r="6109">
          <cell r="Z6109" t="str">
            <v>282374</v>
          </cell>
        </row>
        <row r="6110">
          <cell r="Z6110" t="str">
            <v>282379</v>
          </cell>
        </row>
        <row r="6111">
          <cell r="Z6111" t="str">
            <v>282380</v>
          </cell>
        </row>
        <row r="6112">
          <cell r="Z6112" t="str">
            <v>282381</v>
          </cell>
        </row>
        <row r="6113">
          <cell r="Z6113" t="str">
            <v>282382</v>
          </cell>
        </row>
        <row r="6114">
          <cell r="Z6114" t="str">
            <v>282383</v>
          </cell>
        </row>
        <row r="6115">
          <cell r="Z6115" t="str">
            <v>282384</v>
          </cell>
        </row>
        <row r="6116">
          <cell r="Z6116" t="str">
            <v>282389</v>
          </cell>
        </row>
        <row r="6117">
          <cell r="Z6117" t="str">
            <v>282390</v>
          </cell>
        </row>
        <row r="6118">
          <cell r="Z6118" t="str">
            <v>282391</v>
          </cell>
        </row>
        <row r="6119">
          <cell r="Z6119" t="str">
            <v>282392</v>
          </cell>
        </row>
        <row r="6120">
          <cell r="Z6120" t="str">
            <v>282393</v>
          </cell>
        </row>
        <row r="6121">
          <cell r="Z6121" t="str">
            <v>282394</v>
          </cell>
        </row>
        <row r="6122">
          <cell r="Z6122" t="str">
            <v>282399</v>
          </cell>
        </row>
        <row r="6123">
          <cell r="Z6123" t="str">
            <v>282400</v>
          </cell>
        </row>
        <row r="6124">
          <cell r="Z6124" t="str">
            <v>282410</v>
          </cell>
        </row>
        <row r="6125">
          <cell r="Z6125" t="str">
            <v>282411</v>
          </cell>
        </row>
        <row r="6126">
          <cell r="Z6126" t="str">
            <v>282412</v>
          </cell>
        </row>
        <row r="6127">
          <cell r="Z6127" t="str">
            <v>282413</v>
          </cell>
        </row>
        <row r="6128">
          <cell r="Z6128" t="str">
            <v>282414</v>
          </cell>
        </row>
        <row r="6129">
          <cell r="Z6129" t="str">
            <v>282419</v>
          </cell>
        </row>
        <row r="6130">
          <cell r="Z6130" t="str">
            <v>282420</v>
          </cell>
        </row>
        <row r="6131">
          <cell r="Z6131" t="str">
            <v>282421</v>
          </cell>
        </row>
        <row r="6132">
          <cell r="Z6132" t="str">
            <v>282422</v>
          </cell>
        </row>
        <row r="6133">
          <cell r="Z6133" t="str">
            <v>282423</v>
          </cell>
        </row>
        <row r="6134">
          <cell r="Z6134" t="str">
            <v>282424</v>
          </cell>
        </row>
        <row r="6135">
          <cell r="Z6135" t="str">
            <v>282429</v>
          </cell>
        </row>
        <row r="6136">
          <cell r="Z6136" t="str">
            <v>282430</v>
          </cell>
        </row>
        <row r="6137">
          <cell r="Z6137" t="str">
            <v>282431</v>
          </cell>
        </row>
        <row r="6138">
          <cell r="Z6138" t="str">
            <v>282432</v>
          </cell>
        </row>
        <row r="6139">
          <cell r="Z6139" t="str">
            <v>282433</v>
          </cell>
        </row>
        <row r="6140">
          <cell r="Z6140" t="str">
            <v>282434</v>
          </cell>
        </row>
        <row r="6141">
          <cell r="Z6141" t="str">
            <v>282439</v>
          </cell>
        </row>
        <row r="6142">
          <cell r="Z6142" t="str">
            <v>282500</v>
          </cell>
        </row>
        <row r="6143">
          <cell r="Z6143" t="str">
            <v>282510</v>
          </cell>
        </row>
        <row r="6144">
          <cell r="Z6144" t="str">
            <v>282511</v>
          </cell>
        </row>
        <row r="6145">
          <cell r="Z6145" t="str">
            <v>282512</v>
          </cell>
        </row>
        <row r="6146">
          <cell r="Z6146" t="str">
            <v>282513</v>
          </cell>
        </row>
        <row r="6147">
          <cell r="Z6147" t="str">
            <v>282514</v>
          </cell>
        </row>
        <row r="6148">
          <cell r="Z6148" t="str">
            <v>282519</v>
          </cell>
        </row>
        <row r="6149">
          <cell r="Z6149" t="str">
            <v>282520</v>
          </cell>
        </row>
        <row r="6150">
          <cell r="Z6150" t="str">
            <v>282521</v>
          </cell>
        </row>
        <row r="6151">
          <cell r="Z6151" t="str">
            <v>282522</v>
          </cell>
        </row>
        <row r="6152">
          <cell r="Z6152" t="str">
            <v>282523</v>
          </cell>
        </row>
        <row r="6153">
          <cell r="Z6153" t="str">
            <v>282524</v>
          </cell>
        </row>
        <row r="6154">
          <cell r="Z6154" t="str">
            <v>282529</v>
          </cell>
        </row>
        <row r="6155">
          <cell r="Z6155" t="str">
            <v>282600</v>
          </cell>
        </row>
        <row r="6156">
          <cell r="Z6156" t="str">
            <v>282610</v>
          </cell>
        </row>
        <row r="6157">
          <cell r="Z6157" t="str">
            <v>282611</v>
          </cell>
        </row>
        <row r="6158">
          <cell r="Z6158" t="str">
            <v>282612</v>
          </cell>
        </row>
        <row r="6159">
          <cell r="Z6159" t="str">
            <v>282613</v>
          </cell>
        </row>
        <row r="6160">
          <cell r="Z6160" t="str">
            <v>282614</v>
          </cell>
        </row>
        <row r="6161">
          <cell r="Z6161" t="str">
            <v>282619</v>
          </cell>
        </row>
        <row r="6162">
          <cell r="Z6162" t="str">
            <v>282620</v>
          </cell>
        </row>
        <row r="6163">
          <cell r="Z6163" t="str">
            <v>282621</v>
          </cell>
        </row>
        <row r="6164">
          <cell r="Z6164" t="str">
            <v>282622</v>
          </cell>
        </row>
        <row r="6165">
          <cell r="Z6165" t="str">
            <v>282623</v>
          </cell>
        </row>
        <row r="6166">
          <cell r="Z6166" t="str">
            <v>282624</v>
          </cell>
        </row>
        <row r="6167">
          <cell r="Z6167" t="str">
            <v>282629</v>
          </cell>
        </row>
        <row r="6168">
          <cell r="Z6168" t="str">
            <v>282700</v>
          </cell>
        </row>
        <row r="6169">
          <cell r="Z6169" t="str">
            <v>282710</v>
          </cell>
        </row>
        <row r="6170">
          <cell r="Z6170" t="str">
            <v>282711</v>
          </cell>
        </row>
        <row r="6171">
          <cell r="Z6171" t="str">
            <v>282712</v>
          </cell>
        </row>
        <row r="6172">
          <cell r="Z6172" t="str">
            <v>282713</v>
          </cell>
        </row>
        <row r="6173">
          <cell r="Z6173" t="str">
            <v>282714</v>
          </cell>
        </row>
        <row r="6174">
          <cell r="Z6174" t="str">
            <v>282719</v>
          </cell>
        </row>
        <row r="6175">
          <cell r="Z6175" t="str">
            <v>282720</v>
          </cell>
        </row>
        <row r="6176">
          <cell r="Z6176" t="str">
            <v>282721</v>
          </cell>
        </row>
        <row r="6177">
          <cell r="Z6177" t="str">
            <v>282722</v>
          </cell>
        </row>
        <row r="6178">
          <cell r="Z6178" t="str">
            <v>282723</v>
          </cell>
        </row>
        <row r="6179">
          <cell r="Z6179" t="str">
            <v>282724</v>
          </cell>
        </row>
        <row r="6180">
          <cell r="Z6180" t="str">
            <v>282729</v>
          </cell>
        </row>
        <row r="6181">
          <cell r="Z6181" t="str">
            <v>282730</v>
          </cell>
        </row>
        <row r="6182">
          <cell r="Z6182" t="str">
            <v>282731</v>
          </cell>
        </row>
        <row r="6183">
          <cell r="Z6183" t="str">
            <v>282732</v>
          </cell>
        </row>
        <row r="6184">
          <cell r="Z6184" t="str">
            <v>282733</v>
          </cell>
        </row>
        <row r="6185">
          <cell r="Z6185" t="str">
            <v>282734</v>
          </cell>
        </row>
        <row r="6186">
          <cell r="Z6186" t="str">
            <v>282739</v>
          </cell>
        </row>
        <row r="6187">
          <cell r="Z6187" t="str">
            <v>282740</v>
          </cell>
        </row>
        <row r="6188">
          <cell r="Z6188" t="str">
            <v>282741</v>
          </cell>
        </row>
        <row r="6189">
          <cell r="Z6189" t="str">
            <v>282742</v>
          </cell>
        </row>
        <row r="6190">
          <cell r="Z6190" t="str">
            <v>282743</v>
          </cell>
        </row>
        <row r="6191">
          <cell r="Z6191" t="str">
            <v>282744</v>
          </cell>
        </row>
        <row r="6192">
          <cell r="Z6192" t="str">
            <v>282749</v>
          </cell>
        </row>
        <row r="6193">
          <cell r="Z6193" t="str">
            <v>282750</v>
          </cell>
        </row>
        <row r="6194">
          <cell r="Z6194" t="str">
            <v>282751</v>
          </cell>
        </row>
        <row r="6195">
          <cell r="Z6195" t="str">
            <v>282752</v>
          </cell>
        </row>
        <row r="6196">
          <cell r="Z6196" t="str">
            <v>282753</v>
          </cell>
        </row>
        <row r="6197">
          <cell r="Z6197" t="str">
            <v>282754</v>
          </cell>
        </row>
        <row r="6198">
          <cell r="Z6198" t="str">
            <v>282759</v>
          </cell>
        </row>
        <row r="6199">
          <cell r="Z6199" t="str">
            <v>282760</v>
          </cell>
        </row>
        <row r="6200">
          <cell r="Z6200" t="str">
            <v>282761</v>
          </cell>
        </row>
        <row r="6201">
          <cell r="Z6201" t="str">
            <v>282762</v>
          </cell>
        </row>
        <row r="6202">
          <cell r="Z6202" t="str">
            <v>282763</v>
          </cell>
        </row>
        <row r="6203">
          <cell r="Z6203" t="str">
            <v>282764</v>
          </cell>
        </row>
        <row r="6204">
          <cell r="Z6204" t="str">
            <v>282769</v>
          </cell>
        </row>
        <row r="6205">
          <cell r="Z6205" t="str">
            <v>282770</v>
          </cell>
        </row>
        <row r="6206">
          <cell r="Z6206" t="str">
            <v>282771</v>
          </cell>
        </row>
        <row r="6207">
          <cell r="Z6207" t="str">
            <v>282772</v>
          </cell>
        </row>
        <row r="6208">
          <cell r="Z6208" t="str">
            <v>282773</v>
          </cell>
        </row>
        <row r="6209">
          <cell r="Z6209" t="str">
            <v>282774</v>
          </cell>
        </row>
        <row r="6210">
          <cell r="Z6210" t="str">
            <v>282779</v>
          </cell>
        </row>
        <row r="6211">
          <cell r="Z6211" t="str">
            <v>282780</v>
          </cell>
        </row>
        <row r="6212">
          <cell r="Z6212" t="str">
            <v>282781</v>
          </cell>
        </row>
        <row r="6213">
          <cell r="Z6213" t="str">
            <v>282782</v>
          </cell>
        </row>
        <row r="6214">
          <cell r="Z6214" t="str">
            <v>282783</v>
          </cell>
        </row>
        <row r="6215">
          <cell r="Z6215" t="str">
            <v>282784</v>
          </cell>
        </row>
        <row r="6216">
          <cell r="Z6216" t="str">
            <v>282789</v>
          </cell>
        </row>
        <row r="6217">
          <cell r="Z6217" t="str">
            <v>282790</v>
          </cell>
        </row>
        <row r="6218">
          <cell r="Z6218" t="str">
            <v>282791</v>
          </cell>
        </row>
        <row r="6219">
          <cell r="Z6219" t="str">
            <v>282792</v>
          </cell>
        </row>
        <row r="6220">
          <cell r="Z6220" t="str">
            <v>282793</v>
          </cell>
        </row>
        <row r="6221">
          <cell r="Z6221" t="str">
            <v>282794</v>
          </cell>
        </row>
        <row r="6222">
          <cell r="Z6222" t="str">
            <v>282799</v>
          </cell>
        </row>
        <row r="6223">
          <cell r="Z6223" t="str">
            <v>282800</v>
          </cell>
        </row>
        <row r="6224">
          <cell r="Z6224" t="str">
            <v>282810</v>
          </cell>
        </row>
        <row r="6225">
          <cell r="Z6225" t="str">
            <v>282811</v>
          </cell>
        </row>
        <row r="6226">
          <cell r="Z6226" t="str">
            <v>282812</v>
          </cell>
        </row>
        <row r="6227">
          <cell r="Z6227" t="str">
            <v>282813</v>
          </cell>
        </row>
        <row r="6228">
          <cell r="Z6228" t="str">
            <v>282814</v>
          </cell>
        </row>
        <row r="6229">
          <cell r="Z6229" t="str">
            <v>282819</v>
          </cell>
        </row>
        <row r="6230">
          <cell r="Z6230" t="str">
            <v>282820</v>
          </cell>
        </row>
        <row r="6231">
          <cell r="Z6231" t="str">
            <v>282821</v>
          </cell>
        </row>
        <row r="6232">
          <cell r="Z6232" t="str">
            <v>282822</v>
          </cell>
        </row>
        <row r="6233">
          <cell r="Z6233" t="str">
            <v>282823</v>
          </cell>
        </row>
        <row r="6234">
          <cell r="Z6234" t="str">
            <v>282824</v>
          </cell>
        </row>
        <row r="6235">
          <cell r="Z6235" t="str">
            <v>282829</v>
          </cell>
        </row>
        <row r="6236">
          <cell r="Z6236" t="str">
            <v>282830</v>
          </cell>
        </row>
        <row r="6237">
          <cell r="Z6237" t="str">
            <v>282831</v>
          </cell>
        </row>
        <row r="6238">
          <cell r="Z6238" t="str">
            <v>282832</v>
          </cell>
        </row>
        <row r="6239">
          <cell r="Z6239" t="str">
            <v>282833</v>
          </cell>
        </row>
        <row r="6240">
          <cell r="Z6240" t="str">
            <v>282834</v>
          </cell>
        </row>
        <row r="6241">
          <cell r="Z6241" t="str">
            <v>282839</v>
          </cell>
        </row>
        <row r="6242">
          <cell r="Z6242" t="str">
            <v>283000</v>
          </cell>
        </row>
        <row r="6243">
          <cell r="Z6243" t="str">
            <v>283100</v>
          </cell>
        </row>
        <row r="6244">
          <cell r="Z6244" t="str">
            <v>283110</v>
          </cell>
        </row>
        <row r="6245">
          <cell r="Z6245" t="str">
            <v>283111</v>
          </cell>
        </row>
        <row r="6246">
          <cell r="Z6246" t="str">
            <v>283112</v>
          </cell>
        </row>
        <row r="6247">
          <cell r="Z6247" t="str">
            <v>283113</v>
          </cell>
        </row>
        <row r="6248">
          <cell r="Z6248" t="str">
            <v>283114</v>
          </cell>
        </row>
        <row r="6249">
          <cell r="Z6249" t="str">
            <v>283119</v>
          </cell>
        </row>
        <row r="6250">
          <cell r="Z6250" t="str">
            <v>283120</v>
          </cell>
        </row>
        <row r="6251">
          <cell r="Z6251" t="str">
            <v>283121</v>
          </cell>
        </row>
        <row r="6252">
          <cell r="Z6252" t="str">
            <v>283122</v>
          </cell>
        </row>
        <row r="6253">
          <cell r="Z6253" t="str">
            <v>283123</v>
          </cell>
        </row>
        <row r="6254">
          <cell r="Z6254" t="str">
            <v>283124</v>
          </cell>
        </row>
        <row r="6255">
          <cell r="Z6255" t="str">
            <v>283129</v>
          </cell>
        </row>
        <row r="6256">
          <cell r="Z6256" t="str">
            <v>283200</v>
          </cell>
        </row>
        <row r="6257">
          <cell r="Z6257" t="str">
            <v>283210</v>
          </cell>
        </row>
        <row r="6258">
          <cell r="Z6258" t="str">
            <v>283211</v>
          </cell>
        </row>
        <row r="6259">
          <cell r="Z6259" t="str">
            <v>283212</v>
          </cell>
        </row>
        <row r="6260">
          <cell r="Z6260" t="str">
            <v>283213</v>
          </cell>
        </row>
        <row r="6261">
          <cell r="Z6261" t="str">
            <v>283214</v>
          </cell>
        </row>
        <row r="6262">
          <cell r="Z6262" t="str">
            <v>283219</v>
          </cell>
        </row>
        <row r="6263">
          <cell r="Z6263" t="str">
            <v>283220</v>
          </cell>
        </row>
        <row r="6264">
          <cell r="Z6264" t="str">
            <v>283221</v>
          </cell>
        </row>
        <row r="6265">
          <cell r="Z6265" t="str">
            <v>283222</v>
          </cell>
        </row>
        <row r="6266">
          <cell r="Z6266" t="str">
            <v>283223</v>
          </cell>
        </row>
        <row r="6267">
          <cell r="Z6267" t="str">
            <v>283224</v>
          </cell>
        </row>
        <row r="6268">
          <cell r="Z6268" t="str">
            <v>283229</v>
          </cell>
        </row>
        <row r="6269">
          <cell r="Z6269" t="str">
            <v>283300</v>
          </cell>
        </row>
        <row r="6270">
          <cell r="Z6270" t="str">
            <v>283310</v>
          </cell>
        </row>
        <row r="6271">
          <cell r="Z6271" t="str">
            <v>283311</v>
          </cell>
        </row>
        <row r="6272">
          <cell r="Z6272" t="str">
            <v>283312</v>
          </cell>
        </row>
        <row r="6273">
          <cell r="Z6273" t="str">
            <v>283313</v>
          </cell>
        </row>
        <row r="6274">
          <cell r="Z6274" t="str">
            <v>283314</v>
          </cell>
        </row>
        <row r="6275">
          <cell r="Z6275" t="str">
            <v>283319</v>
          </cell>
        </row>
        <row r="6276">
          <cell r="Z6276" t="str">
            <v>283320</v>
          </cell>
        </row>
        <row r="6277">
          <cell r="Z6277" t="str">
            <v>283321</v>
          </cell>
        </row>
        <row r="6278">
          <cell r="Z6278" t="str">
            <v>283322</v>
          </cell>
        </row>
        <row r="6279">
          <cell r="Z6279" t="str">
            <v>283323</v>
          </cell>
        </row>
        <row r="6280">
          <cell r="Z6280" t="str">
            <v>283324</v>
          </cell>
        </row>
        <row r="6281">
          <cell r="Z6281" t="str">
            <v>283329</v>
          </cell>
        </row>
        <row r="6282">
          <cell r="Z6282" t="str">
            <v>283400</v>
          </cell>
        </row>
        <row r="6283">
          <cell r="Z6283" t="str">
            <v>283410</v>
          </cell>
        </row>
        <row r="6284">
          <cell r="Z6284" t="str">
            <v>283411</v>
          </cell>
        </row>
        <row r="6285">
          <cell r="Z6285" t="str">
            <v>283412</v>
          </cell>
        </row>
        <row r="6286">
          <cell r="Z6286" t="str">
            <v>283413</v>
          </cell>
        </row>
        <row r="6287">
          <cell r="Z6287" t="str">
            <v>283414</v>
          </cell>
        </row>
        <row r="6288">
          <cell r="Z6288" t="str">
            <v>283419</v>
          </cell>
        </row>
        <row r="6289">
          <cell r="Z6289" t="str">
            <v>283420</v>
          </cell>
        </row>
        <row r="6290">
          <cell r="Z6290" t="str">
            <v>283421</v>
          </cell>
        </row>
        <row r="6291">
          <cell r="Z6291" t="str">
            <v>283422</v>
          </cell>
        </row>
        <row r="6292">
          <cell r="Z6292" t="str">
            <v>283423</v>
          </cell>
        </row>
        <row r="6293">
          <cell r="Z6293" t="str">
            <v>283424</v>
          </cell>
        </row>
        <row r="6294">
          <cell r="Z6294" t="str">
            <v>283429</v>
          </cell>
        </row>
        <row r="6295">
          <cell r="Z6295" t="str">
            <v>283500</v>
          </cell>
        </row>
        <row r="6296">
          <cell r="Z6296" t="str">
            <v>283510</v>
          </cell>
        </row>
        <row r="6297">
          <cell r="Z6297" t="str">
            <v>283511</v>
          </cell>
        </row>
        <row r="6298">
          <cell r="Z6298" t="str">
            <v>283512</v>
          </cell>
        </row>
        <row r="6299">
          <cell r="Z6299" t="str">
            <v>283513</v>
          </cell>
        </row>
        <row r="6300">
          <cell r="Z6300" t="str">
            <v>283514</v>
          </cell>
        </row>
        <row r="6301">
          <cell r="Z6301" t="str">
            <v>283519</v>
          </cell>
        </row>
        <row r="6302">
          <cell r="Z6302" t="str">
            <v>283520</v>
          </cell>
        </row>
        <row r="6303">
          <cell r="Z6303" t="str">
            <v>283521</v>
          </cell>
        </row>
        <row r="6304">
          <cell r="Z6304" t="str">
            <v>283522</v>
          </cell>
        </row>
        <row r="6305">
          <cell r="Z6305" t="str">
            <v>283523</v>
          </cell>
        </row>
        <row r="6306">
          <cell r="Z6306" t="str">
            <v>283524</v>
          </cell>
        </row>
        <row r="6307">
          <cell r="Z6307" t="str">
            <v>283529</v>
          </cell>
        </row>
        <row r="6308">
          <cell r="Z6308" t="str">
            <v>283900</v>
          </cell>
        </row>
        <row r="6309">
          <cell r="Z6309" t="str">
            <v>283910</v>
          </cell>
        </row>
        <row r="6310">
          <cell r="Z6310" t="str">
            <v>283911</v>
          </cell>
        </row>
        <row r="6311">
          <cell r="Z6311" t="str">
            <v>283912</v>
          </cell>
        </row>
        <row r="6312">
          <cell r="Z6312" t="str">
            <v>283913</v>
          </cell>
        </row>
        <row r="6313">
          <cell r="Z6313" t="str">
            <v>283914</v>
          </cell>
        </row>
        <row r="6314">
          <cell r="Z6314" t="str">
            <v>283919</v>
          </cell>
        </row>
        <row r="6315">
          <cell r="Z6315" t="str">
            <v>283920</v>
          </cell>
        </row>
        <row r="6316">
          <cell r="Z6316" t="str">
            <v>283921</v>
          </cell>
        </row>
        <row r="6317">
          <cell r="Z6317" t="str">
            <v>283922</v>
          </cell>
        </row>
        <row r="6318">
          <cell r="Z6318" t="str">
            <v>283923</v>
          </cell>
        </row>
        <row r="6319">
          <cell r="Z6319" t="str">
            <v>283924</v>
          </cell>
        </row>
        <row r="6320">
          <cell r="Z6320" t="str">
            <v>283929</v>
          </cell>
        </row>
        <row r="6321">
          <cell r="Z6321" t="str">
            <v>290000</v>
          </cell>
        </row>
        <row r="6322">
          <cell r="Z6322" t="str">
            <v>291000</v>
          </cell>
        </row>
        <row r="6323">
          <cell r="Z6323" t="str">
            <v>291100</v>
          </cell>
        </row>
        <row r="6324">
          <cell r="Z6324" t="str">
            <v>291101</v>
          </cell>
        </row>
        <row r="6325">
          <cell r="Z6325" t="str">
            <v>291102</v>
          </cell>
        </row>
        <row r="6326">
          <cell r="Z6326" t="str">
            <v>291103</v>
          </cell>
        </row>
        <row r="6327">
          <cell r="Z6327" t="str">
            <v>291104</v>
          </cell>
        </row>
        <row r="6328">
          <cell r="Z6328" t="str">
            <v>291109</v>
          </cell>
        </row>
        <row r="6329">
          <cell r="Z6329" t="str">
            <v>291200</v>
          </cell>
        </row>
        <row r="6330">
          <cell r="Z6330" t="str">
            <v>291201</v>
          </cell>
        </row>
        <row r="6331">
          <cell r="Z6331" t="str">
            <v>291202</v>
          </cell>
        </row>
        <row r="6332">
          <cell r="Z6332" t="str">
            <v>291203</v>
          </cell>
        </row>
        <row r="6333">
          <cell r="Z6333" t="str">
            <v>291204</v>
          </cell>
        </row>
        <row r="6334">
          <cell r="Z6334" t="str">
            <v>291209</v>
          </cell>
        </row>
        <row r="6335">
          <cell r="Z6335" t="str">
            <v>292000</v>
          </cell>
        </row>
        <row r="6336">
          <cell r="Z6336" t="str">
            <v>292100</v>
          </cell>
        </row>
        <row r="6337">
          <cell r="Z6337" t="str">
            <v>292101</v>
          </cell>
        </row>
        <row r="6338">
          <cell r="Z6338" t="str">
            <v>292102</v>
          </cell>
        </row>
        <row r="6339">
          <cell r="Z6339" t="str">
            <v>292103</v>
          </cell>
        </row>
        <row r="6340">
          <cell r="Z6340" t="str">
            <v>292104</v>
          </cell>
        </row>
        <row r="6341">
          <cell r="Z6341" t="str">
            <v>292109</v>
          </cell>
        </row>
        <row r="6342">
          <cell r="Z6342" t="str">
            <v>292200</v>
          </cell>
        </row>
        <row r="6343">
          <cell r="Z6343" t="str">
            <v>292201</v>
          </cell>
        </row>
        <row r="6344">
          <cell r="Z6344" t="str">
            <v>292202</v>
          </cell>
        </row>
        <row r="6345">
          <cell r="Z6345" t="str">
            <v>292203</v>
          </cell>
        </row>
        <row r="6346">
          <cell r="Z6346" t="str">
            <v>292204</v>
          </cell>
        </row>
        <row r="6347">
          <cell r="Z6347" t="str">
            <v>292209</v>
          </cell>
        </row>
        <row r="6348">
          <cell r="Z6348" t="str">
            <v>292300</v>
          </cell>
        </row>
        <row r="6349">
          <cell r="Z6349" t="str">
            <v>292301</v>
          </cell>
        </row>
        <row r="6350">
          <cell r="Z6350" t="str">
            <v>292302</v>
          </cell>
        </row>
        <row r="6351">
          <cell r="Z6351" t="str">
            <v>292303</v>
          </cell>
        </row>
        <row r="6352">
          <cell r="Z6352" t="str">
            <v>292304</v>
          </cell>
        </row>
        <row r="6353">
          <cell r="Z6353" t="str">
            <v>292309</v>
          </cell>
        </row>
        <row r="6354">
          <cell r="Z6354" t="str">
            <v>293000</v>
          </cell>
        </row>
        <row r="6355">
          <cell r="Z6355" t="str">
            <v>293100</v>
          </cell>
        </row>
        <row r="6356">
          <cell r="Z6356" t="str">
            <v>293101</v>
          </cell>
        </row>
        <row r="6357">
          <cell r="Z6357" t="str">
            <v>293102</v>
          </cell>
        </row>
        <row r="6358">
          <cell r="Z6358" t="str">
            <v>293103</v>
          </cell>
        </row>
        <row r="6359">
          <cell r="Z6359" t="str">
            <v>293104</v>
          </cell>
        </row>
        <row r="6360">
          <cell r="Z6360" t="str">
            <v>293109</v>
          </cell>
        </row>
        <row r="6361">
          <cell r="Z6361" t="str">
            <v>293200</v>
          </cell>
        </row>
        <row r="6362">
          <cell r="Z6362" t="str">
            <v>293201</v>
          </cell>
        </row>
        <row r="6363">
          <cell r="Z6363" t="str">
            <v>293202</v>
          </cell>
        </row>
        <row r="6364">
          <cell r="Z6364" t="str">
            <v>293203</v>
          </cell>
        </row>
        <row r="6365">
          <cell r="Z6365" t="str">
            <v>293204</v>
          </cell>
        </row>
        <row r="6366">
          <cell r="Z6366" t="str">
            <v>293209</v>
          </cell>
        </row>
        <row r="6367">
          <cell r="Z6367" t="str">
            <v>293300</v>
          </cell>
        </row>
        <row r="6368">
          <cell r="Z6368" t="str">
            <v>293301</v>
          </cell>
        </row>
        <row r="6369">
          <cell r="Z6369" t="str">
            <v>293302</v>
          </cell>
        </row>
        <row r="6370">
          <cell r="Z6370" t="str">
            <v>293303</v>
          </cell>
        </row>
        <row r="6371">
          <cell r="Z6371" t="str">
            <v>293304</v>
          </cell>
        </row>
        <row r="6372">
          <cell r="Z6372" t="str">
            <v>293309</v>
          </cell>
        </row>
        <row r="6373">
          <cell r="Z6373" t="str">
            <v>293400</v>
          </cell>
        </row>
        <row r="6374">
          <cell r="Z6374" t="str">
            <v>293401</v>
          </cell>
        </row>
        <row r="6375">
          <cell r="Z6375" t="str">
            <v>293402</v>
          </cell>
        </row>
        <row r="6376">
          <cell r="Z6376" t="str">
            <v>293403</v>
          </cell>
        </row>
        <row r="6377">
          <cell r="Z6377" t="str">
            <v>293404</v>
          </cell>
        </row>
        <row r="6378">
          <cell r="Z6378" t="str">
            <v>293409</v>
          </cell>
        </row>
        <row r="6379">
          <cell r="Z6379" t="str">
            <v>293500</v>
          </cell>
        </row>
        <row r="6380">
          <cell r="Z6380" t="str">
            <v>293501</v>
          </cell>
        </row>
        <row r="6381">
          <cell r="Z6381" t="str">
            <v>293502</v>
          </cell>
        </row>
        <row r="6382">
          <cell r="Z6382" t="str">
            <v>293503</v>
          </cell>
        </row>
        <row r="6383">
          <cell r="Z6383" t="str">
            <v>293504</v>
          </cell>
        </row>
        <row r="6384">
          <cell r="Z6384" t="str">
            <v>293509</v>
          </cell>
        </row>
        <row r="6385">
          <cell r="Z6385" t="str">
            <v>293600</v>
          </cell>
        </row>
        <row r="6386">
          <cell r="Z6386" t="str">
            <v>293601</v>
          </cell>
        </row>
        <row r="6387">
          <cell r="Z6387" t="str">
            <v>293602</v>
          </cell>
        </row>
        <row r="6388">
          <cell r="Z6388" t="str">
            <v>293603</v>
          </cell>
        </row>
        <row r="6389">
          <cell r="Z6389" t="str">
            <v>293604</v>
          </cell>
        </row>
        <row r="6390">
          <cell r="Z6390" t="str">
            <v>293609</v>
          </cell>
        </row>
        <row r="6391">
          <cell r="Z6391" t="str">
            <v>294000</v>
          </cell>
        </row>
        <row r="6392">
          <cell r="Z6392" t="str">
            <v>294100</v>
          </cell>
        </row>
        <row r="6393">
          <cell r="Z6393" t="str">
            <v>294101</v>
          </cell>
        </row>
        <row r="6394">
          <cell r="Z6394" t="str">
            <v>294102</v>
          </cell>
        </row>
        <row r="6395">
          <cell r="Z6395" t="str">
            <v>294103</v>
          </cell>
        </row>
        <row r="6396">
          <cell r="Z6396" t="str">
            <v>294104</v>
          </cell>
        </row>
        <row r="6397">
          <cell r="Z6397" t="str">
            <v>294109</v>
          </cell>
        </row>
        <row r="6398">
          <cell r="Z6398" t="str">
            <v>294200</v>
          </cell>
        </row>
        <row r="6399">
          <cell r="Z6399" t="str">
            <v>294210</v>
          </cell>
        </row>
        <row r="6400">
          <cell r="Z6400" t="str">
            <v>294211</v>
          </cell>
        </row>
        <row r="6401">
          <cell r="Z6401" t="str">
            <v>294212</v>
          </cell>
        </row>
        <row r="6402">
          <cell r="Z6402" t="str">
            <v>294213</v>
          </cell>
        </row>
        <row r="6403">
          <cell r="Z6403" t="str">
            <v>294214</v>
          </cell>
        </row>
        <row r="6404">
          <cell r="Z6404" t="str">
            <v>294219</v>
          </cell>
        </row>
        <row r="6405">
          <cell r="Z6405" t="str">
            <v>294220</v>
          </cell>
        </row>
        <row r="6406">
          <cell r="Z6406" t="str">
            <v>294221</v>
          </cell>
        </row>
        <row r="6407">
          <cell r="Z6407" t="str">
            <v>294222</v>
          </cell>
        </row>
        <row r="6408">
          <cell r="Z6408" t="str">
            <v>294223</v>
          </cell>
        </row>
        <row r="6409">
          <cell r="Z6409" t="str">
            <v>294224</v>
          </cell>
        </row>
        <row r="6410">
          <cell r="Z6410" t="str">
            <v>294229</v>
          </cell>
        </row>
        <row r="6411">
          <cell r="Z6411" t="str">
            <v>294300</v>
          </cell>
        </row>
        <row r="6412">
          <cell r="Z6412" t="str">
            <v>294310</v>
          </cell>
        </row>
        <row r="6413">
          <cell r="Z6413" t="str">
            <v>294311</v>
          </cell>
        </row>
        <row r="6414">
          <cell r="Z6414" t="str">
            <v>294312</v>
          </cell>
        </row>
        <row r="6415">
          <cell r="Z6415" t="str">
            <v>294313</v>
          </cell>
        </row>
        <row r="6416">
          <cell r="Z6416" t="str">
            <v>294314</v>
          </cell>
        </row>
        <row r="6417">
          <cell r="Z6417" t="str">
            <v>294319</v>
          </cell>
        </row>
        <row r="6418">
          <cell r="Z6418" t="str">
            <v>294320</v>
          </cell>
        </row>
        <row r="6419">
          <cell r="Z6419" t="str">
            <v>294321</v>
          </cell>
        </row>
        <row r="6420">
          <cell r="Z6420" t="str">
            <v>294322</v>
          </cell>
        </row>
        <row r="6421">
          <cell r="Z6421" t="str">
            <v>294323</v>
          </cell>
        </row>
        <row r="6422">
          <cell r="Z6422" t="str">
            <v>294324</v>
          </cell>
        </row>
        <row r="6423">
          <cell r="Z6423" t="str">
            <v>294329</v>
          </cell>
        </row>
        <row r="6424">
          <cell r="Z6424" t="str">
            <v>294330</v>
          </cell>
        </row>
        <row r="6425">
          <cell r="Z6425" t="str">
            <v>294331</v>
          </cell>
        </row>
        <row r="6426">
          <cell r="Z6426" t="str">
            <v>294332</v>
          </cell>
        </row>
        <row r="6427">
          <cell r="Z6427" t="str">
            <v>294334</v>
          </cell>
        </row>
        <row r="6428">
          <cell r="Z6428" t="str">
            <v>294334</v>
          </cell>
        </row>
        <row r="6429">
          <cell r="Z6429" t="str">
            <v>294339</v>
          </cell>
        </row>
        <row r="6430">
          <cell r="Z6430" t="str">
            <v>294340</v>
          </cell>
        </row>
        <row r="6431">
          <cell r="Z6431" t="str">
            <v>294341</v>
          </cell>
        </row>
        <row r="6432">
          <cell r="Z6432" t="str">
            <v>294342</v>
          </cell>
        </row>
        <row r="6433">
          <cell r="Z6433" t="str">
            <v>294343</v>
          </cell>
        </row>
        <row r="6434">
          <cell r="Z6434" t="str">
            <v>294344</v>
          </cell>
        </row>
        <row r="6435">
          <cell r="Z6435" t="str">
            <v>294349</v>
          </cell>
        </row>
        <row r="6436">
          <cell r="Z6436" t="str">
            <v>294350</v>
          </cell>
        </row>
        <row r="6437">
          <cell r="Z6437" t="str">
            <v>294351</v>
          </cell>
        </row>
        <row r="6438">
          <cell r="Z6438" t="str">
            <v>294352</v>
          </cell>
        </row>
        <row r="6439">
          <cell r="Z6439" t="str">
            <v>294353</v>
          </cell>
        </row>
        <row r="6440">
          <cell r="Z6440" t="str">
            <v>294354</v>
          </cell>
        </row>
        <row r="6441">
          <cell r="Z6441" t="str">
            <v>294359</v>
          </cell>
        </row>
        <row r="6442">
          <cell r="Z6442" t="str">
            <v>294360</v>
          </cell>
        </row>
        <row r="6443">
          <cell r="Z6443" t="str">
            <v>294361</v>
          </cell>
        </row>
        <row r="6444">
          <cell r="Z6444" t="str">
            <v>294362</v>
          </cell>
        </row>
        <row r="6445">
          <cell r="Z6445" t="str">
            <v>294363</v>
          </cell>
        </row>
        <row r="6446">
          <cell r="Z6446" t="str">
            <v>294364</v>
          </cell>
        </row>
        <row r="6447">
          <cell r="Z6447" t="str">
            <v>294369</v>
          </cell>
        </row>
        <row r="6448">
          <cell r="Z6448" t="str">
            <v>295000</v>
          </cell>
        </row>
        <row r="6449">
          <cell r="Z6449" t="str">
            <v>295100</v>
          </cell>
        </row>
        <row r="6450">
          <cell r="Z6450" t="str">
            <v>295101</v>
          </cell>
        </row>
        <row r="6451">
          <cell r="Z6451" t="str">
            <v>295102</v>
          </cell>
        </row>
        <row r="6452">
          <cell r="Z6452" t="str">
            <v>295103</v>
          </cell>
        </row>
        <row r="6453">
          <cell r="Z6453" t="str">
            <v>295104</v>
          </cell>
        </row>
        <row r="6454">
          <cell r="Z6454" t="str">
            <v>295109</v>
          </cell>
        </row>
        <row r="6455">
          <cell r="Z6455" t="str">
            <v>295200</v>
          </cell>
        </row>
        <row r="6456">
          <cell r="Z6456" t="str">
            <v>295201</v>
          </cell>
        </row>
        <row r="6457">
          <cell r="Z6457" t="str">
            <v>295202</v>
          </cell>
        </row>
        <row r="6458">
          <cell r="Z6458" t="str">
            <v>295203</v>
          </cell>
        </row>
        <row r="6459">
          <cell r="Z6459" t="str">
            <v>295204</v>
          </cell>
        </row>
        <row r="6460">
          <cell r="Z6460" t="str">
            <v>295209</v>
          </cell>
        </row>
        <row r="6461">
          <cell r="Z6461" t="str">
            <v>295300</v>
          </cell>
        </row>
        <row r="6462">
          <cell r="Z6462" t="str">
            <v>295301</v>
          </cell>
        </row>
        <row r="6463">
          <cell r="Z6463" t="str">
            <v>295302</v>
          </cell>
        </row>
        <row r="6464">
          <cell r="Z6464" t="str">
            <v>295303</v>
          </cell>
        </row>
        <row r="6465">
          <cell r="Z6465" t="str">
            <v>295304</v>
          </cell>
        </row>
        <row r="6466">
          <cell r="Z6466" t="str">
            <v>295309</v>
          </cell>
        </row>
        <row r="6467">
          <cell r="Z6467" t="str">
            <v>295400</v>
          </cell>
        </row>
        <row r="6468">
          <cell r="Z6468" t="str">
            <v>295401</v>
          </cell>
        </row>
        <row r="6469">
          <cell r="Z6469" t="str">
            <v>295402</v>
          </cell>
        </row>
        <row r="6470">
          <cell r="Z6470" t="str">
            <v>295403</v>
          </cell>
        </row>
        <row r="6471">
          <cell r="Z6471" t="str">
            <v>295404</v>
          </cell>
        </row>
        <row r="6472">
          <cell r="Z6472" t="str">
            <v>295409</v>
          </cell>
        </row>
        <row r="6473">
          <cell r="Z6473" t="str">
            <v>296000</v>
          </cell>
        </row>
        <row r="6474">
          <cell r="Z6474" t="str">
            <v>296100</v>
          </cell>
        </row>
        <row r="6475">
          <cell r="Z6475" t="str">
            <v>296101</v>
          </cell>
        </row>
        <row r="6476">
          <cell r="Z6476" t="str">
            <v>296102</v>
          </cell>
        </row>
        <row r="6477">
          <cell r="Z6477" t="str">
            <v>296103</v>
          </cell>
        </row>
        <row r="6478">
          <cell r="Z6478" t="str">
            <v>296104</v>
          </cell>
        </row>
        <row r="6479">
          <cell r="Z6479" t="str">
            <v>296109</v>
          </cell>
        </row>
        <row r="6480">
          <cell r="Z6480" t="str">
            <v>296200</v>
          </cell>
        </row>
        <row r="6481">
          <cell r="Z6481" t="str">
            <v>296210</v>
          </cell>
        </row>
        <row r="6482">
          <cell r="Z6482" t="str">
            <v>296211</v>
          </cell>
        </row>
        <row r="6483">
          <cell r="Z6483" t="str">
            <v>296212</v>
          </cell>
        </row>
        <row r="6484">
          <cell r="Z6484" t="str">
            <v>296213</v>
          </cell>
        </row>
        <row r="6485">
          <cell r="Z6485" t="str">
            <v>296214</v>
          </cell>
        </row>
        <row r="6486">
          <cell r="Z6486" t="str">
            <v>296219</v>
          </cell>
        </row>
        <row r="6487">
          <cell r="Z6487" t="str">
            <v>296220</v>
          </cell>
        </row>
        <row r="6488">
          <cell r="Z6488" t="str">
            <v>296221</v>
          </cell>
        </row>
        <row r="6489">
          <cell r="Z6489" t="str">
            <v>296222</v>
          </cell>
        </row>
        <row r="6490">
          <cell r="Z6490" t="str">
            <v>296223</v>
          </cell>
        </row>
        <row r="6491">
          <cell r="Z6491" t="str">
            <v>296224</v>
          </cell>
        </row>
        <row r="6492">
          <cell r="Z6492" t="str">
            <v>296229</v>
          </cell>
        </row>
        <row r="6493">
          <cell r="Z6493" t="str">
            <v>296300</v>
          </cell>
        </row>
        <row r="6494">
          <cell r="Z6494" t="str">
            <v>296301</v>
          </cell>
        </row>
        <row r="6495">
          <cell r="Z6495" t="str">
            <v>296302</v>
          </cell>
        </row>
        <row r="6496">
          <cell r="Z6496" t="str">
            <v>296303</v>
          </cell>
        </row>
        <row r="6497">
          <cell r="Z6497" t="str">
            <v>296304</v>
          </cell>
        </row>
        <row r="6498">
          <cell r="Z6498" t="str">
            <v>296309</v>
          </cell>
        </row>
        <row r="6499">
          <cell r="Z6499" t="str">
            <v>296400</v>
          </cell>
        </row>
        <row r="6500">
          <cell r="Z6500" t="str">
            <v>296410</v>
          </cell>
        </row>
        <row r="6501">
          <cell r="Z6501" t="str">
            <v>296411</v>
          </cell>
        </row>
        <row r="6502">
          <cell r="Z6502" t="str">
            <v>296412</v>
          </cell>
        </row>
        <row r="6503">
          <cell r="Z6503" t="str">
            <v>296413</v>
          </cell>
        </row>
        <row r="6504">
          <cell r="Z6504" t="str">
            <v>296414</v>
          </cell>
        </row>
        <row r="6505">
          <cell r="Z6505" t="str">
            <v>296419</v>
          </cell>
        </row>
        <row r="6506">
          <cell r="Z6506" t="str">
            <v>296420</v>
          </cell>
        </row>
        <row r="6507">
          <cell r="Z6507" t="str">
            <v>296421</v>
          </cell>
        </row>
        <row r="6508">
          <cell r="Z6508" t="str">
            <v>296422</v>
          </cell>
        </row>
        <row r="6509">
          <cell r="Z6509" t="str">
            <v>296423</v>
          </cell>
        </row>
        <row r="6510">
          <cell r="Z6510" t="str">
            <v>296424</v>
          </cell>
        </row>
        <row r="6511">
          <cell r="Z6511" t="str">
            <v>296429</v>
          </cell>
        </row>
        <row r="6512">
          <cell r="Z6512" t="str">
            <v>296500</v>
          </cell>
        </row>
        <row r="6513">
          <cell r="Z6513" t="str">
            <v>296501</v>
          </cell>
        </row>
        <row r="6514">
          <cell r="Z6514" t="str">
            <v>296502</v>
          </cell>
        </row>
        <row r="6515">
          <cell r="Z6515" t="str">
            <v>296503</v>
          </cell>
        </row>
        <row r="6516">
          <cell r="Z6516" t="str">
            <v>296504</v>
          </cell>
        </row>
        <row r="6517">
          <cell r="Z6517" t="str">
            <v>296509</v>
          </cell>
        </row>
        <row r="6518">
          <cell r="Z6518" t="str">
            <v>296600</v>
          </cell>
        </row>
        <row r="6519">
          <cell r="Z6519" t="str">
            <v>296601</v>
          </cell>
        </row>
        <row r="6520">
          <cell r="Z6520" t="str">
            <v>296602</v>
          </cell>
        </row>
        <row r="6521">
          <cell r="Z6521" t="str">
            <v>296603</v>
          </cell>
        </row>
        <row r="6522">
          <cell r="Z6522" t="str">
            <v>296604</v>
          </cell>
        </row>
        <row r="6523">
          <cell r="Z6523" t="str">
            <v>296609</v>
          </cell>
        </row>
        <row r="6524">
          <cell r="Z6524" t="str">
            <v>296700</v>
          </cell>
        </row>
        <row r="6525">
          <cell r="Z6525" t="str">
            <v>296701</v>
          </cell>
        </row>
        <row r="6526">
          <cell r="Z6526" t="str">
            <v>296702</v>
          </cell>
        </row>
        <row r="6527">
          <cell r="Z6527" t="str">
            <v>296703</v>
          </cell>
        </row>
        <row r="6528">
          <cell r="Z6528" t="str">
            <v>296704</v>
          </cell>
        </row>
        <row r="6529">
          <cell r="Z6529" t="str">
            <v>296709</v>
          </cell>
        </row>
        <row r="6530">
          <cell r="Z6530" t="str">
            <v>296800</v>
          </cell>
        </row>
        <row r="6531">
          <cell r="Z6531" t="str">
            <v>296801</v>
          </cell>
        </row>
        <row r="6532">
          <cell r="Z6532" t="str">
            <v>296802</v>
          </cell>
        </row>
        <row r="6533">
          <cell r="Z6533" t="str">
            <v>296803</v>
          </cell>
        </row>
        <row r="6534">
          <cell r="Z6534" t="str">
            <v>296804</v>
          </cell>
        </row>
        <row r="6535">
          <cell r="Z6535" t="str">
            <v>296809</v>
          </cell>
        </row>
        <row r="6536">
          <cell r="Z6536" t="str">
            <v>296900</v>
          </cell>
        </row>
        <row r="6537">
          <cell r="Z6537" t="str">
            <v>296910</v>
          </cell>
        </row>
        <row r="6538">
          <cell r="Z6538" t="str">
            <v>296911</v>
          </cell>
        </row>
        <row r="6539">
          <cell r="Z6539" t="str">
            <v>296912</v>
          </cell>
        </row>
        <row r="6540">
          <cell r="Z6540" t="str">
            <v>296913</v>
          </cell>
        </row>
        <row r="6541">
          <cell r="Z6541" t="str">
            <v>296914</v>
          </cell>
        </row>
        <row r="6542">
          <cell r="Z6542" t="str">
            <v>296919</v>
          </cell>
        </row>
        <row r="6543">
          <cell r="Z6543" t="str">
            <v>296920</v>
          </cell>
        </row>
        <row r="6544">
          <cell r="Z6544" t="str">
            <v>296921</v>
          </cell>
        </row>
        <row r="6545">
          <cell r="Z6545" t="str">
            <v>296922</v>
          </cell>
        </row>
        <row r="6546">
          <cell r="Z6546" t="str">
            <v>296923</v>
          </cell>
        </row>
        <row r="6547">
          <cell r="Z6547" t="str">
            <v>296924</v>
          </cell>
        </row>
        <row r="6548">
          <cell r="Z6548" t="str">
            <v>296929</v>
          </cell>
        </row>
        <row r="6549">
          <cell r="Z6549" t="str">
            <v/>
          </cell>
        </row>
        <row r="6550">
          <cell r="Z6550" t="str">
            <v/>
          </cell>
        </row>
        <row r="6551">
          <cell r="Z6551" t="str">
            <v/>
          </cell>
        </row>
        <row r="6552">
          <cell r="Z6552" t="str">
            <v/>
          </cell>
        </row>
        <row r="6553">
          <cell r="Z6553" t="str">
            <v/>
          </cell>
        </row>
        <row r="6554">
          <cell r="Z6554" t="str">
            <v/>
          </cell>
        </row>
        <row r="6555">
          <cell r="Z6555" t="str">
            <v/>
          </cell>
        </row>
        <row r="6556">
          <cell r="Z6556" t="str">
            <v/>
          </cell>
        </row>
        <row r="6557">
          <cell r="Z6557" t="str">
            <v/>
          </cell>
        </row>
        <row r="6558">
          <cell r="Z6558" t="str">
            <v>L1L2L3L4</v>
          </cell>
        </row>
        <row r="6559">
          <cell r="Z6559" t="str">
            <v>300000</v>
          </cell>
        </row>
        <row r="6560">
          <cell r="Z6560" t="str">
            <v>310000</v>
          </cell>
        </row>
        <row r="6561">
          <cell r="Z6561" t="str">
            <v>311000</v>
          </cell>
        </row>
        <row r="6562">
          <cell r="Z6562" t="str">
            <v>311100</v>
          </cell>
        </row>
        <row r="6563">
          <cell r="Z6563" t="str">
            <v>311110</v>
          </cell>
        </row>
        <row r="6564">
          <cell r="Z6564" t="str">
            <v>311111</v>
          </cell>
        </row>
        <row r="6565">
          <cell r="Z6565" t="str">
            <v>311112</v>
          </cell>
        </row>
        <row r="6566">
          <cell r="Z6566" t="str">
            <v>311113</v>
          </cell>
        </row>
        <row r="6567">
          <cell r="Z6567" t="str">
            <v>311114</v>
          </cell>
        </row>
        <row r="6568">
          <cell r="Z6568" t="str">
            <v>311119</v>
          </cell>
        </row>
        <row r="6569">
          <cell r="Z6569" t="str">
            <v>311120</v>
          </cell>
        </row>
        <row r="6570">
          <cell r="Z6570" t="str">
            <v>311121</v>
          </cell>
        </row>
        <row r="6571">
          <cell r="Z6571" t="str">
            <v>311122</v>
          </cell>
        </row>
        <row r="6572">
          <cell r="Z6572" t="str">
            <v>311123</v>
          </cell>
        </row>
        <row r="6573">
          <cell r="Z6573" t="str">
            <v>311124</v>
          </cell>
        </row>
        <row r="6574">
          <cell r="Z6574" t="str">
            <v>311129</v>
          </cell>
        </row>
        <row r="6575">
          <cell r="Z6575" t="str">
            <v>311200</v>
          </cell>
        </row>
        <row r="6576">
          <cell r="Z6576" t="str">
            <v>311210</v>
          </cell>
        </row>
        <row r="6577">
          <cell r="Z6577" t="str">
            <v>311211</v>
          </cell>
        </row>
        <row r="6578">
          <cell r="Z6578" t="str">
            <v>311212</v>
          </cell>
        </row>
        <row r="6579">
          <cell r="Z6579" t="str">
            <v>311213</v>
          </cell>
        </row>
        <row r="6580">
          <cell r="Z6580" t="str">
            <v>311214</v>
          </cell>
        </row>
        <row r="6581">
          <cell r="Z6581" t="str">
            <v>311219</v>
          </cell>
        </row>
        <row r="6582">
          <cell r="Z6582" t="str">
            <v>311220</v>
          </cell>
        </row>
        <row r="6583">
          <cell r="Z6583" t="str">
            <v>311221</v>
          </cell>
        </row>
        <row r="6584">
          <cell r="Z6584" t="str">
            <v>311222</v>
          </cell>
        </row>
        <row r="6585">
          <cell r="Z6585" t="str">
            <v>311223</v>
          </cell>
        </row>
        <row r="6586">
          <cell r="Z6586" t="str">
            <v>311224</v>
          </cell>
        </row>
        <row r="6587">
          <cell r="Z6587" t="str">
            <v>311229</v>
          </cell>
        </row>
        <row r="6588">
          <cell r="Z6588" t="str">
            <v>311230</v>
          </cell>
        </row>
        <row r="6589">
          <cell r="Z6589" t="str">
            <v>311231</v>
          </cell>
        </row>
        <row r="6590">
          <cell r="Z6590" t="str">
            <v>311232</v>
          </cell>
        </row>
        <row r="6591">
          <cell r="Z6591" t="str">
            <v>311233</v>
          </cell>
        </row>
        <row r="6592">
          <cell r="Z6592" t="str">
            <v>311234</v>
          </cell>
        </row>
        <row r="6593">
          <cell r="Z6593" t="str">
            <v>311239</v>
          </cell>
        </row>
        <row r="6594">
          <cell r="Z6594" t="str">
            <v>311240</v>
          </cell>
        </row>
        <row r="6595">
          <cell r="Z6595" t="str">
            <v>311241</v>
          </cell>
        </row>
        <row r="6596">
          <cell r="Z6596" t="str">
            <v>311242</v>
          </cell>
        </row>
        <row r="6597">
          <cell r="Z6597" t="str">
            <v>311243</v>
          </cell>
        </row>
        <row r="6598">
          <cell r="Z6598" t="str">
            <v>311244</v>
          </cell>
        </row>
        <row r="6599">
          <cell r="Z6599" t="str">
            <v>311249</v>
          </cell>
        </row>
        <row r="6600">
          <cell r="Z6600" t="str">
            <v>311250</v>
          </cell>
        </row>
        <row r="6601">
          <cell r="Z6601" t="str">
            <v>311251</v>
          </cell>
        </row>
        <row r="6602">
          <cell r="Z6602" t="str">
            <v>311252</v>
          </cell>
        </row>
        <row r="6603">
          <cell r="Z6603" t="str">
            <v>311253</v>
          </cell>
        </row>
        <row r="6604">
          <cell r="Z6604" t="str">
            <v>311254</v>
          </cell>
        </row>
        <row r="6605">
          <cell r="Z6605" t="str">
            <v>311259</v>
          </cell>
        </row>
        <row r="6606">
          <cell r="Z6606" t="str">
            <v>311260</v>
          </cell>
        </row>
        <row r="6607">
          <cell r="Z6607" t="str">
            <v>311261</v>
          </cell>
        </row>
        <row r="6608">
          <cell r="Z6608" t="str">
            <v>311262</v>
          </cell>
        </row>
        <row r="6609">
          <cell r="Z6609" t="str">
            <v>311263</v>
          </cell>
        </row>
        <row r="6610">
          <cell r="Z6610" t="str">
            <v>311264</v>
          </cell>
        </row>
        <row r="6611">
          <cell r="Z6611" t="str">
            <v>311269</v>
          </cell>
        </row>
        <row r="6612">
          <cell r="Z6612" t="str">
            <v>311300</v>
          </cell>
        </row>
        <row r="6613">
          <cell r="Z6613" t="str">
            <v>311310</v>
          </cell>
        </row>
        <row r="6614">
          <cell r="Z6614" t="str">
            <v>311311</v>
          </cell>
        </row>
        <row r="6615">
          <cell r="Z6615" t="str">
            <v>311312</v>
          </cell>
        </row>
        <row r="6616">
          <cell r="Z6616" t="str">
            <v>311313</v>
          </cell>
        </row>
        <row r="6617">
          <cell r="Z6617" t="str">
            <v>311314</v>
          </cell>
        </row>
        <row r="6618">
          <cell r="Z6618" t="str">
            <v>311319</v>
          </cell>
        </row>
        <row r="6619">
          <cell r="Z6619" t="str">
            <v>311320</v>
          </cell>
        </row>
        <row r="6620">
          <cell r="Z6620" t="str">
            <v>311321</v>
          </cell>
        </row>
        <row r="6621">
          <cell r="Z6621" t="str">
            <v>311322</v>
          </cell>
        </row>
        <row r="6622">
          <cell r="Z6622" t="str">
            <v>311323</v>
          </cell>
        </row>
        <row r="6623">
          <cell r="Z6623" t="str">
            <v>311324</v>
          </cell>
        </row>
        <row r="6624">
          <cell r="Z6624" t="str">
            <v>311329</v>
          </cell>
        </row>
        <row r="6625">
          <cell r="Z6625" t="str">
            <v>311330</v>
          </cell>
        </row>
        <row r="6626">
          <cell r="Z6626" t="str">
            <v>311331</v>
          </cell>
        </row>
        <row r="6627">
          <cell r="Z6627" t="str">
            <v>311332</v>
          </cell>
        </row>
        <row r="6628">
          <cell r="Z6628" t="str">
            <v>311333</v>
          </cell>
        </row>
        <row r="6629">
          <cell r="Z6629" t="str">
            <v>311334</v>
          </cell>
        </row>
        <row r="6630">
          <cell r="Z6630" t="str">
            <v>311339</v>
          </cell>
        </row>
        <row r="6631">
          <cell r="Z6631" t="str">
            <v>311340</v>
          </cell>
        </row>
        <row r="6632">
          <cell r="Z6632" t="str">
            <v>311341</v>
          </cell>
        </row>
        <row r="6633">
          <cell r="Z6633" t="str">
            <v>311342</v>
          </cell>
        </row>
        <row r="6634">
          <cell r="Z6634" t="str">
            <v>311343</v>
          </cell>
        </row>
        <row r="6635">
          <cell r="Z6635" t="str">
            <v>311344</v>
          </cell>
        </row>
        <row r="6636">
          <cell r="Z6636" t="str">
            <v>311349</v>
          </cell>
        </row>
        <row r="6637">
          <cell r="Z6637" t="str">
            <v>311350</v>
          </cell>
        </row>
        <row r="6638">
          <cell r="Z6638" t="str">
            <v>311351</v>
          </cell>
        </row>
        <row r="6639">
          <cell r="Z6639" t="str">
            <v>311352</v>
          </cell>
        </row>
        <row r="6640">
          <cell r="Z6640" t="str">
            <v>311353</v>
          </cell>
        </row>
        <row r="6641">
          <cell r="Z6641" t="str">
            <v>311354</v>
          </cell>
        </row>
        <row r="6642">
          <cell r="Z6642" t="str">
            <v>311359</v>
          </cell>
        </row>
        <row r="6643">
          <cell r="Z6643" t="str">
            <v>311360</v>
          </cell>
        </row>
        <row r="6644">
          <cell r="Z6644" t="str">
            <v>311361</v>
          </cell>
        </row>
        <row r="6645">
          <cell r="Z6645" t="str">
            <v>311362</v>
          </cell>
        </row>
        <row r="6646">
          <cell r="Z6646" t="str">
            <v>311363</v>
          </cell>
        </row>
        <row r="6647">
          <cell r="Z6647" t="str">
            <v>311364</v>
          </cell>
        </row>
        <row r="6648">
          <cell r="Z6648" t="str">
            <v>311369</v>
          </cell>
        </row>
        <row r="6649">
          <cell r="Z6649" t="str">
            <v>311400</v>
          </cell>
        </row>
        <row r="6650">
          <cell r="Z6650" t="str">
            <v>311410</v>
          </cell>
        </row>
        <row r="6651">
          <cell r="Z6651" t="str">
            <v>311411</v>
          </cell>
        </row>
        <row r="6652">
          <cell r="Z6652" t="str">
            <v>311412</v>
          </cell>
        </row>
        <row r="6653">
          <cell r="Z6653" t="str">
            <v>311413</v>
          </cell>
        </row>
        <row r="6654">
          <cell r="Z6654" t="str">
            <v>311414</v>
          </cell>
        </row>
        <row r="6655">
          <cell r="Z6655" t="str">
            <v>311419</v>
          </cell>
        </row>
        <row r="6656">
          <cell r="Z6656" t="str">
            <v>311420</v>
          </cell>
        </row>
        <row r="6657">
          <cell r="Z6657" t="str">
            <v>311421</v>
          </cell>
        </row>
        <row r="6658">
          <cell r="Z6658" t="str">
            <v>311422</v>
          </cell>
        </row>
        <row r="6659">
          <cell r="Z6659" t="str">
            <v>311423</v>
          </cell>
        </row>
        <row r="6660">
          <cell r="Z6660" t="str">
            <v>311424</v>
          </cell>
        </row>
        <row r="6661">
          <cell r="Z6661" t="str">
            <v>311429</v>
          </cell>
        </row>
        <row r="6662">
          <cell r="Z6662" t="str">
            <v>311430</v>
          </cell>
        </row>
        <row r="6663">
          <cell r="Z6663" t="str">
            <v>311431</v>
          </cell>
        </row>
        <row r="6664">
          <cell r="Z6664" t="str">
            <v>311432</v>
          </cell>
        </row>
        <row r="6665">
          <cell r="Z6665" t="str">
            <v>311433</v>
          </cell>
        </row>
        <row r="6666">
          <cell r="Z6666" t="str">
            <v>311434</v>
          </cell>
        </row>
        <row r="6667">
          <cell r="Z6667" t="str">
            <v>311439</v>
          </cell>
        </row>
        <row r="6668">
          <cell r="Z6668" t="str">
            <v>312000</v>
          </cell>
        </row>
        <row r="6669">
          <cell r="Z6669" t="str">
            <v>312100</v>
          </cell>
        </row>
        <row r="6670">
          <cell r="Z6670" t="str">
            <v>312110</v>
          </cell>
        </row>
        <row r="6671">
          <cell r="Z6671" t="str">
            <v>312111</v>
          </cell>
        </row>
        <row r="6672">
          <cell r="Z6672" t="str">
            <v>312112</v>
          </cell>
        </row>
        <row r="6673">
          <cell r="Z6673" t="str">
            <v>312113</v>
          </cell>
        </row>
        <row r="6674">
          <cell r="Z6674" t="str">
            <v>312114</v>
          </cell>
        </row>
        <row r="6675">
          <cell r="Z6675" t="str">
            <v>312119</v>
          </cell>
        </row>
        <row r="6676">
          <cell r="Z6676" t="str">
            <v>312120</v>
          </cell>
        </row>
        <row r="6677">
          <cell r="Z6677" t="str">
            <v>312121</v>
          </cell>
        </row>
        <row r="6678">
          <cell r="Z6678" t="str">
            <v>312122</v>
          </cell>
        </row>
        <row r="6679">
          <cell r="Z6679" t="str">
            <v>312123</v>
          </cell>
        </row>
        <row r="6680">
          <cell r="Z6680" t="str">
            <v>312124</v>
          </cell>
        </row>
        <row r="6681">
          <cell r="Z6681" t="str">
            <v>312129</v>
          </cell>
        </row>
        <row r="6682">
          <cell r="Z6682" t="str">
            <v>312200</v>
          </cell>
        </row>
        <row r="6683">
          <cell r="Z6683" t="str">
            <v>312210</v>
          </cell>
        </row>
        <row r="6684">
          <cell r="Z6684" t="str">
            <v>312211</v>
          </cell>
        </row>
        <row r="6685">
          <cell r="Z6685" t="str">
            <v>312212</v>
          </cell>
        </row>
        <row r="6686">
          <cell r="Z6686" t="str">
            <v>312213</v>
          </cell>
        </row>
        <row r="6687">
          <cell r="Z6687" t="str">
            <v>312214</v>
          </cell>
        </row>
        <row r="6688">
          <cell r="Z6688" t="str">
            <v>312219</v>
          </cell>
        </row>
        <row r="6689">
          <cell r="Z6689" t="str">
            <v>312220</v>
          </cell>
        </row>
        <row r="6690">
          <cell r="Z6690" t="str">
            <v>312221</v>
          </cell>
        </row>
        <row r="6691">
          <cell r="Z6691" t="str">
            <v>312222</v>
          </cell>
        </row>
        <row r="6692">
          <cell r="Z6692" t="str">
            <v>312223</v>
          </cell>
        </row>
        <row r="6693">
          <cell r="Z6693" t="str">
            <v>312224</v>
          </cell>
        </row>
        <row r="6694">
          <cell r="Z6694" t="str">
            <v>312229</v>
          </cell>
        </row>
        <row r="6695">
          <cell r="Z6695" t="str">
            <v>312230</v>
          </cell>
        </row>
        <row r="6696">
          <cell r="Z6696" t="str">
            <v>312231</v>
          </cell>
        </row>
        <row r="6697">
          <cell r="Z6697" t="str">
            <v>312232</v>
          </cell>
        </row>
        <row r="6698">
          <cell r="Z6698" t="str">
            <v>312233</v>
          </cell>
        </row>
        <row r="6699">
          <cell r="Z6699" t="str">
            <v>312234</v>
          </cell>
        </row>
        <row r="6700">
          <cell r="Z6700" t="str">
            <v>312239</v>
          </cell>
        </row>
        <row r="6701">
          <cell r="Z6701" t="str">
            <v>312240</v>
          </cell>
        </row>
        <row r="6702">
          <cell r="Z6702" t="str">
            <v>312241</v>
          </cell>
        </row>
        <row r="6703">
          <cell r="Z6703" t="str">
            <v>312242</v>
          </cell>
        </row>
        <row r="6704">
          <cell r="Z6704" t="str">
            <v>312243</v>
          </cell>
        </row>
        <row r="6705">
          <cell r="Z6705" t="str">
            <v>312244</v>
          </cell>
        </row>
        <row r="6706">
          <cell r="Z6706" t="str">
            <v>312249</v>
          </cell>
        </row>
        <row r="6707">
          <cell r="Z6707" t="str">
            <v>312300</v>
          </cell>
        </row>
        <row r="6708">
          <cell r="Z6708" t="str">
            <v>312310</v>
          </cell>
        </row>
        <row r="6709">
          <cell r="Z6709" t="str">
            <v>312311</v>
          </cell>
        </row>
        <row r="6710">
          <cell r="Z6710" t="str">
            <v>312312</v>
          </cell>
        </row>
        <row r="6711">
          <cell r="Z6711" t="str">
            <v>312313</v>
          </cell>
        </row>
        <row r="6712">
          <cell r="Z6712" t="str">
            <v>312314</v>
          </cell>
        </row>
        <row r="6713">
          <cell r="Z6713" t="str">
            <v>312319</v>
          </cell>
        </row>
        <row r="6714">
          <cell r="Z6714" t="str">
            <v>312320</v>
          </cell>
        </row>
        <row r="6715">
          <cell r="Z6715" t="str">
            <v>312321</v>
          </cell>
        </row>
        <row r="6716">
          <cell r="Z6716" t="str">
            <v>312322</v>
          </cell>
        </row>
        <row r="6717">
          <cell r="Z6717" t="str">
            <v>312323</v>
          </cell>
        </row>
        <row r="6718">
          <cell r="Z6718" t="str">
            <v>312324</v>
          </cell>
        </row>
        <row r="6719">
          <cell r="Z6719" t="str">
            <v>312329</v>
          </cell>
        </row>
        <row r="6720">
          <cell r="Z6720" t="str">
            <v>312330</v>
          </cell>
        </row>
        <row r="6721">
          <cell r="Z6721" t="str">
            <v>312331</v>
          </cell>
        </row>
        <row r="6722">
          <cell r="Z6722" t="str">
            <v>312332</v>
          </cell>
        </row>
        <row r="6723">
          <cell r="Z6723" t="str">
            <v>312333</v>
          </cell>
        </row>
        <row r="6724">
          <cell r="Z6724" t="str">
            <v>312334</v>
          </cell>
        </row>
        <row r="6725">
          <cell r="Z6725" t="str">
            <v>312339</v>
          </cell>
        </row>
        <row r="6726">
          <cell r="Z6726" t="str">
            <v>312340</v>
          </cell>
        </row>
        <row r="6727">
          <cell r="Z6727" t="str">
            <v>312341</v>
          </cell>
        </row>
        <row r="6728">
          <cell r="Z6728" t="str">
            <v>312342</v>
          </cell>
        </row>
        <row r="6729">
          <cell r="Z6729" t="str">
            <v>312343</v>
          </cell>
        </row>
        <row r="6730">
          <cell r="Z6730" t="str">
            <v>312344</v>
          </cell>
        </row>
        <row r="6731">
          <cell r="Z6731" t="str">
            <v>312349</v>
          </cell>
        </row>
        <row r="6732">
          <cell r="Z6732" t="str">
            <v>312400</v>
          </cell>
        </row>
        <row r="6733">
          <cell r="Z6733" t="str">
            <v>312410</v>
          </cell>
        </row>
        <row r="6734">
          <cell r="Z6734" t="str">
            <v>312411</v>
          </cell>
        </row>
        <row r="6735">
          <cell r="Z6735" t="str">
            <v>312412</v>
          </cell>
        </row>
        <row r="6736">
          <cell r="Z6736" t="str">
            <v>312413</v>
          </cell>
        </row>
        <row r="6737">
          <cell r="Z6737" t="str">
            <v>312414</v>
          </cell>
        </row>
        <row r="6738">
          <cell r="Z6738" t="str">
            <v>312419</v>
          </cell>
        </row>
        <row r="6739">
          <cell r="Z6739" t="str">
            <v>312420</v>
          </cell>
        </row>
        <row r="6740">
          <cell r="Z6740" t="str">
            <v>312421</v>
          </cell>
        </row>
        <row r="6741">
          <cell r="Z6741" t="str">
            <v>312422</v>
          </cell>
        </row>
        <row r="6742">
          <cell r="Z6742" t="str">
            <v>312423</v>
          </cell>
        </row>
        <row r="6743">
          <cell r="Z6743" t="str">
            <v>312424</v>
          </cell>
        </row>
        <row r="6744">
          <cell r="Z6744" t="str">
            <v>312429</v>
          </cell>
        </row>
        <row r="6745">
          <cell r="Z6745" t="str">
            <v>313000</v>
          </cell>
        </row>
        <row r="6746">
          <cell r="Z6746" t="str">
            <v>313100</v>
          </cell>
        </row>
        <row r="6747">
          <cell r="Z6747" t="str">
            <v>313110</v>
          </cell>
        </row>
        <row r="6748">
          <cell r="Z6748" t="str">
            <v>313111</v>
          </cell>
        </row>
        <row r="6749">
          <cell r="Z6749" t="str">
            <v>313112</v>
          </cell>
        </row>
        <row r="6750">
          <cell r="Z6750" t="str">
            <v>313113</v>
          </cell>
        </row>
        <row r="6751">
          <cell r="Z6751" t="str">
            <v>313114</v>
          </cell>
        </row>
        <row r="6752">
          <cell r="Z6752" t="str">
            <v>313119</v>
          </cell>
        </row>
        <row r="6753">
          <cell r="Z6753" t="str">
            <v>313120</v>
          </cell>
        </row>
        <row r="6754">
          <cell r="Z6754" t="str">
            <v>313121</v>
          </cell>
        </row>
        <row r="6755">
          <cell r="Z6755" t="str">
            <v>313122</v>
          </cell>
        </row>
        <row r="6756">
          <cell r="Z6756" t="str">
            <v>313123</v>
          </cell>
        </row>
        <row r="6757">
          <cell r="Z6757" t="str">
            <v>313124</v>
          </cell>
        </row>
        <row r="6758">
          <cell r="Z6758" t="str">
            <v>313129</v>
          </cell>
        </row>
        <row r="6759">
          <cell r="Z6759" t="str">
            <v>313200</v>
          </cell>
        </row>
        <row r="6760">
          <cell r="Z6760" t="str">
            <v>313210</v>
          </cell>
        </row>
        <row r="6761">
          <cell r="Z6761" t="str">
            <v>313211</v>
          </cell>
        </row>
        <row r="6762">
          <cell r="Z6762" t="str">
            <v>313212</v>
          </cell>
        </row>
        <row r="6763">
          <cell r="Z6763" t="str">
            <v>313213</v>
          </cell>
        </row>
        <row r="6764">
          <cell r="Z6764" t="str">
            <v>313214</v>
          </cell>
        </row>
        <row r="6765">
          <cell r="Z6765" t="str">
            <v>313219</v>
          </cell>
        </row>
        <row r="6766">
          <cell r="Z6766" t="str">
            <v>313220</v>
          </cell>
        </row>
        <row r="6767">
          <cell r="Z6767" t="str">
            <v>313221</v>
          </cell>
        </row>
        <row r="6768">
          <cell r="Z6768" t="str">
            <v>313222</v>
          </cell>
        </row>
        <row r="6769">
          <cell r="Z6769" t="str">
            <v>313223</v>
          </cell>
        </row>
        <row r="6770">
          <cell r="Z6770" t="str">
            <v>313224</v>
          </cell>
        </row>
        <row r="6771">
          <cell r="Z6771" t="str">
            <v>313229</v>
          </cell>
        </row>
        <row r="6772">
          <cell r="Z6772" t="str">
            <v>314000</v>
          </cell>
        </row>
        <row r="6773">
          <cell r="Z6773" t="str">
            <v>314100</v>
          </cell>
        </row>
        <row r="6774">
          <cell r="Z6774" t="str">
            <v>314110</v>
          </cell>
        </row>
        <row r="6775">
          <cell r="Z6775" t="str">
            <v>314111</v>
          </cell>
        </row>
        <row r="6776">
          <cell r="Z6776" t="str">
            <v>314112</v>
          </cell>
        </row>
        <row r="6777">
          <cell r="Z6777" t="str">
            <v>314113</v>
          </cell>
        </row>
        <row r="6778">
          <cell r="Z6778" t="str">
            <v>314114</v>
          </cell>
        </row>
        <row r="6779">
          <cell r="Z6779" t="str">
            <v>314119</v>
          </cell>
        </row>
        <row r="6780">
          <cell r="Z6780" t="str">
            <v>314120</v>
          </cell>
        </row>
        <row r="6781">
          <cell r="Z6781" t="str">
            <v>314121</v>
          </cell>
        </row>
        <row r="6782">
          <cell r="Z6782" t="str">
            <v>314122</v>
          </cell>
        </row>
        <row r="6783">
          <cell r="Z6783" t="str">
            <v>314123</v>
          </cell>
        </row>
        <row r="6784">
          <cell r="Z6784" t="str">
            <v>314124</v>
          </cell>
        </row>
        <row r="6785">
          <cell r="Z6785" t="str">
            <v>314129</v>
          </cell>
        </row>
        <row r="6786">
          <cell r="Z6786" t="str">
            <v>314200</v>
          </cell>
        </row>
        <row r="6787">
          <cell r="Z6787" t="str">
            <v>314210</v>
          </cell>
        </row>
        <row r="6788">
          <cell r="Z6788" t="str">
            <v>314211</v>
          </cell>
        </row>
        <row r="6789">
          <cell r="Z6789" t="str">
            <v>314212</v>
          </cell>
        </row>
        <row r="6790">
          <cell r="Z6790" t="str">
            <v>314213</v>
          </cell>
        </row>
        <row r="6791">
          <cell r="Z6791" t="str">
            <v>314214</v>
          </cell>
        </row>
        <row r="6792">
          <cell r="Z6792" t="str">
            <v>314219</v>
          </cell>
        </row>
        <row r="6793">
          <cell r="Z6793" t="str">
            <v>314220</v>
          </cell>
        </row>
        <row r="6794">
          <cell r="Z6794" t="str">
            <v>314221</v>
          </cell>
        </row>
        <row r="6795">
          <cell r="Z6795" t="str">
            <v>314222</v>
          </cell>
        </row>
        <row r="6796">
          <cell r="Z6796" t="str">
            <v>314223</v>
          </cell>
        </row>
        <row r="6797">
          <cell r="Z6797" t="str">
            <v>314224</v>
          </cell>
        </row>
        <row r="6798">
          <cell r="Z6798" t="str">
            <v>314229</v>
          </cell>
        </row>
        <row r="6799">
          <cell r="Z6799" t="str">
            <v>315000</v>
          </cell>
        </row>
        <row r="6800">
          <cell r="Z6800" t="str">
            <v>315100</v>
          </cell>
        </row>
        <row r="6801">
          <cell r="Z6801" t="str">
            <v>315110</v>
          </cell>
        </row>
        <row r="6802">
          <cell r="Z6802" t="str">
            <v>315111</v>
          </cell>
        </row>
        <row r="6803">
          <cell r="Z6803" t="str">
            <v>315112</v>
          </cell>
        </row>
        <row r="6804">
          <cell r="Z6804" t="str">
            <v>315113</v>
          </cell>
        </row>
        <row r="6805">
          <cell r="Z6805" t="str">
            <v>315114</v>
          </cell>
        </row>
        <row r="6806">
          <cell r="Z6806" t="str">
            <v>315119</v>
          </cell>
        </row>
        <row r="6807">
          <cell r="Z6807" t="str">
            <v>315120</v>
          </cell>
        </row>
        <row r="6808">
          <cell r="Z6808" t="str">
            <v>315121</v>
          </cell>
        </row>
        <row r="6809">
          <cell r="Z6809" t="str">
            <v>315122</v>
          </cell>
        </row>
        <row r="6810">
          <cell r="Z6810" t="str">
            <v>315123</v>
          </cell>
        </row>
        <row r="6811">
          <cell r="Z6811" t="str">
            <v>315124</v>
          </cell>
        </row>
        <row r="6812">
          <cell r="Z6812" t="str">
            <v>315129</v>
          </cell>
        </row>
        <row r="6813">
          <cell r="Z6813" t="str">
            <v>315200</v>
          </cell>
        </row>
        <row r="6814">
          <cell r="Z6814" t="str">
            <v>315210</v>
          </cell>
        </row>
        <row r="6815">
          <cell r="Z6815" t="str">
            <v>315211</v>
          </cell>
        </row>
        <row r="6816">
          <cell r="Z6816" t="str">
            <v>315212</v>
          </cell>
        </row>
        <row r="6817">
          <cell r="Z6817" t="str">
            <v>315213</v>
          </cell>
        </row>
        <row r="6818">
          <cell r="Z6818" t="str">
            <v>315214</v>
          </cell>
        </row>
        <row r="6819">
          <cell r="Z6819" t="str">
            <v>315219</v>
          </cell>
        </row>
        <row r="6820">
          <cell r="Z6820" t="str">
            <v>315220</v>
          </cell>
        </row>
        <row r="6821">
          <cell r="Z6821" t="str">
            <v>315221</v>
          </cell>
        </row>
        <row r="6822">
          <cell r="Z6822" t="str">
            <v>315222</v>
          </cell>
        </row>
        <row r="6823">
          <cell r="Z6823" t="str">
            <v>315223</v>
          </cell>
        </row>
        <row r="6824">
          <cell r="Z6824" t="str">
            <v>315224</v>
          </cell>
        </row>
        <row r="6825">
          <cell r="Z6825" t="str">
            <v>315229</v>
          </cell>
        </row>
        <row r="6826">
          <cell r="Z6826" t="str">
            <v>316000</v>
          </cell>
        </row>
        <row r="6827">
          <cell r="Z6827" t="str">
            <v>316100</v>
          </cell>
        </row>
        <row r="6828">
          <cell r="Z6828" t="str">
            <v>316110</v>
          </cell>
        </row>
        <row r="6829">
          <cell r="Z6829" t="str">
            <v>316111</v>
          </cell>
        </row>
        <row r="6830">
          <cell r="Z6830" t="str">
            <v>316112</v>
          </cell>
        </row>
        <row r="6831">
          <cell r="Z6831" t="str">
            <v>316113</v>
          </cell>
        </row>
        <row r="6832">
          <cell r="Z6832" t="str">
            <v>316114</v>
          </cell>
        </row>
        <row r="6833">
          <cell r="Z6833" t="str">
            <v>316119</v>
          </cell>
        </row>
        <row r="6834">
          <cell r="Z6834" t="str">
            <v>316120</v>
          </cell>
        </row>
        <row r="6835">
          <cell r="Z6835" t="str">
            <v>316121</v>
          </cell>
        </row>
        <row r="6836">
          <cell r="Z6836" t="str">
            <v>316122</v>
          </cell>
        </row>
        <row r="6837">
          <cell r="Z6837" t="str">
            <v>316123</v>
          </cell>
        </row>
        <row r="6838">
          <cell r="Z6838" t="str">
            <v>316124</v>
          </cell>
        </row>
        <row r="6839">
          <cell r="Z6839" t="str">
            <v>316129</v>
          </cell>
        </row>
        <row r="6840">
          <cell r="Z6840" t="str">
            <v>316200</v>
          </cell>
        </row>
        <row r="6841">
          <cell r="Z6841" t="str">
            <v>316210</v>
          </cell>
        </row>
        <row r="6842">
          <cell r="Z6842" t="str">
            <v>316211</v>
          </cell>
        </row>
        <row r="6843">
          <cell r="Z6843" t="str">
            <v>316212</v>
          </cell>
        </row>
        <row r="6844">
          <cell r="Z6844" t="str">
            <v>316213</v>
          </cell>
        </row>
        <row r="6845">
          <cell r="Z6845" t="str">
            <v>316214</v>
          </cell>
        </row>
        <row r="6846">
          <cell r="Z6846" t="str">
            <v>316219</v>
          </cell>
        </row>
        <row r="6847">
          <cell r="Z6847" t="str">
            <v>316220</v>
          </cell>
        </row>
        <row r="6848">
          <cell r="Z6848" t="str">
            <v>316221</v>
          </cell>
        </row>
        <row r="6849">
          <cell r="Z6849" t="str">
            <v>316222</v>
          </cell>
        </row>
        <row r="6850">
          <cell r="Z6850" t="str">
            <v>316223</v>
          </cell>
        </row>
        <row r="6851">
          <cell r="Z6851" t="str">
            <v>316224</v>
          </cell>
        </row>
        <row r="6852">
          <cell r="Z6852" t="str">
            <v>316229</v>
          </cell>
        </row>
        <row r="6853">
          <cell r="Z6853" t="str">
            <v>317000</v>
          </cell>
        </row>
        <row r="6854">
          <cell r="Z6854" t="str">
            <v>317100</v>
          </cell>
        </row>
        <row r="6855">
          <cell r="Z6855" t="str">
            <v>317110</v>
          </cell>
        </row>
        <row r="6856">
          <cell r="Z6856" t="str">
            <v>317111</v>
          </cell>
        </row>
        <row r="6857">
          <cell r="Z6857" t="str">
            <v>317112</v>
          </cell>
        </row>
        <row r="6858">
          <cell r="Z6858" t="str">
            <v>317113</v>
          </cell>
        </row>
        <row r="6859">
          <cell r="Z6859" t="str">
            <v>317114</v>
          </cell>
        </row>
        <row r="6860">
          <cell r="Z6860" t="str">
            <v>317119</v>
          </cell>
        </row>
        <row r="6861">
          <cell r="Z6861" t="str">
            <v>317120</v>
          </cell>
        </row>
        <row r="6862">
          <cell r="Z6862" t="str">
            <v>317121</v>
          </cell>
        </row>
        <row r="6863">
          <cell r="Z6863" t="str">
            <v>317122</v>
          </cell>
        </row>
        <row r="6864">
          <cell r="Z6864" t="str">
            <v>317123</v>
          </cell>
        </row>
        <row r="6865">
          <cell r="Z6865" t="str">
            <v>317124</v>
          </cell>
        </row>
        <row r="6866">
          <cell r="Z6866" t="str">
            <v>317129</v>
          </cell>
        </row>
        <row r="6867">
          <cell r="Z6867" t="str">
            <v>317200</v>
          </cell>
        </row>
        <row r="6868">
          <cell r="Z6868" t="str">
            <v>317210</v>
          </cell>
        </row>
        <row r="6869">
          <cell r="Z6869" t="str">
            <v>317211</v>
          </cell>
        </row>
        <row r="6870">
          <cell r="Z6870" t="str">
            <v>317212</v>
          </cell>
        </row>
        <row r="6871">
          <cell r="Z6871" t="str">
            <v>317213</v>
          </cell>
        </row>
        <row r="6872">
          <cell r="Z6872" t="str">
            <v>317214</v>
          </cell>
        </row>
        <row r="6873">
          <cell r="Z6873" t="str">
            <v>317219</v>
          </cell>
        </row>
        <row r="6874">
          <cell r="Z6874" t="str">
            <v>317220</v>
          </cell>
        </row>
        <row r="6875">
          <cell r="Z6875" t="str">
            <v>317221</v>
          </cell>
        </row>
        <row r="6876">
          <cell r="Z6876" t="str">
            <v>317222</v>
          </cell>
        </row>
        <row r="6877">
          <cell r="Z6877" t="str">
            <v>317223</v>
          </cell>
        </row>
        <row r="6878">
          <cell r="Z6878" t="str">
            <v>317224</v>
          </cell>
        </row>
        <row r="6879">
          <cell r="Z6879" t="str">
            <v>317229</v>
          </cell>
        </row>
        <row r="6880">
          <cell r="Z6880" t="str">
            <v>318000</v>
          </cell>
        </row>
        <row r="6881">
          <cell r="Z6881" t="str">
            <v>318100</v>
          </cell>
        </row>
        <row r="6882">
          <cell r="Z6882" t="str">
            <v>318110</v>
          </cell>
        </row>
        <row r="6883">
          <cell r="Z6883" t="str">
            <v>318111</v>
          </cell>
        </row>
        <row r="6884">
          <cell r="Z6884" t="str">
            <v>318112</v>
          </cell>
        </row>
        <row r="6885">
          <cell r="Z6885" t="str">
            <v>318113</v>
          </cell>
        </row>
        <row r="6886">
          <cell r="Z6886" t="str">
            <v>318114</v>
          </cell>
        </row>
        <row r="6887">
          <cell r="Z6887" t="str">
            <v>318119</v>
          </cell>
        </row>
        <row r="6888">
          <cell r="Z6888" t="str">
            <v>318120</v>
          </cell>
        </row>
        <row r="6889">
          <cell r="Z6889" t="str">
            <v>318121</v>
          </cell>
        </row>
        <row r="6890">
          <cell r="Z6890" t="str">
            <v>318122</v>
          </cell>
        </row>
        <row r="6891">
          <cell r="Z6891" t="str">
            <v>318123</v>
          </cell>
        </row>
        <row r="6892">
          <cell r="Z6892" t="str">
            <v>318124</v>
          </cell>
        </row>
        <row r="6893">
          <cell r="Z6893" t="str">
            <v>318129</v>
          </cell>
        </row>
        <row r="6894">
          <cell r="Z6894" t="str">
            <v>318200</v>
          </cell>
        </row>
        <row r="6895">
          <cell r="Z6895" t="str">
            <v>318210</v>
          </cell>
        </row>
        <row r="6896">
          <cell r="Z6896" t="str">
            <v>318211</v>
          </cell>
        </row>
        <row r="6897">
          <cell r="Z6897" t="str">
            <v>318212</v>
          </cell>
        </row>
        <row r="6898">
          <cell r="Z6898" t="str">
            <v>318213</v>
          </cell>
        </row>
        <row r="6899">
          <cell r="Z6899" t="str">
            <v>318214</v>
          </cell>
        </row>
        <row r="6900">
          <cell r="Z6900" t="str">
            <v>318219</v>
          </cell>
        </row>
        <row r="6901">
          <cell r="Z6901" t="str">
            <v>318220</v>
          </cell>
        </row>
        <row r="6902">
          <cell r="Z6902" t="str">
            <v>318221</v>
          </cell>
        </row>
        <row r="6903">
          <cell r="Z6903" t="str">
            <v>318222</v>
          </cell>
        </row>
        <row r="6904">
          <cell r="Z6904" t="str">
            <v>318223</v>
          </cell>
        </row>
        <row r="6905">
          <cell r="Z6905" t="str">
            <v>318224</v>
          </cell>
        </row>
        <row r="6906">
          <cell r="Z6906" t="str">
            <v>318229</v>
          </cell>
        </row>
        <row r="6907">
          <cell r="Z6907" t="str">
            <v>319000</v>
          </cell>
        </row>
        <row r="6908">
          <cell r="Z6908" t="str">
            <v>319100</v>
          </cell>
        </row>
        <row r="6909">
          <cell r="Z6909" t="str">
            <v>319110</v>
          </cell>
        </row>
        <row r="6910">
          <cell r="Z6910" t="str">
            <v>319111</v>
          </cell>
        </row>
        <row r="6911">
          <cell r="Z6911" t="str">
            <v>319112</v>
          </cell>
        </row>
        <row r="6912">
          <cell r="Z6912" t="str">
            <v>319113</v>
          </cell>
        </row>
        <row r="6913">
          <cell r="Z6913" t="str">
            <v>319114</v>
          </cell>
        </row>
        <row r="6914">
          <cell r="Z6914" t="str">
            <v>319119</v>
          </cell>
        </row>
        <row r="6915">
          <cell r="Z6915" t="str">
            <v>319120</v>
          </cell>
        </row>
        <row r="6916">
          <cell r="Z6916" t="str">
            <v>319121</v>
          </cell>
        </row>
        <row r="6917">
          <cell r="Z6917" t="str">
            <v>319122</v>
          </cell>
        </row>
        <row r="6918">
          <cell r="Z6918" t="str">
            <v>319123</v>
          </cell>
        </row>
        <row r="6919">
          <cell r="Z6919" t="str">
            <v>319124</v>
          </cell>
        </row>
        <row r="6920">
          <cell r="Z6920" t="str">
            <v>319129</v>
          </cell>
        </row>
        <row r="6921">
          <cell r="Z6921" t="str">
            <v>319200</v>
          </cell>
        </row>
        <row r="6922">
          <cell r="Z6922" t="str">
            <v>319210</v>
          </cell>
        </row>
        <row r="6923">
          <cell r="Z6923" t="str">
            <v>319211</v>
          </cell>
        </row>
        <row r="6924">
          <cell r="Z6924" t="str">
            <v>319212</v>
          </cell>
        </row>
        <row r="6925">
          <cell r="Z6925" t="str">
            <v>319213</v>
          </cell>
        </row>
        <row r="6926">
          <cell r="Z6926" t="str">
            <v>319214</v>
          </cell>
        </row>
        <row r="6927">
          <cell r="Z6927" t="str">
            <v>319219</v>
          </cell>
        </row>
        <row r="6928">
          <cell r="Z6928" t="str">
            <v>319220</v>
          </cell>
        </row>
        <row r="6929">
          <cell r="Z6929" t="str">
            <v>319221</v>
          </cell>
        </row>
        <row r="6930">
          <cell r="Z6930" t="str">
            <v>319222</v>
          </cell>
        </row>
        <row r="6931">
          <cell r="Z6931" t="str">
            <v>319223</v>
          </cell>
        </row>
        <row r="6932">
          <cell r="Z6932" t="str">
            <v>319224</v>
          </cell>
        </row>
        <row r="6933">
          <cell r="Z6933" t="str">
            <v>319229</v>
          </cell>
        </row>
        <row r="6934">
          <cell r="Z6934" t="str">
            <v>319230</v>
          </cell>
        </row>
        <row r="6935">
          <cell r="Z6935" t="str">
            <v>319231</v>
          </cell>
        </row>
        <row r="6936">
          <cell r="Z6936" t="str">
            <v>319232</v>
          </cell>
        </row>
        <row r="6937">
          <cell r="Z6937" t="str">
            <v>319233</v>
          </cell>
        </row>
        <row r="6938">
          <cell r="Z6938" t="str">
            <v>319234</v>
          </cell>
        </row>
        <row r="6939">
          <cell r="Z6939" t="str">
            <v>319239</v>
          </cell>
        </row>
        <row r="6940">
          <cell r="Z6940" t="str">
            <v>319240</v>
          </cell>
        </row>
        <row r="6941">
          <cell r="Z6941" t="str">
            <v>319241</v>
          </cell>
        </row>
        <row r="6942">
          <cell r="Z6942" t="str">
            <v>319242</v>
          </cell>
        </row>
        <row r="6943">
          <cell r="Z6943" t="str">
            <v>319243</v>
          </cell>
        </row>
        <row r="6944">
          <cell r="Z6944" t="str">
            <v>319244</v>
          </cell>
        </row>
        <row r="6945">
          <cell r="Z6945" t="str">
            <v>319249</v>
          </cell>
        </row>
        <row r="6946">
          <cell r="Z6946" t="str">
            <v>319300</v>
          </cell>
        </row>
        <row r="6947">
          <cell r="Z6947" t="str">
            <v>319310</v>
          </cell>
        </row>
        <row r="6948">
          <cell r="Z6948" t="str">
            <v>319311</v>
          </cell>
        </row>
        <row r="6949">
          <cell r="Z6949" t="str">
            <v>319312</v>
          </cell>
        </row>
        <row r="6950">
          <cell r="Z6950" t="str">
            <v>319313</v>
          </cell>
        </row>
        <row r="6951">
          <cell r="Z6951" t="str">
            <v>319314</v>
          </cell>
        </row>
        <row r="6952">
          <cell r="Z6952" t="str">
            <v>319319</v>
          </cell>
        </row>
        <row r="6953">
          <cell r="Z6953" t="str">
            <v>319320</v>
          </cell>
        </row>
        <row r="6954">
          <cell r="Z6954" t="str">
            <v>319321</v>
          </cell>
        </row>
        <row r="6955">
          <cell r="Z6955" t="str">
            <v>319322</v>
          </cell>
        </row>
        <row r="6956">
          <cell r="Z6956" t="str">
            <v>319323</v>
          </cell>
        </row>
        <row r="6957">
          <cell r="Z6957" t="str">
            <v>319324</v>
          </cell>
        </row>
        <row r="6958">
          <cell r="Z6958" t="str">
            <v>319329</v>
          </cell>
        </row>
        <row r="6959">
          <cell r="Z6959" t="str">
            <v>319330</v>
          </cell>
        </row>
        <row r="6960">
          <cell r="Z6960" t="str">
            <v>319331</v>
          </cell>
        </row>
        <row r="6961">
          <cell r="Z6961" t="str">
            <v>319332</v>
          </cell>
        </row>
        <row r="6962">
          <cell r="Z6962" t="str">
            <v>319333</v>
          </cell>
        </row>
        <row r="6963">
          <cell r="Z6963" t="str">
            <v>319334</v>
          </cell>
        </row>
        <row r="6964">
          <cell r="Z6964" t="str">
            <v>319339</v>
          </cell>
        </row>
        <row r="6965">
          <cell r="Z6965" t="str">
            <v>319340</v>
          </cell>
        </row>
        <row r="6966">
          <cell r="Z6966" t="str">
            <v>319341</v>
          </cell>
        </row>
        <row r="6967">
          <cell r="Z6967" t="str">
            <v>319342</v>
          </cell>
        </row>
        <row r="6968">
          <cell r="Z6968" t="str">
            <v>319343</v>
          </cell>
        </row>
        <row r="6969">
          <cell r="Z6969" t="str">
            <v>319344</v>
          </cell>
        </row>
        <row r="6970">
          <cell r="Z6970" t="str">
            <v>319349</v>
          </cell>
        </row>
        <row r="6971">
          <cell r="Z6971" t="str">
            <v>319400</v>
          </cell>
        </row>
        <row r="6972">
          <cell r="Z6972" t="str">
            <v>319410</v>
          </cell>
        </row>
        <row r="6973">
          <cell r="Z6973" t="str">
            <v>319411</v>
          </cell>
        </row>
        <row r="6974">
          <cell r="Z6974" t="str">
            <v>319412</v>
          </cell>
        </row>
        <row r="6975">
          <cell r="Z6975" t="str">
            <v>319413</v>
          </cell>
        </row>
        <row r="6976">
          <cell r="Z6976" t="str">
            <v>319414</v>
          </cell>
        </row>
        <row r="6977">
          <cell r="Z6977" t="str">
            <v>319419</v>
          </cell>
        </row>
        <row r="6978">
          <cell r="Z6978" t="str">
            <v>319420</v>
          </cell>
        </row>
        <row r="6979">
          <cell r="Z6979" t="str">
            <v>319421</v>
          </cell>
        </row>
        <row r="6980">
          <cell r="Z6980" t="str">
            <v>319422</v>
          </cell>
        </row>
        <row r="6981">
          <cell r="Z6981" t="str">
            <v>319423</v>
          </cell>
        </row>
        <row r="6982">
          <cell r="Z6982" t="str">
            <v>319424</v>
          </cell>
        </row>
        <row r="6983">
          <cell r="Z6983" t="str">
            <v>319429</v>
          </cell>
        </row>
        <row r="6984">
          <cell r="Z6984" t="str">
            <v>319500</v>
          </cell>
        </row>
        <row r="6985">
          <cell r="Z6985" t="str">
            <v>319510</v>
          </cell>
        </row>
        <row r="6986">
          <cell r="Z6986" t="str">
            <v>319511</v>
          </cell>
        </row>
        <row r="6987">
          <cell r="Z6987" t="str">
            <v>319512</v>
          </cell>
        </row>
        <row r="6988">
          <cell r="Z6988" t="str">
            <v>319513</v>
          </cell>
        </row>
        <row r="6989">
          <cell r="Z6989" t="str">
            <v>319514</v>
          </cell>
        </row>
        <row r="6990">
          <cell r="Z6990" t="str">
            <v>319519</v>
          </cell>
        </row>
        <row r="6991">
          <cell r="Z6991" t="str">
            <v>319520</v>
          </cell>
        </row>
        <row r="6992">
          <cell r="Z6992" t="str">
            <v>319521</v>
          </cell>
        </row>
        <row r="6993">
          <cell r="Z6993" t="str">
            <v>319522</v>
          </cell>
        </row>
        <row r="6994">
          <cell r="Z6994" t="str">
            <v>319523</v>
          </cell>
        </row>
        <row r="6995">
          <cell r="Z6995" t="str">
            <v>319524</v>
          </cell>
        </row>
        <row r="6996">
          <cell r="Z6996" t="str">
            <v>319529</v>
          </cell>
        </row>
        <row r="6997">
          <cell r="Z6997" t="str">
            <v>319600</v>
          </cell>
        </row>
        <row r="6998">
          <cell r="Z6998" t="str">
            <v>319611</v>
          </cell>
        </row>
        <row r="6999">
          <cell r="Z6999" t="str">
            <v>319612</v>
          </cell>
        </row>
        <row r="7000">
          <cell r="Z7000" t="str">
            <v>319613</v>
          </cell>
        </row>
        <row r="7001">
          <cell r="Z7001" t="str">
            <v>319614</v>
          </cell>
        </row>
        <row r="7002">
          <cell r="Z7002" t="str">
            <v>319619</v>
          </cell>
        </row>
        <row r="7003">
          <cell r="Z7003" t="str">
            <v>320000</v>
          </cell>
        </row>
        <row r="7004">
          <cell r="Z7004" t="str">
            <v>321000</v>
          </cell>
        </row>
        <row r="7005">
          <cell r="Z7005" t="str">
            <v>321100</v>
          </cell>
        </row>
        <row r="7006">
          <cell r="Z7006" t="str">
            <v>321110</v>
          </cell>
        </row>
        <row r="7007">
          <cell r="Z7007" t="str">
            <v>321111</v>
          </cell>
        </row>
        <row r="7008">
          <cell r="Z7008" t="str">
            <v>321112</v>
          </cell>
        </row>
        <row r="7009">
          <cell r="Z7009" t="str">
            <v>321113</v>
          </cell>
        </row>
        <row r="7010">
          <cell r="Z7010" t="str">
            <v>321114</v>
          </cell>
        </row>
        <row r="7011">
          <cell r="Z7011" t="str">
            <v>321119</v>
          </cell>
        </row>
        <row r="7012">
          <cell r="Z7012" t="str">
            <v>321120</v>
          </cell>
        </row>
        <row r="7013">
          <cell r="Z7013" t="str">
            <v>321121</v>
          </cell>
        </row>
        <row r="7014">
          <cell r="Z7014" t="str">
            <v>321122</v>
          </cell>
        </row>
        <row r="7015">
          <cell r="Z7015" t="str">
            <v>321123</v>
          </cell>
        </row>
        <row r="7016">
          <cell r="Z7016" t="str">
            <v>321124</v>
          </cell>
        </row>
        <row r="7017">
          <cell r="Z7017" t="str">
            <v>321129</v>
          </cell>
        </row>
        <row r="7018">
          <cell r="Z7018" t="str">
            <v>321130</v>
          </cell>
        </row>
        <row r="7019">
          <cell r="Z7019" t="str">
            <v>321131</v>
          </cell>
        </row>
        <row r="7020">
          <cell r="Z7020" t="str">
            <v>321132</v>
          </cell>
        </row>
        <row r="7021">
          <cell r="Z7021" t="str">
            <v>321133</v>
          </cell>
        </row>
        <row r="7022">
          <cell r="Z7022" t="str">
            <v>321134</v>
          </cell>
        </row>
        <row r="7023">
          <cell r="Z7023" t="str">
            <v>321139</v>
          </cell>
        </row>
        <row r="7024">
          <cell r="Z7024" t="str">
            <v>321140</v>
          </cell>
        </row>
        <row r="7025">
          <cell r="Z7025" t="str">
            <v>321141</v>
          </cell>
        </row>
        <row r="7026">
          <cell r="Z7026" t="str">
            <v>321142</v>
          </cell>
        </row>
        <row r="7027">
          <cell r="Z7027" t="str">
            <v>321143</v>
          </cell>
        </row>
        <row r="7028">
          <cell r="Z7028" t="str">
            <v>321144</v>
          </cell>
        </row>
        <row r="7029">
          <cell r="Z7029" t="str">
            <v>321149</v>
          </cell>
        </row>
        <row r="7030">
          <cell r="Z7030" t="str">
            <v>321150</v>
          </cell>
        </row>
        <row r="7031">
          <cell r="Z7031" t="str">
            <v>321151</v>
          </cell>
        </row>
        <row r="7032">
          <cell r="Z7032" t="str">
            <v>321152</v>
          </cell>
        </row>
        <row r="7033">
          <cell r="Z7033" t="str">
            <v>321153</v>
          </cell>
        </row>
        <row r="7034">
          <cell r="Z7034" t="str">
            <v>321154</v>
          </cell>
        </row>
        <row r="7035">
          <cell r="Z7035" t="str">
            <v>321159</v>
          </cell>
        </row>
        <row r="7036">
          <cell r="Z7036" t="str">
            <v>321160</v>
          </cell>
        </row>
        <row r="7037">
          <cell r="Z7037" t="str">
            <v>321161</v>
          </cell>
        </row>
        <row r="7038">
          <cell r="Z7038" t="str">
            <v>321162</v>
          </cell>
        </row>
        <row r="7039">
          <cell r="Z7039" t="str">
            <v>321163</v>
          </cell>
        </row>
        <row r="7040">
          <cell r="Z7040" t="str">
            <v>321164</v>
          </cell>
        </row>
        <row r="7041">
          <cell r="Z7041" t="str">
            <v>321169</v>
          </cell>
        </row>
        <row r="7042">
          <cell r="Z7042" t="str">
            <v>321170</v>
          </cell>
        </row>
        <row r="7043">
          <cell r="Z7043" t="str">
            <v>321171</v>
          </cell>
        </row>
        <row r="7044">
          <cell r="Z7044" t="str">
            <v>321172.</v>
          </cell>
        </row>
        <row r="7045">
          <cell r="Z7045" t="str">
            <v>321173</v>
          </cell>
        </row>
        <row r="7046">
          <cell r="Z7046" t="str">
            <v>321174</v>
          </cell>
        </row>
        <row r="7047">
          <cell r="Z7047" t="str">
            <v>321179</v>
          </cell>
        </row>
        <row r="7048">
          <cell r="Z7048" t="str">
            <v>321180</v>
          </cell>
        </row>
        <row r="7049">
          <cell r="Z7049" t="str">
            <v>321181</v>
          </cell>
        </row>
        <row r="7050">
          <cell r="Z7050" t="str">
            <v>321182</v>
          </cell>
        </row>
        <row r="7051">
          <cell r="Z7051" t="str">
            <v>321183</v>
          </cell>
        </row>
        <row r="7052">
          <cell r="Z7052" t="str">
            <v>321184</v>
          </cell>
        </row>
        <row r="7053">
          <cell r="Z7053" t="str">
            <v>321189</v>
          </cell>
        </row>
        <row r="7054">
          <cell r="Z7054" t="str">
            <v>321200</v>
          </cell>
        </row>
        <row r="7055">
          <cell r="Z7055" t="str">
            <v>321210</v>
          </cell>
        </row>
        <row r="7056">
          <cell r="Z7056" t="str">
            <v>321211</v>
          </cell>
        </row>
        <row r="7057">
          <cell r="Z7057" t="str">
            <v>321212</v>
          </cell>
        </row>
        <row r="7058">
          <cell r="Z7058" t="str">
            <v>321213</v>
          </cell>
        </row>
        <row r="7059">
          <cell r="Z7059" t="str">
            <v>321214</v>
          </cell>
        </row>
        <row r="7060">
          <cell r="Z7060" t="str">
            <v>321219</v>
          </cell>
        </row>
        <row r="7061">
          <cell r="Z7061" t="str">
            <v>321220</v>
          </cell>
        </row>
        <row r="7062">
          <cell r="Z7062" t="str">
            <v>321221</v>
          </cell>
        </row>
        <row r="7063">
          <cell r="Z7063" t="str">
            <v>321222</v>
          </cell>
        </row>
        <row r="7064">
          <cell r="Z7064" t="str">
            <v>321223</v>
          </cell>
        </row>
        <row r="7065">
          <cell r="Z7065" t="str">
            <v>321224</v>
          </cell>
        </row>
        <row r="7066">
          <cell r="Z7066" t="str">
            <v>321229</v>
          </cell>
        </row>
        <row r="7067">
          <cell r="Z7067" t="str">
            <v>321230</v>
          </cell>
        </row>
        <row r="7068">
          <cell r="Z7068" t="str">
            <v>321231</v>
          </cell>
        </row>
        <row r="7069">
          <cell r="Z7069" t="str">
            <v>321232</v>
          </cell>
        </row>
        <row r="7070">
          <cell r="Z7070" t="str">
            <v>321233</v>
          </cell>
        </row>
        <row r="7071">
          <cell r="Z7071" t="str">
            <v>321234</v>
          </cell>
        </row>
        <row r="7072">
          <cell r="Z7072" t="str">
            <v>321239</v>
          </cell>
        </row>
        <row r="7073">
          <cell r="Z7073" t="str">
            <v>321240</v>
          </cell>
        </row>
        <row r="7074">
          <cell r="Z7074" t="str">
            <v>321241</v>
          </cell>
        </row>
        <row r="7075">
          <cell r="Z7075" t="str">
            <v>321242</v>
          </cell>
        </row>
        <row r="7076">
          <cell r="Z7076" t="str">
            <v>321243</v>
          </cell>
        </row>
        <row r="7077">
          <cell r="Z7077" t="str">
            <v>321244</v>
          </cell>
        </row>
        <row r="7078">
          <cell r="Z7078" t="str">
            <v>321249</v>
          </cell>
        </row>
        <row r="7079">
          <cell r="Z7079" t="str">
            <v>321250</v>
          </cell>
        </row>
        <row r="7080">
          <cell r="Z7080" t="str">
            <v>321251</v>
          </cell>
        </row>
        <row r="7081">
          <cell r="Z7081" t="str">
            <v>321252</v>
          </cell>
        </row>
        <row r="7082">
          <cell r="Z7082" t="str">
            <v>321253</v>
          </cell>
        </row>
        <row r="7083">
          <cell r="Z7083" t="str">
            <v>321254</v>
          </cell>
        </row>
        <row r="7084">
          <cell r="Z7084" t="str">
            <v>321259</v>
          </cell>
        </row>
        <row r="7085">
          <cell r="Z7085" t="str">
            <v>321260</v>
          </cell>
        </row>
        <row r="7086">
          <cell r="Z7086" t="str">
            <v>321261</v>
          </cell>
        </row>
        <row r="7087">
          <cell r="Z7087" t="str">
            <v>321262</v>
          </cell>
        </row>
        <row r="7088">
          <cell r="Z7088" t="str">
            <v>321263</v>
          </cell>
        </row>
        <row r="7089">
          <cell r="Z7089" t="str">
            <v>321264</v>
          </cell>
        </row>
        <row r="7090">
          <cell r="Z7090" t="str">
            <v>321269</v>
          </cell>
        </row>
        <row r="7091">
          <cell r="Z7091" t="str">
            <v>321270</v>
          </cell>
        </row>
        <row r="7092">
          <cell r="Z7092" t="str">
            <v>321271</v>
          </cell>
        </row>
        <row r="7093">
          <cell r="Z7093" t="str">
            <v>321272.</v>
          </cell>
        </row>
        <row r="7094">
          <cell r="Z7094" t="str">
            <v>321273</v>
          </cell>
        </row>
        <row r="7095">
          <cell r="Z7095" t="str">
            <v>321274</v>
          </cell>
        </row>
        <row r="7096">
          <cell r="Z7096" t="str">
            <v>321279</v>
          </cell>
        </row>
        <row r="7097">
          <cell r="Z7097" t="str">
            <v>321280</v>
          </cell>
        </row>
        <row r="7098">
          <cell r="Z7098" t="str">
            <v>321281</v>
          </cell>
        </row>
        <row r="7099">
          <cell r="Z7099" t="str">
            <v>321282</v>
          </cell>
        </row>
        <row r="7100">
          <cell r="Z7100" t="str">
            <v>321283</v>
          </cell>
        </row>
        <row r="7101">
          <cell r="Z7101" t="str">
            <v>321284</v>
          </cell>
        </row>
        <row r="7102">
          <cell r="Z7102" t="str">
            <v>321289</v>
          </cell>
        </row>
        <row r="7103">
          <cell r="Z7103" t="str">
            <v>321300</v>
          </cell>
        </row>
        <row r="7104">
          <cell r="Z7104" t="str">
            <v>321310</v>
          </cell>
        </row>
        <row r="7105">
          <cell r="Z7105" t="str">
            <v>321311</v>
          </cell>
        </row>
        <row r="7106">
          <cell r="Z7106" t="str">
            <v>321312</v>
          </cell>
        </row>
        <row r="7107">
          <cell r="Z7107" t="str">
            <v>321313</v>
          </cell>
        </row>
        <row r="7108">
          <cell r="Z7108" t="str">
            <v>321314</v>
          </cell>
        </row>
        <row r="7109">
          <cell r="Z7109" t="str">
            <v>321319</v>
          </cell>
        </row>
        <row r="7110">
          <cell r="Z7110" t="str">
            <v>321320</v>
          </cell>
        </row>
        <row r="7111">
          <cell r="Z7111" t="str">
            <v>321321</v>
          </cell>
        </row>
        <row r="7112">
          <cell r="Z7112" t="str">
            <v>321322</v>
          </cell>
        </row>
        <row r="7113">
          <cell r="Z7113" t="str">
            <v>321323</v>
          </cell>
        </row>
        <row r="7114">
          <cell r="Z7114" t="str">
            <v>321324</v>
          </cell>
        </row>
        <row r="7115">
          <cell r="Z7115" t="str">
            <v>321329</v>
          </cell>
        </row>
        <row r="7116">
          <cell r="Z7116" t="str">
            <v>321330</v>
          </cell>
        </row>
        <row r="7117">
          <cell r="Z7117" t="str">
            <v>321331</v>
          </cell>
        </row>
        <row r="7118">
          <cell r="Z7118" t="str">
            <v>321332</v>
          </cell>
        </row>
        <row r="7119">
          <cell r="Z7119" t="str">
            <v>321333</v>
          </cell>
        </row>
        <row r="7120">
          <cell r="Z7120" t="str">
            <v>321334</v>
          </cell>
        </row>
        <row r="7121">
          <cell r="Z7121" t="str">
            <v>321339</v>
          </cell>
        </row>
        <row r="7122">
          <cell r="Z7122" t="str">
            <v>321340</v>
          </cell>
        </row>
        <row r="7123">
          <cell r="Z7123" t="str">
            <v>321341</v>
          </cell>
        </row>
        <row r="7124">
          <cell r="Z7124" t="str">
            <v>321342</v>
          </cell>
        </row>
        <row r="7125">
          <cell r="Z7125" t="str">
            <v>321343</v>
          </cell>
        </row>
        <row r="7126">
          <cell r="Z7126" t="str">
            <v>321344</v>
          </cell>
        </row>
        <row r="7127">
          <cell r="Z7127" t="str">
            <v>321349</v>
          </cell>
        </row>
        <row r="7128">
          <cell r="Z7128" t="str">
            <v>321400</v>
          </cell>
        </row>
        <row r="7129">
          <cell r="Z7129" t="str">
            <v>321410</v>
          </cell>
        </row>
        <row r="7130">
          <cell r="Z7130" t="str">
            <v>321411</v>
          </cell>
        </row>
        <row r="7131">
          <cell r="Z7131" t="str">
            <v>321412</v>
          </cell>
        </row>
        <row r="7132">
          <cell r="Z7132" t="str">
            <v>321413</v>
          </cell>
        </row>
        <row r="7133">
          <cell r="Z7133" t="str">
            <v>321414</v>
          </cell>
        </row>
        <row r="7134">
          <cell r="Z7134" t="str">
            <v>321419</v>
          </cell>
        </row>
        <row r="7135">
          <cell r="Z7135" t="str">
            <v>321420</v>
          </cell>
        </row>
        <row r="7136">
          <cell r="Z7136" t="str">
            <v>321421</v>
          </cell>
        </row>
        <row r="7137">
          <cell r="Z7137" t="str">
            <v>321422</v>
          </cell>
        </row>
        <row r="7138">
          <cell r="Z7138" t="str">
            <v>321423</v>
          </cell>
        </row>
        <row r="7139">
          <cell r="Z7139" t="str">
            <v>321424</v>
          </cell>
        </row>
        <row r="7140">
          <cell r="Z7140" t="str">
            <v>321429</v>
          </cell>
        </row>
        <row r="7141">
          <cell r="Z7141" t="str">
            <v>321430</v>
          </cell>
        </row>
        <row r="7142">
          <cell r="Z7142" t="str">
            <v>321431</v>
          </cell>
        </row>
        <row r="7143">
          <cell r="Z7143" t="str">
            <v>321432</v>
          </cell>
        </row>
        <row r="7144">
          <cell r="Z7144" t="str">
            <v>321433</v>
          </cell>
        </row>
        <row r="7145">
          <cell r="Z7145" t="str">
            <v>321434</v>
          </cell>
        </row>
        <row r="7146">
          <cell r="Z7146" t="str">
            <v>321439</v>
          </cell>
        </row>
        <row r="7147">
          <cell r="Z7147" t="str">
            <v>321440</v>
          </cell>
        </row>
        <row r="7148">
          <cell r="Z7148" t="str">
            <v>321441</v>
          </cell>
        </row>
        <row r="7149">
          <cell r="Z7149" t="str">
            <v>321442</v>
          </cell>
        </row>
        <row r="7150">
          <cell r="Z7150" t="str">
            <v>321443</v>
          </cell>
        </row>
        <row r="7151">
          <cell r="Z7151" t="str">
            <v>321444</v>
          </cell>
        </row>
        <row r="7152">
          <cell r="Z7152" t="str">
            <v>321449</v>
          </cell>
        </row>
        <row r="7153">
          <cell r="Z7153" t="str">
            <v>321500</v>
          </cell>
        </row>
        <row r="7154">
          <cell r="Z7154" t="str">
            <v>321510</v>
          </cell>
        </row>
        <row r="7155">
          <cell r="Z7155" t="str">
            <v>321511</v>
          </cell>
        </row>
        <row r="7156">
          <cell r="Z7156" t="str">
            <v>321512</v>
          </cell>
        </row>
        <row r="7157">
          <cell r="Z7157" t="str">
            <v>321513</v>
          </cell>
        </row>
        <row r="7158">
          <cell r="Z7158" t="str">
            <v>321514</v>
          </cell>
        </row>
        <row r="7159">
          <cell r="Z7159" t="str">
            <v>321519</v>
          </cell>
        </row>
        <row r="7160">
          <cell r="Z7160" t="str">
            <v>321520</v>
          </cell>
        </row>
        <row r="7161">
          <cell r="Z7161" t="str">
            <v>321521</v>
          </cell>
        </row>
        <row r="7162">
          <cell r="Z7162" t="str">
            <v>321522</v>
          </cell>
        </row>
        <row r="7163">
          <cell r="Z7163" t="str">
            <v>321523</v>
          </cell>
        </row>
        <row r="7164">
          <cell r="Z7164" t="str">
            <v>321524</v>
          </cell>
        </row>
        <row r="7165">
          <cell r="Z7165" t="str">
            <v>321529</v>
          </cell>
        </row>
        <row r="7166">
          <cell r="Z7166" t="str">
            <v>321530</v>
          </cell>
        </row>
        <row r="7167">
          <cell r="Z7167" t="str">
            <v>321531</v>
          </cell>
        </row>
        <row r="7168">
          <cell r="Z7168" t="str">
            <v>321532</v>
          </cell>
        </row>
        <row r="7169">
          <cell r="Z7169" t="str">
            <v>321533</v>
          </cell>
        </row>
        <row r="7170">
          <cell r="Z7170" t="str">
            <v>321534</v>
          </cell>
        </row>
        <row r="7171">
          <cell r="Z7171" t="str">
            <v>321539</v>
          </cell>
        </row>
        <row r="7172">
          <cell r="Z7172" t="str">
            <v>321540</v>
          </cell>
        </row>
        <row r="7173">
          <cell r="Z7173" t="str">
            <v>321541</v>
          </cell>
        </row>
        <row r="7174">
          <cell r="Z7174" t="str">
            <v>321542</v>
          </cell>
        </row>
        <row r="7175">
          <cell r="Z7175" t="str">
            <v>321543</v>
          </cell>
        </row>
        <row r="7176">
          <cell r="Z7176" t="str">
            <v>321544</v>
          </cell>
        </row>
        <row r="7177">
          <cell r="Z7177" t="str">
            <v>321549</v>
          </cell>
        </row>
        <row r="7178">
          <cell r="Z7178" t="str">
            <v>322000</v>
          </cell>
        </row>
        <row r="7179">
          <cell r="Z7179" t="str">
            <v>322100</v>
          </cell>
        </row>
        <row r="7180">
          <cell r="Z7180" t="str">
            <v>322110</v>
          </cell>
        </row>
        <row r="7181">
          <cell r="Z7181" t="str">
            <v>322111</v>
          </cell>
        </row>
        <row r="7182">
          <cell r="Z7182" t="str">
            <v>322112</v>
          </cell>
        </row>
        <row r="7183">
          <cell r="Z7183" t="str">
            <v>322113</v>
          </cell>
        </row>
        <row r="7184">
          <cell r="Z7184" t="str">
            <v>322114</v>
          </cell>
        </row>
        <row r="7185">
          <cell r="Z7185" t="str">
            <v>322119</v>
          </cell>
        </row>
        <row r="7186">
          <cell r="Z7186" t="str">
            <v>322120</v>
          </cell>
        </row>
        <row r="7187">
          <cell r="Z7187" t="str">
            <v>322121</v>
          </cell>
        </row>
        <row r="7188">
          <cell r="Z7188" t="str">
            <v>322122</v>
          </cell>
        </row>
        <row r="7189">
          <cell r="Z7189" t="str">
            <v>322123</v>
          </cell>
        </row>
        <row r="7190">
          <cell r="Z7190" t="str">
            <v>322124</v>
          </cell>
        </row>
        <row r="7191">
          <cell r="Z7191" t="str">
            <v>322129</v>
          </cell>
        </row>
        <row r="7192">
          <cell r="Z7192" t="str">
            <v>322200</v>
          </cell>
        </row>
        <row r="7193">
          <cell r="Z7193" t="str">
            <v>322210</v>
          </cell>
        </row>
        <row r="7194">
          <cell r="Z7194" t="str">
            <v>322211</v>
          </cell>
        </row>
        <row r="7195">
          <cell r="Z7195" t="str">
            <v>322212</v>
          </cell>
        </row>
        <row r="7196">
          <cell r="Z7196" t="str">
            <v>322213</v>
          </cell>
        </row>
        <row r="7197">
          <cell r="Z7197" t="str">
            <v>322214</v>
          </cell>
        </row>
        <row r="7198">
          <cell r="Z7198" t="str">
            <v>322219</v>
          </cell>
        </row>
        <row r="7199">
          <cell r="Z7199" t="str">
            <v>322220</v>
          </cell>
        </row>
        <row r="7200">
          <cell r="Z7200" t="str">
            <v>322221</v>
          </cell>
        </row>
        <row r="7201">
          <cell r="Z7201" t="str">
            <v>322222</v>
          </cell>
        </row>
        <row r="7202">
          <cell r="Z7202" t="str">
            <v>322223</v>
          </cell>
        </row>
        <row r="7203">
          <cell r="Z7203" t="str">
            <v>322224</v>
          </cell>
        </row>
        <row r="7204">
          <cell r="Z7204" t="str">
            <v>322229</v>
          </cell>
        </row>
        <row r="7205">
          <cell r="Z7205" t="str">
            <v>322300</v>
          </cell>
        </row>
        <row r="7206">
          <cell r="Z7206" t="str">
            <v>322311</v>
          </cell>
        </row>
        <row r="7207">
          <cell r="Z7207" t="str">
            <v>322312</v>
          </cell>
        </row>
        <row r="7208">
          <cell r="Z7208" t="str">
            <v>322313</v>
          </cell>
        </row>
        <row r="7209">
          <cell r="Z7209" t="str">
            <v>322314</v>
          </cell>
        </row>
        <row r="7210">
          <cell r="Z7210" t="str">
            <v>322319</v>
          </cell>
        </row>
        <row r="7211">
          <cell r="Z7211" t="str">
            <v>322400</v>
          </cell>
        </row>
        <row r="7212">
          <cell r="Z7212" t="str">
            <v>322411</v>
          </cell>
        </row>
        <row r="7213">
          <cell r="Z7213" t="str">
            <v>322412</v>
          </cell>
        </row>
        <row r="7214">
          <cell r="Z7214" t="str">
            <v>322413</v>
          </cell>
        </row>
        <row r="7215">
          <cell r="Z7215" t="str">
            <v>322415</v>
          </cell>
        </row>
        <row r="7216">
          <cell r="Z7216" t="str">
            <v>322419</v>
          </cell>
        </row>
        <row r="7217">
          <cell r="Z7217" t="str">
            <v>322500</v>
          </cell>
        </row>
        <row r="7218">
          <cell r="Z7218" t="str">
            <v>322511</v>
          </cell>
        </row>
        <row r="7219">
          <cell r="Z7219" t="str">
            <v>322512</v>
          </cell>
        </row>
        <row r="7220">
          <cell r="Z7220" t="str">
            <v>322513</v>
          </cell>
        </row>
        <row r="7221">
          <cell r="Z7221" t="str">
            <v>322514</v>
          </cell>
        </row>
        <row r="7222">
          <cell r="Z7222" t="str">
            <v>322519</v>
          </cell>
        </row>
        <row r="7223">
          <cell r="Z7223" t="str">
            <v>323000</v>
          </cell>
        </row>
        <row r="7224">
          <cell r="Z7224" t="str">
            <v>323100</v>
          </cell>
        </row>
        <row r="7225">
          <cell r="Z7225" t="str">
            <v>323110</v>
          </cell>
        </row>
        <row r="7226">
          <cell r="Z7226" t="str">
            <v>323111</v>
          </cell>
        </row>
        <row r="7227">
          <cell r="Z7227" t="str">
            <v>323112</v>
          </cell>
        </row>
        <row r="7228">
          <cell r="Z7228" t="str">
            <v>323113</v>
          </cell>
        </row>
        <row r="7229">
          <cell r="Z7229" t="str">
            <v>323114</v>
          </cell>
        </row>
        <row r="7230">
          <cell r="Z7230" t="str">
            <v>323119</v>
          </cell>
        </row>
        <row r="7231">
          <cell r="Z7231" t="str">
            <v>323120</v>
          </cell>
        </row>
        <row r="7232">
          <cell r="Z7232" t="str">
            <v>323121</v>
          </cell>
        </row>
        <row r="7233">
          <cell r="Z7233" t="str">
            <v>323122</v>
          </cell>
        </row>
        <row r="7234">
          <cell r="Z7234" t="str">
            <v>323123</v>
          </cell>
        </row>
        <row r="7235">
          <cell r="Z7235" t="str">
            <v>323124</v>
          </cell>
        </row>
        <row r="7236">
          <cell r="Z7236" t="str">
            <v>323129</v>
          </cell>
        </row>
        <row r="7237">
          <cell r="Z7237" t="str">
            <v>323130</v>
          </cell>
        </row>
        <row r="7238">
          <cell r="Z7238" t="str">
            <v>323131</v>
          </cell>
        </row>
        <row r="7239">
          <cell r="Z7239" t="str">
            <v>323132</v>
          </cell>
        </row>
        <row r="7240">
          <cell r="Z7240" t="str">
            <v>323133</v>
          </cell>
        </row>
        <row r="7241">
          <cell r="Z7241" t="str">
            <v>323134</v>
          </cell>
        </row>
        <row r="7242">
          <cell r="Z7242" t="str">
            <v>323139</v>
          </cell>
        </row>
        <row r="7243">
          <cell r="Z7243" t="str">
            <v>323140</v>
          </cell>
        </row>
        <row r="7244">
          <cell r="Z7244" t="str">
            <v>323141</v>
          </cell>
        </row>
        <row r="7245">
          <cell r="Z7245" t="str">
            <v>323142</v>
          </cell>
        </row>
        <row r="7246">
          <cell r="Z7246" t="str">
            <v>323143</v>
          </cell>
        </row>
        <row r="7247">
          <cell r="Z7247" t="str">
            <v>323144</v>
          </cell>
        </row>
        <row r="7248">
          <cell r="Z7248" t="str">
            <v>323149</v>
          </cell>
        </row>
        <row r="7249">
          <cell r="Z7249" t="str">
            <v>323200</v>
          </cell>
        </row>
        <row r="7250">
          <cell r="Z7250" t="str">
            <v>323210</v>
          </cell>
        </row>
        <row r="7251">
          <cell r="Z7251" t="str">
            <v>323211</v>
          </cell>
        </row>
        <row r="7252">
          <cell r="Z7252" t="str">
            <v>323212</v>
          </cell>
        </row>
        <row r="7253">
          <cell r="Z7253" t="str">
            <v>323213</v>
          </cell>
        </row>
        <row r="7254">
          <cell r="Z7254" t="str">
            <v>323214</v>
          </cell>
        </row>
        <row r="7255">
          <cell r="Z7255" t="str">
            <v>323219</v>
          </cell>
        </row>
        <row r="7256">
          <cell r="Z7256" t="str">
            <v>323220</v>
          </cell>
        </row>
        <row r="7257">
          <cell r="Z7257" t="str">
            <v>323221</v>
          </cell>
        </row>
        <row r="7258">
          <cell r="Z7258" t="str">
            <v>323222</v>
          </cell>
        </row>
        <row r="7259">
          <cell r="Z7259" t="str">
            <v>323223</v>
          </cell>
        </row>
        <row r="7260">
          <cell r="Z7260" t="str">
            <v>323224</v>
          </cell>
        </row>
        <row r="7261">
          <cell r="Z7261" t="str">
            <v>323229</v>
          </cell>
        </row>
        <row r="7262">
          <cell r="Z7262" t="str">
            <v>323230</v>
          </cell>
        </row>
        <row r="7263">
          <cell r="Z7263" t="str">
            <v>323231</v>
          </cell>
        </row>
        <row r="7264">
          <cell r="Z7264" t="str">
            <v>323232</v>
          </cell>
        </row>
        <row r="7265">
          <cell r="Z7265" t="str">
            <v>323233</v>
          </cell>
        </row>
        <row r="7266">
          <cell r="Z7266" t="str">
            <v>323234</v>
          </cell>
        </row>
        <row r="7267">
          <cell r="Z7267" t="str">
            <v>323239</v>
          </cell>
        </row>
        <row r="7268">
          <cell r="Z7268" t="str">
            <v>323240</v>
          </cell>
        </row>
        <row r="7269">
          <cell r="Z7269" t="str">
            <v>323241</v>
          </cell>
        </row>
        <row r="7270">
          <cell r="Z7270" t="str">
            <v>323242</v>
          </cell>
        </row>
        <row r="7271">
          <cell r="Z7271" t="str">
            <v>323243</v>
          </cell>
        </row>
        <row r="7272">
          <cell r="Z7272" t="str">
            <v>323244</v>
          </cell>
        </row>
        <row r="7273">
          <cell r="Z7273" t="str">
            <v>323249</v>
          </cell>
        </row>
        <row r="7274">
          <cell r="Z7274" t="str">
            <v>323300</v>
          </cell>
        </row>
        <row r="7275">
          <cell r="Z7275" t="str">
            <v>323310</v>
          </cell>
        </row>
        <row r="7276">
          <cell r="Z7276" t="str">
            <v>323311</v>
          </cell>
        </row>
        <row r="7277">
          <cell r="Z7277" t="str">
            <v>323312</v>
          </cell>
        </row>
        <row r="7278">
          <cell r="Z7278" t="str">
            <v>323313</v>
          </cell>
        </row>
        <row r="7279">
          <cell r="Z7279" t="str">
            <v>323314</v>
          </cell>
        </row>
        <row r="7280">
          <cell r="Z7280" t="str">
            <v>323319</v>
          </cell>
        </row>
        <row r="7281">
          <cell r="Z7281" t="str">
            <v>323320</v>
          </cell>
        </row>
        <row r="7282">
          <cell r="Z7282" t="str">
            <v>323321</v>
          </cell>
        </row>
        <row r="7283">
          <cell r="Z7283" t="str">
            <v>323322</v>
          </cell>
        </row>
        <row r="7284">
          <cell r="Z7284" t="str">
            <v>323323</v>
          </cell>
        </row>
        <row r="7285">
          <cell r="Z7285" t="str">
            <v>323324</v>
          </cell>
        </row>
        <row r="7286">
          <cell r="Z7286" t="str">
            <v>323329</v>
          </cell>
        </row>
        <row r="7287">
          <cell r="Z7287" t="str">
            <v>323400</v>
          </cell>
        </row>
        <row r="7288">
          <cell r="Z7288" t="str">
            <v>323410</v>
          </cell>
        </row>
        <row r="7289">
          <cell r="Z7289" t="str">
            <v>323411</v>
          </cell>
        </row>
        <row r="7290">
          <cell r="Z7290" t="str">
            <v>323412</v>
          </cell>
        </row>
        <row r="7291">
          <cell r="Z7291" t="str">
            <v>323413</v>
          </cell>
        </row>
        <row r="7292">
          <cell r="Z7292" t="str">
            <v>323414</v>
          </cell>
        </row>
        <row r="7293">
          <cell r="Z7293" t="str">
            <v>323419</v>
          </cell>
        </row>
        <row r="7294">
          <cell r="Z7294" t="str">
            <v>323420</v>
          </cell>
        </row>
        <row r="7295">
          <cell r="Z7295" t="str">
            <v>323421</v>
          </cell>
        </row>
        <row r="7296">
          <cell r="Z7296" t="str">
            <v>323422</v>
          </cell>
        </row>
        <row r="7297">
          <cell r="Z7297" t="str">
            <v>323423</v>
          </cell>
        </row>
        <row r="7298">
          <cell r="Z7298" t="str">
            <v>323424</v>
          </cell>
        </row>
        <row r="7299">
          <cell r="Z7299" t="str">
            <v>323429</v>
          </cell>
        </row>
        <row r="7300">
          <cell r="Z7300" t="str">
            <v>323500</v>
          </cell>
        </row>
        <row r="7301">
          <cell r="Z7301" t="str">
            <v>323510</v>
          </cell>
        </row>
        <row r="7302">
          <cell r="Z7302" t="str">
            <v>323511</v>
          </cell>
        </row>
        <row r="7303">
          <cell r="Z7303" t="str">
            <v>323512</v>
          </cell>
        </row>
        <row r="7304">
          <cell r="Z7304" t="str">
            <v>323513</v>
          </cell>
        </row>
        <row r="7305">
          <cell r="Z7305" t="str">
            <v>323514</v>
          </cell>
        </row>
        <row r="7306">
          <cell r="Z7306" t="str">
            <v>323519</v>
          </cell>
        </row>
        <row r="7307">
          <cell r="Z7307" t="str">
            <v>323520</v>
          </cell>
        </row>
        <row r="7308">
          <cell r="Z7308" t="str">
            <v>323521</v>
          </cell>
        </row>
        <row r="7309">
          <cell r="Z7309" t="str">
            <v>323522</v>
          </cell>
        </row>
        <row r="7310">
          <cell r="Z7310" t="str">
            <v>323523</v>
          </cell>
        </row>
        <row r="7311">
          <cell r="Z7311" t="str">
            <v>323524</v>
          </cell>
        </row>
        <row r="7312">
          <cell r="Z7312" t="str">
            <v>323529</v>
          </cell>
        </row>
        <row r="7313">
          <cell r="Z7313" t="str">
            <v>324000</v>
          </cell>
        </row>
        <row r="7314">
          <cell r="Z7314" t="str">
            <v>324100</v>
          </cell>
        </row>
        <row r="7315">
          <cell r="Z7315" t="str">
            <v>324110</v>
          </cell>
        </row>
        <row r="7316">
          <cell r="Z7316" t="str">
            <v>324111</v>
          </cell>
        </row>
        <row r="7317">
          <cell r="Z7317" t="str">
            <v>324112</v>
          </cell>
        </row>
        <row r="7318">
          <cell r="Z7318" t="str">
            <v>324113</v>
          </cell>
        </row>
        <row r="7319">
          <cell r="Z7319" t="str">
            <v>324114</v>
          </cell>
        </row>
        <row r="7320">
          <cell r="Z7320" t="str">
            <v>324119</v>
          </cell>
        </row>
        <row r="7321">
          <cell r="Z7321" t="str">
            <v>324120</v>
          </cell>
        </row>
        <row r="7322">
          <cell r="Z7322" t="str">
            <v>324121</v>
          </cell>
        </row>
        <row r="7323">
          <cell r="Z7323" t="str">
            <v>324122</v>
          </cell>
        </row>
        <row r="7324">
          <cell r="Z7324" t="str">
            <v>324123</v>
          </cell>
        </row>
        <row r="7325">
          <cell r="Z7325" t="str">
            <v>324124</v>
          </cell>
        </row>
        <row r="7326">
          <cell r="Z7326" t="str">
            <v>324129</v>
          </cell>
        </row>
        <row r="7327">
          <cell r="Z7327" t="str">
            <v>324200</v>
          </cell>
        </row>
        <row r="7328">
          <cell r="Z7328" t="str">
            <v>324210</v>
          </cell>
        </row>
        <row r="7329">
          <cell r="Z7329" t="str">
            <v>324211</v>
          </cell>
        </row>
        <row r="7330">
          <cell r="Z7330" t="str">
            <v>324212</v>
          </cell>
        </row>
        <row r="7331">
          <cell r="Z7331" t="str">
            <v>324213</v>
          </cell>
        </row>
        <row r="7332">
          <cell r="Z7332" t="str">
            <v>324214</v>
          </cell>
        </row>
        <row r="7333">
          <cell r="Z7333" t="str">
            <v>324219</v>
          </cell>
        </row>
        <row r="7334">
          <cell r="Z7334" t="str">
            <v>324220</v>
          </cell>
        </row>
        <row r="7335">
          <cell r="Z7335" t="str">
            <v>324221</v>
          </cell>
        </row>
        <row r="7336">
          <cell r="Z7336" t="str">
            <v>324222</v>
          </cell>
        </row>
        <row r="7337">
          <cell r="Z7337" t="str">
            <v>324223</v>
          </cell>
        </row>
        <row r="7338">
          <cell r="Z7338" t="str">
            <v>324224</v>
          </cell>
        </row>
        <row r="7339">
          <cell r="Z7339" t="str">
            <v>324229</v>
          </cell>
        </row>
        <row r="7340">
          <cell r="Z7340" t="str">
            <v>324300</v>
          </cell>
        </row>
        <row r="7341">
          <cell r="Z7341" t="str">
            <v>324301</v>
          </cell>
        </row>
        <row r="7342">
          <cell r="Z7342" t="str">
            <v>324302</v>
          </cell>
        </row>
        <row r="7343">
          <cell r="Z7343" t="str">
            <v>324303</v>
          </cell>
        </row>
        <row r="7344">
          <cell r="Z7344" t="str">
            <v>324304</v>
          </cell>
        </row>
        <row r="7345">
          <cell r="Z7345" t="str">
            <v>324309</v>
          </cell>
        </row>
        <row r="7346">
          <cell r="Z7346" t="str">
            <v>324400</v>
          </cell>
        </row>
        <row r="7347">
          <cell r="Z7347" t="str">
            <v>324401</v>
          </cell>
        </row>
        <row r="7348">
          <cell r="Z7348" t="str">
            <v>324402</v>
          </cell>
        </row>
        <row r="7349">
          <cell r="Z7349" t="str">
            <v>324403</v>
          </cell>
        </row>
        <row r="7350">
          <cell r="Z7350" t="str">
            <v>324404</v>
          </cell>
        </row>
        <row r="7351">
          <cell r="Z7351" t="str">
            <v>324409</v>
          </cell>
        </row>
        <row r="7352">
          <cell r="Z7352" t="str">
            <v>324500</v>
          </cell>
        </row>
        <row r="7353">
          <cell r="Z7353" t="str">
            <v>324501</v>
          </cell>
        </row>
        <row r="7354">
          <cell r="Z7354" t="str">
            <v>324502</v>
          </cell>
        </row>
        <row r="7355">
          <cell r="Z7355" t="str">
            <v>324503</v>
          </cell>
        </row>
        <row r="7356">
          <cell r="Z7356" t="str">
            <v>324504</v>
          </cell>
        </row>
        <row r="7357">
          <cell r="Z7357" t="str">
            <v>324509</v>
          </cell>
        </row>
        <row r="7358">
          <cell r="Z7358" t="str">
            <v>325000</v>
          </cell>
        </row>
        <row r="7359">
          <cell r="Z7359" t="str">
            <v>325100</v>
          </cell>
        </row>
        <row r="7360">
          <cell r="Z7360" t="str">
            <v>325110</v>
          </cell>
        </row>
        <row r="7361">
          <cell r="Z7361" t="str">
            <v>325111</v>
          </cell>
        </row>
        <row r="7362">
          <cell r="Z7362" t="str">
            <v>325112</v>
          </cell>
        </row>
        <row r="7363">
          <cell r="Z7363" t="str">
            <v>325113</v>
          </cell>
        </row>
        <row r="7364">
          <cell r="Z7364" t="str">
            <v>325114</v>
          </cell>
        </row>
        <row r="7365">
          <cell r="Z7365" t="str">
            <v>325119</v>
          </cell>
        </row>
        <row r="7366">
          <cell r="Z7366" t="str">
            <v>325120</v>
          </cell>
        </row>
        <row r="7367">
          <cell r="Z7367" t="str">
            <v>325121</v>
          </cell>
        </row>
        <row r="7368">
          <cell r="Z7368" t="str">
            <v>325122</v>
          </cell>
        </row>
        <row r="7369">
          <cell r="Z7369" t="str">
            <v>325123</v>
          </cell>
        </row>
        <row r="7370">
          <cell r="Z7370" t="str">
            <v>325124</v>
          </cell>
        </row>
        <row r="7371">
          <cell r="Z7371" t="str">
            <v>325129</v>
          </cell>
        </row>
        <row r="7372">
          <cell r="Z7372" t="str">
            <v>325200</v>
          </cell>
        </row>
        <row r="7373">
          <cell r="Z7373" t="str">
            <v>325210</v>
          </cell>
        </row>
        <row r="7374">
          <cell r="Z7374" t="str">
            <v>325211</v>
          </cell>
        </row>
        <row r="7375">
          <cell r="Z7375" t="str">
            <v>325212</v>
          </cell>
        </row>
        <row r="7376">
          <cell r="Z7376" t="str">
            <v>325213</v>
          </cell>
        </row>
        <row r="7377">
          <cell r="Z7377" t="str">
            <v>325214</v>
          </cell>
        </row>
        <row r="7378">
          <cell r="Z7378" t="str">
            <v>325219</v>
          </cell>
        </row>
        <row r="7379">
          <cell r="Z7379" t="str">
            <v>325220</v>
          </cell>
        </row>
        <row r="7380">
          <cell r="Z7380" t="str">
            <v>325221</v>
          </cell>
        </row>
        <row r="7381">
          <cell r="Z7381" t="str">
            <v>325222</v>
          </cell>
        </row>
        <row r="7382">
          <cell r="Z7382" t="str">
            <v>325223</v>
          </cell>
        </row>
        <row r="7383">
          <cell r="Z7383" t="str">
            <v>325224</v>
          </cell>
        </row>
        <row r="7384">
          <cell r="Z7384" t="str">
            <v>325229</v>
          </cell>
        </row>
        <row r="7385">
          <cell r="Z7385" t="str">
            <v>325300</v>
          </cell>
        </row>
        <row r="7386">
          <cell r="Z7386" t="str">
            <v>325301</v>
          </cell>
        </row>
        <row r="7387">
          <cell r="Z7387" t="str">
            <v>325302</v>
          </cell>
        </row>
        <row r="7388">
          <cell r="Z7388" t="str">
            <v>325303</v>
          </cell>
        </row>
        <row r="7389">
          <cell r="Z7389" t="str">
            <v>325304</v>
          </cell>
        </row>
        <row r="7390">
          <cell r="Z7390" t="str">
            <v>325309</v>
          </cell>
        </row>
        <row r="7391">
          <cell r="Z7391" t="str">
            <v>325400</v>
          </cell>
        </row>
        <row r="7392">
          <cell r="Z7392" t="str">
            <v>325401</v>
          </cell>
        </row>
        <row r="7393">
          <cell r="Z7393" t="str">
            <v>325402</v>
          </cell>
        </row>
        <row r="7394">
          <cell r="Z7394" t="str">
            <v>325403</v>
          </cell>
        </row>
        <row r="7395">
          <cell r="Z7395" t="str">
            <v>325404</v>
          </cell>
        </row>
        <row r="7396">
          <cell r="Z7396" t="str">
            <v>325409</v>
          </cell>
        </row>
        <row r="7397">
          <cell r="Z7397" t="str">
            <v>325500</v>
          </cell>
        </row>
        <row r="7398">
          <cell r="Z7398" t="str">
            <v>325501</v>
          </cell>
        </row>
        <row r="7399">
          <cell r="Z7399" t="str">
            <v>325502</v>
          </cell>
        </row>
        <row r="7400">
          <cell r="Z7400" t="str">
            <v>325503</v>
          </cell>
        </row>
        <row r="7401">
          <cell r="Z7401" t="str">
            <v>325504</v>
          </cell>
        </row>
        <row r="7402">
          <cell r="Z7402" t="str">
            <v>325509</v>
          </cell>
        </row>
        <row r="7403">
          <cell r="Z7403" t="str">
            <v>326000</v>
          </cell>
        </row>
        <row r="7404">
          <cell r="Z7404" t="str">
            <v>326100</v>
          </cell>
        </row>
        <row r="7405">
          <cell r="Z7405" t="str">
            <v>326110</v>
          </cell>
        </row>
        <row r="7406">
          <cell r="Z7406" t="str">
            <v>326111</v>
          </cell>
        </row>
        <row r="7407">
          <cell r="Z7407" t="str">
            <v>326112</v>
          </cell>
        </row>
        <row r="7408">
          <cell r="Z7408" t="str">
            <v>326113</v>
          </cell>
        </row>
        <row r="7409">
          <cell r="Z7409" t="str">
            <v>326114</v>
          </cell>
        </row>
        <row r="7410">
          <cell r="Z7410" t="str">
            <v>326119</v>
          </cell>
        </row>
        <row r="7411">
          <cell r="Z7411" t="str">
            <v>326120</v>
          </cell>
        </row>
        <row r="7412">
          <cell r="Z7412" t="str">
            <v>326121</v>
          </cell>
        </row>
        <row r="7413">
          <cell r="Z7413" t="str">
            <v>326122</v>
          </cell>
        </row>
        <row r="7414">
          <cell r="Z7414" t="str">
            <v>326123</v>
          </cell>
        </row>
        <row r="7415">
          <cell r="Z7415" t="str">
            <v>326124</v>
          </cell>
        </row>
        <row r="7416">
          <cell r="Z7416" t="str">
            <v>326129</v>
          </cell>
        </row>
        <row r="7417">
          <cell r="Z7417" t="str">
            <v>326200</v>
          </cell>
        </row>
        <row r="7418">
          <cell r="Z7418" t="str">
            <v>326210</v>
          </cell>
        </row>
        <row r="7419">
          <cell r="Z7419" t="str">
            <v>326211</v>
          </cell>
        </row>
        <row r="7420">
          <cell r="Z7420" t="str">
            <v>326212</v>
          </cell>
        </row>
        <row r="7421">
          <cell r="Z7421" t="str">
            <v>326213</v>
          </cell>
        </row>
        <row r="7422">
          <cell r="Z7422" t="str">
            <v>326214</v>
          </cell>
        </row>
        <row r="7423">
          <cell r="Z7423" t="str">
            <v>326219</v>
          </cell>
        </row>
        <row r="7424">
          <cell r="Z7424" t="str">
            <v>326220</v>
          </cell>
        </row>
        <row r="7425">
          <cell r="Z7425" t="str">
            <v>326221</v>
          </cell>
        </row>
        <row r="7426">
          <cell r="Z7426" t="str">
            <v>326222</v>
          </cell>
        </row>
        <row r="7427">
          <cell r="Z7427" t="str">
            <v>326223</v>
          </cell>
        </row>
        <row r="7428">
          <cell r="Z7428" t="str">
            <v>326224</v>
          </cell>
        </row>
        <row r="7429">
          <cell r="Z7429" t="str">
            <v>326229</v>
          </cell>
        </row>
        <row r="7430">
          <cell r="Z7430" t="str">
            <v>326300</v>
          </cell>
        </row>
        <row r="7431">
          <cell r="Z7431" t="str">
            <v>326301</v>
          </cell>
        </row>
        <row r="7432">
          <cell r="Z7432" t="str">
            <v>326302</v>
          </cell>
        </row>
        <row r="7433">
          <cell r="Z7433" t="str">
            <v>326303</v>
          </cell>
        </row>
        <row r="7434">
          <cell r="Z7434" t="str">
            <v>326304</v>
          </cell>
        </row>
        <row r="7435">
          <cell r="Z7435" t="str">
            <v>326309</v>
          </cell>
        </row>
        <row r="7436">
          <cell r="Z7436" t="str">
            <v>326400</v>
          </cell>
        </row>
        <row r="7437">
          <cell r="Z7437" t="str">
            <v>326401</v>
          </cell>
        </row>
        <row r="7438">
          <cell r="Z7438" t="str">
            <v>326402</v>
          </cell>
        </row>
        <row r="7439">
          <cell r="Z7439" t="str">
            <v>326403</v>
          </cell>
        </row>
        <row r="7440">
          <cell r="Z7440" t="str">
            <v>326404</v>
          </cell>
        </row>
        <row r="7441">
          <cell r="Z7441" t="str">
            <v>326409</v>
          </cell>
        </row>
        <row r="7442">
          <cell r="Z7442" t="str">
            <v>326500</v>
          </cell>
        </row>
        <row r="7443">
          <cell r="Z7443" t="str">
            <v>326501</v>
          </cell>
        </row>
        <row r="7444">
          <cell r="Z7444" t="str">
            <v>326502</v>
          </cell>
        </row>
        <row r="7445">
          <cell r="Z7445" t="str">
            <v>326503</v>
          </cell>
        </row>
        <row r="7446">
          <cell r="Z7446" t="str">
            <v>326504</v>
          </cell>
        </row>
        <row r="7447">
          <cell r="Z7447" t="str">
            <v>326509</v>
          </cell>
        </row>
        <row r="7448">
          <cell r="Z7448" t="str">
            <v>327000</v>
          </cell>
        </row>
        <row r="7449">
          <cell r="Z7449" t="str">
            <v>327100</v>
          </cell>
        </row>
        <row r="7450">
          <cell r="Z7450" t="str">
            <v>327110</v>
          </cell>
        </row>
        <row r="7451">
          <cell r="Z7451" t="str">
            <v>327111</v>
          </cell>
        </row>
        <row r="7452">
          <cell r="Z7452" t="str">
            <v>327112</v>
          </cell>
        </row>
        <row r="7453">
          <cell r="Z7453" t="str">
            <v>327113</v>
          </cell>
        </row>
        <row r="7454">
          <cell r="Z7454" t="str">
            <v>327114</v>
          </cell>
        </row>
        <row r="7455">
          <cell r="Z7455" t="str">
            <v>327119</v>
          </cell>
        </row>
        <row r="7456">
          <cell r="Z7456" t="str">
            <v>327120</v>
          </cell>
        </row>
        <row r="7457">
          <cell r="Z7457" t="str">
            <v>327121</v>
          </cell>
        </row>
        <row r="7458">
          <cell r="Z7458" t="str">
            <v>327122</v>
          </cell>
        </row>
        <row r="7459">
          <cell r="Z7459" t="str">
            <v>327123</v>
          </cell>
        </row>
        <row r="7460">
          <cell r="Z7460" t="str">
            <v>327124</v>
          </cell>
        </row>
        <row r="7461">
          <cell r="Z7461" t="str">
            <v>327129</v>
          </cell>
        </row>
        <row r="7462">
          <cell r="Z7462" t="str">
            <v>327200</v>
          </cell>
        </row>
        <row r="7463">
          <cell r="Z7463" t="str">
            <v>327210</v>
          </cell>
        </row>
        <row r="7464">
          <cell r="Z7464" t="str">
            <v>327211</v>
          </cell>
        </row>
        <row r="7465">
          <cell r="Z7465" t="str">
            <v>327212</v>
          </cell>
        </row>
        <row r="7466">
          <cell r="Z7466" t="str">
            <v>327213</v>
          </cell>
        </row>
        <row r="7467">
          <cell r="Z7467" t="str">
            <v>327214</v>
          </cell>
        </row>
        <row r="7468">
          <cell r="Z7468" t="str">
            <v>327219</v>
          </cell>
        </row>
        <row r="7469">
          <cell r="Z7469" t="str">
            <v>327220</v>
          </cell>
        </row>
        <row r="7470">
          <cell r="Z7470" t="str">
            <v>327221</v>
          </cell>
        </row>
        <row r="7471">
          <cell r="Z7471" t="str">
            <v>327222</v>
          </cell>
        </row>
        <row r="7472">
          <cell r="Z7472" t="str">
            <v>327223</v>
          </cell>
        </row>
        <row r="7473">
          <cell r="Z7473" t="str">
            <v>327224</v>
          </cell>
        </row>
        <row r="7474">
          <cell r="Z7474" t="str">
            <v>327229</v>
          </cell>
        </row>
        <row r="7475">
          <cell r="Z7475" t="str">
            <v>327300</v>
          </cell>
        </row>
        <row r="7476">
          <cell r="Z7476" t="str">
            <v>327301</v>
          </cell>
        </row>
        <row r="7477">
          <cell r="Z7477" t="str">
            <v>327302</v>
          </cell>
        </row>
        <row r="7478">
          <cell r="Z7478" t="str">
            <v>327303</v>
          </cell>
        </row>
        <row r="7479">
          <cell r="Z7479" t="str">
            <v>327304</v>
          </cell>
        </row>
        <row r="7480">
          <cell r="Z7480" t="str">
            <v>327309</v>
          </cell>
        </row>
        <row r="7481">
          <cell r="Z7481" t="str">
            <v>327400</v>
          </cell>
        </row>
        <row r="7482">
          <cell r="Z7482" t="str">
            <v>327401</v>
          </cell>
        </row>
        <row r="7483">
          <cell r="Z7483" t="str">
            <v>327402</v>
          </cell>
        </row>
        <row r="7484">
          <cell r="Z7484" t="str">
            <v>327403</v>
          </cell>
        </row>
        <row r="7485">
          <cell r="Z7485" t="str">
            <v>327404</v>
          </cell>
        </row>
        <row r="7486">
          <cell r="Z7486" t="str">
            <v>327409</v>
          </cell>
        </row>
        <row r="7487">
          <cell r="Z7487" t="str">
            <v>327500</v>
          </cell>
        </row>
        <row r="7488">
          <cell r="Z7488" t="str">
            <v>327501</v>
          </cell>
        </row>
        <row r="7489">
          <cell r="Z7489" t="str">
            <v>327502</v>
          </cell>
        </row>
        <row r="7490">
          <cell r="Z7490" t="str">
            <v>327503</v>
          </cell>
        </row>
        <row r="7491">
          <cell r="Z7491" t="str">
            <v>327504</v>
          </cell>
        </row>
        <row r="7492">
          <cell r="Z7492" t="str">
            <v>327509</v>
          </cell>
        </row>
        <row r="7493">
          <cell r="Z7493" t="str">
            <v>328000</v>
          </cell>
        </row>
        <row r="7494">
          <cell r="Z7494" t="str">
            <v>328100</v>
          </cell>
        </row>
        <row r="7495">
          <cell r="Z7495" t="str">
            <v>328110</v>
          </cell>
        </row>
        <row r="7496">
          <cell r="Z7496" t="str">
            <v>328111</v>
          </cell>
        </row>
        <row r="7497">
          <cell r="Z7497" t="str">
            <v>328112</v>
          </cell>
        </row>
        <row r="7498">
          <cell r="Z7498" t="str">
            <v>328113</v>
          </cell>
        </row>
        <row r="7499">
          <cell r="Z7499" t="str">
            <v>328114</v>
          </cell>
        </row>
        <row r="7500">
          <cell r="Z7500" t="str">
            <v>328119</v>
          </cell>
        </row>
        <row r="7501">
          <cell r="Z7501" t="str">
            <v>328120</v>
          </cell>
        </row>
        <row r="7502">
          <cell r="Z7502" t="str">
            <v>328121</v>
          </cell>
        </row>
        <row r="7503">
          <cell r="Z7503" t="str">
            <v>328122</v>
          </cell>
        </row>
        <row r="7504">
          <cell r="Z7504" t="str">
            <v>328123</v>
          </cell>
        </row>
        <row r="7505">
          <cell r="Z7505" t="str">
            <v>328124</v>
          </cell>
        </row>
        <row r="7506">
          <cell r="Z7506" t="str">
            <v>328129</v>
          </cell>
        </row>
        <row r="7507">
          <cell r="Z7507" t="str">
            <v>328130</v>
          </cell>
        </row>
        <row r="7508">
          <cell r="Z7508" t="str">
            <v>328131</v>
          </cell>
        </row>
        <row r="7509">
          <cell r="Z7509" t="str">
            <v>328132</v>
          </cell>
        </row>
        <row r="7510">
          <cell r="Z7510" t="str">
            <v>328133</v>
          </cell>
        </row>
        <row r="7511">
          <cell r="Z7511" t="str">
            <v>328134</v>
          </cell>
        </row>
        <row r="7512">
          <cell r="Z7512" t="str">
            <v>328139</v>
          </cell>
        </row>
        <row r="7513">
          <cell r="Z7513" t="str">
            <v>328140</v>
          </cell>
        </row>
        <row r="7514">
          <cell r="Z7514" t="str">
            <v>328141</v>
          </cell>
        </row>
        <row r="7515">
          <cell r="Z7515" t="str">
            <v>328142</v>
          </cell>
        </row>
        <row r="7516">
          <cell r="Z7516" t="str">
            <v>328143</v>
          </cell>
        </row>
        <row r="7517">
          <cell r="Z7517" t="str">
            <v>328144</v>
          </cell>
        </row>
        <row r="7518">
          <cell r="Z7518" t="str">
            <v>328149</v>
          </cell>
        </row>
        <row r="7519">
          <cell r="Z7519" t="str">
            <v>328200</v>
          </cell>
        </row>
        <row r="7520">
          <cell r="Z7520" t="str">
            <v>328210</v>
          </cell>
        </row>
        <row r="7521">
          <cell r="Z7521" t="str">
            <v>328211</v>
          </cell>
        </row>
        <row r="7522">
          <cell r="Z7522" t="str">
            <v>328212</v>
          </cell>
        </row>
        <row r="7523">
          <cell r="Z7523" t="str">
            <v>328213</v>
          </cell>
        </row>
        <row r="7524">
          <cell r="Z7524" t="str">
            <v>328214</v>
          </cell>
        </row>
        <row r="7525">
          <cell r="Z7525" t="str">
            <v>328219</v>
          </cell>
        </row>
        <row r="7526">
          <cell r="Z7526" t="str">
            <v>328220</v>
          </cell>
        </row>
        <row r="7527">
          <cell r="Z7527" t="str">
            <v>328221</v>
          </cell>
        </row>
        <row r="7528">
          <cell r="Z7528" t="str">
            <v>328222</v>
          </cell>
        </row>
        <row r="7529">
          <cell r="Z7529" t="str">
            <v>328223</v>
          </cell>
        </row>
        <row r="7530">
          <cell r="Z7530" t="str">
            <v>328224</v>
          </cell>
        </row>
        <row r="7531">
          <cell r="Z7531" t="str">
            <v>328229</v>
          </cell>
        </row>
        <row r="7532">
          <cell r="Z7532" t="str">
            <v>328230</v>
          </cell>
        </row>
        <row r="7533">
          <cell r="Z7533" t="str">
            <v>328231</v>
          </cell>
        </row>
        <row r="7534">
          <cell r="Z7534" t="str">
            <v>328232</v>
          </cell>
        </row>
        <row r="7535">
          <cell r="Z7535" t="str">
            <v>328233</v>
          </cell>
        </row>
        <row r="7536">
          <cell r="Z7536" t="str">
            <v>328234</v>
          </cell>
        </row>
        <row r="7537">
          <cell r="Z7537" t="str">
            <v>328239</v>
          </cell>
        </row>
        <row r="7538">
          <cell r="Z7538" t="str">
            <v>328240</v>
          </cell>
        </row>
        <row r="7539">
          <cell r="Z7539" t="str">
            <v>328241</v>
          </cell>
        </row>
        <row r="7540">
          <cell r="Z7540" t="str">
            <v>328242</v>
          </cell>
        </row>
        <row r="7541">
          <cell r="Z7541" t="str">
            <v>328243</v>
          </cell>
        </row>
        <row r="7542">
          <cell r="Z7542" t="str">
            <v>328244</v>
          </cell>
        </row>
        <row r="7543">
          <cell r="Z7543" t="str">
            <v>328249</v>
          </cell>
        </row>
        <row r="7544">
          <cell r="Z7544" t="str">
            <v>328300</v>
          </cell>
        </row>
        <row r="7545">
          <cell r="Z7545" t="str">
            <v>328310</v>
          </cell>
        </row>
        <row r="7546">
          <cell r="Z7546" t="str">
            <v>328311</v>
          </cell>
        </row>
        <row r="7547">
          <cell r="Z7547" t="str">
            <v>328312</v>
          </cell>
        </row>
        <row r="7548">
          <cell r="Z7548" t="str">
            <v>328313</v>
          </cell>
        </row>
        <row r="7549">
          <cell r="Z7549" t="str">
            <v>328314</v>
          </cell>
        </row>
        <row r="7550">
          <cell r="Z7550" t="str">
            <v>328319</v>
          </cell>
        </row>
        <row r="7551">
          <cell r="Z7551" t="str">
            <v>328320</v>
          </cell>
        </row>
        <row r="7552">
          <cell r="Z7552" t="str">
            <v>328321</v>
          </cell>
        </row>
        <row r="7553">
          <cell r="Z7553" t="str">
            <v>328322</v>
          </cell>
        </row>
        <row r="7554">
          <cell r="Z7554" t="str">
            <v>328323</v>
          </cell>
        </row>
        <row r="7555">
          <cell r="Z7555" t="str">
            <v>328324</v>
          </cell>
        </row>
        <row r="7556">
          <cell r="Z7556" t="str">
            <v>328329</v>
          </cell>
        </row>
        <row r="7557">
          <cell r="Z7557" t="str">
            <v>328400</v>
          </cell>
        </row>
        <row r="7558">
          <cell r="Z7558" t="str">
            <v>328410</v>
          </cell>
        </row>
        <row r="7559">
          <cell r="Z7559" t="str">
            <v>328411</v>
          </cell>
        </row>
        <row r="7560">
          <cell r="Z7560" t="str">
            <v>328412</v>
          </cell>
        </row>
        <row r="7561">
          <cell r="Z7561" t="str">
            <v>328413</v>
          </cell>
        </row>
        <row r="7562">
          <cell r="Z7562" t="str">
            <v>328414</v>
          </cell>
        </row>
        <row r="7563">
          <cell r="Z7563" t="str">
            <v>328419</v>
          </cell>
        </row>
        <row r="7564">
          <cell r="Z7564" t="str">
            <v>328420</v>
          </cell>
        </row>
        <row r="7565">
          <cell r="Z7565" t="str">
            <v>328421</v>
          </cell>
        </row>
        <row r="7566">
          <cell r="Z7566" t="str">
            <v>328422</v>
          </cell>
        </row>
        <row r="7567">
          <cell r="Z7567" t="str">
            <v>328423</v>
          </cell>
        </row>
        <row r="7568">
          <cell r="Z7568" t="str">
            <v>328424</v>
          </cell>
        </row>
        <row r="7569">
          <cell r="Z7569" t="str">
            <v>328429</v>
          </cell>
        </row>
        <row r="7570">
          <cell r="Z7570" t="str">
            <v>328500</v>
          </cell>
        </row>
        <row r="7571">
          <cell r="Z7571" t="str">
            <v>328510</v>
          </cell>
        </row>
        <row r="7572">
          <cell r="Z7572" t="str">
            <v>328511</v>
          </cell>
        </row>
        <row r="7573">
          <cell r="Z7573" t="str">
            <v>328512</v>
          </cell>
        </row>
        <row r="7574">
          <cell r="Z7574" t="str">
            <v>328513</v>
          </cell>
        </row>
        <row r="7575">
          <cell r="Z7575" t="str">
            <v>328514</v>
          </cell>
        </row>
        <row r="7576">
          <cell r="Z7576" t="str">
            <v>328519</v>
          </cell>
        </row>
        <row r="7577">
          <cell r="Z7577" t="str">
            <v>328520</v>
          </cell>
        </row>
        <row r="7578">
          <cell r="Z7578" t="str">
            <v>328521</v>
          </cell>
        </row>
        <row r="7579">
          <cell r="Z7579" t="str">
            <v>328522</v>
          </cell>
        </row>
        <row r="7580">
          <cell r="Z7580" t="str">
            <v>328523</v>
          </cell>
        </row>
        <row r="7581">
          <cell r="Z7581" t="str">
            <v>328524</v>
          </cell>
        </row>
        <row r="7582">
          <cell r="Z7582" t="str">
            <v>328529</v>
          </cell>
        </row>
        <row r="7583">
          <cell r="Z7583" t="str">
            <v>330000</v>
          </cell>
        </row>
        <row r="7584">
          <cell r="Z7584" t="str">
            <v>331000</v>
          </cell>
        </row>
        <row r="7585">
          <cell r="Z7585" t="str">
            <v>331100</v>
          </cell>
        </row>
        <row r="7586">
          <cell r="Z7586" t="str">
            <v>331110</v>
          </cell>
        </row>
        <row r="7587">
          <cell r="Z7587" t="str">
            <v>331111</v>
          </cell>
        </row>
        <row r="7588">
          <cell r="Z7588" t="str">
            <v>331112</v>
          </cell>
        </row>
        <row r="7589">
          <cell r="Z7589" t="str">
            <v>331113</v>
          </cell>
        </row>
        <row r="7590">
          <cell r="Z7590" t="str">
            <v>331114</v>
          </cell>
        </row>
        <row r="7591">
          <cell r="Z7591" t="str">
            <v>331119</v>
          </cell>
        </row>
        <row r="7592">
          <cell r="Z7592" t="str">
            <v>331120</v>
          </cell>
        </row>
        <row r="7593">
          <cell r="Z7593" t="str">
            <v>331121</v>
          </cell>
        </row>
        <row r="7594">
          <cell r="Z7594" t="str">
            <v>331122</v>
          </cell>
        </row>
        <row r="7595">
          <cell r="Z7595" t="str">
            <v>331123</v>
          </cell>
        </row>
        <row r="7596">
          <cell r="Z7596" t="str">
            <v>331124</v>
          </cell>
        </row>
        <row r="7597">
          <cell r="Z7597" t="str">
            <v>331129</v>
          </cell>
        </row>
        <row r="7598">
          <cell r="Z7598" t="str">
            <v>331130</v>
          </cell>
        </row>
        <row r="7599">
          <cell r="Z7599" t="str">
            <v>331131</v>
          </cell>
        </row>
        <row r="7600">
          <cell r="Z7600" t="str">
            <v>331132</v>
          </cell>
        </row>
        <row r="7601">
          <cell r="Z7601" t="str">
            <v>331133</v>
          </cell>
        </row>
        <row r="7602">
          <cell r="Z7602" t="str">
            <v>331134</v>
          </cell>
        </row>
        <row r="7603">
          <cell r="Z7603" t="str">
            <v>331139</v>
          </cell>
        </row>
        <row r="7604">
          <cell r="Z7604" t="str">
            <v>331140</v>
          </cell>
        </row>
        <row r="7605">
          <cell r="Z7605" t="str">
            <v>331141</v>
          </cell>
        </row>
        <row r="7606">
          <cell r="Z7606" t="str">
            <v>331142</v>
          </cell>
        </row>
        <row r="7607">
          <cell r="Z7607" t="str">
            <v>331143</v>
          </cell>
        </row>
        <row r="7608">
          <cell r="Z7608" t="str">
            <v>331144</v>
          </cell>
        </row>
        <row r="7609">
          <cell r="Z7609" t="str">
            <v>331149</v>
          </cell>
        </row>
        <row r="7610">
          <cell r="Z7610" t="str">
            <v>331200</v>
          </cell>
        </row>
        <row r="7611">
          <cell r="Z7611" t="str">
            <v>331210</v>
          </cell>
        </row>
        <row r="7612">
          <cell r="Z7612" t="str">
            <v>331211</v>
          </cell>
        </row>
        <row r="7613">
          <cell r="Z7613" t="str">
            <v>331212</v>
          </cell>
        </row>
        <row r="7614">
          <cell r="Z7614" t="str">
            <v>331213</v>
          </cell>
        </row>
        <row r="7615">
          <cell r="Z7615" t="str">
            <v>331214</v>
          </cell>
        </row>
        <row r="7616">
          <cell r="Z7616" t="str">
            <v>331219</v>
          </cell>
        </row>
        <row r="7617">
          <cell r="Z7617" t="str">
            <v>331220</v>
          </cell>
        </row>
        <row r="7618">
          <cell r="Z7618" t="str">
            <v>331221</v>
          </cell>
        </row>
        <row r="7619">
          <cell r="Z7619" t="str">
            <v>331222</v>
          </cell>
        </row>
        <row r="7620">
          <cell r="Z7620" t="str">
            <v>331223</v>
          </cell>
        </row>
        <row r="7621">
          <cell r="Z7621" t="str">
            <v>331224</v>
          </cell>
        </row>
        <row r="7622">
          <cell r="Z7622" t="str">
            <v>331229</v>
          </cell>
        </row>
        <row r="7623">
          <cell r="Z7623" t="str">
            <v>331230</v>
          </cell>
        </row>
        <row r="7624">
          <cell r="Z7624" t="str">
            <v>331231</v>
          </cell>
        </row>
        <row r="7625">
          <cell r="Z7625" t="str">
            <v>331232</v>
          </cell>
        </row>
        <row r="7626">
          <cell r="Z7626" t="str">
            <v>331233</v>
          </cell>
        </row>
        <row r="7627">
          <cell r="Z7627" t="str">
            <v>331234</v>
          </cell>
        </row>
        <row r="7628">
          <cell r="Z7628" t="str">
            <v>331239</v>
          </cell>
        </row>
        <row r="7629">
          <cell r="Z7629" t="str">
            <v>331240</v>
          </cell>
        </row>
        <row r="7630">
          <cell r="Z7630" t="str">
            <v>331241</v>
          </cell>
        </row>
        <row r="7631">
          <cell r="Z7631" t="str">
            <v>331242</v>
          </cell>
        </row>
        <row r="7632">
          <cell r="Z7632" t="str">
            <v>331243</v>
          </cell>
        </row>
        <row r="7633">
          <cell r="Z7633" t="str">
            <v>331244</v>
          </cell>
        </row>
        <row r="7634">
          <cell r="Z7634" t="str">
            <v>331249</v>
          </cell>
        </row>
        <row r="7635">
          <cell r="Z7635" t="str">
            <v>332000</v>
          </cell>
        </row>
        <row r="7636">
          <cell r="Z7636" t="str">
            <v>332100</v>
          </cell>
        </row>
        <row r="7637">
          <cell r="Z7637" t="str">
            <v>332110</v>
          </cell>
        </row>
        <row r="7638">
          <cell r="Z7638" t="str">
            <v>332111</v>
          </cell>
        </row>
        <row r="7639">
          <cell r="Z7639" t="str">
            <v>332112</v>
          </cell>
        </row>
        <row r="7640">
          <cell r="Z7640" t="str">
            <v>332113</v>
          </cell>
        </row>
        <row r="7641">
          <cell r="Z7641" t="str">
            <v>332114</v>
          </cell>
        </row>
        <row r="7642">
          <cell r="Z7642" t="str">
            <v>332119</v>
          </cell>
        </row>
        <row r="7643">
          <cell r="Z7643" t="str">
            <v>332120</v>
          </cell>
        </row>
        <row r="7644">
          <cell r="Z7644" t="str">
            <v>332121</v>
          </cell>
        </row>
        <row r="7645">
          <cell r="Z7645" t="str">
            <v>332122</v>
          </cell>
        </row>
        <row r="7646">
          <cell r="Z7646" t="str">
            <v>332123</v>
          </cell>
        </row>
        <row r="7647">
          <cell r="Z7647" t="str">
            <v>332124</v>
          </cell>
        </row>
        <row r="7648">
          <cell r="Z7648" t="str">
            <v>332129</v>
          </cell>
        </row>
        <row r="7649">
          <cell r="Z7649" t="str">
            <v>332200</v>
          </cell>
        </row>
        <row r="7650">
          <cell r="Z7650" t="str">
            <v>332210</v>
          </cell>
        </row>
        <row r="7651">
          <cell r="Z7651" t="str">
            <v>332211</v>
          </cell>
        </row>
        <row r="7652">
          <cell r="Z7652" t="str">
            <v>332212</v>
          </cell>
        </row>
        <row r="7653">
          <cell r="Z7653" t="str">
            <v>332213</v>
          </cell>
        </row>
        <row r="7654">
          <cell r="Z7654" t="str">
            <v>332214</v>
          </cell>
        </row>
        <row r="7655">
          <cell r="Z7655" t="str">
            <v>332219</v>
          </cell>
        </row>
        <row r="7656">
          <cell r="Z7656" t="str">
            <v>332220</v>
          </cell>
        </row>
        <row r="7657">
          <cell r="Z7657" t="str">
            <v>332220</v>
          </cell>
        </row>
        <row r="7658">
          <cell r="Z7658" t="str">
            <v>332222</v>
          </cell>
        </row>
        <row r="7659">
          <cell r="Z7659" t="str">
            <v>332223</v>
          </cell>
        </row>
        <row r="7660">
          <cell r="Z7660" t="str">
            <v>332224</v>
          </cell>
        </row>
        <row r="7661">
          <cell r="Z7661" t="str">
            <v>332229</v>
          </cell>
        </row>
        <row r="7662">
          <cell r="Z7662" t="str">
            <v>332300</v>
          </cell>
        </row>
        <row r="7663">
          <cell r="Z7663" t="str">
            <v>332310</v>
          </cell>
        </row>
        <row r="7664">
          <cell r="Z7664" t="str">
            <v>332311</v>
          </cell>
        </row>
        <row r="7665">
          <cell r="Z7665" t="str">
            <v>332312</v>
          </cell>
        </row>
        <row r="7666">
          <cell r="Z7666" t="str">
            <v>332313</v>
          </cell>
        </row>
        <row r="7667">
          <cell r="Z7667" t="str">
            <v>332314</v>
          </cell>
        </row>
        <row r="7668">
          <cell r="Z7668" t="str">
            <v>332319</v>
          </cell>
        </row>
        <row r="7669">
          <cell r="Z7669" t="str">
            <v>332320</v>
          </cell>
        </row>
        <row r="7670">
          <cell r="Z7670" t="str">
            <v>332321</v>
          </cell>
        </row>
        <row r="7671">
          <cell r="Z7671" t="str">
            <v>332322</v>
          </cell>
        </row>
        <row r="7672">
          <cell r="Z7672" t="str">
            <v>332323</v>
          </cell>
        </row>
        <row r="7673">
          <cell r="Z7673" t="str">
            <v>332324</v>
          </cell>
        </row>
        <row r="7674">
          <cell r="Z7674" t="str">
            <v>332329</v>
          </cell>
        </row>
        <row r="7675">
          <cell r="Z7675" t="str">
            <v>332400</v>
          </cell>
        </row>
        <row r="7676">
          <cell r="Z7676" t="str">
            <v>332410</v>
          </cell>
        </row>
        <row r="7677">
          <cell r="Z7677" t="str">
            <v>332411</v>
          </cell>
        </row>
        <row r="7678">
          <cell r="Z7678" t="str">
            <v>332412</v>
          </cell>
        </row>
        <row r="7679">
          <cell r="Z7679" t="str">
            <v>332413</v>
          </cell>
        </row>
        <row r="7680">
          <cell r="Z7680" t="str">
            <v>332414</v>
          </cell>
        </row>
        <row r="7681">
          <cell r="Z7681" t="str">
            <v>332419</v>
          </cell>
        </row>
        <row r="7682">
          <cell r="Z7682" t="str">
            <v>332420</v>
          </cell>
        </row>
        <row r="7683">
          <cell r="Z7683" t="str">
            <v>332421</v>
          </cell>
        </row>
        <row r="7684">
          <cell r="Z7684" t="str">
            <v>332422</v>
          </cell>
        </row>
        <row r="7685">
          <cell r="Z7685" t="str">
            <v>332423</v>
          </cell>
        </row>
        <row r="7686">
          <cell r="Z7686" t="str">
            <v>332424</v>
          </cell>
        </row>
        <row r="7687">
          <cell r="Z7687" t="str">
            <v>332429</v>
          </cell>
        </row>
        <row r="7688">
          <cell r="Z7688" t="str">
            <v>332500</v>
          </cell>
        </row>
        <row r="7689">
          <cell r="Z7689" t="str">
            <v>332510</v>
          </cell>
        </row>
        <row r="7690">
          <cell r="Z7690" t="str">
            <v>332511</v>
          </cell>
        </row>
        <row r="7691">
          <cell r="Z7691" t="str">
            <v>332512</v>
          </cell>
        </row>
        <row r="7692">
          <cell r="Z7692" t="str">
            <v>332513</v>
          </cell>
        </row>
        <row r="7693">
          <cell r="Z7693" t="str">
            <v>332514</v>
          </cell>
        </row>
        <row r="7694">
          <cell r="Z7694" t="str">
            <v>332519</v>
          </cell>
        </row>
        <row r="7695">
          <cell r="Z7695" t="str">
            <v>332520</v>
          </cell>
        </row>
        <row r="7696">
          <cell r="Z7696" t="str">
            <v>332521</v>
          </cell>
        </row>
        <row r="7697">
          <cell r="Z7697" t="str">
            <v>332522</v>
          </cell>
        </row>
        <row r="7698">
          <cell r="Z7698" t="str">
            <v>332523</v>
          </cell>
        </row>
        <row r="7699">
          <cell r="Z7699" t="str">
            <v>332524</v>
          </cell>
        </row>
        <row r="7700">
          <cell r="Z7700" t="str">
            <v>332529</v>
          </cell>
        </row>
        <row r="7701">
          <cell r="Z7701" t="str">
            <v>332530</v>
          </cell>
        </row>
        <row r="7702">
          <cell r="Z7702" t="str">
            <v>332531</v>
          </cell>
        </row>
        <row r="7703">
          <cell r="Z7703" t="str">
            <v>332532</v>
          </cell>
        </row>
        <row r="7704">
          <cell r="Z7704" t="str">
            <v>332533</v>
          </cell>
        </row>
        <row r="7705">
          <cell r="Z7705" t="str">
            <v>332534</v>
          </cell>
        </row>
        <row r="7706">
          <cell r="Z7706" t="str">
            <v>332539</v>
          </cell>
        </row>
        <row r="7707">
          <cell r="Z7707" t="str">
            <v>332540</v>
          </cell>
        </row>
        <row r="7708">
          <cell r="Z7708" t="str">
            <v>332541</v>
          </cell>
        </row>
        <row r="7709">
          <cell r="Z7709" t="str">
            <v>332542</v>
          </cell>
        </row>
        <row r="7710">
          <cell r="Z7710" t="str">
            <v>332543</v>
          </cell>
        </row>
        <row r="7711">
          <cell r="Z7711" t="str">
            <v>332544</v>
          </cell>
        </row>
        <row r="7712">
          <cell r="Z7712" t="str">
            <v>332549</v>
          </cell>
        </row>
        <row r="7713">
          <cell r="Z7713" t="str">
            <v>332600</v>
          </cell>
        </row>
        <row r="7714">
          <cell r="Z7714" t="str">
            <v>332610</v>
          </cell>
        </row>
        <row r="7715">
          <cell r="Z7715" t="str">
            <v>332611</v>
          </cell>
        </row>
        <row r="7716">
          <cell r="Z7716" t="str">
            <v>332612</v>
          </cell>
        </row>
        <row r="7717">
          <cell r="Z7717" t="str">
            <v>332613</v>
          </cell>
        </row>
        <row r="7718">
          <cell r="Z7718" t="str">
            <v>332614</v>
          </cell>
        </row>
        <row r="7719">
          <cell r="Z7719" t="str">
            <v>332619</v>
          </cell>
        </row>
        <row r="7720">
          <cell r="Z7720" t="str">
            <v>332620</v>
          </cell>
        </row>
        <row r="7721">
          <cell r="Z7721" t="str">
            <v>332621</v>
          </cell>
        </row>
        <row r="7722">
          <cell r="Z7722" t="str">
            <v>332622</v>
          </cell>
        </row>
        <row r="7723">
          <cell r="Z7723" t="str">
            <v>332623</v>
          </cell>
        </row>
        <row r="7724">
          <cell r="Z7724" t="str">
            <v>332624</v>
          </cell>
        </row>
        <row r="7725">
          <cell r="Z7725" t="str">
            <v>332629</v>
          </cell>
        </row>
        <row r="7726">
          <cell r="Z7726" t="str">
            <v>332700</v>
          </cell>
        </row>
        <row r="7727">
          <cell r="Z7727" t="str">
            <v>332710</v>
          </cell>
        </row>
        <row r="7728">
          <cell r="Z7728" t="str">
            <v>332711</v>
          </cell>
        </row>
        <row r="7729">
          <cell r="Z7729" t="str">
            <v>332712</v>
          </cell>
        </row>
        <row r="7730">
          <cell r="Z7730" t="str">
            <v>332713</v>
          </cell>
        </row>
        <row r="7731">
          <cell r="Z7731" t="str">
            <v>332714</v>
          </cell>
        </row>
        <row r="7732">
          <cell r="Z7732" t="str">
            <v>332719</v>
          </cell>
        </row>
        <row r="7733">
          <cell r="Z7733" t="str">
            <v>332720</v>
          </cell>
        </row>
        <row r="7734">
          <cell r="Z7734" t="str">
            <v>332721</v>
          </cell>
        </row>
        <row r="7735">
          <cell r="Z7735" t="str">
            <v>332722</v>
          </cell>
        </row>
        <row r="7736">
          <cell r="Z7736" t="str">
            <v>332723</v>
          </cell>
        </row>
        <row r="7737">
          <cell r="Z7737" t="str">
            <v>332724</v>
          </cell>
        </row>
        <row r="7738">
          <cell r="Z7738" t="str">
            <v>332729</v>
          </cell>
        </row>
        <row r="7739">
          <cell r="Z7739" t="str">
            <v>332730</v>
          </cell>
        </row>
        <row r="7740">
          <cell r="Z7740" t="str">
            <v>332731</v>
          </cell>
        </row>
        <row r="7741">
          <cell r="Z7741" t="str">
            <v>332732</v>
          </cell>
        </row>
        <row r="7742">
          <cell r="Z7742" t="str">
            <v>332733</v>
          </cell>
        </row>
        <row r="7743">
          <cell r="Z7743" t="str">
            <v>332734</v>
          </cell>
        </row>
        <row r="7744">
          <cell r="Z7744" t="str">
            <v>332739</v>
          </cell>
        </row>
        <row r="7745">
          <cell r="Z7745" t="str">
            <v>332740</v>
          </cell>
        </row>
        <row r="7746">
          <cell r="Z7746" t="str">
            <v>332741</v>
          </cell>
        </row>
        <row r="7747">
          <cell r="Z7747" t="str">
            <v>332742</v>
          </cell>
        </row>
        <row r="7748">
          <cell r="Z7748" t="str">
            <v>332743</v>
          </cell>
        </row>
        <row r="7749">
          <cell r="Z7749" t="str">
            <v>332744</v>
          </cell>
        </row>
        <row r="7750">
          <cell r="Z7750" t="str">
            <v>332749</v>
          </cell>
        </row>
        <row r="7751">
          <cell r="Z7751" t="str">
            <v>332800</v>
          </cell>
        </row>
        <row r="7752">
          <cell r="Z7752" t="str">
            <v>332801</v>
          </cell>
        </row>
        <row r="7753">
          <cell r="Z7753" t="str">
            <v>332802</v>
          </cell>
        </row>
        <row r="7754">
          <cell r="Z7754" t="str">
            <v>332803</v>
          </cell>
        </row>
        <row r="7755">
          <cell r="Z7755" t="str">
            <v>332804</v>
          </cell>
        </row>
        <row r="7756">
          <cell r="Z7756" t="str">
            <v>332809</v>
          </cell>
        </row>
        <row r="7757">
          <cell r="Z7757" t="str">
            <v>333000</v>
          </cell>
        </row>
        <row r="7758">
          <cell r="Z7758" t="str">
            <v>333100</v>
          </cell>
        </row>
        <row r="7759">
          <cell r="Z7759" t="str">
            <v>333110</v>
          </cell>
        </row>
        <row r="7760">
          <cell r="Z7760" t="str">
            <v>333111</v>
          </cell>
        </row>
        <row r="7761">
          <cell r="Z7761" t="str">
            <v>333112</v>
          </cell>
        </row>
        <row r="7762">
          <cell r="Z7762" t="str">
            <v>333113</v>
          </cell>
        </row>
        <row r="7763">
          <cell r="Z7763" t="str">
            <v>333114</v>
          </cell>
        </row>
        <row r="7764">
          <cell r="Z7764" t="str">
            <v>333119</v>
          </cell>
        </row>
        <row r="7765">
          <cell r="Z7765" t="str">
            <v>333120</v>
          </cell>
        </row>
        <row r="7766">
          <cell r="Z7766" t="str">
            <v>333121</v>
          </cell>
        </row>
        <row r="7767">
          <cell r="Z7767" t="str">
            <v>333122</v>
          </cell>
        </row>
        <row r="7768">
          <cell r="Z7768" t="str">
            <v>333123</v>
          </cell>
        </row>
        <row r="7769">
          <cell r="Z7769" t="str">
            <v>333124</v>
          </cell>
        </row>
        <row r="7770">
          <cell r="Z7770" t="str">
            <v>333129</v>
          </cell>
        </row>
        <row r="7771">
          <cell r="Z7771" t="str">
            <v>333200</v>
          </cell>
        </row>
        <row r="7772">
          <cell r="Z7772" t="str">
            <v>333210</v>
          </cell>
        </row>
        <row r="7773">
          <cell r="Z7773" t="str">
            <v>333211</v>
          </cell>
        </row>
        <row r="7774">
          <cell r="Z7774" t="str">
            <v>333212</v>
          </cell>
        </row>
        <row r="7775">
          <cell r="Z7775" t="str">
            <v>333213</v>
          </cell>
        </row>
        <row r="7776">
          <cell r="Z7776" t="str">
            <v>333214</v>
          </cell>
        </row>
        <row r="7777">
          <cell r="Z7777" t="str">
            <v>333219</v>
          </cell>
        </row>
        <row r="7778">
          <cell r="Z7778" t="str">
            <v>333220</v>
          </cell>
        </row>
        <row r="7779">
          <cell r="Z7779" t="str">
            <v>333221</v>
          </cell>
        </row>
        <row r="7780">
          <cell r="Z7780" t="str">
            <v>333222</v>
          </cell>
        </row>
        <row r="7781">
          <cell r="Z7781" t="str">
            <v>333223</v>
          </cell>
        </row>
        <row r="7782">
          <cell r="Z7782" t="str">
            <v>333224</v>
          </cell>
        </row>
        <row r="7783">
          <cell r="Z7783" t="str">
            <v>333229</v>
          </cell>
        </row>
        <row r="7784">
          <cell r="Z7784" t="str">
            <v>333300</v>
          </cell>
        </row>
        <row r="7785">
          <cell r="Z7785" t="str">
            <v>333310</v>
          </cell>
        </row>
        <row r="7786">
          <cell r="Z7786" t="str">
            <v>333311</v>
          </cell>
        </row>
        <row r="7787">
          <cell r="Z7787" t="str">
            <v>333312</v>
          </cell>
        </row>
        <row r="7788">
          <cell r="Z7788" t="str">
            <v>333313</v>
          </cell>
        </row>
        <row r="7789">
          <cell r="Z7789" t="str">
            <v>333314</v>
          </cell>
        </row>
        <row r="7790">
          <cell r="Z7790" t="str">
            <v>333319</v>
          </cell>
        </row>
        <row r="7791">
          <cell r="Z7791" t="str">
            <v>333320</v>
          </cell>
        </row>
        <row r="7792">
          <cell r="Z7792" t="str">
            <v>333321</v>
          </cell>
        </row>
        <row r="7793">
          <cell r="Z7793" t="str">
            <v>333322</v>
          </cell>
        </row>
        <row r="7794">
          <cell r="Z7794" t="str">
            <v>333323</v>
          </cell>
        </row>
        <row r="7795">
          <cell r="Z7795" t="str">
            <v>333324</v>
          </cell>
        </row>
        <row r="7796">
          <cell r="Z7796" t="str">
            <v>333329</v>
          </cell>
        </row>
        <row r="7797">
          <cell r="Z7797" t="str">
            <v>333400</v>
          </cell>
        </row>
        <row r="7798">
          <cell r="Z7798" t="str">
            <v>333401</v>
          </cell>
        </row>
        <row r="7799">
          <cell r="Z7799" t="str">
            <v>333402</v>
          </cell>
        </row>
        <row r="7800">
          <cell r="Z7800" t="str">
            <v>333403</v>
          </cell>
        </row>
        <row r="7801">
          <cell r="Z7801" t="str">
            <v>333404</v>
          </cell>
        </row>
        <row r="7802">
          <cell r="Z7802" t="str">
            <v>333409</v>
          </cell>
        </row>
        <row r="7803">
          <cell r="Z7803" t="str">
            <v>340000</v>
          </cell>
        </row>
        <row r="7804">
          <cell r="Z7804" t="str">
            <v>341000</v>
          </cell>
        </row>
        <row r="7805">
          <cell r="Z7805" t="str">
            <v>341100</v>
          </cell>
        </row>
        <row r="7806">
          <cell r="Z7806" t="str">
            <v>341101</v>
          </cell>
        </row>
        <row r="7807">
          <cell r="Z7807" t="str">
            <v>341102</v>
          </cell>
        </row>
        <row r="7808">
          <cell r="Z7808" t="str">
            <v>341103</v>
          </cell>
        </row>
        <row r="7809">
          <cell r="Z7809" t="str">
            <v>341104</v>
          </cell>
        </row>
        <row r="7810">
          <cell r="Z7810" t="str">
            <v>341109</v>
          </cell>
        </row>
        <row r="7811">
          <cell r="Z7811" t="str">
            <v>341200</v>
          </cell>
        </row>
        <row r="7812">
          <cell r="Z7812" t="str">
            <v>341210</v>
          </cell>
        </row>
        <row r="7813">
          <cell r="Z7813" t="str">
            <v>341211</v>
          </cell>
        </row>
        <row r="7814">
          <cell r="Z7814" t="str">
            <v>341212</v>
          </cell>
        </row>
        <row r="7815">
          <cell r="Z7815" t="str">
            <v>341213</v>
          </cell>
        </row>
        <row r="7816">
          <cell r="Z7816" t="str">
            <v>341214</v>
          </cell>
        </row>
        <row r="7817">
          <cell r="Z7817" t="str">
            <v>341219</v>
          </cell>
        </row>
        <row r="7818">
          <cell r="Z7818" t="str">
            <v>341220</v>
          </cell>
        </row>
        <row r="7819">
          <cell r="Z7819" t="str">
            <v>341221</v>
          </cell>
        </row>
        <row r="7820">
          <cell r="Z7820" t="str">
            <v>341222</v>
          </cell>
        </row>
        <row r="7821">
          <cell r="Z7821" t="str">
            <v>341223</v>
          </cell>
        </row>
        <row r="7822">
          <cell r="Z7822" t="str">
            <v>341224</v>
          </cell>
        </row>
        <row r="7823">
          <cell r="Z7823" t="str">
            <v>341229</v>
          </cell>
        </row>
        <row r="7824">
          <cell r="Z7824" t="str">
            <v>341300</v>
          </cell>
        </row>
        <row r="7825">
          <cell r="Z7825" t="str">
            <v>341310</v>
          </cell>
        </row>
        <row r="7826">
          <cell r="Z7826" t="str">
            <v>341311</v>
          </cell>
        </row>
        <row r="7827">
          <cell r="Z7827" t="str">
            <v>341312</v>
          </cell>
        </row>
        <row r="7828">
          <cell r="Z7828" t="str">
            <v>341313</v>
          </cell>
        </row>
        <row r="7829">
          <cell r="Z7829" t="str">
            <v>341314</v>
          </cell>
        </row>
        <row r="7830">
          <cell r="Z7830" t="str">
            <v>341319</v>
          </cell>
        </row>
        <row r="7831">
          <cell r="Z7831" t="str">
            <v>341320</v>
          </cell>
        </row>
        <row r="7832">
          <cell r="Z7832" t="str">
            <v>341321</v>
          </cell>
        </row>
        <row r="7833">
          <cell r="Z7833" t="str">
            <v>341322</v>
          </cell>
        </row>
        <row r="7834">
          <cell r="Z7834" t="str">
            <v>341323</v>
          </cell>
        </row>
        <row r="7835">
          <cell r="Z7835" t="str">
            <v>341324</v>
          </cell>
        </row>
        <row r="7836">
          <cell r="Z7836" t="str">
            <v>341329</v>
          </cell>
        </row>
        <row r="7837">
          <cell r="Z7837" t="str">
            <v>342000</v>
          </cell>
        </row>
        <row r="7838">
          <cell r="Z7838" t="str">
            <v>342100</v>
          </cell>
        </row>
        <row r="7839">
          <cell r="Z7839" t="str">
            <v>342110</v>
          </cell>
        </row>
        <row r="7840">
          <cell r="Z7840" t="str">
            <v>342111</v>
          </cell>
        </row>
        <row r="7841">
          <cell r="Z7841" t="str">
            <v>342112</v>
          </cell>
        </row>
        <row r="7842">
          <cell r="Z7842" t="str">
            <v>342113</v>
          </cell>
        </row>
        <row r="7843">
          <cell r="Z7843" t="str">
            <v>342114</v>
          </cell>
        </row>
        <row r="7844">
          <cell r="Z7844" t="str">
            <v>342119</v>
          </cell>
        </row>
        <row r="7845">
          <cell r="Z7845" t="str">
            <v>342120</v>
          </cell>
        </row>
        <row r="7846">
          <cell r="Z7846" t="str">
            <v>342121</v>
          </cell>
        </row>
        <row r="7847">
          <cell r="Z7847" t="str">
            <v>342122</v>
          </cell>
        </row>
        <row r="7848">
          <cell r="Z7848" t="str">
            <v>342123</v>
          </cell>
        </row>
        <row r="7849">
          <cell r="Z7849" t="str">
            <v>342124</v>
          </cell>
        </row>
        <row r="7850">
          <cell r="Z7850" t="str">
            <v>342129</v>
          </cell>
        </row>
        <row r="7851">
          <cell r="Z7851" t="str">
            <v>342200</v>
          </cell>
        </row>
        <row r="7852">
          <cell r="Z7852" t="str">
            <v>342210</v>
          </cell>
        </row>
        <row r="7853">
          <cell r="Z7853" t="str">
            <v>342211</v>
          </cell>
        </row>
        <row r="7854">
          <cell r="Z7854" t="str">
            <v>342212</v>
          </cell>
        </row>
        <row r="7855">
          <cell r="Z7855" t="str">
            <v>342213</v>
          </cell>
        </row>
        <row r="7856">
          <cell r="Z7856" t="str">
            <v>342214</v>
          </cell>
        </row>
        <row r="7857">
          <cell r="Z7857" t="str">
            <v>342219</v>
          </cell>
        </row>
        <row r="7858">
          <cell r="Z7858" t="str">
            <v>342220</v>
          </cell>
        </row>
        <row r="7859">
          <cell r="Z7859" t="str">
            <v>342221</v>
          </cell>
        </row>
        <row r="7860">
          <cell r="Z7860" t="str">
            <v>342222</v>
          </cell>
        </row>
        <row r="7861">
          <cell r="Z7861" t="str">
            <v>342223</v>
          </cell>
        </row>
        <row r="7862">
          <cell r="Z7862" t="str">
            <v>342224</v>
          </cell>
        </row>
        <row r="7863">
          <cell r="Z7863" t="str">
            <v>342230</v>
          </cell>
        </row>
        <row r="7864">
          <cell r="Z7864" t="str">
            <v>342231</v>
          </cell>
        </row>
        <row r="7865">
          <cell r="Z7865" t="str">
            <v>342232</v>
          </cell>
        </row>
        <row r="7866">
          <cell r="Z7866" t="str">
            <v>342233</v>
          </cell>
        </row>
        <row r="7867">
          <cell r="Z7867" t="str">
            <v>342234</v>
          </cell>
        </row>
        <row r="7868">
          <cell r="Z7868" t="str">
            <v>342239</v>
          </cell>
        </row>
        <row r="7869">
          <cell r="Z7869" t="str">
            <v>342240</v>
          </cell>
        </row>
        <row r="7870">
          <cell r="Z7870" t="str">
            <v>342241</v>
          </cell>
        </row>
        <row r="7871">
          <cell r="Z7871" t="str">
            <v>342242</v>
          </cell>
        </row>
        <row r="7872">
          <cell r="Z7872" t="str">
            <v>342243</v>
          </cell>
        </row>
        <row r="7873">
          <cell r="Z7873" t="str">
            <v>342244</v>
          </cell>
        </row>
        <row r="7874">
          <cell r="Z7874" t="str">
            <v>342249</v>
          </cell>
        </row>
        <row r="7875">
          <cell r="Z7875" t="str">
            <v>342300</v>
          </cell>
        </row>
        <row r="7876">
          <cell r="Z7876" t="str">
            <v>342310</v>
          </cell>
        </row>
        <row r="7877">
          <cell r="Z7877" t="str">
            <v>342311</v>
          </cell>
        </row>
        <row r="7878">
          <cell r="Z7878" t="str">
            <v>342312</v>
          </cell>
        </row>
        <row r="7879">
          <cell r="Z7879" t="str">
            <v>342313</v>
          </cell>
        </row>
        <row r="7880">
          <cell r="Z7880" t="str">
            <v>342314</v>
          </cell>
        </row>
        <row r="7881">
          <cell r="Z7881" t="str">
            <v>342319</v>
          </cell>
        </row>
        <row r="7882">
          <cell r="Z7882" t="str">
            <v>342320</v>
          </cell>
        </row>
        <row r="7883">
          <cell r="Z7883" t="str">
            <v>342321</v>
          </cell>
        </row>
        <row r="7884">
          <cell r="Z7884" t="str">
            <v>342322</v>
          </cell>
        </row>
        <row r="7885">
          <cell r="Z7885" t="str">
            <v>342323</v>
          </cell>
        </row>
        <row r="7886">
          <cell r="Z7886" t="str">
            <v>342324</v>
          </cell>
        </row>
        <row r="7887">
          <cell r="Z7887" t="str">
            <v>342329</v>
          </cell>
        </row>
        <row r="7888">
          <cell r="Z7888" t="str">
            <v>342400</v>
          </cell>
        </row>
        <row r="7889">
          <cell r="Z7889" t="str">
            <v>342410</v>
          </cell>
        </row>
        <row r="7890">
          <cell r="Z7890" t="str">
            <v>342411</v>
          </cell>
        </row>
        <row r="7891">
          <cell r="Z7891" t="str">
            <v>342412</v>
          </cell>
        </row>
        <row r="7892">
          <cell r="Z7892" t="str">
            <v>342413</v>
          </cell>
        </row>
        <row r="7893">
          <cell r="Z7893" t="str">
            <v>342414</v>
          </cell>
        </row>
        <row r="7894">
          <cell r="Z7894" t="str">
            <v>342419</v>
          </cell>
        </row>
        <row r="7895">
          <cell r="Z7895" t="str">
            <v>342420</v>
          </cell>
        </row>
        <row r="7896">
          <cell r="Z7896" t="str">
            <v>342421</v>
          </cell>
        </row>
        <row r="7897">
          <cell r="Z7897" t="str">
            <v>342422</v>
          </cell>
        </row>
        <row r="7898">
          <cell r="Z7898" t="str">
            <v>342423</v>
          </cell>
        </row>
        <row r="7899">
          <cell r="Z7899" t="str">
            <v>342424</v>
          </cell>
        </row>
        <row r="7900">
          <cell r="Z7900" t="str">
            <v>342429</v>
          </cell>
        </row>
        <row r="7901">
          <cell r="Z7901" t="str">
            <v>342500</v>
          </cell>
        </row>
        <row r="7902">
          <cell r="Z7902" t="str">
            <v>342510</v>
          </cell>
        </row>
        <row r="7903">
          <cell r="Z7903" t="str">
            <v>342511</v>
          </cell>
        </row>
        <row r="7904">
          <cell r="Z7904" t="str">
            <v>342512</v>
          </cell>
        </row>
        <row r="7905">
          <cell r="Z7905" t="str">
            <v>342513</v>
          </cell>
        </row>
        <row r="7906">
          <cell r="Z7906" t="str">
            <v>342514</v>
          </cell>
        </row>
        <row r="7907">
          <cell r="Z7907" t="str">
            <v>342519</v>
          </cell>
        </row>
        <row r="7908">
          <cell r="Z7908" t="str">
            <v>342520</v>
          </cell>
        </row>
        <row r="7909">
          <cell r="Z7909" t="str">
            <v>342521</v>
          </cell>
        </row>
        <row r="7910">
          <cell r="Z7910" t="str">
            <v>342522</v>
          </cell>
        </row>
        <row r="7911">
          <cell r="Z7911" t="str">
            <v>342523</v>
          </cell>
        </row>
        <row r="7912">
          <cell r="Z7912" t="str">
            <v>342524</v>
          </cell>
        </row>
        <row r="7913">
          <cell r="Z7913" t="str">
            <v>342529</v>
          </cell>
        </row>
        <row r="7914">
          <cell r="Z7914" t="str">
            <v>342600</v>
          </cell>
        </row>
        <row r="7915">
          <cell r="Z7915" t="str">
            <v>342610</v>
          </cell>
        </row>
        <row r="7916">
          <cell r="Z7916" t="str">
            <v>342611</v>
          </cell>
        </row>
        <row r="7917">
          <cell r="Z7917" t="str">
            <v>342612</v>
          </cell>
        </row>
        <row r="7918">
          <cell r="Z7918" t="str">
            <v>342613</v>
          </cell>
        </row>
        <row r="7919">
          <cell r="Z7919" t="str">
            <v>342614</v>
          </cell>
        </row>
        <row r="7920">
          <cell r="Z7920" t="str">
            <v>342619</v>
          </cell>
        </row>
        <row r="7921">
          <cell r="Z7921" t="str">
            <v>342620</v>
          </cell>
        </row>
        <row r="7922">
          <cell r="Z7922" t="str">
            <v>342621</v>
          </cell>
        </row>
        <row r="7923">
          <cell r="Z7923" t="str">
            <v>342622</v>
          </cell>
        </row>
        <row r="7924">
          <cell r="Z7924" t="str">
            <v>342623</v>
          </cell>
        </row>
        <row r="7925">
          <cell r="Z7925" t="str">
            <v>342624</v>
          </cell>
        </row>
        <row r="7926">
          <cell r="Z7926" t="str">
            <v>342629</v>
          </cell>
        </row>
        <row r="7927">
          <cell r="Z7927" t="str">
            <v>342700</v>
          </cell>
        </row>
        <row r="7928">
          <cell r="Z7928" t="str">
            <v>342710</v>
          </cell>
        </row>
        <row r="7929">
          <cell r="Z7929" t="str">
            <v>342711</v>
          </cell>
        </row>
        <row r="7930">
          <cell r="Z7930" t="str">
            <v>342712</v>
          </cell>
        </row>
        <row r="7931">
          <cell r="Z7931" t="str">
            <v>342713</v>
          </cell>
        </row>
        <row r="7932">
          <cell r="Z7932" t="str">
            <v>342714</v>
          </cell>
        </row>
        <row r="7933">
          <cell r="Z7933" t="str">
            <v>342719</v>
          </cell>
        </row>
        <row r="7934">
          <cell r="Z7934" t="str">
            <v>342720</v>
          </cell>
        </row>
        <row r="7935">
          <cell r="Z7935" t="str">
            <v>342721</v>
          </cell>
        </row>
        <row r="7936">
          <cell r="Z7936" t="str">
            <v>342722</v>
          </cell>
        </row>
        <row r="7937">
          <cell r="Z7937" t="str">
            <v>342723</v>
          </cell>
        </row>
        <row r="7938">
          <cell r="Z7938" t="str">
            <v>342724</v>
          </cell>
        </row>
        <row r="7939">
          <cell r="Z7939" t="str">
            <v>342729</v>
          </cell>
        </row>
        <row r="7940">
          <cell r="Z7940" t="str">
            <v>342800</v>
          </cell>
        </row>
        <row r="7941">
          <cell r="Z7941" t="str">
            <v>342810</v>
          </cell>
        </row>
        <row r="7942">
          <cell r="Z7942" t="str">
            <v>342811</v>
          </cell>
        </row>
        <row r="7943">
          <cell r="Z7943" t="str">
            <v>342812</v>
          </cell>
        </row>
        <row r="7944">
          <cell r="Z7944" t="str">
            <v>342813</v>
          </cell>
        </row>
        <row r="7945">
          <cell r="Z7945" t="str">
            <v>342814</v>
          </cell>
        </row>
        <row r="7946">
          <cell r="Z7946" t="str">
            <v>342819</v>
          </cell>
        </row>
        <row r="7947">
          <cell r="Z7947" t="str">
            <v>342820</v>
          </cell>
        </row>
        <row r="7948">
          <cell r="Z7948" t="str">
            <v>342821</v>
          </cell>
        </row>
        <row r="7949">
          <cell r="Z7949" t="str">
            <v>342822</v>
          </cell>
        </row>
        <row r="7950">
          <cell r="Z7950" t="str">
            <v>342823</v>
          </cell>
        </row>
        <row r="7951">
          <cell r="Z7951" t="str">
            <v>342824</v>
          </cell>
        </row>
        <row r="7952">
          <cell r="Z7952" t="str">
            <v>342829</v>
          </cell>
        </row>
        <row r="7953">
          <cell r="Z7953" t="str">
            <v>342900</v>
          </cell>
        </row>
        <row r="7954">
          <cell r="Z7954" t="str">
            <v>342910</v>
          </cell>
        </row>
        <row r="7955">
          <cell r="Z7955" t="str">
            <v>342911</v>
          </cell>
        </row>
        <row r="7956">
          <cell r="Z7956" t="str">
            <v>342912</v>
          </cell>
        </row>
        <row r="7957">
          <cell r="Z7957" t="str">
            <v>342913</v>
          </cell>
        </row>
        <row r="7958">
          <cell r="Z7958" t="str">
            <v>342914</v>
          </cell>
        </row>
        <row r="7959">
          <cell r="Z7959" t="str">
            <v>342919</v>
          </cell>
        </row>
        <row r="7960">
          <cell r="Z7960" t="str">
            <v>342920</v>
          </cell>
        </row>
        <row r="7961">
          <cell r="Z7961" t="str">
            <v>342921</v>
          </cell>
        </row>
        <row r="7962">
          <cell r="Z7962" t="str">
            <v>342922</v>
          </cell>
        </row>
        <row r="7963">
          <cell r="Z7963" t="str">
            <v>342923</v>
          </cell>
        </row>
        <row r="7964">
          <cell r="Z7964" t="str">
            <v>342924</v>
          </cell>
        </row>
        <row r="7965">
          <cell r="Z7965" t="str">
            <v>342929</v>
          </cell>
        </row>
        <row r="7966">
          <cell r="Z7966" t="str">
            <v>342930</v>
          </cell>
        </row>
        <row r="7967">
          <cell r="Z7967" t="str">
            <v>342931</v>
          </cell>
        </row>
        <row r="7968">
          <cell r="Z7968" t="str">
            <v>342932</v>
          </cell>
        </row>
        <row r="7969">
          <cell r="Z7969" t="str">
            <v>342933</v>
          </cell>
        </row>
        <row r="7970">
          <cell r="Z7970" t="str">
            <v>342934</v>
          </cell>
        </row>
        <row r="7971">
          <cell r="Z7971" t="str">
            <v>342939</v>
          </cell>
        </row>
        <row r="7972">
          <cell r="Z7972" t="str">
            <v>342940</v>
          </cell>
        </row>
        <row r="7973">
          <cell r="Z7973" t="str">
            <v>342941</v>
          </cell>
        </row>
        <row r="7974">
          <cell r="Z7974" t="str">
            <v>342942</v>
          </cell>
        </row>
        <row r="7975">
          <cell r="Z7975" t="str">
            <v>342943</v>
          </cell>
        </row>
        <row r="7976">
          <cell r="Z7976" t="str">
            <v>342944</v>
          </cell>
        </row>
        <row r="7977">
          <cell r="Z7977" t="str">
            <v>342949</v>
          </cell>
        </row>
        <row r="7978">
          <cell r="Z7978" t="str">
            <v>342950</v>
          </cell>
        </row>
        <row r="7979">
          <cell r="Z7979" t="str">
            <v>342951</v>
          </cell>
        </row>
        <row r="7980">
          <cell r="Z7980" t="str">
            <v>342952</v>
          </cell>
        </row>
        <row r="7981">
          <cell r="Z7981" t="str">
            <v>342953</v>
          </cell>
        </row>
        <row r="7982">
          <cell r="Z7982" t="str">
            <v>342954</v>
          </cell>
        </row>
        <row r="7983">
          <cell r="Z7983" t="str">
            <v>342959</v>
          </cell>
        </row>
        <row r="7984">
          <cell r="Z7984" t="str">
            <v>342960</v>
          </cell>
        </row>
        <row r="7985">
          <cell r="Z7985" t="str">
            <v>342961</v>
          </cell>
        </row>
        <row r="7986">
          <cell r="Z7986" t="str">
            <v>342962</v>
          </cell>
        </row>
        <row r="7987">
          <cell r="Z7987" t="str">
            <v>342963</v>
          </cell>
        </row>
        <row r="7988">
          <cell r="Z7988" t="str">
            <v>342964</v>
          </cell>
        </row>
        <row r="7989">
          <cell r="Z7989" t="str">
            <v>342969</v>
          </cell>
        </row>
        <row r="7990">
          <cell r="Z7990" t="str">
            <v>343000</v>
          </cell>
        </row>
        <row r="7991">
          <cell r="Z7991" t="str">
            <v>343100</v>
          </cell>
        </row>
        <row r="7992">
          <cell r="Z7992" t="str">
            <v>343110</v>
          </cell>
        </row>
        <row r="7993">
          <cell r="Z7993" t="str">
            <v>343111</v>
          </cell>
        </row>
        <row r="7994">
          <cell r="Z7994" t="str">
            <v>343112</v>
          </cell>
        </row>
        <row r="7995">
          <cell r="Z7995" t="str">
            <v>343113</v>
          </cell>
        </row>
        <row r="7996">
          <cell r="Z7996" t="str">
            <v>343114</v>
          </cell>
        </row>
        <row r="7997">
          <cell r="Z7997" t="str">
            <v>343119</v>
          </cell>
        </row>
        <row r="7998">
          <cell r="Z7998" t="str">
            <v>343120</v>
          </cell>
        </row>
        <row r="7999">
          <cell r="Z7999" t="str">
            <v>343121</v>
          </cell>
        </row>
        <row r="8000">
          <cell r="Z8000" t="str">
            <v>343122</v>
          </cell>
        </row>
        <row r="8001">
          <cell r="Z8001" t="str">
            <v>343123</v>
          </cell>
        </row>
        <row r="8002">
          <cell r="Z8002" t="str">
            <v>343124</v>
          </cell>
        </row>
        <row r="8003">
          <cell r="Z8003" t="str">
            <v>343129</v>
          </cell>
        </row>
        <row r="8004">
          <cell r="Z8004" t="str">
            <v>343130</v>
          </cell>
        </row>
        <row r="8005">
          <cell r="Z8005" t="str">
            <v>343131</v>
          </cell>
        </row>
        <row r="8006">
          <cell r="Z8006" t="str">
            <v>343132</v>
          </cell>
        </row>
        <row r="8007">
          <cell r="Z8007" t="str">
            <v>343133</v>
          </cell>
        </row>
        <row r="8008">
          <cell r="Z8008" t="str">
            <v>343134</v>
          </cell>
        </row>
        <row r="8009">
          <cell r="Z8009" t="str">
            <v>343139</v>
          </cell>
        </row>
        <row r="8010">
          <cell r="Z8010" t="str">
            <v>343200</v>
          </cell>
        </row>
        <row r="8011">
          <cell r="Z8011" t="str">
            <v>343210</v>
          </cell>
        </row>
        <row r="8012">
          <cell r="Z8012" t="str">
            <v>343211</v>
          </cell>
        </row>
        <row r="8013">
          <cell r="Z8013" t="str">
            <v>343212</v>
          </cell>
        </row>
        <row r="8014">
          <cell r="Z8014" t="str">
            <v>343213</v>
          </cell>
        </row>
        <row r="8015">
          <cell r="Z8015" t="str">
            <v>343214</v>
          </cell>
        </row>
        <row r="8016">
          <cell r="Z8016" t="str">
            <v>343219</v>
          </cell>
        </row>
        <row r="8017">
          <cell r="Z8017" t="str">
            <v>343220</v>
          </cell>
        </row>
        <row r="8018">
          <cell r="Z8018" t="str">
            <v>343221</v>
          </cell>
        </row>
        <row r="8019">
          <cell r="Z8019" t="str">
            <v>343222</v>
          </cell>
        </row>
        <row r="8020">
          <cell r="Z8020" t="str">
            <v>343223</v>
          </cell>
        </row>
        <row r="8021">
          <cell r="Z8021" t="str">
            <v>343224</v>
          </cell>
        </row>
        <row r="8022">
          <cell r="Z8022" t="str">
            <v>343229</v>
          </cell>
        </row>
        <row r="8023">
          <cell r="Z8023" t="str">
            <v>343230</v>
          </cell>
        </row>
        <row r="8024">
          <cell r="Z8024" t="str">
            <v>343231</v>
          </cell>
        </row>
        <row r="8025">
          <cell r="Z8025" t="str">
            <v>343232</v>
          </cell>
        </row>
        <row r="8026">
          <cell r="Z8026" t="str">
            <v>343233</v>
          </cell>
        </row>
        <row r="8027">
          <cell r="Z8027" t="str">
            <v>343234</v>
          </cell>
        </row>
        <row r="8028">
          <cell r="Z8028" t="str">
            <v>343239</v>
          </cell>
        </row>
        <row r="8029">
          <cell r="Z8029" t="str">
            <v>343240</v>
          </cell>
        </row>
        <row r="8030">
          <cell r="Z8030" t="str">
            <v>343241</v>
          </cell>
        </row>
        <row r="8031">
          <cell r="Z8031" t="str">
            <v>343242</v>
          </cell>
        </row>
        <row r="8032">
          <cell r="Z8032" t="str">
            <v>343243</v>
          </cell>
        </row>
        <row r="8033">
          <cell r="Z8033" t="str">
            <v>343244</v>
          </cell>
        </row>
        <row r="8034">
          <cell r="Z8034" t="str">
            <v>343249</v>
          </cell>
        </row>
        <row r="8035">
          <cell r="Z8035" t="str">
            <v>343250</v>
          </cell>
        </row>
        <row r="8036">
          <cell r="Z8036" t="str">
            <v>343251</v>
          </cell>
        </row>
        <row r="8037">
          <cell r="Z8037" t="str">
            <v>343252</v>
          </cell>
        </row>
        <row r="8038">
          <cell r="Z8038" t="str">
            <v>343253</v>
          </cell>
        </row>
        <row r="8039">
          <cell r="Z8039" t="str">
            <v>343254</v>
          </cell>
        </row>
        <row r="8040">
          <cell r="Z8040" t="str">
            <v>343259</v>
          </cell>
        </row>
        <row r="8041">
          <cell r="Z8041" t="str">
            <v>343260</v>
          </cell>
        </row>
        <row r="8042">
          <cell r="Z8042" t="str">
            <v>343261</v>
          </cell>
        </row>
        <row r="8043">
          <cell r="Z8043" t="str">
            <v>343262</v>
          </cell>
        </row>
        <row r="8044">
          <cell r="Z8044" t="str">
            <v>343263</v>
          </cell>
        </row>
        <row r="8045">
          <cell r="Z8045" t="str">
            <v>343264</v>
          </cell>
        </row>
        <row r="8046">
          <cell r="Z8046" t="str">
            <v>343269</v>
          </cell>
        </row>
        <row r="8047">
          <cell r="Z8047" t="str">
            <v>343300</v>
          </cell>
        </row>
        <row r="8048">
          <cell r="Z8048" t="str">
            <v>343310</v>
          </cell>
        </row>
        <row r="8049">
          <cell r="Z8049" t="str">
            <v>343311</v>
          </cell>
        </row>
        <row r="8050">
          <cell r="Z8050" t="str">
            <v>343312</v>
          </cell>
        </row>
        <row r="8051">
          <cell r="Z8051" t="str">
            <v>343313</v>
          </cell>
        </row>
        <row r="8052">
          <cell r="Z8052" t="str">
            <v>343314</v>
          </cell>
        </row>
        <row r="8053">
          <cell r="Z8053" t="str">
            <v>343319</v>
          </cell>
        </row>
        <row r="8054">
          <cell r="Z8054" t="str">
            <v>343320</v>
          </cell>
        </row>
        <row r="8055">
          <cell r="Z8055" t="str">
            <v>343321</v>
          </cell>
        </row>
        <row r="8056">
          <cell r="Z8056" t="str">
            <v>343322</v>
          </cell>
        </row>
        <row r="8057">
          <cell r="Z8057" t="str">
            <v>343323</v>
          </cell>
        </row>
        <row r="8058">
          <cell r="Z8058" t="str">
            <v>343324</v>
          </cell>
        </row>
        <row r="8059">
          <cell r="Z8059" t="str">
            <v>343329</v>
          </cell>
        </row>
        <row r="8060">
          <cell r="Z8060" t="str">
            <v>343400</v>
          </cell>
        </row>
        <row r="8061">
          <cell r="Z8061" t="str">
            <v>343410</v>
          </cell>
        </row>
        <row r="8062">
          <cell r="Z8062" t="str">
            <v>343411</v>
          </cell>
        </row>
        <row r="8063">
          <cell r="Z8063" t="str">
            <v>343412</v>
          </cell>
        </row>
        <row r="8064">
          <cell r="Z8064" t="str">
            <v>343413</v>
          </cell>
        </row>
        <row r="8065">
          <cell r="Z8065" t="str">
            <v>343414</v>
          </cell>
        </row>
        <row r="8066">
          <cell r="Z8066" t="str">
            <v>343419</v>
          </cell>
        </row>
        <row r="8067">
          <cell r="Z8067" t="str">
            <v>343420</v>
          </cell>
        </row>
        <row r="8068">
          <cell r="Z8068" t="str">
            <v>343421</v>
          </cell>
        </row>
        <row r="8069">
          <cell r="Z8069" t="str">
            <v>343422</v>
          </cell>
        </row>
        <row r="8070">
          <cell r="Z8070" t="str">
            <v>343423</v>
          </cell>
        </row>
        <row r="8071">
          <cell r="Z8071" t="str">
            <v>343424</v>
          </cell>
        </row>
        <row r="8072">
          <cell r="Z8072" t="str">
            <v>343429</v>
          </cell>
        </row>
        <row r="8073">
          <cell r="Z8073" t="str">
            <v>343500</v>
          </cell>
        </row>
        <row r="8074">
          <cell r="Z8074" t="str">
            <v>343510</v>
          </cell>
        </row>
        <row r="8075">
          <cell r="Z8075" t="str">
            <v>343511</v>
          </cell>
        </row>
        <row r="8076">
          <cell r="Z8076" t="str">
            <v>343512</v>
          </cell>
        </row>
        <row r="8077">
          <cell r="Z8077" t="str">
            <v>343513</v>
          </cell>
        </row>
        <row r="8078">
          <cell r="Z8078" t="str">
            <v>343514</v>
          </cell>
        </row>
        <row r="8079">
          <cell r="Z8079" t="str">
            <v>343519</v>
          </cell>
        </row>
        <row r="8080">
          <cell r="Z8080" t="str">
            <v>343520</v>
          </cell>
        </row>
        <row r="8081">
          <cell r="Z8081" t="str">
            <v>343521</v>
          </cell>
        </row>
        <row r="8082">
          <cell r="Z8082" t="str">
            <v>343522</v>
          </cell>
        </row>
        <row r="8083">
          <cell r="Z8083" t="str">
            <v>343523</v>
          </cell>
        </row>
        <row r="8084">
          <cell r="Z8084" t="str">
            <v>343524</v>
          </cell>
        </row>
        <row r="8085">
          <cell r="Z8085" t="str">
            <v>343529</v>
          </cell>
        </row>
        <row r="8086">
          <cell r="Z8086" t="str">
            <v>343600</v>
          </cell>
        </row>
        <row r="8087">
          <cell r="Z8087" t="str">
            <v>343610</v>
          </cell>
        </row>
        <row r="8088">
          <cell r="Z8088" t="str">
            <v>343611</v>
          </cell>
        </row>
        <row r="8089">
          <cell r="Z8089" t="str">
            <v>343612</v>
          </cell>
        </row>
        <row r="8090">
          <cell r="Z8090" t="str">
            <v>343613</v>
          </cell>
        </row>
        <row r="8091">
          <cell r="Z8091" t="str">
            <v>343614</v>
          </cell>
        </row>
        <row r="8092">
          <cell r="Z8092" t="str">
            <v>343619</v>
          </cell>
        </row>
        <row r="8093">
          <cell r="Z8093" t="str">
            <v>343620</v>
          </cell>
        </row>
        <row r="8094">
          <cell r="Z8094" t="str">
            <v>343621</v>
          </cell>
        </row>
        <row r="8095">
          <cell r="Z8095" t="str">
            <v>343622</v>
          </cell>
        </row>
        <row r="8096">
          <cell r="Z8096" t="str">
            <v>343623</v>
          </cell>
        </row>
        <row r="8097">
          <cell r="Z8097" t="str">
            <v>343624</v>
          </cell>
        </row>
        <row r="8098">
          <cell r="Z8098" t="str">
            <v>343629</v>
          </cell>
        </row>
        <row r="8099">
          <cell r="Z8099" t="str">
            <v>343700</v>
          </cell>
        </row>
        <row r="8100">
          <cell r="Z8100" t="str">
            <v>343710</v>
          </cell>
        </row>
        <row r="8101">
          <cell r="Z8101" t="str">
            <v>343711</v>
          </cell>
        </row>
        <row r="8102">
          <cell r="Z8102" t="str">
            <v>343712</v>
          </cell>
        </row>
        <row r="8103">
          <cell r="Z8103" t="str">
            <v>343713</v>
          </cell>
        </row>
        <row r="8104">
          <cell r="Z8104" t="str">
            <v>343714</v>
          </cell>
        </row>
        <row r="8105">
          <cell r="Z8105" t="str">
            <v>343719</v>
          </cell>
        </row>
        <row r="8106">
          <cell r="Z8106" t="str">
            <v>343720</v>
          </cell>
        </row>
        <row r="8107">
          <cell r="Z8107" t="str">
            <v>343721</v>
          </cell>
        </row>
        <row r="8108">
          <cell r="Z8108" t="str">
            <v>343722</v>
          </cell>
        </row>
        <row r="8109">
          <cell r="Z8109" t="str">
            <v>343723</v>
          </cell>
        </row>
        <row r="8110">
          <cell r="Z8110" t="str">
            <v>343724</v>
          </cell>
        </row>
        <row r="8111">
          <cell r="Z8111" t="str">
            <v>343729</v>
          </cell>
        </row>
        <row r="8112">
          <cell r="Z8112" t="str">
            <v>343800</v>
          </cell>
        </row>
        <row r="8113">
          <cell r="Z8113" t="str">
            <v>343810</v>
          </cell>
        </row>
        <row r="8114">
          <cell r="Z8114" t="str">
            <v>343811</v>
          </cell>
        </row>
        <row r="8115">
          <cell r="Z8115" t="str">
            <v>343812</v>
          </cell>
        </row>
        <row r="8116">
          <cell r="Z8116" t="str">
            <v>343813</v>
          </cell>
        </row>
        <row r="8117">
          <cell r="Z8117" t="str">
            <v>343814</v>
          </cell>
        </row>
        <row r="8118">
          <cell r="Z8118" t="str">
            <v>343819</v>
          </cell>
        </row>
        <row r="8119">
          <cell r="Z8119" t="str">
            <v>343820</v>
          </cell>
        </row>
        <row r="8120">
          <cell r="Z8120" t="str">
            <v>343821</v>
          </cell>
        </row>
        <row r="8121">
          <cell r="Z8121" t="str">
            <v>343822</v>
          </cell>
        </row>
        <row r="8122">
          <cell r="Z8122" t="str">
            <v>343823</v>
          </cell>
        </row>
        <row r="8123">
          <cell r="Z8123" t="str">
            <v>343824</v>
          </cell>
        </row>
        <row r="8124">
          <cell r="Z8124" t="str">
            <v>343829</v>
          </cell>
        </row>
        <row r="8125">
          <cell r="Z8125" t="str">
            <v>343900</v>
          </cell>
        </row>
        <row r="8126">
          <cell r="Z8126" t="str">
            <v>343910</v>
          </cell>
        </row>
        <row r="8127">
          <cell r="Z8127" t="str">
            <v>343911</v>
          </cell>
        </row>
        <row r="8128">
          <cell r="Z8128" t="str">
            <v>343912</v>
          </cell>
        </row>
        <row r="8129">
          <cell r="Z8129" t="str">
            <v>343913</v>
          </cell>
        </row>
        <row r="8130">
          <cell r="Z8130" t="str">
            <v>343914</v>
          </cell>
        </row>
        <row r="8131">
          <cell r="Z8131" t="str">
            <v>343919</v>
          </cell>
        </row>
        <row r="8132">
          <cell r="Z8132" t="str">
            <v>343920</v>
          </cell>
        </row>
        <row r="8133">
          <cell r="Z8133" t="str">
            <v>343921</v>
          </cell>
        </row>
        <row r="8134">
          <cell r="Z8134" t="str">
            <v>343922</v>
          </cell>
        </row>
        <row r="8135">
          <cell r="Z8135" t="str">
            <v>343923</v>
          </cell>
        </row>
        <row r="8136">
          <cell r="Z8136" t="str">
            <v>343924</v>
          </cell>
        </row>
        <row r="8137">
          <cell r="Z8137" t="str">
            <v>343929</v>
          </cell>
        </row>
        <row r="8138">
          <cell r="Z8138" t="str">
            <v>343930</v>
          </cell>
        </row>
        <row r="8139">
          <cell r="Z8139" t="str">
            <v>343931</v>
          </cell>
        </row>
        <row r="8140">
          <cell r="Z8140" t="str">
            <v>343932</v>
          </cell>
        </row>
        <row r="8141">
          <cell r="Z8141" t="str">
            <v>343933</v>
          </cell>
        </row>
        <row r="8142">
          <cell r="Z8142" t="str">
            <v>343934</v>
          </cell>
        </row>
        <row r="8143">
          <cell r="Z8143" t="str">
            <v>343939</v>
          </cell>
        </row>
        <row r="8144">
          <cell r="Z8144" t="str">
            <v>343940</v>
          </cell>
        </row>
        <row r="8145">
          <cell r="Z8145" t="str">
            <v>343941</v>
          </cell>
        </row>
        <row r="8146">
          <cell r="Z8146" t="str">
            <v>343942</v>
          </cell>
        </row>
        <row r="8147">
          <cell r="Z8147" t="str">
            <v>343943</v>
          </cell>
        </row>
        <row r="8148">
          <cell r="Z8148" t="str">
            <v>343944</v>
          </cell>
        </row>
        <row r="8149">
          <cell r="Z8149" t="str">
            <v>343949</v>
          </cell>
        </row>
        <row r="8150">
          <cell r="Z8150" t="str">
            <v>343950</v>
          </cell>
        </row>
        <row r="8151">
          <cell r="Z8151" t="str">
            <v>343951</v>
          </cell>
        </row>
        <row r="8152">
          <cell r="Z8152" t="str">
            <v>343952</v>
          </cell>
        </row>
        <row r="8153">
          <cell r="Z8153" t="str">
            <v>343953</v>
          </cell>
        </row>
        <row r="8154">
          <cell r="Z8154" t="str">
            <v>343954</v>
          </cell>
        </row>
        <row r="8155">
          <cell r="Z8155" t="str">
            <v>343959</v>
          </cell>
        </row>
        <row r="8156">
          <cell r="Z8156" t="str">
            <v>343960</v>
          </cell>
        </row>
        <row r="8157">
          <cell r="Z8157" t="str">
            <v>343961</v>
          </cell>
        </row>
        <row r="8158">
          <cell r="Z8158" t="str">
            <v>343962</v>
          </cell>
        </row>
        <row r="8159">
          <cell r="Z8159" t="str">
            <v>343963</v>
          </cell>
        </row>
        <row r="8160">
          <cell r="Z8160" t="str">
            <v>343964</v>
          </cell>
        </row>
        <row r="8161">
          <cell r="Z8161" t="str">
            <v>343969</v>
          </cell>
        </row>
        <row r="8162">
          <cell r="Z8162" t="str">
            <v>343970</v>
          </cell>
        </row>
        <row r="8163">
          <cell r="Z8163" t="str">
            <v>343971</v>
          </cell>
        </row>
        <row r="8164">
          <cell r="Z8164" t="str">
            <v>343972</v>
          </cell>
        </row>
        <row r="8165">
          <cell r="Z8165" t="str">
            <v>343973</v>
          </cell>
        </row>
        <row r="8166">
          <cell r="Z8166" t="str">
            <v>343974</v>
          </cell>
        </row>
        <row r="8167">
          <cell r="Z8167" t="str">
            <v>343979</v>
          </cell>
        </row>
        <row r="8168">
          <cell r="Z8168" t="str">
            <v>344000</v>
          </cell>
        </row>
        <row r="8169">
          <cell r="Z8169" t="str">
            <v>344100</v>
          </cell>
        </row>
        <row r="8170">
          <cell r="Z8170" t="str">
            <v>344110</v>
          </cell>
        </row>
        <row r="8171">
          <cell r="Z8171" t="str">
            <v>344111</v>
          </cell>
        </row>
        <row r="8172">
          <cell r="Z8172" t="str">
            <v>344112</v>
          </cell>
        </row>
        <row r="8173">
          <cell r="Z8173" t="str">
            <v>344113</v>
          </cell>
        </row>
        <row r="8174">
          <cell r="Z8174" t="str">
            <v>344114</v>
          </cell>
        </row>
        <row r="8175">
          <cell r="Z8175" t="str">
            <v>344119</v>
          </cell>
        </row>
        <row r="8176">
          <cell r="Z8176" t="str">
            <v>344120</v>
          </cell>
        </row>
        <row r="8177">
          <cell r="Z8177" t="str">
            <v>344121</v>
          </cell>
        </row>
        <row r="8178">
          <cell r="Z8178" t="str">
            <v>344122</v>
          </cell>
        </row>
        <row r="8179">
          <cell r="Z8179" t="str">
            <v>344123</v>
          </cell>
        </row>
        <row r="8180">
          <cell r="Z8180" t="str">
            <v>344124</v>
          </cell>
        </row>
        <row r="8181">
          <cell r="Z8181" t="str">
            <v>344129</v>
          </cell>
        </row>
        <row r="8182">
          <cell r="Z8182" t="str">
            <v>344200</v>
          </cell>
        </row>
        <row r="8183">
          <cell r="Z8183" t="str">
            <v>344210</v>
          </cell>
        </row>
        <row r="8184">
          <cell r="Z8184" t="str">
            <v>344211</v>
          </cell>
        </row>
        <row r="8185">
          <cell r="Z8185" t="str">
            <v>344212</v>
          </cell>
        </row>
        <row r="8186">
          <cell r="Z8186" t="str">
            <v>344213</v>
          </cell>
        </row>
        <row r="8187">
          <cell r="Z8187" t="str">
            <v>344214</v>
          </cell>
        </row>
        <row r="8188">
          <cell r="Z8188" t="str">
            <v>344219</v>
          </cell>
        </row>
        <row r="8189">
          <cell r="Z8189" t="str">
            <v>344220</v>
          </cell>
        </row>
        <row r="8190">
          <cell r="Z8190" t="str">
            <v>344221</v>
          </cell>
        </row>
        <row r="8191">
          <cell r="Z8191" t="str">
            <v>344222</v>
          </cell>
        </row>
        <row r="8192">
          <cell r="Z8192" t="str">
            <v>344223</v>
          </cell>
        </row>
        <row r="8193">
          <cell r="Z8193" t="str">
            <v>344224</v>
          </cell>
        </row>
        <row r="8194">
          <cell r="Z8194" t="str">
            <v>344229</v>
          </cell>
        </row>
        <row r="8195">
          <cell r="Z8195" t="str">
            <v>344300</v>
          </cell>
        </row>
        <row r="8196">
          <cell r="Z8196" t="str">
            <v>344310</v>
          </cell>
        </row>
        <row r="8197">
          <cell r="Z8197" t="str">
            <v>344311</v>
          </cell>
        </row>
        <row r="8198">
          <cell r="Z8198" t="str">
            <v>344312</v>
          </cell>
        </row>
        <row r="8199">
          <cell r="Z8199" t="str">
            <v>344313</v>
          </cell>
        </row>
        <row r="8200">
          <cell r="Z8200" t="str">
            <v>344314</v>
          </cell>
        </row>
        <row r="8201">
          <cell r="Z8201" t="str">
            <v>344319</v>
          </cell>
        </row>
        <row r="8202">
          <cell r="Z8202" t="str">
            <v>344320</v>
          </cell>
        </row>
        <row r="8203">
          <cell r="Z8203" t="str">
            <v>344321</v>
          </cell>
        </row>
        <row r="8204">
          <cell r="Z8204" t="str">
            <v>344322</v>
          </cell>
        </row>
        <row r="8205">
          <cell r="Z8205" t="str">
            <v>344323</v>
          </cell>
        </row>
        <row r="8206">
          <cell r="Z8206" t="str">
            <v>344324</v>
          </cell>
        </row>
        <row r="8207">
          <cell r="Z8207" t="str">
            <v>344329</v>
          </cell>
        </row>
        <row r="8208">
          <cell r="Z8208" t="str">
            <v>344330</v>
          </cell>
        </row>
        <row r="8209">
          <cell r="Z8209" t="str">
            <v>344331</v>
          </cell>
        </row>
        <row r="8210">
          <cell r="Z8210" t="str">
            <v>344332</v>
          </cell>
        </row>
        <row r="8211">
          <cell r="Z8211" t="str">
            <v>344333</v>
          </cell>
        </row>
        <row r="8212">
          <cell r="Z8212" t="str">
            <v>344334</v>
          </cell>
        </row>
        <row r="8213">
          <cell r="Z8213" t="str">
            <v>344339</v>
          </cell>
        </row>
        <row r="8214">
          <cell r="Z8214" t="str">
            <v>344340</v>
          </cell>
        </row>
        <row r="8215">
          <cell r="Z8215" t="str">
            <v>344341</v>
          </cell>
        </row>
        <row r="8216">
          <cell r="Z8216" t="str">
            <v>344342</v>
          </cell>
        </row>
        <row r="8217">
          <cell r="Z8217" t="str">
            <v>344343</v>
          </cell>
        </row>
        <row r="8218">
          <cell r="Z8218" t="str">
            <v>344344</v>
          </cell>
        </row>
        <row r="8219">
          <cell r="Z8219" t="str">
            <v>344349</v>
          </cell>
        </row>
        <row r="8220">
          <cell r="Z8220" t="str">
            <v>344400</v>
          </cell>
        </row>
        <row r="8221">
          <cell r="Z8221" t="str">
            <v>344410</v>
          </cell>
        </row>
        <row r="8222">
          <cell r="Z8222" t="str">
            <v>344411</v>
          </cell>
        </row>
        <row r="8223">
          <cell r="Z8223" t="str">
            <v>344412</v>
          </cell>
        </row>
        <row r="8224">
          <cell r="Z8224" t="str">
            <v>344413</v>
          </cell>
        </row>
        <row r="8225">
          <cell r="Z8225" t="str">
            <v>344414</v>
          </cell>
        </row>
        <row r="8226">
          <cell r="Z8226" t="str">
            <v>344419</v>
          </cell>
        </row>
        <row r="8227">
          <cell r="Z8227" t="str">
            <v>344420</v>
          </cell>
        </row>
        <row r="8228">
          <cell r="Z8228" t="str">
            <v>344421</v>
          </cell>
        </row>
        <row r="8229">
          <cell r="Z8229" t="str">
            <v>344422</v>
          </cell>
        </row>
        <row r="8230">
          <cell r="Z8230" t="str">
            <v>344423</v>
          </cell>
        </row>
        <row r="8231">
          <cell r="Z8231" t="str">
            <v>344424</v>
          </cell>
        </row>
        <row r="8232">
          <cell r="Z8232" t="str">
            <v>344429</v>
          </cell>
        </row>
        <row r="8233">
          <cell r="Z8233" t="str">
            <v>344500</v>
          </cell>
        </row>
        <row r="8234">
          <cell r="Z8234" t="str">
            <v>344510</v>
          </cell>
        </row>
        <row r="8235">
          <cell r="Z8235" t="str">
            <v>344511</v>
          </cell>
        </row>
        <row r="8236">
          <cell r="Z8236" t="str">
            <v>344512</v>
          </cell>
        </row>
        <row r="8237">
          <cell r="Z8237" t="str">
            <v>344513</v>
          </cell>
        </row>
        <row r="8238">
          <cell r="Z8238" t="str">
            <v>344514</v>
          </cell>
        </row>
        <row r="8239">
          <cell r="Z8239" t="str">
            <v>344519</v>
          </cell>
        </row>
        <row r="8240">
          <cell r="Z8240" t="str">
            <v>344520</v>
          </cell>
        </row>
        <row r="8241">
          <cell r="Z8241" t="str">
            <v>344521</v>
          </cell>
        </row>
        <row r="8242">
          <cell r="Z8242" t="str">
            <v>344522</v>
          </cell>
        </row>
        <row r="8243">
          <cell r="Z8243" t="str">
            <v>344523</v>
          </cell>
        </row>
        <row r="8244">
          <cell r="Z8244" t="str">
            <v>344524</v>
          </cell>
        </row>
        <row r="8245">
          <cell r="Z8245" t="str">
            <v>344529</v>
          </cell>
        </row>
        <row r="8246">
          <cell r="Z8246" t="str">
            <v>344600</v>
          </cell>
        </row>
        <row r="8247">
          <cell r="Z8247" t="str">
            <v>344610</v>
          </cell>
        </row>
        <row r="8248">
          <cell r="Z8248" t="str">
            <v>344611</v>
          </cell>
        </row>
        <row r="8249">
          <cell r="Z8249" t="str">
            <v>344612</v>
          </cell>
        </row>
        <row r="8250">
          <cell r="Z8250" t="str">
            <v>344613</v>
          </cell>
        </row>
        <row r="8251">
          <cell r="Z8251" t="str">
            <v>344614</v>
          </cell>
        </row>
        <row r="8252">
          <cell r="Z8252" t="str">
            <v>344619</v>
          </cell>
        </row>
        <row r="8253">
          <cell r="Z8253" t="str">
            <v>344620</v>
          </cell>
        </row>
        <row r="8254">
          <cell r="Z8254" t="str">
            <v>344621</v>
          </cell>
        </row>
        <row r="8255">
          <cell r="Z8255" t="str">
            <v>344622</v>
          </cell>
        </row>
        <row r="8256">
          <cell r="Z8256" t="str">
            <v>344623</v>
          </cell>
        </row>
        <row r="8257">
          <cell r="Z8257" t="str">
            <v>344624</v>
          </cell>
        </row>
        <row r="8258">
          <cell r="Z8258" t="str">
            <v>344629</v>
          </cell>
        </row>
        <row r="8259">
          <cell r="Z8259" t="str">
            <v>344700</v>
          </cell>
        </row>
        <row r="8260">
          <cell r="Z8260" t="str">
            <v>344710</v>
          </cell>
        </row>
        <row r="8261">
          <cell r="Z8261" t="str">
            <v>344711</v>
          </cell>
        </row>
        <row r="8262">
          <cell r="Z8262" t="str">
            <v>344712</v>
          </cell>
        </row>
        <row r="8263">
          <cell r="Z8263" t="str">
            <v>344713</v>
          </cell>
        </row>
        <row r="8264">
          <cell r="Z8264" t="str">
            <v>344714</v>
          </cell>
        </row>
        <row r="8265">
          <cell r="Z8265" t="str">
            <v>344719</v>
          </cell>
        </row>
        <row r="8266">
          <cell r="Z8266" t="str">
            <v>344720</v>
          </cell>
        </row>
        <row r="8267">
          <cell r="Z8267" t="str">
            <v>344721</v>
          </cell>
        </row>
        <row r="8268">
          <cell r="Z8268" t="str">
            <v>344722</v>
          </cell>
        </row>
        <row r="8269">
          <cell r="Z8269" t="str">
            <v>344723</v>
          </cell>
        </row>
        <row r="8270">
          <cell r="Z8270" t="str">
            <v>344724</v>
          </cell>
        </row>
        <row r="8271">
          <cell r="Z8271" t="str">
            <v>344729</v>
          </cell>
        </row>
        <row r="8272">
          <cell r="Z8272" t="str">
            <v>344800</v>
          </cell>
        </row>
        <row r="8273">
          <cell r="Z8273" t="str">
            <v>344810</v>
          </cell>
        </row>
        <row r="8274">
          <cell r="Z8274" t="str">
            <v>344811</v>
          </cell>
        </row>
        <row r="8275">
          <cell r="Z8275" t="str">
            <v>344812</v>
          </cell>
        </row>
        <row r="8276">
          <cell r="Z8276" t="str">
            <v>344813</v>
          </cell>
        </row>
        <row r="8277">
          <cell r="Z8277" t="str">
            <v>344814</v>
          </cell>
        </row>
        <row r="8278">
          <cell r="Z8278" t="str">
            <v>344819</v>
          </cell>
        </row>
        <row r="8279">
          <cell r="Z8279" t="str">
            <v>344820</v>
          </cell>
        </row>
        <row r="8280">
          <cell r="Z8280" t="str">
            <v>344821</v>
          </cell>
        </row>
        <row r="8281">
          <cell r="Z8281" t="str">
            <v>344822</v>
          </cell>
        </row>
        <row r="8282">
          <cell r="Z8282" t="str">
            <v>344823</v>
          </cell>
        </row>
        <row r="8283">
          <cell r="Z8283" t="str">
            <v>344824</v>
          </cell>
        </row>
        <row r="8284">
          <cell r="Z8284" t="str">
            <v>344829</v>
          </cell>
        </row>
        <row r="8285">
          <cell r="Z8285" t="str">
            <v>344830</v>
          </cell>
        </row>
        <row r="8286">
          <cell r="Z8286" t="str">
            <v>344831</v>
          </cell>
        </row>
        <row r="8287">
          <cell r="Z8287" t="str">
            <v>344832</v>
          </cell>
        </row>
        <row r="8288">
          <cell r="Z8288" t="str">
            <v>344833</v>
          </cell>
        </row>
        <row r="8289">
          <cell r="Z8289" t="str">
            <v>344834</v>
          </cell>
        </row>
        <row r="8290">
          <cell r="Z8290" t="str">
            <v>344839</v>
          </cell>
        </row>
        <row r="8291">
          <cell r="Z8291" t="str">
            <v>344840</v>
          </cell>
        </row>
        <row r="8292">
          <cell r="Z8292" t="str">
            <v>344841</v>
          </cell>
        </row>
        <row r="8293">
          <cell r="Z8293" t="str">
            <v>344842</v>
          </cell>
        </row>
        <row r="8294">
          <cell r="Z8294" t="str">
            <v>344843</v>
          </cell>
        </row>
        <row r="8295">
          <cell r="Z8295" t="str">
            <v>344844</v>
          </cell>
        </row>
        <row r="8296">
          <cell r="Z8296" t="str">
            <v>344849</v>
          </cell>
        </row>
        <row r="8297">
          <cell r="Z8297" t="str">
            <v>345000</v>
          </cell>
        </row>
        <row r="8298">
          <cell r="Z8298" t="str">
            <v>345100</v>
          </cell>
        </row>
        <row r="8299">
          <cell r="Z8299" t="str">
            <v>345110</v>
          </cell>
        </row>
        <row r="8300">
          <cell r="Z8300" t="str">
            <v>345111</v>
          </cell>
        </row>
        <row r="8301">
          <cell r="Z8301" t="str">
            <v>345112</v>
          </cell>
        </row>
        <row r="8302">
          <cell r="Z8302" t="str">
            <v>345113</v>
          </cell>
        </row>
        <row r="8303">
          <cell r="Z8303" t="str">
            <v>345114</v>
          </cell>
        </row>
        <row r="8304">
          <cell r="Z8304" t="str">
            <v>345119</v>
          </cell>
        </row>
        <row r="8305">
          <cell r="Z8305" t="str">
            <v>345120</v>
          </cell>
        </row>
        <row r="8306">
          <cell r="Z8306" t="str">
            <v>345121</v>
          </cell>
        </row>
        <row r="8307">
          <cell r="Z8307" t="str">
            <v>345122</v>
          </cell>
        </row>
        <row r="8308">
          <cell r="Z8308" t="str">
            <v>345123</v>
          </cell>
        </row>
        <row r="8309">
          <cell r="Z8309" t="str">
            <v>345124</v>
          </cell>
        </row>
        <row r="8310">
          <cell r="Z8310" t="str">
            <v>345129</v>
          </cell>
        </row>
        <row r="8311">
          <cell r="Z8311" t="str">
            <v>345200</v>
          </cell>
        </row>
        <row r="8312">
          <cell r="Z8312" t="str">
            <v>345210</v>
          </cell>
        </row>
        <row r="8313">
          <cell r="Z8313" t="str">
            <v>345211</v>
          </cell>
        </row>
        <row r="8314">
          <cell r="Z8314" t="str">
            <v>345212</v>
          </cell>
        </row>
        <row r="8315">
          <cell r="Z8315" t="str">
            <v>345213</v>
          </cell>
        </row>
        <row r="8316">
          <cell r="Z8316" t="str">
            <v>345214</v>
          </cell>
        </row>
        <row r="8317">
          <cell r="Z8317" t="str">
            <v>345219</v>
          </cell>
        </row>
        <row r="8318">
          <cell r="Z8318" t="str">
            <v>345220</v>
          </cell>
        </row>
        <row r="8319">
          <cell r="Z8319" t="str">
            <v>345221</v>
          </cell>
        </row>
        <row r="8320">
          <cell r="Z8320" t="str">
            <v>345222</v>
          </cell>
        </row>
        <row r="8321">
          <cell r="Z8321" t="str">
            <v>345223</v>
          </cell>
        </row>
        <row r="8322">
          <cell r="Z8322" t="str">
            <v>345224</v>
          </cell>
        </row>
        <row r="8323">
          <cell r="Z8323" t="str">
            <v>345229</v>
          </cell>
        </row>
        <row r="8324">
          <cell r="Z8324" t="str">
            <v>345300</v>
          </cell>
        </row>
        <row r="8325">
          <cell r="Z8325" t="str">
            <v>345310</v>
          </cell>
        </row>
        <row r="8326">
          <cell r="Z8326" t="str">
            <v>345311</v>
          </cell>
        </row>
        <row r="8327">
          <cell r="Z8327" t="str">
            <v>345312</v>
          </cell>
        </row>
        <row r="8328">
          <cell r="Z8328" t="str">
            <v>345313</v>
          </cell>
        </row>
        <row r="8329">
          <cell r="Z8329" t="str">
            <v>345314</v>
          </cell>
        </row>
        <row r="8330">
          <cell r="Z8330" t="str">
            <v>345319</v>
          </cell>
        </row>
        <row r="8331">
          <cell r="Z8331" t="str">
            <v>345320</v>
          </cell>
        </row>
        <row r="8332">
          <cell r="Z8332" t="str">
            <v>345321</v>
          </cell>
        </row>
        <row r="8333">
          <cell r="Z8333" t="str">
            <v>345322</v>
          </cell>
        </row>
        <row r="8334">
          <cell r="Z8334" t="str">
            <v>345323</v>
          </cell>
        </row>
        <row r="8335">
          <cell r="Z8335" t="str">
            <v>345324</v>
          </cell>
        </row>
        <row r="8336">
          <cell r="Z8336" t="str">
            <v>345329</v>
          </cell>
        </row>
        <row r="8337">
          <cell r="Z8337" t="str">
            <v>345330</v>
          </cell>
        </row>
        <row r="8338">
          <cell r="Z8338" t="str">
            <v>345331</v>
          </cell>
        </row>
        <row r="8339">
          <cell r="Z8339" t="str">
            <v>345332</v>
          </cell>
        </row>
        <row r="8340">
          <cell r="Z8340" t="str">
            <v>345333</v>
          </cell>
        </row>
        <row r="8341">
          <cell r="Z8341" t="str">
            <v>345334</v>
          </cell>
        </row>
        <row r="8342">
          <cell r="Z8342" t="str">
            <v>345339</v>
          </cell>
        </row>
        <row r="8343">
          <cell r="Z8343" t="str">
            <v>345340</v>
          </cell>
        </row>
        <row r="8344">
          <cell r="Z8344" t="str">
            <v>345341</v>
          </cell>
        </row>
        <row r="8345">
          <cell r="Z8345" t="str">
            <v>345342</v>
          </cell>
        </row>
        <row r="8346">
          <cell r="Z8346" t="str">
            <v>345343</v>
          </cell>
        </row>
        <row r="8347">
          <cell r="Z8347" t="str">
            <v>345344</v>
          </cell>
        </row>
        <row r="8348">
          <cell r="Z8348" t="str">
            <v>345349</v>
          </cell>
        </row>
        <row r="8349">
          <cell r="Z8349" t="str">
            <v>345400</v>
          </cell>
        </row>
        <row r="8350">
          <cell r="Z8350" t="str">
            <v>345410</v>
          </cell>
        </row>
        <row r="8351">
          <cell r="Z8351" t="str">
            <v>345411</v>
          </cell>
        </row>
        <row r="8352">
          <cell r="Z8352" t="str">
            <v>345412</v>
          </cell>
        </row>
        <row r="8353">
          <cell r="Z8353" t="str">
            <v>345413</v>
          </cell>
        </row>
        <row r="8354">
          <cell r="Z8354" t="str">
            <v>345414</v>
          </cell>
        </row>
        <row r="8355">
          <cell r="Z8355" t="str">
            <v>345419</v>
          </cell>
        </row>
        <row r="8356">
          <cell r="Z8356" t="str">
            <v>345420</v>
          </cell>
        </row>
        <row r="8357">
          <cell r="Z8357" t="str">
            <v>345421</v>
          </cell>
        </row>
        <row r="8358">
          <cell r="Z8358" t="str">
            <v>345422</v>
          </cell>
        </row>
        <row r="8359">
          <cell r="Z8359" t="str">
            <v>345423</v>
          </cell>
        </row>
        <row r="8360">
          <cell r="Z8360" t="str">
            <v>345424</v>
          </cell>
        </row>
        <row r="8361">
          <cell r="Z8361" t="str">
            <v>345429</v>
          </cell>
        </row>
        <row r="8362">
          <cell r="Z8362" t="str">
            <v>345500</v>
          </cell>
        </row>
        <row r="8363">
          <cell r="Z8363" t="str">
            <v>345510</v>
          </cell>
        </row>
        <row r="8364">
          <cell r="Z8364" t="str">
            <v>345511</v>
          </cell>
        </row>
        <row r="8365">
          <cell r="Z8365" t="str">
            <v>345512</v>
          </cell>
        </row>
        <row r="8366">
          <cell r="Z8366" t="str">
            <v>345513</v>
          </cell>
        </row>
        <row r="8367">
          <cell r="Z8367" t="str">
            <v>345514</v>
          </cell>
        </row>
        <row r="8368">
          <cell r="Z8368" t="str">
            <v>345519</v>
          </cell>
        </row>
        <row r="8369">
          <cell r="Z8369" t="str">
            <v>345520</v>
          </cell>
        </row>
        <row r="8370">
          <cell r="Z8370" t="str">
            <v>345521</v>
          </cell>
        </row>
        <row r="8371">
          <cell r="Z8371" t="str">
            <v>345522</v>
          </cell>
        </row>
        <row r="8372">
          <cell r="Z8372" t="str">
            <v>345523</v>
          </cell>
        </row>
        <row r="8373">
          <cell r="Z8373" t="str">
            <v>345524</v>
          </cell>
        </row>
        <row r="8374">
          <cell r="Z8374" t="str">
            <v>345529</v>
          </cell>
        </row>
        <row r="8375">
          <cell r="Z8375" t="str">
            <v>345600</v>
          </cell>
        </row>
        <row r="8376">
          <cell r="Z8376" t="str">
            <v>345610</v>
          </cell>
        </row>
        <row r="8377">
          <cell r="Z8377" t="str">
            <v>345611</v>
          </cell>
        </row>
        <row r="8378">
          <cell r="Z8378" t="str">
            <v>345612</v>
          </cell>
        </row>
        <row r="8379">
          <cell r="Z8379" t="str">
            <v>345613</v>
          </cell>
        </row>
        <row r="8380">
          <cell r="Z8380" t="str">
            <v>345614</v>
          </cell>
        </row>
        <row r="8381">
          <cell r="Z8381" t="str">
            <v>345619</v>
          </cell>
        </row>
        <row r="8382">
          <cell r="Z8382" t="str">
            <v>345620</v>
          </cell>
        </row>
        <row r="8383">
          <cell r="Z8383" t="str">
            <v>345621</v>
          </cell>
        </row>
        <row r="8384">
          <cell r="Z8384" t="str">
            <v>345622</v>
          </cell>
        </row>
        <row r="8385">
          <cell r="Z8385" t="str">
            <v>345623</v>
          </cell>
        </row>
        <row r="8386">
          <cell r="Z8386" t="str">
            <v>345624</v>
          </cell>
        </row>
        <row r="8387">
          <cell r="Z8387" t="str">
            <v>345629</v>
          </cell>
        </row>
        <row r="8388">
          <cell r="Z8388" t="str">
            <v>345700</v>
          </cell>
        </row>
        <row r="8389">
          <cell r="Z8389" t="str">
            <v>345710</v>
          </cell>
        </row>
        <row r="8390">
          <cell r="Z8390" t="str">
            <v>345711</v>
          </cell>
        </row>
        <row r="8391">
          <cell r="Z8391" t="str">
            <v>345712</v>
          </cell>
        </row>
        <row r="8392">
          <cell r="Z8392" t="str">
            <v>345713</v>
          </cell>
        </row>
        <row r="8393">
          <cell r="Z8393" t="str">
            <v>345714</v>
          </cell>
        </row>
        <row r="8394">
          <cell r="Z8394" t="str">
            <v>345719</v>
          </cell>
        </row>
        <row r="8395">
          <cell r="Z8395" t="str">
            <v>345720</v>
          </cell>
        </row>
        <row r="8396">
          <cell r="Z8396" t="str">
            <v>345721</v>
          </cell>
        </row>
        <row r="8397">
          <cell r="Z8397" t="str">
            <v>345722</v>
          </cell>
        </row>
        <row r="8398">
          <cell r="Z8398" t="str">
            <v>345723</v>
          </cell>
        </row>
        <row r="8399">
          <cell r="Z8399" t="str">
            <v>345724</v>
          </cell>
        </row>
        <row r="8400">
          <cell r="Z8400" t="str">
            <v>345729</v>
          </cell>
        </row>
        <row r="8401">
          <cell r="Z8401" t="str">
            <v>345800</v>
          </cell>
        </row>
        <row r="8402">
          <cell r="Z8402" t="str">
            <v>345810</v>
          </cell>
        </row>
        <row r="8403">
          <cell r="Z8403" t="str">
            <v>345811</v>
          </cell>
        </row>
        <row r="8404">
          <cell r="Z8404" t="str">
            <v>345812</v>
          </cell>
        </row>
        <row r="8405">
          <cell r="Z8405" t="str">
            <v>345813</v>
          </cell>
        </row>
        <row r="8406">
          <cell r="Z8406" t="str">
            <v>345814</v>
          </cell>
        </row>
        <row r="8407">
          <cell r="Z8407" t="str">
            <v>345819</v>
          </cell>
        </row>
        <row r="8408">
          <cell r="Z8408" t="str">
            <v>345820</v>
          </cell>
        </row>
        <row r="8409">
          <cell r="Z8409" t="str">
            <v>345821</v>
          </cell>
        </row>
        <row r="8410">
          <cell r="Z8410" t="str">
            <v>345822</v>
          </cell>
        </row>
        <row r="8411">
          <cell r="Z8411" t="str">
            <v>345823</v>
          </cell>
        </row>
        <row r="8412">
          <cell r="Z8412" t="str">
            <v>345824</v>
          </cell>
        </row>
        <row r="8413">
          <cell r="Z8413" t="str">
            <v>345829</v>
          </cell>
        </row>
        <row r="8414">
          <cell r="Z8414" t="str">
            <v>345830</v>
          </cell>
        </row>
        <row r="8415">
          <cell r="Z8415" t="str">
            <v>345831</v>
          </cell>
        </row>
        <row r="8416">
          <cell r="Z8416" t="str">
            <v>345832</v>
          </cell>
        </row>
        <row r="8417">
          <cell r="Z8417" t="str">
            <v>345833</v>
          </cell>
        </row>
        <row r="8418">
          <cell r="Z8418" t="str">
            <v>345834</v>
          </cell>
        </row>
        <row r="8419">
          <cell r="Z8419" t="str">
            <v>345839</v>
          </cell>
        </row>
        <row r="8420">
          <cell r="Z8420" t="str">
            <v>345840</v>
          </cell>
        </row>
        <row r="8421">
          <cell r="Z8421" t="str">
            <v>345841</v>
          </cell>
        </row>
        <row r="8422">
          <cell r="Z8422" t="str">
            <v>345842</v>
          </cell>
        </row>
        <row r="8423">
          <cell r="Z8423" t="str">
            <v>345843</v>
          </cell>
        </row>
        <row r="8424">
          <cell r="Z8424" t="str">
            <v>345844</v>
          </cell>
        </row>
        <row r="8425">
          <cell r="Z8425" t="str">
            <v>345849</v>
          </cell>
        </row>
        <row r="8426">
          <cell r="Z8426" t="str">
            <v>346000</v>
          </cell>
        </row>
        <row r="8427">
          <cell r="Z8427" t="str">
            <v>346100</v>
          </cell>
        </row>
        <row r="8428">
          <cell r="Z8428" t="str">
            <v>346101</v>
          </cell>
        </row>
        <row r="8429">
          <cell r="Z8429" t="str">
            <v>346102</v>
          </cell>
        </row>
        <row r="8430">
          <cell r="Z8430" t="str">
            <v>346103</v>
          </cell>
        </row>
        <row r="8431">
          <cell r="Z8431" t="str">
            <v>346104</v>
          </cell>
        </row>
        <row r="8432">
          <cell r="Z8432" t="str">
            <v>346109</v>
          </cell>
        </row>
        <row r="8433">
          <cell r="Z8433" t="str">
            <v>346200</v>
          </cell>
        </row>
        <row r="8434">
          <cell r="Z8434" t="str">
            <v>346211</v>
          </cell>
        </row>
        <row r="8435">
          <cell r="Z8435" t="str">
            <v>346212</v>
          </cell>
        </row>
        <row r="8436">
          <cell r="Z8436" t="str">
            <v>346213</v>
          </cell>
        </row>
        <row r="8437">
          <cell r="Z8437" t="str">
            <v>346214</v>
          </cell>
        </row>
        <row r="8438">
          <cell r="Z8438" t="str">
            <v>346219</v>
          </cell>
        </row>
        <row r="8439">
          <cell r="Z8439" t="str">
            <v>346300</v>
          </cell>
        </row>
        <row r="8440">
          <cell r="Z8440" t="str">
            <v>346310</v>
          </cell>
        </row>
        <row r="8441">
          <cell r="Z8441" t="str">
            <v>346311</v>
          </cell>
        </row>
        <row r="8442">
          <cell r="Z8442" t="str">
            <v>346312</v>
          </cell>
        </row>
        <row r="8443">
          <cell r="Z8443" t="str">
            <v>346313</v>
          </cell>
        </row>
        <row r="8444">
          <cell r="Z8444" t="str">
            <v>346314</v>
          </cell>
        </row>
        <row r="8445">
          <cell r="Z8445" t="str">
            <v>346319</v>
          </cell>
        </row>
        <row r="8446">
          <cell r="Z8446" t="str">
            <v>346320</v>
          </cell>
        </row>
        <row r="8447">
          <cell r="Z8447" t="str">
            <v>346321</v>
          </cell>
        </row>
        <row r="8448">
          <cell r="Z8448" t="str">
            <v>346322</v>
          </cell>
        </row>
        <row r="8449">
          <cell r="Z8449" t="str">
            <v>346323</v>
          </cell>
        </row>
        <row r="8450">
          <cell r="Z8450" t="str">
            <v>346324</v>
          </cell>
        </row>
        <row r="8451">
          <cell r="Z8451" t="str">
            <v>346329</v>
          </cell>
        </row>
        <row r="8452">
          <cell r="Z8452" t="str">
            <v>346400</v>
          </cell>
        </row>
        <row r="8453">
          <cell r="Z8453" t="str">
            <v>346401</v>
          </cell>
        </row>
        <row r="8454">
          <cell r="Z8454" t="str">
            <v>346402</v>
          </cell>
        </row>
        <row r="8455">
          <cell r="Z8455" t="str">
            <v>346403</v>
          </cell>
        </row>
        <row r="8456">
          <cell r="Z8456" t="str">
            <v>346404</v>
          </cell>
        </row>
        <row r="8457">
          <cell r="Z8457" t="str">
            <v>346409</v>
          </cell>
        </row>
        <row r="8458">
          <cell r="Z8458" t="str">
            <v>346500</v>
          </cell>
        </row>
        <row r="8459">
          <cell r="Z8459" t="str">
            <v>346501</v>
          </cell>
        </row>
        <row r="8460">
          <cell r="Z8460" t="str">
            <v>346502</v>
          </cell>
        </row>
        <row r="8461">
          <cell r="Z8461" t="str">
            <v>346503</v>
          </cell>
        </row>
        <row r="8462">
          <cell r="Z8462" t="str">
            <v>346504</v>
          </cell>
        </row>
        <row r="8463">
          <cell r="Z8463" t="str">
            <v>346509</v>
          </cell>
        </row>
        <row r="8464">
          <cell r="Z8464" t="str">
            <v>346600</v>
          </cell>
        </row>
        <row r="8465">
          <cell r="Z8465" t="str">
            <v>346601</v>
          </cell>
        </row>
        <row r="8466">
          <cell r="Z8466" t="str">
            <v>346602</v>
          </cell>
        </row>
        <row r="8467">
          <cell r="Z8467" t="str">
            <v>346603</v>
          </cell>
        </row>
        <row r="8468">
          <cell r="Z8468" t="str">
            <v>346604</v>
          </cell>
        </row>
        <row r="8469">
          <cell r="Z8469" t="str">
            <v>346609</v>
          </cell>
        </row>
        <row r="8470">
          <cell r="Z8470" t="str">
            <v>346700</v>
          </cell>
        </row>
        <row r="8471">
          <cell r="Z8471" t="str">
            <v>346701</v>
          </cell>
        </row>
        <row r="8472">
          <cell r="Z8472" t="str">
            <v>346702</v>
          </cell>
        </row>
        <row r="8473">
          <cell r="Z8473" t="str">
            <v>346703</v>
          </cell>
        </row>
        <row r="8474">
          <cell r="Z8474" t="str">
            <v>346704</v>
          </cell>
        </row>
        <row r="8475">
          <cell r="Z8475" t="str">
            <v>346709</v>
          </cell>
        </row>
        <row r="8476">
          <cell r="Z8476" t="str">
            <v>346800</v>
          </cell>
        </row>
        <row r="8477">
          <cell r="Z8477" t="str">
            <v>346810</v>
          </cell>
        </row>
        <row r="8478">
          <cell r="Z8478" t="str">
            <v>346811</v>
          </cell>
        </row>
        <row r="8479">
          <cell r="Z8479" t="str">
            <v>346812</v>
          </cell>
        </row>
        <row r="8480">
          <cell r="Z8480" t="str">
            <v>346813</v>
          </cell>
        </row>
        <row r="8481">
          <cell r="Z8481" t="str">
            <v>346814</v>
          </cell>
        </row>
        <row r="8482">
          <cell r="Z8482" t="str">
            <v>346819</v>
          </cell>
        </row>
        <row r="8483">
          <cell r="Z8483" t="str">
            <v>346820</v>
          </cell>
        </row>
        <row r="8484">
          <cell r="Z8484" t="str">
            <v>346821</v>
          </cell>
        </row>
        <row r="8485">
          <cell r="Z8485" t="str">
            <v>346822</v>
          </cell>
        </row>
        <row r="8486">
          <cell r="Z8486" t="str">
            <v>346823</v>
          </cell>
        </row>
        <row r="8487">
          <cell r="Z8487" t="str">
            <v>346824</v>
          </cell>
        </row>
        <row r="8488">
          <cell r="Z8488" t="str">
            <v>346829</v>
          </cell>
        </row>
        <row r="8489">
          <cell r="Z8489" t="str">
            <v>347000</v>
          </cell>
        </row>
        <row r="8490">
          <cell r="Z8490" t="str">
            <v>347100</v>
          </cell>
        </row>
        <row r="8491">
          <cell r="Z8491" t="str">
            <v>347101</v>
          </cell>
        </row>
        <row r="8492">
          <cell r="Z8492" t="str">
            <v>347102</v>
          </cell>
        </row>
        <row r="8493">
          <cell r="Z8493" t="str">
            <v>347103</v>
          </cell>
        </row>
        <row r="8494">
          <cell r="Z8494" t="str">
            <v>347104</v>
          </cell>
        </row>
        <row r="8495">
          <cell r="Z8495" t="str">
            <v>347109</v>
          </cell>
        </row>
        <row r="8496">
          <cell r="Z8496" t="str">
            <v>347200</v>
          </cell>
        </row>
        <row r="8497">
          <cell r="Z8497" t="str">
            <v>347211</v>
          </cell>
        </row>
        <row r="8498">
          <cell r="Z8498" t="str">
            <v>347212</v>
          </cell>
        </row>
        <row r="8499">
          <cell r="Z8499" t="str">
            <v>347213</v>
          </cell>
        </row>
        <row r="8500">
          <cell r="Z8500" t="str">
            <v>347214</v>
          </cell>
        </row>
        <row r="8501">
          <cell r="Z8501" t="str">
            <v>347219</v>
          </cell>
        </row>
        <row r="8502">
          <cell r="Z8502" t="str">
            <v>347300</v>
          </cell>
        </row>
        <row r="8503">
          <cell r="Z8503" t="str">
            <v>347310</v>
          </cell>
        </row>
        <row r="8504">
          <cell r="Z8504" t="str">
            <v>347311</v>
          </cell>
        </row>
        <row r="8505">
          <cell r="Z8505" t="str">
            <v>347312</v>
          </cell>
        </row>
        <row r="8506">
          <cell r="Z8506" t="str">
            <v>347313</v>
          </cell>
        </row>
        <row r="8507">
          <cell r="Z8507" t="str">
            <v>347314</v>
          </cell>
        </row>
        <row r="8508">
          <cell r="Z8508" t="str">
            <v>347319</v>
          </cell>
        </row>
        <row r="8509">
          <cell r="Z8509" t="str">
            <v>347320</v>
          </cell>
        </row>
        <row r="8510">
          <cell r="Z8510" t="str">
            <v>347321</v>
          </cell>
        </row>
        <row r="8511">
          <cell r="Z8511" t="str">
            <v>347322</v>
          </cell>
        </row>
        <row r="8512">
          <cell r="Z8512" t="str">
            <v>347323</v>
          </cell>
        </row>
        <row r="8513">
          <cell r="Z8513" t="str">
            <v>347324</v>
          </cell>
        </row>
        <row r="8514">
          <cell r="Z8514" t="str">
            <v>347329</v>
          </cell>
        </row>
        <row r="8515">
          <cell r="Z8515" t="str">
            <v>347400</v>
          </cell>
        </row>
        <row r="8516">
          <cell r="Z8516" t="str">
            <v>347401</v>
          </cell>
        </row>
        <row r="8517">
          <cell r="Z8517" t="str">
            <v>347402</v>
          </cell>
        </row>
        <row r="8518">
          <cell r="Z8518" t="str">
            <v>347403</v>
          </cell>
        </row>
        <row r="8519">
          <cell r="Z8519" t="str">
            <v>347404</v>
          </cell>
        </row>
        <row r="8520">
          <cell r="Z8520" t="str">
            <v>347409</v>
          </cell>
        </row>
        <row r="8521">
          <cell r="Z8521" t="str">
            <v>347500</v>
          </cell>
        </row>
        <row r="8522">
          <cell r="Z8522" t="str">
            <v>347501</v>
          </cell>
        </row>
        <row r="8523">
          <cell r="Z8523" t="str">
            <v>347502</v>
          </cell>
        </row>
        <row r="8524">
          <cell r="Z8524" t="str">
            <v>347503</v>
          </cell>
        </row>
        <row r="8525">
          <cell r="Z8525" t="str">
            <v>347504</v>
          </cell>
        </row>
        <row r="8526">
          <cell r="Z8526" t="str">
            <v>347509</v>
          </cell>
        </row>
        <row r="8527">
          <cell r="Z8527" t="str">
            <v>347600</v>
          </cell>
        </row>
        <row r="8528">
          <cell r="Z8528" t="str">
            <v>347601</v>
          </cell>
        </row>
        <row r="8529">
          <cell r="Z8529" t="str">
            <v>347602</v>
          </cell>
        </row>
        <row r="8530">
          <cell r="Z8530" t="str">
            <v>347603</v>
          </cell>
        </row>
        <row r="8531">
          <cell r="Z8531" t="str">
            <v>347604</v>
          </cell>
        </row>
        <row r="8532">
          <cell r="Z8532" t="str">
            <v>347609</v>
          </cell>
        </row>
        <row r="8533">
          <cell r="Z8533" t="str">
            <v>347700</v>
          </cell>
        </row>
        <row r="8534">
          <cell r="Z8534" t="str">
            <v>347701</v>
          </cell>
        </row>
        <row r="8535">
          <cell r="Z8535" t="str">
            <v>347702</v>
          </cell>
        </row>
        <row r="8536">
          <cell r="Z8536" t="str">
            <v>347703</v>
          </cell>
        </row>
        <row r="8537">
          <cell r="Z8537" t="str">
            <v>347704</v>
          </cell>
        </row>
        <row r="8538">
          <cell r="Z8538" t="str">
            <v>347709</v>
          </cell>
        </row>
        <row r="8539">
          <cell r="Z8539" t="str">
            <v>347800</v>
          </cell>
        </row>
        <row r="8540">
          <cell r="Z8540" t="str">
            <v>347810</v>
          </cell>
        </row>
        <row r="8541">
          <cell r="Z8541" t="str">
            <v>347811</v>
          </cell>
        </row>
        <row r="8542">
          <cell r="Z8542" t="str">
            <v>347812</v>
          </cell>
        </row>
        <row r="8543">
          <cell r="Z8543" t="str">
            <v>347813</v>
          </cell>
        </row>
        <row r="8544">
          <cell r="Z8544" t="str">
            <v>347814</v>
          </cell>
        </row>
        <row r="8545">
          <cell r="Z8545" t="str">
            <v>347819</v>
          </cell>
        </row>
        <row r="8546">
          <cell r="Z8546" t="str">
            <v>347820</v>
          </cell>
        </row>
        <row r="8547">
          <cell r="Z8547" t="str">
            <v>347821</v>
          </cell>
        </row>
        <row r="8548">
          <cell r="Z8548" t="str">
            <v>347822</v>
          </cell>
        </row>
        <row r="8549">
          <cell r="Z8549" t="str">
            <v>347823</v>
          </cell>
        </row>
        <row r="8550">
          <cell r="Z8550" t="str">
            <v>347824</v>
          </cell>
        </row>
        <row r="8551">
          <cell r="Z8551" t="str">
            <v>347829</v>
          </cell>
        </row>
        <row r="8552">
          <cell r="Z8552" t="str">
            <v>348000</v>
          </cell>
        </row>
        <row r="8553">
          <cell r="Z8553" t="str">
            <v>348100</v>
          </cell>
        </row>
        <row r="8554">
          <cell r="Z8554" t="str">
            <v>348101</v>
          </cell>
        </row>
        <row r="8555">
          <cell r="Z8555" t="str">
            <v>348102</v>
          </cell>
        </row>
        <row r="8556">
          <cell r="Z8556" t="str">
            <v>348103</v>
          </cell>
        </row>
        <row r="8557">
          <cell r="Z8557" t="str">
            <v>348104</v>
          </cell>
        </row>
        <row r="8558">
          <cell r="Z8558" t="str">
            <v>348109</v>
          </cell>
        </row>
        <row r="8559">
          <cell r="Z8559" t="str">
            <v>348200</v>
          </cell>
        </row>
        <row r="8560">
          <cell r="Z8560" t="str">
            <v>348211</v>
          </cell>
        </row>
        <row r="8561">
          <cell r="Z8561" t="str">
            <v>348212</v>
          </cell>
        </row>
        <row r="8562">
          <cell r="Z8562" t="str">
            <v>348213</v>
          </cell>
        </row>
        <row r="8563">
          <cell r="Z8563" t="str">
            <v>348214</v>
          </cell>
        </row>
        <row r="8564">
          <cell r="Z8564" t="str">
            <v>348219</v>
          </cell>
        </row>
        <row r="8565">
          <cell r="Z8565" t="str">
            <v>348300</v>
          </cell>
        </row>
        <row r="8566">
          <cell r="Z8566" t="str">
            <v>348310</v>
          </cell>
        </row>
        <row r="8567">
          <cell r="Z8567" t="str">
            <v>348311</v>
          </cell>
        </row>
        <row r="8568">
          <cell r="Z8568" t="str">
            <v>348312</v>
          </cell>
        </row>
        <row r="8569">
          <cell r="Z8569" t="str">
            <v>348313</v>
          </cell>
        </row>
        <row r="8570">
          <cell r="Z8570" t="str">
            <v>348314</v>
          </cell>
        </row>
        <row r="8571">
          <cell r="Z8571" t="str">
            <v>348319</v>
          </cell>
        </row>
        <row r="8572">
          <cell r="Z8572" t="str">
            <v>348320</v>
          </cell>
        </row>
        <row r="8573">
          <cell r="Z8573" t="str">
            <v>348321</v>
          </cell>
        </row>
        <row r="8574">
          <cell r="Z8574" t="str">
            <v>348322</v>
          </cell>
        </row>
        <row r="8575">
          <cell r="Z8575" t="str">
            <v>348323</v>
          </cell>
        </row>
        <row r="8576">
          <cell r="Z8576" t="str">
            <v>348324</v>
          </cell>
        </row>
        <row r="8577">
          <cell r="Z8577" t="str">
            <v>348329</v>
          </cell>
        </row>
        <row r="8578">
          <cell r="Z8578" t="str">
            <v>348400</v>
          </cell>
        </row>
        <row r="8579">
          <cell r="Z8579" t="str">
            <v>348401</v>
          </cell>
        </row>
        <row r="8580">
          <cell r="Z8580" t="str">
            <v>348402</v>
          </cell>
        </row>
        <row r="8581">
          <cell r="Z8581" t="str">
            <v>348403</v>
          </cell>
        </row>
        <row r="8582">
          <cell r="Z8582" t="str">
            <v>348404</v>
          </cell>
        </row>
        <row r="8583">
          <cell r="Z8583" t="str">
            <v>348409</v>
          </cell>
        </row>
        <row r="8584">
          <cell r="Z8584" t="str">
            <v>348500</v>
          </cell>
        </row>
        <row r="8585">
          <cell r="Z8585" t="str">
            <v>348501</v>
          </cell>
        </row>
        <row r="8586">
          <cell r="Z8586" t="str">
            <v>348502</v>
          </cell>
        </row>
        <row r="8587">
          <cell r="Z8587" t="str">
            <v>348503</v>
          </cell>
        </row>
        <row r="8588">
          <cell r="Z8588" t="str">
            <v>348504</v>
          </cell>
        </row>
        <row r="8589">
          <cell r="Z8589" t="str">
            <v>348509</v>
          </cell>
        </row>
        <row r="8590">
          <cell r="Z8590" t="str">
            <v>348600</v>
          </cell>
        </row>
        <row r="8591">
          <cell r="Z8591" t="str">
            <v>348601</v>
          </cell>
        </row>
        <row r="8592">
          <cell r="Z8592" t="str">
            <v>348602</v>
          </cell>
        </row>
        <row r="8593">
          <cell r="Z8593" t="str">
            <v>348603</v>
          </cell>
        </row>
        <row r="8594">
          <cell r="Z8594" t="str">
            <v>348604</v>
          </cell>
        </row>
        <row r="8595">
          <cell r="Z8595" t="str">
            <v>348609</v>
          </cell>
        </row>
        <row r="8596">
          <cell r="Z8596" t="str">
            <v>348700</v>
          </cell>
        </row>
        <row r="8597">
          <cell r="Z8597" t="str">
            <v>348701</v>
          </cell>
        </row>
        <row r="8598">
          <cell r="Z8598" t="str">
            <v>348702</v>
          </cell>
        </row>
        <row r="8599">
          <cell r="Z8599" t="str">
            <v>348703</v>
          </cell>
        </row>
        <row r="8600">
          <cell r="Z8600" t="str">
            <v>348704</v>
          </cell>
        </row>
        <row r="8601">
          <cell r="Z8601" t="str">
            <v>348709</v>
          </cell>
        </row>
        <row r="8602">
          <cell r="Z8602" t="str">
            <v>348800</v>
          </cell>
        </row>
        <row r="8603">
          <cell r="Z8603" t="str">
            <v>348810</v>
          </cell>
        </row>
        <row r="8604">
          <cell r="Z8604" t="str">
            <v>348811</v>
          </cell>
        </row>
        <row r="8605">
          <cell r="Z8605" t="str">
            <v>348812</v>
          </cell>
        </row>
        <row r="8606">
          <cell r="Z8606" t="str">
            <v>348813</v>
          </cell>
        </row>
        <row r="8607">
          <cell r="Z8607" t="str">
            <v>348814</v>
          </cell>
        </row>
        <row r="8608">
          <cell r="Z8608" t="str">
            <v>348819</v>
          </cell>
        </row>
        <row r="8609">
          <cell r="Z8609" t="str">
            <v>348820</v>
          </cell>
        </row>
        <row r="8610">
          <cell r="Z8610" t="str">
            <v>348821</v>
          </cell>
        </row>
        <row r="8611">
          <cell r="Z8611" t="str">
            <v>348822</v>
          </cell>
        </row>
        <row r="8612">
          <cell r="Z8612" t="str">
            <v>348823</v>
          </cell>
        </row>
        <row r="8613">
          <cell r="Z8613" t="str">
            <v>348824</v>
          </cell>
        </row>
        <row r="8614">
          <cell r="Z8614" t="str">
            <v>348829</v>
          </cell>
        </row>
        <row r="8615">
          <cell r="Z8615" t="str">
            <v>350000</v>
          </cell>
        </row>
        <row r="8616">
          <cell r="Z8616" t="str">
            <v>351000</v>
          </cell>
        </row>
        <row r="8617">
          <cell r="Z8617" t="str">
            <v>351100</v>
          </cell>
        </row>
        <row r="8618">
          <cell r="Z8618" t="str">
            <v>351110</v>
          </cell>
        </row>
        <row r="8619">
          <cell r="Z8619" t="str">
            <v>351111</v>
          </cell>
        </row>
        <row r="8620">
          <cell r="Z8620" t="str">
            <v>351112</v>
          </cell>
        </row>
        <row r="8621">
          <cell r="Z8621" t="str">
            <v>351113</v>
          </cell>
        </row>
        <row r="8622">
          <cell r="Z8622" t="str">
            <v>351114</v>
          </cell>
        </row>
        <row r="8623">
          <cell r="Z8623" t="str">
            <v>351119</v>
          </cell>
        </row>
        <row r="8624">
          <cell r="Z8624" t="str">
            <v>351120</v>
          </cell>
        </row>
        <row r="8625">
          <cell r="Z8625" t="str">
            <v>351121</v>
          </cell>
        </row>
        <row r="8626">
          <cell r="Z8626" t="str">
            <v>351122</v>
          </cell>
        </row>
        <row r="8627">
          <cell r="Z8627" t="str">
            <v>351123</v>
          </cell>
        </row>
        <row r="8628">
          <cell r="Z8628" t="str">
            <v>351124</v>
          </cell>
        </row>
        <row r="8629">
          <cell r="Z8629" t="str">
            <v>351129</v>
          </cell>
        </row>
        <row r="8630">
          <cell r="Z8630" t="str">
            <v>351130</v>
          </cell>
        </row>
        <row r="8631">
          <cell r="Z8631" t="str">
            <v>351131</v>
          </cell>
        </row>
        <row r="8632">
          <cell r="Z8632" t="str">
            <v>351132</v>
          </cell>
        </row>
        <row r="8633">
          <cell r="Z8633" t="str">
            <v>351133</v>
          </cell>
        </row>
        <row r="8634">
          <cell r="Z8634" t="str">
            <v>351134</v>
          </cell>
        </row>
        <row r="8635">
          <cell r="Z8635" t="str">
            <v>351139</v>
          </cell>
        </row>
        <row r="8636">
          <cell r="Z8636" t="str">
            <v>351140</v>
          </cell>
        </row>
        <row r="8637">
          <cell r="Z8637" t="str">
            <v>351141</v>
          </cell>
        </row>
        <row r="8638">
          <cell r="Z8638" t="str">
            <v>351142</v>
          </cell>
        </row>
        <row r="8639">
          <cell r="Z8639" t="str">
            <v>351143</v>
          </cell>
        </row>
        <row r="8640">
          <cell r="Z8640" t="str">
            <v>351144</v>
          </cell>
        </row>
        <row r="8641">
          <cell r="Z8641" t="str">
            <v>351149</v>
          </cell>
        </row>
        <row r="8642">
          <cell r="Z8642" t="str">
            <v>351200</v>
          </cell>
        </row>
        <row r="8643">
          <cell r="Z8643" t="str">
            <v>351210</v>
          </cell>
        </row>
        <row r="8644">
          <cell r="Z8644" t="str">
            <v>351211</v>
          </cell>
        </row>
        <row r="8645">
          <cell r="Z8645" t="str">
            <v>351212</v>
          </cell>
        </row>
        <row r="8646">
          <cell r="Z8646" t="str">
            <v>351213</v>
          </cell>
        </row>
        <row r="8647">
          <cell r="Z8647" t="str">
            <v>351214</v>
          </cell>
        </row>
        <row r="8648">
          <cell r="Z8648" t="str">
            <v>351219</v>
          </cell>
        </row>
        <row r="8649">
          <cell r="Z8649" t="str">
            <v>351220</v>
          </cell>
        </row>
        <row r="8650">
          <cell r="Z8650" t="str">
            <v>351221</v>
          </cell>
        </row>
        <row r="8651">
          <cell r="Z8651" t="str">
            <v>351222</v>
          </cell>
        </row>
        <row r="8652">
          <cell r="Z8652" t="str">
            <v>351223</v>
          </cell>
        </row>
        <row r="8653">
          <cell r="Z8653" t="str">
            <v>351224</v>
          </cell>
        </row>
        <row r="8654">
          <cell r="Z8654" t="str">
            <v>351229</v>
          </cell>
        </row>
        <row r="8655">
          <cell r="Z8655" t="str">
            <v>351230</v>
          </cell>
        </row>
        <row r="8656">
          <cell r="Z8656" t="str">
            <v>351231</v>
          </cell>
        </row>
        <row r="8657">
          <cell r="Z8657" t="str">
            <v>351232</v>
          </cell>
        </row>
        <row r="8658">
          <cell r="Z8658" t="str">
            <v>351233</v>
          </cell>
        </row>
        <row r="8659">
          <cell r="Z8659" t="str">
            <v>351234</v>
          </cell>
        </row>
        <row r="8660">
          <cell r="Z8660" t="str">
            <v>351239</v>
          </cell>
        </row>
        <row r="8661">
          <cell r="Z8661" t="str">
            <v>351240</v>
          </cell>
        </row>
        <row r="8662">
          <cell r="Z8662" t="str">
            <v>351241</v>
          </cell>
        </row>
        <row r="8663">
          <cell r="Z8663" t="str">
            <v>351242</v>
          </cell>
        </row>
        <row r="8664">
          <cell r="Z8664" t="str">
            <v>351243</v>
          </cell>
        </row>
        <row r="8665">
          <cell r="Z8665" t="str">
            <v>351244</v>
          </cell>
        </row>
        <row r="8666">
          <cell r="Z8666" t="str">
            <v>351249</v>
          </cell>
        </row>
        <row r="8667">
          <cell r="Z8667" t="str">
            <v>352000</v>
          </cell>
        </row>
        <row r="8668">
          <cell r="Z8668" t="str">
            <v>352100</v>
          </cell>
        </row>
        <row r="8669">
          <cell r="Z8669" t="str">
            <v>352110</v>
          </cell>
        </row>
        <row r="8670">
          <cell r="Z8670" t="str">
            <v>352111</v>
          </cell>
        </row>
        <row r="8671">
          <cell r="Z8671" t="str">
            <v>352112</v>
          </cell>
        </row>
        <row r="8672">
          <cell r="Z8672" t="str">
            <v>352113</v>
          </cell>
        </row>
        <row r="8673">
          <cell r="Z8673" t="str">
            <v>352114</v>
          </cell>
        </row>
        <row r="8674">
          <cell r="Z8674" t="str">
            <v>352119</v>
          </cell>
        </row>
        <row r="8675">
          <cell r="Z8675" t="str">
            <v>352120</v>
          </cell>
        </row>
        <row r="8676">
          <cell r="Z8676" t="str">
            <v>352121</v>
          </cell>
        </row>
        <row r="8677">
          <cell r="Z8677" t="str">
            <v>352122</v>
          </cell>
        </row>
        <row r="8678">
          <cell r="Z8678" t="str">
            <v>352123</v>
          </cell>
        </row>
        <row r="8679">
          <cell r="Z8679" t="str">
            <v>352124</v>
          </cell>
        </row>
        <row r="8680">
          <cell r="Z8680" t="str">
            <v>352129</v>
          </cell>
        </row>
        <row r="8681">
          <cell r="Z8681" t="str">
            <v>352200</v>
          </cell>
        </row>
        <row r="8682">
          <cell r="Z8682" t="str">
            <v>352210</v>
          </cell>
        </row>
        <row r="8683">
          <cell r="Z8683" t="str">
            <v>352211</v>
          </cell>
        </row>
        <row r="8684">
          <cell r="Z8684" t="str">
            <v>352212</v>
          </cell>
        </row>
        <row r="8685">
          <cell r="Z8685" t="str">
            <v>352213</v>
          </cell>
        </row>
        <row r="8686">
          <cell r="Z8686" t="str">
            <v>352214</v>
          </cell>
        </row>
        <row r="8687">
          <cell r="Z8687" t="str">
            <v>352219</v>
          </cell>
        </row>
        <row r="8688">
          <cell r="Z8688" t="str">
            <v>352220</v>
          </cell>
        </row>
        <row r="8689">
          <cell r="Z8689" t="str">
            <v>352220</v>
          </cell>
        </row>
        <row r="8690">
          <cell r="Z8690" t="str">
            <v>352222</v>
          </cell>
        </row>
        <row r="8691">
          <cell r="Z8691" t="str">
            <v>352223</v>
          </cell>
        </row>
        <row r="8692">
          <cell r="Z8692" t="str">
            <v>352224</v>
          </cell>
        </row>
        <row r="8693">
          <cell r="Z8693" t="str">
            <v>352229</v>
          </cell>
        </row>
        <row r="8694">
          <cell r="Z8694" t="str">
            <v>352300</v>
          </cell>
        </row>
        <row r="8695">
          <cell r="Z8695" t="str">
            <v>352310</v>
          </cell>
        </row>
        <row r="8696">
          <cell r="Z8696" t="str">
            <v>352311</v>
          </cell>
        </row>
        <row r="8697">
          <cell r="Z8697" t="str">
            <v>352312</v>
          </cell>
        </row>
        <row r="8698">
          <cell r="Z8698" t="str">
            <v>352313</v>
          </cell>
        </row>
        <row r="8699">
          <cell r="Z8699" t="str">
            <v>352314</v>
          </cell>
        </row>
        <row r="8700">
          <cell r="Z8700" t="str">
            <v>352319</v>
          </cell>
        </row>
        <row r="8701">
          <cell r="Z8701" t="str">
            <v>352320</v>
          </cell>
        </row>
        <row r="8702">
          <cell r="Z8702" t="str">
            <v>352321</v>
          </cell>
        </row>
        <row r="8703">
          <cell r="Z8703" t="str">
            <v>352322</v>
          </cell>
        </row>
        <row r="8704">
          <cell r="Z8704" t="str">
            <v>352323</v>
          </cell>
        </row>
        <row r="8705">
          <cell r="Z8705" t="str">
            <v>352324</v>
          </cell>
        </row>
        <row r="8706">
          <cell r="Z8706" t="str">
            <v>352329</v>
          </cell>
        </row>
        <row r="8707">
          <cell r="Z8707" t="str">
            <v>352400</v>
          </cell>
        </row>
        <row r="8708">
          <cell r="Z8708" t="str">
            <v>352410</v>
          </cell>
        </row>
        <row r="8709">
          <cell r="Z8709" t="str">
            <v>352411</v>
          </cell>
        </row>
        <row r="8710">
          <cell r="Z8710" t="str">
            <v>352412</v>
          </cell>
        </row>
        <row r="8711">
          <cell r="Z8711" t="str">
            <v>352413</v>
          </cell>
        </row>
        <row r="8712">
          <cell r="Z8712" t="str">
            <v>352414</v>
          </cell>
        </row>
        <row r="8713">
          <cell r="Z8713" t="str">
            <v>352419</v>
          </cell>
        </row>
        <row r="8714">
          <cell r="Z8714" t="str">
            <v>352420</v>
          </cell>
        </row>
        <row r="8715">
          <cell r="Z8715" t="str">
            <v>352421</v>
          </cell>
        </row>
        <row r="8716">
          <cell r="Z8716" t="str">
            <v>352422</v>
          </cell>
        </row>
        <row r="8717">
          <cell r="Z8717" t="str">
            <v>352423</v>
          </cell>
        </row>
        <row r="8718">
          <cell r="Z8718" t="str">
            <v>352424</v>
          </cell>
        </row>
        <row r="8719">
          <cell r="Z8719" t="str">
            <v>352429</v>
          </cell>
        </row>
        <row r="8720">
          <cell r="Z8720" t="str">
            <v>352500</v>
          </cell>
        </row>
        <row r="8721">
          <cell r="Z8721" t="str">
            <v>352510</v>
          </cell>
        </row>
        <row r="8722">
          <cell r="Z8722" t="str">
            <v>352511</v>
          </cell>
        </row>
        <row r="8723">
          <cell r="Z8723" t="str">
            <v>352512</v>
          </cell>
        </row>
        <row r="8724">
          <cell r="Z8724" t="str">
            <v>352513</v>
          </cell>
        </row>
        <row r="8725">
          <cell r="Z8725" t="str">
            <v>352514</v>
          </cell>
        </row>
        <row r="8726">
          <cell r="Z8726" t="str">
            <v>352519</v>
          </cell>
        </row>
        <row r="8727">
          <cell r="Z8727" t="str">
            <v>352520</v>
          </cell>
        </row>
        <row r="8728">
          <cell r="Z8728" t="str">
            <v>352521</v>
          </cell>
        </row>
        <row r="8729">
          <cell r="Z8729" t="str">
            <v>352522</v>
          </cell>
        </row>
        <row r="8730">
          <cell r="Z8730" t="str">
            <v>352523</v>
          </cell>
        </row>
        <row r="8731">
          <cell r="Z8731" t="str">
            <v>352524</v>
          </cell>
        </row>
        <row r="8732">
          <cell r="Z8732" t="str">
            <v>352529</v>
          </cell>
        </row>
        <row r="8733">
          <cell r="Z8733" t="str">
            <v>352530</v>
          </cell>
        </row>
        <row r="8734">
          <cell r="Z8734" t="str">
            <v>352531</v>
          </cell>
        </row>
        <row r="8735">
          <cell r="Z8735" t="str">
            <v>352532</v>
          </cell>
        </row>
        <row r="8736">
          <cell r="Z8736" t="str">
            <v>352533</v>
          </cell>
        </row>
        <row r="8737">
          <cell r="Z8737" t="str">
            <v>352534</v>
          </cell>
        </row>
        <row r="8738">
          <cell r="Z8738" t="str">
            <v>352539</v>
          </cell>
        </row>
        <row r="8739">
          <cell r="Z8739" t="str">
            <v>352540</v>
          </cell>
        </row>
        <row r="8740">
          <cell r="Z8740" t="str">
            <v>352541</v>
          </cell>
        </row>
        <row r="8741">
          <cell r="Z8741" t="str">
            <v>352542</v>
          </cell>
        </row>
        <row r="8742">
          <cell r="Z8742" t="str">
            <v>352543</v>
          </cell>
        </row>
        <row r="8743">
          <cell r="Z8743" t="str">
            <v>352544</v>
          </cell>
        </row>
        <row r="8744">
          <cell r="Z8744" t="str">
            <v>352549</v>
          </cell>
        </row>
        <row r="8745">
          <cell r="Z8745" t="str">
            <v>352600</v>
          </cell>
        </row>
        <row r="8746">
          <cell r="Z8746" t="str">
            <v>352610</v>
          </cell>
        </row>
        <row r="8747">
          <cell r="Z8747" t="str">
            <v>352611</v>
          </cell>
        </row>
        <row r="8748">
          <cell r="Z8748" t="str">
            <v>352612</v>
          </cell>
        </row>
        <row r="8749">
          <cell r="Z8749" t="str">
            <v>352613</v>
          </cell>
        </row>
        <row r="8750">
          <cell r="Z8750" t="str">
            <v>352614</v>
          </cell>
        </row>
        <row r="8751">
          <cell r="Z8751" t="str">
            <v>352619</v>
          </cell>
        </row>
        <row r="8752">
          <cell r="Z8752" t="str">
            <v>352620</v>
          </cell>
        </row>
        <row r="8753">
          <cell r="Z8753" t="str">
            <v>352621</v>
          </cell>
        </row>
        <row r="8754">
          <cell r="Z8754" t="str">
            <v>352622</v>
          </cell>
        </row>
        <row r="8755">
          <cell r="Z8755" t="str">
            <v>352623</v>
          </cell>
        </row>
        <row r="8756">
          <cell r="Z8756" t="str">
            <v>352624</v>
          </cell>
        </row>
        <row r="8757">
          <cell r="Z8757" t="str">
            <v>352629</v>
          </cell>
        </row>
        <row r="8758">
          <cell r="Z8758" t="str">
            <v>352700</v>
          </cell>
        </row>
        <row r="8759">
          <cell r="Z8759" t="str">
            <v>352710</v>
          </cell>
        </row>
        <row r="8760">
          <cell r="Z8760" t="str">
            <v>352711</v>
          </cell>
        </row>
        <row r="8761">
          <cell r="Z8761" t="str">
            <v>352712</v>
          </cell>
        </row>
        <row r="8762">
          <cell r="Z8762" t="str">
            <v>352713</v>
          </cell>
        </row>
        <row r="8763">
          <cell r="Z8763" t="str">
            <v>352714</v>
          </cell>
        </row>
        <row r="8764">
          <cell r="Z8764" t="str">
            <v>352719</v>
          </cell>
        </row>
        <row r="8765">
          <cell r="Z8765" t="str">
            <v>352720</v>
          </cell>
        </row>
        <row r="8766">
          <cell r="Z8766" t="str">
            <v>352721</v>
          </cell>
        </row>
        <row r="8767">
          <cell r="Z8767" t="str">
            <v>352722</v>
          </cell>
        </row>
        <row r="8768">
          <cell r="Z8768" t="str">
            <v>352723</v>
          </cell>
        </row>
        <row r="8769">
          <cell r="Z8769" t="str">
            <v>352724</v>
          </cell>
        </row>
        <row r="8770">
          <cell r="Z8770" t="str">
            <v>352729</v>
          </cell>
        </row>
        <row r="8771">
          <cell r="Z8771" t="str">
            <v>352730</v>
          </cell>
        </row>
        <row r="8772">
          <cell r="Z8772" t="str">
            <v>352731</v>
          </cell>
        </row>
        <row r="8773">
          <cell r="Z8773" t="str">
            <v>352732</v>
          </cell>
        </row>
        <row r="8774">
          <cell r="Z8774" t="str">
            <v>352733</v>
          </cell>
        </row>
        <row r="8775">
          <cell r="Z8775" t="str">
            <v>352734</v>
          </cell>
        </row>
        <row r="8776">
          <cell r="Z8776" t="str">
            <v>352739</v>
          </cell>
        </row>
        <row r="8777">
          <cell r="Z8777" t="str">
            <v>352740</v>
          </cell>
        </row>
        <row r="8778">
          <cell r="Z8778" t="str">
            <v>352741</v>
          </cell>
        </row>
        <row r="8779">
          <cell r="Z8779" t="str">
            <v>352742</v>
          </cell>
        </row>
        <row r="8780">
          <cell r="Z8780" t="str">
            <v>352743</v>
          </cell>
        </row>
        <row r="8781">
          <cell r="Z8781" t="str">
            <v>352744</v>
          </cell>
        </row>
        <row r="8782">
          <cell r="Z8782" t="str">
            <v>352749</v>
          </cell>
        </row>
        <row r="8783">
          <cell r="Z8783" t="str">
            <v>352800</v>
          </cell>
        </row>
        <row r="8784">
          <cell r="Z8784" t="str">
            <v>352801</v>
          </cell>
        </row>
        <row r="8785">
          <cell r="Z8785" t="str">
            <v>352802</v>
          </cell>
        </row>
        <row r="8786">
          <cell r="Z8786" t="str">
            <v>352803</v>
          </cell>
        </row>
        <row r="8787">
          <cell r="Z8787" t="str">
            <v>352804</v>
          </cell>
        </row>
        <row r="8788">
          <cell r="Z8788" t="str">
            <v>352809</v>
          </cell>
        </row>
        <row r="8789">
          <cell r="Z8789" t="str">
            <v>353000</v>
          </cell>
        </row>
        <row r="8790">
          <cell r="Z8790" t="str">
            <v>353100</v>
          </cell>
        </row>
        <row r="8791">
          <cell r="Z8791" t="str">
            <v>353110</v>
          </cell>
        </row>
        <row r="8792">
          <cell r="Z8792" t="str">
            <v>353111</v>
          </cell>
        </row>
        <row r="8793">
          <cell r="Z8793" t="str">
            <v>353112</v>
          </cell>
        </row>
        <row r="8794">
          <cell r="Z8794" t="str">
            <v>353113</v>
          </cell>
        </row>
        <row r="8795">
          <cell r="Z8795" t="str">
            <v>353114</v>
          </cell>
        </row>
        <row r="8796">
          <cell r="Z8796" t="str">
            <v>353119</v>
          </cell>
        </row>
        <row r="8797">
          <cell r="Z8797" t="str">
            <v>353120</v>
          </cell>
        </row>
        <row r="8798">
          <cell r="Z8798" t="str">
            <v>353121</v>
          </cell>
        </row>
        <row r="8799">
          <cell r="Z8799" t="str">
            <v>353122</v>
          </cell>
        </row>
        <row r="8800">
          <cell r="Z8800" t="str">
            <v>353123</v>
          </cell>
        </row>
        <row r="8801">
          <cell r="Z8801" t="str">
            <v>353124</v>
          </cell>
        </row>
        <row r="8802">
          <cell r="Z8802" t="str">
            <v>353129</v>
          </cell>
        </row>
        <row r="8803">
          <cell r="Z8803" t="str">
            <v>353200</v>
          </cell>
        </row>
        <row r="8804">
          <cell r="Z8804" t="str">
            <v>353210</v>
          </cell>
        </row>
        <row r="8805">
          <cell r="Z8805" t="str">
            <v>353211</v>
          </cell>
        </row>
        <row r="8806">
          <cell r="Z8806" t="str">
            <v>353212</v>
          </cell>
        </row>
        <row r="8807">
          <cell r="Z8807" t="str">
            <v>353213</v>
          </cell>
        </row>
        <row r="8808">
          <cell r="Z8808" t="str">
            <v>353214</v>
          </cell>
        </row>
        <row r="8809">
          <cell r="Z8809" t="str">
            <v>353219</v>
          </cell>
        </row>
        <row r="8810">
          <cell r="Z8810" t="str">
            <v>353220</v>
          </cell>
        </row>
        <row r="8811">
          <cell r="Z8811" t="str">
            <v>353221</v>
          </cell>
        </row>
        <row r="8812">
          <cell r="Z8812" t="str">
            <v>353222</v>
          </cell>
        </row>
        <row r="8813">
          <cell r="Z8813" t="str">
            <v>353223</v>
          </cell>
        </row>
        <row r="8814">
          <cell r="Z8814" t="str">
            <v>353224</v>
          </cell>
        </row>
        <row r="8815">
          <cell r="Z8815" t="str">
            <v>353229</v>
          </cell>
        </row>
        <row r="8816">
          <cell r="Z8816" t="str">
            <v>353300</v>
          </cell>
        </row>
        <row r="8817">
          <cell r="Z8817" t="str">
            <v>353301</v>
          </cell>
        </row>
        <row r="8818">
          <cell r="Z8818" t="str">
            <v>353302</v>
          </cell>
        </row>
        <row r="8819">
          <cell r="Z8819" t="str">
            <v>353303</v>
          </cell>
        </row>
        <row r="8820">
          <cell r="Z8820" t="str">
            <v>353304</v>
          </cell>
        </row>
        <row r="8821">
          <cell r="Z8821" t="str">
            <v>353309</v>
          </cell>
        </row>
        <row r="8822">
          <cell r="Z8822" t="str">
            <v>353400</v>
          </cell>
        </row>
        <row r="8823">
          <cell r="Z8823" t="str">
            <v>353410</v>
          </cell>
        </row>
        <row r="8824">
          <cell r="Z8824" t="str">
            <v>353411</v>
          </cell>
        </row>
        <row r="8825">
          <cell r="Z8825" t="str">
            <v>353412</v>
          </cell>
        </row>
        <row r="8826">
          <cell r="Z8826" t="str">
            <v>353413</v>
          </cell>
        </row>
        <row r="8827">
          <cell r="Z8827" t="str">
            <v>353414</v>
          </cell>
        </row>
        <row r="8828">
          <cell r="Z8828" t="str">
            <v>353419</v>
          </cell>
        </row>
        <row r="8829">
          <cell r="Z8829" t="str">
            <v>353420</v>
          </cell>
        </row>
        <row r="8830">
          <cell r="Z8830" t="str">
            <v>353421</v>
          </cell>
        </row>
        <row r="8831">
          <cell r="Z8831" t="str">
            <v>353422</v>
          </cell>
        </row>
        <row r="8832">
          <cell r="Z8832" t="str">
            <v>353423</v>
          </cell>
        </row>
        <row r="8833">
          <cell r="Z8833" t="str">
            <v>353424</v>
          </cell>
        </row>
        <row r="8834">
          <cell r="Z8834" t="str">
            <v>353429</v>
          </cell>
        </row>
        <row r="8835">
          <cell r="Z8835" t="str">
            <v>360000</v>
          </cell>
        </row>
        <row r="8836">
          <cell r="Z8836" t="str">
            <v>361000</v>
          </cell>
        </row>
        <row r="8837">
          <cell r="Z8837" t="str">
            <v>361100</v>
          </cell>
        </row>
        <row r="8838">
          <cell r="Z8838" t="str">
            <v>361101</v>
          </cell>
        </row>
        <row r="8839">
          <cell r="Z8839" t="str">
            <v>361102</v>
          </cell>
        </row>
        <row r="8840">
          <cell r="Z8840" t="str">
            <v>361103</v>
          </cell>
        </row>
        <row r="8841">
          <cell r="Z8841" t="str">
            <v>361104</v>
          </cell>
        </row>
        <row r="8842">
          <cell r="Z8842" t="str">
            <v>361109</v>
          </cell>
        </row>
        <row r="8843">
          <cell r="Z8843" t="str">
            <v>361200</v>
          </cell>
        </row>
        <row r="8844">
          <cell r="Z8844" t="str">
            <v>361201</v>
          </cell>
        </row>
        <row r="8845">
          <cell r="Z8845" t="str">
            <v>361202</v>
          </cell>
        </row>
        <row r="8846">
          <cell r="Z8846" t="str">
            <v>361203</v>
          </cell>
        </row>
        <row r="8847">
          <cell r="Z8847" t="str">
            <v>361204</v>
          </cell>
        </row>
        <row r="8848">
          <cell r="Z8848" t="str">
            <v>361209</v>
          </cell>
        </row>
        <row r="8849">
          <cell r="Z8849" t="str">
            <v>361300</v>
          </cell>
        </row>
        <row r="8850">
          <cell r="Z8850" t="str">
            <v>361301</v>
          </cell>
        </row>
        <row r="8851">
          <cell r="Z8851" t="str">
            <v>361302</v>
          </cell>
        </row>
        <row r="8852">
          <cell r="Z8852" t="str">
            <v>361303</v>
          </cell>
        </row>
        <row r="8853">
          <cell r="Z8853" t="str">
            <v>361304</v>
          </cell>
        </row>
        <row r="8854">
          <cell r="Z8854" t="str">
            <v>361309</v>
          </cell>
        </row>
        <row r="8855">
          <cell r="Z8855" t="str">
            <v>361400</v>
          </cell>
        </row>
        <row r="8856">
          <cell r="Z8856" t="str">
            <v>361401</v>
          </cell>
        </row>
        <row r="8857">
          <cell r="Z8857" t="str">
            <v>361402</v>
          </cell>
        </row>
        <row r="8858">
          <cell r="Z8858" t="str">
            <v>361403</v>
          </cell>
        </row>
        <row r="8859">
          <cell r="Z8859" t="str">
            <v>361404</v>
          </cell>
        </row>
        <row r="8860">
          <cell r="Z8860" t="str">
            <v>361409</v>
          </cell>
        </row>
        <row r="8861">
          <cell r="Z8861" t="str">
            <v>361500</v>
          </cell>
        </row>
        <row r="8862">
          <cell r="Z8862" t="str">
            <v>361501</v>
          </cell>
        </row>
        <row r="8863">
          <cell r="Z8863" t="str">
            <v>361502</v>
          </cell>
        </row>
        <row r="8864">
          <cell r="Z8864" t="str">
            <v>361503</v>
          </cell>
        </row>
        <row r="8865">
          <cell r="Z8865" t="str">
            <v>361504</v>
          </cell>
        </row>
        <row r="8866">
          <cell r="Z8866" t="str">
            <v>361509</v>
          </cell>
        </row>
        <row r="8867">
          <cell r="Z8867" t="str">
            <v>361600</v>
          </cell>
        </row>
        <row r="8868">
          <cell r="Z8868" t="str">
            <v>361601</v>
          </cell>
        </row>
        <row r="8869">
          <cell r="Z8869" t="str">
            <v>361602</v>
          </cell>
        </row>
        <row r="8870">
          <cell r="Z8870" t="str">
            <v>361603</v>
          </cell>
        </row>
        <row r="8871">
          <cell r="Z8871" t="str">
            <v>361604</v>
          </cell>
        </row>
        <row r="8872">
          <cell r="Z8872" t="str">
            <v>361609</v>
          </cell>
        </row>
        <row r="8873">
          <cell r="Z8873" t="str">
            <v>361700</v>
          </cell>
        </row>
        <row r="8874">
          <cell r="Z8874" t="str">
            <v>361701</v>
          </cell>
        </row>
        <row r="8875">
          <cell r="Z8875" t="str">
            <v>361702</v>
          </cell>
        </row>
        <row r="8876">
          <cell r="Z8876" t="str">
            <v>361703</v>
          </cell>
        </row>
        <row r="8877">
          <cell r="Z8877" t="str">
            <v>361704</v>
          </cell>
        </row>
        <row r="8878">
          <cell r="Z8878" t="str">
            <v>361709</v>
          </cell>
        </row>
        <row r="8879">
          <cell r="Z8879" t="str">
            <v>362000</v>
          </cell>
        </row>
        <row r="8880">
          <cell r="Z8880" t="str">
            <v>362001</v>
          </cell>
        </row>
        <row r="8881">
          <cell r="Z8881" t="str">
            <v>362002</v>
          </cell>
        </row>
        <row r="8882">
          <cell r="Z8882" t="str">
            <v>362003</v>
          </cell>
        </row>
        <row r="8883">
          <cell r="Z8883" t="str">
            <v>362004</v>
          </cell>
        </row>
        <row r="8884">
          <cell r="Z8884" t="str">
            <v>362009</v>
          </cell>
        </row>
        <row r="8885">
          <cell r="Z8885" t="str">
            <v>370000</v>
          </cell>
        </row>
        <row r="8886">
          <cell r="Z8886" t="str">
            <v>371000</v>
          </cell>
        </row>
        <row r="8887">
          <cell r="Z8887" t="str">
            <v>371100</v>
          </cell>
        </row>
        <row r="8888">
          <cell r="Z8888" t="str">
            <v>371101</v>
          </cell>
        </row>
        <row r="8889">
          <cell r="Z8889" t="str">
            <v>371102</v>
          </cell>
        </row>
        <row r="8890">
          <cell r="Z8890" t="str">
            <v>371103</v>
          </cell>
        </row>
        <row r="8891">
          <cell r="Z8891" t="str">
            <v>371104</v>
          </cell>
        </row>
        <row r="8892">
          <cell r="Z8892" t="str">
            <v>371109</v>
          </cell>
        </row>
        <row r="8893">
          <cell r="Z8893" t="str">
            <v>371200</v>
          </cell>
        </row>
        <row r="8894">
          <cell r="Z8894" t="str">
            <v>371201</v>
          </cell>
        </row>
        <row r="8895">
          <cell r="Z8895" t="str">
            <v>371202</v>
          </cell>
        </row>
        <row r="8896">
          <cell r="Z8896" t="str">
            <v>371203</v>
          </cell>
        </row>
        <row r="8897">
          <cell r="Z8897" t="str">
            <v>371204</v>
          </cell>
        </row>
        <row r="8898">
          <cell r="Z8898" t="str">
            <v>371209</v>
          </cell>
        </row>
        <row r="8899">
          <cell r="Z8899" t="str">
            <v>371300</v>
          </cell>
        </row>
        <row r="8900">
          <cell r="Z8900" t="str">
            <v>371310</v>
          </cell>
        </row>
        <row r="8901">
          <cell r="Z8901" t="str">
            <v>371311</v>
          </cell>
        </row>
        <row r="8902">
          <cell r="Z8902" t="str">
            <v>371312</v>
          </cell>
        </row>
        <row r="8903">
          <cell r="Z8903" t="str">
            <v>371313</v>
          </cell>
        </row>
        <row r="8904">
          <cell r="Z8904" t="str">
            <v>371314</v>
          </cell>
        </row>
        <row r="8905">
          <cell r="Z8905" t="str">
            <v>371319</v>
          </cell>
        </row>
        <row r="8906">
          <cell r="Z8906" t="str">
            <v>371320</v>
          </cell>
        </row>
        <row r="8907">
          <cell r="Z8907" t="str">
            <v>371321</v>
          </cell>
        </row>
        <row r="8908">
          <cell r="Z8908" t="str">
            <v>371322</v>
          </cell>
        </row>
        <row r="8909">
          <cell r="Z8909" t="str">
            <v>371323</v>
          </cell>
        </row>
        <row r="8910">
          <cell r="Z8910" t="str">
            <v>371324</v>
          </cell>
        </row>
        <row r="8911">
          <cell r="Z8911" t="str">
            <v>371329</v>
          </cell>
        </row>
        <row r="8912">
          <cell r="Z8912" t="str">
            <v>372000</v>
          </cell>
        </row>
        <row r="8913">
          <cell r="Z8913" t="str">
            <v>372100</v>
          </cell>
        </row>
        <row r="8914">
          <cell r="Z8914" t="str">
            <v>372101</v>
          </cell>
        </row>
        <row r="8915">
          <cell r="Z8915" t="str">
            <v>372102</v>
          </cell>
        </row>
        <row r="8916">
          <cell r="Z8916" t="str">
            <v>372103</v>
          </cell>
        </row>
        <row r="8917">
          <cell r="Z8917" t="str">
            <v>372104</v>
          </cell>
        </row>
        <row r="8918">
          <cell r="Z8918" t="str">
            <v>372109</v>
          </cell>
        </row>
        <row r="8919">
          <cell r="Z8919" t="str">
            <v>372200</v>
          </cell>
        </row>
        <row r="8920">
          <cell r="Z8920" t="str">
            <v>372201</v>
          </cell>
        </row>
        <row r="8921">
          <cell r="Z8921" t="str">
            <v>372202</v>
          </cell>
        </row>
        <row r="8922">
          <cell r="Z8922" t="str">
            <v>372203</v>
          </cell>
        </row>
        <row r="8923">
          <cell r="Z8923" t="str">
            <v>372204</v>
          </cell>
        </row>
        <row r="8924">
          <cell r="Z8924" t="str">
            <v>372209</v>
          </cell>
        </row>
        <row r="8925">
          <cell r="Z8925" t="str">
            <v>372300</v>
          </cell>
        </row>
        <row r="8926">
          <cell r="Z8926" t="str">
            <v>372301</v>
          </cell>
        </row>
        <row r="8927">
          <cell r="Z8927" t="str">
            <v>372302</v>
          </cell>
        </row>
        <row r="8928">
          <cell r="Z8928" t="str">
            <v>372303</v>
          </cell>
        </row>
        <row r="8929">
          <cell r="Z8929" t="str">
            <v>372304</v>
          </cell>
        </row>
        <row r="8930">
          <cell r="Z8930" t="str">
            <v>372309</v>
          </cell>
        </row>
        <row r="8931">
          <cell r="Z8931" t="str">
            <v>372400</v>
          </cell>
        </row>
        <row r="8932">
          <cell r="Z8932" t="str">
            <v>372401</v>
          </cell>
        </row>
        <row r="8933">
          <cell r="Z8933" t="str">
            <v>372402</v>
          </cell>
        </row>
        <row r="8934">
          <cell r="Z8934" t="str">
            <v>372403</v>
          </cell>
        </row>
        <row r="8935">
          <cell r="Z8935" t="str">
            <v>372404</v>
          </cell>
        </row>
        <row r="8936">
          <cell r="Z8936" t="str">
            <v>372409</v>
          </cell>
        </row>
        <row r="8937">
          <cell r="Z8937" t="str">
            <v>372500</v>
          </cell>
        </row>
        <row r="8938">
          <cell r="Z8938" t="str">
            <v>372501</v>
          </cell>
        </row>
        <row r="8939">
          <cell r="Z8939" t="str">
            <v>372502</v>
          </cell>
        </row>
        <row r="8940">
          <cell r="Z8940" t="str">
            <v>372503</v>
          </cell>
        </row>
        <row r="8941">
          <cell r="Z8941" t="str">
            <v>372504</v>
          </cell>
        </row>
        <row r="8942">
          <cell r="Z8942" t="str">
            <v>372509</v>
          </cell>
        </row>
        <row r="8943">
          <cell r="Z8943" t="str">
            <v>372600</v>
          </cell>
        </row>
        <row r="8944">
          <cell r="Z8944" t="str">
            <v>372601</v>
          </cell>
        </row>
        <row r="8945">
          <cell r="Z8945" t="str">
            <v>372602</v>
          </cell>
        </row>
        <row r="8946">
          <cell r="Z8946" t="str">
            <v>372603</v>
          </cell>
        </row>
        <row r="8947">
          <cell r="Z8947" t="str">
            <v>372604</v>
          </cell>
        </row>
        <row r="8948">
          <cell r="Z8948" t="str">
            <v>372609</v>
          </cell>
        </row>
        <row r="8949">
          <cell r="Z8949" t="str">
            <v>372700</v>
          </cell>
        </row>
        <row r="8950">
          <cell r="Z8950" t="str">
            <v>372701</v>
          </cell>
        </row>
        <row r="8951">
          <cell r="Z8951" t="str">
            <v>372702</v>
          </cell>
        </row>
        <row r="8952">
          <cell r="Z8952" t="str">
            <v>372703</v>
          </cell>
        </row>
        <row r="8953">
          <cell r="Z8953" t="str">
            <v>372704</v>
          </cell>
        </row>
        <row r="8954">
          <cell r="Z8954" t="str">
            <v>372709</v>
          </cell>
        </row>
        <row r="8955">
          <cell r="Z8955" t="str">
            <v>372800</v>
          </cell>
        </row>
        <row r="8956">
          <cell r="Z8956" t="str">
            <v>372801</v>
          </cell>
        </row>
        <row r="8957">
          <cell r="Z8957" t="str">
            <v>372802</v>
          </cell>
        </row>
        <row r="8958">
          <cell r="Z8958" t="str">
            <v>372803</v>
          </cell>
        </row>
        <row r="8959">
          <cell r="Z8959" t="str">
            <v>372804</v>
          </cell>
        </row>
        <row r="8960">
          <cell r="Z8960" t="str">
            <v>372809</v>
          </cell>
        </row>
        <row r="8961">
          <cell r="Z8961" t="str">
            <v>373000</v>
          </cell>
        </row>
        <row r="8962">
          <cell r="Z8962" t="str">
            <v>373001</v>
          </cell>
        </row>
        <row r="8963">
          <cell r="Z8963" t="str">
            <v>373002</v>
          </cell>
        </row>
        <row r="8964">
          <cell r="Z8964" t="str">
            <v>373003</v>
          </cell>
        </row>
        <row r="8965">
          <cell r="Z8965" t="str">
            <v>373004</v>
          </cell>
        </row>
        <row r="8966">
          <cell r="Z8966" t="str">
            <v>373009</v>
          </cell>
        </row>
        <row r="8967">
          <cell r="Z8967" t="str">
            <v>380000</v>
          </cell>
        </row>
        <row r="8968">
          <cell r="Z8968" t="str">
            <v>381000</v>
          </cell>
        </row>
        <row r="8969">
          <cell r="Z8969" t="str">
            <v>381001</v>
          </cell>
        </row>
        <row r="8970">
          <cell r="Z8970" t="str">
            <v>381002</v>
          </cell>
        </row>
        <row r="8971">
          <cell r="Z8971" t="str">
            <v>381003</v>
          </cell>
        </row>
        <row r="8972">
          <cell r="Z8972" t="str">
            <v>381004</v>
          </cell>
        </row>
        <row r="8973">
          <cell r="Z8973" t="str">
            <v>381009</v>
          </cell>
        </row>
        <row r="8974">
          <cell r="Z8974" t="str">
            <v>382000</v>
          </cell>
        </row>
        <row r="8975">
          <cell r="Z8975" t="str">
            <v>382001</v>
          </cell>
        </row>
        <row r="8976">
          <cell r="Z8976" t="str">
            <v>382002</v>
          </cell>
        </row>
        <row r="8977">
          <cell r="Z8977" t="str">
            <v>382003</v>
          </cell>
        </row>
        <row r="8978">
          <cell r="Z8978" t="str">
            <v>382004</v>
          </cell>
        </row>
        <row r="8979">
          <cell r="Z8979" t="str">
            <v>382009</v>
          </cell>
        </row>
        <row r="8980">
          <cell r="Z8980" t="str">
            <v>383000</v>
          </cell>
        </row>
        <row r="8981">
          <cell r="Z8981" t="str">
            <v>383001</v>
          </cell>
        </row>
        <row r="8982">
          <cell r="Z8982" t="str">
            <v>383002</v>
          </cell>
        </row>
        <row r="8983">
          <cell r="Z8983" t="str">
            <v>383003</v>
          </cell>
        </row>
        <row r="8984">
          <cell r="Z8984" t="str">
            <v>383004</v>
          </cell>
        </row>
        <row r="8985">
          <cell r="Z8985" t="str">
            <v>383009</v>
          </cell>
        </row>
        <row r="8986">
          <cell r="Z8986" t="str">
            <v>384000</v>
          </cell>
        </row>
        <row r="8987">
          <cell r="Z8987" t="str">
            <v>384001</v>
          </cell>
        </row>
        <row r="8988">
          <cell r="Z8988" t="str">
            <v>384002</v>
          </cell>
        </row>
        <row r="8989">
          <cell r="Z8989" t="str">
            <v>384003</v>
          </cell>
        </row>
        <row r="8990">
          <cell r="Z8990" t="str">
            <v>384004</v>
          </cell>
        </row>
        <row r="8991">
          <cell r="Z8991" t="str">
            <v>384009</v>
          </cell>
        </row>
        <row r="8992">
          <cell r="Z8992" t="str">
            <v>385000</v>
          </cell>
        </row>
        <row r="8993">
          <cell r="Z8993" t="str">
            <v>385001</v>
          </cell>
        </row>
        <row r="8994">
          <cell r="Z8994" t="str">
            <v>385002</v>
          </cell>
        </row>
        <row r="8995">
          <cell r="Z8995" t="str">
            <v>385003</v>
          </cell>
        </row>
        <row r="8996">
          <cell r="Z8996" t="str">
            <v>385004</v>
          </cell>
        </row>
        <row r="8997">
          <cell r="Z8997" t="str">
            <v>385009</v>
          </cell>
        </row>
        <row r="8998">
          <cell r="Z8998" t="str">
            <v>386000</v>
          </cell>
        </row>
        <row r="8999">
          <cell r="Z8999" t="str">
            <v>386002</v>
          </cell>
        </row>
        <row r="9000">
          <cell r="Z9000" t="str">
            <v>386003</v>
          </cell>
        </row>
        <row r="9001">
          <cell r="Z9001" t="str">
            <v>386004</v>
          </cell>
        </row>
        <row r="9002">
          <cell r="Z9002" t="str">
            <v>386009</v>
          </cell>
        </row>
        <row r="9003">
          <cell r="Z9003" t="str">
            <v>387000</v>
          </cell>
        </row>
        <row r="9004">
          <cell r="Z9004" t="str">
            <v>387001</v>
          </cell>
        </row>
        <row r="9005">
          <cell r="Z9005" t="str">
            <v>387002</v>
          </cell>
        </row>
        <row r="9006">
          <cell r="Z9006" t="str">
            <v>387003</v>
          </cell>
        </row>
        <row r="9007">
          <cell r="Z9007" t="str">
            <v>387004</v>
          </cell>
        </row>
        <row r="9008">
          <cell r="Z9008" t="str">
            <v>387009</v>
          </cell>
        </row>
        <row r="9009">
          <cell r="Z9009" t="str">
            <v>388000</v>
          </cell>
        </row>
        <row r="9010">
          <cell r="Z9010" t="str">
            <v>388001</v>
          </cell>
        </row>
        <row r="9011">
          <cell r="Z9011" t="str">
            <v>388002</v>
          </cell>
        </row>
        <row r="9012">
          <cell r="Z9012" t="str">
            <v>388003</v>
          </cell>
        </row>
        <row r="9013">
          <cell r="Z9013" t="str">
            <v>388004</v>
          </cell>
        </row>
        <row r="9014">
          <cell r="Z9014" t="str">
            <v>388009</v>
          </cell>
        </row>
        <row r="9015">
          <cell r="Z9015" t="str">
            <v>389000</v>
          </cell>
        </row>
        <row r="9016">
          <cell r="Z9016" t="str">
            <v>389100</v>
          </cell>
        </row>
        <row r="9017">
          <cell r="Z9017" t="str">
            <v>389101</v>
          </cell>
        </row>
        <row r="9018">
          <cell r="Z9018" t="str">
            <v>389102</v>
          </cell>
        </row>
        <row r="9019">
          <cell r="Z9019" t="str">
            <v>389103</v>
          </cell>
        </row>
        <row r="9020">
          <cell r="Z9020" t="str">
            <v>389104</v>
          </cell>
        </row>
        <row r="9021">
          <cell r="Z9021" t="str">
            <v>389109</v>
          </cell>
        </row>
        <row r="9022">
          <cell r="Z9022" t="str">
            <v>389200</v>
          </cell>
        </row>
        <row r="9023">
          <cell r="Z9023" t="str">
            <v>389210</v>
          </cell>
        </row>
        <row r="9024">
          <cell r="Z9024" t="str">
            <v>389201</v>
          </cell>
        </row>
        <row r="9025">
          <cell r="Z9025" t="str">
            <v>389202</v>
          </cell>
        </row>
        <row r="9026">
          <cell r="Z9026" t="str">
            <v>389203</v>
          </cell>
        </row>
        <row r="9027">
          <cell r="Z9027" t="str">
            <v>389204</v>
          </cell>
        </row>
        <row r="9028">
          <cell r="Z9028" t="str">
            <v>389209</v>
          </cell>
        </row>
        <row r="9029">
          <cell r="Z9029" t="str">
            <v>389220</v>
          </cell>
        </row>
        <row r="9030">
          <cell r="Z9030" t="str">
            <v>389221</v>
          </cell>
        </row>
        <row r="9031">
          <cell r="Z9031" t="str">
            <v>389222</v>
          </cell>
        </row>
        <row r="9032">
          <cell r="Z9032" t="str">
            <v>389223</v>
          </cell>
        </row>
        <row r="9033">
          <cell r="Z9033" t="str">
            <v>389224</v>
          </cell>
        </row>
        <row r="9034">
          <cell r="Z9034" t="str">
            <v>389229</v>
          </cell>
        </row>
        <row r="9035">
          <cell r="Z9035" t="str">
            <v>389300</v>
          </cell>
        </row>
        <row r="9036">
          <cell r="Z9036" t="str">
            <v>389301</v>
          </cell>
        </row>
        <row r="9037">
          <cell r="Z9037" t="str">
            <v>389302</v>
          </cell>
        </row>
        <row r="9038">
          <cell r="Z9038" t="str">
            <v>389303</v>
          </cell>
        </row>
        <row r="9039">
          <cell r="Z9039" t="str">
            <v>389304</v>
          </cell>
        </row>
        <row r="9040">
          <cell r="Z9040" t="str">
            <v>389309</v>
          </cell>
        </row>
        <row r="9041">
          <cell r="Z9041" t="str">
            <v/>
          </cell>
        </row>
        <row r="9042">
          <cell r="Z9042" t="str">
            <v/>
          </cell>
        </row>
        <row r="9043">
          <cell r="Z9043" t="str">
            <v>400000</v>
          </cell>
        </row>
        <row r="9044">
          <cell r="Z9044" t="str">
            <v>401000</v>
          </cell>
        </row>
        <row r="9045">
          <cell r="Z9045" t="str">
            <v>401100</v>
          </cell>
        </row>
        <row r="9046">
          <cell r="Z9046" t="str">
            <v>401101</v>
          </cell>
        </row>
        <row r="9047">
          <cell r="Z9047" t="str">
            <v>401102</v>
          </cell>
        </row>
        <row r="9048">
          <cell r="Z9048" t="str">
            <v>401103</v>
          </cell>
        </row>
        <row r="9049">
          <cell r="Z9049" t="str">
            <v>401104</v>
          </cell>
        </row>
        <row r="9050">
          <cell r="Z9050" t="str">
            <v>401109</v>
          </cell>
        </row>
        <row r="9051">
          <cell r="Z9051" t="str">
            <v>401200</v>
          </cell>
        </row>
        <row r="9052">
          <cell r="Z9052" t="str">
            <v>401201</v>
          </cell>
        </row>
        <row r="9053">
          <cell r="Z9053" t="str">
            <v>401202</v>
          </cell>
        </row>
        <row r="9054">
          <cell r="Z9054" t="str">
            <v>401203</v>
          </cell>
        </row>
        <row r="9055">
          <cell r="Z9055" t="str">
            <v>401204</v>
          </cell>
        </row>
        <row r="9056">
          <cell r="Z9056" t="str">
            <v>401209</v>
          </cell>
        </row>
        <row r="9057">
          <cell r="Z9057" t="str">
            <v>402000</v>
          </cell>
        </row>
        <row r="9058">
          <cell r="Z9058" t="str">
            <v>402001</v>
          </cell>
        </row>
        <row r="9059">
          <cell r="Z9059" t="str">
            <v>402002</v>
          </cell>
        </row>
        <row r="9060">
          <cell r="Z9060" t="str">
            <v>402003</v>
          </cell>
        </row>
        <row r="9061">
          <cell r="Z9061" t="str">
            <v>402004</v>
          </cell>
        </row>
        <row r="9062">
          <cell r="Z9062" t="str">
            <v>402009</v>
          </cell>
        </row>
        <row r="9063">
          <cell r="Z9063" t="str">
            <v>403000</v>
          </cell>
        </row>
        <row r="9064">
          <cell r="Z9064" t="str">
            <v>403001</v>
          </cell>
        </row>
        <row r="9065">
          <cell r="Z9065" t="str">
            <v>403002</v>
          </cell>
        </row>
        <row r="9066">
          <cell r="Z9066" t="str">
            <v>403003</v>
          </cell>
        </row>
        <row r="9067">
          <cell r="Z9067" t="str">
            <v>403004</v>
          </cell>
        </row>
        <row r="9068">
          <cell r="Z9068" t="str">
            <v>403009</v>
          </cell>
        </row>
        <row r="9069">
          <cell r="Z9069" t="str">
            <v>404000</v>
          </cell>
        </row>
        <row r="9070">
          <cell r="Z9070" t="str">
            <v>404100</v>
          </cell>
        </row>
        <row r="9071">
          <cell r="Z9071" t="str">
            <v>404101</v>
          </cell>
        </row>
        <row r="9072">
          <cell r="Z9072" t="str">
            <v>404102</v>
          </cell>
        </row>
        <row r="9073">
          <cell r="Z9073" t="str">
            <v>404103</v>
          </cell>
        </row>
        <row r="9074">
          <cell r="Z9074" t="str">
            <v>404104</v>
          </cell>
        </row>
        <row r="9075">
          <cell r="Z9075" t="str">
            <v>404109</v>
          </cell>
        </row>
        <row r="9076">
          <cell r="Z9076" t="str">
            <v>404200</v>
          </cell>
        </row>
        <row r="9077">
          <cell r="Z9077" t="str">
            <v>404201</v>
          </cell>
        </row>
        <row r="9078">
          <cell r="Z9078" t="str">
            <v>404202</v>
          </cell>
        </row>
        <row r="9079">
          <cell r="Z9079" t="str">
            <v>404203</v>
          </cell>
        </row>
        <row r="9080">
          <cell r="Z9080" t="str">
            <v>404204</v>
          </cell>
        </row>
        <row r="9081">
          <cell r="Z9081" t="str">
            <v>404209</v>
          </cell>
        </row>
        <row r="9082">
          <cell r="Z9082" t="str">
            <v>405000</v>
          </cell>
        </row>
        <row r="9083">
          <cell r="Z9083" t="str">
            <v>405100</v>
          </cell>
        </row>
        <row r="9084">
          <cell r="Z9084" t="str">
            <v>405001</v>
          </cell>
        </row>
        <row r="9085">
          <cell r="Z9085" t="str">
            <v>405002</v>
          </cell>
        </row>
        <row r="9086">
          <cell r="Z9086" t="str">
            <v>405003</v>
          </cell>
        </row>
        <row r="9087">
          <cell r="Z9087" t="str">
            <v>405004</v>
          </cell>
        </row>
        <row r="9088">
          <cell r="Z9088" t="str">
            <v>405009</v>
          </cell>
        </row>
        <row r="9089">
          <cell r="Z9089" t="str">
            <v>405200</v>
          </cell>
        </row>
        <row r="9090">
          <cell r="Z9090" t="str">
            <v>405201</v>
          </cell>
        </row>
        <row r="9091">
          <cell r="Z9091" t="str">
            <v>405202</v>
          </cell>
        </row>
        <row r="9092">
          <cell r="Z9092" t="str">
            <v>405203</v>
          </cell>
        </row>
        <row r="9093">
          <cell r="Z9093" t="str">
            <v>405204</v>
          </cell>
        </row>
        <row r="9094">
          <cell r="Z9094" t="str">
            <v>405209</v>
          </cell>
        </row>
        <row r="9095">
          <cell r="Z9095" t="str">
            <v>406000</v>
          </cell>
        </row>
        <row r="9096">
          <cell r="Z9096" t="str">
            <v>406001</v>
          </cell>
        </row>
        <row r="9097">
          <cell r="Z9097" t="str">
            <v>406002</v>
          </cell>
        </row>
        <row r="9098">
          <cell r="Z9098" t="str">
            <v>406003</v>
          </cell>
        </row>
        <row r="9099">
          <cell r="Z9099" t="str">
            <v>406004</v>
          </cell>
        </row>
        <row r="9100">
          <cell r="Z9100" t="str">
            <v>406009</v>
          </cell>
        </row>
        <row r="9101">
          <cell r="Z9101" t="str">
            <v>407000</v>
          </cell>
        </row>
        <row r="9102">
          <cell r="Z9102" t="str">
            <v>407001</v>
          </cell>
        </row>
        <row r="9103">
          <cell r="Z9103" t="str">
            <v>407002</v>
          </cell>
        </row>
        <row r="9104">
          <cell r="Z9104" t="str">
            <v>407003</v>
          </cell>
        </row>
        <row r="9105">
          <cell r="Z9105" t="str">
            <v>407004</v>
          </cell>
        </row>
        <row r="9106">
          <cell r="Z9106" t="str">
            <v>407009</v>
          </cell>
        </row>
        <row r="9107">
          <cell r="Z9107" t="str">
            <v>408000</v>
          </cell>
        </row>
        <row r="9108">
          <cell r="Z9108" t="str">
            <v>408001</v>
          </cell>
        </row>
        <row r="9109">
          <cell r="Z9109" t="str">
            <v>408002</v>
          </cell>
        </row>
        <row r="9110">
          <cell r="Z9110" t="str">
            <v>408003</v>
          </cell>
        </row>
        <row r="9111">
          <cell r="Z9111" t="str">
            <v>408004</v>
          </cell>
        </row>
        <row r="9112">
          <cell r="Z9112" t="str">
            <v>408009</v>
          </cell>
        </row>
        <row r="9113">
          <cell r="Z9113" t="str">
            <v/>
          </cell>
        </row>
        <row r="9114">
          <cell r="Z9114" t="str">
            <v/>
          </cell>
        </row>
        <row r="9115">
          <cell r="Z9115" t="str">
            <v/>
          </cell>
        </row>
        <row r="9116">
          <cell r="Z9116" t="str">
            <v/>
          </cell>
        </row>
        <row r="9117">
          <cell r="Z9117" t="str">
            <v/>
          </cell>
        </row>
        <row r="9118">
          <cell r="Z9118" t="str">
            <v/>
          </cell>
        </row>
        <row r="9119">
          <cell r="Z9119" t="str">
            <v/>
          </cell>
        </row>
        <row r="9120">
          <cell r="Z9120" t="str">
            <v/>
          </cell>
        </row>
        <row r="9121">
          <cell r="Z9121" t="str">
            <v/>
          </cell>
        </row>
        <row r="9122">
          <cell r="Z9122" t="str">
            <v/>
          </cell>
        </row>
        <row r="9123">
          <cell r="Z9123" t="str">
            <v/>
          </cell>
        </row>
        <row r="9124">
          <cell r="Z9124" t="str">
            <v/>
          </cell>
        </row>
        <row r="9125">
          <cell r="Z9125" t="str">
            <v/>
          </cell>
        </row>
      </sheetData>
      <sheetData sheetId="4">
        <row r="2">
          <cell r="F2">
            <v>1997316.82</v>
          </cell>
        </row>
        <row r="3200">
          <cell r="F3200">
            <v>1679228.299259</v>
          </cell>
        </row>
      </sheetData>
      <sheetData sheetId="5">
        <row r="2">
          <cell r="F2">
            <v>-531469.76999999979</v>
          </cell>
        </row>
        <row r="226">
          <cell r="F226">
            <v>-531469.76999999979</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BS"/>
      <sheetName val="IS"/>
      <sheetName val="IS.Cum"/>
      <sheetName val="BS_Nbc"/>
      <sheetName val="IS_Nbc"/>
      <sheetName val="IS_Cum"/>
      <sheetName val="AL_Old"/>
      <sheetName val="AL_New"/>
      <sheetName val="Mapping"/>
      <sheetName val="AL Old"/>
      <sheetName val="AL.1 Old"/>
    </sheetNames>
    <sheetDataSet>
      <sheetData sheetId="0"/>
      <sheetData sheetId="1"/>
      <sheetData sheetId="2">
        <row r="6">
          <cell r="F6">
            <v>1.1000000000000001</v>
          </cell>
          <cell r="H6" t="str">
            <v>R13</v>
          </cell>
          <cell r="I6" t="str">
            <v>A1</v>
          </cell>
          <cell r="S6">
            <v>9606360800</v>
          </cell>
          <cell r="W6">
            <v>9606360800</v>
          </cell>
        </row>
        <row r="7">
          <cell r="F7">
            <v>1.1000000000000001</v>
          </cell>
          <cell r="H7" t="str">
            <v>R13</v>
          </cell>
          <cell r="I7" t="str">
            <v>A1</v>
          </cell>
          <cell r="S7">
            <v>42539700</v>
          </cell>
          <cell r="W7">
            <v>42539700</v>
          </cell>
        </row>
        <row r="8">
          <cell r="F8">
            <v>1.1000000000000001</v>
          </cell>
          <cell r="H8" t="str">
            <v>R14</v>
          </cell>
          <cell r="I8" t="str">
            <v>B2</v>
          </cell>
          <cell r="S8">
            <v>0</v>
          </cell>
          <cell r="W8">
            <v>37876433559</v>
          </cell>
        </row>
        <row r="9">
          <cell r="F9">
            <v>1.1000000000000001</v>
          </cell>
          <cell r="H9" t="str">
            <v>R14</v>
          </cell>
          <cell r="I9" t="str">
            <v>B2</v>
          </cell>
          <cell r="S9">
            <v>0</v>
          </cell>
          <cell r="W9">
            <v>22111283</v>
          </cell>
        </row>
        <row r="10">
          <cell r="F10">
            <v>1.1000000000000001</v>
          </cell>
          <cell r="H10" t="str">
            <v>R14</v>
          </cell>
          <cell r="I10" t="str">
            <v>B2</v>
          </cell>
          <cell r="S10">
            <v>0</v>
          </cell>
          <cell r="W10">
            <v>777418189.20000005</v>
          </cell>
        </row>
        <row r="11">
          <cell r="F11">
            <v>1.1000000000000001</v>
          </cell>
          <cell r="H11" t="str">
            <v>R14</v>
          </cell>
          <cell r="I11" t="str">
            <v>B2</v>
          </cell>
          <cell r="S11">
            <v>0</v>
          </cell>
          <cell r="W11">
            <v>5631209764.3199997</v>
          </cell>
        </row>
        <row r="12">
          <cell r="F12">
            <v>1.1000000000000001</v>
          </cell>
          <cell r="H12" t="str">
            <v>R14</v>
          </cell>
          <cell r="I12" t="str">
            <v>B2</v>
          </cell>
          <cell r="S12">
            <v>0</v>
          </cell>
          <cell r="W12">
            <v>3472000</v>
          </cell>
        </row>
        <row r="13">
          <cell r="F13">
            <v>1.1000000000000001</v>
          </cell>
          <cell r="H13" t="str">
            <v>R14</v>
          </cell>
          <cell r="I13" t="str">
            <v>B2</v>
          </cell>
          <cell r="S13">
            <v>0</v>
          </cell>
          <cell r="W13">
            <v>0</v>
          </cell>
        </row>
        <row r="14">
          <cell r="F14">
            <v>1.1000000000000001</v>
          </cell>
          <cell r="H14" t="str">
            <v>R14</v>
          </cell>
          <cell r="I14" t="str">
            <v>B2</v>
          </cell>
          <cell r="S14">
            <v>0</v>
          </cell>
          <cell r="W14">
            <v>86556850</v>
          </cell>
        </row>
        <row r="15">
          <cell r="F15">
            <v>1.1000000000000001</v>
          </cell>
          <cell r="H15" t="str">
            <v>R14</v>
          </cell>
          <cell r="I15" t="str">
            <v>B2</v>
          </cell>
          <cell r="S15">
            <v>0</v>
          </cell>
          <cell r="W15">
            <v>68192238</v>
          </cell>
        </row>
        <row r="16">
          <cell r="F16">
            <v>1.1000000000000001</v>
          </cell>
          <cell r="H16" t="str">
            <v>R14</v>
          </cell>
          <cell r="I16" t="str">
            <v>B2</v>
          </cell>
          <cell r="S16">
            <v>0</v>
          </cell>
          <cell r="W16">
            <v>3955790</v>
          </cell>
        </row>
        <row r="17">
          <cell r="S17">
            <v>0</v>
          </cell>
          <cell r="W17">
            <v>0</v>
          </cell>
        </row>
        <row r="18">
          <cell r="F18">
            <v>1.1000000000000001</v>
          </cell>
          <cell r="H18" t="str">
            <v>R13</v>
          </cell>
          <cell r="I18" t="str">
            <v>A1</v>
          </cell>
          <cell r="S18">
            <v>330000000</v>
          </cell>
          <cell r="W18">
            <v>330000000</v>
          </cell>
        </row>
        <row r="19">
          <cell r="F19">
            <v>1.1000000000000001</v>
          </cell>
          <cell r="H19" t="str">
            <v>R14</v>
          </cell>
          <cell r="I19" t="str">
            <v>B2</v>
          </cell>
          <cell r="S19">
            <v>0</v>
          </cell>
          <cell r="W19">
            <v>0</v>
          </cell>
        </row>
        <row r="20">
          <cell r="F20">
            <v>1.1000000000000001</v>
          </cell>
          <cell r="H20" t="str">
            <v>R14</v>
          </cell>
          <cell r="I20" t="str">
            <v>B2</v>
          </cell>
          <cell r="S20">
            <v>0</v>
          </cell>
          <cell r="W20">
            <v>0</v>
          </cell>
        </row>
        <row r="21">
          <cell r="F21">
            <v>1.1000000000000001</v>
          </cell>
          <cell r="H21" t="str">
            <v>R14</v>
          </cell>
          <cell r="I21" t="str">
            <v>B2</v>
          </cell>
          <cell r="S21">
            <v>0</v>
          </cell>
          <cell r="W21">
            <v>0</v>
          </cell>
        </row>
        <row r="22">
          <cell r="S22">
            <v>0</v>
          </cell>
          <cell r="W22">
            <v>0</v>
          </cell>
        </row>
        <row r="23">
          <cell r="F23">
            <v>1.1000000000000001</v>
          </cell>
          <cell r="H23" t="str">
            <v>R14</v>
          </cell>
          <cell r="I23" t="str">
            <v>B2</v>
          </cell>
          <cell r="S23">
            <v>0</v>
          </cell>
          <cell r="W23">
            <v>0</v>
          </cell>
        </row>
        <row r="24">
          <cell r="F24">
            <v>1.1000000000000001</v>
          </cell>
          <cell r="H24" t="str">
            <v>R14</v>
          </cell>
          <cell r="I24" t="str">
            <v>B2</v>
          </cell>
          <cell r="S24">
            <v>0</v>
          </cell>
          <cell r="W24">
            <v>531351</v>
          </cell>
        </row>
        <row r="25">
          <cell r="F25">
            <v>1.1000000000000001</v>
          </cell>
          <cell r="H25" t="str">
            <v>R14</v>
          </cell>
          <cell r="I25" t="str">
            <v>B2</v>
          </cell>
          <cell r="S25">
            <v>0</v>
          </cell>
          <cell r="W25">
            <v>0</v>
          </cell>
        </row>
        <row r="26">
          <cell r="S26">
            <v>0</v>
          </cell>
          <cell r="W26">
            <v>0</v>
          </cell>
        </row>
        <row r="27">
          <cell r="F27">
            <v>1.1000000000000001</v>
          </cell>
          <cell r="H27" t="str">
            <v>R13</v>
          </cell>
          <cell r="I27" t="str">
            <v>A1</v>
          </cell>
          <cell r="S27">
            <v>2278400</v>
          </cell>
          <cell r="W27">
            <v>2278400</v>
          </cell>
        </row>
        <row r="28">
          <cell r="F28">
            <v>1.1000000000000001</v>
          </cell>
          <cell r="H28" t="str">
            <v>R14</v>
          </cell>
          <cell r="I28" t="str">
            <v>B2</v>
          </cell>
          <cell r="S28">
            <v>0</v>
          </cell>
          <cell r="W28">
            <v>939510283</v>
          </cell>
        </row>
        <row r="29">
          <cell r="F29">
            <v>1.1000000000000001</v>
          </cell>
          <cell r="H29" t="str">
            <v>R14</v>
          </cell>
          <cell r="I29" t="str">
            <v>B2</v>
          </cell>
          <cell r="S29">
            <v>0</v>
          </cell>
          <cell r="W29">
            <v>0</v>
          </cell>
        </row>
        <row r="30">
          <cell r="S30">
            <v>0</v>
          </cell>
          <cell r="W30">
            <v>0</v>
          </cell>
        </row>
        <row r="31">
          <cell r="F31" t="str">
            <v>1.3.2</v>
          </cell>
          <cell r="H31" t="str">
            <v>R19</v>
          </cell>
          <cell r="I31" t="str">
            <v>A2</v>
          </cell>
          <cell r="S31">
            <v>0</v>
          </cell>
          <cell r="W31">
            <v>0</v>
          </cell>
        </row>
        <row r="32">
          <cell r="F32" t="str">
            <v>1.3.2</v>
          </cell>
          <cell r="H32" t="str">
            <v>R26</v>
          </cell>
          <cell r="I32" t="str">
            <v>A3</v>
          </cell>
          <cell r="S32">
            <v>0</v>
          </cell>
          <cell r="W32">
            <v>0</v>
          </cell>
        </row>
        <row r="33">
          <cell r="F33" t="str">
            <v>1.3.2</v>
          </cell>
          <cell r="H33" t="str">
            <v>R26</v>
          </cell>
          <cell r="I33" t="str">
            <v>A3</v>
          </cell>
          <cell r="S33">
            <v>0</v>
          </cell>
          <cell r="W33">
            <v>0</v>
          </cell>
        </row>
        <row r="34">
          <cell r="S34">
            <v>0</v>
          </cell>
          <cell r="W34">
            <v>0</v>
          </cell>
        </row>
        <row r="35">
          <cell r="F35" t="str">
            <v>1.3.1.1</v>
          </cell>
          <cell r="H35" t="str">
            <v>R32</v>
          </cell>
          <cell r="I35" t="str">
            <v>A2</v>
          </cell>
          <cell r="S35">
            <v>0</v>
          </cell>
          <cell r="W35">
            <v>0</v>
          </cell>
        </row>
        <row r="36">
          <cell r="F36" t="str">
            <v>1.3.1.1</v>
          </cell>
          <cell r="H36" t="str">
            <v>R37</v>
          </cell>
          <cell r="I36" t="str">
            <v>A3</v>
          </cell>
          <cell r="J36" t="str">
            <v>A3.2*</v>
          </cell>
          <cell r="S36">
            <v>0</v>
          </cell>
          <cell r="W36">
            <v>5395000000</v>
          </cell>
        </row>
        <row r="37">
          <cell r="F37" t="str">
            <v>1.3.1.1</v>
          </cell>
          <cell r="H37" t="str">
            <v>R37</v>
          </cell>
          <cell r="I37" t="str">
            <v>A3</v>
          </cell>
          <cell r="J37" t="str">
            <v>A3.2*</v>
          </cell>
          <cell r="S37">
            <v>0</v>
          </cell>
          <cell r="W37">
            <v>0</v>
          </cell>
        </row>
        <row r="38">
          <cell r="S38">
            <v>0</v>
          </cell>
          <cell r="W38">
            <v>0</v>
          </cell>
        </row>
        <row r="39">
          <cell r="F39" t="str">
            <v>1.3.1.2</v>
          </cell>
          <cell r="H39" t="str">
            <v>R18</v>
          </cell>
          <cell r="I39" t="str">
            <v>A2</v>
          </cell>
          <cell r="J39" t="str">
            <v>A2.1*</v>
          </cell>
          <cell r="S39">
            <v>2000000</v>
          </cell>
          <cell r="W39">
            <v>2000000</v>
          </cell>
        </row>
        <row r="40">
          <cell r="F40" t="str">
            <v>1.3.1.2</v>
          </cell>
          <cell r="H40" t="str">
            <v>R25</v>
          </cell>
          <cell r="I40" t="str">
            <v>A3</v>
          </cell>
          <cell r="J40" t="str">
            <v>A3.1*</v>
          </cell>
          <cell r="S40">
            <v>0</v>
          </cell>
          <cell r="W40">
            <v>21787500000</v>
          </cell>
        </row>
        <row r="41">
          <cell r="F41" t="str">
            <v>1.3.1.2</v>
          </cell>
          <cell r="H41" t="str">
            <v>R25</v>
          </cell>
          <cell r="I41" t="str">
            <v>A3</v>
          </cell>
          <cell r="J41" t="str">
            <v>A3.1*</v>
          </cell>
          <cell r="S41">
            <v>0</v>
          </cell>
          <cell r="W41">
            <v>0</v>
          </cell>
        </row>
        <row r="42">
          <cell r="S42">
            <v>0</v>
          </cell>
          <cell r="W42">
            <v>0</v>
          </cell>
        </row>
        <row r="43">
          <cell r="F43" t="str">
            <v>1.3.1.3</v>
          </cell>
          <cell r="H43" t="str">
            <v>R32</v>
          </cell>
          <cell r="I43" t="str">
            <v>A2</v>
          </cell>
          <cell r="S43">
            <v>196972522</v>
          </cell>
          <cell r="W43">
            <v>196972522</v>
          </cell>
        </row>
        <row r="44">
          <cell r="F44" t="str">
            <v>1.3.1.3</v>
          </cell>
          <cell r="H44" t="str">
            <v>R37</v>
          </cell>
          <cell r="I44" t="str">
            <v>A3</v>
          </cell>
          <cell r="S44">
            <v>0</v>
          </cell>
          <cell r="W44">
            <v>6816507219</v>
          </cell>
        </row>
        <row r="45">
          <cell r="F45" t="str">
            <v>1.3.1.3</v>
          </cell>
          <cell r="H45" t="str">
            <v>R37</v>
          </cell>
          <cell r="I45" t="str">
            <v>A3</v>
          </cell>
          <cell r="S45">
            <v>0</v>
          </cell>
          <cell r="W45">
            <v>0</v>
          </cell>
        </row>
        <row r="46">
          <cell r="S46">
            <v>0</v>
          </cell>
          <cell r="W46">
            <v>0</v>
          </cell>
        </row>
        <row r="47">
          <cell r="F47" t="str">
            <v>1.3.1.3</v>
          </cell>
          <cell r="H47" t="str">
            <v>R37</v>
          </cell>
          <cell r="I47" t="str">
            <v>A3</v>
          </cell>
          <cell r="S47">
            <v>0</v>
          </cell>
          <cell r="W47">
            <v>14525000000</v>
          </cell>
        </row>
        <row r="48">
          <cell r="S48">
            <v>0</v>
          </cell>
          <cell r="W48">
            <v>0</v>
          </cell>
        </row>
        <row r="49">
          <cell r="S49">
            <v>0</v>
          </cell>
          <cell r="W49">
            <v>0</v>
          </cell>
        </row>
        <row r="50">
          <cell r="F50">
            <v>1.4</v>
          </cell>
          <cell r="H50" t="str">
            <v>R20</v>
          </cell>
          <cell r="I50" t="str">
            <v>A5</v>
          </cell>
          <cell r="S50">
            <v>0</v>
          </cell>
          <cell r="W50">
            <v>0</v>
          </cell>
        </row>
        <row r="51">
          <cell r="F51" t="str">
            <v>1.4.1</v>
          </cell>
          <cell r="H51" t="str">
            <v>R20</v>
          </cell>
          <cell r="I51" t="str">
            <v>A5</v>
          </cell>
          <cell r="S51">
            <v>0</v>
          </cell>
          <cell r="W51">
            <v>0</v>
          </cell>
        </row>
        <row r="52">
          <cell r="S52">
            <v>0</v>
          </cell>
          <cell r="W52">
            <v>0</v>
          </cell>
        </row>
        <row r="53">
          <cell r="F53" t="str">
            <v>1.4.1</v>
          </cell>
          <cell r="H53" t="str">
            <v>R27</v>
          </cell>
          <cell r="I53" t="str">
            <v>A6</v>
          </cell>
          <cell r="S53">
            <v>0</v>
          </cell>
          <cell r="W53">
            <v>0</v>
          </cell>
        </row>
        <row r="54">
          <cell r="F54" t="str">
            <v>1.4.1</v>
          </cell>
          <cell r="H54" t="str">
            <v>R27</v>
          </cell>
          <cell r="I54" t="str">
            <v>A6</v>
          </cell>
          <cell r="S54">
            <v>0</v>
          </cell>
          <cell r="W54">
            <v>21513890.5</v>
          </cell>
        </row>
        <row r="55">
          <cell r="F55" t="str">
            <v>1.4.1</v>
          </cell>
          <cell r="H55" t="str">
            <v>R27</v>
          </cell>
          <cell r="I55" t="str">
            <v>A6</v>
          </cell>
          <cell r="S55">
            <v>0</v>
          </cell>
          <cell r="W55">
            <v>299487447.5</v>
          </cell>
        </row>
        <row r="56">
          <cell r="F56" t="str">
            <v>1.4.1</v>
          </cell>
          <cell r="H56" t="str">
            <v>R27</v>
          </cell>
          <cell r="I56" t="str">
            <v>A6</v>
          </cell>
          <cell r="S56">
            <v>0</v>
          </cell>
          <cell r="W56">
            <v>40554713</v>
          </cell>
        </row>
        <row r="57">
          <cell r="F57" t="str">
            <v>1.4.1</v>
          </cell>
          <cell r="H57" t="str">
            <v>R27</v>
          </cell>
          <cell r="I57" t="str">
            <v>A6</v>
          </cell>
          <cell r="S57">
            <v>0</v>
          </cell>
          <cell r="W57">
            <v>2067073.5</v>
          </cell>
        </row>
        <row r="58">
          <cell r="F58" t="str">
            <v>1.4.1</v>
          </cell>
          <cell r="H58" t="str">
            <v>R27</v>
          </cell>
          <cell r="I58" t="str">
            <v>A6</v>
          </cell>
          <cell r="S58">
            <v>0</v>
          </cell>
          <cell r="W58">
            <v>4733158</v>
          </cell>
        </row>
        <row r="59">
          <cell r="S59">
            <v>0</v>
          </cell>
          <cell r="W59">
            <v>0</v>
          </cell>
        </row>
        <row r="60">
          <cell r="F60" t="str">
            <v>1.4.1</v>
          </cell>
          <cell r="H60" t="str">
            <v>R27</v>
          </cell>
          <cell r="I60" t="str">
            <v>A6</v>
          </cell>
          <cell r="S60">
            <v>0</v>
          </cell>
          <cell r="W60">
            <v>0</v>
          </cell>
        </row>
        <row r="61">
          <cell r="F61" t="str">
            <v>1.4.1</v>
          </cell>
          <cell r="H61" t="str">
            <v>R27</v>
          </cell>
          <cell r="I61" t="str">
            <v>A6</v>
          </cell>
          <cell r="S61">
            <v>0</v>
          </cell>
          <cell r="W61">
            <v>0</v>
          </cell>
        </row>
        <row r="62">
          <cell r="S62">
            <v>0</v>
          </cell>
          <cell r="W62">
            <v>0</v>
          </cell>
        </row>
        <row r="63">
          <cell r="F63" t="str">
            <v>1.4.2</v>
          </cell>
          <cell r="H63" t="str">
            <v>R29</v>
          </cell>
          <cell r="I63" t="str">
            <v>B4</v>
          </cell>
          <cell r="S63">
            <v>0</v>
          </cell>
          <cell r="W63">
            <v>11791210034.5</v>
          </cell>
        </row>
        <row r="64">
          <cell r="F64" t="str">
            <v>1.4.2</v>
          </cell>
          <cell r="H64" t="str">
            <v>R29</v>
          </cell>
          <cell r="I64" t="str">
            <v>B4</v>
          </cell>
          <cell r="S64">
            <v>0</v>
          </cell>
          <cell r="W64">
            <v>1558494278.5</v>
          </cell>
        </row>
        <row r="65">
          <cell r="F65" t="str">
            <v>1.4.2</v>
          </cell>
          <cell r="H65" t="str">
            <v>R29</v>
          </cell>
          <cell r="I65" t="str">
            <v>B4</v>
          </cell>
          <cell r="S65">
            <v>0</v>
          </cell>
          <cell r="W65">
            <v>1523597219</v>
          </cell>
        </row>
        <row r="66">
          <cell r="F66" t="str">
            <v>1.4.2</v>
          </cell>
          <cell r="H66" t="str">
            <v>R29</v>
          </cell>
          <cell r="I66" t="str">
            <v>B4</v>
          </cell>
          <cell r="S66">
            <v>0</v>
          </cell>
          <cell r="W66">
            <v>848946866.5</v>
          </cell>
        </row>
        <row r="67">
          <cell r="F67" t="str">
            <v>1.4.2</v>
          </cell>
          <cell r="H67" t="str">
            <v>R29</v>
          </cell>
          <cell r="I67" t="str">
            <v>B4</v>
          </cell>
          <cell r="S67">
            <v>0</v>
          </cell>
          <cell r="W67">
            <v>4150000</v>
          </cell>
        </row>
        <row r="68">
          <cell r="F68" t="str">
            <v>1.4.2</v>
          </cell>
          <cell r="H68" t="str">
            <v>R29</v>
          </cell>
          <cell r="I68" t="str">
            <v>B4</v>
          </cell>
          <cell r="S68">
            <v>0</v>
          </cell>
          <cell r="W68">
            <v>3443705396.8200002</v>
          </cell>
        </row>
        <row r="69">
          <cell r="F69" t="str">
            <v>1.4.2</v>
          </cell>
          <cell r="H69" t="str">
            <v>R29</v>
          </cell>
          <cell r="I69" t="str">
            <v>B4</v>
          </cell>
          <cell r="S69">
            <v>0</v>
          </cell>
          <cell r="W69">
            <v>247150293.47999999</v>
          </cell>
        </row>
        <row r="70">
          <cell r="F70" t="str">
            <v>1.4.2</v>
          </cell>
          <cell r="H70" t="str">
            <v>R29</v>
          </cell>
          <cell r="I70" t="str">
            <v>B4</v>
          </cell>
          <cell r="S70">
            <v>0</v>
          </cell>
          <cell r="W70">
            <v>132065548.38</v>
          </cell>
        </row>
        <row r="71">
          <cell r="F71" t="str">
            <v>1.4.2</v>
          </cell>
          <cell r="H71" t="str">
            <v>R29</v>
          </cell>
          <cell r="I71" t="str">
            <v>B4</v>
          </cell>
          <cell r="S71">
            <v>0</v>
          </cell>
          <cell r="W71">
            <v>145630888.47999999</v>
          </cell>
        </row>
        <row r="72">
          <cell r="F72" t="str">
            <v>1.4.2</v>
          </cell>
          <cell r="H72" t="str">
            <v>R29</v>
          </cell>
          <cell r="I72" t="str">
            <v>B4</v>
          </cell>
          <cell r="S72">
            <v>0</v>
          </cell>
          <cell r="W72">
            <v>168215859.80000001</v>
          </cell>
        </row>
        <row r="73">
          <cell r="F73" t="str">
            <v>1.4.2</v>
          </cell>
          <cell r="H73" t="str">
            <v>R29</v>
          </cell>
          <cell r="I73" t="str">
            <v>B4</v>
          </cell>
          <cell r="S73">
            <v>0</v>
          </cell>
          <cell r="W73">
            <v>16538470.800000001</v>
          </cell>
        </row>
        <row r="74">
          <cell r="F74" t="str">
            <v>1.4.2</v>
          </cell>
          <cell r="H74" t="str">
            <v>R29</v>
          </cell>
          <cell r="I74" t="str">
            <v>B4</v>
          </cell>
          <cell r="S74">
            <v>0</v>
          </cell>
          <cell r="W74">
            <v>48865208.409999996</v>
          </cell>
        </row>
        <row r="75">
          <cell r="F75" t="str">
            <v>1.4.2</v>
          </cell>
          <cell r="H75" t="str">
            <v>R29</v>
          </cell>
          <cell r="I75" t="str">
            <v>B4</v>
          </cell>
          <cell r="S75">
            <v>0</v>
          </cell>
          <cell r="W75">
            <v>834165</v>
          </cell>
        </row>
        <row r="76">
          <cell r="S76">
            <v>0</v>
          </cell>
          <cell r="W76">
            <v>0</v>
          </cell>
        </row>
        <row r="77">
          <cell r="F77" t="str">
            <v>1.5.1.1</v>
          </cell>
          <cell r="H77" t="str">
            <v>R33</v>
          </cell>
          <cell r="I77" t="str">
            <v>A5</v>
          </cell>
          <cell r="S77">
            <v>0</v>
          </cell>
          <cell r="W77">
            <v>0</v>
          </cell>
        </row>
        <row r="78">
          <cell r="F78" t="str">
            <v>1.5.1.1</v>
          </cell>
          <cell r="H78" t="str">
            <v>R38</v>
          </cell>
          <cell r="I78" t="str">
            <v>A6</v>
          </cell>
          <cell r="S78">
            <v>0</v>
          </cell>
          <cell r="W78">
            <v>116200000</v>
          </cell>
        </row>
        <row r="79">
          <cell r="F79" t="str">
            <v>1.5.1.1</v>
          </cell>
          <cell r="H79" t="str">
            <v>R38</v>
          </cell>
          <cell r="I79" t="str">
            <v>A6</v>
          </cell>
          <cell r="S79">
            <v>0</v>
          </cell>
          <cell r="W79">
            <v>0</v>
          </cell>
        </row>
        <row r="80">
          <cell r="S80">
            <v>0</v>
          </cell>
          <cell r="W80">
            <v>0</v>
          </cell>
        </row>
        <row r="81">
          <cell r="F81" t="str">
            <v>1.5.2.1</v>
          </cell>
          <cell r="H81" t="str">
            <v>R40</v>
          </cell>
          <cell r="I81" t="str">
            <v>B4</v>
          </cell>
          <cell r="S81">
            <v>0</v>
          </cell>
          <cell r="W81">
            <v>747000000</v>
          </cell>
        </row>
        <row r="82">
          <cell r="S82">
            <v>0</v>
          </cell>
          <cell r="W82">
            <v>0</v>
          </cell>
        </row>
        <row r="83">
          <cell r="F83" t="str">
            <v>2.2.2</v>
          </cell>
          <cell r="G83" t="str">
            <v>2.2.9</v>
          </cell>
          <cell r="H83" t="str">
            <v>R67</v>
          </cell>
          <cell r="I83" t="str">
            <v>A8.1.1</v>
          </cell>
          <cell r="S83">
            <v>0</v>
          </cell>
          <cell r="W83">
            <v>0</v>
          </cell>
        </row>
        <row r="84">
          <cell r="F84" t="str">
            <v>2.2.2</v>
          </cell>
          <cell r="G84" t="str">
            <v>2.2.9</v>
          </cell>
          <cell r="H84" t="str">
            <v>R82</v>
          </cell>
          <cell r="I84" t="str">
            <v>A8.1.1</v>
          </cell>
          <cell r="J84" t="str">
            <v>A8.1*</v>
          </cell>
          <cell r="S84">
            <v>0</v>
          </cell>
          <cell r="W84">
            <v>478096600</v>
          </cell>
        </row>
        <row r="85">
          <cell r="F85" t="str">
            <v>2.2.2</v>
          </cell>
          <cell r="G85" t="str">
            <v>2.2.9</v>
          </cell>
          <cell r="H85" t="str">
            <v>R82</v>
          </cell>
          <cell r="I85" t="str">
            <v>A8.1.1</v>
          </cell>
          <cell r="J85" t="str">
            <v>A8.1*</v>
          </cell>
          <cell r="S85">
            <v>0</v>
          </cell>
          <cell r="W85">
            <v>1005189843</v>
          </cell>
        </row>
        <row r="86">
          <cell r="F86" t="str">
            <v>2.2.2</v>
          </cell>
          <cell r="G86" t="str">
            <v>2.2.9</v>
          </cell>
          <cell r="H86" t="str">
            <v>R82</v>
          </cell>
          <cell r="I86" t="str">
            <v>A8.1.1</v>
          </cell>
          <cell r="J86" t="str">
            <v>A8.1*</v>
          </cell>
          <cell r="S86">
            <v>0</v>
          </cell>
          <cell r="W86">
            <v>0</v>
          </cell>
        </row>
        <row r="88">
          <cell r="F88" t="str">
            <v>2.2.4</v>
          </cell>
          <cell r="H88" t="str">
            <v>R68</v>
          </cell>
          <cell r="I88" t="str">
            <v>A8.1.1</v>
          </cell>
          <cell r="S88">
            <v>215663000</v>
          </cell>
          <cell r="W88">
            <v>215663000</v>
          </cell>
        </row>
        <row r="89">
          <cell r="F89" t="str">
            <v>2.2.4</v>
          </cell>
          <cell r="H89" t="str">
            <v>R83</v>
          </cell>
          <cell r="I89" t="str">
            <v>A8.1.1</v>
          </cell>
          <cell r="J89" t="str">
            <v>A8.1*</v>
          </cell>
          <cell r="S89">
            <v>0</v>
          </cell>
          <cell r="W89">
            <v>14519856656</v>
          </cell>
        </row>
        <row r="90">
          <cell r="F90" t="str">
            <v>2.2.4</v>
          </cell>
          <cell r="H90" t="str">
            <v>R83</v>
          </cell>
          <cell r="I90" t="str">
            <v>A8.1.1</v>
          </cell>
          <cell r="J90" t="str">
            <v>A8.1*</v>
          </cell>
          <cell r="S90">
            <v>0</v>
          </cell>
          <cell r="W90">
            <v>15142960</v>
          </cell>
        </row>
        <row r="91">
          <cell r="F91" t="str">
            <v>2.2.4</v>
          </cell>
          <cell r="H91" t="str">
            <v>R83</v>
          </cell>
          <cell r="I91" t="str">
            <v>A8.1.1</v>
          </cell>
          <cell r="J91" t="str">
            <v>A8.1*</v>
          </cell>
          <cell r="S91">
            <v>0</v>
          </cell>
          <cell r="W91">
            <v>0</v>
          </cell>
        </row>
        <row r="92">
          <cell r="F92" t="str">
            <v>2.2.4</v>
          </cell>
          <cell r="H92" t="str">
            <v>R83</v>
          </cell>
          <cell r="I92" t="str">
            <v>A8.1.1</v>
          </cell>
          <cell r="J92" t="str">
            <v>A8.1*</v>
          </cell>
          <cell r="S92">
            <v>0</v>
          </cell>
          <cell r="W92">
            <v>0</v>
          </cell>
        </row>
        <row r="93">
          <cell r="S93">
            <v>0</v>
          </cell>
          <cell r="W93">
            <v>0</v>
          </cell>
        </row>
        <row r="94">
          <cell r="F94" t="str">
            <v>2.2.4</v>
          </cell>
          <cell r="H94" t="str">
            <v>R83</v>
          </cell>
          <cell r="I94" t="str">
            <v>A8.1.1</v>
          </cell>
          <cell r="J94" t="str">
            <v>A8.1*</v>
          </cell>
          <cell r="S94">
            <v>0</v>
          </cell>
          <cell r="W94">
            <v>11327767292</v>
          </cell>
        </row>
        <row r="95">
          <cell r="F95" t="str">
            <v>2.2.4</v>
          </cell>
          <cell r="H95" t="str">
            <v>R83</v>
          </cell>
          <cell r="I95" t="str">
            <v>A8.1.1</v>
          </cell>
          <cell r="J95" t="str">
            <v>A8.1*</v>
          </cell>
          <cell r="S95">
            <v>0</v>
          </cell>
          <cell r="W95">
            <v>9550899142</v>
          </cell>
        </row>
        <row r="96">
          <cell r="S96">
            <v>0</v>
          </cell>
          <cell r="W96">
            <v>0</v>
          </cell>
        </row>
        <row r="97">
          <cell r="F97" t="str">
            <v>2.2.4</v>
          </cell>
          <cell r="H97" t="str">
            <v>R68</v>
          </cell>
          <cell r="I97" t="str">
            <v>A8.1.1</v>
          </cell>
          <cell r="S97">
            <v>0</v>
          </cell>
          <cell r="W97">
            <v>0</v>
          </cell>
        </row>
        <row r="98">
          <cell r="F98" t="str">
            <v>2.2.4</v>
          </cell>
          <cell r="H98" t="str">
            <v>R83</v>
          </cell>
          <cell r="I98" t="str">
            <v>A8.1.1</v>
          </cell>
          <cell r="J98" t="str">
            <v>A8.1*</v>
          </cell>
          <cell r="S98">
            <v>0</v>
          </cell>
          <cell r="W98">
            <v>4651050250</v>
          </cell>
        </row>
        <row r="99">
          <cell r="F99" t="str">
            <v>2.2.4</v>
          </cell>
          <cell r="H99" t="str">
            <v>R83</v>
          </cell>
          <cell r="I99" t="str">
            <v>A8.1.1</v>
          </cell>
          <cell r="J99" t="str">
            <v>A8.1*</v>
          </cell>
          <cell r="S99">
            <v>0</v>
          </cell>
          <cell r="W99">
            <v>0</v>
          </cell>
        </row>
        <row r="100">
          <cell r="F100" t="str">
            <v>2.2.4</v>
          </cell>
          <cell r="H100" t="str">
            <v>R83</v>
          </cell>
          <cell r="I100" t="str">
            <v>A8.1.1</v>
          </cell>
          <cell r="J100" t="str">
            <v>A8.1*</v>
          </cell>
          <cell r="S100">
            <v>0</v>
          </cell>
          <cell r="W100">
            <v>0</v>
          </cell>
        </row>
        <row r="101">
          <cell r="F101" t="str">
            <v>2.2.4</v>
          </cell>
          <cell r="H101" t="str">
            <v>R83</v>
          </cell>
          <cell r="I101" t="str">
            <v>A8.1.1</v>
          </cell>
          <cell r="J101" t="str">
            <v>A8.1*</v>
          </cell>
          <cell r="S101">
            <v>0</v>
          </cell>
          <cell r="W101">
            <v>0</v>
          </cell>
        </row>
        <row r="102">
          <cell r="S102">
            <v>0</v>
          </cell>
          <cell r="W102">
            <v>0</v>
          </cell>
        </row>
        <row r="103">
          <cell r="F103" t="str">
            <v>2.2.4</v>
          </cell>
          <cell r="H103" t="str">
            <v>R68</v>
          </cell>
          <cell r="I103" t="str">
            <v>A8.1.1</v>
          </cell>
          <cell r="S103">
            <v>0</v>
          </cell>
          <cell r="W103">
            <v>0</v>
          </cell>
        </row>
        <row r="104">
          <cell r="F104" t="str">
            <v>2.2.4</v>
          </cell>
          <cell r="H104" t="str">
            <v>R83</v>
          </cell>
          <cell r="I104" t="str">
            <v>A8.1.1</v>
          </cell>
          <cell r="J104" t="str">
            <v>A8.1*</v>
          </cell>
          <cell r="S104">
            <v>0</v>
          </cell>
          <cell r="W104">
            <v>0</v>
          </cell>
        </row>
        <row r="105">
          <cell r="F105" t="str">
            <v>2.2.4</v>
          </cell>
          <cell r="H105" t="str">
            <v>R83</v>
          </cell>
          <cell r="I105" t="str">
            <v>A8.1.1</v>
          </cell>
          <cell r="J105" t="str">
            <v>A8.1*</v>
          </cell>
          <cell r="S105">
            <v>0</v>
          </cell>
          <cell r="W105">
            <v>0</v>
          </cell>
        </row>
        <row r="106">
          <cell r="S106">
            <v>0</v>
          </cell>
          <cell r="W106">
            <v>0</v>
          </cell>
        </row>
        <row r="107">
          <cell r="F107" t="str">
            <v>2.2.1</v>
          </cell>
          <cell r="H107" t="str">
            <v>R67</v>
          </cell>
          <cell r="I107" t="str">
            <v>A8.1.1</v>
          </cell>
          <cell r="S107">
            <v>0</v>
          </cell>
          <cell r="W107">
            <v>0</v>
          </cell>
        </row>
        <row r="108">
          <cell r="F108" t="str">
            <v>2.2.1</v>
          </cell>
          <cell r="H108" t="str">
            <v>R82</v>
          </cell>
          <cell r="I108" t="str">
            <v>A8.1.1</v>
          </cell>
          <cell r="J108" t="str">
            <v>A8.1*</v>
          </cell>
          <cell r="S108">
            <v>0</v>
          </cell>
          <cell r="W108">
            <v>17285955404.68</v>
          </cell>
        </row>
        <row r="109">
          <cell r="F109" t="str">
            <v>2.2.1</v>
          </cell>
          <cell r="H109" t="str">
            <v>R82</v>
          </cell>
          <cell r="I109" t="str">
            <v>A8.1.1</v>
          </cell>
          <cell r="J109" t="str">
            <v>A8.1*</v>
          </cell>
          <cell r="S109">
            <v>0</v>
          </cell>
          <cell r="W109">
            <v>0</v>
          </cell>
        </row>
        <row r="110">
          <cell r="S110">
            <v>0</v>
          </cell>
          <cell r="W110">
            <v>0</v>
          </cell>
        </row>
        <row r="111">
          <cell r="F111" t="str">
            <v>2.2.2</v>
          </cell>
          <cell r="H111" t="str">
            <v>R67</v>
          </cell>
          <cell r="I111" t="str">
            <v>A8.1.1</v>
          </cell>
          <cell r="S111">
            <v>0</v>
          </cell>
          <cell r="W111">
            <v>0</v>
          </cell>
        </row>
        <row r="112">
          <cell r="F112" t="str">
            <v>2.2.2</v>
          </cell>
          <cell r="H112" t="str">
            <v>R67</v>
          </cell>
          <cell r="I112" t="str">
            <v>A8.1.1</v>
          </cell>
          <cell r="S112">
            <v>24110214383.27</v>
          </cell>
          <cell r="W112">
            <v>24110214383.27</v>
          </cell>
        </row>
        <row r="113">
          <cell r="F113" t="str">
            <v>2.2.2</v>
          </cell>
          <cell r="H113" t="str">
            <v>R67</v>
          </cell>
          <cell r="I113" t="str">
            <v>A8.1.1</v>
          </cell>
          <cell r="S113">
            <v>62999738000</v>
          </cell>
          <cell r="W113">
            <v>62999738000</v>
          </cell>
        </row>
        <row r="114">
          <cell r="S114">
            <v>0</v>
          </cell>
          <cell r="W114">
            <v>0</v>
          </cell>
        </row>
        <row r="115">
          <cell r="F115" t="str">
            <v>2.2.2</v>
          </cell>
          <cell r="H115" t="str">
            <v>R82</v>
          </cell>
          <cell r="I115" t="str">
            <v>A8.1.1</v>
          </cell>
          <cell r="J115" t="str">
            <v>A8.1*</v>
          </cell>
          <cell r="S115">
            <v>0</v>
          </cell>
          <cell r="W115">
            <v>0</v>
          </cell>
        </row>
        <row r="116">
          <cell r="F116" t="str">
            <v>2.2.2</v>
          </cell>
          <cell r="H116" t="str">
            <v>R82</v>
          </cell>
          <cell r="I116" t="str">
            <v>A8.1.1</v>
          </cell>
          <cell r="J116" t="str">
            <v>A8.1*</v>
          </cell>
          <cell r="S116">
            <v>0</v>
          </cell>
          <cell r="W116">
            <v>88743388557.5</v>
          </cell>
        </row>
        <row r="117">
          <cell r="F117" t="str">
            <v>2.2.2</v>
          </cell>
          <cell r="H117" t="str">
            <v>R82</v>
          </cell>
          <cell r="I117" t="str">
            <v>A8.1.1</v>
          </cell>
          <cell r="J117" t="str">
            <v>A8.1*</v>
          </cell>
          <cell r="S117">
            <v>0</v>
          </cell>
          <cell r="W117">
            <v>176036738687.5</v>
          </cell>
        </row>
        <row r="118">
          <cell r="F118" t="str">
            <v>2.2.2</v>
          </cell>
          <cell r="H118" t="str">
            <v>R82</v>
          </cell>
          <cell r="I118" t="str">
            <v>A8.1.1</v>
          </cell>
          <cell r="J118" t="str">
            <v>A8.1*</v>
          </cell>
          <cell r="S118">
            <v>0</v>
          </cell>
          <cell r="W118">
            <v>0</v>
          </cell>
        </row>
        <row r="119">
          <cell r="F119" t="str">
            <v>2.2.2</v>
          </cell>
          <cell r="H119" t="str">
            <v>R82</v>
          </cell>
          <cell r="I119" t="str">
            <v>A8.1.1</v>
          </cell>
          <cell r="J119" t="str">
            <v>A8.1*</v>
          </cell>
          <cell r="S119">
            <v>0</v>
          </cell>
          <cell r="W119">
            <v>154248248207</v>
          </cell>
        </row>
        <row r="120">
          <cell r="F120" t="str">
            <v>2.2.2</v>
          </cell>
          <cell r="H120" t="str">
            <v>R82</v>
          </cell>
          <cell r="I120" t="str">
            <v>A8.1.1</v>
          </cell>
          <cell r="J120" t="str">
            <v>A8.1*</v>
          </cell>
          <cell r="S120">
            <v>0</v>
          </cell>
          <cell r="W120">
            <v>0</v>
          </cell>
        </row>
        <row r="121">
          <cell r="S121">
            <v>0</v>
          </cell>
          <cell r="W121">
            <v>0</v>
          </cell>
        </row>
        <row r="122">
          <cell r="F122" t="str">
            <v>2.2.2</v>
          </cell>
          <cell r="H122" t="str">
            <v>R82</v>
          </cell>
          <cell r="I122" t="str">
            <v>A8.1.1</v>
          </cell>
          <cell r="J122" t="str">
            <v>A8.1*</v>
          </cell>
          <cell r="S122">
            <v>0</v>
          </cell>
          <cell r="W122">
            <v>0</v>
          </cell>
        </row>
        <row r="123">
          <cell r="F123" t="str">
            <v>2.2.2</v>
          </cell>
          <cell r="H123" t="str">
            <v>R82</v>
          </cell>
          <cell r="I123" t="str">
            <v>A8.1.1</v>
          </cell>
          <cell r="J123" t="str">
            <v>A8.1*</v>
          </cell>
          <cell r="S123">
            <v>0</v>
          </cell>
          <cell r="W123">
            <v>11506200908.16</v>
          </cell>
        </row>
        <row r="124">
          <cell r="F124" t="str">
            <v>2.2.2</v>
          </cell>
          <cell r="H124" t="str">
            <v>R82</v>
          </cell>
          <cell r="I124" t="str">
            <v>A8.1.1</v>
          </cell>
          <cell r="J124" t="str">
            <v>A8.1*</v>
          </cell>
          <cell r="S124">
            <v>0</v>
          </cell>
          <cell r="W124">
            <v>16435718096</v>
          </cell>
        </row>
        <row r="125">
          <cell r="S125">
            <v>0</v>
          </cell>
          <cell r="W125">
            <v>0</v>
          </cell>
        </row>
        <row r="126">
          <cell r="F126" t="str">
            <v>2.2.2</v>
          </cell>
          <cell r="G126" t="str">
            <v>2.2.7</v>
          </cell>
          <cell r="H126" t="str">
            <v>R67</v>
          </cell>
          <cell r="I126" t="str">
            <v>A8.1.1</v>
          </cell>
          <cell r="S126">
            <v>0</v>
          </cell>
          <cell r="W126">
            <v>0</v>
          </cell>
        </row>
        <row r="127">
          <cell r="F127" t="str">
            <v>2.2.2</v>
          </cell>
          <cell r="G127" t="str">
            <v>2.2.7</v>
          </cell>
          <cell r="H127" t="str">
            <v>R82</v>
          </cell>
          <cell r="I127" t="str">
            <v>A8.1.1</v>
          </cell>
          <cell r="J127" t="str">
            <v>A8.1*</v>
          </cell>
          <cell r="S127">
            <v>0</v>
          </cell>
          <cell r="W127">
            <v>0</v>
          </cell>
        </row>
        <row r="128">
          <cell r="F128" t="str">
            <v>2.2.2</v>
          </cell>
          <cell r="G128" t="str">
            <v>2.2.7</v>
          </cell>
          <cell r="H128" t="str">
            <v>R82</v>
          </cell>
          <cell r="I128" t="str">
            <v>A8.1.1</v>
          </cell>
          <cell r="J128" t="str">
            <v>A8.1*</v>
          </cell>
          <cell r="S128">
            <v>0</v>
          </cell>
          <cell r="W128">
            <v>0</v>
          </cell>
        </row>
        <row r="129">
          <cell r="S129">
            <v>0</v>
          </cell>
          <cell r="W129">
            <v>0</v>
          </cell>
        </row>
        <row r="130">
          <cell r="F130" t="str">
            <v>2.2.4</v>
          </cell>
          <cell r="G130" t="str">
            <v>2.2.7</v>
          </cell>
          <cell r="H130" t="str">
            <v>R83</v>
          </cell>
          <cell r="I130" t="str">
            <v>A8.1.1</v>
          </cell>
          <cell r="J130" t="str">
            <v>A8.1*</v>
          </cell>
          <cell r="S130">
            <v>0</v>
          </cell>
          <cell r="W130">
            <v>0</v>
          </cell>
        </row>
        <row r="131">
          <cell r="S131">
            <v>0</v>
          </cell>
          <cell r="W131">
            <v>0</v>
          </cell>
        </row>
        <row r="132">
          <cell r="F132" t="str">
            <v>2.2.2</v>
          </cell>
          <cell r="G132" t="str">
            <v>2.2.7</v>
          </cell>
          <cell r="H132" t="str">
            <v>R67</v>
          </cell>
          <cell r="I132" t="str">
            <v>A8.1.1</v>
          </cell>
          <cell r="S132">
            <v>0</v>
          </cell>
          <cell r="W132">
            <v>0</v>
          </cell>
        </row>
        <row r="133">
          <cell r="F133" t="str">
            <v>2.2.2</v>
          </cell>
          <cell r="G133" t="str">
            <v>2.2.7</v>
          </cell>
          <cell r="H133" t="str">
            <v>R67</v>
          </cell>
          <cell r="I133" t="str">
            <v>A8.1.1</v>
          </cell>
          <cell r="S133">
            <v>20616700</v>
          </cell>
          <cell r="W133">
            <v>20616700</v>
          </cell>
        </row>
        <row r="134">
          <cell r="F134" t="str">
            <v>2.2.2</v>
          </cell>
          <cell r="G134" t="str">
            <v>2.2.7</v>
          </cell>
          <cell r="H134" t="str">
            <v>R67</v>
          </cell>
          <cell r="I134" t="str">
            <v>A8.1.1</v>
          </cell>
          <cell r="S134">
            <v>29609000</v>
          </cell>
          <cell r="W134">
            <v>29609000</v>
          </cell>
        </row>
        <row r="135">
          <cell r="S135">
            <v>0</v>
          </cell>
          <cell r="W135">
            <v>0</v>
          </cell>
        </row>
        <row r="136">
          <cell r="F136" t="str">
            <v>2.2.2</v>
          </cell>
          <cell r="G136" t="str">
            <v>2.2.7</v>
          </cell>
          <cell r="H136" t="str">
            <v>R82</v>
          </cell>
          <cell r="I136" t="str">
            <v>A8.1.1</v>
          </cell>
          <cell r="J136" t="str">
            <v>A8.1*</v>
          </cell>
          <cell r="S136">
            <v>0</v>
          </cell>
          <cell r="W136">
            <v>0</v>
          </cell>
        </row>
        <row r="137">
          <cell r="F137" t="str">
            <v>2.2.2</v>
          </cell>
          <cell r="G137" t="str">
            <v>2.2.7</v>
          </cell>
          <cell r="H137" t="str">
            <v>R82</v>
          </cell>
          <cell r="I137" t="str">
            <v>A8.1.1</v>
          </cell>
          <cell r="J137" t="str">
            <v>A8.1*</v>
          </cell>
          <cell r="S137">
            <v>0</v>
          </cell>
          <cell r="W137">
            <v>35389166.5</v>
          </cell>
        </row>
        <row r="138">
          <cell r="F138" t="str">
            <v>2.2.2</v>
          </cell>
          <cell r="G138" t="str">
            <v>2.2.7</v>
          </cell>
          <cell r="H138" t="str">
            <v>R82</v>
          </cell>
          <cell r="I138" t="str">
            <v>A8.1.1</v>
          </cell>
          <cell r="J138" t="str">
            <v>A8.1*</v>
          </cell>
          <cell r="S138">
            <v>0</v>
          </cell>
          <cell r="W138">
            <v>53583596.5</v>
          </cell>
        </row>
        <row r="139">
          <cell r="F139" t="str">
            <v>2.2.2</v>
          </cell>
          <cell r="G139" t="str">
            <v>2.2.7</v>
          </cell>
          <cell r="H139" t="str">
            <v>R82</v>
          </cell>
          <cell r="I139" t="str">
            <v>A8.1.1</v>
          </cell>
          <cell r="J139" t="str">
            <v>A8.1*</v>
          </cell>
          <cell r="S139">
            <v>0</v>
          </cell>
          <cell r="W139">
            <v>0</v>
          </cell>
        </row>
        <row r="140">
          <cell r="F140" t="str">
            <v>2.2.2</v>
          </cell>
          <cell r="G140" t="str">
            <v>2.2.7</v>
          </cell>
          <cell r="H140" t="str">
            <v>R82</v>
          </cell>
          <cell r="I140" t="str">
            <v>A8.1.1</v>
          </cell>
          <cell r="J140" t="str">
            <v>A8.1*</v>
          </cell>
          <cell r="S140">
            <v>0</v>
          </cell>
          <cell r="W140">
            <v>0</v>
          </cell>
        </row>
        <row r="141">
          <cell r="F141" t="str">
            <v>2.2.2</v>
          </cell>
          <cell r="G141" t="str">
            <v>2.2.7</v>
          </cell>
          <cell r="H141" t="str">
            <v>R82</v>
          </cell>
          <cell r="I141" t="str">
            <v>A8.1.1</v>
          </cell>
          <cell r="J141" t="str">
            <v>A8.1*</v>
          </cell>
          <cell r="S141">
            <v>0</v>
          </cell>
          <cell r="W141">
            <v>0</v>
          </cell>
        </row>
        <row r="142">
          <cell r="F142" t="str">
            <v>2.2.2</v>
          </cell>
          <cell r="G142" t="str">
            <v>2.2.7</v>
          </cell>
          <cell r="H142" t="str">
            <v>R82</v>
          </cell>
          <cell r="I142" t="str">
            <v>A8.1.1</v>
          </cell>
          <cell r="J142" t="str">
            <v>A8.1*</v>
          </cell>
          <cell r="S142">
            <v>0</v>
          </cell>
          <cell r="W142">
            <v>0</v>
          </cell>
        </row>
        <row r="143">
          <cell r="S143">
            <v>0</v>
          </cell>
          <cell r="W143">
            <v>0</v>
          </cell>
        </row>
        <row r="144">
          <cell r="F144" t="str">
            <v>2.2.2</v>
          </cell>
          <cell r="G144" t="str">
            <v>2.2.7</v>
          </cell>
          <cell r="H144" t="str">
            <v>R82</v>
          </cell>
          <cell r="I144" t="str">
            <v>A8.1.1</v>
          </cell>
          <cell r="J144" t="str">
            <v>A8.1*</v>
          </cell>
          <cell r="S144">
            <v>0</v>
          </cell>
          <cell r="W144">
            <v>0</v>
          </cell>
        </row>
        <row r="145">
          <cell r="F145" t="str">
            <v>2.2.2</v>
          </cell>
          <cell r="G145" t="str">
            <v>2.2.7</v>
          </cell>
          <cell r="H145" t="str">
            <v>R82</v>
          </cell>
          <cell r="I145" t="str">
            <v>A8.1.1</v>
          </cell>
          <cell r="J145" t="str">
            <v>A8.1*</v>
          </cell>
          <cell r="S145">
            <v>0</v>
          </cell>
          <cell r="W145">
            <v>21697536</v>
          </cell>
        </row>
        <row r="146">
          <cell r="F146" t="str">
            <v>2.2.2</v>
          </cell>
          <cell r="G146" t="str">
            <v>2.2.7</v>
          </cell>
          <cell r="H146" t="str">
            <v>R82</v>
          </cell>
          <cell r="I146" t="str">
            <v>A8.1.1</v>
          </cell>
          <cell r="J146" t="str">
            <v>A8.1*</v>
          </cell>
          <cell r="S146">
            <v>0</v>
          </cell>
          <cell r="W146">
            <v>14372288</v>
          </cell>
        </row>
        <row r="147">
          <cell r="S147">
            <v>0</v>
          </cell>
          <cell r="W147">
            <v>0</v>
          </cell>
        </row>
        <row r="148">
          <cell r="F148" t="str">
            <v>2.2.2</v>
          </cell>
          <cell r="G148" t="str">
            <v>2.2.7</v>
          </cell>
          <cell r="H148" t="str">
            <v>R67</v>
          </cell>
          <cell r="I148" t="str">
            <v>A8.1.1</v>
          </cell>
          <cell r="S148">
            <v>91137700.030000001</v>
          </cell>
          <cell r="W148">
            <v>91137700.030000001</v>
          </cell>
        </row>
        <row r="149">
          <cell r="F149" t="str">
            <v>2.2.2</v>
          </cell>
          <cell r="G149" t="str">
            <v>2.2.7</v>
          </cell>
          <cell r="H149" t="str">
            <v>R82</v>
          </cell>
          <cell r="I149" t="str">
            <v>A8.1.1</v>
          </cell>
          <cell r="J149" t="str">
            <v>A8.1*</v>
          </cell>
          <cell r="S149">
            <v>0</v>
          </cell>
          <cell r="W149">
            <v>304409513.5</v>
          </cell>
        </row>
        <row r="150">
          <cell r="F150" t="str">
            <v>2.2.2</v>
          </cell>
          <cell r="G150" t="str">
            <v>2.2.7</v>
          </cell>
          <cell r="H150" t="str">
            <v>R82</v>
          </cell>
          <cell r="I150" t="str">
            <v>A8.1.1</v>
          </cell>
          <cell r="J150" t="str">
            <v>A8.1*</v>
          </cell>
          <cell r="S150">
            <v>0</v>
          </cell>
          <cell r="W150">
            <v>56389203.359999999</v>
          </cell>
        </row>
        <row r="151">
          <cell r="S151">
            <v>0</v>
          </cell>
          <cell r="W151">
            <v>0</v>
          </cell>
        </row>
        <row r="152">
          <cell r="F152" t="str">
            <v>2.2.2</v>
          </cell>
          <cell r="G152" t="str">
            <v>2.2.7</v>
          </cell>
          <cell r="H152" t="str">
            <v>R67</v>
          </cell>
          <cell r="I152" t="str">
            <v>A8.1.1</v>
          </cell>
          <cell r="S152">
            <v>8559500</v>
          </cell>
          <cell r="W152">
            <v>8559500</v>
          </cell>
        </row>
        <row r="153">
          <cell r="F153" t="str">
            <v>2.2.2</v>
          </cell>
          <cell r="G153" t="str">
            <v>2.2.7</v>
          </cell>
          <cell r="H153" t="str">
            <v>R82</v>
          </cell>
          <cell r="I153" t="str">
            <v>A8.1.1</v>
          </cell>
          <cell r="J153" t="str">
            <v>A8.1*</v>
          </cell>
          <cell r="S153">
            <v>0</v>
          </cell>
          <cell r="W153">
            <v>45237324</v>
          </cell>
        </row>
        <row r="154">
          <cell r="F154" t="str">
            <v>2.2.2</v>
          </cell>
          <cell r="G154" t="str">
            <v>2.2.7</v>
          </cell>
          <cell r="H154" t="str">
            <v>R82</v>
          </cell>
          <cell r="I154" t="str">
            <v>A8.1.1</v>
          </cell>
          <cell r="J154" t="str">
            <v>A8.1*</v>
          </cell>
          <cell r="S154">
            <v>0</v>
          </cell>
          <cell r="W154">
            <v>13748336</v>
          </cell>
        </row>
        <row r="155">
          <cell r="S155">
            <v>0</v>
          </cell>
          <cell r="W155">
            <v>0</v>
          </cell>
        </row>
        <row r="156">
          <cell r="F156" t="str">
            <v>P2.2.2</v>
          </cell>
          <cell r="H156" t="str">
            <v>R308</v>
          </cell>
          <cell r="I156" t="str">
            <v>C9</v>
          </cell>
          <cell r="S156">
            <v>0</v>
          </cell>
          <cell r="W156">
            <v>0</v>
          </cell>
        </row>
        <row r="157">
          <cell r="F157" t="str">
            <v>P2.2.2</v>
          </cell>
          <cell r="H157" t="str">
            <v>R308</v>
          </cell>
          <cell r="I157" t="str">
            <v>C9</v>
          </cell>
          <cell r="S157">
            <v>0</v>
          </cell>
          <cell r="W157">
            <v>0</v>
          </cell>
        </row>
        <row r="158">
          <cell r="F158" t="str">
            <v>P2.2.2</v>
          </cell>
          <cell r="H158" t="str">
            <v>R308</v>
          </cell>
          <cell r="I158" t="str">
            <v>C9</v>
          </cell>
          <cell r="S158">
            <v>0</v>
          </cell>
          <cell r="W158">
            <v>0</v>
          </cell>
        </row>
        <row r="159">
          <cell r="S159">
            <v>0</v>
          </cell>
          <cell r="W159">
            <v>0</v>
          </cell>
        </row>
        <row r="160">
          <cell r="F160" t="str">
            <v>P2.2.2</v>
          </cell>
          <cell r="H160" t="str">
            <v>R308</v>
          </cell>
          <cell r="I160" t="str">
            <v>C9</v>
          </cell>
          <cell r="S160">
            <v>0</v>
          </cell>
          <cell r="W160">
            <v>0</v>
          </cell>
        </row>
        <row r="161">
          <cell r="S161">
            <v>0</v>
          </cell>
          <cell r="W161">
            <v>0</v>
          </cell>
        </row>
        <row r="162">
          <cell r="F162" t="str">
            <v>P2.2.2</v>
          </cell>
          <cell r="H162" t="str">
            <v>R308</v>
          </cell>
          <cell r="I162" t="str">
            <v>C9</v>
          </cell>
          <cell r="S162">
            <v>0</v>
          </cell>
          <cell r="W162">
            <v>0</v>
          </cell>
        </row>
        <row r="163">
          <cell r="F163" t="str">
            <v>P2.2.2</v>
          </cell>
          <cell r="G163" t="str">
            <v>P2.2.7</v>
          </cell>
          <cell r="H163" t="str">
            <v>R308</v>
          </cell>
          <cell r="I163" t="str">
            <v>C9</v>
          </cell>
          <cell r="S163">
            <v>-26624360</v>
          </cell>
          <cell r="W163">
            <v>-26624360</v>
          </cell>
        </row>
        <row r="164">
          <cell r="F164" t="str">
            <v>P2.2.2</v>
          </cell>
          <cell r="G164" t="str">
            <v>P2.2.7</v>
          </cell>
          <cell r="H164" t="str">
            <v>R308</v>
          </cell>
          <cell r="I164" t="str">
            <v>C9</v>
          </cell>
          <cell r="S164">
            <v>-14299020.01</v>
          </cell>
          <cell r="W164">
            <v>-14299020.01</v>
          </cell>
        </row>
        <row r="165">
          <cell r="F165" t="str">
            <v>P2.2.2</v>
          </cell>
          <cell r="H165" t="str">
            <v>R308</v>
          </cell>
          <cell r="I165" t="str">
            <v>C9</v>
          </cell>
          <cell r="S165">
            <v>-945854429.10000002</v>
          </cell>
          <cell r="W165">
            <v>-945854429.10000002</v>
          </cell>
        </row>
        <row r="166">
          <cell r="F166" t="str">
            <v>P2.2.2</v>
          </cell>
          <cell r="H166" t="str">
            <v>R308</v>
          </cell>
          <cell r="I166" t="str">
            <v>C9</v>
          </cell>
          <cell r="S166">
            <v>-365664794.44999999</v>
          </cell>
          <cell r="W166">
            <v>-365664794.44999999</v>
          </cell>
        </row>
        <row r="167">
          <cell r="F167" t="str">
            <v>P2.2.3</v>
          </cell>
          <cell r="H167" t="str">
            <v>R308</v>
          </cell>
          <cell r="I167" t="str">
            <v>C9</v>
          </cell>
          <cell r="S167">
            <v>-2506419.8199999998</v>
          </cell>
          <cell r="W167">
            <v>-2506419.8199999998</v>
          </cell>
        </row>
        <row r="168">
          <cell r="F168" t="str">
            <v>P2.2.3</v>
          </cell>
          <cell r="H168" t="str">
            <v>R308</v>
          </cell>
          <cell r="I168" t="str">
            <v>C9</v>
          </cell>
          <cell r="S168">
            <v>0</v>
          </cell>
          <cell r="W168">
            <v>0</v>
          </cell>
        </row>
        <row r="169">
          <cell r="S169">
            <v>0</v>
          </cell>
          <cell r="W169">
            <v>0</v>
          </cell>
        </row>
        <row r="170">
          <cell r="F170" t="str">
            <v>P2.2.2</v>
          </cell>
          <cell r="H170" t="str">
            <v>R308</v>
          </cell>
          <cell r="I170" t="str">
            <v>C9</v>
          </cell>
          <cell r="J170" t="str">
            <v>A8.1*</v>
          </cell>
          <cell r="S170">
            <v>0</v>
          </cell>
          <cell r="W170">
            <v>0</v>
          </cell>
        </row>
        <row r="171">
          <cell r="F171" t="str">
            <v>P2.2.2</v>
          </cell>
          <cell r="G171" t="str">
            <v>P2.2.7</v>
          </cell>
          <cell r="H171" t="str">
            <v>R308</v>
          </cell>
          <cell r="I171" t="str">
            <v>C9</v>
          </cell>
          <cell r="J171" t="str">
            <v>A8.1*</v>
          </cell>
          <cell r="S171">
            <v>0</v>
          </cell>
          <cell r="W171">
            <v>-53054637.5</v>
          </cell>
        </row>
        <row r="172">
          <cell r="F172" t="str">
            <v>P2.2.2</v>
          </cell>
          <cell r="G172" t="str">
            <v>P2.2.7</v>
          </cell>
          <cell r="H172" t="str">
            <v>R308</v>
          </cell>
          <cell r="I172" t="str">
            <v>C9</v>
          </cell>
          <cell r="J172" t="str">
            <v>A8.1*</v>
          </cell>
          <cell r="S172">
            <v>0</v>
          </cell>
          <cell r="W172">
            <v>-92402738</v>
          </cell>
        </row>
        <row r="173">
          <cell r="F173" t="str">
            <v>P2.2.2</v>
          </cell>
          <cell r="G173" t="str">
            <v>P2.2.7</v>
          </cell>
          <cell r="H173" t="str">
            <v>R308</v>
          </cell>
          <cell r="I173" t="str">
            <v>C9</v>
          </cell>
          <cell r="J173" t="str">
            <v>A8.1*</v>
          </cell>
          <cell r="S173">
            <v>0</v>
          </cell>
          <cell r="W173">
            <v>0</v>
          </cell>
        </row>
        <row r="174">
          <cell r="F174" t="str">
            <v>P2.2.2</v>
          </cell>
          <cell r="G174" t="str">
            <v>P2.2.7</v>
          </cell>
          <cell r="H174" t="str">
            <v>R308</v>
          </cell>
          <cell r="I174" t="str">
            <v>C9</v>
          </cell>
          <cell r="J174" t="str">
            <v>A8.1*</v>
          </cell>
          <cell r="S174">
            <v>0</v>
          </cell>
          <cell r="W174">
            <v>0</v>
          </cell>
        </row>
        <row r="175">
          <cell r="F175" t="str">
            <v>P2.2.2</v>
          </cell>
          <cell r="H175" t="str">
            <v>R308</v>
          </cell>
          <cell r="I175" t="str">
            <v>C9</v>
          </cell>
          <cell r="J175" t="str">
            <v>A8.1*</v>
          </cell>
          <cell r="S175">
            <v>0</v>
          </cell>
          <cell r="W175">
            <v>-2649192672</v>
          </cell>
        </row>
        <row r="176">
          <cell r="F176" t="str">
            <v>P2.2.2</v>
          </cell>
          <cell r="H176" t="str">
            <v>R308</v>
          </cell>
          <cell r="I176" t="str">
            <v>C9</v>
          </cell>
          <cell r="J176" t="str">
            <v>A8.1*</v>
          </cell>
          <cell r="S176">
            <v>0</v>
          </cell>
          <cell r="W176">
            <v>-1928286959</v>
          </cell>
        </row>
        <row r="177">
          <cell r="F177" t="str">
            <v>P2.2.2</v>
          </cell>
          <cell r="H177" t="str">
            <v>R308</v>
          </cell>
          <cell r="I177" t="str">
            <v>C9</v>
          </cell>
          <cell r="J177" t="str">
            <v>A8.1*</v>
          </cell>
          <cell r="S177">
            <v>0</v>
          </cell>
          <cell r="W177">
            <v>0</v>
          </cell>
        </row>
        <row r="178">
          <cell r="F178" t="str">
            <v>P2.2.2</v>
          </cell>
          <cell r="H178" t="str">
            <v>R308</v>
          </cell>
          <cell r="I178" t="str">
            <v>C9</v>
          </cell>
          <cell r="J178" t="str">
            <v>A8.1*</v>
          </cell>
          <cell r="S178">
            <v>0</v>
          </cell>
          <cell r="W178">
            <v>-2335336223</v>
          </cell>
        </row>
        <row r="179">
          <cell r="F179" t="str">
            <v>P2.2.1</v>
          </cell>
          <cell r="H179" t="str">
            <v>R308</v>
          </cell>
          <cell r="I179" t="str">
            <v>C9</v>
          </cell>
          <cell r="J179" t="str">
            <v>A8.1*</v>
          </cell>
          <cell r="S179">
            <v>0</v>
          </cell>
          <cell r="W179">
            <v>-259289344</v>
          </cell>
        </row>
        <row r="180">
          <cell r="F180" t="str">
            <v>P2.2.3</v>
          </cell>
          <cell r="H180" t="str">
            <v>R308</v>
          </cell>
          <cell r="I180" t="str">
            <v>C9</v>
          </cell>
          <cell r="J180" t="str">
            <v>A8.1*</v>
          </cell>
          <cell r="S180">
            <v>0</v>
          </cell>
          <cell r="W180">
            <v>-5034655.5</v>
          </cell>
        </row>
        <row r="181">
          <cell r="F181" t="str">
            <v>P2.2.3</v>
          </cell>
          <cell r="H181" t="str">
            <v>R308</v>
          </cell>
          <cell r="I181" t="str">
            <v>C9</v>
          </cell>
          <cell r="J181" t="str">
            <v>A8.1*</v>
          </cell>
          <cell r="S181">
            <v>0</v>
          </cell>
          <cell r="W181">
            <v>0</v>
          </cell>
        </row>
        <row r="182">
          <cell r="F182" t="str">
            <v>P2.2.3</v>
          </cell>
          <cell r="H182" t="str">
            <v>R308</v>
          </cell>
          <cell r="I182" t="str">
            <v>C9</v>
          </cell>
          <cell r="J182" t="str">
            <v>A8.1*</v>
          </cell>
          <cell r="S182">
            <v>0</v>
          </cell>
          <cell r="W182">
            <v>0</v>
          </cell>
        </row>
        <row r="183">
          <cell r="F183" t="str">
            <v>P2.2.3</v>
          </cell>
          <cell r="H183" t="str">
            <v>R308</v>
          </cell>
          <cell r="I183" t="str">
            <v>C9</v>
          </cell>
          <cell r="J183" t="str">
            <v>A8.1*</v>
          </cell>
          <cell r="S183">
            <v>0</v>
          </cell>
          <cell r="W183">
            <v>0</v>
          </cell>
        </row>
        <row r="184">
          <cell r="S184">
            <v>0</v>
          </cell>
          <cell r="W184">
            <v>0</v>
          </cell>
        </row>
        <row r="185">
          <cell r="F185" t="str">
            <v>P2.2.2</v>
          </cell>
          <cell r="H185" t="str">
            <v>R308</v>
          </cell>
          <cell r="I185" t="str">
            <v>C9</v>
          </cell>
          <cell r="J185" t="str">
            <v>A8.1*</v>
          </cell>
          <cell r="S185">
            <v>0</v>
          </cell>
          <cell r="W185">
            <v>0</v>
          </cell>
        </row>
        <row r="186">
          <cell r="F186" t="str">
            <v>P2.2.2</v>
          </cell>
          <cell r="G186" t="str">
            <v>P2.2.7</v>
          </cell>
          <cell r="H186" t="str">
            <v>R308</v>
          </cell>
          <cell r="I186" t="str">
            <v>C9</v>
          </cell>
          <cell r="J186" t="str">
            <v>A8.1*</v>
          </cell>
          <cell r="S186">
            <v>0</v>
          </cell>
          <cell r="W186">
            <v>-17960913.600000001</v>
          </cell>
        </row>
        <row r="187">
          <cell r="F187" t="str">
            <v>P2.2.2</v>
          </cell>
          <cell r="G187" t="str">
            <v>P2.2.7</v>
          </cell>
          <cell r="H187" t="str">
            <v>R308</v>
          </cell>
          <cell r="I187" t="str">
            <v>C9</v>
          </cell>
          <cell r="J187" t="str">
            <v>A8.1*</v>
          </cell>
          <cell r="S187">
            <v>0</v>
          </cell>
          <cell r="W187">
            <v>-16311165.92</v>
          </cell>
        </row>
        <row r="188">
          <cell r="F188" t="str">
            <v>P2.2.2</v>
          </cell>
          <cell r="H188" t="str">
            <v>R308</v>
          </cell>
          <cell r="I188" t="str">
            <v>C9</v>
          </cell>
          <cell r="J188" t="str">
            <v>A8.1*</v>
          </cell>
          <cell r="S188">
            <v>0</v>
          </cell>
          <cell r="W188">
            <v>-247381379.84</v>
          </cell>
        </row>
        <row r="189">
          <cell r="F189" t="str">
            <v>P2.2.2</v>
          </cell>
          <cell r="H189" t="str">
            <v>R308</v>
          </cell>
          <cell r="I189" t="str">
            <v>C9</v>
          </cell>
          <cell r="J189" t="str">
            <v>A8.1*</v>
          </cell>
          <cell r="S189">
            <v>0</v>
          </cell>
          <cell r="W189">
            <v>-173053581.12</v>
          </cell>
        </row>
        <row r="190">
          <cell r="F190" t="str">
            <v>P2.2.3</v>
          </cell>
          <cell r="H190" t="str">
            <v>R308</v>
          </cell>
          <cell r="I190" t="str">
            <v>C9</v>
          </cell>
          <cell r="J190" t="str">
            <v>A8.1*</v>
          </cell>
          <cell r="S190">
            <v>0</v>
          </cell>
          <cell r="W190">
            <v>-1899645.44</v>
          </cell>
        </row>
        <row r="191">
          <cell r="F191" t="str">
            <v>P2.2.3</v>
          </cell>
          <cell r="H191" t="str">
            <v>R308</v>
          </cell>
          <cell r="I191" t="str">
            <v>C9</v>
          </cell>
          <cell r="J191" t="str">
            <v>A8.1*</v>
          </cell>
          <cell r="S191">
            <v>0</v>
          </cell>
          <cell r="W191">
            <v>0</v>
          </cell>
        </row>
        <row r="192">
          <cell r="S192">
            <v>0</v>
          </cell>
          <cell r="W192">
            <v>0</v>
          </cell>
        </row>
        <row r="193">
          <cell r="F193" t="str">
            <v>P2.2.4</v>
          </cell>
          <cell r="H193" t="str">
            <v>R308</v>
          </cell>
          <cell r="I193" t="str">
            <v>C9</v>
          </cell>
          <cell r="J193" t="str">
            <v>A8.1*</v>
          </cell>
          <cell r="S193">
            <v>0</v>
          </cell>
          <cell r="W193">
            <v>0</v>
          </cell>
        </row>
        <row r="194">
          <cell r="S194">
            <v>0</v>
          </cell>
          <cell r="W194">
            <v>0</v>
          </cell>
        </row>
        <row r="195">
          <cell r="F195">
            <v>4.2</v>
          </cell>
          <cell r="H195" t="str">
            <v>R46</v>
          </cell>
          <cell r="I195" t="str">
            <v>A7</v>
          </cell>
          <cell r="S195">
            <v>0</v>
          </cell>
          <cell r="W195">
            <v>0</v>
          </cell>
        </row>
        <row r="196">
          <cell r="F196">
            <v>4.2</v>
          </cell>
          <cell r="H196" t="str">
            <v>R46</v>
          </cell>
          <cell r="I196" t="str">
            <v>A7</v>
          </cell>
          <cell r="S196">
            <v>0</v>
          </cell>
          <cell r="W196">
            <v>0</v>
          </cell>
        </row>
        <row r="197">
          <cell r="F197">
            <v>4.2</v>
          </cell>
          <cell r="H197" t="str">
            <v>R46</v>
          </cell>
          <cell r="I197" t="str">
            <v>A7</v>
          </cell>
          <cell r="S197">
            <v>0</v>
          </cell>
          <cell r="W197">
            <v>0</v>
          </cell>
        </row>
        <row r="198">
          <cell r="S198">
            <v>0</v>
          </cell>
          <cell r="W198">
            <v>0</v>
          </cell>
        </row>
        <row r="199">
          <cell r="F199">
            <v>5</v>
          </cell>
          <cell r="H199" t="str">
            <v>R114</v>
          </cell>
          <cell r="I199" t="str">
            <v>A11</v>
          </cell>
          <cell r="S199">
            <v>0</v>
          </cell>
          <cell r="W199">
            <v>0</v>
          </cell>
        </row>
        <row r="200">
          <cell r="F200">
            <v>5</v>
          </cell>
          <cell r="H200" t="str">
            <v>R114</v>
          </cell>
          <cell r="I200" t="str">
            <v>A11</v>
          </cell>
          <cell r="S200">
            <v>0</v>
          </cell>
          <cell r="W200">
            <v>3500317.5</v>
          </cell>
        </row>
        <row r="201">
          <cell r="F201">
            <v>5</v>
          </cell>
          <cell r="H201" t="str">
            <v>R114</v>
          </cell>
          <cell r="I201" t="str">
            <v>A11</v>
          </cell>
          <cell r="S201">
            <v>0</v>
          </cell>
          <cell r="W201">
            <v>0</v>
          </cell>
        </row>
        <row r="202">
          <cell r="S202">
            <v>0</v>
          </cell>
          <cell r="W202">
            <v>0</v>
          </cell>
        </row>
        <row r="203">
          <cell r="F203">
            <v>5</v>
          </cell>
          <cell r="H203" t="str">
            <v>R98</v>
          </cell>
          <cell r="I203" t="str">
            <v>A11</v>
          </cell>
          <cell r="S203">
            <v>0</v>
          </cell>
          <cell r="W203">
            <v>0</v>
          </cell>
        </row>
        <row r="204">
          <cell r="F204">
            <v>5</v>
          </cell>
          <cell r="H204" t="str">
            <v>R98</v>
          </cell>
          <cell r="I204" t="str">
            <v>A11</v>
          </cell>
          <cell r="S204">
            <v>0</v>
          </cell>
          <cell r="W204">
            <v>14296418</v>
          </cell>
        </row>
        <row r="205">
          <cell r="F205">
            <v>5</v>
          </cell>
          <cell r="H205" t="str">
            <v>R98</v>
          </cell>
          <cell r="I205" t="str">
            <v>A11</v>
          </cell>
          <cell r="S205">
            <v>0</v>
          </cell>
          <cell r="W205">
            <v>0</v>
          </cell>
        </row>
        <row r="206">
          <cell r="S206">
            <v>0</v>
          </cell>
          <cell r="W206">
            <v>0</v>
          </cell>
        </row>
        <row r="207">
          <cell r="F207">
            <v>5</v>
          </cell>
          <cell r="H207" t="str">
            <v>R118</v>
          </cell>
          <cell r="I207" t="str">
            <v>A11</v>
          </cell>
          <cell r="S207">
            <v>0</v>
          </cell>
          <cell r="W207">
            <v>0</v>
          </cell>
        </row>
        <row r="208">
          <cell r="F208">
            <v>5</v>
          </cell>
          <cell r="H208" t="str">
            <v>R118</v>
          </cell>
          <cell r="I208" t="str">
            <v>A11</v>
          </cell>
          <cell r="S208">
            <v>0</v>
          </cell>
          <cell r="W208">
            <v>412927158</v>
          </cell>
        </row>
        <row r="209">
          <cell r="F209">
            <v>5</v>
          </cell>
          <cell r="H209" t="str">
            <v>R118</v>
          </cell>
          <cell r="I209" t="str">
            <v>A11</v>
          </cell>
          <cell r="S209">
            <v>0</v>
          </cell>
          <cell r="W209">
            <v>0</v>
          </cell>
        </row>
        <row r="210">
          <cell r="S210">
            <v>0</v>
          </cell>
          <cell r="W210">
            <v>0</v>
          </cell>
        </row>
        <row r="211">
          <cell r="F211">
            <v>5</v>
          </cell>
          <cell r="H211" t="str">
            <v>R118</v>
          </cell>
          <cell r="I211" t="str">
            <v>A11</v>
          </cell>
          <cell r="S211">
            <v>0</v>
          </cell>
          <cell r="W211">
            <v>0</v>
          </cell>
        </row>
        <row r="212">
          <cell r="F212">
            <v>5</v>
          </cell>
          <cell r="H212" t="str">
            <v>R118</v>
          </cell>
          <cell r="I212" t="str">
            <v>A11</v>
          </cell>
          <cell r="S212">
            <v>0</v>
          </cell>
          <cell r="W212">
            <v>0</v>
          </cell>
        </row>
        <row r="213">
          <cell r="F213">
            <v>5</v>
          </cell>
          <cell r="H213" t="str">
            <v>R118</v>
          </cell>
          <cell r="I213" t="str">
            <v>A11</v>
          </cell>
          <cell r="S213">
            <v>0</v>
          </cell>
          <cell r="W213">
            <v>0</v>
          </cell>
        </row>
        <row r="214">
          <cell r="S214">
            <v>0</v>
          </cell>
          <cell r="W214">
            <v>0</v>
          </cell>
        </row>
        <row r="215">
          <cell r="F215">
            <v>5</v>
          </cell>
          <cell r="H215" t="str">
            <v>R122</v>
          </cell>
          <cell r="I215" t="str">
            <v>A11</v>
          </cell>
          <cell r="S215">
            <v>0</v>
          </cell>
          <cell r="W215">
            <v>0</v>
          </cell>
        </row>
        <row r="216">
          <cell r="F216">
            <v>5</v>
          </cell>
          <cell r="H216" t="str">
            <v>R122</v>
          </cell>
          <cell r="I216" t="str">
            <v>A11</v>
          </cell>
          <cell r="S216">
            <v>0</v>
          </cell>
          <cell r="W216">
            <v>1471779074</v>
          </cell>
        </row>
        <row r="217">
          <cell r="F217">
            <v>5</v>
          </cell>
          <cell r="H217" t="str">
            <v>R122</v>
          </cell>
          <cell r="I217" t="str">
            <v>A11</v>
          </cell>
          <cell r="S217">
            <v>0</v>
          </cell>
          <cell r="W217">
            <v>0</v>
          </cell>
        </row>
        <row r="218">
          <cell r="F218">
            <v>5</v>
          </cell>
          <cell r="H218" t="str">
            <v>R122</v>
          </cell>
          <cell r="I218" t="str">
            <v>A11</v>
          </cell>
          <cell r="S218">
            <v>0</v>
          </cell>
          <cell r="W218">
            <v>0</v>
          </cell>
        </row>
        <row r="219">
          <cell r="F219">
            <v>5</v>
          </cell>
          <cell r="H219" t="str">
            <v>R122</v>
          </cell>
          <cell r="I219" t="str">
            <v>A11</v>
          </cell>
          <cell r="S219">
            <v>0</v>
          </cell>
          <cell r="W219">
            <v>0</v>
          </cell>
        </row>
        <row r="220">
          <cell r="F220">
            <v>5</v>
          </cell>
          <cell r="H220" t="str">
            <v>R122</v>
          </cell>
          <cell r="I220" t="str">
            <v>A11</v>
          </cell>
          <cell r="S220">
            <v>0</v>
          </cell>
          <cell r="W220">
            <v>2801250</v>
          </cell>
        </row>
        <row r="221">
          <cell r="F221">
            <v>5</v>
          </cell>
          <cell r="H221" t="str">
            <v>R122</v>
          </cell>
          <cell r="I221" t="str">
            <v>A11</v>
          </cell>
          <cell r="S221">
            <v>0</v>
          </cell>
          <cell r="W221">
            <v>0</v>
          </cell>
        </row>
        <row r="222">
          <cell r="F222">
            <v>5</v>
          </cell>
          <cell r="H222" t="str">
            <v>R122</v>
          </cell>
          <cell r="I222" t="str">
            <v>A11</v>
          </cell>
          <cell r="S222">
            <v>0</v>
          </cell>
          <cell r="W222">
            <v>0</v>
          </cell>
        </row>
        <row r="223">
          <cell r="F223">
            <v>5</v>
          </cell>
          <cell r="H223" t="str">
            <v>R122</v>
          </cell>
          <cell r="I223" t="str">
            <v>A11</v>
          </cell>
          <cell r="S223">
            <v>0</v>
          </cell>
          <cell r="W223">
            <v>0</v>
          </cell>
        </row>
        <row r="224">
          <cell r="S224">
            <v>0</v>
          </cell>
          <cell r="W224">
            <v>0</v>
          </cell>
        </row>
        <row r="225">
          <cell r="F225">
            <v>5</v>
          </cell>
          <cell r="H225" t="str">
            <v>R115</v>
          </cell>
          <cell r="I225" t="str">
            <v>A11</v>
          </cell>
          <cell r="S225">
            <v>0</v>
          </cell>
          <cell r="W225">
            <v>0</v>
          </cell>
        </row>
        <row r="226">
          <cell r="F226">
            <v>5</v>
          </cell>
          <cell r="H226" t="str">
            <v>R115</v>
          </cell>
          <cell r="I226" t="str">
            <v>A11</v>
          </cell>
          <cell r="S226">
            <v>0</v>
          </cell>
          <cell r="W226">
            <v>0</v>
          </cell>
        </row>
        <row r="227">
          <cell r="F227">
            <v>5</v>
          </cell>
          <cell r="H227" t="str">
            <v>R115</v>
          </cell>
          <cell r="I227" t="str">
            <v>A11</v>
          </cell>
          <cell r="S227">
            <v>0</v>
          </cell>
          <cell r="W227">
            <v>0</v>
          </cell>
        </row>
        <row r="228">
          <cell r="S228">
            <v>0</v>
          </cell>
          <cell r="W228">
            <v>0</v>
          </cell>
        </row>
        <row r="229">
          <cell r="F229">
            <v>5</v>
          </cell>
          <cell r="H229" t="str">
            <v>R122</v>
          </cell>
          <cell r="I229" t="str">
            <v>A11</v>
          </cell>
          <cell r="S229">
            <v>0</v>
          </cell>
          <cell r="W229">
            <v>0</v>
          </cell>
        </row>
        <row r="230">
          <cell r="F230">
            <v>5</v>
          </cell>
          <cell r="H230" t="str">
            <v>R122</v>
          </cell>
          <cell r="I230" t="str">
            <v>A11</v>
          </cell>
          <cell r="S230">
            <v>0</v>
          </cell>
          <cell r="W230">
            <v>0</v>
          </cell>
        </row>
        <row r="231">
          <cell r="F231">
            <v>5</v>
          </cell>
          <cell r="H231" t="str">
            <v>R122</v>
          </cell>
          <cell r="I231" t="str">
            <v>A11</v>
          </cell>
          <cell r="S231">
            <v>0</v>
          </cell>
          <cell r="W231">
            <v>0</v>
          </cell>
        </row>
        <row r="232">
          <cell r="S232">
            <v>0</v>
          </cell>
          <cell r="W232">
            <v>0</v>
          </cell>
        </row>
        <row r="233">
          <cell r="F233">
            <v>5</v>
          </cell>
          <cell r="H233" t="str">
            <v>R122</v>
          </cell>
          <cell r="I233" t="str">
            <v>A11</v>
          </cell>
          <cell r="S233">
            <v>107500</v>
          </cell>
          <cell r="W233">
            <v>107500</v>
          </cell>
        </row>
        <row r="234">
          <cell r="F234">
            <v>5</v>
          </cell>
          <cell r="H234" t="str">
            <v>R122</v>
          </cell>
          <cell r="I234" t="str">
            <v>A11</v>
          </cell>
          <cell r="S234">
            <v>5864000</v>
          </cell>
          <cell r="W234">
            <v>5864000</v>
          </cell>
        </row>
        <row r="235">
          <cell r="F235">
            <v>5</v>
          </cell>
          <cell r="H235" t="str">
            <v>R122</v>
          </cell>
          <cell r="I235" t="str">
            <v>A11</v>
          </cell>
          <cell r="S235">
            <v>0</v>
          </cell>
          <cell r="W235">
            <v>3634240407</v>
          </cell>
        </row>
        <row r="236">
          <cell r="F236">
            <v>5</v>
          </cell>
          <cell r="H236" t="str">
            <v>R122</v>
          </cell>
          <cell r="I236" t="str">
            <v>A11</v>
          </cell>
          <cell r="S236">
            <v>0</v>
          </cell>
          <cell r="W236">
            <v>14981500</v>
          </cell>
        </row>
        <row r="237">
          <cell r="F237">
            <v>5</v>
          </cell>
          <cell r="H237" t="str">
            <v>R122</v>
          </cell>
          <cell r="I237" t="str">
            <v>A11</v>
          </cell>
          <cell r="S237">
            <v>0</v>
          </cell>
          <cell r="W237">
            <v>0</v>
          </cell>
        </row>
        <row r="238">
          <cell r="S238">
            <v>0</v>
          </cell>
          <cell r="W238">
            <v>0</v>
          </cell>
        </row>
        <row r="239">
          <cell r="F239">
            <v>5</v>
          </cell>
          <cell r="H239" t="str">
            <v>R129</v>
          </cell>
          <cell r="I239" t="str">
            <v>A11</v>
          </cell>
          <cell r="S239">
            <v>34299338.689999998</v>
          </cell>
          <cell r="W239">
            <v>34299338.689999998</v>
          </cell>
        </row>
        <row r="240">
          <cell r="F240">
            <v>5</v>
          </cell>
          <cell r="H240" t="str">
            <v>R129</v>
          </cell>
          <cell r="I240" t="str">
            <v>A11</v>
          </cell>
          <cell r="S240">
            <v>0</v>
          </cell>
          <cell r="W240">
            <v>284232213.5</v>
          </cell>
        </row>
        <row r="241">
          <cell r="F241">
            <v>5</v>
          </cell>
          <cell r="H241" t="str">
            <v>R129</v>
          </cell>
          <cell r="I241" t="str">
            <v>A11</v>
          </cell>
          <cell r="S241">
            <v>0</v>
          </cell>
          <cell r="W241">
            <v>843857.28</v>
          </cell>
        </row>
        <row r="242">
          <cell r="S242">
            <v>0</v>
          </cell>
          <cell r="W242">
            <v>0</v>
          </cell>
        </row>
        <row r="243">
          <cell r="F243">
            <v>5</v>
          </cell>
          <cell r="H243" t="str">
            <v>R122</v>
          </cell>
          <cell r="I243" t="str">
            <v>A11</v>
          </cell>
          <cell r="S243">
            <v>264443557.97999999</v>
          </cell>
          <cell r="W243">
            <v>264443557.97999999</v>
          </cell>
        </row>
        <row r="244">
          <cell r="F244">
            <v>5</v>
          </cell>
          <cell r="H244" t="str">
            <v>R122</v>
          </cell>
          <cell r="I244" t="str">
            <v>A11</v>
          </cell>
          <cell r="S244">
            <v>-122662350.14</v>
          </cell>
          <cell r="W244">
            <v>-122662350.14</v>
          </cell>
        </row>
        <row r="245">
          <cell r="F245">
            <v>5</v>
          </cell>
          <cell r="H245" t="str">
            <v>R122</v>
          </cell>
          <cell r="I245" t="str">
            <v>A11</v>
          </cell>
          <cell r="S245">
            <v>0</v>
          </cell>
          <cell r="W245">
            <v>2252035680</v>
          </cell>
        </row>
        <row r="246">
          <cell r="F246">
            <v>5</v>
          </cell>
          <cell r="H246" t="str">
            <v>R122</v>
          </cell>
          <cell r="I246" t="str">
            <v>A11</v>
          </cell>
          <cell r="S246">
            <v>0</v>
          </cell>
          <cell r="W246">
            <v>0</v>
          </cell>
        </row>
        <row r="247">
          <cell r="F247">
            <v>5</v>
          </cell>
          <cell r="H247" t="str">
            <v>R122</v>
          </cell>
          <cell r="I247" t="str">
            <v>A11</v>
          </cell>
          <cell r="S247">
            <v>0</v>
          </cell>
          <cell r="W247">
            <v>-114469616</v>
          </cell>
        </row>
        <row r="248">
          <cell r="F248">
            <v>5</v>
          </cell>
          <cell r="H248" t="str">
            <v>R122</v>
          </cell>
          <cell r="I248" t="str">
            <v>A11</v>
          </cell>
          <cell r="S248">
            <v>0</v>
          </cell>
          <cell r="W248">
            <v>12425965.92</v>
          </cell>
        </row>
        <row r="249">
          <cell r="F249">
            <v>5</v>
          </cell>
          <cell r="H249" t="str">
            <v>R122</v>
          </cell>
          <cell r="I249" t="str">
            <v>A11</v>
          </cell>
          <cell r="S249">
            <v>0</v>
          </cell>
          <cell r="W249">
            <v>134400</v>
          </cell>
        </row>
        <row r="250">
          <cell r="F250">
            <v>5</v>
          </cell>
          <cell r="H250" t="str">
            <v>R122</v>
          </cell>
          <cell r="I250" t="str">
            <v>A11</v>
          </cell>
          <cell r="S250">
            <v>0</v>
          </cell>
          <cell r="W250">
            <v>-8924940.6400000006</v>
          </cell>
        </row>
        <row r="251">
          <cell r="S251">
            <v>0</v>
          </cell>
          <cell r="W251">
            <v>0</v>
          </cell>
        </row>
        <row r="252">
          <cell r="F252" t="str">
            <v>1.3.1.1</v>
          </cell>
          <cell r="H252" t="str">
            <v>R32</v>
          </cell>
          <cell r="I252" t="str">
            <v>A2</v>
          </cell>
          <cell r="S252">
            <v>0</v>
          </cell>
          <cell r="W252">
            <v>0</v>
          </cell>
        </row>
        <row r="253">
          <cell r="F253" t="str">
            <v>1.3.1.1</v>
          </cell>
          <cell r="H253" t="str">
            <v>R37</v>
          </cell>
          <cell r="I253" t="str">
            <v>A3</v>
          </cell>
          <cell r="J253" t="str">
            <v>A3.2*</v>
          </cell>
          <cell r="S253">
            <v>0</v>
          </cell>
          <cell r="W253">
            <v>38360649.5</v>
          </cell>
        </row>
        <row r="254">
          <cell r="F254" t="str">
            <v>1.3.1.1</v>
          </cell>
          <cell r="H254" t="str">
            <v>R37</v>
          </cell>
          <cell r="I254" t="str">
            <v>A3</v>
          </cell>
          <cell r="J254" t="str">
            <v>A3.2*</v>
          </cell>
          <cell r="S254">
            <v>0</v>
          </cell>
          <cell r="W254">
            <v>0</v>
          </cell>
        </row>
        <row r="255">
          <cell r="S255">
            <v>0</v>
          </cell>
          <cell r="W255">
            <v>0</v>
          </cell>
        </row>
        <row r="256">
          <cell r="F256" t="str">
            <v>1.3.1.3</v>
          </cell>
          <cell r="H256" t="str">
            <v>R32</v>
          </cell>
          <cell r="I256" t="str">
            <v>A2</v>
          </cell>
          <cell r="S256">
            <v>0</v>
          </cell>
          <cell r="W256">
            <v>0</v>
          </cell>
        </row>
        <row r="257">
          <cell r="F257" t="str">
            <v>1.3.1.3</v>
          </cell>
          <cell r="H257" t="str">
            <v>R37</v>
          </cell>
          <cell r="I257" t="str">
            <v>A3</v>
          </cell>
          <cell r="S257">
            <v>0</v>
          </cell>
          <cell r="W257">
            <v>0</v>
          </cell>
        </row>
        <row r="258">
          <cell r="F258" t="str">
            <v>1.3.1.3</v>
          </cell>
          <cell r="H258" t="str">
            <v>R37</v>
          </cell>
          <cell r="I258" t="str">
            <v>A3</v>
          </cell>
          <cell r="S258">
            <v>0</v>
          </cell>
          <cell r="W258">
            <v>0</v>
          </cell>
        </row>
        <row r="259">
          <cell r="S259">
            <v>0</v>
          </cell>
          <cell r="W259">
            <v>0</v>
          </cell>
        </row>
        <row r="260">
          <cell r="F260" t="str">
            <v>1.5.1.3</v>
          </cell>
          <cell r="H260" t="str">
            <v>R32</v>
          </cell>
          <cell r="I260" t="str">
            <v>A2</v>
          </cell>
          <cell r="S260">
            <v>0</v>
          </cell>
          <cell r="W260">
            <v>0</v>
          </cell>
        </row>
        <row r="261">
          <cell r="F261" t="str">
            <v>1.5.1.3</v>
          </cell>
          <cell r="H261" t="str">
            <v>R37</v>
          </cell>
          <cell r="I261" t="str">
            <v>A3</v>
          </cell>
          <cell r="S261">
            <v>0</v>
          </cell>
          <cell r="W261">
            <v>149095888</v>
          </cell>
        </row>
        <row r="262">
          <cell r="S262">
            <v>0</v>
          </cell>
          <cell r="W262">
            <v>0</v>
          </cell>
        </row>
        <row r="263">
          <cell r="F263" t="str">
            <v>1.5.1.3</v>
          </cell>
          <cell r="H263" t="str">
            <v>R33</v>
          </cell>
          <cell r="I263" t="str">
            <v>A5</v>
          </cell>
          <cell r="S263">
            <v>0</v>
          </cell>
          <cell r="W263">
            <v>0</v>
          </cell>
        </row>
        <row r="264">
          <cell r="F264" t="str">
            <v>1.5.1.3</v>
          </cell>
          <cell r="H264" t="str">
            <v>R38</v>
          </cell>
          <cell r="I264" t="str">
            <v>A6</v>
          </cell>
          <cell r="S264">
            <v>0</v>
          </cell>
          <cell r="W264">
            <v>1112573.5</v>
          </cell>
        </row>
        <row r="265">
          <cell r="F265" t="str">
            <v>1.5.1.3</v>
          </cell>
          <cell r="H265" t="str">
            <v>R38</v>
          </cell>
          <cell r="I265" t="str">
            <v>A6</v>
          </cell>
          <cell r="S265">
            <v>0</v>
          </cell>
          <cell r="W265">
            <v>0</v>
          </cell>
        </row>
        <row r="266">
          <cell r="S266">
            <v>0</v>
          </cell>
          <cell r="W266">
            <v>0</v>
          </cell>
        </row>
        <row r="267">
          <cell r="F267" t="str">
            <v>1.5.2.3</v>
          </cell>
          <cell r="H267" t="str">
            <v>R40</v>
          </cell>
          <cell r="I267" t="str">
            <v>B4</v>
          </cell>
          <cell r="S267">
            <v>0</v>
          </cell>
          <cell r="W267">
            <v>11599250</v>
          </cell>
        </row>
        <row r="268">
          <cell r="F268" t="str">
            <v>1.5.2.1</v>
          </cell>
          <cell r="H268" t="str">
            <v>R40</v>
          </cell>
          <cell r="I268" t="str">
            <v>B4</v>
          </cell>
          <cell r="S268">
            <v>0</v>
          </cell>
          <cell r="W268">
            <v>0</v>
          </cell>
        </row>
        <row r="269">
          <cell r="S269">
            <v>0</v>
          </cell>
          <cell r="W269">
            <v>0</v>
          </cell>
        </row>
        <row r="270">
          <cell r="F270">
            <v>4.2</v>
          </cell>
          <cell r="H270" t="str">
            <v>R46</v>
          </cell>
          <cell r="I270" t="str">
            <v>A7</v>
          </cell>
          <cell r="S270">
            <v>0</v>
          </cell>
          <cell r="W270">
            <v>0</v>
          </cell>
        </row>
        <row r="271">
          <cell r="F271">
            <v>4.2</v>
          </cell>
          <cell r="H271" t="str">
            <v>R46</v>
          </cell>
          <cell r="I271" t="str">
            <v>A7</v>
          </cell>
          <cell r="S271">
            <v>0</v>
          </cell>
          <cell r="W271">
            <v>0</v>
          </cell>
        </row>
        <row r="272">
          <cell r="F272">
            <v>4.2</v>
          </cell>
          <cell r="H272" t="str">
            <v>R46</v>
          </cell>
          <cell r="I272" t="str">
            <v>A7</v>
          </cell>
          <cell r="S272">
            <v>0</v>
          </cell>
          <cell r="W272">
            <v>0</v>
          </cell>
        </row>
        <row r="273">
          <cell r="S273">
            <v>0</v>
          </cell>
          <cell r="W273">
            <v>0</v>
          </cell>
        </row>
        <row r="274">
          <cell r="F274" t="str">
            <v>2.2.1</v>
          </cell>
          <cell r="H274" t="str">
            <v>R67</v>
          </cell>
          <cell r="I274" t="str">
            <v>A8.1.1</v>
          </cell>
          <cell r="S274">
            <v>0</v>
          </cell>
          <cell r="W274">
            <v>0</v>
          </cell>
        </row>
        <row r="275">
          <cell r="F275" t="str">
            <v>2.2.1</v>
          </cell>
          <cell r="H275" t="str">
            <v>R82</v>
          </cell>
          <cell r="I275" t="str">
            <v>A8.1.1</v>
          </cell>
          <cell r="J275" t="str">
            <v>A8.1*</v>
          </cell>
          <cell r="S275">
            <v>0</v>
          </cell>
          <cell r="W275">
            <v>0</v>
          </cell>
        </row>
        <row r="276">
          <cell r="F276" t="str">
            <v>2.2.1</v>
          </cell>
          <cell r="H276" t="str">
            <v>R82</v>
          </cell>
          <cell r="I276" t="str">
            <v>A8.1.1</v>
          </cell>
          <cell r="J276" t="str">
            <v>A8.1*</v>
          </cell>
          <cell r="S276">
            <v>0</v>
          </cell>
          <cell r="W276">
            <v>0</v>
          </cell>
        </row>
        <row r="277">
          <cell r="H277" t="str">
            <v>R83</v>
          </cell>
          <cell r="I277" t="str">
            <v>A8.1.2</v>
          </cell>
          <cell r="J277" t="str">
            <v>A8.1*</v>
          </cell>
          <cell r="S277">
            <v>0</v>
          </cell>
          <cell r="W277">
            <v>0</v>
          </cell>
        </row>
        <row r="278">
          <cell r="F278" t="str">
            <v>2.2.5</v>
          </cell>
        </row>
        <row r="279">
          <cell r="S279">
            <v>0</v>
          </cell>
          <cell r="W279">
            <v>0</v>
          </cell>
        </row>
        <row r="280">
          <cell r="F280" t="str">
            <v>2.2.3</v>
          </cell>
          <cell r="G280" t="str">
            <v>2.2.9</v>
          </cell>
          <cell r="H280" t="str">
            <v>R67</v>
          </cell>
          <cell r="I280" t="str">
            <v>A8.1.1</v>
          </cell>
          <cell r="S280">
            <v>0</v>
          </cell>
          <cell r="W280">
            <v>0</v>
          </cell>
        </row>
        <row r="281">
          <cell r="F281" t="str">
            <v>2.2.3</v>
          </cell>
          <cell r="G281" t="str">
            <v>2.2.9</v>
          </cell>
          <cell r="H281" t="str">
            <v>R82</v>
          </cell>
          <cell r="I281" t="str">
            <v>A8.1.1</v>
          </cell>
          <cell r="J281" t="str">
            <v>A8.1*</v>
          </cell>
          <cell r="S281">
            <v>0</v>
          </cell>
          <cell r="W281">
            <v>1523963</v>
          </cell>
        </row>
        <row r="282">
          <cell r="F282" t="str">
            <v>2.2.3</v>
          </cell>
          <cell r="G282" t="str">
            <v>2.2.9</v>
          </cell>
          <cell r="H282" t="str">
            <v>R82</v>
          </cell>
          <cell r="I282" t="str">
            <v>A8.1.1</v>
          </cell>
          <cell r="J282" t="str">
            <v>A8.1*</v>
          </cell>
          <cell r="S282">
            <v>0</v>
          </cell>
          <cell r="W282">
            <v>2860304.5</v>
          </cell>
        </row>
        <row r="283">
          <cell r="F283" t="str">
            <v>2.2.3</v>
          </cell>
          <cell r="G283" t="str">
            <v>2.2.9</v>
          </cell>
          <cell r="H283" t="str">
            <v>R82</v>
          </cell>
          <cell r="I283" t="str">
            <v>A8.1.1</v>
          </cell>
          <cell r="J283" t="str">
            <v>A8.1*</v>
          </cell>
          <cell r="S283">
            <v>0</v>
          </cell>
          <cell r="W283">
            <v>0</v>
          </cell>
        </row>
        <row r="285">
          <cell r="F285" t="str">
            <v>2.2.5</v>
          </cell>
          <cell r="H285" t="str">
            <v>R68</v>
          </cell>
          <cell r="I285" t="str">
            <v>A8.1.1</v>
          </cell>
          <cell r="S285">
            <v>0</v>
          </cell>
          <cell r="W285">
            <v>0</v>
          </cell>
        </row>
        <row r="286">
          <cell r="F286" t="str">
            <v>2.2.5</v>
          </cell>
          <cell r="H286" t="str">
            <v>R83</v>
          </cell>
          <cell r="I286" t="str">
            <v>A8.1.1</v>
          </cell>
          <cell r="J286" t="str">
            <v>A8.1*</v>
          </cell>
          <cell r="S286">
            <v>0</v>
          </cell>
          <cell r="W286">
            <v>27239811.5</v>
          </cell>
        </row>
        <row r="287">
          <cell r="F287" t="str">
            <v>2.2.5</v>
          </cell>
          <cell r="H287" t="str">
            <v>R83</v>
          </cell>
          <cell r="I287" t="str">
            <v>A8.1.1</v>
          </cell>
          <cell r="J287" t="str">
            <v>A8.1*</v>
          </cell>
          <cell r="S287">
            <v>0</v>
          </cell>
          <cell r="W287">
            <v>0</v>
          </cell>
        </row>
        <row r="288">
          <cell r="F288" t="str">
            <v>2.2.5</v>
          </cell>
          <cell r="H288" t="str">
            <v>R83</v>
          </cell>
          <cell r="I288" t="str">
            <v>A8.1.1</v>
          </cell>
          <cell r="J288" t="str">
            <v>A8.1*</v>
          </cell>
          <cell r="S288">
            <v>0</v>
          </cell>
          <cell r="W288">
            <v>0</v>
          </cell>
        </row>
        <row r="289">
          <cell r="S289">
            <v>0</v>
          </cell>
          <cell r="W289">
            <v>0</v>
          </cell>
        </row>
        <row r="290">
          <cell r="F290" t="str">
            <v>2.2.5</v>
          </cell>
          <cell r="H290" t="str">
            <v>R68</v>
          </cell>
          <cell r="I290" t="str">
            <v>A8.1.1</v>
          </cell>
          <cell r="S290">
            <v>5073109.1399999997</v>
          </cell>
          <cell r="W290">
            <v>5073109.1399999997</v>
          </cell>
        </row>
        <row r="291">
          <cell r="F291" t="str">
            <v>2.2.5</v>
          </cell>
          <cell r="H291" t="str">
            <v>R83</v>
          </cell>
          <cell r="I291" t="str">
            <v>A8.1.1</v>
          </cell>
          <cell r="J291" t="str">
            <v>A8.1*</v>
          </cell>
          <cell r="S291">
            <v>0</v>
          </cell>
          <cell r="W291">
            <v>209903389.5</v>
          </cell>
        </row>
        <row r="292">
          <cell r="F292" t="str">
            <v>2.2.5</v>
          </cell>
          <cell r="H292" t="str">
            <v>R83</v>
          </cell>
          <cell r="I292" t="str">
            <v>A8.1.1</v>
          </cell>
          <cell r="J292" t="str">
            <v>A8.1*</v>
          </cell>
          <cell r="S292">
            <v>0</v>
          </cell>
          <cell r="W292">
            <v>0</v>
          </cell>
        </row>
        <row r="293">
          <cell r="F293" t="str">
            <v>2.2.5</v>
          </cell>
          <cell r="H293" t="str">
            <v>R83</v>
          </cell>
          <cell r="I293" t="str">
            <v>A8.1.1</v>
          </cell>
          <cell r="J293" t="str">
            <v>A8.1*</v>
          </cell>
          <cell r="S293">
            <v>0</v>
          </cell>
          <cell r="W293">
            <v>0</v>
          </cell>
        </row>
        <row r="294">
          <cell r="F294" t="str">
            <v>2.2.5</v>
          </cell>
          <cell r="H294" t="str">
            <v>R83</v>
          </cell>
          <cell r="I294" t="str">
            <v>A8.1.1</v>
          </cell>
          <cell r="J294" t="str">
            <v>A8.1*</v>
          </cell>
          <cell r="S294">
            <v>0</v>
          </cell>
          <cell r="W294">
            <v>436744</v>
          </cell>
        </row>
        <row r="295">
          <cell r="S295">
            <v>0</v>
          </cell>
          <cell r="W295">
            <v>0</v>
          </cell>
        </row>
        <row r="296">
          <cell r="F296" t="str">
            <v>2.2.5</v>
          </cell>
          <cell r="H296" t="str">
            <v>R68</v>
          </cell>
          <cell r="I296" t="str">
            <v>A8.1.1</v>
          </cell>
          <cell r="S296">
            <v>0</v>
          </cell>
          <cell r="W296">
            <v>0</v>
          </cell>
        </row>
        <row r="297">
          <cell r="F297" t="str">
            <v>2.2.5</v>
          </cell>
          <cell r="H297" t="str">
            <v>R83</v>
          </cell>
          <cell r="I297" t="str">
            <v>A8.1.1</v>
          </cell>
          <cell r="J297" t="str">
            <v>A8.1*</v>
          </cell>
          <cell r="S297">
            <v>0</v>
          </cell>
          <cell r="W297">
            <v>0</v>
          </cell>
        </row>
        <row r="298">
          <cell r="F298" t="str">
            <v>2.2.5</v>
          </cell>
          <cell r="H298" t="str">
            <v>R83</v>
          </cell>
          <cell r="I298" t="str">
            <v>A8.1.1</v>
          </cell>
          <cell r="J298" t="str">
            <v>A8.1*</v>
          </cell>
          <cell r="S298">
            <v>0</v>
          </cell>
          <cell r="W298">
            <v>0</v>
          </cell>
        </row>
        <row r="299">
          <cell r="S299">
            <v>0</v>
          </cell>
          <cell r="W299">
            <v>0</v>
          </cell>
        </row>
        <row r="300">
          <cell r="F300" t="str">
            <v>2.2.3</v>
          </cell>
          <cell r="H300" t="str">
            <v>R67</v>
          </cell>
          <cell r="I300" t="str">
            <v>A8.1.1</v>
          </cell>
          <cell r="S300">
            <v>0</v>
          </cell>
          <cell r="W300">
            <v>0</v>
          </cell>
        </row>
        <row r="301">
          <cell r="F301" t="str">
            <v>2.2.3</v>
          </cell>
          <cell r="H301" t="str">
            <v>R67</v>
          </cell>
          <cell r="I301" t="str">
            <v>A8.1.1</v>
          </cell>
          <cell r="S301">
            <v>560838085.82000005</v>
          </cell>
          <cell r="W301">
            <v>560838085.82000005</v>
          </cell>
        </row>
        <row r="302">
          <cell r="F302" t="str">
            <v>2.2.3</v>
          </cell>
          <cell r="H302" t="str">
            <v>R67</v>
          </cell>
          <cell r="I302" t="str">
            <v>A8.1.1</v>
          </cell>
          <cell r="S302">
            <v>1406565148.77</v>
          </cell>
          <cell r="W302">
            <v>1406565148.77</v>
          </cell>
        </row>
        <row r="303">
          <cell r="F303" t="str">
            <v>2.2.3</v>
          </cell>
          <cell r="H303" t="str">
            <v>R67</v>
          </cell>
          <cell r="I303" t="str">
            <v>A8.1.1</v>
          </cell>
          <cell r="S303">
            <v>0</v>
          </cell>
          <cell r="W303">
            <v>0</v>
          </cell>
        </row>
        <row r="304">
          <cell r="S304">
            <v>0</v>
          </cell>
          <cell r="W304">
            <v>0</v>
          </cell>
        </row>
        <row r="305">
          <cell r="F305" t="str">
            <v>2.2.3</v>
          </cell>
          <cell r="H305" t="str">
            <v>R82</v>
          </cell>
          <cell r="I305" t="str">
            <v>A8.1.1</v>
          </cell>
          <cell r="J305" t="str">
            <v>A8.1*</v>
          </cell>
          <cell r="S305">
            <v>0</v>
          </cell>
          <cell r="W305">
            <v>0</v>
          </cell>
        </row>
        <row r="306">
          <cell r="F306" t="str">
            <v>2.2.3</v>
          </cell>
          <cell r="H306" t="str">
            <v>R82</v>
          </cell>
          <cell r="I306" t="str">
            <v>A8.1.1</v>
          </cell>
          <cell r="J306" t="str">
            <v>A8.1*</v>
          </cell>
          <cell r="S306">
            <v>0</v>
          </cell>
          <cell r="W306">
            <v>1253474632</v>
          </cell>
        </row>
        <row r="307">
          <cell r="F307" t="str">
            <v>2.2.3</v>
          </cell>
          <cell r="H307" t="str">
            <v>R82</v>
          </cell>
          <cell r="I307" t="str">
            <v>A8.1.1</v>
          </cell>
          <cell r="J307" t="str">
            <v>A8.1*</v>
          </cell>
          <cell r="S307">
            <v>0</v>
          </cell>
          <cell r="W307">
            <v>2210885442</v>
          </cell>
        </row>
        <row r="308">
          <cell r="F308" t="str">
            <v>2.2.3</v>
          </cell>
          <cell r="H308" t="str">
            <v>R82</v>
          </cell>
          <cell r="I308" t="str">
            <v>A8.1.1</v>
          </cell>
          <cell r="J308" t="str">
            <v>A8.1*</v>
          </cell>
          <cell r="S308">
            <v>0</v>
          </cell>
          <cell r="W308">
            <v>1569252738.5</v>
          </cell>
        </row>
        <row r="309">
          <cell r="F309" t="str">
            <v>2.2.3</v>
          </cell>
          <cell r="H309" t="str">
            <v>R82</v>
          </cell>
          <cell r="I309" t="str">
            <v>A8.1.1</v>
          </cell>
          <cell r="J309" t="str">
            <v>A8.1*</v>
          </cell>
          <cell r="S309">
            <v>0</v>
          </cell>
          <cell r="W309">
            <v>0</v>
          </cell>
        </row>
        <row r="310">
          <cell r="F310" t="str">
            <v>2.2.3</v>
          </cell>
          <cell r="H310" t="str">
            <v>R82</v>
          </cell>
          <cell r="I310" t="str">
            <v>A8.1.1</v>
          </cell>
          <cell r="J310" t="str">
            <v>A8.1*</v>
          </cell>
          <cell r="S310">
            <v>0</v>
          </cell>
          <cell r="W310">
            <v>0</v>
          </cell>
        </row>
        <row r="311">
          <cell r="S311">
            <v>0</v>
          </cell>
          <cell r="W311">
            <v>0</v>
          </cell>
        </row>
        <row r="312">
          <cell r="F312" t="str">
            <v>2.2.3</v>
          </cell>
          <cell r="H312" t="str">
            <v>R82</v>
          </cell>
          <cell r="I312" t="str">
            <v>A8.1.1</v>
          </cell>
          <cell r="J312" t="str">
            <v>A8.1*</v>
          </cell>
          <cell r="S312">
            <v>0</v>
          </cell>
          <cell r="W312">
            <v>0</v>
          </cell>
        </row>
        <row r="313">
          <cell r="F313" t="str">
            <v>2.2.3</v>
          </cell>
          <cell r="H313" t="str">
            <v>R82</v>
          </cell>
          <cell r="I313" t="str">
            <v>A8.1.1</v>
          </cell>
          <cell r="J313" t="str">
            <v>A8.1*</v>
          </cell>
          <cell r="S313">
            <v>0</v>
          </cell>
          <cell r="W313">
            <v>242400071.19999999</v>
          </cell>
        </row>
        <row r="314">
          <cell r="F314" t="str">
            <v>2.2.3</v>
          </cell>
          <cell r="H314" t="str">
            <v>R82</v>
          </cell>
          <cell r="I314" t="str">
            <v>A8.1.1</v>
          </cell>
          <cell r="J314" t="str">
            <v>A8.1*</v>
          </cell>
          <cell r="S314">
            <v>0</v>
          </cell>
          <cell r="W314">
            <v>341954959.36000001</v>
          </cell>
        </row>
        <row r="315">
          <cell r="F315" t="str">
            <v>2.2.3</v>
          </cell>
          <cell r="H315" t="str">
            <v>R82</v>
          </cell>
          <cell r="I315" t="str">
            <v>A8.1.1</v>
          </cell>
          <cell r="J315" t="str">
            <v>A8.1*</v>
          </cell>
          <cell r="S315">
            <v>0</v>
          </cell>
          <cell r="W315">
            <v>0</v>
          </cell>
        </row>
        <row r="316">
          <cell r="S316">
            <v>0</v>
          </cell>
          <cell r="W316">
            <v>0</v>
          </cell>
        </row>
        <row r="317">
          <cell r="F317" t="str">
            <v>2.2.3</v>
          </cell>
          <cell r="G317" t="str">
            <v>2.2.9</v>
          </cell>
          <cell r="H317" t="str">
            <v>R67</v>
          </cell>
          <cell r="I317" t="str">
            <v>A8.1.1</v>
          </cell>
          <cell r="S317">
            <v>0</v>
          </cell>
          <cell r="W317">
            <v>0</v>
          </cell>
        </row>
        <row r="318">
          <cell r="F318" t="str">
            <v>2.2.3</v>
          </cell>
          <cell r="G318" t="str">
            <v>2.2.9</v>
          </cell>
          <cell r="H318" t="str">
            <v>R82</v>
          </cell>
          <cell r="I318" t="str">
            <v>A8.1.1</v>
          </cell>
          <cell r="J318" t="str">
            <v>A8.1*</v>
          </cell>
          <cell r="S318">
            <v>0</v>
          </cell>
          <cell r="W318">
            <v>0</v>
          </cell>
        </row>
        <row r="319">
          <cell r="F319" t="str">
            <v>2.2.3</v>
          </cell>
          <cell r="G319" t="str">
            <v>2.2.9</v>
          </cell>
          <cell r="H319" t="str">
            <v>R82</v>
          </cell>
          <cell r="I319" t="str">
            <v>A8.1.1</v>
          </cell>
          <cell r="J319" t="str">
            <v>A8.1*</v>
          </cell>
          <cell r="S319">
            <v>0</v>
          </cell>
          <cell r="W319">
            <v>0</v>
          </cell>
        </row>
        <row r="320">
          <cell r="S320">
            <v>0</v>
          </cell>
          <cell r="W320">
            <v>0</v>
          </cell>
        </row>
        <row r="321">
          <cell r="F321" t="str">
            <v>2.2.5</v>
          </cell>
          <cell r="H321" t="str">
            <v>R83</v>
          </cell>
          <cell r="I321" t="str">
            <v>A8.1.1</v>
          </cell>
          <cell r="J321" t="str">
            <v>A8.1*</v>
          </cell>
          <cell r="S321">
            <v>0</v>
          </cell>
          <cell r="W321">
            <v>39262361.5</v>
          </cell>
        </row>
        <row r="322">
          <cell r="F322" t="str">
            <v>2.2.5</v>
          </cell>
          <cell r="H322" t="str">
            <v>R83</v>
          </cell>
          <cell r="I322" t="str">
            <v>A8.1.1</v>
          </cell>
          <cell r="J322" t="str">
            <v>A8.1*</v>
          </cell>
          <cell r="S322">
            <v>0</v>
          </cell>
          <cell r="W322">
            <v>26279045</v>
          </cell>
        </row>
        <row r="323">
          <cell r="S323">
            <v>0</v>
          </cell>
          <cell r="W323">
            <v>0</v>
          </cell>
        </row>
        <row r="324">
          <cell r="F324" t="str">
            <v>2.2.3</v>
          </cell>
          <cell r="G324" t="str">
            <v>2.2.7</v>
          </cell>
          <cell r="H324" t="str">
            <v>R67</v>
          </cell>
          <cell r="I324" t="str">
            <v>A8.1.1</v>
          </cell>
          <cell r="S324">
            <v>3006412.92</v>
          </cell>
          <cell r="W324">
            <v>3006412.92</v>
          </cell>
        </row>
        <row r="325">
          <cell r="F325" t="str">
            <v>2.2.3</v>
          </cell>
          <cell r="G325" t="str">
            <v>2.2.7</v>
          </cell>
          <cell r="H325" t="str">
            <v>R82</v>
          </cell>
          <cell r="I325" t="str">
            <v>A8.1.1</v>
          </cell>
          <cell r="J325" t="str">
            <v>A8.1*</v>
          </cell>
          <cell r="S325">
            <v>0</v>
          </cell>
          <cell r="W325">
            <v>4723156.5</v>
          </cell>
        </row>
        <row r="326">
          <cell r="F326" t="str">
            <v>2.2.3</v>
          </cell>
          <cell r="G326" t="str">
            <v>2.2.7</v>
          </cell>
          <cell r="H326" t="str">
            <v>R82</v>
          </cell>
          <cell r="I326" t="str">
            <v>A8.1.1</v>
          </cell>
          <cell r="J326" t="str">
            <v>A8.1*</v>
          </cell>
          <cell r="S326">
            <v>0</v>
          </cell>
          <cell r="W326">
            <v>1660732.64</v>
          </cell>
        </row>
        <row r="327">
          <cell r="S327">
            <v>0</v>
          </cell>
          <cell r="W327">
            <v>0</v>
          </cell>
        </row>
        <row r="328">
          <cell r="F328" t="str">
            <v>2.2.3</v>
          </cell>
          <cell r="G328" t="str">
            <v>2.2.7</v>
          </cell>
          <cell r="H328" t="str">
            <v>R67</v>
          </cell>
          <cell r="I328" t="str">
            <v>A8.1.1</v>
          </cell>
          <cell r="S328">
            <v>5120591.96</v>
          </cell>
          <cell r="W328">
            <v>5120591.96</v>
          </cell>
        </row>
        <row r="329">
          <cell r="F329" t="str">
            <v>2.2.3</v>
          </cell>
          <cell r="G329" t="str">
            <v>2.2.7</v>
          </cell>
          <cell r="H329" t="str">
            <v>R82</v>
          </cell>
          <cell r="I329" t="str">
            <v>A8.1.1</v>
          </cell>
          <cell r="J329" t="str">
            <v>A8.1*</v>
          </cell>
          <cell r="S329">
            <v>0</v>
          </cell>
          <cell r="W329">
            <v>14848783</v>
          </cell>
        </row>
        <row r="330">
          <cell r="F330" t="str">
            <v>2.2.3</v>
          </cell>
          <cell r="G330" t="str">
            <v>2.2.7</v>
          </cell>
          <cell r="H330" t="str">
            <v>R82</v>
          </cell>
          <cell r="I330" t="str">
            <v>A8.1.1</v>
          </cell>
          <cell r="J330" t="str">
            <v>A8.1*</v>
          </cell>
          <cell r="S330">
            <v>0</v>
          </cell>
          <cell r="W330">
            <v>2637451.04</v>
          </cell>
        </row>
        <row r="331">
          <cell r="S331">
            <v>0</v>
          </cell>
          <cell r="W331">
            <v>0</v>
          </cell>
        </row>
        <row r="332">
          <cell r="F332" t="str">
            <v>2.2.3</v>
          </cell>
          <cell r="G332" t="str">
            <v>2.2.7</v>
          </cell>
          <cell r="H332" t="str">
            <v>R67</v>
          </cell>
          <cell r="I332" t="str">
            <v>A8.1.1</v>
          </cell>
          <cell r="S332">
            <v>1262735.27</v>
          </cell>
          <cell r="W332">
            <v>1262735.27</v>
          </cell>
        </row>
        <row r="333">
          <cell r="F333" t="str">
            <v>2.2.3</v>
          </cell>
          <cell r="G333" t="str">
            <v>2.2.7</v>
          </cell>
          <cell r="H333" t="str">
            <v>R82</v>
          </cell>
          <cell r="I333" t="str">
            <v>A8.1.1</v>
          </cell>
          <cell r="J333" t="str">
            <v>A8.1*</v>
          </cell>
          <cell r="S333">
            <v>0</v>
          </cell>
          <cell r="W333">
            <v>5795101.5</v>
          </cell>
        </row>
        <row r="334">
          <cell r="F334" t="str">
            <v>2.2.3</v>
          </cell>
          <cell r="G334" t="str">
            <v>2.2.7</v>
          </cell>
          <cell r="H334" t="str">
            <v>R82</v>
          </cell>
          <cell r="I334" t="str">
            <v>A8.1.1</v>
          </cell>
          <cell r="J334" t="str">
            <v>A8.1*</v>
          </cell>
          <cell r="S334">
            <v>0</v>
          </cell>
          <cell r="W334">
            <v>0</v>
          </cell>
        </row>
        <row r="335">
          <cell r="S335">
            <v>0</v>
          </cell>
          <cell r="W335">
            <v>0</v>
          </cell>
        </row>
        <row r="336">
          <cell r="F336">
            <v>6.1</v>
          </cell>
          <cell r="H336" t="str">
            <v>R128</v>
          </cell>
          <cell r="I336" t="str">
            <v>A10</v>
          </cell>
          <cell r="S336">
            <v>0</v>
          </cell>
          <cell r="W336">
            <v>0</v>
          </cell>
        </row>
        <row r="337">
          <cell r="F337">
            <v>6.1</v>
          </cell>
          <cell r="H337" t="str">
            <v>R128</v>
          </cell>
          <cell r="I337" t="str">
            <v>A10</v>
          </cell>
          <cell r="S337">
            <v>0</v>
          </cell>
          <cell r="W337">
            <v>5512549953.5</v>
          </cell>
        </row>
        <row r="338">
          <cell r="F338">
            <v>6.1</v>
          </cell>
          <cell r="H338" t="str">
            <v>R128</v>
          </cell>
          <cell r="I338" t="str">
            <v>A10</v>
          </cell>
          <cell r="S338">
            <v>0</v>
          </cell>
          <cell r="W338">
            <v>0</v>
          </cell>
        </row>
        <row r="339">
          <cell r="S339">
            <v>0</v>
          </cell>
          <cell r="W339">
            <v>0</v>
          </cell>
        </row>
        <row r="340">
          <cell r="F340">
            <v>6.2</v>
          </cell>
          <cell r="H340" t="str">
            <v>R128</v>
          </cell>
          <cell r="I340" t="str">
            <v>A10</v>
          </cell>
          <cell r="S340">
            <v>0</v>
          </cell>
          <cell r="W340">
            <v>0</v>
          </cell>
        </row>
        <row r="341">
          <cell r="F341">
            <v>6.2</v>
          </cell>
          <cell r="H341" t="str">
            <v>R128</v>
          </cell>
          <cell r="I341" t="str">
            <v>A10</v>
          </cell>
          <cell r="S341">
            <v>0</v>
          </cell>
          <cell r="W341">
            <v>0</v>
          </cell>
        </row>
        <row r="342">
          <cell r="F342">
            <v>6.2</v>
          </cell>
          <cell r="H342" t="str">
            <v>R128</v>
          </cell>
          <cell r="I342" t="str">
            <v>A10</v>
          </cell>
          <cell r="S342">
            <v>0</v>
          </cell>
          <cell r="W342">
            <v>0</v>
          </cell>
        </row>
        <row r="343">
          <cell r="S343">
            <v>0</v>
          </cell>
          <cell r="W343">
            <v>0</v>
          </cell>
        </row>
        <row r="344">
          <cell r="F344">
            <v>6.2</v>
          </cell>
          <cell r="H344" t="str">
            <v>R128</v>
          </cell>
          <cell r="I344" t="str">
            <v>A10</v>
          </cell>
          <cell r="S344">
            <v>0</v>
          </cell>
          <cell r="W344">
            <v>0</v>
          </cell>
        </row>
        <row r="345">
          <cell r="F345">
            <v>6.2</v>
          </cell>
          <cell r="H345" t="str">
            <v>R128</v>
          </cell>
          <cell r="I345" t="str">
            <v>A10</v>
          </cell>
          <cell r="S345">
            <v>0</v>
          </cell>
          <cell r="W345">
            <v>1073096749.5</v>
          </cell>
        </row>
        <row r="346">
          <cell r="F346">
            <v>6.2</v>
          </cell>
          <cell r="H346" t="str">
            <v>R128</v>
          </cell>
          <cell r="I346" t="str">
            <v>A10</v>
          </cell>
          <cell r="S346">
            <v>0</v>
          </cell>
          <cell r="W346">
            <v>0</v>
          </cell>
        </row>
        <row r="347">
          <cell r="S347">
            <v>0</v>
          </cell>
          <cell r="W347">
            <v>0</v>
          </cell>
        </row>
        <row r="348">
          <cell r="F348">
            <v>6.2</v>
          </cell>
          <cell r="H348" t="str">
            <v>R128</v>
          </cell>
          <cell r="I348" t="str">
            <v>A10</v>
          </cell>
          <cell r="S348">
            <v>510987787</v>
          </cell>
          <cell r="W348">
            <v>510987787</v>
          </cell>
        </row>
        <row r="349">
          <cell r="F349">
            <v>6.2</v>
          </cell>
          <cell r="H349" t="str">
            <v>R128</v>
          </cell>
          <cell r="I349" t="str">
            <v>A10</v>
          </cell>
          <cell r="S349">
            <v>0</v>
          </cell>
          <cell r="W349">
            <v>21964628183.5</v>
          </cell>
        </row>
        <row r="350">
          <cell r="F350">
            <v>6.2</v>
          </cell>
          <cell r="H350" t="str">
            <v>R128</v>
          </cell>
          <cell r="I350" t="str">
            <v>A10</v>
          </cell>
          <cell r="S350">
            <v>0</v>
          </cell>
          <cell r="W350">
            <v>18813662.559999999</v>
          </cell>
        </row>
        <row r="351">
          <cell r="S351">
            <v>0</v>
          </cell>
          <cell r="W351">
            <v>0</v>
          </cell>
        </row>
        <row r="352">
          <cell r="F352">
            <v>6.3</v>
          </cell>
          <cell r="H352" t="str">
            <v>R128</v>
          </cell>
          <cell r="I352" t="str">
            <v>A10</v>
          </cell>
          <cell r="S352">
            <v>0</v>
          </cell>
          <cell r="W352">
            <v>0</v>
          </cell>
        </row>
        <row r="353">
          <cell r="F353">
            <v>6.3</v>
          </cell>
          <cell r="H353" t="str">
            <v>R128</v>
          </cell>
          <cell r="I353" t="str">
            <v>A10</v>
          </cell>
          <cell r="S353">
            <v>0</v>
          </cell>
          <cell r="W353">
            <v>1895216231.5</v>
          </cell>
        </row>
        <row r="354">
          <cell r="F354">
            <v>6.3</v>
          </cell>
          <cell r="H354" t="str">
            <v>R128</v>
          </cell>
          <cell r="I354" t="str">
            <v>A10</v>
          </cell>
          <cell r="S354">
            <v>0</v>
          </cell>
          <cell r="W354">
            <v>0</v>
          </cell>
        </row>
        <row r="355">
          <cell r="S355">
            <v>0</v>
          </cell>
          <cell r="W355">
            <v>0</v>
          </cell>
        </row>
        <row r="356">
          <cell r="F356">
            <v>6.3</v>
          </cell>
          <cell r="H356" t="str">
            <v>R128</v>
          </cell>
          <cell r="I356" t="str">
            <v>A10</v>
          </cell>
          <cell r="S356">
            <v>0</v>
          </cell>
          <cell r="W356">
            <v>0</v>
          </cell>
        </row>
        <row r="357">
          <cell r="F357">
            <v>6.3</v>
          </cell>
          <cell r="H357" t="str">
            <v>R128</v>
          </cell>
          <cell r="I357" t="str">
            <v>A10</v>
          </cell>
          <cell r="S357">
            <v>0</v>
          </cell>
          <cell r="W357">
            <v>3148304747.5</v>
          </cell>
        </row>
        <row r="358">
          <cell r="F358">
            <v>6.3</v>
          </cell>
          <cell r="H358" t="str">
            <v>R128</v>
          </cell>
          <cell r="I358" t="str">
            <v>A10</v>
          </cell>
          <cell r="S358">
            <v>0</v>
          </cell>
          <cell r="W358">
            <v>0</v>
          </cell>
        </row>
        <row r="359">
          <cell r="S359">
            <v>0</v>
          </cell>
          <cell r="W359">
            <v>0</v>
          </cell>
        </row>
        <row r="360">
          <cell r="F360">
            <v>6.3</v>
          </cell>
          <cell r="H360" t="str">
            <v>R128</v>
          </cell>
          <cell r="I360" t="str">
            <v>A10</v>
          </cell>
          <cell r="S360">
            <v>0</v>
          </cell>
          <cell r="W360">
            <v>0</v>
          </cell>
        </row>
        <row r="361">
          <cell r="F361">
            <v>6.3</v>
          </cell>
          <cell r="H361" t="str">
            <v>R128</v>
          </cell>
          <cell r="I361" t="str">
            <v>A10</v>
          </cell>
          <cell r="S361">
            <v>0</v>
          </cell>
          <cell r="W361">
            <v>8349134091</v>
          </cell>
        </row>
        <row r="362">
          <cell r="F362">
            <v>6.3</v>
          </cell>
          <cell r="H362" t="str">
            <v>R128</v>
          </cell>
          <cell r="I362" t="str">
            <v>A10</v>
          </cell>
          <cell r="S362">
            <v>0</v>
          </cell>
          <cell r="W362">
            <v>0</v>
          </cell>
        </row>
        <row r="363">
          <cell r="S363">
            <v>0</v>
          </cell>
          <cell r="W363">
            <v>0</v>
          </cell>
        </row>
        <row r="364">
          <cell r="F364">
            <v>6.3</v>
          </cell>
          <cell r="H364" t="str">
            <v>R128</v>
          </cell>
          <cell r="I364" t="str">
            <v>A10</v>
          </cell>
          <cell r="S364">
            <v>0</v>
          </cell>
          <cell r="W364">
            <v>0</v>
          </cell>
        </row>
        <row r="365">
          <cell r="F365">
            <v>6.3</v>
          </cell>
          <cell r="H365" t="str">
            <v>R128</v>
          </cell>
          <cell r="I365" t="str">
            <v>A10</v>
          </cell>
          <cell r="S365">
            <v>0</v>
          </cell>
          <cell r="W365">
            <v>8403932600</v>
          </cell>
        </row>
        <row r="366">
          <cell r="F366">
            <v>6.3</v>
          </cell>
          <cell r="H366" t="str">
            <v>R128</v>
          </cell>
          <cell r="I366" t="str">
            <v>A10</v>
          </cell>
          <cell r="S366">
            <v>0</v>
          </cell>
          <cell r="W366">
            <v>0</v>
          </cell>
        </row>
        <row r="367">
          <cell r="S367">
            <v>0</v>
          </cell>
          <cell r="W367">
            <v>0</v>
          </cell>
        </row>
        <row r="368">
          <cell r="F368">
            <v>6.9</v>
          </cell>
          <cell r="H368" t="str">
            <v>R128</v>
          </cell>
          <cell r="I368" t="str">
            <v>A10</v>
          </cell>
          <cell r="S368">
            <v>0</v>
          </cell>
          <cell r="W368">
            <v>0</v>
          </cell>
        </row>
        <row r="369">
          <cell r="F369">
            <v>6.9</v>
          </cell>
          <cell r="H369" t="str">
            <v>R128</v>
          </cell>
          <cell r="I369" t="str">
            <v>A10</v>
          </cell>
          <cell r="S369">
            <v>0</v>
          </cell>
          <cell r="W369">
            <v>0</v>
          </cell>
        </row>
        <row r="370">
          <cell r="F370">
            <v>6.9</v>
          </cell>
          <cell r="H370" t="str">
            <v>R128</v>
          </cell>
          <cell r="I370" t="str">
            <v>A10</v>
          </cell>
          <cell r="S370">
            <v>0</v>
          </cell>
          <cell r="W370">
            <v>0</v>
          </cell>
        </row>
        <row r="371">
          <cell r="S371">
            <v>0</v>
          </cell>
          <cell r="W371">
            <v>0</v>
          </cell>
        </row>
        <row r="372">
          <cell r="F372" t="str">
            <v>P6.2</v>
          </cell>
          <cell r="H372" t="str">
            <v>R308</v>
          </cell>
          <cell r="I372" t="str">
            <v>C8.4</v>
          </cell>
          <cell r="S372">
            <v>0</v>
          </cell>
          <cell r="W372">
            <v>0</v>
          </cell>
        </row>
        <row r="373">
          <cell r="F373" t="str">
            <v>P6.2</v>
          </cell>
          <cell r="H373" t="str">
            <v>R308</v>
          </cell>
          <cell r="I373" t="str">
            <v>C8.4</v>
          </cell>
          <cell r="S373">
            <v>0</v>
          </cell>
          <cell r="W373">
            <v>0</v>
          </cell>
        </row>
        <row r="374">
          <cell r="F374" t="str">
            <v>P6.2</v>
          </cell>
          <cell r="H374" t="str">
            <v>R308</v>
          </cell>
          <cell r="I374" t="str">
            <v>C8.4</v>
          </cell>
          <cell r="S374">
            <v>0</v>
          </cell>
          <cell r="W374">
            <v>0</v>
          </cell>
        </row>
        <row r="375">
          <cell r="S375">
            <v>0</v>
          </cell>
          <cell r="W375">
            <v>0</v>
          </cell>
        </row>
        <row r="376">
          <cell r="F376" t="str">
            <v>P6.2</v>
          </cell>
          <cell r="H376" t="str">
            <v>R308</v>
          </cell>
          <cell r="I376" t="str">
            <v>C8.4</v>
          </cell>
          <cell r="S376">
            <v>0</v>
          </cell>
          <cell r="W376">
            <v>0</v>
          </cell>
        </row>
        <row r="377">
          <cell r="F377" t="str">
            <v>P6.2</v>
          </cell>
          <cell r="H377" t="str">
            <v>R308</v>
          </cell>
          <cell r="I377" t="str">
            <v>C8.4</v>
          </cell>
          <cell r="S377">
            <v>0</v>
          </cell>
          <cell r="W377">
            <v>-703560547.13999999</v>
          </cell>
        </row>
        <row r="378">
          <cell r="F378" t="str">
            <v>P6.2</v>
          </cell>
          <cell r="H378" t="str">
            <v>R308</v>
          </cell>
          <cell r="I378" t="str">
            <v>C8.4</v>
          </cell>
          <cell r="S378">
            <v>0</v>
          </cell>
          <cell r="W378">
            <v>0</v>
          </cell>
        </row>
        <row r="379">
          <cell r="S379">
            <v>0</v>
          </cell>
          <cell r="W379">
            <v>0</v>
          </cell>
        </row>
        <row r="380">
          <cell r="F380" t="str">
            <v>P6.3</v>
          </cell>
          <cell r="H380" t="str">
            <v>R308</v>
          </cell>
          <cell r="I380" t="str">
            <v>C8.4</v>
          </cell>
          <cell r="S380">
            <v>0</v>
          </cell>
          <cell r="W380">
            <v>0</v>
          </cell>
        </row>
        <row r="381">
          <cell r="F381" t="str">
            <v>P6.3</v>
          </cell>
          <cell r="H381" t="str">
            <v>R308</v>
          </cell>
          <cell r="I381" t="str">
            <v>C8.4</v>
          </cell>
          <cell r="S381">
            <v>0</v>
          </cell>
          <cell r="W381">
            <v>-1542769430.5</v>
          </cell>
        </row>
        <row r="382">
          <cell r="F382" t="str">
            <v>P6.3</v>
          </cell>
          <cell r="H382" t="str">
            <v>R308</v>
          </cell>
          <cell r="I382" t="str">
            <v>C8.4</v>
          </cell>
          <cell r="S382">
            <v>0</v>
          </cell>
          <cell r="W382">
            <v>0</v>
          </cell>
        </row>
        <row r="383">
          <cell r="S383">
            <v>0</v>
          </cell>
          <cell r="W383">
            <v>0</v>
          </cell>
        </row>
        <row r="384">
          <cell r="F384" t="str">
            <v>P6.3</v>
          </cell>
          <cell r="H384" t="str">
            <v>R308</v>
          </cell>
          <cell r="I384" t="str">
            <v>C8.4</v>
          </cell>
          <cell r="S384">
            <v>0</v>
          </cell>
          <cell r="W384">
            <v>0</v>
          </cell>
        </row>
        <row r="385">
          <cell r="F385" t="str">
            <v>P6.3</v>
          </cell>
          <cell r="H385" t="str">
            <v>R308</v>
          </cell>
          <cell r="I385" t="str">
            <v>C8.4</v>
          </cell>
          <cell r="S385">
            <v>0</v>
          </cell>
          <cell r="W385">
            <v>-2399329181.5</v>
          </cell>
        </row>
        <row r="386">
          <cell r="F386" t="str">
            <v>P6.3</v>
          </cell>
          <cell r="H386" t="str">
            <v>R308</v>
          </cell>
          <cell r="I386" t="str">
            <v>C8.4</v>
          </cell>
          <cell r="S386">
            <v>0</v>
          </cell>
          <cell r="W386">
            <v>0</v>
          </cell>
        </row>
        <row r="387">
          <cell r="S387">
            <v>0</v>
          </cell>
          <cell r="W387">
            <v>0</v>
          </cell>
        </row>
        <row r="388">
          <cell r="F388" t="str">
            <v>P6.3</v>
          </cell>
          <cell r="H388" t="str">
            <v>R308</v>
          </cell>
          <cell r="I388" t="str">
            <v>C8.4</v>
          </cell>
          <cell r="S388">
            <v>0</v>
          </cell>
          <cell r="W388">
            <v>0</v>
          </cell>
        </row>
        <row r="389">
          <cell r="F389" t="str">
            <v>P6.3</v>
          </cell>
          <cell r="H389" t="str">
            <v>R308</v>
          </cell>
          <cell r="I389" t="str">
            <v>C8.4</v>
          </cell>
          <cell r="S389">
            <v>0</v>
          </cell>
          <cell r="W389">
            <v>-6393666707</v>
          </cell>
        </row>
        <row r="390">
          <cell r="F390" t="str">
            <v>P6.3</v>
          </cell>
          <cell r="H390" t="str">
            <v>R308</v>
          </cell>
          <cell r="I390" t="str">
            <v>C8.4</v>
          </cell>
          <cell r="S390">
            <v>0</v>
          </cell>
          <cell r="W390">
            <v>0</v>
          </cell>
        </row>
        <row r="391">
          <cell r="S391">
            <v>0</v>
          </cell>
          <cell r="W391">
            <v>0</v>
          </cell>
        </row>
        <row r="392">
          <cell r="F392" t="str">
            <v>P6.3</v>
          </cell>
          <cell r="H392" t="str">
            <v>R308</v>
          </cell>
          <cell r="I392" t="str">
            <v>C8.4</v>
          </cell>
          <cell r="S392">
            <v>0</v>
          </cell>
          <cell r="W392">
            <v>0</v>
          </cell>
        </row>
        <row r="393">
          <cell r="F393" t="str">
            <v>P6.3</v>
          </cell>
          <cell r="H393" t="str">
            <v>R308</v>
          </cell>
          <cell r="I393" t="str">
            <v>C8.4</v>
          </cell>
          <cell r="S393">
            <v>0</v>
          </cell>
          <cell r="W393">
            <v>-6875470502</v>
          </cell>
        </row>
        <row r="394">
          <cell r="F394" t="str">
            <v>P6.3</v>
          </cell>
          <cell r="H394" t="str">
            <v>R308</v>
          </cell>
          <cell r="I394" t="str">
            <v>C8.4</v>
          </cell>
          <cell r="S394">
            <v>0</v>
          </cell>
          <cell r="W394">
            <v>0</v>
          </cell>
        </row>
        <row r="395">
          <cell r="S395">
            <v>0</v>
          </cell>
          <cell r="W395">
            <v>0</v>
          </cell>
        </row>
        <row r="396">
          <cell r="F396" t="str">
            <v>P6.3</v>
          </cell>
          <cell r="H396" t="str">
            <v>R308</v>
          </cell>
          <cell r="I396" t="str">
            <v>C8.4</v>
          </cell>
          <cell r="S396">
            <v>0</v>
          </cell>
          <cell r="W396">
            <v>0</v>
          </cell>
        </row>
        <row r="397">
          <cell r="F397" t="str">
            <v>P6.3</v>
          </cell>
          <cell r="H397" t="str">
            <v>R308</v>
          </cell>
          <cell r="I397" t="str">
            <v>C8.4</v>
          </cell>
          <cell r="S397">
            <v>0</v>
          </cell>
          <cell r="W397">
            <v>0</v>
          </cell>
        </row>
        <row r="398">
          <cell r="F398" t="str">
            <v>P6.3</v>
          </cell>
          <cell r="H398" t="str">
            <v>R308</v>
          </cell>
          <cell r="I398" t="str">
            <v>C8.4</v>
          </cell>
          <cell r="S398">
            <v>0</v>
          </cell>
          <cell r="W398">
            <v>0</v>
          </cell>
        </row>
        <row r="399">
          <cell r="S399">
            <v>0</v>
          </cell>
          <cell r="W399">
            <v>0</v>
          </cell>
        </row>
        <row r="400">
          <cell r="F400">
            <v>6.5</v>
          </cell>
          <cell r="H400" t="str">
            <v>R128</v>
          </cell>
          <cell r="I400" t="str">
            <v>A10</v>
          </cell>
          <cell r="S400">
            <v>0</v>
          </cell>
          <cell r="W400">
            <v>0</v>
          </cell>
        </row>
        <row r="401">
          <cell r="F401">
            <v>6.5</v>
          </cell>
          <cell r="H401" t="str">
            <v>R128</v>
          </cell>
          <cell r="I401" t="str">
            <v>A10</v>
          </cell>
          <cell r="S401">
            <v>0</v>
          </cell>
          <cell r="W401">
            <v>7649294566.5</v>
          </cell>
        </row>
        <row r="402">
          <cell r="F402">
            <v>6.5</v>
          </cell>
          <cell r="H402" t="str">
            <v>R128</v>
          </cell>
          <cell r="I402" t="str">
            <v>A10</v>
          </cell>
          <cell r="S402">
            <v>0</v>
          </cell>
          <cell r="W402">
            <v>0</v>
          </cell>
        </row>
        <row r="403">
          <cell r="S403">
            <v>0</v>
          </cell>
          <cell r="W403">
            <v>0</v>
          </cell>
        </row>
        <row r="404">
          <cell r="F404">
            <v>6.5</v>
          </cell>
          <cell r="H404" t="str">
            <v>R128</v>
          </cell>
          <cell r="I404" t="str">
            <v>A10</v>
          </cell>
          <cell r="S404">
            <v>0</v>
          </cell>
          <cell r="W404">
            <v>0</v>
          </cell>
        </row>
        <row r="405">
          <cell r="F405">
            <v>6.5</v>
          </cell>
          <cell r="H405" t="str">
            <v>R128</v>
          </cell>
          <cell r="I405" t="str">
            <v>A10</v>
          </cell>
          <cell r="S405">
            <v>0</v>
          </cell>
          <cell r="W405">
            <v>0</v>
          </cell>
        </row>
        <row r="406">
          <cell r="F406">
            <v>6.5</v>
          </cell>
          <cell r="H406" t="str">
            <v>R128</v>
          </cell>
          <cell r="I406" t="str">
            <v>A10</v>
          </cell>
          <cell r="S406">
            <v>0</v>
          </cell>
          <cell r="W406">
            <v>0</v>
          </cell>
        </row>
        <row r="407">
          <cell r="S407">
            <v>0</v>
          </cell>
          <cell r="W407">
            <v>0</v>
          </cell>
        </row>
        <row r="408">
          <cell r="F408" t="str">
            <v>P6.5</v>
          </cell>
          <cell r="H408" t="str">
            <v>R308</v>
          </cell>
          <cell r="I408" t="str">
            <v>C8.4</v>
          </cell>
          <cell r="S408">
            <v>0</v>
          </cell>
          <cell r="W408">
            <v>0</v>
          </cell>
        </row>
        <row r="409">
          <cell r="F409" t="str">
            <v>P6.5</v>
          </cell>
          <cell r="H409" t="str">
            <v>R308</v>
          </cell>
          <cell r="I409" t="str">
            <v>C8.4</v>
          </cell>
          <cell r="S409">
            <v>0</v>
          </cell>
          <cell r="W409">
            <v>-4776553595.5</v>
          </cell>
        </row>
        <row r="410">
          <cell r="F410" t="str">
            <v>P6.5</v>
          </cell>
          <cell r="H410" t="str">
            <v>R308</v>
          </cell>
          <cell r="I410" t="str">
            <v>C8.4</v>
          </cell>
          <cell r="S410">
            <v>0</v>
          </cell>
          <cell r="W410">
            <v>0</v>
          </cell>
        </row>
        <row r="411">
          <cell r="S411">
            <v>0</v>
          </cell>
          <cell r="W411">
            <v>0</v>
          </cell>
        </row>
        <row r="412">
          <cell r="F412">
            <v>6.7</v>
          </cell>
          <cell r="H412" t="str">
            <v>R128</v>
          </cell>
          <cell r="I412" t="str">
            <v>A10</v>
          </cell>
          <cell r="S412">
            <v>0</v>
          </cell>
          <cell r="W412">
            <v>0</v>
          </cell>
        </row>
        <row r="413">
          <cell r="F413">
            <v>6.7</v>
          </cell>
          <cell r="H413" t="str">
            <v>R128</v>
          </cell>
          <cell r="I413" t="str">
            <v>A10</v>
          </cell>
          <cell r="S413">
            <v>0</v>
          </cell>
          <cell r="W413">
            <v>58100000</v>
          </cell>
        </row>
        <row r="414">
          <cell r="F414">
            <v>6.7</v>
          </cell>
          <cell r="H414" t="str">
            <v>R128</v>
          </cell>
          <cell r="I414" t="str">
            <v>A10</v>
          </cell>
          <cell r="S414">
            <v>0</v>
          </cell>
          <cell r="W414">
            <v>0</v>
          </cell>
        </row>
        <row r="415">
          <cell r="S415">
            <v>0</v>
          </cell>
          <cell r="W415">
            <v>0</v>
          </cell>
        </row>
        <row r="416">
          <cell r="F416">
            <v>7.2</v>
          </cell>
          <cell r="H416" t="str">
            <v>R122</v>
          </cell>
          <cell r="I416" t="str">
            <v>A11</v>
          </cell>
          <cell r="S416">
            <v>0</v>
          </cell>
          <cell r="W416">
            <v>0</v>
          </cell>
        </row>
        <row r="417">
          <cell r="F417">
            <v>7.2</v>
          </cell>
          <cell r="H417" t="str">
            <v>R122</v>
          </cell>
          <cell r="I417" t="str">
            <v>A11</v>
          </cell>
          <cell r="S417">
            <v>0</v>
          </cell>
          <cell r="W417">
            <v>0</v>
          </cell>
        </row>
        <row r="418">
          <cell r="F418">
            <v>7.2</v>
          </cell>
          <cell r="H418" t="str">
            <v>R122</v>
          </cell>
          <cell r="I418" t="str">
            <v>A11</v>
          </cell>
          <cell r="S418">
            <v>0</v>
          </cell>
          <cell r="W418">
            <v>0</v>
          </cell>
        </row>
        <row r="419">
          <cell r="F419">
            <v>7.2</v>
          </cell>
          <cell r="H419" t="str">
            <v>R122</v>
          </cell>
          <cell r="I419" t="str">
            <v>A11</v>
          </cell>
          <cell r="S419">
            <v>0</v>
          </cell>
          <cell r="W419">
            <v>0</v>
          </cell>
        </row>
        <row r="420">
          <cell r="F420">
            <v>7.2</v>
          </cell>
          <cell r="H420" t="str">
            <v>R122</v>
          </cell>
          <cell r="I420" t="str">
            <v>A11</v>
          </cell>
          <cell r="S420">
            <v>0</v>
          </cell>
          <cell r="W420">
            <v>0</v>
          </cell>
        </row>
        <row r="421">
          <cell r="F421">
            <v>7.2</v>
          </cell>
          <cell r="H421" t="str">
            <v>R122</v>
          </cell>
          <cell r="I421" t="str">
            <v>A11</v>
          </cell>
          <cell r="S421">
            <v>0</v>
          </cell>
          <cell r="W421">
            <v>0</v>
          </cell>
        </row>
        <row r="422">
          <cell r="F422">
            <v>7.2</v>
          </cell>
          <cell r="H422" t="str">
            <v>R122</v>
          </cell>
          <cell r="I422" t="str">
            <v>A11</v>
          </cell>
          <cell r="S422">
            <v>0</v>
          </cell>
          <cell r="W422">
            <v>0</v>
          </cell>
        </row>
        <row r="423">
          <cell r="F423">
            <v>7.2</v>
          </cell>
          <cell r="H423" t="str">
            <v>R122</v>
          </cell>
          <cell r="I423" t="str">
            <v>A11</v>
          </cell>
          <cell r="S423">
            <v>0</v>
          </cell>
          <cell r="W423">
            <v>0</v>
          </cell>
        </row>
        <row r="424">
          <cell r="F424">
            <v>7.2</v>
          </cell>
          <cell r="H424" t="str">
            <v>R122</v>
          </cell>
          <cell r="I424" t="str">
            <v>A11</v>
          </cell>
          <cell r="S424">
            <v>0</v>
          </cell>
          <cell r="W424">
            <v>0</v>
          </cell>
        </row>
        <row r="425">
          <cell r="F425">
            <v>7.2</v>
          </cell>
          <cell r="H425" t="str">
            <v>R122</v>
          </cell>
          <cell r="I425" t="str">
            <v>A11</v>
          </cell>
          <cell r="S425">
            <v>0</v>
          </cell>
          <cell r="W425">
            <v>0</v>
          </cell>
        </row>
        <row r="426">
          <cell r="F426">
            <v>7.2</v>
          </cell>
          <cell r="H426" t="str">
            <v>R122</v>
          </cell>
          <cell r="I426" t="str">
            <v>A11</v>
          </cell>
          <cell r="S426">
            <v>0</v>
          </cell>
          <cell r="W426">
            <v>0</v>
          </cell>
        </row>
        <row r="427">
          <cell r="F427">
            <v>7.2</v>
          </cell>
          <cell r="H427" t="str">
            <v>R122</v>
          </cell>
          <cell r="I427" t="str">
            <v>A11</v>
          </cell>
          <cell r="S427">
            <v>0</v>
          </cell>
          <cell r="W427">
            <v>0</v>
          </cell>
        </row>
        <row r="428">
          <cell r="F428">
            <v>7.2</v>
          </cell>
          <cell r="H428" t="str">
            <v>R122</v>
          </cell>
          <cell r="I428" t="str">
            <v>A11</v>
          </cell>
          <cell r="S428">
            <v>0</v>
          </cell>
          <cell r="W428">
            <v>0</v>
          </cell>
        </row>
        <row r="429">
          <cell r="F429">
            <v>7.2</v>
          </cell>
          <cell r="H429" t="str">
            <v>R122</v>
          </cell>
          <cell r="I429" t="str">
            <v>A11</v>
          </cell>
          <cell r="S429">
            <v>0</v>
          </cell>
          <cell r="W429">
            <v>0</v>
          </cell>
        </row>
        <row r="430">
          <cell r="F430">
            <v>7.2</v>
          </cell>
          <cell r="H430" t="str">
            <v>R122</v>
          </cell>
          <cell r="I430" t="str">
            <v>A11</v>
          </cell>
          <cell r="S430">
            <v>0</v>
          </cell>
          <cell r="W430">
            <v>0</v>
          </cell>
        </row>
        <row r="431">
          <cell r="S431">
            <v>0</v>
          </cell>
          <cell r="W431">
            <v>0</v>
          </cell>
        </row>
        <row r="432">
          <cell r="F432">
            <v>7.2</v>
          </cell>
          <cell r="H432" t="str">
            <v>R122</v>
          </cell>
          <cell r="I432" t="str">
            <v>A11</v>
          </cell>
          <cell r="S432">
            <v>0</v>
          </cell>
          <cell r="W432">
            <v>0</v>
          </cell>
        </row>
        <row r="433">
          <cell r="F433">
            <v>7.2</v>
          </cell>
          <cell r="H433" t="str">
            <v>R122</v>
          </cell>
          <cell r="I433" t="str">
            <v>A11</v>
          </cell>
          <cell r="S433">
            <v>0</v>
          </cell>
          <cell r="W433">
            <v>0</v>
          </cell>
        </row>
        <row r="434">
          <cell r="F434">
            <v>7.2</v>
          </cell>
          <cell r="H434" t="str">
            <v>R122</v>
          </cell>
          <cell r="I434" t="str">
            <v>A11</v>
          </cell>
          <cell r="S434">
            <v>0</v>
          </cell>
          <cell r="W434">
            <v>0</v>
          </cell>
        </row>
        <row r="435">
          <cell r="F435">
            <v>7.2</v>
          </cell>
          <cell r="H435" t="str">
            <v>R122</v>
          </cell>
          <cell r="I435" t="str">
            <v>A11</v>
          </cell>
          <cell r="S435">
            <v>0</v>
          </cell>
          <cell r="W435">
            <v>0</v>
          </cell>
        </row>
        <row r="436">
          <cell r="F436">
            <v>7.2</v>
          </cell>
          <cell r="H436" t="str">
            <v>R122</v>
          </cell>
          <cell r="I436" t="str">
            <v>A11</v>
          </cell>
          <cell r="S436">
            <v>0</v>
          </cell>
          <cell r="W436">
            <v>0</v>
          </cell>
        </row>
        <row r="437">
          <cell r="F437">
            <v>7.2</v>
          </cell>
          <cell r="H437" t="str">
            <v>R122</v>
          </cell>
          <cell r="I437" t="str">
            <v>A11</v>
          </cell>
          <cell r="S437">
            <v>0</v>
          </cell>
          <cell r="W437">
            <v>0</v>
          </cell>
        </row>
        <row r="438">
          <cell r="F438">
            <v>7.2</v>
          </cell>
          <cell r="H438" t="str">
            <v>R122</v>
          </cell>
          <cell r="I438" t="str">
            <v>A11</v>
          </cell>
          <cell r="S438">
            <v>0</v>
          </cell>
          <cell r="W438">
            <v>0</v>
          </cell>
        </row>
        <row r="439">
          <cell r="F439">
            <v>7.2</v>
          </cell>
          <cell r="H439" t="str">
            <v>R122</v>
          </cell>
          <cell r="I439" t="str">
            <v>A11</v>
          </cell>
          <cell r="S439">
            <v>0</v>
          </cell>
          <cell r="W439">
            <v>0</v>
          </cell>
        </row>
        <row r="440">
          <cell r="F440">
            <v>7.2</v>
          </cell>
          <cell r="H440" t="str">
            <v>R122</v>
          </cell>
          <cell r="I440" t="str">
            <v>A11</v>
          </cell>
          <cell r="S440">
            <v>0</v>
          </cell>
          <cell r="W440">
            <v>0</v>
          </cell>
        </row>
        <row r="441">
          <cell r="F441">
            <v>7.2</v>
          </cell>
          <cell r="H441" t="str">
            <v>R122</v>
          </cell>
          <cell r="I441" t="str">
            <v>A11</v>
          </cell>
          <cell r="S441">
            <v>0</v>
          </cell>
          <cell r="W441">
            <v>0</v>
          </cell>
        </row>
        <row r="442">
          <cell r="F442">
            <v>7.2</v>
          </cell>
          <cell r="H442" t="str">
            <v>R122</v>
          </cell>
          <cell r="I442" t="str">
            <v>A11</v>
          </cell>
          <cell r="S442">
            <v>0</v>
          </cell>
          <cell r="W442">
            <v>0</v>
          </cell>
        </row>
        <row r="443">
          <cell r="F443">
            <v>7.2</v>
          </cell>
          <cell r="H443" t="str">
            <v>R122</v>
          </cell>
          <cell r="I443" t="str">
            <v>A11</v>
          </cell>
          <cell r="S443">
            <v>0</v>
          </cell>
          <cell r="W443">
            <v>0</v>
          </cell>
        </row>
        <row r="444">
          <cell r="F444">
            <v>7.2</v>
          </cell>
          <cell r="H444" t="str">
            <v>R122</v>
          </cell>
          <cell r="I444" t="str">
            <v>A11</v>
          </cell>
          <cell r="S444">
            <v>0</v>
          </cell>
          <cell r="W444">
            <v>0</v>
          </cell>
        </row>
        <row r="445">
          <cell r="F445">
            <v>7.2</v>
          </cell>
          <cell r="H445" t="str">
            <v>R122</v>
          </cell>
          <cell r="I445" t="str">
            <v>A11</v>
          </cell>
          <cell r="S445">
            <v>0</v>
          </cell>
          <cell r="W445">
            <v>0</v>
          </cell>
        </row>
        <row r="446">
          <cell r="F446">
            <v>7.2</v>
          </cell>
          <cell r="H446" t="str">
            <v>R122</v>
          </cell>
          <cell r="I446" t="str">
            <v>A11</v>
          </cell>
          <cell r="S446">
            <v>0</v>
          </cell>
          <cell r="W446">
            <v>0</v>
          </cell>
        </row>
        <row r="447">
          <cell r="S447">
            <v>0</v>
          </cell>
          <cell r="W447">
            <v>0</v>
          </cell>
        </row>
        <row r="448">
          <cell r="F448">
            <v>7.2</v>
          </cell>
          <cell r="H448" t="str">
            <v>R122</v>
          </cell>
          <cell r="I448" t="str">
            <v>A11</v>
          </cell>
          <cell r="S448">
            <v>0</v>
          </cell>
          <cell r="W448">
            <v>0</v>
          </cell>
        </row>
        <row r="449">
          <cell r="F449">
            <v>7.2</v>
          </cell>
          <cell r="H449" t="str">
            <v>R122</v>
          </cell>
          <cell r="I449" t="str">
            <v>A11</v>
          </cell>
          <cell r="S449">
            <v>0</v>
          </cell>
          <cell r="W449">
            <v>0</v>
          </cell>
        </row>
        <row r="450">
          <cell r="F450">
            <v>7.2</v>
          </cell>
          <cell r="H450" t="str">
            <v>R122</v>
          </cell>
          <cell r="I450" t="str">
            <v>A11</v>
          </cell>
          <cell r="S450">
            <v>0</v>
          </cell>
          <cell r="W450">
            <v>0</v>
          </cell>
        </row>
        <row r="451">
          <cell r="F451">
            <v>7.2</v>
          </cell>
          <cell r="H451" t="str">
            <v>R122</v>
          </cell>
          <cell r="I451" t="str">
            <v>A11</v>
          </cell>
          <cell r="S451">
            <v>0</v>
          </cell>
          <cell r="W451">
            <v>0</v>
          </cell>
        </row>
        <row r="452">
          <cell r="S452">
            <v>0</v>
          </cell>
          <cell r="W452">
            <v>0</v>
          </cell>
        </row>
        <row r="453">
          <cell r="F453">
            <v>7.2</v>
          </cell>
          <cell r="H453" t="str">
            <v>R122</v>
          </cell>
          <cell r="I453" t="str">
            <v>A11</v>
          </cell>
          <cell r="S453">
            <v>0</v>
          </cell>
          <cell r="W453">
            <v>0</v>
          </cell>
        </row>
        <row r="454">
          <cell r="F454">
            <v>7.2</v>
          </cell>
          <cell r="H454" t="str">
            <v>R123</v>
          </cell>
          <cell r="I454" t="str">
            <v>A11</v>
          </cell>
          <cell r="S454">
            <v>0</v>
          </cell>
          <cell r="W454">
            <v>0</v>
          </cell>
        </row>
        <row r="455">
          <cell r="F455">
            <v>7.2</v>
          </cell>
          <cell r="H455" t="str">
            <v>R123</v>
          </cell>
          <cell r="I455" t="str">
            <v>A11</v>
          </cell>
          <cell r="S455">
            <v>0</v>
          </cell>
          <cell r="W455">
            <v>0</v>
          </cell>
        </row>
        <row r="456">
          <cell r="S456">
            <v>0</v>
          </cell>
          <cell r="W456">
            <v>0</v>
          </cell>
        </row>
        <row r="457">
          <cell r="F457">
            <v>7.2</v>
          </cell>
          <cell r="H457" t="str">
            <v>R122</v>
          </cell>
          <cell r="I457" t="str">
            <v>A11</v>
          </cell>
          <cell r="S457">
            <v>0</v>
          </cell>
          <cell r="W457">
            <v>0</v>
          </cell>
        </row>
        <row r="458">
          <cell r="F458">
            <v>7.2</v>
          </cell>
          <cell r="H458" t="str">
            <v>R122</v>
          </cell>
          <cell r="I458" t="str">
            <v>A11</v>
          </cell>
          <cell r="S458">
            <v>0</v>
          </cell>
          <cell r="W458">
            <v>0</v>
          </cell>
        </row>
        <row r="459">
          <cell r="F459">
            <v>7.2</v>
          </cell>
          <cell r="H459" t="str">
            <v>R123</v>
          </cell>
          <cell r="I459" t="str">
            <v>A11</v>
          </cell>
          <cell r="S459">
            <v>0</v>
          </cell>
          <cell r="W459">
            <v>31996500</v>
          </cell>
        </row>
        <row r="460">
          <cell r="F460">
            <v>7.2</v>
          </cell>
          <cell r="H460" t="str">
            <v>R123</v>
          </cell>
          <cell r="I460" t="str">
            <v>A11</v>
          </cell>
          <cell r="S460">
            <v>0</v>
          </cell>
          <cell r="W460">
            <v>160273000</v>
          </cell>
        </row>
        <row r="461">
          <cell r="F461">
            <v>7.2</v>
          </cell>
          <cell r="H461" t="str">
            <v>R123</v>
          </cell>
          <cell r="I461" t="str">
            <v>A11</v>
          </cell>
          <cell r="S461">
            <v>0</v>
          </cell>
          <cell r="W461">
            <v>10831500</v>
          </cell>
        </row>
        <row r="462">
          <cell r="F462">
            <v>7.2</v>
          </cell>
          <cell r="H462" t="str">
            <v>R123</v>
          </cell>
          <cell r="I462" t="str">
            <v>A11</v>
          </cell>
          <cell r="S462">
            <v>0</v>
          </cell>
          <cell r="W462">
            <v>11602800</v>
          </cell>
        </row>
        <row r="463">
          <cell r="F463">
            <v>7.2</v>
          </cell>
          <cell r="H463" t="str">
            <v>R123</v>
          </cell>
          <cell r="I463" t="str">
            <v>A11</v>
          </cell>
          <cell r="S463">
            <v>0</v>
          </cell>
          <cell r="W463">
            <v>0</v>
          </cell>
        </row>
        <row r="464">
          <cell r="F464">
            <v>7.2</v>
          </cell>
          <cell r="H464" t="str">
            <v>R123</v>
          </cell>
          <cell r="I464" t="str">
            <v>A11</v>
          </cell>
          <cell r="S464">
            <v>0</v>
          </cell>
          <cell r="W464">
            <v>1582200</v>
          </cell>
        </row>
        <row r="465">
          <cell r="F465">
            <v>7.2</v>
          </cell>
          <cell r="H465" t="str">
            <v>R123</v>
          </cell>
          <cell r="I465" t="str">
            <v>A11</v>
          </cell>
          <cell r="S465">
            <v>0</v>
          </cell>
          <cell r="W465">
            <v>0</v>
          </cell>
        </row>
        <row r="466">
          <cell r="F466">
            <v>7.2</v>
          </cell>
          <cell r="H466" t="str">
            <v>R123</v>
          </cell>
          <cell r="I466" t="str">
            <v>A11</v>
          </cell>
          <cell r="S466">
            <v>0</v>
          </cell>
          <cell r="W466">
            <v>0</v>
          </cell>
        </row>
        <row r="467">
          <cell r="F467">
            <v>7.2</v>
          </cell>
          <cell r="H467" t="str">
            <v>R123</v>
          </cell>
          <cell r="I467" t="str">
            <v>A11</v>
          </cell>
          <cell r="S467">
            <v>0</v>
          </cell>
          <cell r="W467">
            <v>0</v>
          </cell>
        </row>
        <row r="468">
          <cell r="F468">
            <v>7.2</v>
          </cell>
          <cell r="H468" t="str">
            <v>R123</v>
          </cell>
          <cell r="I468" t="str">
            <v>A11</v>
          </cell>
          <cell r="S468">
            <v>0</v>
          </cell>
          <cell r="W468">
            <v>1109500</v>
          </cell>
        </row>
        <row r="469">
          <cell r="S469">
            <v>0</v>
          </cell>
          <cell r="W469">
            <v>0</v>
          </cell>
        </row>
        <row r="470">
          <cell r="F470">
            <v>7.2</v>
          </cell>
          <cell r="H470" t="str">
            <v>R122</v>
          </cell>
          <cell r="I470" t="str">
            <v>B3</v>
          </cell>
          <cell r="S470">
            <v>0</v>
          </cell>
          <cell r="W470">
            <v>0</v>
          </cell>
        </row>
        <row r="471">
          <cell r="F471">
            <v>7.2</v>
          </cell>
          <cell r="H471" t="str">
            <v>R122</v>
          </cell>
          <cell r="I471" t="str">
            <v>B3</v>
          </cell>
          <cell r="S471">
            <v>0</v>
          </cell>
          <cell r="W471">
            <v>0</v>
          </cell>
        </row>
        <row r="472">
          <cell r="F472">
            <v>7.2</v>
          </cell>
          <cell r="H472" t="str">
            <v>R122</v>
          </cell>
          <cell r="I472" t="str">
            <v>B3</v>
          </cell>
          <cell r="S472">
            <v>0</v>
          </cell>
          <cell r="W472">
            <v>0</v>
          </cell>
        </row>
        <row r="473">
          <cell r="S473">
            <v>0</v>
          </cell>
          <cell r="W473">
            <v>0</v>
          </cell>
        </row>
        <row r="474">
          <cell r="F474">
            <v>7.1</v>
          </cell>
          <cell r="H474" t="str">
            <v>R122</v>
          </cell>
          <cell r="I474" t="str">
            <v>A11</v>
          </cell>
          <cell r="S474">
            <v>11827209.060000001</v>
          </cell>
          <cell r="W474">
            <v>11827209.060000001</v>
          </cell>
        </row>
        <row r="475">
          <cell r="F475">
            <v>7.1</v>
          </cell>
          <cell r="H475" t="str">
            <v>R122</v>
          </cell>
          <cell r="I475" t="str">
            <v>A11</v>
          </cell>
          <cell r="S475">
            <v>19600</v>
          </cell>
          <cell r="W475">
            <v>19600</v>
          </cell>
        </row>
        <row r="476">
          <cell r="F476">
            <v>7.1</v>
          </cell>
          <cell r="H476" t="str">
            <v>R122</v>
          </cell>
          <cell r="I476" t="str">
            <v>A11</v>
          </cell>
          <cell r="S476">
            <v>0</v>
          </cell>
          <cell r="W476">
            <v>0</v>
          </cell>
        </row>
        <row r="477">
          <cell r="F477">
            <v>7.1</v>
          </cell>
          <cell r="H477" t="str">
            <v>R122</v>
          </cell>
          <cell r="I477" t="str">
            <v>A11</v>
          </cell>
          <cell r="S477">
            <v>-50800</v>
          </cell>
          <cell r="W477">
            <v>-50800</v>
          </cell>
        </row>
        <row r="478">
          <cell r="F478">
            <v>7.1</v>
          </cell>
          <cell r="H478" t="str">
            <v>R122</v>
          </cell>
          <cell r="I478" t="str">
            <v>A11</v>
          </cell>
          <cell r="S478">
            <v>0</v>
          </cell>
          <cell r="W478">
            <v>0</v>
          </cell>
        </row>
        <row r="479">
          <cell r="F479">
            <v>7.1</v>
          </cell>
          <cell r="H479" t="str">
            <v>R122</v>
          </cell>
          <cell r="I479" t="str">
            <v>A11</v>
          </cell>
          <cell r="S479">
            <v>0</v>
          </cell>
          <cell r="W479">
            <v>0</v>
          </cell>
        </row>
        <row r="480">
          <cell r="F480">
            <v>7.1</v>
          </cell>
          <cell r="H480" t="str">
            <v>R122</v>
          </cell>
          <cell r="I480" t="str">
            <v>A11</v>
          </cell>
          <cell r="S480">
            <v>0</v>
          </cell>
          <cell r="W480">
            <v>0</v>
          </cell>
        </row>
        <row r="481">
          <cell r="F481">
            <v>7.1</v>
          </cell>
          <cell r="H481" t="str">
            <v>R122</v>
          </cell>
          <cell r="I481" t="str">
            <v>A11</v>
          </cell>
          <cell r="S481">
            <v>0</v>
          </cell>
          <cell r="W481">
            <v>0</v>
          </cell>
        </row>
        <row r="482">
          <cell r="S482">
            <v>0</v>
          </cell>
          <cell r="W482">
            <v>0</v>
          </cell>
        </row>
        <row r="483">
          <cell r="F483">
            <v>7.1</v>
          </cell>
          <cell r="H483" t="str">
            <v>R122</v>
          </cell>
          <cell r="I483" t="str">
            <v>A11</v>
          </cell>
          <cell r="S483">
            <v>0</v>
          </cell>
          <cell r="W483">
            <v>0</v>
          </cell>
        </row>
        <row r="484">
          <cell r="F484">
            <v>7.1</v>
          </cell>
          <cell r="H484" t="str">
            <v>R122</v>
          </cell>
          <cell r="I484" t="str">
            <v>A11</v>
          </cell>
          <cell r="S484">
            <v>0</v>
          </cell>
          <cell r="W484">
            <v>0</v>
          </cell>
        </row>
        <row r="485">
          <cell r="F485">
            <v>7.1</v>
          </cell>
          <cell r="H485" t="str">
            <v>R122</v>
          </cell>
          <cell r="I485" t="str">
            <v>A11</v>
          </cell>
          <cell r="S485">
            <v>0</v>
          </cell>
          <cell r="W485">
            <v>0</v>
          </cell>
        </row>
        <row r="486">
          <cell r="F486">
            <v>7.1</v>
          </cell>
          <cell r="H486" t="str">
            <v>R122</v>
          </cell>
          <cell r="I486" t="str">
            <v>A11</v>
          </cell>
          <cell r="S486">
            <v>0</v>
          </cell>
          <cell r="W486">
            <v>-413008</v>
          </cell>
        </row>
        <row r="487">
          <cell r="F487">
            <v>7.1</v>
          </cell>
          <cell r="H487" t="str">
            <v>R122</v>
          </cell>
          <cell r="I487" t="str">
            <v>A11</v>
          </cell>
          <cell r="S487">
            <v>0</v>
          </cell>
          <cell r="W487">
            <v>0</v>
          </cell>
        </row>
        <row r="488">
          <cell r="F488">
            <v>7.1</v>
          </cell>
          <cell r="H488" t="str">
            <v>R122</v>
          </cell>
          <cell r="I488" t="str">
            <v>A11</v>
          </cell>
          <cell r="S488">
            <v>0</v>
          </cell>
          <cell r="W488">
            <v>0</v>
          </cell>
        </row>
        <row r="489">
          <cell r="F489">
            <v>7.1</v>
          </cell>
          <cell r="H489" t="str">
            <v>R122</v>
          </cell>
          <cell r="I489" t="str">
            <v>A11</v>
          </cell>
          <cell r="S489">
            <v>0</v>
          </cell>
          <cell r="W489">
            <v>0</v>
          </cell>
        </row>
        <row r="490">
          <cell r="S490">
            <v>0</v>
          </cell>
          <cell r="W490">
            <v>0</v>
          </cell>
        </row>
        <row r="491">
          <cell r="F491">
            <v>7.1</v>
          </cell>
          <cell r="H491" t="str">
            <v>R122</v>
          </cell>
          <cell r="I491" t="str">
            <v>A11</v>
          </cell>
          <cell r="S491">
            <v>0</v>
          </cell>
          <cell r="W491">
            <v>0</v>
          </cell>
        </row>
        <row r="492">
          <cell r="F492">
            <v>7.1</v>
          </cell>
          <cell r="H492" t="str">
            <v>R122</v>
          </cell>
          <cell r="I492" t="str">
            <v>A11</v>
          </cell>
          <cell r="S492">
            <v>0</v>
          </cell>
          <cell r="W492">
            <v>0</v>
          </cell>
        </row>
        <row r="493">
          <cell r="F493">
            <v>7.1</v>
          </cell>
          <cell r="H493" t="str">
            <v>R122</v>
          </cell>
          <cell r="I493" t="str">
            <v>A11</v>
          </cell>
          <cell r="S493">
            <v>0</v>
          </cell>
          <cell r="W493">
            <v>0</v>
          </cell>
        </row>
        <row r="494">
          <cell r="F494">
            <v>7.1</v>
          </cell>
          <cell r="H494" t="str">
            <v>R122</v>
          </cell>
          <cell r="I494" t="str">
            <v>A11</v>
          </cell>
          <cell r="S494">
            <v>0</v>
          </cell>
          <cell r="W494">
            <v>45360</v>
          </cell>
        </row>
        <row r="495">
          <cell r="F495">
            <v>7.1</v>
          </cell>
          <cell r="H495" t="str">
            <v>R122</v>
          </cell>
          <cell r="I495" t="str">
            <v>A11</v>
          </cell>
          <cell r="S495">
            <v>0</v>
          </cell>
          <cell r="W495">
            <v>0</v>
          </cell>
        </row>
        <row r="496">
          <cell r="S496">
            <v>0</v>
          </cell>
          <cell r="W496">
            <v>0</v>
          </cell>
        </row>
        <row r="497">
          <cell r="F497">
            <v>7.2</v>
          </cell>
          <cell r="H497" t="str">
            <v>R122</v>
          </cell>
          <cell r="I497" t="str">
            <v>A11</v>
          </cell>
          <cell r="S497">
            <v>211294508.91999999</v>
          </cell>
          <cell r="W497">
            <v>211294508.91999999</v>
          </cell>
        </row>
        <row r="498">
          <cell r="F498">
            <v>7.2</v>
          </cell>
          <cell r="H498" t="str">
            <v>R122</v>
          </cell>
          <cell r="I498" t="str">
            <v>A11</v>
          </cell>
          <cell r="S498">
            <v>2628700</v>
          </cell>
          <cell r="W498">
            <v>2628700</v>
          </cell>
        </row>
        <row r="499">
          <cell r="F499">
            <v>7.2</v>
          </cell>
          <cell r="H499" t="str">
            <v>R122</v>
          </cell>
          <cell r="I499" t="str">
            <v>A11</v>
          </cell>
          <cell r="S499">
            <v>0</v>
          </cell>
          <cell r="W499">
            <v>0</v>
          </cell>
        </row>
        <row r="500">
          <cell r="F500">
            <v>7.2</v>
          </cell>
          <cell r="H500" t="str">
            <v>R122</v>
          </cell>
          <cell r="I500" t="str">
            <v>A11</v>
          </cell>
          <cell r="S500">
            <v>4960</v>
          </cell>
          <cell r="W500">
            <v>4960</v>
          </cell>
        </row>
        <row r="501">
          <cell r="S501">
            <v>0</v>
          </cell>
          <cell r="W501">
            <v>0</v>
          </cell>
        </row>
        <row r="502">
          <cell r="F502">
            <v>7.2</v>
          </cell>
          <cell r="H502" t="str">
            <v>R122</v>
          </cell>
          <cell r="I502" t="str">
            <v>A11</v>
          </cell>
          <cell r="S502">
            <v>0</v>
          </cell>
          <cell r="W502">
            <v>90916664.5</v>
          </cell>
        </row>
        <row r="503">
          <cell r="F503">
            <v>7.2</v>
          </cell>
          <cell r="H503" t="str">
            <v>R122</v>
          </cell>
          <cell r="I503" t="str">
            <v>A11</v>
          </cell>
          <cell r="S503">
            <v>0</v>
          </cell>
          <cell r="W503">
            <v>37671251.5</v>
          </cell>
        </row>
        <row r="504">
          <cell r="F504">
            <v>7.2</v>
          </cell>
          <cell r="H504" t="str">
            <v>R122</v>
          </cell>
          <cell r="I504" t="str">
            <v>A11</v>
          </cell>
          <cell r="S504">
            <v>0</v>
          </cell>
          <cell r="W504">
            <v>954.5</v>
          </cell>
        </row>
        <row r="505">
          <cell r="F505">
            <v>7.2</v>
          </cell>
          <cell r="H505" t="str">
            <v>R122</v>
          </cell>
          <cell r="I505" t="str">
            <v>A11</v>
          </cell>
          <cell r="S505">
            <v>0</v>
          </cell>
          <cell r="W505">
            <v>0</v>
          </cell>
        </row>
        <row r="506">
          <cell r="F506">
            <v>7.2</v>
          </cell>
          <cell r="H506" t="str">
            <v>R122</v>
          </cell>
          <cell r="I506" t="str">
            <v>A11</v>
          </cell>
          <cell r="S506">
            <v>0</v>
          </cell>
          <cell r="W506">
            <v>0</v>
          </cell>
        </row>
        <row r="507">
          <cell r="F507">
            <v>7.2</v>
          </cell>
          <cell r="H507" t="str">
            <v>R122</v>
          </cell>
          <cell r="I507" t="str">
            <v>A11</v>
          </cell>
          <cell r="S507">
            <v>0</v>
          </cell>
          <cell r="W507">
            <v>6487778</v>
          </cell>
        </row>
        <row r="508">
          <cell r="F508">
            <v>7.2</v>
          </cell>
          <cell r="H508" t="str">
            <v>R122</v>
          </cell>
          <cell r="I508" t="str">
            <v>A11</v>
          </cell>
          <cell r="S508">
            <v>0</v>
          </cell>
          <cell r="W508">
            <v>398252467.5</v>
          </cell>
        </row>
        <row r="509">
          <cell r="F509">
            <v>7.2</v>
          </cell>
          <cell r="H509" t="str">
            <v>R122</v>
          </cell>
          <cell r="I509" t="str">
            <v>A11</v>
          </cell>
          <cell r="S509">
            <v>0</v>
          </cell>
          <cell r="W509">
            <v>2495602.5</v>
          </cell>
        </row>
        <row r="510">
          <cell r="F510">
            <v>7.2</v>
          </cell>
          <cell r="H510" t="str">
            <v>R122</v>
          </cell>
          <cell r="I510" t="str">
            <v>A11</v>
          </cell>
          <cell r="S510">
            <v>0</v>
          </cell>
          <cell r="W510">
            <v>569961</v>
          </cell>
        </row>
        <row r="511">
          <cell r="F511">
            <v>7.2</v>
          </cell>
          <cell r="H511" t="str">
            <v>R122</v>
          </cell>
          <cell r="I511" t="str">
            <v>A11</v>
          </cell>
          <cell r="S511">
            <v>0</v>
          </cell>
          <cell r="W511">
            <v>0</v>
          </cell>
        </row>
        <row r="512">
          <cell r="S512">
            <v>0</v>
          </cell>
          <cell r="W512">
            <v>0</v>
          </cell>
        </row>
        <row r="513">
          <cell r="F513">
            <v>7.2</v>
          </cell>
          <cell r="H513" t="str">
            <v>R122</v>
          </cell>
          <cell r="I513" t="str">
            <v>A11</v>
          </cell>
          <cell r="S513">
            <v>0</v>
          </cell>
          <cell r="W513">
            <v>0</v>
          </cell>
        </row>
        <row r="514">
          <cell r="F514">
            <v>7.2</v>
          </cell>
          <cell r="H514" t="str">
            <v>R122</v>
          </cell>
          <cell r="I514" t="str">
            <v>A11</v>
          </cell>
          <cell r="S514">
            <v>0</v>
          </cell>
          <cell r="W514">
            <v>0</v>
          </cell>
        </row>
        <row r="515">
          <cell r="S515">
            <v>0</v>
          </cell>
          <cell r="W515">
            <v>0</v>
          </cell>
        </row>
        <row r="516">
          <cell r="F516">
            <v>7.2</v>
          </cell>
          <cell r="H516" t="str">
            <v>R122</v>
          </cell>
          <cell r="I516" t="str">
            <v>A11</v>
          </cell>
          <cell r="S516">
            <v>0</v>
          </cell>
          <cell r="W516">
            <v>0</v>
          </cell>
        </row>
        <row r="517">
          <cell r="F517">
            <v>7.2</v>
          </cell>
          <cell r="H517" t="str">
            <v>R122</v>
          </cell>
          <cell r="I517" t="str">
            <v>A11</v>
          </cell>
          <cell r="S517">
            <v>0</v>
          </cell>
          <cell r="W517">
            <v>445200</v>
          </cell>
        </row>
        <row r="518">
          <cell r="F518">
            <v>7.2</v>
          </cell>
          <cell r="H518" t="str">
            <v>R122</v>
          </cell>
          <cell r="I518" t="str">
            <v>A11</v>
          </cell>
          <cell r="S518">
            <v>0</v>
          </cell>
          <cell r="W518">
            <v>0</v>
          </cell>
        </row>
        <row r="519">
          <cell r="F519">
            <v>7.2</v>
          </cell>
          <cell r="H519" t="str">
            <v>R122</v>
          </cell>
          <cell r="I519" t="str">
            <v>A11</v>
          </cell>
          <cell r="S519">
            <v>0</v>
          </cell>
          <cell r="W519">
            <v>19178527.199999999</v>
          </cell>
        </row>
        <row r="520">
          <cell r="S520">
            <v>0</v>
          </cell>
          <cell r="W520">
            <v>0</v>
          </cell>
        </row>
        <row r="521">
          <cell r="S521">
            <v>99201370777.310013</v>
          </cell>
          <cell r="W521">
            <v>763156483281.70032</v>
          </cell>
        </row>
        <row r="523">
          <cell r="S523">
            <v>0</v>
          </cell>
          <cell r="W523">
            <v>0</v>
          </cell>
        </row>
        <row r="524">
          <cell r="S524">
            <v>0</v>
          </cell>
          <cell r="W524">
            <v>0</v>
          </cell>
        </row>
        <row r="525">
          <cell r="F525" t="str">
            <v>9.2.2.2</v>
          </cell>
          <cell r="H525" t="str">
            <v>R206</v>
          </cell>
          <cell r="I525" t="str">
            <v>D7</v>
          </cell>
          <cell r="S525">
            <v>0</v>
          </cell>
          <cell r="W525">
            <v>0</v>
          </cell>
        </row>
        <row r="526">
          <cell r="F526" t="str">
            <v>9.2.2.2</v>
          </cell>
          <cell r="H526" t="str">
            <v>R218</v>
          </cell>
          <cell r="I526" t="str">
            <v>D7</v>
          </cell>
          <cell r="S526">
            <v>0</v>
          </cell>
          <cell r="W526">
            <v>0</v>
          </cell>
        </row>
        <row r="527">
          <cell r="F527" t="str">
            <v>9.2.2.2</v>
          </cell>
          <cell r="H527" t="str">
            <v>R218</v>
          </cell>
          <cell r="I527" t="str">
            <v>D7</v>
          </cell>
          <cell r="S527">
            <v>0</v>
          </cell>
          <cell r="W527">
            <v>0</v>
          </cell>
        </row>
        <row r="528">
          <cell r="S528">
            <v>0</v>
          </cell>
          <cell r="W528">
            <v>0</v>
          </cell>
        </row>
        <row r="529">
          <cell r="F529" t="str">
            <v>11.1.1</v>
          </cell>
          <cell r="H529" t="str">
            <v>R144</v>
          </cell>
          <cell r="I529" t="str">
            <v>C1.1</v>
          </cell>
          <cell r="S529">
            <v>10000</v>
          </cell>
          <cell r="W529">
            <v>10000</v>
          </cell>
        </row>
        <row r="530">
          <cell r="F530" t="str">
            <v>11.1.1</v>
          </cell>
          <cell r="H530" t="str">
            <v>R150</v>
          </cell>
          <cell r="I530" t="str">
            <v>C4.1</v>
          </cell>
          <cell r="S530">
            <v>0</v>
          </cell>
          <cell r="W530">
            <v>114540788.5</v>
          </cell>
        </row>
        <row r="531">
          <cell r="F531" t="str">
            <v>11.1.1</v>
          </cell>
          <cell r="H531" t="str">
            <v>R150</v>
          </cell>
          <cell r="I531" t="str">
            <v>C4.1</v>
          </cell>
          <cell r="S531">
            <v>0</v>
          </cell>
          <cell r="W531">
            <v>0</v>
          </cell>
        </row>
        <row r="532">
          <cell r="S532">
            <v>0</v>
          </cell>
          <cell r="W532">
            <v>0</v>
          </cell>
        </row>
        <row r="533">
          <cell r="F533" t="str">
            <v>11.2.1</v>
          </cell>
          <cell r="H533" t="str">
            <v>R180</v>
          </cell>
          <cell r="I533" t="str">
            <v>D1</v>
          </cell>
          <cell r="S533">
            <v>0</v>
          </cell>
          <cell r="W533">
            <v>0</v>
          </cell>
        </row>
        <row r="534">
          <cell r="F534" t="str">
            <v>11.2.1</v>
          </cell>
          <cell r="H534" t="str">
            <v>R192</v>
          </cell>
          <cell r="I534" t="str">
            <v>D2</v>
          </cell>
          <cell r="S534">
            <v>0</v>
          </cell>
          <cell r="W534">
            <v>60148232.5</v>
          </cell>
        </row>
        <row r="535">
          <cell r="F535" t="str">
            <v>11.2.1</v>
          </cell>
          <cell r="H535" t="str">
            <v>R192</v>
          </cell>
          <cell r="I535" t="str">
            <v>D2</v>
          </cell>
          <cell r="S535">
            <v>0</v>
          </cell>
          <cell r="W535">
            <v>0</v>
          </cell>
        </row>
        <row r="536">
          <cell r="F536" t="str">
            <v>11.2.1</v>
          </cell>
          <cell r="H536" t="str">
            <v>R192</v>
          </cell>
          <cell r="I536" t="str">
            <v>D2</v>
          </cell>
          <cell r="S536">
            <v>0</v>
          </cell>
          <cell r="W536">
            <v>0</v>
          </cell>
        </row>
        <row r="537">
          <cell r="S537">
            <v>0</v>
          </cell>
          <cell r="W537">
            <v>0</v>
          </cell>
        </row>
        <row r="538">
          <cell r="F538" t="str">
            <v>11.1.1</v>
          </cell>
          <cell r="H538" t="str">
            <v>R144</v>
          </cell>
          <cell r="I538" t="str">
            <v>C1.1</v>
          </cell>
          <cell r="S538">
            <v>694364550</v>
          </cell>
          <cell r="W538">
            <v>694364550</v>
          </cell>
        </row>
        <row r="539">
          <cell r="F539" t="str">
            <v>11.1.1</v>
          </cell>
          <cell r="H539" t="str">
            <v>R150</v>
          </cell>
          <cell r="I539" t="str">
            <v>C4.1</v>
          </cell>
          <cell r="S539">
            <v>0</v>
          </cell>
          <cell r="W539">
            <v>5879719751</v>
          </cell>
        </row>
        <row r="540">
          <cell r="F540" t="str">
            <v>11.1.1</v>
          </cell>
          <cell r="H540" t="str">
            <v>R150</v>
          </cell>
          <cell r="I540" t="str">
            <v>C4.1</v>
          </cell>
          <cell r="S540">
            <v>0</v>
          </cell>
          <cell r="W540">
            <v>19485536</v>
          </cell>
        </row>
        <row r="541">
          <cell r="S541">
            <v>0</v>
          </cell>
          <cell r="W541">
            <v>0</v>
          </cell>
        </row>
        <row r="542">
          <cell r="F542" t="str">
            <v>11.2.1</v>
          </cell>
          <cell r="H542" t="str">
            <v>R180</v>
          </cell>
          <cell r="I542" t="str">
            <v>D1</v>
          </cell>
          <cell r="S542">
            <v>55732300</v>
          </cell>
          <cell r="W542">
            <v>55732300</v>
          </cell>
        </row>
        <row r="543">
          <cell r="F543" t="str">
            <v>11.2.1</v>
          </cell>
          <cell r="H543" t="str">
            <v>R192</v>
          </cell>
          <cell r="I543" t="str">
            <v>D2</v>
          </cell>
          <cell r="S543">
            <v>0</v>
          </cell>
          <cell r="W543">
            <v>7620362426.5</v>
          </cell>
        </row>
        <row r="544">
          <cell r="F544" t="str">
            <v>11.2.1</v>
          </cell>
          <cell r="H544" t="str">
            <v>R192</v>
          </cell>
          <cell r="I544" t="str">
            <v>D2</v>
          </cell>
          <cell r="S544">
            <v>0</v>
          </cell>
          <cell r="W544">
            <v>96778163.700000003</v>
          </cell>
        </row>
        <row r="545">
          <cell r="F545" t="str">
            <v>11.2.1</v>
          </cell>
          <cell r="H545" t="str">
            <v>R192</v>
          </cell>
          <cell r="I545" t="str">
            <v>D2</v>
          </cell>
          <cell r="S545">
            <v>0</v>
          </cell>
          <cell r="W545">
            <v>455504</v>
          </cell>
        </row>
        <row r="546">
          <cell r="S546">
            <v>0</v>
          </cell>
          <cell r="W546">
            <v>0</v>
          </cell>
        </row>
        <row r="547">
          <cell r="F547" t="str">
            <v>11.1.1</v>
          </cell>
          <cell r="H547" t="str">
            <v>R149</v>
          </cell>
          <cell r="I547" t="str">
            <v>C4.1</v>
          </cell>
          <cell r="S547">
            <v>0</v>
          </cell>
          <cell r="W547">
            <v>3609055053</v>
          </cell>
        </row>
        <row r="549">
          <cell r="F549" t="str">
            <v>11.2.1</v>
          </cell>
          <cell r="H549" t="str">
            <v>R192</v>
          </cell>
          <cell r="I549" t="str">
            <v>D2</v>
          </cell>
          <cell r="S549">
            <v>0</v>
          </cell>
          <cell r="W549">
            <v>14925226</v>
          </cell>
        </row>
        <row r="550">
          <cell r="S550">
            <v>0</v>
          </cell>
          <cell r="W550">
            <v>0</v>
          </cell>
        </row>
        <row r="551">
          <cell r="F551" t="str">
            <v>11.1.1</v>
          </cell>
          <cell r="H551" t="str">
            <v>R143</v>
          </cell>
          <cell r="I551" t="str">
            <v>C1.1</v>
          </cell>
          <cell r="S551">
            <v>2265490973</v>
          </cell>
          <cell r="W551">
            <v>2265490973</v>
          </cell>
        </row>
        <row r="552">
          <cell r="F552" t="str">
            <v>11.1.1</v>
          </cell>
          <cell r="H552" t="str">
            <v>R149</v>
          </cell>
          <cell r="I552" t="str">
            <v>C4.1</v>
          </cell>
          <cell r="S552">
            <v>0</v>
          </cell>
          <cell r="W552">
            <v>24234927806</v>
          </cell>
        </row>
        <row r="553">
          <cell r="F553" t="str">
            <v>11.1.1</v>
          </cell>
          <cell r="H553" t="str">
            <v>R149</v>
          </cell>
          <cell r="I553" t="str">
            <v>C4.1</v>
          </cell>
          <cell r="S553">
            <v>0</v>
          </cell>
          <cell r="W553">
            <v>98407249.560000002</v>
          </cell>
        </row>
        <row r="554">
          <cell r="F554" t="str">
            <v>11.1.1</v>
          </cell>
          <cell r="H554" t="str">
            <v>R149</v>
          </cell>
          <cell r="I554" t="str">
            <v>C4.1</v>
          </cell>
          <cell r="S554">
            <v>0</v>
          </cell>
          <cell r="W554">
            <v>343077482.72000003</v>
          </cell>
        </row>
        <row r="555">
          <cell r="S555">
            <v>0</v>
          </cell>
          <cell r="W555">
            <v>0</v>
          </cell>
        </row>
        <row r="556">
          <cell r="F556" t="str">
            <v>11.2.1</v>
          </cell>
          <cell r="H556" t="str">
            <v>R180</v>
          </cell>
          <cell r="I556" t="str">
            <v>D1</v>
          </cell>
          <cell r="S556">
            <v>84208395</v>
          </cell>
          <cell r="W556">
            <v>84208395</v>
          </cell>
        </row>
        <row r="557">
          <cell r="F557" t="str">
            <v>11.2.1</v>
          </cell>
          <cell r="H557" t="str">
            <v>R192</v>
          </cell>
          <cell r="I557" t="str">
            <v>D2</v>
          </cell>
          <cell r="S557">
            <v>0</v>
          </cell>
          <cell r="W557">
            <v>5033711416.5</v>
          </cell>
        </row>
        <row r="558">
          <cell r="F558" t="str">
            <v>11.2.1</v>
          </cell>
          <cell r="H558" t="str">
            <v>R192</v>
          </cell>
          <cell r="I558" t="str">
            <v>D2</v>
          </cell>
          <cell r="S558">
            <v>0</v>
          </cell>
          <cell r="W558">
            <v>4893111.72</v>
          </cell>
        </row>
        <row r="559">
          <cell r="S559">
            <v>0</v>
          </cell>
          <cell r="W559">
            <v>0</v>
          </cell>
        </row>
        <row r="560">
          <cell r="F560" t="str">
            <v>11.1.4</v>
          </cell>
          <cell r="H560" t="str">
            <v>R143</v>
          </cell>
          <cell r="I560" t="str">
            <v>C1.2</v>
          </cell>
          <cell r="S560">
            <v>60000000</v>
          </cell>
          <cell r="W560">
            <v>60000000</v>
          </cell>
        </row>
        <row r="561">
          <cell r="F561" t="str">
            <v>11.1.4</v>
          </cell>
          <cell r="H561" t="str">
            <v>R149</v>
          </cell>
          <cell r="I561" t="str">
            <v>C8.4</v>
          </cell>
          <cell r="S561">
            <v>0</v>
          </cell>
          <cell r="W561">
            <v>1486431894</v>
          </cell>
        </row>
        <row r="562">
          <cell r="F562" t="str">
            <v>11.1.4</v>
          </cell>
          <cell r="H562" t="str">
            <v>R149</v>
          </cell>
          <cell r="I562" t="str">
            <v>C8.4</v>
          </cell>
          <cell r="S562">
            <v>0</v>
          </cell>
          <cell r="W562">
            <v>0</v>
          </cell>
        </row>
        <row r="563">
          <cell r="S563">
            <v>0</v>
          </cell>
          <cell r="W563">
            <v>0</v>
          </cell>
        </row>
        <row r="564">
          <cell r="F564" t="str">
            <v>11.1.1</v>
          </cell>
          <cell r="H564" t="str">
            <v>R142</v>
          </cell>
          <cell r="I564" t="str">
            <v>C1.3</v>
          </cell>
          <cell r="S564">
            <v>856319374</v>
          </cell>
          <cell r="W564">
            <v>856319374</v>
          </cell>
        </row>
        <row r="565">
          <cell r="F565" t="str">
            <v>11.1.1</v>
          </cell>
          <cell r="H565" t="str">
            <v>R148</v>
          </cell>
          <cell r="I565" t="str">
            <v>C4.3</v>
          </cell>
          <cell r="S565">
            <v>0</v>
          </cell>
          <cell r="W565">
            <v>530199103</v>
          </cell>
        </row>
        <row r="567">
          <cell r="F567" t="str">
            <v>11.1.1</v>
          </cell>
          <cell r="H567" t="str">
            <v>R175</v>
          </cell>
          <cell r="I567" t="str">
            <v>C4.3</v>
          </cell>
          <cell r="S567">
            <v>24669600</v>
          </cell>
          <cell r="W567">
            <v>24669600</v>
          </cell>
        </row>
        <row r="568">
          <cell r="F568" t="str">
            <v>11.1.1</v>
          </cell>
          <cell r="H568" t="str">
            <v>R187</v>
          </cell>
          <cell r="I568" t="str">
            <v>C4.3</v>
          </cell>
          <cell r="S568">
            <v>0</v>
          </cell>
          <cell r="W568">
            <v>217790008</v>
          </cell>
        </row>
        <row r="569">
          <cell r="S569">
            <v>0</v>
          </cell>
          <cell r="W569">
            <v>0</v>
          </cell>
        </row>
        <row r="570">
          <cell r="F570" t="str">
            <v>11.1.1</v>
          </cell>
          <cell r="H570" t="str">
            <v>R175</v>
          </cell>
          <cell r="I570" t="str">
            <v>C1.4</v>
          </cell>
          <cell r="S570">
            <v>508302980.14999998</v>
          </cell>
          <cell r="W570">
            <v>508302980.14999998</v>
          </cell>
        </row>
        <row r="571">
          <cell r="F571" t="str">
            <v>11.1.1</v>
          </cell>
          <cell r="H571" t="str">
            <v>R187</v>
          </cell>
          <cell r="I571" t="str">
            <v>C4.3</v>
          </cell>
          <cell r="S571">
            <v>0</v>
          </cell>
          <cell r="W571">
            <v>12243440016.5</v>
          </cell>
        </row>
        <row r="572">
          <cell r="F572" t="str">
            <v>11.1.1</v>
          </cell>
          <cell r="H572" t="str">
            <v>R187</v>
          </cell>
          <cell r="I572" t="str">
            <v>C4.3</v>
          </cell>
          <cell r="S572">
            <v>0</v>
          </cell>
          <cell r="W572">
            <v>25834530.780000001</v>
          </cell>
        </row>
        <row r="573">
          <cell r="F573" t="str">
            <v>11.1.1</v>
          </cell>
          <cell r="H573" t="str">
            <v>R187</v>
          </cell>
          <cell r="I573" t="str">
            <v>C4.3</v>
          </cell>
          <cell r="S573">
            <v>0</v>
          </cell>
          <cell r="W573">
            <v>1170031633.1199999</v>
          </cell>
        </row>
        <row r="574">
          <cell r="S574">
            <v>0</v>
          </cell>
          <cell r="W574">
            <v>0</v>
          </cell>
        </row>
        <row r="575">
          <cell r="F575" t="str">
            <v>11.1.1</v>
          </cell>
          <cell r="H575" t="str">
            <v>R141</v>
          </cell>
          <cell r="I575" t="str">
            <v>C4.1</v>
          </cell>
          <cell r="S575">
            <v>0</v>
          </cell>
          <cell r="W575">
            <v>0</v>
          </cell>
        </row>
        <row r="576">
          <cell r="F576" t="str">
            <v>11.1.1</v>
          </cell>
          <cell r="H576" t="str">
            <v>R147</v>
          </cell>
          <cell r="I576" t="str">
            <v>C4.1</v>
          </cell>
          <cell r="S576">
            <v>0</v>
          </cell>
          <cell r="W576">
            <v>7186721</v>
          </cell>
        </row>
        <row r="577">
          <cell r="F577" t="str">
            <v>11.1.1</v>
          </cell>
          <cell r="H577" t="str">
            <v>R147</v>
          </cell>
          <cell r="I577" t="str">
            <v>C4.1</v>
          </cell>
          <cell r="S577">
            <v>0</v>
          </cell>
          <cell r="W577">
            <v>0</v>
          </cell>
        </row>
        <row r="579">
          <cell r="F579" t="str">
            <v>11.1.1</v>
          </cell>
          <cell r="H579" t="str">
            <v>R141</v>
          </cell>
          <cell r="I579" t="str">
            <v>C1.4</v>
          </cell>
          <cell r="S579">
            <v>6826000</v>
          </cell>
          <cell r="W579">
            <v>6826000</v>
          </cell>
        </row>
        <row r="580">
          <cell r="F580" t="str">
            <v>11.1.1</v>
          </cell>
          <cell r="H580" t="str">
            <v>R147</v>
          </cell>
          <cell r="I580" t="str">
            <v>C4.3</v>
          </cell>
          <cell r="S580">
            <v>0</v>
          </cell>
          <cell r="W580">
            <v>470598089.5</v>
          </cell>
        </row>
        <row r="581">
          <cell r="S581">
            <v>0</v>
          </cell>
          <cell r="W581">
            <v>0</v>
          </cell>
        </row>
        <row r="582">
          <cell r="F582" t="str">
            <v>11.1.2</v>
          </cell>
          <cell r="H582" t="str">
            <v>R157</v>
          </cell>
          <cell r="I582" t="str">
            <v>C2.1</v>
          </cell>
          <cell r="S582">
            <v>6925549042.5600004</v>
          </cell>
          <cell r="W582">
            <v>6925549042.5600004</v>
          </cell>
        </row>
        <row r="583">
          <cell r="F583" t="str">
            <v>11.1.2</v>
          </cell>
          <cell r="H583" t="str">
            <v>R163</v>
          </cell>
          <cell r="I583" t="str">
            <v>C4.1</v>
          </cell>
          <cell r="S583">
            <v>0</v>
          </cell>
          <cell r="W583">
            <v>122786400426</v>
          </cell>
        </row>
        <row r="584">
          <cell r="F584" t="str">
            <v>11.1.2</v>
          </cell>
          <cell r="H584" t="str">
            <v>R163</v>
          </cell>
          <cell r="I584" t="str">
            <v>C4.1</v>
          </cell>
          <cell r="S584">
            <v>0</v>
          </cell>
          <cell r="W584">
            <v>329598260.81999999</v>
          </cell>
        </row>
        <row r="585">
          <cell r="F585" t="str">
            <v>11.1.2</v>
          </cell>
          <cell r="H585" t="str">
            <v>R163</v>
          </cell>
          <cell r="I585" t="str">
            <v>C4.1</v>
          </cell>
          <cell r="S585">
            <v>0</v>
          </cell>
          <cell r="W585">
            <v>3892701715.8400002</v>
          </cell>
        </row>
        <row r="586">
          <cell r="F586" t="str">
            <v>11.1.2</v>
          </cell>
          <cell r="H586" t="str">
            <v>R163</v>
          </cell>
          <cell r="I586" t="str">
            <v>C4.1</v>
          </cell>
          <cell r="S586">
            <v>0</v>
          </cell>
          <cell r="W586">
            <v>22783519.100000001</v>
          </cell>
        </row>
        <row r="587">
          <cell r="F587" t="str">
            <v>11.1.2</v>
          </cell>
          <cell r="H587" t="str">
            <v>R163</v>
          </cell>
          <cell r="I587" t="str">
            <v>C4.1</v>
          </cell>
          <cell r="S587">
            <v>0</v>
          </cell>
          <cell r="W587">
            <v>145254.01</v>
          </cell>
        </row>
        <row r="588">
          <cell r="S588">
            <v>0</v>
          </cell>
          <cell r="W588">
            <v>0</v>
          </cell>
        </row>
        <row r="589">
          <cell r="F589" t="str">
            <v>11.2.2</v>
          </cell>
          <cell r="H589" t="str">
            <v>R206</v>
          </cell>
          <cell r="I589" t="str">
            <v>D1</v>
          </cell>
          <cell r="S589">
            <v>106679500</v>
          </cell>
          <cell r="W589">
            <v>106679500</v>
          </cell>
        </row>
        <row r="590">
          <cell r="F590" t="str">
            <v>11.2.2</v>
          </cell>
          <cell r="H590" t="str">
            <v>R218</v>
          </cell>
          <cell r="I590" t="str">
            <v>D2</v>
          </cell>
          <cell r="S590">
            <v>0</v>
          </cell>
          <cell r="W590">
            <v>6555361082</v>
          </cell>
        </row>
        <row r="591">
          <cell r="F591" t="str">
            <v>11.2.2</v>
          </cell>
          <cell r="H591" t="str">
            <v>R218</v>
          </cell>
          <cell r="I591" t="str">
            <v>D2</v>
          </cell>
          <cell r="S591">
            <v>0</v>
          </cell>
          <cell r="W591">
            <v>107110035.18000001</v>
          </cell>
        </row>
        <row r="592">
          <cell r="F592" t="str">
            <v>11.2.2</v>
          </cell>
          <cell r="H592" t="str">
            <v>R218</v>
          </cell>
          <cell r="I592" t="str">
            <v>D2</v>
          </cell>
          <cell r="S592">
            <v>0</v>
          </cell>
          <cell r="W592">
            <v>22012714.079999998</v>
          </cell>
        </row>
        <row r="593">
          <cell r="F593" t="str">
            <v>11.2.2</v>
          </cell>
          <cell r="H593" t="str">
            <v>R218</v>
          </cell>
          <cell r="I593" t="str">
            <v>D2</v>
          </cell>
          <cell r="S593">
            <v>0</v>
          </cell>
          <cell r="W593">
            <v>59310700</v>
          </cell>
        </row>
        <row r="594">
          <cell r="S594">
            <v>0</v>
          </cell>
          <cell r="W594">
            <v>0</v>
          </cell>
        </row>
        <row r="595">
          <cell r="F595" t="str">
            <v>11.1.2</v>
          </cell>
          <cell r="H595" t="str">
            <v>R156</v>
          </cell>
          <cell r="I595" t="str">
            <v>C2.1</v>
          </cell>
          <cell r="S595">
            <v>2984456880.21</v>
          </cell>
          <cell r="W595">
            <v>2984456880.21</v>
          </cell>
        </row>
        <row r="596">
          <cell r="F596" t="str">
            <v>11.1.2</v>
          </cell>
          <cell r="H596" t="str">
            <v>R162</v>
          </cell>
          <cell r="I596" t="str">
            <v>C4.1</v>
          </cell>
          <cell r="S596">
            <v>0</v>
          </cell>
          <cell r="W596">
            <v>24872160264.5</v>
          </cell>
        </row>
        <row r="597">
          <cell r="F597" t="str">
            <v>11.1.2</v>
          </cell>
          <cell r="H597" t="str">
            <v>R162</v>
          </cell>
          <cell r="I597" t="str">
            <v>C4.1</v>
          </cell>
          <cell r="S597">
            <v>0</v>
          </cell>
          <cell r="W597">
            <v>8293523.2199999997</v>
          </cell>
        </row>
        <row r="598">
          <cell r="F598" t="str">
            <v>11.1.2</v>
          </cell>
          <cell r="H598" t="str">
            <v>R162</v>
          </cell>
          <cell r="I598" t="str">
            <v>C4.1</v>
          </cell>
          <cell r="S598">
            <v>0</v>
          </cell>
          <cell r="W598">
            <v>1098774626.8800001</v>
          </cell>
        </row>
        <row r="599">
          <cell r="S599">
            <v>0</v>
          </cell>
          <cell r="W599">
            <v>0</v>
          </cell>
        </row>
        <row r="600">
          <cell r="F600" t="str">
            <v>11.2.2</v>
          </cell>
          <cell r="H600" t="str">
            <v>R206</v>
          </cell>
          <cell r="I600" t="str">
            <v>D1</v>
          </cell>
          <cell r="S600">
            <v>15004300</v>
          </cell>
          <cell r="W600">
            <v>15004300</v>
          </cell>
        </row>
        <row r="601">
          <cell r="F601" t="str">
            <v>11.2.2</v>
          </cell>
          <cell r="H601" t="str">
            <v>R218</v>
          </cell>
          <cell r="I601" t="str">
            <v>D2</v>
          </cell>
          <cell r="S601">
            <v>0</v>
          </cell>
          <cell r="W601">
            <v>1303345348</v>
          </cell>
        </row>
        <row r="602">
          <cell r="F602" t="str">
            <v>11.2.2</v>
          </cell>
          <cell r="H602" t="str">
            <v>R218</v>
          </cell>
          <cell r="I602" t="str">
            <v>D2</v>
          </cell>
          <cell r="S602">
            <v>0</v>
          </cell>
          <cell r="W602">
            <v>2932307082</v>
          </cell>
        </row>
        <row r="603">
          <cell r="F603" t="str">
            <v>11.2.2</v>
          </cell>
          <cell r="H603" t="str">
            <v>R218</v>
          </cell>
          <cell r="I603" t="str">
            <v>D2</v>
          </cell>
          <cell r="S603">
            <v>0</v>
          </cell>
          <cell r="W603">
            <v>0</v>
          </cell>
        </row>
        <row r="604">
          <cell r="S604">
            <v>0</v>
          </cell>
          <cell r="W604">
            <v>0</v>
          </cell>
        </row>
        <row r="605">
          <cell r="F605" t="str">
            <v>11.1.2</v>
          </cell>
          <cell r="H605" t="str">
            <v>R155</v>
          </cell>
          <cell r="I605" t="str">
            <v>C2.2</v>
          </cell>
          <cell r="S605">
            <v>1350375700</v>
          </cell>
          <cell r="W605">
            <v>1350375700</v>
          </cell>
        </row>
        <row r="606">
          <cell r="F606" t="str">
            <v>11.1.2</v>
          </cell>
          <cell r="H606" t="str">
            <v>R161</v>
          </cell>
          <cell r="I606" t="str">
            <v>C4.2</v>
          </cell>
          <cell r="S606">
            <v>0</v>
          </cell>
          <cell r="W606">
            <v>21586764.5</v>
          </cell>
        </row>
        <row r="607">
          <cell r="F607" t="str">
            <v>11.1.2</v>
          </cell>
          <cell r="H607" t="str">
            <v>R161</v>
          </cell>
          <cell r="I607" t="str">
            <v>C4.2</v>
          </cell>
          <cell r="S607">
            <v>0</v>
          </cell>
          <cell r="W607">
            <v>690592</v>
          </cell>
        </row>
        <row r="608">
          <cell r="S608">
            <v>0</v>
          </cell>
          <cell r="W608">
            <v>0</v>
          </cell>
        </row>
        <row r="609">
          <cell r="F609" t="str">
            <v>11.1.2</v>
          </cell>
          <cell r="H609" t="str">
            <v>R201</v>
          </cell>
          <cell r="I609" t="str">
            <v>C2.2</v>
          </cell>
          <cell r="S609">
            <v>1201514499.03</v>
          </cell>
          <cell r="W609">
            <v>1201514499.03</v>
          </cell>
        </row>
        <row r="610">
          <cell r="F610" t="str">
            <v>11.1.2</v>
          </cell>
          <cell r="H610" t="str">
            <v>R213</v>
          </cell>
          <cell r="I610" t="str">
            <v>C4.3</v>
          </cell>
          <cell r="S610">
            <v>0</v>
          </cell>
          <cell r="W610">
            <v>3507831988</v>
          </cell>
        </row>
        <row r="611">
          <cell r="F611" t="str">
            <v>11.1.2</v>
          </cell>
          <cell r="H611" t="str">
            <v>R213</v>
          </cell>
          <cell r="I611" t="str">
            <v>C4.3</v>
          </cell>
          <cell r="S611">
            <v>0</v>
          </cell>
          <cell r="W611">
            <v>285824</v>
          </cell>
        </row>
        <row r="612">
          <cell r="S612">
            <v>0</v>
          </cell>
          <cell r="W612">
            <v>0</v>
          </cell>
        </row>
        <row r="613">
          <cell r="F613" t="str">
            <v>11.1.2</v>
          </cell>
          <cell r="H613" t="str">
            <v>R154</v>
          </cell>
          <cell r="I613" t="str">
            <v>C2.2</v>
          </cell>
          <cell r="S613">
            <v>9205200</v>
          </cell>
          <cell r="W613">
            <v>9205200</v>
          </cell>
        </row>
        <row r="614">
          <cell r="F614" t="str">
            <v>11.1.2</v>
          </cell>
          <cell r="H614" t="str">
            <v>R160</v>
          </cell>
          <cell r="I614" t="str">
            <v>C4.3</v>
          </cell>
          <cell r="S614">
            <v>0</v>
          </cell>
          <cell r="W614">
            <v>528215403</v>
          </cell>
        </row>
        <row r="615">
          <cell r="S615">
            <v>0</v>
          </cell>
          <cell r="W615">
            <v>0</v>
          </cell>
        </row>
        <row r="616">
          <cell r="F616" t="str">
            <v>11.1.3</v>
          </cell>
          <cell r="H616" t="str">
            <v>R157</v>
          </cell>
          <cell r="I616" t="str">
            <v>C3.1</v>
          </cell>
          <cell r="S616">
            <v>8753315100</v>
          </cell>
          <cell r="W616">
            <v>8753315100</v>
          </cell>
        </row>
        <row r="617">
          <cell r="F617" t="str">
            <v>11.1.3</v>
          </cell>
          <cell r="H617" t="str">
            <v>R163</v>
          </cell>
          <cell r="I617" t="str">
            <v>C4.1</v>
          </cell>
          <cell r="S617">
            <v>0</v>
          </cell>
          <cell r="W617">
            <v>130963123223.5</v>
          </cell>
        </row>
        <row r="618">
          <cell r="F618" t="str">
            <v>11.1.3</v>
          </cell>
          <cell r="H618" t="str">
            <v>R163</v>
          </cell>
          <cell r="I618" t="str">
            <v>C4.1</v>
          </cell>
          <cell r="S618">
            <v>0</v>
          </cell>
          <cell r="W618">
            <v>0</v>
          </cell>
        </row>
        <row r="619">
          <cell r="F619" t="str">
            <v>11.1.3</v>
          </cell>
          <cell r="H619" t="str">
            <v>R163</v>
          </cell>
          <cell r="I619" t="str">
            <v>C4.1</v>
          </cell>
          <cell r="S619">
            <v>0</v>
          </cell>
          <cell r="W619">
            <v>6383639136</v>
          </cell>
        </row>
        <row r="620">
          <cell r="S620">
            <v>0</v>
          </cell>
          <cell r="W620">
            <v>0</v>
          </cell>
        </row>
        <row r="621">
          <cell r="F621" t="str">
            <v>11.2.3</v>
          </cell>
          <cell r="H621" t="str">
            <v>R206</v>
          </cell>
          <cell r="I621" t="str">
            <v>D1</v>
          </cell>
          <cell r="S621">
            <v>130522000</v>
          </cell>
          <cell r="W621">
            <v>130522000</v>
          </cell>
        </row>
        <row r="622">
          <cell r="F622" t="str">
            <v>11.2.3</v>
          </cell>
          <cell r="H622" t="str">
            <v>R218</v>
          </cell>
          <cell r="I622" t="str">
            <v>D2</v>
          </cell>
          <cell r="S622">
            <v>0</v>
          </cell>
          <cell r="W622">
            <v>7597217337</v>
          </cell>
        </row>
        <row r="623">
          <cell r="F623" t="str">
            <v>11.2.3</v>
          </cell>
          <cell r="H623" t="str">
            <v>R218</v>
          </cell>
          <cell r="I623" t="str">
            <v>D2</v>
          </cell>
          <cell r="S623">
            <v>0</v>
          </cell>
          <cell r="W623">
            <v>527400000</v>
          </cell>
        </row>
        <row r="624">
          <cell r="F624" t="str">
            <v>11.2.3</v>
          </cell>
          <cell r="H624" t="str">
            <v>R218</v>
          </cell>
          <cell r="I624" t="str">
            <v>D2</v>
          </cell>
          <cell r="S624">
            <v>0</v>
          </cell>
          <cell r="W624">
            <v>207475408</v>
          </cell>
        </row>
        <row r="626">
          <cell r="F626" t="str">
            <v>11.2.3</v>
          </cell>
          <cell r="H626" t="str">
            <v>R206</v>
          </cell>
          <cell r="I626" t="str">
            <v>D1</v>
          </cell>
          <cell r="S626">
            <v>100000000</v>
          </cell>
          <cell r="W626">
            <v>100000000</v>
          </cell>
        </row>
        <row r="627">
          <cell r="F627" t="str">
            <v>11.2.3</v>
          </cell>
          <cell r="H627" t="str">
            <v>R218</v>
          </cell>
          <cell r="I627" t="str">
            <v>D2</v>
          </cell>
          <cell r="S627">
            <v>0</v>
          </cell>
          <cell r="W627">
            <v>2780500000</v>
          </cell>
        </row>
        <row r="628">
          <cell r="S628">
            <v>0</v>
          </cell>
          <cell r="W628">
            <v>0</v>
          </cell>
        </row>
        <row r="629">
          <cell r="F629" t="str">
            <v>11.1.3</v>
          </cell>
          <cell r="H629" t="str">
            <v>R156</v>
          </cell>
          <cell r="I629" t="str">
            <v>C3.1</v>
          </cell>
          <cell r="S629">
            <v>651311000</v>
          </cell>
          <cell r="W629">
            <v>651311000</v>
          </cell>
        </row>
        <row r="630">
          <cell r="F630" t="str">
            <v>11.1.3</v>
          </cell>
          <cell r="H630" t="str">
            <v>R162</v>
          </cell>
          <cell r="I630" t="str">
            <v>C4.1</v>
          </cell>
          <cell r="S630">
            <v>0</v>
          </cell>
          <cell r="W630">
            <v>15046621551</v>
          </cell>
        </row>
        <row r="631">
          <cell r="F631" t="str">
            <v>11.1.3</v>
          </cell>
          <cell r="H631" t="str">
            <v>R162</v>
          </cell>
          <cell r="I631" t="str">
            <v>C4.1</v>
          </cell>
          <cell r="S631">
            <v>0</v>
          </cell>
          <cell r="W631">
            <v>2240000</v>
          </cell>
        </row>
        <row r="633">
          <cell r="F633" t="str">
            <v>11.1.3</v>
          </cell>
          <cell r="H633" t="str">
            <v>R155</v>
          </cell>
          <cell r="I633" t="str">
            <v>C3.2</v>
          </cell>
          <cell r="S633">
            <v>200000000</v>
          </cell>
          <cell r="W633">
            <v>200000000</v>
          </cell>
        </row>
        <row r="634">
          <cell r="F634" t="str">
            <v>11.1.3</v>
          </cell>
          <cell r="H634" t="str">
            <v>R161</v>
          </cell>
          <cell r="I634" t="str">
            <v>C4.1</v>
          </cell>
          <cell r="S634">
            <v>0</v>
          </cell>
          <cell r="W634">
            <v>8300000</v>
          </cell>
        </row>
        <row r="635">
          <cell r="F635" t="str">
            <v>11.1.3</v>
          </cell>
          <cell r="H635" t="str">
            <v>R161</v>
          </cell>
          <cell r="I635" t="str">
            <v>C4.1</v>
          </cell>
          <cell r="S635">
            <v>0</v>
          </cell>
          <cell r="W635">
            <v>162400000</v>
          </cell>
        </row>
        <row r="636">
          <cell r="S636">
            <v>0</v>
          </cell>
          <cell r="W636">
            <v>0</v>
          </cell>
        </row>
        <row r="637">
          <cell r="F637" t="str">
            <v>11.1.3</v>
          </cell>
          <cell r="H637" t="str">
            <v>R201</v>
          </cell>
          <cell r="I637" t="str">
            <v>C3.2</v>
          </cell>
          <cell r="S637">
            <v>6422144900</v>
          </cell>
          <cell r="W637">
            <v>6422144900</v>
          </cell>
        </row>
        <row r="638">
          <cell r="F638" t="str">
            <v>11.1.3</v>
          </cell>
          <cell r="H638" t="str">
            <v>R213</v>
          </cell>
          <cell r="I638" t="str">
            <v>C4.3</v>
          </cell>
          <cell r="S638">
            <v>0</v>
          </cell>
          <cell r="W638">
            <v>915831005.5</v>
          </cell>
        </row>
        <row r="639">
          <cell r="S639">
            <v>0</v>
          </cell>
          <cell r="W639">
            <v>0</v>
          </cell>
        </row>
        <row r="640">
          <cell r="F640" t="str">
            <v>11.1.3</v>
          </cell>
          <cell r="H640" t="str">
            <v>R154</v>
          </cell>
          <cell r="I640" t="str">
            <v>C3.2</v>
          </cell>
          <cell r="S640">
            <v>0</v>
          </cell>
          <cell r="W640">
            <v>0</v>
          </cell>
        </row>
        <row r="641">
          <cell r="F641" t="str">
            <v>11.1.3</v>
          </cell>
          <cell r="H641" t="str">
            <v>R160</v>
          </cell>
          <cell r="I641" t="str">
            <v>C4.3</v>
          </cell>
          <cell r="S641">
            <v>0</v>
          </cell>
          <cell r="W641">
            <v>16550449</v>
          </cell>
        </row>
        <row r="642">
          <cell r="S642">
            <v>0</v>
          </cell>
          <cell r="W642">
            <v>0</v>
          </cell>
        </row>
        <row r="643">
          <cell r="F643" t="str">
            <v>11.1.4</v>
          </cell>
          <cell r="H643" t="str">
            <v>R163</v>
          </cell>
          <cell r="I643" t="str">
            <v>C8.3</v>
          </cell>
          <cell r="S643">
            <v>0</v>
          </cell>
          <cell r="W643">
            <v>62582000</v>
          </cell>
        </row>
        <row r="645">
          <cell r="F645" t="str">
            <v>11.1.4</v>
          </cell>
          <cell r="H645" t="str">
            <v>R162</v>
          </cell>
          <cell r="I645" t="str">
            <v>C8.3</v>
          </cell>
          <cell r="S645">
            <v>0</v>
          </cell>
          <cell r="W645">
            <v>1919549715</v>
          </cell>
        </row>
        <row r="646">
          <cell r="F646" t="str">
            <v>11.1.4</v>
          </cell>
          <cell r="H646" t="str">
            <v>R162</v>
          </cell>
          <cell r="I646" t="str">
            <v>C8.3</v>
          </cell>
          <cell r="S646">
            <v>0</v>
          </cell>
          <cell r="W646">
            <v>194041008</v>
          </cell>
        </row>
        <row r="647">
          <cell r="S647">
            <v>0</v>
          </cell>
          <cell r="W647">
            <v>0</v>
          </cell>
        </row>
        <row r="648">
          <cell r="F648" t="str">
            <v>9.2.1.2</v>
          </cell>
          <cell r="H648" t="str">
            <v>R260</v>
          </cell>
          <cell r="I648" t="str">
            <v>C8.1</v>
          </cell>
          <cell r="S648">
            <v>0</v>
          </cell>
          <cell r="W648">
            <v>0</v>
          </cell>
        </row>
        <row r="649">
          <cell r="F649" t="str">
            <v>9.2.1.2</v>
          </cell>
          <cell r="H649" t="str">
            <v>R274</v>
          </cell>
          <cell r="I649" t="str">
            <v>C8.2</v>
          </cell>
          <cell r="S649">
            <v>0</v>
          </cell>
          <cell r="W649">
            <v>0</v>
          </cell>
        </row>
        <row r="650">
          <cell r="F650" t="str">
            <v>9.2.1.2</v>
          </cell>
          <cell r="H650" t="str">
            <v>R274</v>
          </cell>
          <cell r="I650" t="str">
            <v>C8.2</v>
          </cell>
          <cell r="S650">
            <v>0</v>
          </cell>
          <cell r="W650">
            <v>0</v>
          </cell>
        </row>
        <row r="651">
          <cell r="S651">
            <v>0</v>
          </cell>
          <cell r="W651">
            <v>0</v>
          </cell>
        </row>
        <row r="652">
          <cell r="F652" t="str">
            <v>9.2.2.2</v>
          </cell>
          <cell r="H652" t="str">
            <v>R269</v>
          </cell>
          <cell r="I652" t="str">
            <v>D3</v>
          </cell>
          <cell r="S652">
            <v>0</v>
          </cell>
          <cell r="W652">
            <v>0</v>
          </cell>
        </row>
        <row r="653">
          <cell r="F653" t="str">
            <v>9.2.2.2</v>
          </cell>
          <cell r="H653" t="str">
            <v>R283</v>
          </cell>
          <cell r="I653" t="str">
            <v>D3</v>
          </cell>
          <cell r="S653">
            <v>0</v>
          </cell>
          <cell r="W653">
            <v>0</v>
          </cell>
        </row>
        <row r="654">
          <cell r="F654" t="str">
            <v>9.2.2.2</v>
          </cell>
          <cell r="H654" t="str">
            <v>R283</v>
          </cell>
          <cell r="I654" t="str">
            <v>D3</v>
          </cell>
          <cell r="S654">
            <v>0</v>
          </cell>
          <cell r="W654">
            <v>0</v>
          </cell>
        </row>
        <row r="655">
          <cell r="S655">
            <v>0</v>
          </cell>
          <cell r="W655">
            <v>0</v>
          </cell>
        </row>
        <row r="656">
          <cell r="F656">
            <v>9.1</v>
          </cell>
          <cell r="H656" t="str">
            <v>R260</v>
          </cell>
          <cell r="I656" t="str">
            <v>C8.1</v>
          </cell>
          <cell r="S656">
            <v>12000000000</v>
          </cell>
          <cell r="W656">
            <v>12000000000</v>
          </cell>
        </row>
        <row r="657">
          <cell r="F657">
            <v>9.1</v>
          </cell>
          <cell r="H657" t="str">
            <v>R274</v>
          </cell>
          <cell r="I657" t="str">
            <v>C8.2</v>
          </cell>
          <cell r="S657">
            <v>0</v>
          </cell>
          <cell r="W657">
            <v>0</v>
          </cell>
        </row>
        <row r="658">
          <cell r="F658">
            <v>9.1</v>
          </cell>
          <cell r="H658" t="str">
            <v>R274</v>
          </cell>
          <cell r="I658" t="str">
            <v>C8.2</v>
          </cell>
          <cell r="S658">
            <v>0</v>
          </cell>
          <cell r="W658">
            <v>0</v>
          </cell>
        </row>
        <row r="659">
          <cell r="F659">
            <v>9.1</v>
          </cell>
          <cell r="H659" t="str">
            <v>R274</v>
          </cell>
          <cell r="I659" t="str">
            <v>C8.2</v>
          </cell>
          <cell r="S659">
            <v>0</v>
          </cell>
          <cell r="W659">
            <v>0</v>
          </cell>
        </row>
        <row r="660">
          <cell r="F660">
            <v>9.1</v>
          </cell>
          <cell r="H660" t="str">
            <v>R274</v>
          </cell>
          <cell r="I660" t="str">
            <v>C8.2</v>
          </cell>
          <cell r="S660">
            <v>0</v>
          </cell>
          <cell r="W660">
            <v>0</v>
          </cell>
        </row>
        <row r="661">
          <cell r="S661">
            <v>0</v>
          </cell>
          <cell r="W661">
            <v>0</v>
          </cell>
        </row>
        <row r="662">
          <cell r="F662" t="str">
            <v>9.2.2.2</v>
          </cell>
          <cell r="H662" t="str">
            <v>R269</v>
          </cell>
          <cell r="I662" t="str">
            <v>D7</v>
          </cell>
          <cell r="S662">
            <v>0</v>
          </cell>
          <cell r="W662">
            <v>0</v>
          </cell>
        </row>
        <row r="663">
          <cell r="F663" t="str">
            <v>9.2.2.2</v>
          </cell>
          <cell r="H663" t="str">
            <v>R283</v>
          </cell>
          <cell r="I663" t="str">
            <v>D7</v>
          </cell>
          <cell r="S663">
            <v>0</v>
          </cell>
          <cell r="W663">
            <v>0</v>
          </cell>
        </row>
        <row r="664">
          <cell r="F664" t="str">
            <v>9.2.2.2</v>
          </cell>
          <cell r="H664" t="str">
            <v>R283</v>
          </cell>
          <cell r="I664" t="str">
            <v>D7</v>
          </cell>
          <cell r="S664">
            <v>0</v>
          </cell>
          <cell r="W664">
            <v>0</v>
          </cell>
        </row>
        <row r="665">
          <cell r="F665" t="str">
            <v>9.2.2.2</v>
          </cell>
          <cell r="H665" t="str">
            <v>R283</v>
          </cell>
          <cell r="I665" t="str">
            <v>D7</v>
          </cell>
          <cell r="S665">
            <v>0</v>
          </cell>
          <cell r="W665">
            <v>0</v>
          </cell>
        </row>
        <row r="666">
          <cell r="F666" t="str">
            <v>9.2.2.2</v>
          </cell>
          <cell r="H666" t="str">
            <v>R283</v>
          </cell>
          <cell r="I666" t="str">
            <v>D7</v>
          </cell>
          <cell r="S666">
            <v>0</v>
          </cell>
          <cell r="W666">
            <v>0</v>
          </cell>
        </row>
        <row r="667">
          <cell r="S667">
            <v>0</v>
          </cell>
          <cell r="W667">
            <v>0</v>
          </cell>
        </row>
        <row r="668">
          <cell r="F668" t="str">
            <v>10.1.1</v>
          </cell>
          <cell r="H668" t="str">
            <v>R308</v>
          </cell>
          <cell r="I668" t="str">
            <v>C8.4</v>
          </cell>
          <cell r="S668">
            <v>21730726324</v>
          </cell>
          <cell r="W668">
            <v>21730726324</v>
          </cell>
        </row>
        <row r="669">
          <cell r="F669" t="str">
            <v>10.1.1</v>
          </cell>
          <cell r="H669" t="str">
            <v>R308</v>
          </cell>
          <cell r="I669" t="str">
            <v>C8.4</v>
          </cell>
          <cell r="S669">
            <v>0</v>
          </cell>
          <cell r="W669">
            <v>119428907.5</v>
          </cell>
        </row>
        <row r="670">
          <cell r="F670" t="str">
            <v>10.1.1</v>
          </cell>
          <cell r="H670" t="str">
            <v>R308</v>
          </cell>
          <cell r="I670" t="str">
            <v>C8.4</v>
          </cell>
          <cell r="S670">
            <v>0</v>
          </cell>
          <cell r="W670">
            <v>10147165000</v>
          </cell>
        </row>
        <row r="671">
          <cell r="F671" t="str">
            <v>10.1.1</v>
          </cell>
          <cell r="H671" t="str">
            <v>R308</v>
          </cell>
          <cell r="I671" t="str">
            <v>C8.4</v>
          </cell>
          <cell r="S671">
            <v>0</v>
          </cell>
          <cell r="W671">
            <v>2686492550.5599999</v>
          </cell>
        </row>
        <row r="672">
          <cell r="S672">
            <v>0</v>
          </cell>
          <cell r="W672">
            <v>0</v>
          </cell>
        </row>
        <row r="673">
          <cell r="F673" t="str">
            <v>10.2.1</v>
          </cell>
          <cell r="H673" t="str">
            <v>R309</v>
          </cell>
          <cell r="I673" t="str">
            <v>D7</v>
          </cell>
          <cell r="S673">
            <v>0</v>
          </cell>
          <cell r="W673">
            <v>0</v>
          </cell>
        </row>
        <row r="674">
          <cell r="F674" t="str">
            <v>10.2.1</v>
          </cell>
          <cell r="H674" t="str">
            <v>R309</v>
          </cell>
          <cell r="I674" t="str">
            <v>D7</v>
          </cell>
          <cell r="S674">
            <v>0</v>
          </cell>
          <cell r="W674">
            <v>45650000000</v>
          </cell>
        </row>
        <row r="675">
          <cell r="F675" t="str">
            <v>10.2.1</v>
          </cell>
          <cell r="H675" t="str">
            <v>R309</v>
          </cell>
          <cell r="I675" t="str">
            <v>D7</v>
          </cell>
          <cell r="S675">
            <v>0</v>
          </cell>
          <cell r="W675">
            <v>20750000000</v>
          </cell>
        </row>
        <row r="676">
          <cell r="F676" t="str">
            <v>10.2.1</v>
          </cell>
          <cell r="H676" t="str">
            <v>R309</v>
          </cell>
          <cell r="I676" t="str">
            <v>D7</v>
          </cell>
          <cell r="S676">
            <v>0</v>
          </cell>
          <cell r="W676">
            <v>4150000000</v>
          </cell>
        </row>
        <row r="677">
          <cell r="F677" t="str">
            <v>10.2.1</v>
          </cell>
          <cell r="H677" t="str">
            <v>R309</v>
          </cell>
          <cell r="I677" t="str">
            <v>D7</v>
          </cell>
          <cell r="S677">
            <v>0</v>
          </cell>
          <cell r="W677">
            <v>21787500000</v>
          </cell>
        </row>
        <row r="678">
          <cell r="F678" t="str">
            <v>10.2.1</v>
          </cell>
          <cell r="H678" t="str">
            <v>R309</v>
          </cell>
          <cell r="I678" t="str">
            <v>D7</v>
          </cell>
          <cell r="S678">
            <v>0</v>
          </cell>
          <cell r="W678">
            <v>16600000000</v>
          </cell>
        </row>
        <row r="679">
          <cell r="S679">
            <v>0</v>
          </cell>
          <cell r="W679">
            <v>0</v>
          </cell>
        </row>
        <row r="680">
          <cell r="F680" t="str">
            <v>9.2.1.2</v>
          </cell>
          <cell r="H680" t="str">
            <v>R274</v>
          </cell>
          <cell r="I680" t="str">
            <v>C8.2</v>
          </cell>
          <cell r="S680">
            <v>0</v>
          </cell>
          <cell r="W680">
            <v>0</v>
          </cell>
        </row>
        <row r="681">
          <cell r="S681">
            <v>0</v>
          </cell>
          <cell r="W681">
            <v>0</v>
          </cell>
        </row>
        <row r="682">
          <cell r="F682" t="str">
            <v>9.2.2.4</v>
          </cell>
          <cell r="H682" t="str">
            <v>R206</v>
          </cell>
          <cell r="I682" t="str">
            <v>D7</v>
          </cell>
          <cell r="S682">
            <v>0</v>
          </cell>
          <cell r="W682">
            <v>0</v>
          </cell>
        </row>
        <row r="683">
          <cell r="F683" t="str">
            <v>9.2.2.4</v>
          </cell>
          <cell r="H683" t="str">
            <v>R218</v>
          </cell>
          <cell r="I683" t="str">
            <v>D7</v>
          </cell>
          <cell r="S683">
            <v>0</v>
          </cell>
          <cell r="W683">
            <v>0</v>
          </cell>
        </row>
        <row r="684">
          <cell r="F684" t="str">
            <v>9.2.2.4</v>
          </cell>
          <cell r="H684" t="str">
            <v>R218</v>
          </cell>
          <cell r="I684" t="str">
            <v>D7</v>
          </cell>
          <cell r="S684">
            <v>0</v>
          </cell>
          <cell r="W684">
            <v>0</v>
          </cell>
        </row>
        <row r="685">
          <cell r="S685">
            <v>0</v>
          </cell>
          <cell r="W685">
            <v>0</v>
          </cell>
        </row>
        <row r="686">
          <cell r="F686" t="str">
            <v>11.1.5</v>
          </cell>
          <cell r="H686" t="str">
            <v>R144</v>
          </cell>
          <cell r="I686" t="str">
            <v>C1.1</v>
          </cell>
          <cell r="S686">
            <v>0</v>
          </cell>
          <cell r="W686">
            <v>0</v>
          </cell>
        </row>
        <row r="687">
          <cell r="F687" t="str">
            <v>11.1.5</v>
          </cell>
          <cell r="H687" t="str">
            <v>R150</v>
          </cell>
          <cell r="I687" t="str">
            <v>C4.1</v>
          </cell>
          <cell r="S687">
            <v>0</v>
          </cell>
          <cell r="W687">
            <v>0</v>
          </cell>
        </row>
        <row r="688">
          <cell r="F688" t="str">
            <v>11.1.5</v>
          </cell>
          <cell r="H688" t="str">
            <v>R150</v>
          </cell>
          <cell r="I688" t="str">
            <v>C4.1</v>
          </cell>
          <cell r="S688">
            <v>0</v>
          </cell>
          <cell r="W688">
            <v>0</v>
          </cell>
        </row>
        <row r="690">
          <cell r="F690" t="str">
            <v>11.2.5</v>
          </cell>
          <cell r="H690" t="str">
            <v>R180</v>
          </cell>
          <cell r="I690" t="str">
            <v>D1</v>
          </cell>
          <cell r="S690">
            <v>0</v>
          </cell>
          <cell r="W690">
            <v>0</v>
          </cell>
        </row>
        <row r="691">
          <cell r="F691" t="str">
            <v>11.2.5</v>
          </cell>
          <cell r="H691" t="str">
            <v>R192</v>
          </cell>
          <cell r="I691" t="str">
            <v>D2</v>
          </cell>
          <cell r="S691">
            <v>0</v>
          </cell>
          <cell r="W691">
            <v>0</v>
          </cell>
        </row>
        <row r="692">
          <cell r="F692" t="str">
            <v>11.2.5</v>
          </cell>
          <cell r="H692" t="str">
            <v>R192</v>
          </cell>
          <cell r="I692" t="str">
            <v>D2</v>
          </cell>
          <cell r="S692">
            <v>0</v>
          </cell>
          <cell r="W692">
            <v>0</v>
          </cell>
        </row>
        <row r="693">
          <cell r="F693" t="str">
            <v>11.2.5</v>
          </cell>
          <cell r="H693" t="str">
            <v>R192</v>
          </cell>
          <cell r="I693" t="str">
            <v>D2</v>
          </cell>
          <cell r="S693">
            <v>0</v>
          </cell>
          <cell r="W693">
            <v>0</v>
          </cell>
        </row>
        <row r="694">
          <cell r="S694">
            <v>0</v>
          </cell>
          <cell r="W694">
            <v>0</v>
          </cell>
        </row>
        <row r="695">
          <cell r="F695" t="str">
            <v>11.1.5</v>
          </cell>
          <cell r="H695" t="str">
            <v>R157</v>
          </cell>
          <cell r="I695" t="str">
            <v>C2.1</v>
          </cell>
          <cell r="S695">
            <v>0</v>
          </cell>
          <cell r="W695">
            <v>0</v>
          </cell>
        </row>
        <row r="696">
          <cell r="F696" t="str">
            <v>11.1.5</v>
          </cell>
          <cell r="H696" t="str">
            <v>R163</v>
          </cell>
          <cell r="I696" t="str">
            <v>C4.1</v>
          </cell>
          <cell r="S696">
            <v>0</v>
          </cell>
          <cell r="W696">
            <v>0</v>
          </cell>
        </row>
        <row r="697">
          <cell r="F697" t="str">
            <v>11.1.5</v>
          </cell>
          <cell r="H697" t="str">
            <v>R163</v>
          </cell>
          <cell r="I697" t="str">
            <v>C4.1</v>
          </cell>
          <cell r="S697">
            <v>0</v>
          </cell>
          <cell r="W697">
            <v>0</v>
          </cell>
        </row>
        <row r="698">
          <cell r="F698" t="str">
            <v>11.1.5</v>
          </cell>
          <cell r="H698" t="str">
            <v>R163</v>
          </cell>
          <cell r="I698" t="str">
            <v>C4.1</v>
          </cell>
          <cell r="S698">
            <v>0</v>
          </cell>
          <cell r="W698">
            <v>0</v>
          </cell>
        </row>
        <row r="699">
          <cell r="S699">
            <v>0</v>
          </cell>
          <cell r="W699">
            <v>0</v>
          </cell>
        </row>
        <row r="700">
          <cell r="F700" t="str">
            <v>11.2.5</v>
          </cell>
          <cell r="H700" t="str">
            <v>R206</v>
          </cell>
          <cell r="I700" t="str">
            <v>D1</v>
          </cell>
          <cell r="S700">
            <v>0</v>
          </cell>
          <cell r="W700">
            <v>0</v>
          </cell>
        </row>
        <row r="701">
          <cell r="F701" t="str">
            <v>11.2.5</v>
          </cell>
          <cell r="H701" t="str">
            <v>R218</v>
          </cell>
          <cell r="I701" t="str">
            <v>D2</v>
          </cell>
          <cell r="S701">
            <v>0</v>
          </cell>
          <cell r="W701">
            <v>0</v>
          </cell>
        </row>
        <row r="702">
          <cell r="F702" t="str">
            <v>11.2.5</v>
          </cell>
          <cell r="H702" t="str">
            <v>R218</v>
          </cell>
          <cell r="I702" t="str">
            <v>D2</v>
          </cell>
          <cell r="S702">
            <v>0</v>
          </cell>
          <cell r="W702">
            <v>0</v>
          </cell>
        </row>
        <row r="703">
          <cell r="F703" t="str">
            <v>11.2.5</v>
          </cell>
          <cell r="H703" t="str">
            <v>R218</v>
          </cell>
          <cell r="I703" t="str">
            <v>D2</v>
          </cell>
          <cell r="S703">
            <v>0</v>
          </cell>
          <cell r="W703">
            <v>0</v>
          </cell>
        </row>
        <row r="704">
          <cell r="S704">
            <v>0</v>
          </cell>
          <cell r="W704">
            <v>0</v>
          </cell>
        </row>
        <row r="705">
          <cell r="F705" t="str">
            <v>11.1.5</v>
          </cell>
          <cell r="H705" t="str">
            <v>R157</v>
          </cell>
          <cell r="I705" t="str">
            <v>C3.1</v>
          </cell>
          <cell r="S705">
            <v>123857847.5</v>
          </cell>
          <cell r="W705">
            <v>123857847.5</v>
          </cell>
        </row>
        <row r="706">
          <cell r="F706" t="str">
            <v>11.1.5</v>
          </cell>
          <cell r="H706" t="str">
            <v>R163</v>
          </cell>
          <cell r="I706" t="str">
            <v>C4.1</v>
          </cell>
          <cell r="S706">
            <v>0</v>
          </cell>
          <cell r="W706">
            <v>1766606652.5</v>
          </cell>
        </row>
        <row r="707">
          <cell r="F707" t="str">
            <v>11.1.5</v>
          </cell>
          <cell r="H707" t="str">
            <v>R163</v>
          </cell>
          <cell r="I707" t="str">
            <v>C4.1</v>
          </cell>
          <cell r="S707">
            <v>0</v>
          </cell>
          <cell r="W707">
            <v>0</v>
          </cell>
        </row>
        <row r="708">
          <cell r="F708" t="str">
            <v>11.1.5</v>
          </cell>
          <cell r="H708" t="str">
            <v>R163</v>
          </cell>
          <cell r="I708" t="str">
            <v>C4.1</v>
          </cell>
          <cell r="S708">
            <v>0</v>
          </cell>
          <cell r="W708">
            <v>181717482.24000001</v>
          </cell>
        </row>
        <row r="709">
          <cell r="S709">
            <v>0</v>
          </cell>
          <cell r="W709">
            <v>0</v>
          </cell>
        </row>
        <row r="710">
          <cell r="F710" t="str">
            <v>11.2.5</v>
          </cell>
          <cell r="H710" t="str">
            <v>R206</v>
          </cell>
          <cell r="I710" t="str">
            <v>D1</v>
          </cell>
          <cell r="S710">
            <v>1935700</v>
          </cell>
          <cell r="W710">
            <v>1935700</v>
          </cell>
        </row>
        <row r="711">
          <cell r="F711" t="str">
            <v>11.2.5</v>
          </cell>
          <cell r="H711" t="str">
            <v>R218</v>
          </cell>
          <cell r="I711" t="str">
            <v>D2</v>
          </cell>
          <cell r="S711">
            <v>0</v>
          </cell>
          <cell r="W711">
            <v>60290909.5</v>
          </cell>
        </row>
        <row r="712">
          <cell r="F712" t="str">
            <v>11.2.5</v>
          </cell>
          <cell r="H712" t="str">
            <v>R218</v>
          </cell>
          <cell r="I712" t="str">
            <v>D2</v>
          </cell>
          <cell r="S712">
            <v>0</v>
          </cell>
          <cell r="W712">
            <v>791521.92</v>
          </cell>
        </row>
        <row r="713">
          <cell r="F713" t="str">
            <v>11.2.5</v>
          </cell>
          <cell r="H713" t="str">
            <v>R218</v>
          </cell>
          <cell r="I713" t="str">
            <v>D2</v>
          </cell>
          <cell r="S713">
            <v>0</v>
          </cell>
          <cell r="W713">
            <v>6979056</v>
          </cell>
        </row>
        <row r="714">
          <cell r="S714">
            <v>0</v>
          </cell>
          <cell r="W714">
            <v>0</v>
          </cell>
        </row>
        <row r="715">
          <cell r="F715" t="str">
            <v>11.1.5</v>
          </cell>
          <cell r="H715" t="str">
            <v>R157</v>
          </cell>
          <cell r="I715" t="str">
            <v>C8.3</v>
          </cell>
          <cell r="S715">
            <v>0</v>
          </cell>
          <cell r="W715">
            <v>0</v>
          </cell>
        </row>
        <row r="716">
          <cell r="F716" t="str">
            <v>11.1.5</v>
          </cell>
          <cell r="H716" t="str">
            <v>R163</v>
          </cell>
          <cell r="I716" t="str">
            <v>C8.3</v>
          </cell>
          <cell r="S716">
            <v>0</v>
          </cell>
          <cell r="W716">
            <v>0</v>
          </cell>
        </row>
        <row r="717">
          <cell r="F717" t="str">
            <v>11.1.5</v>
          </cell>
          <cell r="H717" t="str">
            <v>R163</v>
          </cell>
          <cell r="I717" t="str">
            <v>C8.3</v>
          </cell>
          <cell r="S717">
            <v>0</v>
          </cell>
          <cell r="W717">
            <v>0</v>
          </cell>
        </row>
        <row r="718">
          <cell r="S718">
            <v>0</v>
          </cell>
          <cell r="W718">
            <v>0</v>
          </cell>
        </row>
        <row r="719">
          <cell r="F719" t="str">
            <v>11.1.5</v>
          </cell>
          <cell r="H719" t="str">
            <v>R149</v>
          </cell>
          <cell r="I719" t="str">
            <v>C4.1</v>
          </cell>
          <cell r="S719">
            <v>0</v>
          </cell>
          <cell r="W719">
            <v>0</v>
          </cell>
        </row>
        <row r="720">
          <cell r="S720">
            <v>0</v>
          </cell>
          <cell r="W720">
            <v>0</v>
          </cell>
        </row>
        <row r="721">
          <cell r="F721" t="str">
            <v>11.1.5</v>
          </cell>
          <cell r="H721" t="str">
            <v>R156</v>
          </cell>
          <cell r="I721" t="str">
            <v>C2.1</v>
          </cell>
          <cell r="S721">
            <v>0</v>
          </cell>
          <cell r="W721">
            <v>0</v>
          </cell>
        </row>
        <row r="722">
          <cell r="F722" t="str">
            <v>11.1.5</v>
          </cell>
          <cell r="H722" t="str">
            <v>R162</v>
          </cell>
          <cell r="I722" t="str">
            <v>C4.1</v>
          </cell>
          <cell r="S722">
            <v>0</v>
          </cell>
          <cell r="W722">
            <v>0</v>
          </cell>
        </row>
        <row r="723">
          <cell r="F723" t="str">
            <v>11.1.5</v>
          </cell>
          <cell r="H723" t="str">
            <v>R162</v>
          </cell>
          <cell r="I723" t="str">
            <v>C4.1</v>
          </cell>
          <cell r="S723">
            <v>0</v>
          </cell>
          <cell r="W723">
            <v>0</v>
          </cell>
        </row>
        <row r="724">
          <cell r="S724">
            <v>0</v>
          </cell>
          <cell r="W724">
            <v>0</v>
          </cell>
        </row>
        <row r="725">
          <cell r="F725" t="str">
            <v>11.2.5</v>
          </cell>
          <cell r="H725" t="str">
            <v>R206</v>
          </cell>
          <cell r="I725" t="str">
            <v>D1</v>
          </cell>
          <cell r="S725">
            <v>0</v>
          </cell>
          <cell r="W725">
            <v>0</v>
          </cell>
        </row>
        <row r="726">
          <cell r="F726" t="str">
            <v>11.2.5</v>
          </cell>
          <cell r="H726" t="str">
            <v>R218</v>
          </cell>
          <cell r="I726" t="str">
            <v>D2</v>
          </cell>
          <cell r="S726">
            <v>0</v>
          </cell>
          <cell r="W726">
            <v>0</v>
          </cell>
        </row>
        <row r="727">
          <cell r="F727" t="str">
            <v>11.2.5</v>
          </cell>
          <cell r="H727" t="str">
            <v>R218</v>
          </cell>
          <cell r="I727" t="str">
            <v>D2</v>
          </cell>
          <cell r="S727">
            <v>0</v>
          </cell>
          <cell r="W727">
            <v>0</v>
          </cell>
        </row>
        <row r="728">
          <cell r="F728" t="str">
            <v>11.2.5</v>
          </cell>
          <cell r="H728" t="str">
            <v>R218</v>
          </cell>
          <cell r="I728" t="str">
            <v>D2</v>
          </cell>
          <cell r="S728">
            <v>0</v>
          </cell>
          <cell r="W728">
            <v>0</v>
          </cell>
        </row>
        <row r="729">
          <cell r="S729">
            <v>0</v>
          </cell>
          <cell r="W729">
            <v>0</v>
          </cell>
        </row>
        <row r="730">
          <cell r="F730" t="str">
            <v>11.1.5</v>
          </cell>
          <cell r="H730" t="str">
            <v>R156</v>
          </cell>
          <cell r="I730" t="str">
            <v>C3.1</v>
          </cell>
          <cell r="S730">
            <v>9567300</v>
          </cell>
          <cell r="W730">
            <v>9567300</v>
          </cell>
        </row>
        <row r="731">
          <cell r="F731" t="str">
            <v>11.1.5</v>
          </cell>
          <cell r="H731" t="str">
            <v>R162</v>
          </cell>
          <cell r="I731" t="str">
            <v>C4.1</v>
          </cell>
          <cell r="S731">
            <v>0</v>
          </cell>
          <cell r="W731">
            <v>88892419</v>
          </cell>
        </row>
        <row r="732">
          <cell r="F732" t="str">
            <v>11.1.5</v>
          </cell>
          <cell r="H732" t="str">
            <v>R162</v>
          </cell>
          <cell r="I732" t="str">
            <v>C4.1</v>
          </cell>
          <cell r="S732">
            <v>0</v>
          </cell>
          <cell r="W732">
            <v>15008</v>
          </cell>
        </row>
        <row r="733">
          <cell r="S733">
            <v>0</v>
          </cell>
          <cell r="W733">
            <v>0</v>
          </cell>
        </row>
        <row r="734">
          <cell r="F734" t="str">
            <v>11.2.5</v>
          </cell>
          <cell r="H734" t="str">
            <v>R206</v>
          </cell>
          <cell r="I734" t="str">
            <v>D1</v>
          </cell>
          <cell r="S734">
            <v>51400</v>
          </cell>
          <cell r="W734">
            <v>51400</v>
          </cell>
        </row>
        <row r="735">
          <cell r="F735" t="str">
            <v>11.2.5</v>
          </cell>
          <cell r="H735" t="str">
            <v>R218</v>
          </cell>
          <cell r="I735" t="str">
            <v>D2</v>
          </cell>
          <cell r="S735">
            <v>0</v>
          </cell>
          <cell r="W735">
            <v>22660162</v>
          </cell>
        </row>
        <row r="736">
          <cell r="S736">
            <v>0</v>
          </cell>
          <cell r="W736">
            <v>0</v>
          </cell>
        </row>
        <row r="737">
          <cell r="F737" t="str">
            <v>11.1.5</v>
          </cell>
          <cell r="H737" t="str">
            <v>R162</v>
          </cell>
          <cell r="I737" t="str">
            <v>C8.3</v>
          </cell>
          <cell r="S737">
            <v>0</v>
          </cell>
          <cell r="W737">
            <v>229951.5</v>
          </cell>
        </row>
        <row r="738">
          <cell r="F738" t="str">
            <v>11.1.5</v>
          </cell>
          <cell r="H738" t="str">
            <v>R162</v>
          </cell>
          <cell r="I738" t="str">
            <v>C8.3</v>
          </cell>
          <cell r="S738">
            <v>0</v>
          </cell>
          <cell r="W738">
            <v>0</v>
          </cell>
        </row>
        <row r="739">
          <cell r="F739" t="str">
            <v>11.1.5</v>
          </cell>
          <cell r="H739" t="str">
            <v>R162</v>
          </cell>
          <cell r="I739" t="str">
            <v>C8.3</v>
          </cell>
          <cell r="S739">
            <v>0</v>
          </cell>
          <cell r="W739">
            <v>0</v>
          </cell>
        </row>
        <row r="740">
          <cell r="S740">
            <v>0</v>
          </cell>
          <cell r="W740">
            <v>0</v>
          </cell>
        </row>
        <row r="741">
          <cell r="F741" t="str">
            <v>11.1.5</v>
          </cell>
          <cell r="H741" t="str">
            <v>R155</v>
          </cell>
          <cell r="I741" t="str">
            <v>C2.2</v>
          </cell>
          <cell r="S741">
            <v>0</v>
          </cell>
          <cell r="W741">
            <v>0</v>
          </cell>
        </row>
        <row r="742">
          <cell r="F742" t="str">
            <v>11.1.5</v>
          </cell>
          <cell r="H742" t="str">
            <v>R161</v>
          </cell>
          <cell r="I742" t="str">
            <v>C4.2</v>
          </cell>
          <cell r="S742">
            <v>0</v>
          </cell>
          <cell r="W742">
            <v>0</v>
          </cell>
        </row>
        <row r="743">
          <cell r="F743" t="str">
            <v>11.1.5</v>
          </cell>
          <cell r="H743" t="str">
            <v>R161</v>
          </cell>
          <cell r="I743" t="str">
            <v>C4.2</v>
          </cell>
          <cell r="S743">
            <v>0</v>
          </cell>
          <cell r="W743">
            <v>0</v>
          </cell>
        </row>
        <row r="744">
          <cell r="S744">
            <v>0</v>
          </cell>
          <cell r="W744">
            <v>0</v>
          </cell>
        </row>
        <row r="745">
          <cell r="F745" t="str">
            <v>11.1.5</v>
          </cell>
          <cell r="H745" t="str">
            <v>R155</v>
          </cell>
          <cell r="I745" t="str">
            <v>C3.2</v>
          </cell>
          <cell r="S745">
            <v>1074000</v>
          </cell>
          <cell r="W745">
            <v>1074000</v>
          </cell>
        </row>
        <row r="746">
          <cell r="F746" t="str">
            <v>11.1.5</v>
          </cell>
          <cell r="H746" t="str">
            <v>R161</v>
          </cell>
          <cell r="I746" t="str">
            <v>C4.2</v>
          </cell>
          <cell r="S746">
            <v>0</v>
          </cell>
          <cell r="W746">
            <v>30378</v>
          </cell>
        </row>
        <row r="747">
          <cell r="F747" t="str">
            <v>11.1.5</v>
          </cell>
          <cell r="H747" t="str">
            <v>R161</v>
          </cell>
          <cell r="I747" t="str">
            <v>C4.2</v>
          </cell>
          <cell r="S747">
            <v>0</v>
          </cell>
          <cell r="W747">
            <v>720832</v>
          </cell>
        </row>
        <row r="748">
          <cell r="S748">
            <v>0</v>
          </cell>
          <cell r="W748">
            <v>0</v>
          </cell>
        </row>
        <row r="749">
          <cell r="F749" t="str">
            <v>11.1.5</v>
          </cell>
          <cell r="H749" t="str">
            <v>R187</v>
          </cell>
          <cell r="I749" t="str">
            <v>C4.3</v>
          </cell>
          <cell r="S749">
            <v>0</v>
          </cell>
          <cell r="W749">
            <v>0</v>
          </cell>
        </row>
        <row r="750">
          <cell r="S750">
            <v>0</v>
          </cell>
          <cell r="W750">
            <v>0</v>
          </cell>
        </row>
        <row r="751">
          <cell r="F751" t="str">
            <v>11.1.5</v>
          </cell>
          <cell r="H751" t="str">
            <v>R201</v>
          </cell>
          <cell r="I751" t="str">
            <v>C2.2</v>
          </cell>
          <cell r="S751">
            <v>0</v>
          </cell>
          <cell r="W751">
            <v>0</v>
          </cell>
        </row>
        <row r="752">
          <cell r="F752" t="str">
            <v>11.1.5</v>
          </cell>
          <cell r="H752" t="str">
            <v>R213</v>
          </cell>
          <cell r="I752" t="str">
            <v>C4.3</v>
          </cell>
          <cell r="S752">
            <v>0</v>
          </cell>
          <cell r="W752">
            <v>0</v>
          </cell>
        </row>
        <row r="753">
          <cell r="F753" t="str">
            <v>11.1.5</v>
          </cell>
          <cell r="H753" t="str">
            <v>R213</v>
          </cell>
          <cell r="I753" t="str">
            <v>C4.3</v>
          </cell>
          <cell r="S753">
            <v>0</v>
          </cell>
          <cell r="W753">
            <v>0</v>
          </cell>
        </row>
        <row r="754">
          <cell r="S754">
            <v>0</v>
          </cell>
          <cell r="W754">
            <v>0</v>
          </cell>
        </row>
        <row r="755">
          <cell r="F755" t="str">
            <v>11.1.5</v>
          </cell>
          <cell r="H755" t="str">
            <v>R201</v>
          </cell>
          <cell r="I755" t="str">
            <v>C3.2</v>
          </cell>
          <cell r="S755">
            <v>9734200</v>
          </cell>
          <cell r="W755">
            <v>9734200</v>
          </cell>
        </row>
        <row r="756">
          <cell r="F756" t="str">
            <v>11.1.5</v>
          </cell>
          <cell r="H756" t="str">
            <v>R213</v>
          </cell>
          <cell r="I756" t="str">
            <v>C4.3</v>
          </cell>
          <cell r="S756">
            <v>0</v>
          </cell>
          <cell r="W756">
            <v>5098607</v>
          </cell>
        </row>
        <row r="757">
          <cell r="F757" t="str">
            <v>11.1.5</v>
          </cell>
          <cell r="H757" t="str">
            <v>R213</v>
          </cell>
          <cell r="I757" t="str">
            <v>C4.3</v>
          </cell>
          <cell r="S757">
            <v>0</v>
          </cell>
          <cell r="W757">
            <v>0</v>
          </cell>
        </row>
        <row r="758">
          <cell r="S758">
            <v>0</v>
          </cell>
          <cell r="W758">
            <v>0</v>
          </cell>
        </row>
        <row r="759">
          <cell r="F759" t="str">
            <v>11.1.5</v>
          </cell>
          <cell r="H759" t="str">
            <v>R154</v>
          </cell>
          <cell r="I759" t="str">
            <v>C2.2</v>
          </cell>
          <cell r="S759">
            <v>0</v>
          </cell>
          <cell r="W759">
            <v>0</v>
          </cell>
        </row>
        <row r="760">
          <cell r="F760" t="str">
            <v>11.1.5</v>
          </cell>
          <cell r="H760" t="str">
            <v>R160</v>
          </cell>
          <cell r="I760" t="str">
            <v>C4.3</v>
          </cell>
          <cell r="S760">
            <v>0</v>
          </cell>
          <cell r="W760">
            <v>0</v>
          </cell>
        </row>
        <row r="761">
          <cell r="S761">
            <v>0</v>
          </cell>
          <cell r="W761">
            <v>0</v>
          </cell>
        </row>
        <row r="762">
          <cell r="F762" t="str">
            <v>11.1.5</v>
          </cell>
          <cell r="H762" t="str">
            <v>R154</v>
          </cell>
          <cell r="I762" t="str">
            <v>C3.2</v>
          </cell>
          <cell r="S762">
            <v>0</v>
          </cell>
          <cell r="W762">
            <v>0</v>
          </cell>
        </row>
        <row r="763">
          <cell r="F763" t="str">
            <v>11.1.5</v>
          </cell>
          <cell r="H763" t="str">
            <v>R160</v>
          </cell>
          <cell r="I763" t="str">
            <v>C4.3</v>
          </cell>
          <cell r="S763">
            <v>0</v>
          </cell>
          <cell r="W763">
            <v>137033</v>
          </cell>
        </row>
        <row r="764">
          <cell r="S764">
            <v>0</v>
          </cell>
          <cell r="W764">
            <v>0</v>
          </cell>
        </row>
        <row r="765">
          <cell r="F765" t="str">
            <v>9.2.1.4</v>
          </cell>
          <cell r="H765" t="str">
            <v>R260</v>
          </cell>
          <cell r="I765" t="str">
            <v>C8.1</v>
          </cell>
          <cell r="S765">
            <v>0</v>
          </cell>
          <cell r="W765">
            <v>0</v>
          </cell>
        </row>
        <row r="766">
          <cell r="F766" t="str">
            <v>9.2.1.4</v>
          </cell>
          <cell r="H766" t="str">
            <v>R274</v>
          </cell>
          <cell r="I766" t="str">
            <v>C8.2</v>
          </cell>
          <cell r="S766">
            <v>0</v>
          </cell>
          <cell r="W766">
            <v>0</v>
          </cell>
        </row>
        <row r="767">
          <cell r="F767" t="str">
            <v>9.2.1.4</v>
          </cell>
          <cell r="H767" t="str">
            <v>R274</v>
          </cell>
          <cell r="I767" t="str">
            <v>C8.2</v>
          </cell>
          <cell r="S767">
            <v>0</v>
          </cell>
          <cell r="W767">
            <v>0</v>
          </cell>
        </row>
        <row r="768">
          <cell r="S768">
            <v>0</v>
          </cell>
          <cell r="W768">
            <v>0</v>
          </cell>
        </row>
        <row r="769">
          <cell r="F769" t="str">
            <v>9.2.2.4</v>
          </cell>
          <cell r="H769" t="str">
            <v>R269</v>
          </cell>
          <cell r="I769" t="str">
            <v>D3</v>
          </cell>
          <cell r="S769">
            <v>0</v>
          </cell>
          <cell r="W769">
            <v>0</v>
          </cell>
        </row>
        <row r="770">
          <cell r="F770" t="str">
            <v>9.2.2.4</v>
          </cell>
          <cell r="H770" t="str">
            <v>R283</v>
          </cell>
          <cell r="I770" t="str">
            <v>D3</v>
          </cell>
          <cell r="S770">
            <v>0</v>
          </cell>
          <cell r="W770">
            <v>0</v>
          </cell>
        </row>
        <row r="771">
          <cell r="F771" t="str">
            <v>9.2.2.4</v>
          </cell>
          <cell r="H771" t="str">
            <v>R283</v>
          </cell>
          <cell r="I771" t="str">
            <v>D3</v>
          </cell>
          <cell r="S771">
            <v>0</v>
          </cell>
          <cell r="W771">
            <v>0</v>
          </cell>
        </row>
        <row r="772">
          <cell r="S772">
            <v>0</v>
          </cell>
          <cell r="W772">
            <v>0</v>
          </cell>
        </row>
        <row r="773">
          <cell r="F773">
            <v>9.1</v>
          </cell>
          <cell r="H773" t="str">
            <v>R260</v>
          </cell>
          <cell r="I773" t="str">
            <v>C8.1</v>
          </cell>
          <cell r="S773">
            <v>57205400</v>
          </cell>
          <cell r="W773">
            <v>57205400</v>
          </cell>
        </row>
        <row r="774">
          <cell r="F774">
            <v>9.1</v>
          </cell>
          <cell r="H774" t="str">
            <v>R274</v>
          </cell>
          <cell r="I774" t="str">
            <v>C8.2</v>
          </cell>
          <cell r="S774">
            <v>0</v>
          </cell>
          <cell r="W774">
            <v>0</v>
          </cell>
        </row>
        <row r="775">
          <cell r="F775">
            <v>9.1</v>
          </cell>
          <cell r="H775" t="str">
            <v>R274</v>
          </cell>
          <cell r="I775" t="str">
            <v>C8.2</v>
          </cell>
          <cell r="S775">
            <v>0</v>
          </cell>
          <cell r="W775">
            <v>0</v>
          </cell>
        </row>
        <row r="776">
          <cell r="F776">
            <v>9.1</v>
          </cell>
          <cell r="H776" t="str">
            <v>R274</v>
          </cell>
          <cell r="I776" t="str">
            <v>C8.2</v>
          </cell>
          <cell r="S776">
            <v>0</v>
          </cell>
          <cell r="W776">
            <v>0</v>
          </cell>
        </row>
        <row r="777">
          <cell r="F777">
            <v>9.1</v>
          </cell>
          <cell r="H777" t="str">
            <v>R274</v>
          </cell>
          <cell r="I777" t="str">
            <v>C8.2</v>
          </cell>
          <cell r="S777">
            <v>0</v>
          </cell>
          <cell r="W777">
            <v>0</v>
          </cell>
        </row>
        <row r="778">
          <cell r="S778">
            <v>0</v>
          </cell>
          <cell r="W778">
            <v>0</v>
          </cell>
        </row>
        <row r="779">
          <cell r="F779" t="str">
            <v>9.2.2.4</v>
          </cell>
          <cell r="H779" t="str">
            <v>R269</v>
          </cell>
          <cell r="I779" t="str">
            <v>D7</v>
          </cell>
          <cell r="S779">
            <v>0</v>
          </cell>
          <cell r="W779">
            <v>0</v>
          </cell>
        </row>
        <row r="780">
          <cell r="F780" t="str">
            <v>9.2.2.4</v>
          </cell>
          <cell r="H780" t="str">
            <v>R283</v>
          </cell>
          <cell r="I780" t="str">
            <v>D7</v>
          </cell>
          <cell r="S780">
            <v>0</v>
          </cell>
          <cell r="W780">
            <v>0</v>
          </cell>
        </row>
        <row r="781">
          <cell r="F781" t="str">
            <v>9.2.2.4</v>
          </cell>
          <cell r="H781" t="str">
            <v>R283</v>
          </cell>
          <cell r="I781" t="str">
            <v>D7</v>
          </cell>
          <cell r="S781">
            <v>0</v>
          </cell>
          <cell r="W781">
            <v>0</v>
          </cell>
        </row>
        <row r="782">
          <cell r="F782" t="str">
            <v>9.2.2.4</v>
          </cell>
          <cell r="H782" t="str">
            <v>R283</v>
          </cell>
          <cell r="I782" t="str">
            <v>D7</v>
          </cell>
          <cell r="S782">
            <v>0</v>
          </cell>
          <cell r="W782">
            <v>0</v>
          </cell>
        </row>
        <row r="783">
          <cell r="F783" t="str">
            <v>9.2.2.4</v>
          </cell>
          <cell r="H783" t="str">
            <v>R283</v>
          </cell>
          <cell r="I783" t="str">
            <v>D7</v>
          </cell>
          <cell r="S783">
            <v>0</v>
          </cell>
          <cell r="W783">
            <v>0</v>
          </cell>
        </row>
        <row r="784">
          <cell r="S784">
            <v>0</v>
          </cell>
          <cell r="W784">
            <v>0</v>
          </cell>
        </row>
        <row r="785">
          <cell r="F785" t="str">
            <v>10.1.2</v>
          </cell>
          <cell r="H785" t="str">
            <v>R308</v>
          </cell>
          <cell r="I785" t="str">
            <v>C8.4</v>
          </cell>
          <cell r="S785">
            <v>464441000</v>
          </cell>
          <cell r="W785">
            <v>464441000</v>
          </cell>
        </row>
        <row r="786">
          <cell r="F786" t="str">
            <v>10.1.2</v>
          </cell>
          <cell r="H786" t="str">
            <v>R308</v>
          </cell>
          <cell r="I786" t="str">
            <v>C8.4</v>
          </cell>
          <cell r="S786">
            <v>0</v>
          </cell>
          <cell r="W786">
            <v>3437362</v>
          </cell>
        </row>
        <row r="787">
          <cell r="F787" t="str">
            <v>10.1.2</v>
          </cell>
          <cell r="H787" t="str">
            <v>R308</v>
          </cell>
          <cell r="I787" t="str">
            <v>C8.4</v>
          </cell>
          <cell r="S787">
            <v>0</v>
          </cell>
          <cell r="W787">
            <v>52716160</v>
          </cell>
        </row>
        <row r="788">
          <cell r="S788">
            <v>0</v>
          </cell>
          <cell r="W788">
            <v>0</v>
          </cell>
        </row>
        <row r="789">
          <cell r="F789" t="str">
            <v>10.2.2</v>
          </cell>
          <cell r="H789" t="str">
            <v>R309</v>
          </cell>
          <cell r="I789" t="str">
            <v>D7</v>
          </cell>
          <cell r="S789">
            <v>0</v>
          </cell>
          <cell r="W789">
            <v>0</v>
          </cell>
        </row>
        <row r="790">
          <cell r="F790" t="str">
            <v>10.2.2</v>
          </cell>
          <cell r="H790" t="str">
            <v>R309</v>
          </cell>
          <cell r="I790" t="str">
            <v>D7</v>
          </cell>
          <cell r="S790">
            <v>0</v>
          </cell>
          <cell r="W790">
            <v>1062202584.5</v>
          </cell>
        </row>
        <row r="791">
          <cell r="F791" t="str">
            <v>10.2.2</v>
          </cell>
          <cell r="H791" t="str">
            <v>R309</v>
          </cell>
          <cell r="I791" t="str">
            <v>D7</v>
          </cell>
          <cell r="S791">
            <v>0</v>
          </cell>
          <cell r="W791">
            <v>170085218.5</v>
          </cell>
        </row>
        <row r="792">
          <cell r="F792" t="str">
            <v>10.2.2</v>
          </cell>
          <cell r="H792" t="str">
            <v>R309</v>
          </cell>
          <cell r="I792" t="str">
            <v>D7</v>
          </cell>
          <cell r="S792">
            <v>0</v>
          </cell>
          <cell r="W792">
            <v>30783206</v>
          </cell>
        </row>
        <row r="793">
          <cell r="F793" t="str">
            <v>10.2.2</v>
          </cell>
          <cell r="H793" t="str">
            <v>R309</v>
          </cell>
          <cell r="I793" t="str">
            <v>D7</v>
          </cell>
          <cell r="S793">
            <v>0</v>
          </cell>
          <cell r="W793">
            <v>731277517.5</v>
          </cell>
        </row>
        <row r="794">
          <cell r="F794" t="str">
            <v>10.2.2</v>
          </cell>
          <cell r="H794" t="str">
            <v>R309</v>
          </cell>
          <cell r="I794" t="str">
            <v>D7</v>
          </cell>
          <cell r="S794">
            <v>0</v>
          </cell>
          <cell r="W794">
            <v>373178292</v>
          </cell>
        </row>
        <row r="795">
          <cell r="F795" t="str">
            <v>10.2.2</v>
          </cell>
          <cell r="H795" t="str">
            <v>R309</v>
          </cell>
          <cell r="I795" t="str">
            <v>D7</v>
          </cell>
          <cell r="S795">
            <v>0</v>
          </cell>
          <cell r="W795">
            <v>0</v>
          </cell>
        </row>
        <row r="796">
          <cell r="S796">
            <v>0</v>
          </cell>
          <cell r="W796">
            <v>0</v>
          </cell>
        </row>
        <row r="797">
          <cell r="F797" t="str">
            <v>10.1.2</v>
          </cell>
          <cell r="H797" t="str">
            <v>R308</v>
          </cell>
          <cell r="I797" t="str">
            <v>C8.4</v>
          </cell>
          <cell r="S797">
            <v>484955800</v>
          </cell>
          <cell r="W797">
            <v>484955800</v>
          </cell>
        </row>
        <row r="798">
          <cell r="F798" t="str">
            <v>10.1.2</v>
          </cell>
          <cell r="H798" t="str">
            <v>R308</v>
          </cell>
          <cell r="I798" t="str">
            <v>C8.4</v>
          </cell>
          <cell r="S798">
            <v>0</v>
          </cell>
          <cell r="W798">
            <v>190852814.5</v>
          </cell>
        </row>
        <row r="799">
          <cell r="F799" t="str">
            <v>10.1.2</v>
          </cell>
          <cell r="H799" t="str">
            <v>R308</v>
          </cell>
          <cell r="I799" t="str">
            <v>C8.4</v>
          </cell>
          <cell r="S799">
            <v>0</v>
          </cell>
          <cell r="W799">
            <v>0</v>
          </cell>
        </row>
        <row r="800">
          <cell r="F800" t="str">
            <v>10.1.2</v>
          </cell>
          <cell r="H800" t="str">
            <v>R308</v>
          </cell>
          <cell r="I800" t="str">
            <v>C8.4</v>
          </cell>
          <cell r="S800">
            <v>0</v>
          </cell>
          <cell r="W800">
            <v>383242272</v>
          </cell>
        </row>
        <row r="801">
          <cell r="S801">
            <v>0</v>
          </cell>
          <cell r="W801">
            <v>0</v>
          </cell>
        </row>
        <row r="802">
          <cell r="F802" t="str">
            <v>9.2.1.4</v>
          </cell>
          <cell r="H802" t="str">
            <v>R274</v>
          </cell>
          <cell r="I802" t="str">
            <v>C8.2</v>
          </cell>
          <cell r="S802">
            <v>0</v>
          </cell>
          <cell r="W802">
            <v>0</v>
          </cell>
        </row>
        <row r="803">
          <cell r="S803">
            <v>0</v>
          </cell>
          <cell r="W803">
            <v>0</v>
          </cell>
        </row>
        <row r="804">
          <cell r="F804">
            <v>12.1</v>
          </cell>
          <cell r="H804" t="str">
            <v>R308</v>
          </cell>
          <cell r="I804" t="str">
            <v>C8.4</v>
          </cell>
          <cell r="S804">
            <v>0</v>
          </cell>
          <cell r="W804">
            <v>0</v>
          </cell>
        </row>
        <row r="805">
          <cell r="F805">
            <v>12.1</v>
          </cell>
          <cell r="H805" t="str">
            <v>R308</v>
          </cell>
          <cell r="I805" t="str">
            <v>C8.4</v>
          </cell>
          <cell r="S805">
            <v>0</v>
          </cell>
          <cell r="W805">
            <v>0</v>
          </cell>
        </row>
        <row r="806">
          <cell r="F806">
            <v>12.1</v>
          </cell>
          <cell r="H806" t="str">
            <v>R308</v>
          </cell>
          <cell r="I806" t="str">
            <v>C8.4</v>
          </cell>
          <cell r="S806">
            <v>0</v>
          </cell>
          <cell r="W806">
            <v>0</v>
          </cell>
        </row>
        <row r="807">
          <cell r="S807">
            <v>0</v>
          </cell>
          <cell r="W807">
            <v>0</v>
          </cell>
        </row>
        <row r="808">
          <cell r="F808">
            <v>12.1</v>
          </cell>
          <cell r="H808" t="str">
            <v>R308</v>
          </cell>
          <cell r="I808" t="str">
            <v>C8.4</v>
          </cell>
          <cell r="S808">
            <v>0</v>
          </cell>
          <cell r="W808">
            <v>0</v>
          </cell>
        </row>
        <row r="809">
          <cell r="F809">
            <v>12.1</v>
          </cell>
          <cell r="H809" t="str">
            <v>R308</v>
          </cell>
          <cell r="I809" t="str">
            <v>C8.4</v>
          </cell>
          <cell r="S809">
            <v>0</v>
          </cell>
          <cell r="W809">
            <v>3713596375</v>
          </cell>
        </row>
        <row r="810">
          <cell r="F810">
            <v>12.1</v>
          </cell>
          <cell r="H810" t="str">
            <v>R308</v>
          </cell>
          <cell r="I810" t="str">
            <v>C8.4</v>
          </cell>
          <cell r="S810">
            <v>0</v>
          </cell>
          <cell r="W810">
            <v>0</v>
          </cell>
        </row>
        <row r="811">
          <cell r="S811">
            <v>0</v>
          </cell>
          <cell r="W811">
            <v>0</v>
          </cell>
        </row>
        <row r="812">
          <cell r="F812">
            <v>12.1</v>
          </cell>
          <cell r="H812" t="str">
            <v>R308</v>
          </cell>
          <cell r="I812" t="str">
            <v>C8.4</v>
          </cell>
          <cell r="S812">
            <v>422836300</v>
          </cell>
          <cell r="W812">
            <v>422836300</v>
          </cell>
        </row>
        <row r="813">
          <cell r="F813">
            <v>12.1</v>
          </cell>
          <cell r="H813" t="str">
            <v>R308</v>
          </cell>
          <cell r="I813" t="str">
            <v>C8.4</v>
          </cell>
          <cell r="S813">
            <v>0</v>
          </cell>
          <cell r="W813">
            <v>0</v>
          </cell>
        </row>
        <row r="814">
          <cell r="F814">
            <v>12.1</v>
          </cell>
          <cell r="H814" t="str">
            <v>R308</v>
          </cell>
          <cell r="I814" t="str">
            <v>C8.4</v>
          </cell>
          <cell r="S814">
            <v>0</v>
          </cell>
          <cell r="W814">
            <v>0</v>
          </cell>
        </row>
        <row r="815">
          <cell r="S815">
            <v>0</v>
          </cell>
          <cell r="W815">
            <v>0</v>
          </cell>
        </row>
        <row r="816">
          <cell r="F816">
            <v>12.1</v>
          </cell>
          <cell r="H816" t="str">
            <v>R308</v>
          </cell>
          <cell r="I816" t="str">
            <v>C8.4</v>
          </cell>
          <cell r="S816">
            <v>0</v>
          </cell>
          <cell r="W816">
            <v>0</v>
          </cell>
        </row>
        <row r="817">
          <cell r="F817">
            <v>12.1</v>
          </cell>
          <cell r="H817" t="str">
            <v>R308</v>
          </cell>
          <cell r="I817" t="str">
            <v>C8.4</v>
          </cell>
          <cell r="S817">
            <v>0</v>
          </cell>
          <cell r="W817">
            <v>0</v>
          </cell>
        </row>
        <row r="818">
          <cell r="F818">
            <v>12.1</v>
          </cell>
          <cell r="H818" t="str">
            <v>R308</v>
          </cell>
          <cell r="I818" t="str">
            <v>C8.4</v>
          </cell>
          <cell r="S818">
            <v>0</v>
          </cell>
          <cell r="W818">
            <v>0</v>
          </cell>
        </row>
        <row r="819">
          <cell r="S819">
            <v>0</v>
          </cell>
          <cell r="W819">
            <v>0</v>
          </cell>
        </row>
        <row r="820">
          <cell r="F820">
            <v>12.1</v>
          </cell>
          <cell r="H820" t="str">
            <v>R308</v>
          </cell>
          <cell r="I820" t="str">
            <v>C8.4</v>
          </cell>
          <cell r="S820">
            <v>60248600</v>
          </cell>
          <cell r="W820">
            <v>60248600</v>
          </cell>
        </row>
        <row r="821">
          <cell r="F821">
            <v>12.1</v>
          </cell>
          <cell r="H821" t="str">
            <v>R308</v>
          </cell>
          <cell r="I821" t="str">
            <v>C8.4</v>
          </cell>
          <cell r="S821">
            <v>0</v>
          </cell>
          <cell r="W821">
            <v>492687751</v>
          </cell>
        </row>
        <row r="822">
          <cell r="F822">
            <v>12.1</v>
          </cell>
          <cell r="H822" t="str">
            <v>R308</v>
          </cell>
          <cell r="I822" t="str">
            <v>C8.4</v>
          </cell>
          <cell r="S822">
            <v>0</v>
          </cell>
          <cell r="W822">
            <v>0</v>
          </cell>
        </row>
        <row r="823">
          <cell r="F823">
            <v>12.1</v>
          </cell>
          <cell r="H823" t="str">
            <v>R308</v>
          </cell>
          <cell r="I823" t="str">
            <v>C8.4</v>
          </cell>
          <cell r="S823">
            <v>0</v>
          </cell>
          <cell r="W823">
            <v>739200</v>
          </cell>
        </row>
        <row r="824">
          <cell r="S824">
            <v>0</v>
          </cell>
          <cell r="W824">
            <v>0</v>
          </cell>
        </row>
        <row r="825">
          <cell r="F825">
            <v>12.2</v>
          </cell>
          <cell r="H825" t="str">
            <v>R308</v>
          </cell>
          <cell r="I825" t="str">
            <v>C8.4</v>
          </cell>
          <cell r="S825">
            <v>3660609100</v>
          </cell>
          <cell r="W825">
            <v>3660609100</v>
          </cell>
        </row>
        <row r="826">
          <cell r="F826">
            <v>12.2</v>
          </cell>
          <cell r="H826" t="str">
            <v>R308</v>
          </cell>
          <cell r="I826" t="str">
            <v>C8.4</v>
          </cell>
          <cell r="S826">
            <v>0</v>
          </cell>
          <cell r="W826">
            <v>0</v>
          </cell>
        </row>
        <row r="827">
          <cell r="F827">
            <v>12.2</v>
          </cell>
          <cell r="H827" t="str">
            <v>R308</v>
          </cell>
          <cell r="I827" t="str">
            <v>C8.4</v>
          </cell>
          <cell r="S827">
            <v>0</v>
          </cell>
          <cell r="W827">
            <v>0</v>
          </cell>
        </row>
        <row r="828">
          <cell r="S828">
            <v>0</v>
          </cell>
          <cell r="W828">
            <v>0</v>
          </cell>
        </row>
        <row r="829">
          <cell r="F829">
            <v>12.2</v>
          </cell>
          <cell r="H829" t="str">
            <v>R308</v>
          </cell>
          <cell r="I829" t="str">
            <v>C8.4</v>
          </cell>
          <cell r="S829">
            <v>11458300</v>
          </cell>
          <cell r="W829">
            <v>11458300</v>
          </cell>
        </row>
        <row r="830">
          <cell r="F830">
            <v>12.2</v>
          </cell>
          <cell r="H830" t="str">
            <v>R308</v>
          </cell>
          <cell r="I830" t="str">
            <v>C8.4</v>
          </cell>
          <cell r="S830">
            <v>0</v>
          </cell>
          <cell r="W830">
            <v>81170680</v>
          </cell>
        </row>
        <row r="831">
          <cell r="F831">
            <v>12.2</v>
          </cell>
          <cell r="H831" t="str">
            <v>R308</v>
          </cell>
          <cell r="I831" t="str">
            <v>C8.4</v>
          </cell>
          <cell r="S831">
            <v>0</v>
          </cell>
          <cell r="W831">
            <v>2801654.28</v>
          </cell>
        </row>
        <row r="832">
          <cell r="F832">
            <v>12.2</v>
          </cell>
          <cell r="H832" t="str">
            <v>R308</v>
          </cell>
          <cell r="I832" t="str">
            <v>C8.4</v>
          </cell>
          <cell r="S832">
            <v>0</v>
          </cell>
          <cell r="W832">
            <v>440384</v>
          </cell>
        </row>
        <row r="833">
          <cell r="F833">
            <v>12.2</v>
          </cell>
          <cell r="H833" t="str">
            <v>R308</v>
          </cell>
          <cell r="I833" t="str">
            <v>C8.4</v>
          </cell>
          <cell r="S833">
            <v>0</v>
          </cell>
          <cell r="W833">
            <v>0</v>
          </cell>
        </row>
        <row r="834">
          <cell r="S834">
            <v>0</v>
          </cell>
          <cell r="W834">
            <v>0</v>
          </cell>
        </row>
        <row r="835">
          <cell r="F835">
            <v>12.3</v>
          </cell>
          <cell r="H835" t="str">
            <v>R308</v>
          </cell>
          <cell r="I835" t="str">
            <v>C8.4</v>
          </cell>
          <cell r="S835">
            <v>0</v>
          </cell>
          <cell r="W835">
            <v>0</v>
          </cell>
        </row>
        <row r="836">
          <cell r="F836">
            <v>12.3</v>
          </cell>
          <cell r="H836" t="str">
            <v>R308</v>
          </cell>
          <cell r="I836" t="str">
            <v>C8.4</v>
          </cell>
          <cell r="S836">
            <v>0</v>
          </cell>
          <cell r="W836">
            <v>0</v>
          </cell>
        </row>
        <row r="837">
          <cell r="S837">
            <v>0</v>
          </cell>
          <cell r="W837">
            <v>0</v>
          </cell>
        </row>
        <row r="838">
          <cell r="F838">
            <v>12.3</v>
          </cell>
          <cell r="H838" t="str">
            <v>R308</v>
          </cell>
          <cell r="I838" t="str">
            <v>C8.4</v>
          </cell>
          <cell r="S838">
            <v>0</v>
          </cell>
          <cell r="W838">
            <v>1065958542</v>
          </cell>
        </row>
        <row r="839">
          <cell r="F839">
            <v>12.3</v>
          </cell>
          <cell r="H839" t="str">
            <v>R308</v>
          </cell>
          <cell r="I839" t="str">
            <v>C8.4</v>
          </cell>
          <cell r="S839">
            <v>0</v>
          </cell>
          <cell r="W839">
            <v>422606950</v>
          </cell>
        </row>
        <row r="840">
          <cell r="F840">
            <v>12.3</v>
          </cell>
          <cell r="H840" t="str">
            <v>R308</v>
          </cell>
          <cell r="I840" t="str">
            <v>C8.4</v>
          </cell>
          <cell r="S840">
            <v>0</v>
          </cell>
          <cell r="W840">
            <v>5356402.24</v>
          </cell>
        </row>
        <row r="841">
          <cell r="F841">
            <v>12.3</v>
          </cell>
          <cell r="H841" t="str">
            <v>R308</v>
          </cell>
          <cell r="I841" t="str">
            <v>C8.4</v>
          </cell>
          <cell r="S841">
            <v>0</v>
          </cell>
          <cell r="W841">
            <v>223776</v>
          </cell>
        </row>
        <row r="843">
          <cell r="F843">
            <v>12.2</v>
          </cell>
          <cell r="H843" t="str">
            <v>R308</v>
          </cell>
          <cell r="I843" t="str">
            <v>C8.4</v>
          </cell>
          <cell r="S843">
            <v>0</v>
          </cell>
          <cell r="W843">
            <v>0</v>
          </cell>
        </row>
        <row r="844">
          <cell r="F844">
            <v>12.2</v>
          </cell>
          <cell r="H844" t="str">
            <v>R308</v>
          </cell>
          <cell r="I844" t="str">
            <v>C8.4</v>
          </cell>
          <cell r="S844">
            <v>0</v>
          </cell>
          <cell r="W844">
            <v>0</v>
          </cell>
        </row>
        <row r="845">
          <cell r="F845">
            <v>12.2</v>
          </cell>
          <cell r="H845" t="str">
            <v>R308</v>
          </cell>
          <cell r="I845" t="str">
            <v>C8.4</v>
          </cell>
          <cell r="S845">
            <v>0</v>
          </cell>
          <cell r="W845">
            <v>0</v>
          </cell>
        </row>
        <row r="846">
          <cell r="S846">
            <v>0</v>
          </cell>
          <cell r="W846">
            <v>0</v>
          </cell>
        </row>
        <row r="847">
          <cell r="F847">
            <v>12.2</v>
          </cell>
          <cell r="H847" t="str">
            <v>R308</v>
          </cell>
          <cell r="I847" t="str">
            <v>C8.4</v>
          </cell>
          <cell r="S847">
            <v>0</v>
          </cell>
          <cell r="W847">
            <v>0</v>
          </cell>
        </row>
        <row r="848">
          <cell r="F848">
            <v>12.2</v>
          </cell>
          <cell r="H848" t="str">
            <v>R308</v>
          </cell>
          <cell r="I848" t="str">
            <v>C8.4</v>
          </cell>
          <cell r="S848">
            <v>0</v>
          </cell>
          <cell r="W848">
            <v>0</v>
          </cell>
        </row>
        <row r="849">
          <cell r="F849">
            <v>12.2</v>
          </cell>
          <cell r="H849" t="str">
            <v>R308</v>
          </cell>
          <cell r="I849" t="str">
            <v>C8.4</v>
          </cell>
          <cell r="S849">
            <v>0</v>
          </cell>
          <cell r="W849">
            <v>0</v>
          </cell>
        </row>
        <row r="850">
          <cell r="F850">
            <v>12.2</v>
          </cell>
          <cell r="H850" t="str">
            <v>R308</v>
          </cell>
          <cell r="I850" t="str">
            <v>C8.4</v>
          </cell>
          <cell r="S850">
            <v>0</v>
          </cell>
          <cell r="W850">
            <v>0</v>
          </cell>
        </row>
        <row r="851">
          <cell r="S851">
            <v>0</v>
          </cell>
          <cell r="W851">
            <v>0</v>
          </cell>
        </row>
        <row r="852">
          <cell r="F852">
            <v>12.3</v>
          </cell>
          <cell r="H852" t="str">
            <v>R308</v>
          </cell>
          <cell r="I852" t="str">
            <v>C8.4</v>
          </cell>
          <cell r="S852">
            <v>0</v>
          </cell>
          <cell r="W852">
            <v>0</v>
          </cell>
        </row>
        <row r="853">
          <cell r="F853">
            <v>12.3</v>
          </cell>
          <cell r="H853" t="str">
            <v>R308</v>
          </cell>
          <cell r="I853" t="str">
            <v>C8.4</v>
          </cell>
          <cell r="S853">
            <v>101621586</v>
          </cell>
          <cell r="W853">
            <v>101621586</v>
          </cell>
        </row>
        <row r="854">
          <cell r="F854">
            <v>12.3</v>
          </cell>
          <cell r="H854" t="str">
            <v>R308</v>
          </cell>
          <cell r="I854" t="str">
            <v>C8.4</v>
          </cell>
          <cell r="S854">
            <v>4938300</v>
          </cell>
          <cell r="W854">
            <v>4938300</v>
          </cell>
        </row>
        <row r="855">
          <cell r="F855">
            <v>12.3</v>
          </cell>
          <cell r="H855" t="str">
            <v>R308</v>
          </cell>
          <cell r="I855" t="str">
            <v>C8.4</v>
          </cell>
          <cell r="S855">
            <v>113300</v>
          </cell>
          <cell r="W855">
            <v>113300</v>
          </cell>
        </row>
        <row r="856">
          <cell r="F856">
            <v>12.3</v>
          </cell>
          <cell r="H856" t="str">
            <v>R308</v>
          </cell>
          <cell r="I856" t="str">
            <v>C8.4</v>
          </cell>
          <cell r="S856">
            <v>5879200</v>
          </cell>
          <cell r="W856">
            <v>5879200</v>
          </cell>
        </row>
        <row r="857">
          <cell r="S857">
            <v>0</v>
          </cell>
          <cell r="W857">
            <v>0</v>
          </cell>
        </row>
        <row r="858">
          <cell r="F858">
            <v>12.3</v>
          </cell>
          <cell r="H858" t="str">
            <v>R308</v>
          </cell>
          <cell r="I858" t="str">
            <v>C8.4</v>
          </cell>
          <cell r="S858">
            <v>0</v>
          </cell>
          <cell r="W858">
            <v>0</v>
          </cell>
        </row>
        <row r="859">
          <cell r="F859">
            <v>12.3</v>
          </cell>
          <cell r="H859" t="str">
            <v>R308</v>
          </cell>
          <cell r="I859" t="str">
            <v>C8.4</v>
          </cell>
          <cell r="S859">
            <v>0</v>
          </cell>
          <cell r="W859">
            <v>734462227.5</v>
          </cell>
        </row>
        <row r="860">
          <cell r="F860">
            <v>12.3</v>
          </cell>
          <cell r="H860" t="str">
            <v>R308</v>
          </cell>
          <cell r="I860" t="str">
            <v>C8.4</v>
          </cell>
          <cell r="S860">
            <v>0</v>
          </cell>
          <cell r="W860">
            <v>1219315152</v>
          </cell>
        </row>
        <row r="861">
          <cell r="F861">
            <v>12.3</v>
          </cell>
          <cell r="H861" t="str">
            <v>R308</v>
          </cell>
          <cell r="I861" t="str">
            <v>C8.4</v>
          </cell>
          <cell r="S861">
            <v>0</v>
          </cell>
          <cell r="W861">
            <v>155706672</v>
          </cell>
        </row>
        <row r="862">
          <cell r="F862">
            <v>12.3</v>
          </cell>
          <cell r="H862" t="str">
            <v>R308</v>
          </cell>
          <cell r="I862" t="str">
            <v>C8.4</v>
          </cell>
          <cell r="S862">
            <v>0</v>
          </cell>
          <cell r="W862">
            <v>45833222.5</v>
          </cell>
        </row>
        <row r="863">
          <cell r="F863">
            <v>12.3</v>
          </cell>
          <cell r="H863" t="str">
            <v>R308</v>
          </cell>
          <cell r="I863" t="str">
            <v>C8.4</v>
          </cell>
          <cell r="S863">
            <v>0</v>
          </cell>
          <cell r="W863">
            <v>982742783.5</v>
          </cell>
        </row>
        <row r="864">
          <cell r="F864">
            <v>12.3</v>
          </cell>
          <cell r="H864" t="str">
            <v>R308</v>
          </cell>
          <cell r="I864" t="str">
            <v>C8.4</v>
          </cell>
          <cell r="S864">
            <v>0</v>
          </cell>
          <cell r="W864">
            <v>0</v>
          </cell>
        </row>
        <row r="865">
          <cell r="F865">
            <v>12.3</v>
          </cell>
          <cell r="H865" t="str">
            <v>R308</v>
          </cell>
          <cell r="I865" t="str">
            <v>C8.4</v>
          </cell>
          <cell r="S865">
            <v>0</v>
          </cell>
          <cell r="W865">
            <v>0</v>
          </cell>
        </row>
        <row r="866">
          <cell r="S866">
            <v>0</v>
          </cell>
          <cell r="W866">
            <v>0</v>
          </cell>
        </row>
        <row r="867">
          <cell r="F867">
            <v>12.3</v>
          </cell>
          <cell r="H867" t="str">
            <v>R308</v>
          </cell>
          <cell r="I867" t="str">
            <v>C8.4</v>
          </cell>
          <cell r="S867">
            <v>0</v>
          </cell>
          <cell r="W867">
            <v>0</v>
          </cell>
        </row>
        <row r="868">
          <cell r="F868">
            <v>12.3</v>
          </cell>
          <cell r="H868" t="str">
            <v>R308</v>
          </cell>
          <cell r="I868" t="str">
            <v>C8.4</v>
          </cell>
          <cell r="S868">
            <v>0</v>
          </cell>
          <cell r="W868">
            <v>19361552</v>
          </cell>
        </row>
        <row r="869">
          <cell r="F869">
            <v>12.3</v>
          </cell>
          <cell r="H869" t="str">
            <v>R308</v>
          </cell>
          <cell r="I869" t="str">
            <v>C8.4</v>
          </cell>
          <cell r="S869">
            <v>0</v>
          </cell>
          <cell r="W869">
            <v>0</v>
          </cell>
        </row>
        <row r="870">
          <cell r="F870">
            <v>12.3</v>
          </cell>
          <cell r="H870" t="str">
            <v>R308</v>
          </cell>
          <cell r="I870" t="str">
            <v>C8.4</v>
          </cell>
          <cell r="S870">
            <v>0</v>
          </cell>
          <cell r="W870">
            <v>0</v>
          </cell>
        </row>
        <row r="871">
          <cell r="F871">
            <v>12.3</v>
          </cell>
          <cell r="H871" t="str">
            <v>R308</v>
          </cell>
          <cell r="I871" t="str">
            <v>C8.4</v>
          </cell>
          <cell r="S871">
            <v>0</v>
          </cell>
          <cell r="W871">
            <v>16688</v>
          </cell>
        </row>
        <row r="872">
          <cell r="F872">
            <v>12.3</v>
          </cell>
          <cell r="H872" t="str">
            <v>R308</v>
          </cell>
          <cell r="I872" t="str">
            <v>C8.4</v>
          </cell>
          <cell r="S872">
            <v>0</v>
          </cell>
          <cell r="W872">
            <v>0</v>
          </cell>
        </row>
        <row r="873">
          <cell r="F873">
            <v>12.3</v>
          </cell>
          <cell r="H873" t="str">
            <v>R308</v>
          </cell>
          <cell r="I873" t="str">
            <v>C8.4</v>
          </cell>
          <cell r="S873">
            <v>0</v>
          </cell>
          <cell r="W873">
            <v>0</v>
          </cell>
        </row>
        <row r="874">
          <cell r="F874">
            <v>12.3</v>
          </cell>
          <cell r="H874" t="str">
            <v>R308</v>
          </cell>
          <cell r="I874" t="str">
            <v>C8.4</v>
          </cell>
          <cell r="S874">
            <v>0</v>
          </cell>
          <cell r="W874">
            <v>0</v>
          </cell>
        </row>
        <row r="875">
          <cell r="F875">
            <v>12.3</v>
          </cell>
          <cell r="H875" t="str">
            <v>R308</v>
          </cell>
          <cell r="I875" t="str">
            <v>C8.4</v>
          </cell>
          <cell r="S875">
            <v>0</v>
          </cell>
          <cell r="W875">
            <v>0</v>
          </cell>
        </row>
        <row r="876">
          <cell r="S876">
            <v>0</v>
          </cell>
          <cell r="W876">
            <v>0</v>
          </cell>
        </row>
        <row r="877">
          <cell r="F877">
            <v>12.3</v>
          </cell>
          <cell r="H877" t="str">
            <v>R308</v>
          </cell>
          <cell r="I877" t="str">
            <v>C8.4</v>
          </cell>
          <cell r="S877">
            <v>0</v>
          </cell>
          <cell r="W877">
            <v>0</v>
          </cell>
        </row>
        <row r="878">
          <cell r="F878">
            <v>12.3</v>
          </cell>
          <cell r="H878" t="str">
            <v>R308</v>
          </cell>
          <cell r="I878" t="str">
            <v>C8.4</v>
          </cell>
          <cell r="S878">
            <v>0</v>
          </cell>
          <cell r="W878">
            <v>0</v>
          </cell>
        </row>
        <row r="879">
          <cell r="F879">
            <v>12.3</v>
          </cell>
          <cell r="H879" t="str">
            <v>R308</v>
          </cell>
          <cell r="I879" t="str">
            <v>C8.4</v>
          </cell>
          <cell r="S879">
            <v>0</v>
          </cell>
          <cell r="W879">
            <v>0</v>
          </cell>
        </row>
        <row r="880">
          <cell r="S880">
            <v>0</v>
          </cell>
          <cell r="W880">
            <v>0</v>
          </cell>
        </row>
        <row r="881">
          <cell r="F881">
            <v>12.3</v>
          </cell>
          <cell r="H881" t="str">
            <v>R308</v>
          </cell>
          <cell r="I881" t="str">
            <v>C8.4</v>
          </cell>
          <cell r="S881">
            <v>0</v>
          </cell>
          <cell r="W881">
            <v>0</v>
          </cell>
        </row>
        <row r="882">
          <cell r="F882">
            <v>12.3</v>
          </cell>
          <cell r="H882" t="str">
            <v>R308</v>
          </cell>
          <cell r="I882" t="str">
            <v>C8.4</v>
          </cell>
          <cell r="S882">
            <v>0</v>
          </cell>
          <cell r="W882">
            <v>0</v>
          </cell>
        </row>
        <row r="883">
          <cell r="F883">
            <v>12.3</v>
          </cell>
          <cell r="H883" t="str">
            <v>R308</v>
          </cell>
          <cell r="I883" t="str">
            <v>C8.4</v>
          </cell>
          <cell r="S883">
            <v>0</v>
          </cell>
          <cell r="W883">
            <v>0</v>
          </cell>
        </row>
        <row r="884">
          <cell r="S884">
            <v>0</v>
          </cell>
          <cell r="W884">
            <v>0</v>
          </cell>
        </row>
        <row r="885">
          <cell r="F885">
            <v>12.3</v>
          </cell>
          <cell r="H885" t="str">
            <v>R308</v>
          </cell>
          <cell r="I885" t="str">
            <v>C8.4</v>
          </cell>
          <cell r="S885">
            <v>0</v>
          </cell>
          <cell r="W885">
            <v>0</v>
          </cell>
        </row>
        <row r="886">
          <cell r="F886">
            <v>12.3</v>
          </cell>
          <cell r="H886" t="str">
            <v>R308</v>
          </cell>
          <cell r="I886" t="str">
            <v>C8.4</v>
          </cell>
          <cell r="S886">
            <v>1649200</v>
          </cell>
          <cell r="W886">
            <v>1649200</v>
          </cell>
        </row>
        <row r="887">
          <cell r="F887">
            <v>12.3</v>
          </cell>
          <cell r="H887" t="str">
            <v>R308</v>
          </cell>
          <cell r="I887" t="str">
            <v>C8.4</v>
          </cell>
          <cell r="S887">
            <v>25500</v>
          </cell>
          <cell r="W887">
            <v>25500</v>
          </cell>
        </row>
        <row r="888">
          <cell r="F888">
            <v>12.3</v>
          </cell>
          <cell r="H888" t="str">
            <v>R308</v>
          </cell>
          <cell r="I888" t="str">
            <v>C8.4</v>
          </cell>
          <cell r="S888">
            <v>3182600</v>
          </cell>
          <cell r="W888">
            <v>3182600</v>
          </cell>
        </row>
        <row r="889">
          <cell r="F889">
            <v>12.3</v>
          </cell>
          <cell r="H889" t="str">
            <v>R308</v>
          </cell>
          <cell r="I889" t="str">
            <v>C8.4</v>
          </cell>
          <cell r="S889">
            <v>0</v>
          </cell>
          <cell r="W889">
            <v>0</v>
          </cell>
        </row>
        <row r="890">
          <cell r="S890">
            <v>0</v>
          </cell>
          <cell r="W890">
            <v>0</v>
          </cell>
        </row>
        <row r="891">
          <cell r="F891">
            <v>12.3</v>
          </cell>
          <cell r="H891" t="str">
            <v>R308</v>
          </cell>
          <cell r="I891" t="str">
            <v>C8.4</v>
          </cell>
          <cell r="S891">
            <v>0</v>
          </cell>
          <cell r="W891">
            <v>0</v>
          </cell>
        </row>
        <row r="892">
          <cell r="F892">
            <v>12.3</v>
          </cell>
          <cell r="H892" t="str">
            <v>R308</v>
          </cell>
          <cell r="I892" t="str">
            <v>C8.4</v>
          </cell>
          <cell r="S892">
            <v>0</v>
          </cell>
          <cell r="W892">
            <v>10672596.5</v>
          </cell>
        </row>
        <row r="893">
          <cell r="F893">
            <v>12.3</v>
          </cell>
          <cell r="H893" t="str">
            <v>R308</v>
          </cell>
          <cell r="I893" t="str">
            <v>C8.4</v>
          </cell>
          <cell r="S893">
            <v>0</v>
          </cell>
          <cell r="W893">
            <v>133754.5</v>
          </cell>
        </row>
        <row r="894">
          <cell r="F894">
            <v>12.3</v>
          </cell>
          <cell r="H894" t="str">
            <v>R308</v>
          </cell>
          <cell r="I894" t="str">
            <v>C8.4</v>
          </cell>
          <cell r="S894">
            <v>0</v>
          </cell>
          <cell r="W894">
            <v>35512421.5</v>
          </cell>
        </row>
        <row r="895">
          <cell r="F895">
            <v>12.3</v>
          </cell>
          <cell r="H895" t="str">
            <v>R308</v>
          </cell>
          <cell r="I895" t="str">
            <v>C8.4</v>
          </cell>
          <cell r="S895">
            <v>0</v>
          </cell>
          <cell r="W895">
            <v>0</v>
          </cell>
        </row>
        <row r="896">
          <cell r="F896">
            <v>12.3</v>
          </cell>
          <cell r="H896" t="str">
            <v>R308</v>
          </cell>
          <cell r="I896" t="str">
            <v>C8.4</v>
          </cell>
          <cell r="S896">
            <v>0</v>
          </cell>
          <cell r="W896">
            <v>0</v>
          </cell>
        </row>
        <row r="897">
          <cell r="S897">
            <v>0</v>
          </cell>
          <cell r="W897">
            <v>0</v>
          </cell>
        </row>
        <row r="898">
          <cell r="F898">
            <v>12.3</v>
          </cell>
          <cell r="H898" t="str">
            <v>R308</v>
          </cell>
          <cell r="I898" t="str">
            <v>C8.4</v>
          </cell>
          <cell r="S898">
            <v>0</v>
          </cell>
          <cell r="W898">
            <v>0</v>
          </cell>
        </row>
        <row r="899">
          <cell r="F899">
            <v>12.3</v>
          </cell>
          <cell r="H899" t="str">
            <v>R308</v>
          </cell>
          <cell r="I899" t="str">
            <v>C8.4</v>
          </cell>
          <cell r="S899">
            <v>0</v>
          </cell>
          <cell r="W899">
            <v>627984</v>
          </cell>
        </row>
        <row r="900">
          <cell r="F900">
            <v>12.3</v>
          </cell>
          <cell r="H900" t="str">
            <v>R308</v>
          </cell>
          <cell r="I900" t="str">
            <v>C8.4</v>
          </cell>
          <cell r="S900">
            <v>0</v>
          </cell>
          <cell r="W900">
            <v>3808</v>
          </cell>
        </row>
        <row r="901">
          <cell r="F901">
            <v>12.3</v>
          </cell>
          <cell r="H901" t="str">
            <v>R308</v>
          </cell>
          <cell r="I901" t="str">
            <v>C8.4</v>
          </cell>
          <cell r="S901">
            <v>0</v>
          </cell>
          <cell r="W901">
            <v>704256</v>
          </cell>
        </row>
        <row r="902">
          <cell r="F902">
            <v>12.3</v>
          </cell>
          <cell r="H902" t="str">
            <v>R308</v>
          </cell>
          <cell r="I902" t="str">
            <v>C8.4</v>
          </cell>
          <cell r="S902">
            <v>0</v>
          </cell>
          <cell r="W902">
            <v>0</v>
          </cell>
        </row>
        <row r="903">
          <cell r="S903">
            <v>0</v>
          </cell>
          <cell r="W903">
            <v>0</v>
          </cell>
        </row>
        <row r="904">
          <cell r="F904">
            <v>12.3</v>
          </cell>
          <cell r="H904" t="str">
            <v>R308</v>
          </cell>
          <cell r="I904" t="str">
            <v>C8.4</v>
          </cell>
          <cell r="S904">
            <v>9389712.8000000007</v>
          </cell>
          <cell r="W904">
            <v>9389712.8000000007</v>
          </cell>
        </row>
        <row r="905">
          <cell r="F905">
            <v>12.3</v>
          </cell>
          <cell r="H905" t="str">
            <v>R308</v>
          </cell>
          <cell r="I905" t="str">
            <v>C8.4</v>
          </cell>
          <cell r="S905">
            <v>0</v>
          </cell>
          <cell r="W905">
            <v>0</v>
          </cell>
        </row>
        <row r="906">
          <cell r="F906">
            <v>12.3</v>
          </cell>
          <cell r="H906" t="str">
            <v>R308</v>
          </cell>
          <cell r="I906" t="str">
            <v>C8.4</v>
          </cell>
          <cell r="S906">
            <v>0</v>
          </cell>
          <cell r="W906">
            <v>25367041</v>
          </cell>
        </row>
        <row r="907">
          <cell r="F907">
            <v>12.3</v>
          </cell>
          <cell r="H907" t="str">
            <v>R308</v>
          </cell>
          <cell r="I907" t="str">
            <v>C8.4</v>
          </cell>
          <cell r="S907">
            <v>0</v>
          </cell>
          <cell r="W907">
            <v>0</v>
          </cell>
        </row>
        <row r="908">
          <cell r="F908">
            <v>12.3</v>
          </cell>
          <cell r="H908" t="str">
            <v>R308</v>
          </cell>
          <cell r="I908" t="str">
            <v>C8.4</v>
          </cell>
          <cell r="S908">
            <v>0</v>
          </cell>
          <cell r="W908">
            <v>4298183.68</v>
          </cell>
        </row>
        <row r="909">
          <cell r="S909">
            <v>0</v>
          </cell>
          <cell r="W909">
            <v>0</v>
          </cell>
        </row>
        <row r="910">
          <cell r="F910">
            <v>12.3</v>
          </cell>
          <cell r="H910" t="str">
            <v>R308</v>
          </cell>
          <cell r="I910" t="str">
            <v>C8.4</v>
          </cell>
          <cell r="S910">
            <v>0</v>
          </cell>
          <cell r="W910">
            <v>0</v>
          </cell>
        </row>
        <row r="911">
          <cell r="F911">
            <v>12.3</v>
          </cell>
          <cell r="H911" t="str">
            <v>R308</v>
          </cell>
          <cell r="I911" t="str">
            <v>C8.4</v>
          </cell>
          <cell r="S911">
            <v>0</v>
          </cell>
          <cell r="W911">
            <v>7987434740.5</v>
          </cell>
        </row>
        <row r="912">
          <cell r="F912">
            <v>12.3</v>
          </cell>
          <cell r="H912" t="str">
            <v>R308</v>
          </cell>
          <cell r="I912" t="str">
            <v>C8.4</v>
          </cell>
          <cell r="S912">
            <v>0</v>
          </cell>
          <cell r="W912">
            <v>0</v>
          </cell>
        </row>
        <row r="913">
          <cell r="F913">
            <v>12.3</v>
          </cell>
          <cell r="H913" t="str">
            <v>R308</v>
          </cell>
          <cell r="I913" t="str">
            <v>C8.4</v>
          </cell>
          <cell r="S913">
            <v>0</v>
          </cell>
          <cell r="W913">
            <v>0</v>
          </cell>
        </row>
        <row r="914">
          <cell r="S914">
            <v>0</v>
          </cell>
          <cell r="W914">
            <v>0</v>
          </cell>
        </row>
        <row r="915">
          <cell r="F915">
            <v>12.3</v>
          </cell>
          <cell r="H915" t="str">
            <v>R308</v>
          </cell>
          <cell r="I915" t="str">
            <v>C8.4</v>
          </cell>
          <cell r="S915">
            <v>8000</v>
          </cell>
          <cell r="W915">
            <v>8000</v>
          </cell>
        </row>
        <row r="916">
          <cell r="F916">
            <v>12.3</v>
          </cell>
          <cell r="H916" t="str">
            <v>R308</v>
          </cell>
          <cell r="I916" t="str">
            <v>C8.4</v>
          </cell>
          <cell r="S916">
            <v>0</v>
          </cell>
          <cell r="W916">
            <v>0</v>
          </cell>
        </row>
        <row r="917">
          <cell r="F917">
            <v>12.3</v>
          </cell>
          <cell r="H917" t="str">
            <v>R308</v>
          </cell>
          <cell r="I917" t="str">
            <v>C8.4</v>
          </cell>
          <cell r="S917">
            <v>-84557950</v>
          </cell>
          <cell r="W917">
            <v>-84557950</v>
          </cell>
        </row>
        <row r="918">
          <cell r="S918">
            <v>0</v>
          </cell>
          <cell r="W918">
            <v>0</v>
          </cell>
        </row>
        <row r="919">
          <cell r="F919">
            <v>12.3</v>
          </cell>
          <cell r="H919" t="str">
            <v>R308</v>
          </cell>
          <cell r="I919" t="str">
            <v>C8.4</v>
          </cell>
          <cell r="S919">
            <v>0</v>
          </cell>
          <cell r="W919">
            <v>140953173</v>
          </cell>
        </row>
        <row r="920">
          <cell r="F920">
            <v>12.3</v>
          </cell>
          <cell r="H920" t="str">
            <v>R308</v>
          </cell>
          <cell r="I920" t="str">
            <v>C8.4</v>
          </cell>
          <cell r="S920">
            <v>0</v>
          </cell>
          <cell r="W920">
            <v>0</v>
          </cell>
        </row>
        <row r="921">
          <cell r="F921">
            <v>12.3</v>
          </cell>
          <cell r="H921" t="str">
            <v>R308</v>
          </cell>
          <cell r="I921" t="str">
            <v>C8.4</v>
          </cell>
          <cell r="S921">
            <v>0</v>
          </cell>
          <cell r="W921">
            <v>757727791.5</v>
          </cell>
        </row>
        <row r="922">
          <cell r="F922">
            <v>12.3</v>
          </cell>
          <cell r="H922" t="str">
            <v>R308</v>
          </cell>
          <cell r="I922" t="str">
            <v>C8.4</v>
          </cell>
          <cell r="S922">
            <v>0</v>
          </cell>
          <cell r="W922">
            <v>0</v>
          </cell>
        </row>
        <row r="923">
          <cell r="S923">
            <v>0</v>
          </cell>
          <cell r="W923">
            <v>0</v>
          </cell>
        </row>
        <row r="924">
          <cell r="F924">
            <v>12.3</v>
          </cell>
          <cell r="H924" t="str">
            <v>R308</v>
          </cell>
          <cell r="I924" t="str">
            <v>C8.4</v>
          </cell>
          <cell r="S924">
            <v>0</v>
          </cell>
          <cell r="W924">
            <v>0</v>
          </cell>
        </row>
        <row r="925">
          <cell r="F925">
            <v>12.3</v>
          </cell>
          <cell r="H925" t="str">
            <v>R308</v>
          </cell>
          <cell r="I925" t="str">
            <v>C8.4</v>
          </cell>
          <cell r="S925">
            <v>0</v>
          </cell>
          <cell r="W925">
            <v>0</v>
          </cell>
        </row>
        <row r="926">
          <cell r="F926">
            <v>12.3</v>
          </cell>
          <cell r="H926" t="str">
            <v>R308</v>
          </cell>
          <cell r="I926" t="str">
            <v>C8.4</v>
          </cell>
          <cell r="S926">
            <v>0</v>
          </cell>
          <cell r="W926">
            <v>-5278448</v>
          </cell>
        </row>
        <row r="927">
          <cell r="S927">
            <v>0</v>
          </cell>
          <cell r="W927">
            <v>0</v>
          </cell>
        </row>
        <row r="928">
          <cell r="F928">
            <v>12.3</v>
          </cell>
          <cell r="H928" t="str">
            <v>R308</v>
          </cell>
          <cell r="I928" t="str">
            <v>C8.4</v>
          </cell>
          <cell r="S928">
            <v>5813122.7699999996</v>
          </cell>
          <cell r="W928">
            <v>5813122.7699999996</v>
          </cell>
        </row>
        <row r="929">
          <cell r="F929">
            <v>12.3</v>
          </cell>
          <cell r="H929" t="str">
            <v>R308</v>
          </cell>
          <cell r="I929" t="str">
            <v>C8.4</v>
          </cell>
          <cell r="S929">
            <v>513900</v>
          </cell>
          <cell r="W929">
            <v>513900</v>
          </cell>
        </row>
        <row r="930">
          <cell r="F930">
            <v>12.3</v>
          </cell>
          <cell r="H930" t="str">
            <v>R308</v>
          </cell>
          <cell r="I930" t="str">
            <v>C8.4</v>
          </cell>
          <cell r="S930">
            <v>0</v>
          </cell>
          <cell r="W930">
            <v>332</v>
          </cell>
        </row>
        <row r="931">
          <cell r="F931">
            <v>12.3</v>
          </cell>
          <cell r="H931" t="str">
            <v>R308</v>
          </cell>
          <cell r="I931" t="str">
            <v>C8.4</v>
          </cell>
          <cell r="S931">
            <v>0</v>
          </cell>
          <cell r="W931">
            <v>7254200</v>
          </cell>
        </row>
        <row r="932">
          <cell r="F932">
            <v>12.3</v>
          </cell>
          <cell r="H932" t="str">
            <v>R308</v>
          </cell>
          <cell r="I932" t="str">
            <v>C8.4</v>
          </cell>
          <cell r="S932">
            <v>0</v>
          </cell>
          <cell r="W932">
            <v>0</v>
          </cell>
        </row>
        <row r="933">
          <cell r="F933">
            <v>12.3</v>
          </cell>
          <cell r="H933" t="str">
            <v>R308</v>
          </cell>
          <cell r="I933" t="str">
            <v>C8.4</v>
          </cell>
          <cell r="S933">
            <v>0</v>
          </cell>
          <cell r="W933">
            <v>11325.44</v>
          </cell>
        </row>
        <row r="935">
          <cell r="S935">
            <v>72493280037.020004</v>
          </cell>
          <cell r="W935">
            <v>615542640806.11011</v>
          </cell>
        </row>
        <row r="937">
          <cell r="S937">
            <v>0</v>
          </cell>
          <cell r="W937">
            <v>0</v>
          </cell>
        </row>
        <row r="938">
          <cell r="S938">
            <v>0</v>
          </cell>
          <cell r="W938">
            <v>0</v>
          </cell>
        </row>
        <row r="939">
          <cell r="S939">
            <v>0</v>
          </cell>
          <cell r="W939">
            <v>0</v>
          </cell>
        </row>
        <row r="940">
          <cell r="S940">
            <v>0</v>
          </cell>
          <cell r="W940">
            <v>0</v>
          </cell>
        </row>
        <row r="941">
          <cell r="F941" t="str">
            <v>14.1.1</v>
          </cell>
          <cell r="H941" t="str">
            <v>R312</v>
          </cell>
          <cell r="I941" t="str">
            <v>C10.1</v>
          </cell>
          <cell r="S941">
            <v>0</v>
          </cell>
          <cell r="W941">
            <v>0</v>
          </cell>
        </row>
        <row r="942">
          <cell r="F942" t="str">
            <v>14.1.1</v>
          </cell>
          <cell r="H942" t="str">
            <v>R312</v>
          </cell>
          <cell r="I942" t="str">
            <v>C10.1</v>
          </cell>
          <cell r="S942">
            <v>0</v>
          </cell>
          <cell r="W942">
            <v>0</v>
          </cell>
        </row>
        <row r="943">
          <cell r="F943" t="str">
            <v>14.1.1</v>
          </cell>
          <cell r="H943" t="str">
            <v>R312</v>
          </cell>
          <cell r="I943" t="str">
            <v>C10.1</v>
          </cell>
          <cell r="S943">
            <v>0</v>
          </cell>
          <cell r="W943">
            <v>0</v>
          </cell>
        </row>
        <row r="944">
          <cell r="S944">
            <v>0</v>
          </cell>
          <cell r="W944">
            <v>0</v>
          </cell>
        </row>
        <row r="945">
          <cell r="F945" t="str">
            <v>14.1.1</v>
          </cell>
          <cell r="H945" t="str">
            <v>R312</v>
          </cell>
          <cell r="I945" t="str">
            <v>C10.1</v>
          </cell>
          <cell r="S945">
            <v>0</v>
          </cell>
          <cell r="W945">
            <v>0</v>
          </cell>
        </row>
        <row r="946">
          <cell r="F946" t="str">
            <v>14.1.1</v>
          </cell>
          <cell r="H946" t="str">
            <v>R312</v>
          </cell>
          <cell r="I946" t="str">
            <v>C10.1</v>
          </cell>
          <cell r="S946">
            <v>0</v>
          </cell>
          <cell r="W946">
            <v>53950000000</v>
          </cell>
        </row>
        <row r="947">
          <cell r="F947" t="str">
            <v>14.1.1</v>
          </cell>
          <cell r="H947" t="str">
            <v>R312</v>
          </cell>
          <cell r="I947" t="str">
            <v>C10.1</v>
          </cell>
          <cell r="S947">
            <v>0</v>
          </cell>
          <cell r="W947">
            <v>0</v>
          </cell>
        </row>
        <row r="948">
          <cell r="S948">
            <v>0</v>
          </cell>
          <cell r="W948">
            <v>0</v>
          </cell>
        </row>
        <row r="949">
          <cell r="F949">
            <v>14.5</v>
          </cell>
          <cell r="H949" t="str">
            <v>R315</v>
          </cell>
          <cell r="I949" t="str">
            <v>C10.4</v>
          </cell>
          <cell r="S949">
            <v>0</v>
          </cell>
          <cell r="W949">
            <v>0</v>
          </cell>
        </row>
        <row r="950">
          <cell r="F950">
            <v>14.5</v>
          </cell>
          <cell r="H950" t="str">
            <v>R315</v>
          </cell>
          <cell r="I950" t="str">
            <v>C10.4</v>
          </cell>
          <cell r="S950">
            <v>0</v>
          </cell>
          <cell r="W950">
            <v>0</v>
          </cell>
        </row>
        <row r="951">
          <cell r="F951">
            <v>14.5</v>
          </cell>
          <cell r="H951" t="str">
            <v>R315</v>
          </cell>
          <cell r="I951" t="str">
            <v>C10.4</v>
          </cell>
          <cell r="S951">
            <v>0</v>
          </cell>
          <cell r="W951">
            <v>0</v>
          </cell>
        </row>
        <row r="952">
          <cell r="S952">
            <v>0</v>
          </cell>
          <cell r="W952">
            <v>0</v>
          </cell>
        </row>
        <row r="953">
          <cell r="F953">
            <v>14.3</v>
          </cell>
          <cell r="H953" t="str">
            <v>R308</v>
          </cell>
          <cell r="I953" t="str">
            <v>C10.5</v>
          </cell>
          <cell r="S953">
            <v>27621849691</v>
          </cell>
          <cell r="W953">
            <v>27621849691</v>
          </cell>
        </row>
        <row r="954">
          <cell r="F954">
            <v>14.3</v>
          </cell>
          <cell r="H954" t="str">
            <v>R308</v>
          </cell>
          <cell r="I954" t="str">
            <v>C10.5</v>
          </cell>
          <cell r="S954">
            <v>0</v>
          </cell>
          <cell r="W954">
            <v>5137595420</v>
          </cell>
        </row>
        <row r="955">
          <cell r="F955">
            <v>14.3</v>
          </cell>
          <cell r="H955" t="str">
            <v>R308</v>
          </cell>
          <cell r="I955" t="str">
            <v>C10.5</v>
          </cell>
          <cell r="S955">
            <v>0</v>
          </cell>
          <cell r="W955">
            <v>0</v>
          </cell>
        </row>
        <row r="956">
          <cell r="F956">
            <v>14.3</v>
          </cell>
          <cell r="H956" t="str">
            <v>R308</v>
          </cell>
          <cell r="I956" t="str">
            <v>C10.5</v>
          </cell>
          <cell r="S956">
            <v>0</v>
          </cell>
          <cell r="W956">
            <v>17477780085.919998</v>
          </cell>
        </row>
        <row r="957">
          <cell r="S957">
            <v>0</v>
          </cell>
          <cell r="W957">
            <v>0</v>
          </cell>
        </row>
        <row r="958">
          <cell r="F958">
            <v>14.4</v>
          </cell>
          <cell r="H958" t="str">
            <v>R314</v>
          </cell>
          <cell r="I958" t="str">
            <v>C10.3</v>
          </cell>
          <cell r="S958">
            <v>0</v>
          </cell>
          <cell r="W958">
            <v>0</v>
          </cell>
        </row>
        <row r="959">
          <cell r="F959">
            <v>14.4</v>
          </cell>
          <cell r="H959" t="str">
            <v>R314</v>
          </cell>
          <cell r="I959" t="str">
            <v>C10.3</v>
          </cell>
          <cell r="S959">
            <v>0</v>
          </cell>
          <cell r="W959">
            <v>24534869927.5</v>
          </cell>
        </row>
        <row r="960">
          <cell r="F960">
            <v>14.4</v>
          </cell>
          <cell r="H960" t="str">
            <v>R314</v>
          </cell>
          <cell r="I960" t="str">
            <v>C10.3</v>
          </cell>
          <cell r="S960">
            <v>0</v>
          </cell>
          <cell r="W960">
            <v>0</v>
          </cell>
        </row>
        <row r="961">
          <cell r="S961">
            <v>0</v>
          </cell>
          <cell r="W961">
            <v>0</v>
          </cell>
        </row>
        <row r="962">
          <cell r="F962">
            <v>14.6</v>
          </cell>
          <cell r="H962" t="str">
            <v>R313</v>
          </cell>
          <cell r="I962" t="str">
            <v>C10.2</v>
          </cell>
          <cell r="S962">
            <v>0</v>
          </cell>
          <cell r="W962">
            <v>0</v>
          </cell>
        </row>
        <row r="963">
          <cell r="F963">
            <v>14.6</v>
          </cell>
          <cell r="H963" t="str">
            <v>R313</v>
          </cell>
          <cell r="I963" t="str">
            <v>C10.2</v>
          </cell>
          <cell r="S963">
            <v>0</v>
          </cell>
          <cell r="W963">
            <v>0</v>
          </cell>
        </row>
        <row r="964">
          <cell r="F964">
            <v>14.6</v>
          </cell>
          <cell r="H964" t="str">
            <v>R313</v>
          </cell>
          <cell r="I964" t="str">
            <v>C10.2</v>
          </cell>
          <cell r="S964">
            <v>0</v>
          </cell>
          <cell r="W964">
            <v>0</v>
          </cell>
        </row>
        <row r="965">
          <cell r="S965">
            <v>0</v>
          </cell>
          <cell r="W965">
            <v>0</v>
          </cell>
        </row>
        <row r="966">
          <cell r="F966">
            <v>14.7</v>
          </cell>
          <cell r="H966" t="str">
            <v>R313</v>
          </cell>
          <cell r="I966" t="str">
            <v>C10.2</v>
          </cell>
          <cell r="S966">
            <v>18891747351.169998</v>
          </cell>
          <cell r="W966">
            <v>18891747351.169998</v>
          </cell>
        </row>
        <row r="967">
          <cell r="F967">
            <v>14.7</v>
          </cell>
          <cell r="H967" t="str">
            <v>R313</v>
          </cell>
          <cell r="I967" t="str">
            <v>C10.2</v>
          </cell>
          <cell r="S967">
            <v>0</v>
          </cell>
          <cell r="W967">
            <v>0</v>
          </cell>
        </row>
        <row r="968">
          <cell r="F968">
            <v>14.7</v>
          </cell>
          <cell r="H968" t="str">
            <v>R313</v>
          </cell>
          <cell r="I968" t="str">
            <v>C10.2</v>
          </cell>
          <cell r="S968">
            <v>0</v>
          </cell>
          <cell r="W968">
            <v>0</v>
          </cell>
        </row>
        <row r="969">
          <cell r="F969">
            <v>14.7</v>
          </cell>
          <cell r="H969" t="str">
            <v>R313</v>
          </cell>
          <cell r="I969" t="str">
            <v>C10.2</v>
          </cell>
          <cell r="S969">
            <v>0</v>
          </cell>
          <cell r="W969">
            <v>0</v>
          </cell>
        </row>
      </sheetData>
      <sheetData sheetId="3">
        <row r="6">
          <cell r="F6" t="str">
            <v>1.1.1</v>
          </cell>
          <cell r="N6">
            <v>0</v>
          </cell>
          <cell r="Q6">
            <v>0</v>
          </cell>
        </row>
        <row r="7">
          <cell r="F7" t="str">
            <v>1.1.1</v>
          </cell>
          <cell r="N7">
            <v>0</v>
          </cell>
          <cell r="Q7">
            <v>9700670.7400000002</v>
          </cell>
        </row>
        <row r="8">
          <cell r="F8" t="str">
            <v>1.1.1</v>
          </cell>
          <cell r="N8">
            <v>0</v>
          </cell>
          <cell r="Q8">
            <v>0</v>
          </cell>
        </row>
        <row r="9">
          <cell r="N9">
            <v>0</v>
          </cell>
          <cell r="Q9">
            <v>0</v>
          </cell>
        </row>
        <row r="10">
          <cell r="F10" t="str">
            <v>1.1.1</v>
          </cell>
          <cell r="N10">
            <v>0</v>
          </cell>
          <cell r="Q10">
            <v>0</v>
          </cell>
        </row>
        <row r="11">
          <cell r="F11" t="str">
            <v>1.1.1</v>
          </cell>
          <cell r="N11">
            <v>0</v>
          </cell>
          <cell r="Q11">
            <v>0</v>
          </cell>
        </row>
        <row r="12">
          <cell r="F12" t="str">
            <v>1.1.1</v>
          </cell>
          <cell r="N12">
            <v>0</v>
          </cell>
          <cell r="Q12">
            <v>0</v>
          </cell>
        </row>
        <row r="13">
          <cell r="N13">
            <v>0</v>
          </cell>
          <cell r="Q13">
            <v>0</v>
          </cell>
        </row>
        <row r="14">
          <cell r="F14" t="str">
            <v>1.1.1</v>
          </cell>
          <cell r="N14">
            <v>0</v>
          </cell>
          <cell r="Q14">
            <v>0</v>
          </cell>
        </row>
        <row r="15">
          <cell r="F15" t="str">
            <v>1.1.1</v>
          </cell>
          <cell r="N15">
            <v>0</v>
          </cell>
          <cell r="Q15">
            <v>0</v>
          </cell>
        </row>
        <row r="16">
          <cell r="F16" t="str">
            <v>1.1.1</v>
          </cell>
          <cell r="N16">
            <v>0</v>
          </cell>
          <cell r="Q16">
            <v>0</v>
          </cell>
        </row>
        <row r="17">
          <cell r="N17">
            <v>0</v>
          </cell>
          <cell r="Q17">
            <v>0</v>
          </cell>
        </row>
        <row r="18">
          <cell r="F18" t="str">
            <v>1.1.1</v>
          </cell>
          <cell r="N18">
            <v>0</v>
          </cell>
          <cell r="Q18">
            <v>0</v>
          </cell>
        </row>
        <row r="19">
          <cell r="F19" t="str">
            <v>1.1.1</v>
          </cell>
          <cell r="N19">
            <v>0</v>
          </cell>
          <cell r="Q19">
            <v>55511369.659999996</v>
          </cell>
        </row>
        <row r="20">
          <cell r="F20" t="str">
            <v>1.1.1</v>
          </cell>
          <cell r="N20">
            <v>0</v>
          </cell>
          <cell r="Q20">
            <v>0</v>
          </cell>
        </row>
        <row r="22">
          <cell r="F22" t="str">
            <v>1.1.1</v>
          </cell>
          <cell r="N22">
            <v>0</v>
          </cell>
          <cell r="Q22">
            <v>0</v>
          </cell>
        </row>
        <row r="23">
          <cell r="F23" t="str">
            <v>1.1.1</v>
          </cell>
          <cell r="N23">
            <v>0</v>
          </cell>
          <cell r="Q23">
            <v>0</v>
          </cell>
        </row>
        <row r="24">
          <cell r="F24" t="str">
            <v>1.1.1</v>
          </cell>
          <cell r="N24">
            <v>0</v>
          </cell>
          <cell r="Q24">
            <v>0</v>
          </cell>
        </row>
        <row r="25">
          <cell r="N25">
            <v>0</v>
          </cell>
          <cell r="Q25">
            <v>0</v>
          </cell>
        </row>
        <row r="26">
          <cell r="F26" t="str">
            <v>1.1.1</v>
          </cell>
          <cell r="N26">
            <v>0</v>
          </cell>
          <cell r="Q26">
            <v>0</v>
          </cell>
        </row>
        <row r="27">
          <cell r="F27" t="str">
            <v>1.1.1</v>
          </cell>
          <cell r="N27">
            <v>0</v>
          </cell>
          <cell r="Q27">
            <v>52169710.159999996</v>
          </cell>
        </row>
        <row r="28">
          <cell r="F28" t="str">
            <v>1.1.1</v>
          </cell>
          <cell r="N28">
            <v>0</v>
          </cell>
          <cell r="Q28">
            <v>0</v>
          </cell>
        </row>
        <row r="29">
          <cell r="F29" t="str">
            <v>1.1.1</v>
          </cell>
          <cell r="N29">
            <v>0</v>
          </cell>
          <cell r="Q29">
            <v>0</v>
          </cell>
        </row>
        <row r="30">
          <cell r="F30" t="str">
            <v>1.1.1</v>
          </cell>
          <cell r="N30">
            <v>0</v>
          </cell>
          <cell r="Q30">
            <v>361363.04</v>
          </cell>
        </row>
        <row r="31">
          <cell r="F31" t="str">
            <v>1.1.1</v>
          </cell>
          <cell r="N31">
            <v>0</v>
          </cell>
          <cell r="Q31">
            <v>57707.1</v>
          </cell>
        </row>
        <row r="32">
          <cell r="N32">
            <v>0</v>
          </cell>
          <cell r="Q32">
            <v>0</v>
          </cell>
        </row>
        <row r="33">
          <cell r="F33" t="str">
            <v>1.1.1</v>
          </cell>
          <cell r="N33">
            <v>0</v>
          </cell>
          <cell r="Q33">
            <v>0</v>
          </cell>
        </row>
        <row r="34">
          <cell r="F34" t="str">
            <v>1.1.1</v>
          </cell>
          <cell r="N34">
            <v>0</v>
          </cell>
          <cell r="Q34">
            <v>348024.34</v>
          </cell>
        </row>
        <row r="35">
          <cell r="F35" t="str">
            <v>1.1.1</v>
          </cell>
          <cell r="N35">
            <v>0</v>
          </cell>
          <cell r="Q35">
            <v>0</v>
          </cell>
        </row>
        <row r="36">
          <cell r="N36">
            <v>0</v>
          </cell>
          <cell r="Q36">
            <v>0</v>
          </cell>
        </row>
        <row r="37">
          <cell r="F37" t="str">
            <v>1.1.1</v>
          </cell>
          <cell r="N37">
            <v>0</v>
          </cell>
          <cell r="Q37">
            <v>0</v>
          </cell>
        </row>
        <row r="38">
          <cell r="F38" t="str">
            <v>1.1.1</v>
          </cell>
          <cell r="N38">
            <v>0</v>
          </cell>
          <cell r="Q38">
            <v>11931603.85</v>
          </cell>
        </row>
        <row r="39">
          <cell r="F39" t="str">
            <v>1.1.1</v>
          </cell>
          <cell r="N39">
            <v>0</v>
          </cell>
          <cell r="Q39">
            <v>0</v>
          </cell>
        </row>
        <row r="40">
          <cell r="N40">
            <v>0</v>
          </cell>
          <cell r="Q40">
            <v>0</v>
          </cell>
        </row>
        <row r="41">
          <cell r="F41" t="str">
            <v>1.1.2</v>
          </cell>
          <cell r="N41">
            <v>0</v>
          </cell>
          <cell r="Q41">
            <v>0</v>
          </cell>
        </row>
        <row r="42">
          <cell r="F42" t="str">
            <v>1.1.2</v>
          </cell>
          <cell r="N42">
            <v>0</v>
          </cell>
          <cell r="Q42">
            <v>0</v>
          </cell>
        </row>
        <row r="43">
          <cell r="F43" t="str">
            <v>1.1.2</v>
          </cell>
          <cell r="N43">
            <v>0</v>
          </cell>
          <cell r="Q43">
            <v>0</v>
          </cell>
        </row>
        <row r="44">
          <cell r="N44">
            <v>0</v>
          </cell>
          <cell r="Q44">
            <v>0</v>
          </cell>
        </row>
        <row r="45">
          <cell r="F45" t="str">
            <v>1.3.1</v>
          </cell>
          <cell r="N45">
            <v>0</v>
          </cell>
          <cell r="Q45">
            <v>0</v>
          </cell>
        </row>
        <row r="46">
          <cell r="F46" t="str">
            <v>1.3.1</v>
          </cell>
          <cell r="N46">
            <v>0</v>
          </cell>
          <cell r="Q46">
            <v>0</v>
          </cell>
        </row>
        <row r="47">
          <cell r="F47" t="str">
            <v>1.3.1</v>
          </cell>
          <cell r="N47">
            <v>0</v>
          </cell>
          <cell r="Q47">
            <v>0</v>
          </cell>
        </row>
        <row r="48">
          <cell r="N48">
            <v>0</v>
          </cell>
          <cell r="Q48">
            <v>0</v>
          </cell>
        </row>
        <row r="49">
          <cell r="F49" t="str">
            <v>1.2.2</v>
          </cell>
          <cell r="N49">
            <v>0</v>
          </cell>
          <cell r="Q49">
            <v>117322102.83</v>
          </cell>
        </row>
        <row r="50">
          <cell r="F50" t="str">
            <v>1.2.2</v>
          </cell>
          <cell r="N50">
            <v>0</v>
          </cell>
          <cell r="Q50">
            <v>78232037.439999998</v>
          </cell>
        </row>
        <row r="51">
          <cell r="N51">
            <v>0</v>
          </cell>
          <cell r="Q51">
            <v>0</v>
          </cell>
        </row>
        <row r="52">
          <cell r="F52" t="str">
            <v>1.2.2</v>
          </cell>
          <cell r="N52">
            <v>0</v>
          </cell>
          <cell r="Q52">
            <v>0</v>
          </cell>
        </row>
        <row r="53">
          <cell r="F53" t="str">
            <v>1.2.2</v>
          </cell>
          <cell r="N53">
            <v>0</v>
          </cell>
          <cell r="Q53">
            <v>0</v>
          </cell>
        </row>
        <row r="54">
          <cell r="F54" t="str">
            <v>1.2.2</v>
          </cell>
          <cell r="N54">
            <v>0</v>
          </cell>
          <cell r="Q54">
            <v>0</v>
          </cell>
        </row>
        <row r="55">
          <cell r="N55">
            <v>0</v>
          </cell>
          <cell r="Q55">
            <v>0</v>
          </cell>
        </row>
        <row r="56">
          <cell r="F56" t="str">
            <v>1.2.2</v>
          </cell>
          <cell r="N56">
            <v>0</v>
          </cell>
          <cell r="Q56">
            <v>0</v>
          </cell>
        </row>
        <row r="57">
          <cell r="F57" t="str">
            <v>1.2.2</v>
          </cell>
          <cell r="N57">
            <v>0</v>
          </cell>
          <cell r="Q57">
            <v>0</v>
          </cell>
        </row>
        <row r="58">
          <cell r="F58" t="str">
            <v>1.2.2</v>
          </cell>
          <cell r="N58">
            <v>0</v>
          </cell>
          <cell r="Q58">
            <v>0</v>
          </cell>
        </row>
        <row r="59">
          <cell r="N59">
            <v>0</v>
          </cell>
          <cell r="Q59">
            <v>0</v>
          </cell>
        </row>
        <row r="60">
          <cell r="F60" t="str">
            <v>1.2.2</v>
          </cell>
          <cell r="N60">
            <v>0</v>
          </cell>
          <cell r="Q60">
            <v>0</v>
          </cell>
        </row>
        <row r="61">
          <cell r="F61" t="str">
            <v>1.2.2</v>
          </cell>
          <cell r="N61">
            <v>0</v>
          </cell>
          <cell r="Q61">
            <v>0</v>
          </cell>
        </row>
        <row r="62">
          <cell r="F62" t="str">
            <v>1.2.2</v>
          </cell>
          <cell r="N62">
            <v>0</v>
          </cell>
          <cell r="Q62">
            <v>0</v>
          </cell>
        </row>
        <row r="63">
          <cell r="N63">
            <v>0</v>
          </cell>
          <cell r="Q63">
            <v>0</v>
          </cell>
        </row>
        <row r="64">
          <cell r="F64" t="str">
            <v>1.2.2</v>
          </cell>
          <cell r="N64">
            <v>0</v>
          </cell>
          <cell r="Q64">
            <v>0</v>
          </cell>
        </row>
        <row r="65">
          <cell r="F65" t="str">
            <v>1.2.2</v>
          </cell>
          <cell r="N65">
            <v>0</v>
          </cell>
          <cell r="Q65">
            <v>4659745.92</v>
          </cell>
        </row>
        <row r="66">
          <cell r="F66" t="str">
            <v>1.2.2</v>
          </cell>
          <cell r="N66">
            <v>0</v>
          </cell>
          <cell r="Q66">
            <v>7990890.3899999997</v>
          </cell>
        </row>
        <row r="67">
          <cell r="F67" t="str">
            <v>1.2.2</v>
          </cell>
          <cell r="N67">
            <v>0</v>
          </cell>
          <cell r="Q67">
            <v>0</v>
          </cell>
        </row>
        <row r="68">
          <cell r="N68">
            <v>0</v>
          </cell>
          <cell r="Q68">
            <v>0</v>
          </cell>
        </row>
        <row r="69">
          <cell r="F69" t="str">
            <v>1.2.2</v>
          </cell>
          <cell r="N69">
            <v>0</v>
          </cell>
          <cell r="Q69">
            <v>0</v>
          </cell>
        </row>
        <row r="70">
          <cell r="F70" t="str">
            <v>1.2.2</v>
          </cell>
          <cell r="N70">
            <v>0</v>
          </cell>
          <cell r="Q70">
            <v>66492342.229999997</v>
          </cell>
        </row>
        <row r="71">
          <cell r="F71" t="str">
            <v>1.2.2</v>
          </cell>
          <cell r="N71">
            <v>0</v>
          </cell>
          <cell r="Q71">
            <v>0</v>
          </cell>
        </row>
        <row r="72">
          <cell r="F72" t="str">
            <v>1.2.2</v>
          </cell>
          <cell r="N72">
            <v>0</v>
          </cell>
          <cell r="Q72">
            <v>0</v>
          </cell>
        </row>
        <row r="73">
          <cell r="N73">
            <v>0</v>
          </cell>
          <cell r="Q73">
            <v>0</v>
          </cell>
        </row>
        <row r="74">
          <cell r="F74" t="str">
            <v>1.2.1</v>
          </cell>
          <cell r="N74">
            <v>0</v>
          </cell>
          <cell r="Q74">
            <v>0</v>
          </cell>
        </row>
        <row r="75">
          <cell r="F75" t="str">
            <v>1.2.1</v>
          </cell>
          <cell r="N75">
            <v>0</v>
          </cell>
          <cell r="Q75">
            <v>0</v>
          </cell>
        </row>
        <row r="76">
          <cell r="F76" t="str">
            <v>1.2.1</v>
          </cell>
          <cell r="N76">
            <v>0</v>
          </cell>
          <cell r="Q76">
            <v>0</v>
          </cell>
        </row>
        <row r="77">
          <cell r="N77">
            <v>0</v>
          </cell>
          <cell r="Q77">
            <v>0</v>
          </cell>
        </row>
        <row r="78">
          <cell r="F78" t="str">
            <v>1.2.1</v>
          </cell>
          <cell r="N78">
            <v>0</v>
          </cell>
          <cell r="Q78">
            <v>0</v>
          </cell>
        </row>
        <row r="79">
          <cell r="F79" t="str">
            <v>1.2.1</v>
          </cell>
          <cell r="N79">
            <v>0</v>
          </cell>
          <cell r="Q79">
            <v>0</v>
          </cell>
        </row>
        <row r="80">
          <cell r="F80" t="str">
            <v>1.2.1</v>
          </cell>
          <cell r="N80">
            <v>0</v>
          </cell>
          <cell r="Q80">
            <v>197663838.99000001</v>
          </cell>
        </row>
        <row r="81">
          <cell r="F81" t="str">
            <v>1.2.1</v>
          </cell>
          <cell r="N81">
            <v>0</v>
          </cell>
          <cell r="Q81">
            <v>0</v>
          </cell>
        </row>
        <row r="82">
          <cell r="F82" t="str">
            <v>1.2.1</v>
          </cell>
          <cell r="N82">
            <v>0</v>
          </cell>
          <cell r="Q82">
            <v>0</v>
          </cell>
        </row>
        <row r="83">
          <cell r="F83" t="str">
            <v>1.2.1</v>
          </cell>
          <cell r="N83">
            <v>0</v>
          </cell>
          <cell r="Q83">
            <v>0</v>
          </cell>
        </row>
        <row r="85">
          <cell r="F85" t="str">
            <v>1.2.2</v>
          </cell>
          <cell r="N85">
            <v>838655865.44000006</v>
          </cell>
          <cell r="Q85">
            <v>838655865.44000006</v>
          </cell>
        </row>
        <row r="86">
          <cell r="F86" t="str">
            <v>1.2.2</v>
          </cell>
          <cell r="N86">
            <v>2283139363.6199999</v>
          </cell>
          <cell r="Q86">
            <v>2283139363.6199999</v>
          </cell>
        </row>
        <row r="87">
          <cell r="F87" t="str">
            <v>1.2.2</v>
          </cell>
          <cell r="N87">
            <v>0</v>
          </cell>
          <cell r="Q87">
            <v>0</v>
          </cell>
        </row>
        <row r="88">
          <cell r="N88">
            <v>0</v>
          </cell>
          <cell r="Q88">
            <v>0</v>
          </cell>
        </row>
        <row r="89">
          <cell r="F89" t="str">
            <v>1.2.2</v>
          </cell>
          <cell r="N89">
            <v>0</v>
          </cell>
          <cell r="Q89">
            <v>1887192136.99</v>
          </cell>
        </row>
        <row r="90">
          <cell r="F90" t="str">
            <v>1.2.2</v>
          </cell>
          <cell r="N90">
            <v>0</v>
          </cell>
          <cell r="Q90">
            <v>3533929257.6199999</v>
          </cell>
        </row>
        <row r="91">
          <cell r="F91" t="str">
            <v>1.2.2</v>
          </cell>
          <cell r="N91">
            <v>0</v>
          </cell>
          <cell r="Q91">
            <v>357391.68</v>
          </cell>
        </row>
        <row r="92">
          <cell r="F92" t="str">
            <v>1.2.2</v>
          </cell>
          <cell r="N92">
            <v>0</v>
          </cell>
          <cell r="Q92">
            <v>2271843087.3400002</v>
          </cell>
        </row>
        <row r="93">
          <cell r="F93" t="str">
            <v>1.2.2</v>
          </cell>
          <cell r="N93">
            <v>0</v>
          </cell>
          <cell r="Q93">
            <v>0</v>
          </cell>
        </row>
        <row r="94">
          <cell r="F94" t="str">
            <v>1.2.2</v>
          </cell>
          <cell r="N94">
            <v>0</v>
          </cell>
          <cell r="Q94">
            <v>0</v>
          </cell>
        </row>
        <row r="95">
          <cell r="N95">
            <v>0</v>
          </cell>
          <cell r="Q95">
            <v>0</v>
          </cell>
        </row>
        <row r="96">
          <cell r="F96" t="str">
            <v>1.2.2</v>
          </cell>
          <cell r="N96">
            <v>0</v>
          </cell>
          <cell r="Q96">
            <v>367543095.32999998</v>
          </cell>
        </row>
        <row r="97">
          <cell r="F97" t="str">
            <v>1.2.2</v>
          </cell>
          <cell r="N97">
            <v>0</v>
          </cell>
          <cell r="Q97">
            <v>554019975.66999996</v>
          </cell>
        </row>
        <row r="98">
          <cell r="F98" t="str">
            <v>1.2.2</v>
          </cell>
          <cell r="N98">
            <v>0</v>
          </cell>
          <cell r="Q98">
            <v>0</v>
          </cell>
        </row>
        <row r="99">
          <cell r="N99">
            <v>0</v>
          </cell>
          <cell r="Q99">
            <v>0</v>
          </cell>
        </row>
        <row r="100">
          <cell r="F100" t="str">
            <v>1.2.2</v>
          </cell>
          <cell r="N100">
            <v>7545395.71</v>
          </cell>
          <cell r="Q100">
            <v>7545395.71</v>
          </cell>
        </row>
        <row r="101">
          <cell r="F101" t="str">
            <v>1.2.2</v>
          </cell>
          <cell r="N101">
            <v>0</v>
          </cell>
          <cell r="Q101">
            <v>300746394.94999999</v>
          </cell>
        </row>
        <row r="102">
          <cell r="F102" t="str">
            <v>1.2.2</v>
          </cell>
          <cell r="N102">
            <v>0</v>
          </cell>
          <cell r="Q102">
            <v>0</v>
          </cell>
        </row>
        <row r="103">
          <cell r="F103" t="str">
            <v>1.2.2</v>
          </cell>
          <cell r="N103">
            <v>0</v>
          </cell>
          <cell r="Q103">
            <v>517689.19</v>
          </cell>
        </row>
        <row r="104">
          <cell r="N104">
            <v>0</v>
          </cell>
          <cell r="Q104">
            <v>0</v>
          </cell>
        </row>
        <row r="105">
          <cell r="F105" t="str">
            <v>1.2.2</v>
          </cell>
          <cell r="N105">
            <v>10710.34</v>
          </cell>
          <cell r="Q105">
            <v>10710.34</v>
          </cell>
        </row>
        <row r="106">
          <cell r="F106" t="str">
            <v>1.2.2</v>
          </cell>
          <cell r="N106">
            <v>0</v>
          </cell>
          <cell r="Q106">
            <v>14815.5</v>
          </cell>
        </row>
        <row r="107">
          <cell r="F107" t="str">
            <v>1.2.2</v>
          </cell>
          <cell r="N107">
            <v>0</v>
          </cell>
          <cell r="Q107">
            <v>0</v>
          </cell>
        </row>
        <row r="108">
          <cell r="N108">
            <v>0</v>
          </cell>
          <cell r="Q108">
            <v>0</v>
          </cell>
        </row>
        <row r="109">
          <cell r="F109" t="str">
            <v>1.2.2</v>
          </cell>
          <cell r="N109">
            <v>0</v>
          </cell>
          <cell r="Q109">
            <v>0</v>
          </cell>
        </row>
        <row r="110">
          <cell r="F110" t="str">
            <v>1.2.2</v>
          </cell>
          <cell r="N110">
            <v>0</v>
          </cell>
          <cell r="Q110">
            <v>0</v>
          </cell>
        </row>
        <row r="111">
          <cell r="F111" t="str">
            <v>1.2.2</v>
          </cell>
          <cell r="N111">
            <v>0</v>
          </cell>
          <cell r="Q111">
            <v>0</v>
          </cell>
        </row>
        <row r="112">
          <cell r="N112">
            <v>0</v>
          </cell>
          <cell r="Q112">
            <v>0</v>
          </cell>
        </row>
        <row r="113">
          <cell r="F113" t="str">
            <v>1.2.2</v>
          </cell>
          <cell r="N113">
            <v>0</v>
          </cell>
          <cell r="Q113">
            <v>0</v>
          </cell>
        </row>
        <row r="114">
          <cell r="N114">
            <v>0</v>
          </cell>
          <cell r="Q114">
            <v>0</v>
          </cell>
        </row>
        <row r="115">
          <cell r="F115" t="str">
            <v>1.2.2</v>
          </cell>
          <cell r="N115">
            <v>41436.660000000003</v>
          </cell>
          <cell r="Q115">
            <v>41436.660000000003</v>
          </cell>
        </row>
        <row r="116">
          <cell r="F116" t="str">
            <v>1.2.2</v>
          </cell>
          <cell r="N116">
            <v>0</v>
          </cell>
          <cell r="Q116">
            <v>107188.14</v>
          </cell>
        </row>
        <row r="117">
          <cell r="F117" t="str">
            <v>1.2.2</v>
          </cell>
          <cell r="N117">
            <v>0</v>
          </cell>
          <cell r="Q117">
            <v>6862.5</v>
          </cell>
        </row>
        <row r="118">
          <cell r="N118">
            <v>0</v>
          </cell>
          <cell r="Q118">
            <v>0</v>
          </cell>
        </row>
        <row r="119">
          <cell r="F119" t="str">
            <v>1.2.2</v>
          </cell>
          <cell r="N119">
            <v>31100</v>
          </cell>
          <cell r="Q119">
            <v>31100</v>
          </cell>
        </row>
        <row r="120">
          <cell r="F120" t="str">
            <v>1.2.2</v>
          </cell>
          <cell r="N120">
            <v>0</v>
          </cell>
          <cell r="Q120">
            <v>0</v>
          </cell>
        </row>
        <row r="121">
          <cell r="F121" t="str">
            <v>1.2.2</v>
          </cell>
          <cell r="N121">
            <v>0</v>
          </cell>
          <cell r="Q121">
            <v>0</v>
          </cell>
        </row>
        <row r="122">
          <cell r="N122">
            <v>0</v>
          </cell>
          <cell r="Q122">
            <v>0</v>
          </cell>
        </row>
        <row r="123">
          <cell r="F123" t="str">
            <v>4.3.1</v>
          </cell>
          <cell r="N123">
            <v>0</v>
          </cell>
          <cell r="Q123">
            <v>0</v>
          </cell>
        </row>
        <row r="124">
          <cell r="F124" t="str">
            <v>4.3.1</v>
          </cell>
          <cell r="N124">
            <v>0</v>
          </cell>
          <cell r="Q124">
            <v>5001300</v>
          </cell>
        </row>
        <row r="125">
          <cell r="F125" t="str">
            <v>4.3.1</v>
          </cell>
          <cell r="N125">
            <v>0</v>
          </cell>
          <cell r="Q125">
            <v>0</v>
          </cell>
        </row>
        <row r="126">
          <cell r="F126" t="str">
            <v>4.3.1</v>
          </cell>
          <cell r="N126">
            <v>0</v>
          </cell>
          <cell r="Q126">
            <v>0</v>
          </cell>
        </row>
        <row r="127">
          <cell r="N127">
            <v>0</v>
          </cell>
          <cell r="Q127">
            <v>0</v>
          </cell>
        </row>
        <row r="128">
          <cell r="F128" t="str">
            <v>4.3.1</v>
          </cell>
          <cell r="N128">
            <v>0</v>
          </cell>
          <cell r="Q128">
            <v>0</v>
          </cell>
        </row>
        <row r="129">
          <cell r="F129" t="str">
            <v>4.3.1</v>
          </cell>
          <cell r="N129">
            <v>0</v>
          </cell>
          <cell r="Q129">
            <v>138140143.19999999</v>
          </cell>
        </row>
        <row r="130">
          <cell r="F130" t="str">
            <v>4.3.1</v>
          </cell>
          <cell r="N130">
            <v>0</v>
          </cell>
          <cell r="Q130">
            <v>69202190</v>
          </cell>
        </row>
        <row r="131">
          <cell r="F131" t="str">
            <v>4.3.1</v>
          </cell>
          <cell r="N131">
            <v>0</v>
          </cell>
          <cell r="Q131">
            <v>664219.16</v>
          </cell>
        </row>
        <row r="132">
          <cell r="N132">
            <v>0</v>
          </cell>
          <cell r="Q132">
            <v>0</v>
          </cell>
        </row>
        <row r="133">
          <cell r="F133" t="str">
            <v>4.3.1</v>
          </cell>
          <cell r="N133">
            <v>0</v>
          </cell>
          <cell r="Q133">
            <v>0</v>
          </cell>
        </row>
        <row r="134">
          <cell r="F134" t="str">
            <v>4.3.1</v>
          </cell>
          <cell r="N134">
            <v>0</v>
          </cell>
          <cell r="Q134">
            <v>6202680</v>
          </cell>
        </row>
        <row r="135">
          <cell r="F135" t="str">
            <v>4.3.1</v>
          </cell>
          <cell r="N135">
            <v>0</v>
          </cell>
          <cell r="Q135">
            <v>0</v>
          </cell>
        </row>
        <row r="136">
          <cell r="N136">
            <v>0</v>
          </cell>
          <cell r="Q136">
            <v>0</v>
          </cell>
        </row>
        <row r="137">
          <cell r="F137" t="str">
            <v>4.3.1</v>
          </cell>
          <cell r="N137">
            <v>0</v>
          </cell>
          <cell r="Q137">
            <v>24329514.879999999</v>
          </cell>
        </row>
        <row r="138">
          <cell r="F138" t="str">
            <v>4.3.1</v>
          </cell>
          <cell r="N138">
            <v>0</v>
          </cell>
          <cell r="Q138">
            <v>587100</v>
          </cell>
        </row>
        <row r="139">
          <cell r="F139" t="str">
            <v>4.3.1</v>
          </cell>
          <cell r="N139">
            <v>0</v>
          </cell>
          <cell r="Q139">
            <v>0</v>
          </cell>
        </row>
        <row r="140">
          <cell r="N140">
            <v>0</v>
          </cell>
          <cell r="Q140">
            <v>0</v>
          </cell>
        </row>
        <row r="141">
          <cell r="F141" t="str">
            <v>4.3.1</v>
          </cell>
          <cell r="N141">
            <v>0</v>
          </cell>
          <cell r="Q141">
            <v>0</v>
          </cell>
        </row>
        <row r="142">
          <cell r="F142" t="str">
            <v>4.3.1</v>
          </cell>
          <cell r="N142">
            <v>0</v>
          </cell>
          <cell r="Q142">
            <v>37128708.539999999</v>
          </cell>
        </row>
        <row r="143">
          <cell r="F143" t="str">
            <v>4.3.1</v>
          </cell>
          <cell r="N143">
            <v>0</v>
          </cell>
          <cell r="Q143">
            <v>0</v>
          </cell>
        </row>
        <row r="144">
          <cell r="F144" t="str">
            <v>4.3.1</v>
          </cell>
          <cell r="N144">
            <v>0</v>
          </cell>
          <cell r="Q144">
            <v>0</v>
          </cell>
        </row>
        <row r="145">
          <cell r="N145">
            <v>0</v>
          </cell>
          <cell r="Q145">
            <v>0</v>
          </cell>
        </row>
        <row r="146">
          <cell r="F146" t="str">
            <v>4.3.1</v>
          </cell>
          <cell r="N146">
            <v>0</v>
          </cell>
          <cell r="Q146">
            <v>0</v>
          </cell>
        </row>
        <row r="147">
          <cell r="F147" t="str">
            <v>4.3.1</v>
          </cell>
          <cell r="N147">
            <v>0</v>
          </cell>
          <cell r="Q147">
            <v>249660</v>
          </cell>
        </row>
        <row r="148">
          <cell r="F148" t="str">
            <v>4.3.1</v>
          </cell>
          <cell r="N148">
            <v>0</v>
          </cell>
          <cell r="Q148">
            <v>0</v>
          </cell>
        </row>
        <row r="149">
          <cell r="F149" t="str">
            <v>4.3.1</v>
          </cell>
          <cell r="N149">
            <v>0</v>
          </cell>
          <cell r="Q149">
            <v>0</v>
          </cell>
        </row>
        <row r="150">
          <cell r="N150">
            <v>0</v>
          </cell>
          <cell r="Q150">
            <v>0</v>
          </cell>
        </row>
        <row r="151">
          <cell r="F151" t="str">
            <v>4.3.1</v>
          </cell>
          <cell r="N151">
            <v>0</v>
          </cell>
          <cell r="Q151">
            <v>0</v>
          </cell>
        </row>
        <row r="152">
          <cell r="F152" t="str">
            <v>4.3.1</v>
          </cell>
          <cell r="N152">
            <v>0</v>
          </cell>
          <cell r="Q152">
            <v>83300</v>
          </cell>
        </row>
        <row r="153">
          <cell r="F153" t="str">
            <v>4.3.1</v>
          </cell>
          <cell r="N153">
            <v>0</v>
          </cell>
          <cell r="Q153">
            <v>0</v>
          </cell>
        </row>
        <row r="154">
          <cell r="F154" t="str">
            <v>4.3.1</v>
          </cell>
          <cell r="N154">
            <v>0</v>
          </cell>
          <cell r="Q154">
            <v>0</v>
          </cell>
        </row>
        <row r="155">
          <cell r="N155">
            <v>0</v>
          </cell>
          <cell r="Q155">
            <v>0</v>
          </cell>
        </row>
        <row r="156">
          <cell r="F156" t="str">
            <v>4.3.1</v>
          </cell>
          <cell r="N156">
            <v>0</v>
          </cell>
          <cell r="Q156">
            <v>0</v>
          </cell>
        </row>
        <row r="157">
          <cell r="F157" t="str">
            <v>4.3.1</v>
          </cell>
          <cell r="N157">
            <v>0</v>
          </cell>
          <cell r="Q157">
            <v>458360</v>
          </cell>
        </row>
        <row r="158">
          <cell r="N158">
            <v>0</v>
          </cell>
          <cell r="Q158">
            <v>0</v>
          </cell>
        </row>
        <row r="159">
          <cell r="F159" t="str">
            <v>4.3.1</v>
          </cell>
          <cell r="N159">
            <v>567100</v>
          </cell>
          <cell r="Q159">
            <v>567100</v>
          </cell>
        </row>
        <row r="160">
          <cell r="F160" t="str">
            <v>4.3.1</v>
          </cell>
          <cell r="N160">
            <v>0</v>
          </cell>
          <cell r="Q160">
            <v>8288405</v>
          </cell>
        </row>
        <row r="161">
          <cell r="F161" t="str">
            <v>4.3.1</v>
          </cell>
          <cell r="N161">
            <v>0</v>
          </cell>
          <cell r="Q161">
            <v>111500</v>
          </cell>
        </row>
        <row r="162">
          <cell r="N162">
            <v>0</v>
          </cell>
          <cell r="Q162">
            <v>0</v>
          </cell>
        </row>
        <row r="163">
          <cell r="F163" t="str">
            <v>4.3.1</v>
          </cell>
          <cell r="N163">
            <v>0</v>
          </cell>
          <cell r="Q163">
            <v>0</v>
          </cell>
        </row>
        <row r="164">
          <cell r="F164" t="str">
            <v>4.3.1</v>
          </cell>
          <cell r="N164">
            <v>0</v>
          </cell>
          <cell r="Q164">
            <v>482974.4</v>
          </cell>
        </row>
        <row r="165">
          <cell r="F165" t="str">
            <v>4.3.1</v>
          </cell>
          <cell r="N165">
            <v>0</v>
          </cell>
          <cell r="Q165">
            <v>0</v>
          </cell>
        </row>
        <row r="166">
          <cell r="N166">
            <v>0</v>
          </cell>
          <cell r="Q166">
            <v>0</v>
          </cell>
        </row>
        <row r="167">
          <cell r="F167" t="str">
            <v>4.3.1</v>
          </cell>
          <cell r="N167">
            <v>105000</v>
          </cell>
          <cell r="Q167">
            <v>105000</v>
          </cell>
        </row>
        <row r="168">
          <cell r="F168" t="str">
            <v>4.3.1</v>
          </cell>
          <cell r="N168">
            <v>0</v>
          </cell>
          <cell r="Q168">
            <v>3790890</v>
          </cell>
        </row>
        <row r="169">
          <cell r="F169" t="str">
            <v>4.3.1</v>
          </cell>
          <cell r="N169">
            <v>0</v>
          </cell>
          <cell r="Q169">
            <v>0</v>
          </cell>
        </row>
        <row r="170">
          <cell r="F170" t="str">
            <v>4.3.1</v>
          </cell>
          <cell r="N170">
            <v>0</v>
          </cell>
          <cell r="Q170">
            <v>0</v>
          </cell>
        </row>
        <row r="172">
          <cell r="F172" t="str">
            <v>4.3.1</v>
          </cell>
          <cell r="N172">
            <v>0</v>
          </cell>
          <cell r="Q172">
            <v>0</v>
          </cell>
        </row>
        <row r="173">
          <cell r="F173" t="str">
            <v>4.3.1</v>
          </cell>
          <cell r="N173">
            <v>0</v>
          </cell>
          <cell r="Q173">
            <v>271661.92</v>
          </cell>
        </row>
        <row r="174">
          <cell r="F174" t="str">
            <v>4.3.1</v>
          </cell>
          <cell r="N174">
            <v>0</v>
          </cell>
          <cell r="Q174">
            <v>0</v>
          </cell>
        </row>
        <row r="175">
          <cell r="N175">
            <v>0</v>
          </cell>
          <cell r="Q175">
            <v>0</v>
          </cell>
        </row>
        <row r="176">
          <cell r="F176" t="str">
            <v>4.3.1</v>
          </cell>
          <cell r="N176">
            <v>0</v>
          </cell>
          <cell r="Q176">
            <v>0</v>
          </cell>
        </row>
        <row r="177">
          <cell r="F177" t="str">
            <v>4.3.1</v>
          </cell>
          <cell r="N177">
            <v>0</v>
          </cell>
          <cell r="Q177">
            <v>0</v>
          </cell>
        </row>
        <row r="178">
          <cell r="F178" t="str">
            <v>4.3.1</v>
          </cell>
          <cell r="N178">
            <v>0</v>
          </cell>
          <cell r="Q178">
            <v>0</v>
          </cell>
        </row>
        <row r="179">
          <cell r="N179">
            <v>0</v>
          </cell>
          <cell r="Q179">
            <v>0</v>
          </cell>
        </row>
        <row r="180">
          <cell r="F180" t="str">
            <v>4.3.1</v>
          </cell>
          <cell r="N180">
            <v>0</v>
          </cell>
          <cell r="Q180">
            <v>0</v>
          </cell>
        </row>
        <row r="181">
          <cell r="F181" t="str">
            <v>4.3.1</v>
          </cell>
          <cell r="N181">
            <v>0</v>
          </cell>
          <cell r="Q181">
            <v>2147948</v>
          </cell>
        </row>
        <row r="182">
          <cell r="F182" t="str">
            <v>4.3.1</v>
          </cell>
          <cell r="N182">
            <v>0</v>
          </cell>
          <cell r="Q182">
            <v>183384</v>
          </cell>
        </row>
        <row r="183">
          <cell r="F183" t="str">
            <v>4.3.1</v>
          </cell>
          <cell r="N183">
            <v>0</v>
          </cell>
          <cell r="Q183">
            <v>0</v>
          </cell>
        </row>
        <row r="184">
          <cell r="F184" t="str">
            <v>4.3.1</v>
          </cell>
          <cell r="N184">
            <v>0</v>
          </cell>
          <cell r="Q184">
            <v>40700</v>
          </cell>
        </row>
        <row r="185">
          <cell r="N185">
            <v>0</v>
          </cell>
          <cell r="Q185">
            <v>0</v>
          </cell>
        </row>
        <row r="186">
          <cell r="F186" t="str">
            <v>4.3.1</v>
          </cell>
          <cell r="N186">
            <v>0</v>
          </cell>
          <cell r="Q186">
            <v>0</v>
          </cell>
        </row>
        <row r="187">
          <cell r="F187" t="str">
            <v>4.3.1</v>
          </cell>
          <cell r="N187">
            <v>0</v>
          </cell>
          <cell r="Q187">
            <v>0</v>
          </cell>
        </row>
        <row r="188">
          <cell r="F188" t="str">
            <v>4.3.1</v>
          </cell>
          <cell r="N188">
            <v>0</v>
          </cell>
          <cell r="Q188">
            <v>0</v>
          </cell>
        </row>
        <row r="189">
          <cell r="F189" t="str">
            <v>4.3.1</v>
          </cell>
          <cell r="N189">
            <v>0</v>
          </cell>
          <cell r="Q189">
            <v>0</v>
          </cell>
        </row>
        <row r="190">
          <cell r="F190" t="str">
            <v>4.3.1</v>
          </cell>
          <cell r="N190">
            <v>0</v>
          </cell>
          <cell r="Q190">
            <v>0</v>
          </cell>
        </row>
        <row r="191">
          <cell r="F191" t="str">
            <v>4.3.1</v>
          </cell>
          <cell r="N191">
            <v>0</v>
          </cell>
          <cell r="Q191">
            <v>0</v>
          </cell>
        </row>
        <row r="192">
          <cell r="F192" t="str">
            <v>4.3.1</v>
          </cell>
          <cell r="N192">
            <v>0</v>
          </cell>
          <cell r="Q192">
            <v>0</v>
          </cell>
        </row>
        <row r="193">
          <cell r="N193">
            <v>0</v>
          </cell>
          <cell r="Q193">
            <v>0</v>
          </cell>
        </row>
        <row r="194">
          <cell r="F194" t="str">
            <v>4.3.1</v>
          </cell>
          <cell r="N194">
            <v>2581900</v>
          </cell>
          <cell r="Q194">
            <v>2581900</v>
          </cell>
        </row>
        <row r="195">
          <cell r="F195" t="str">
            <v>4.3.1</v>
          </cell>
          <cell r="N195">
            <v>860000</v>
          </cell>
          <cell r="Q195">
            <v>860000</v>
          </cell>
        </row>
        <row r="196">
          <cell r="F196" t="str">
            <v>4.3.1</v>
          </cell>
          <cell r="N196">
            <v>0</v>
          </cell>
          <cell r="Q196">
            <v>344982.2</v>
          </cell>
        </row>
        <row r="197">
          <cell r="F197" t="str">
            <v>4.3.1</v>
          </cell>
          <cell r="N197">
            <v>0</v>
          </cell>
          <cell r="Q197">
            <v>126846959.72</v>
          </cell>
        </row>
        <row r="198">
          <cell r="F198" t="str">
            <v>4.3.1</v>
          </cell>
          <cell r="N198">
            <v>0</v>
          </cell>
          <cell r="Q198">
            <v>14120924.199999999</v>
          </cell>
        </row>
        <row r="199">
          <cell r="F199" t="str">
            <v>4.3.1</v>
          </cell>
          <cell r="N199">
            <v>0</v>
          </cell>
          <cell r="Q199">
            <v>5000</v>
          </cell>
        </row>
        <row r="200">
          <cell r="F200" t="str">
            <v>4.3.1</v>
          </cell>
          <cell r="N200">
            <v>0</v>
          </cell>
          <cell r="Q200">
            <v>1872400</v>
          </cell>
        </row>
        <row r="201">
          <cell r="F201" t="str">
            <v>4.3.1</v>
          </cell>
          <cell r="N201">
            <v>0</v>
          </cell>
          <cell r="Q201">
            <v>895790</v>
          </cell>
        </row>
        <row r="202">
          <cell r="F202" t="str">
            <v>4.3.1</v>
          </cell>
          <cell r="N202">
            <v>0</v>
          </cell>
          <cell r="Q202">
            <v>0</v>
          </cell>
        </row>
        <row r="203">
          <cell r="F203" t="str">
            <v>4.3.1</v>
          </cell>
          <cell r="N203">
            <v>0</v>
          </cell>
          <cell r="Q203">
            <v>208316</v>
          </cell>
        </row>
        <row r="204">
          <cell r="F204" t="str">
            <v>4.3.1</v>
          </cell>
          <cell r="N204">
            <v>0</v>
          </cell>
          <cell r="Q204">
            <v>0</v>
          </cell>
        </row>
        <row r="205">
          <cell r="F205" t="str">
            <v>4.3.1</v>
          </cell>
          <cell r="N205">
            <v>0</v>
          </cell>
          <cell r="Q205">
            <v>0</v>
          </cell>
        </row>
        <row r="206">
          <cell r="N206">
            <v>0</v>
          </cell>
          <cell r="Q206">
            <v>0</v>
          </cell>
        </row>
        <row r="207">
          <cell r="F207" t="str">
            <v>4.3.1</v>
          </cell>
          <cell r="N207">
            <v>68994000</v>
          </cell>
          <cell r="Q207">
            <v>68994000</v>
          </cell>
        </row>
        <row r="208">
          <cell r="F208" t="str">
            <v>4.3.1</v>
          </cell>
          <cell r="N208">
            <v>0</v>
          </cell>
          <cell r="Q208">
            <v>0</v>
          </cell>
        </row>
        <row r="209">
          <cell r="F209" t="str">
            <v>4.3.1</v>
          </cell>
          <cell r="N209">
            <v>0</v>
          </cell>
          <cell r="Q209">
            <v>213140973.44999999</v>
          </cell>
        </row>
        <row r="210">
          <cell r="F210" t="str">
            <v>4.3.1</v>
          </cell>
          <cell r="N210">
            <v>0</v>
          </cell>
          <cell r="Q210">
            <v>202925583.30000001</v>
          </cell>
        </row>
        <row r="211">
          <cell r="F211" t="str">
            <v>4.3.1</v>
          </cell>
          <cell r="N211">
            <v>0</v>
          </cell>
          <cell r="Q211">
            <v>4739220</v>
          </cell>
        </row>
        <row r="212">
          <cell r="F212" t="str">
            <v>4.3.1</v>
          </cell>
          <cell r="N212">
            <v>0</v>
          </cell>
          <cell r="Q212">
            <v>338559.1</v>
          </cell>
        </row>
        <row r="213">
          <cell r="F213" t="str">
            <v>4.3.1</v>
          </cell>
          <cell r="N213">
            <v>0</v>
          </cell>
          <cell r="Q213">
            <v>11188355.17</v>
          </cell>
        </row>
        <row r="214">
          <cell r="F214" t="str">
            <v>4.3.1</v>
          </cell>
          <cell r="N214">
            <v>0</v>
          </cell>
          <cell r="Q214">
            <v>209700</v>
          </cell>
        </row>
        <row r="215">
          <cell r="F215" t="str">
            <v>4.3.1</v>
          </cell>
          <cell r="N215">
            <v>0</v>
          </cell>
          <cell r="Q215">
            <v>15215209.5</v>
          </cell>
        </row>
        <row r="216">
          <cell r="F216" t="str">
            <v>4.3.1</v>
          </cell>
          <cell r="N216">
            <v>0</v>
          </cell>
          <cell r="Q216">
            <v>3410942</v>
          </cell>
        </row>
        <row r="217">
          <cell r="F217" t="str">
            <v>4.3.1</v>
          </cell>
          <cell r="N217">
            <v>0</v>
          </cell>
          <cell r="Q217">
            <v>0</v>
          </cell>
        </row>
        <row r="218">
          <cell r="F218" t="str">
            <v>4.3.1</v>
          </cell>
          <cell r="N218">
            <v>0</v>
          </cell>
          <cell r="Q218">
            <v>174617.5</v>
          </cell>
        </row>
        <row r="219">
          <cell r="F219" t="str">
            <v>4.3.1</v>
          </cell>
          <cell r="N219">
            <v>0</v>
          </cell>
          <cell r="Q219">
            <v>0</v>
          </cell>
        </row>
        <row r="220">
          <cell r="F220" t="str">
            <v>4.3.1</v>
          </cell>
          <cell r="N220">
            <v>0</v>
          </cell>
          <cell r="Q220">
            <v>14700</v>
          </cell>
        </row>
        <row r="221">
          <cell r="F221" t="str">
            <v>4.3.1</v>
          </cell>
          <cell r="N221">
            <v>0</v>
          </cell>
          <cell r="Q221">
            <v>358300</v>
          </cell>
        </row>
        <row r="222">
          <cell r="N222">
            <v>0</v>
          </cell>
          <cell r="Q222">
            <v>0</v>
          </cell>
        </row>
        <row r="223">
          <cell r="F223" t="str">
            <v>4.2.2</v>
          </cell>
          <cell r="N223">
            <v>50489417.469999999</v>
          </cell>
          <cell r="Q223">
            <v>50489417.469999999</v>
          </cell>
        </row>
        <row r="224">
          <cell r="F224" t="str">
            <v>4.2.2</v>
          </cell>
          <cell r="N224">
            <v>0</v>
          </cell>
          <cell r="Q224">
            <v>0</v>
          </cell>
        </row>
        <row r="225">
          <cell r="F225" t="str">
            <v>4.2.2</v>
          </cell>
          <cell r="N225">
            <v>0</v>
          </cell>
          <cell r="Q225">
            <v>126238.05</v>
          </cell>
        </row>
        <row r="226">
          <cell r="F226" t="str">
            <v>4.2.2</v>
          </cell>
          <cell r="N226">
            <v>0</v>
          </cell>
          <cell r="Q226">
            <v>0</v>
          </cell>
        </row>
        <row r="227">
          <cell r="N227">
            <v>0</v>
          </cell>
          <cell r="Q227">
            <v>0</v>
          </cell>
        </row>
        <row r="228">
          <cell r="F228">
            <v>12.3</v>
          </cell>
          <cell r="N228">
            <v>9361132.2699999996</v>
          </cell>
          <cell r="Q228">
            <v>9361132.2699999996</v>
          </cell>
        </row>
        <row r="229">
          <cell r="F229">
            <v>12.3</v>
          </cell>
          <cell r="N229">
            <v>0</v>
          </cell>
          <cell r="Q229">
            <v>730757883.71000004</v>
          </cell>
        </row>
        <row r="230">
          <cell r="F230">
            <v>12.3</v>
          </cell>
          <cell r="N230">
            <v>0</v>
          </cell>
          <cell r="Q230">
            <v>1046804242.59</v>
          </cell>
        </row>
        <row r="231">
          <cell r="F231">
            <v>12.3</v>
          </cell>
          <cell r="N231">
            <v>0</v>
          </cell>
          <cell r="Q231">
            <v>235053665.46000001</v>
          </cell>
        </row>
        <row r="232">
          <cell r="F232">
            <v>12.3</v>
          </cell>
          <cell r="N232">
            <v>0</v>
          </cell>
          <cell r="Q232">
            <v>18869891.25</v>
          </cell>
        </row>
        <row r="233">
          <cell r="F233">
            <v>12.3</v>
          </cell>
          <cell r="N233">
            <v>0</v>
          </cell>
          <cell r="Q233">
            <v>7930522.8499999996</v>
          </cell>
        </row>
        <row r="234">
          <cell r="F234">
            <v>12.3</v>
          </cell>
          <cell r="N234">
            <v>0</v>
          </cell>
          <cell r="Q234">
            <v>3032940.23</v>
          </cell>
        </row>
        <row r="235">
          <cell r="F235">
            <v>12.3</v>
          </cell>
          <cell r="N235">
            <v>0</v>
          </cell>
          <cell r="Q235">
            <v>3796.2</v>
          </cell>
        </row>
        <row r="236">
          <cell r="N236">
            <v>0</v>
          </cell>
          <cell r="Q236">
            <v>0</v>
          </cell>
        </row>
        <row r="237">
          <cell r="F237">
            <v>8.5</v>
          </cell>
          <cell r="N237">
            <v>33683400</v>
          </cell>
          <cell r="Q237">
            <v>33683400</v>
          </cell>
        </row>
        <row r="238">
          <cell r="F238">
            <v>8.5</v>
          </cell>
          <cell r="N238">
            <v>0</v>
          </cell>
          <cell r="Q238">
            <v>55241580.990000002</v>
          </cell>
        </row>
        <row r="239">
          <cell r="F239">
            <v>8.5</v>
          </cell>
          <cell r="N239">
            <v>0</v>
          </cell>
          <cell r="Q239">
            <v>3117887.5</v>
          </cell>
        </row>
        <row r="240">
          <cell r="N240">
            <v>0</v>
          </cell>
          <cell r="Q240">
            <v>0</v>
          </cell>
        </row>
        <row r="241">
          <cell r="F241">
            <v>4.4000000000000004</v>
          </cell>
          <cell r="N241">
            <v>0</v>
          </cell>
          <cell r="Q241">
            <v>0</v>
          </cell>
        </row>
        <row r="242">
          <cell r="N242">
            <v>0</v>
          </cell>
          <cell r="Q242">
            <v>0</v>
          </cell>
        </row>
        <row r="243">
          <cell r="F243">
            <v>10</v>
          </cell>
          <cell r="N243">
            <v>7000</v>
          </cell>
          <cell r="Q243">
            <v>7000</v>
          </cell>
        </row>
        <row r="244">
          <cell r="F244">
            <v>10</v>
          </cell>
          <cell r="N244">
            <v>0</v>
          </cell>
          <cell r="Q244">
            <v>774876</v>
          </cell>
        </row>
        <row r="245">
          <cell r="F245">
            <v>10</v>
          </cell>
          <cell r="N245">
            <v>0</v>
          </cell>
          <cell r="Q245">
            <v>0</v>
          </cell>
        </row>
        <row r="246">
          <cell r="N246">
            <v>0</v>
          </cell>
          <cell r="Q246">
            <v>0</v>
          </cell>
        </row>
        <row r="247">
          <cell r="F247">
            <v>12.1</v>
          </cell>
          <cell r="N247">
            <v>-1587800</v>
          </cell>
          <cell r="Q247">
            <v>-1587800</v>
          </cell>
        </row>
        <row r="248">
          <cell r="F248">
            <v>12.1</v>
          </cell>
          <cell r="N248">
            <v>0</v>
          </cell>
          <cell r="Q248">
            <v>0</v>
          </cell>
        </row>
        <row r="249">
          <cell r="F249">
            <v>12.1</v>
          </cell>
          <cell r="N249">
            <v>0</v>
          </cell>
          <cell r="Q249">
            <v>0</v>
          </cell>
        </row>
        <row r="250">
          <cell r="N250">
            <v>0</v>
          </cell>
          <cell r="Q250">
            <v>0</v>
          </cell>
        </row>
        <row r="251">
          <cell r="F251">
            <v>4.4000000000000004</v>
          </cell>
          <cell r="N251">
            <v>441673.04</v>
          </cell>
          <cell r="Q251">
            <v>441673.04</v>
          </cell>
        </row>
        <row r="252">
          <cell r="F252">
            <v>4.4000000000000004</v>
          </cell>
          <cell r="N252">
            <v>0</v>
          </cell>
          <cell r="Q252">
            <v>547027.72</v>
          </cell>
        </row>
        <row r="253">
          <cell r="F253">
            <v>4.4000000000000004</v>
          </cell>
          <cell r="N253">
            <v>0</v>
          </cell>
          <cell r="Q253">
            <v>0</v>
          </cell>
        </row>
        <row r="254">
          <cell r="F254">
            <v>4.4000000000000004</v>
          </cell>
          <cell r="N254">
            <v>0</v>
          </cell>
          <cell r="Q254">
            <v>4747.5200000000004</v>
          </cell>
        </row>
        <row r="255">
          <cell r="N255">
            <v>0</v>
          </cell>
          <cell r="Q255">
            <v>0</v>
          </cell>
        </row>
        <row r="256">
          <cell r="F256">
            <v>4.4000000000000004</v>
          </cell>
          <cell r="N256">
            <v>1003362</v>
          </cell>
          <cell r="Q256">
            <v>1003362</v>
          </cell>
        </row>
        <row r="257">
          <cell r="F257">
            <v>4.4000000000000004</v>
          </cell>
          <cell r="N257">
            <v>0</v>
          </cell>
          <cell r="Q257">
            <v>0</v>
          </cell>
        </row>
        <row r="258">
          <cell r="F258">
            <v>4.4000000000000004</v>
          </cell>
          <cell r="N258">
            <v>0</v>
          </cell>
          <cell r="Q258">
            <v>0</v>
          </cell>
        </row>
        <row r="259">
          <cell r="F259">
            <v>4.4000000000000004</v>
          </cell>
          <cell r="N259">
            <v>8212601</v>
          </cell>
          <cell r="Q259">
            <v>8212601</v>
          </cell>
        </row>
        <row r="260">
          <cell r="F260">
            <v>4.4000000000000004</v>
          </cell>
          <cell r="N260">
            <v>67228100</v>
          </cell>
          <cell r="Q260">
            <v>67228100</v>
          </cell>
        </row>
        <row r="261">
          <cell r="N261">
            <v>0</v>
          </cell>
          <cell r="Q261">
            <v>0</v>
          </cell>
        </row>
        <row r="262">
          <cell r="F262">
            <v>4.4000000000000004</v>
          </cell>
          <cell r="N262">
            <v>0</v>
          </cell>
          <cell r="Q262">
            <v>4154050.01</v>
          </cell>
        </row>
        <row r="263">
          <cell r="F263">
            <v>4.4000000000000004</v>
          </cell>
          <cell r="N263">
            <v>0</v>
          </cell>
          <cell r="Q263">
            <v>0</v>
          </cell>
        </row>
        <row r="264">
          <cell r="F264">
            <v>4.4000000000000004</v>
          </cell>
          <cell r="N264">
            <v>0</v>
          </cell>
          <cell r="Q264">
            <v>0</v>
          </cell>
        </row>
        <row r="265">
          <cell r="F265">
            <v>4.4000000000000004</v>
          </cell>
          <cell r="N265">
            <v>0</v>
          </cell>
          <cell r="Q265">
            <v>11609097.460000001</v>
          </cell>
        </row>
        <row r="266">
          <cell r="F266">
            <v>4.4000000000000004</v>
          </cell>
          <cell r="N266">
            <v>0</v>
          </cell>
          <cell r="Q266">
            <v>153764733.09</v>
          </cell>
        </row>
        <row r="267">
          <cell r="N267">
            <v>0</v>
          </cell>
          <cell r="Q267">
            <v>0</v>
          </cell>
        </row>
        <row r="268">
          <cell r="F268">
            <v>4.4000000000000004</v>
          </cell>
          <cell r="N268">
            <v>0</v>
          </cell>
          <cell r="Q268">
            <v>0</v>
          </cell>
        </row>
        <row r="269">
          <cell r="F269">
            <v>4.4000000000000004</v>
          </cell>
          <cell r="N269">
            <v>0</v>
          </cell>
          <cell r="Q269">
            <v>0</v>
          </cell>
        </row>
        <row r="270">
          <cell r="N270">
            <v>0</v>
          </cell>
          <cell r="Q270">
            <v>0</v>
          </cell>
        </row>
        <row r="271">
          <cell r="F271">
            <v>4.4000000000000004</v>
          </cell>
          <cell r="N271">
            <v>0</v>
          </cell>
          <cell r="Q271">
            <v>0</v>
          </cell>
        </row>
        <row r="272">
          <cell r="F272">
            <v>4.4000000000000004</v>
          </cell>
          <cell r="N272">
            <v>0</v>
          </cell>
          <cell r="Q272">
            <v>0</v>
          </cell>
        </row>
        <row r="273">
          <cell r="F273">
            <v>4.4000000000000004</v>
          </cell>
          <cell r="N273">
            <v>0</v>
          </cell>
          <cell r="Q273">
            <v>0</v>
          </cell>
        </row>
        <row r="274">
          <cell r="F274">
            <v>4.4000000000000004</v>
          </cell>
          <cell r="N274">
            <v>0</v>
          </cell>
          <cell r="Q274">
            <v>2636376.5</v>
          </cell>
        </row>
        <row r="275">
          <cell r="F275">
            <v>4.4000000000000004</v>
          </cell>
          <cell r="N275">
            <v>0</v>
          </cell>
          <cell r="Q275">
            <v>22211795.5</v>
          </cell>
        </row>
        <row r="277">
          <cell r="N277">
            <v>3371370757.5499997</v>
          </cell>
          <cell r="Q277">
            <v>16080106583.02</v>
          </cell>
        </row>
        <row r="279">
          <cell r="N279">
            <v>0</v>
          </cell>
          <cell r="Q279">
            <v>0</v>
          </cell>
        </row>
        <row r="280">
          <cell r="N280">
            <v>0</v>
          </cell>
          <cell r="Q280">
            <v>0</v>
          </cell>
        </row>
        <row r="281">
          <cell r="F281" t="str">
            <v>2.1.2</v>
          </cell>
          <cell r="N281">
            <v>0</v>
          </cell>
          <cell r="Q281">
            <v>0</v>
          </cell>
        </row>
        <row r="282">
          <cell r="F282" t="str">
            <v>2.1.2</v>
          </cell>
          <cell r="N282">
            <v>0</v>
          </cell>
          <cell r="Q282">
            <v>0</v>
          </cell>
        </row>
        <row r="283">
          <cell r="F283" t="str">
            <v>2.1.2</v>
          </cell>
          <cell r="N283">
            <v>0</v>
          </cell>
          <cell r="Q283">
            <v>0</v>
          </cell>
        </row>
        <row r="284">
          <cell r="N284">
            <v>0</v>
          </cell>
          <cell r="Q284">
            <v>0</v>
          </cell>
        </row>
        <row r="285">
          <cell r="F285" t="str">
            <v>2.1.2</v>
          </cell>
          <cell r="N285">
            <v>0</v>
          </cell>
          <cell r="Q285">
            <v>0</v>
          </cell>
        </row>
        <row r="286">
          <cell r="F286" t="str">
            <v>2.1.2</v>
          </cell>
          <cell r="N286">
            <v>0</v>
          </cell>
          <cell r="Q286">
            <v>0</v>
          </cell>
        </row>
        <row r="287">
          <cell r="F287" t="str">
            <v>2.1.2</v>
          </cell>
          <cell r="N287">
            <v>0</v>
          </cell>
          <cell r="Q287">
            <v>0</v>
          </cell>
        </row>
        <row r="288">
          <cell r="N288">
            <v>0</v>
          </cell>
          <cell r="Q288">
            <v>0</v>
          </cell>
        </row>
        <row r="289">
          <cell r="F289" t="str">
            <v>2.2.1</v>
          </cell>
          <cell r="N289">
            <v>282300</v>
          </cell>
          <cell r="Q289">
            <v>282300</v>
          </cell>
        </row>
        <row r="290">
          <cell r="F290" t="str">
            <v>2.2.1</v>
          </cell>
          <cell r="N290">
            <v>0</v>
          </cell>
          <cell r="Q290">
            <v>1913202.2</v>
          </cell>
        </row>
        <row r="291">
          <cell r="F291" t="str">
            <v>2.2.1</v>
          </cell>
          <cell r="N291">
            <v>0</v>
          </cell>
          <cell r="Q291">
            <v>94950</v>
          </cell>
        </row>
        <row r="292">
          <cell r="N292">
            <v>0</v>
          </cell>
          <cell r="Q292">
            <v>0</v>
          </cell>
        </row>
        <row r="293">
          <cell r="F293" t="str">
            <v>2.2.1</v>
          </cell>
          <cell r="N293">
            <v>0</v>
          </cell>
          <cell r="Q293">
            <v>0</v>
          </cell>
        </row>
        <row r="294">
          <cell r="F294" t="str">
            <v>2.2.1</v>
          </cell>
          <cell r="N294">
            <v>0</v>
          </cell>
          <cell r="Q294">
            <v>51216.86</v>
          </cell>
        </row>
        <row r="295">
          <cell r="F295" t="str">
            <v>2.2.1</v>
          </cell>
          <cell r="N295">
            <v>0</v>
          </cell>
          <cell r="Q295">
            <v>0</v>
          </cell>
        </row>
        <row r="296">
          <cell r="N296">
            <v>0</v>
          </cell>
          <cell r="Q296">
            <v>0</v>
          </cell>
        </row>
        <row r="297">
          <cell r="F297" t="str">
            <v>2.2.1</v>
          </cell>
          <cell r="N297">
            <v>0</v>
          </cell>
          <cell r="Q297">
            <v>0</v>
          </cell>
        </row>
        <row r="298">
          <cell r="F298" t="str">
            <v>2.2.1</v>
          </cell>
          <cell r="N298">
            <v>0</v>
          </cell>
          <cell r="Q298">
            <v>423741.17</v>
          </cell>
        </row>
        <row r="299">
          <cell r="F299" t="str">
            <v>2.2.1</v>
          </cell>
          <cell r="N299">
            <v>0</v>
          </cell>
          <cell r="Q299">
            <v>0</v>
          </cell>
        </row>
        <row r="300">
          <cell r="N300">
            <v>0</v>
          </cell>
          <cell r="Q300">
            <v>0</v>
          </cell>
        </row>
        <row r="301">
          <cell r="F301" t="str">
            <v>2.2.1</v>
          </cell>
          <cell r="N301">
            <v>0</v>
          </cell>
          <cell r="Q301">
            <v>3030158.18</v>
          </cell>
        </row>
        <row r="302">
          <cell r="N302">
            <v>0</v>
          </cell>
          <cell r="Q302">
            <v>0</v>
          </cell>
        </row>
        <row r="303">
          <cell r="F303" t="str">
            <v>2.2.1</v>
          </cell>
          <cell r="N303">
            <v>340900</v>
          </cell>
          <cell r="Q303">
            <v>340900</v>
          </cell>
        </row>
        <row r="304">
          <cell r="F304" t="str">
            <v>2.2.1</v>
          </cell>
          <cell r="N304">
            <v>0</v>
          </cell>
          <cell r="Q304">
            <v>0</v>
          </cell>
        </row>
        <row r="305">
          <cell r="F305" t="str">
            <v>2.2.1</v>
          </cell>
          <cell r="N305">
            <v>0</v>
          </cell>
          <cell r="Q305">
            <v>0</v>
          </cell>
        </row>
        <row r="306">
          <cell r="N306">
            <v>0</v>
          </cell>
          <cell r="Q306">
            <v>0</v>
          </cell>
        </row>
        <row r="307">
          <cell r="F307" t="str">
            <v>2.2.1</v>
          </cell>
          <cell r="N307">
            <v>17100</v>
          </cell>
          <cell r="Q307">
            <v>17100</v>
          </cell>
        </row>
        <row r="308">
          <cell r="F308" t="str">
            <v>2.2.1</v>
          </cell>
          <cell r="N308">
            <v>0</v>
          </cell>
          <cell r="Q308">
            <v>837348.8</v>
          </cell>
        </row>
        <row r="309">
          <cell r="F309" t="str">
            <v>2.2.1</v>
          </cell>
          <cell r="N309">
            <v>0</v>
          </cell>
          <cell r="Q309">
            <v>0</v>
          </cell>
        </row>
        <row r="310">
          <cell r="N310">
            <v>0</v>
          </cell>
          <cell r="Q310">
            <v>0</v>
          </cell>
        </row>
        <row r="311">
          <cell r="F311" t="str">
            <v>2.2.1</v>
          </cell>
          <cell r="N311">
            <v>0</v>
          </cell>
          <cell r="Q311">
            <v>0</v>
          </cell>
        </row>
        <row r="312">
          <cell r="F312" t="str">
            <v>2.2.1</v>
          </cell>
          <cell r="N312">
            <v>0</v>
          </cell>
          <cell r="Q312">
            <v>5912.7</v>
          </cell>
        </row>
        <row r="313">
          <cell r="F313" t="str">
            <v>2.2.1</v>
          </cell>
          <cell r="N313">
            <v>0</v>
          </cell>
          <cell r="Q313">
            <v>0</v>
          </cell>
        </row>
        <row r="314">
          <cell r="N314">
            <v>0</v>
          </cell>
          <cell r="Q314">
            <v>0</v>
          </cell>
        </row>
        <row r="315">
          <cell r="F315" t="str">
            <v>2.2.2</v>
          </cell>
          <cell r="N315">
            <v>8402386.8699999992</v>
          </cell>
          <cell r="Q315">
            <v>8402386.8699999992</v>
          </cell>
        </row>
        <row r="316">
          <cell r="F316" t="str">
            <v>2.2.2</v>
          </cell>
          <cell r="N316">
            <v>0</v>
          </cell>
          <cell r="Q316">
            <v>38254891.009999998</v>
          </cell>
        </row>
        <row r="317">
          <cell r="F317" t="str">
            <v>2.2.2</v>
          </cell>
          <cell r="N317">
            <v>0</v>
          </cell>
          <cell r="Q317">
            <v>0</v>
          </cell>
        </row>
        <row r="318">
          <cell r="F318" t="str">
            <v>2.2.2</v>
          </cell>
          <cell r="N318">
            <v>0</v>
          </cell>
          <cell r="Q318">
            <v>2553939.7599999998</v>
          </cell>
        </row>
        <row r="319">
          <cell r="N319">
            <v>0</v>
          </cell>
          <cell r="Q319">
            <v>0</v>
          </cell>
        </row>
        <row r="320">
          <cell r="F320" t="str">
            <v>2.2.2</v>
          </cell>
          <cell r="N320">
            <v>16924860.239999998</v>
          </cell>
          <cell r="Q320">
            <v>16924860.239999998</v>
          </cell>
        </row>
        <row r="321">
          <cell r="F321" t="str">
            <v>2.2.2</v>
          </cell>
          <cell r="N321">
            <v>0</v>
          </cell>
          <cell r="Q321">
            <v>171527271.38</v>
          </cell>
        </row>
        <row r="322">
          <cell r="F322" t="str">
            <v>2.2.2</v>
          </cell>
          <cell r="N322">
            <v>0</v>
          </cell>
          <cell r="Q322">
            <v>0</v>
          </cell>
        </row>
        <row r="323">
          <cell r="F323" t="str">
            <v>2.2.2</v>
          </cell>
          <cell r="N323">
            <v>0</v>
          </cell>
          <cell r="Q323">
            <v>8306917</v>
          </cell>
        </row>
        <row r="325">
          <cell r="F325" t="str">
            <v>2.2.2</v>
          </cell>
          <cell r="N325">
            <v>8162326.8600000003</v>
          </cell>
          <cell r="Q325">
            <v>8162326.8600000003</v>
          </cell>
        </row>
        <row r="326">
          <cell r="F326" t="str">
            <v>2.2.2</v>
          </cell>
          <cell r="N326">
            <v>0</v>
          </cell>
          <cell r="Q326">
            <v>31152802.379999999</v>
          </cell>
        </row>
        <row r="327">
          <cell r="F327" t="str">
            <v>2.2.2</v>
          </cell>
          <cell r="N327">
            <v>0</v>
          </cell>
          <cell r="Q327">
            <v>5186493.3899999997</v>
          </cell>
        </row>
        <row r="328">
          <cell r="N328">
            <v>0</v>
          </cell>
          <cell r="Q328">
            <v>0</v>
          </cell>
        </row>
        <row r="329">
          <cell r="F329" t="str">
            <v>2.2.2</v>
          </cell>
          <cell r="N329">
            <v>51300</v>
          </cell>
          <cell r="Q329">
            <v>51300</v>
          </cell>
        </row>
        <row r="330">
          <cell r="F330" t="str">
            <v>2.2.2</v>
          </cell>
          <cell r="N330">
            <v>0</v>
          </cell>
          <cell r="Q330">
            <v>2369354.7999999998</v>
          </cell>
        </row>
        <row r="331">
          <cell r="F331" t="str">
            <v>2.2.2</v>
          </cell>
          <cell r="N331">
            <v>0</v>
          </cell>
          <cell r="Q331">
            <v>0</v>
          </cell>
        </row>
        <row r="333">
          <cell r="F333" t="str">
            <v>2.2.2</v>
          </cell>
          <cell r="N333">
            <v>4594500</v>
          </cell>
          <cell r="Q333">
            <v>4594500</v>
          </cell>
        </row>
        <row r="334">
          <cell r="F334" t="str">
            <v>2.2.2</v>
          </cell>
          <cell r="N334">
            <v>0</v>
          </cell>
          <cell r="Q334">
            <v>26227.919999999998</v>
          </cell>
        </row>
        <row r="335">
          <cell r="F335" t="str">
            <v>2.2.2</v>
          </cell>
          <cell r="N335">
            <v>0</v>
          </cell>
          <cell r="Q335">
            <v>0</v>
          </cell>
        </row>
        <row r="336">
          <cell r="F336" t="str">
            <v>2.2.2</v>
          </cell>
          <cell r="N336">
            <v>0</v>
          </cell>
          <cell r="Q336">
            <v>2351.5</v>
          </cell>
        </row>
        <row r="337">
          <cell r="N337">
            <v>0</v>
          </cell>
          <cell r="Q337">
            <v>0</v>
          </cell>
        </row>
        <row r="338">
          <cell r="F338" t="str">
            <v>2.2.2</v>
          </cell>
          <cell r="N338">
            <v>4086800</v>
          </cell>
          <cell r="Q338">
            <v>4086800</v>
          </cell>
        </row>
        <row r="339">
          <cell r="F339" t="str">
            <v>2.2.2</v>
          </cell>
          <cell r="N339">
            <v>0</v>
          </cell>
          <cell r="Q339">
            <v>6142718.4100000001</v>
          </cell>
        </row>
        <row r="340">
          <cell r="F340" t="str">
            <v>2.2.2</v>
          </cell>
          <cell r="N340">
            <v>0</v>
          </cell>
          <cell r="Q340">
            <v>1008.5</v>
          </cell>
        </row>
        <row r="341">
          <cell r="N341">
            <v>0</v>
          </cell>
          <cell r="Q341">
            <v>0</v>
          </cell>
        </row>
        <row r="342">
          <cell r="F342" t="str">
            <v>2.2.2</v>
          </cell>
          <cell r="N342">
            <v>21600</v>
          </cell>
          <cell r="Q342">
            <v>21600</v>
          </cell>
        </row>
        <row r="343">
          <cell r="F343" t="str">
            <v>2.2.2</v>
          </cell>
          <cell r="N343">
            <v>0</v>
          </cell>
          <cell r="Q343">
            <v>1040336.2</v>
          </cell>
        </row>
        <row r="344">
          <cell r="N344">
            <v>0</v>
          </cell>
          <cell r="Q344">
            <v>0</v>
          </cell>
        </row>
        <row r="345">
          <cell r="F345" t="str">
            <v>2.2.3</v>
          </cell>
          <cell r="N345">
            <v>37627851.119999997</v>
          </cell>
          <cell r="Q345">
            <v>37627851.119999997</v>
          </cell>
        </row>
        <row r="346">
          <cell r="F346" t="str">
            <v>2.2.3</v>
          </cell>
          <cell r="N346">
            <v>0</v>
          </cell>
          <cell r="Q346">
            <v>648806002.88999999</v>
          </cell>
        </row>
        <row r="347">
          <cell r="F347" t="str">
            <v>2.2.3</v>
          </cell>
          <cell r="N347">
            <v>0</v>
          </cell>
          <cell r="Q347">
            <v>0</v>
          </cell>
        </row>
        <row r="348">
          <cell r="F348" t="str">
            <v>2.2.3</v>
          </cell>
          <cell r="N348">
            <v>0</v>
          </cell>
          <cell r="Q348">
            <v>37558120.090000004</v>
          </cell>
        </row>
        <row r="350">
          <cell r="F350" t="str">
            <v>2.2.3</v>
          </cell>
          <cell r="N350">
            <v>624600</v>
          </cell>
          <cell r="Q350">
            <v>624600</v>
          </cell>
        </row>
        <row r="351">
          <cell r="F351" t="str">
            <v>2.2.3</v>
          </cell>
          <cell r="N351">
            <v>0</v>
          </cell>
          <cell r="Q351">
            <v>10296453.84</v>
          </cell>
        </row>
        <row r="352">
          <cell r="F352" t="str">
            <v>2.2.3</v>
          </cell>
          <cell r="N352">
            <v>0</v>
          </cell>
          <cell r="Q352">
            <v>744436.09</v>
          </cell>
        </row>
        <row r="353">
          <cell r="F353" t="str">
            <v>2.2.3</v>
          </cell>
          <cell r="N353">
            <v>0</v>
          </cell>
          <cell r="Q353">
            <v>1378525</v>
          </cell>
        </row>
        <row r="354">
          <cell r="N354">
            <v>0</v>
          </cell>
          <cell r="Q354">
            <v>0</v>
          </cell>
        </row>
        <row r="355">
          <cell r="F355" t="str">
            <v>2.2.3</v>
          </cell>
          <cell r="N355">
            <v>1763500</v>
          </cell>
          <cell r="Q355">
            <v>1763500</v>
          </cell>
        </row>
        <row r="356">
          <cell r="F356" t="str">
            <v>2.2.3</v>
          </cell>
          <cell r="N356">
            <v>0</v>
          </cell>
          <cell r="Q356">
            <v>4669991.12</v>
          </cell>
        </row>
        <row r="357">
          <cell r="F357" t="str">
            <v>2.2.3</v>
          </cell>
          <cell r="N357">
            <v>0</v>
          </cell>
          <cell r="Q357">
            <v>13325.5</v>
          </cell>
        </row>
        <row r="358">
          <cell r="N358">
            <v>0</v>
          </cell>
          <cell r="Q358">
            <v>0</v>
          </cell>
        </row>
        <row r="359">
          <cell r="F359" t="str">
            <v>2.2.3</v>
          </cell>
          <cell r="N359">
            <v>319900</v>
          </cell>
          <cell r="Q359">
            <v>319900</v>
          </cell>
        </row>
        <row r="360">
          <cell r="F360" t="str">
            <v>2.2.3</v>
          </cell>
          <cell r="N360">
            <v>0</v>
          </cell>
          <cell r="Q360">
            <v>0</v>
          </cell>
        </row>
        <row r="361">
          <cell r="F361" t="str">
            <v>2.2.3</v>
          </cell>
          <cell r="N361">
            <v>0</v>
          </cell>
          <cell r="Q361">
            <v>0</v>
          </cell>
        </row>
        <row r="363">
          <cell r="F363" t="str">
            <v>2.2.3</v>
          </cell>
          <cell r="N363">
            <v>1074000</v>
          </cell>
          <cell r="Q363">
            <v>1074000</v>
          </cell>
        </row>
        <row r="364">
          <cell r="F364" t="str">
            <v>2.2.3</v>
          </cell>
          <cell r="N364">
            <v>0</v>
          </cell>
          <cell r="Q364">
            <v>41098.339999999997</v>
          </cell>
        </row>
        <row r="365">
          <cell r="F365" t="str">
            <v>2.2.3</v>
          </cell>
          <cell r="N365">
            <v>0</v>
          </cell>
          <cell r="Q365">
            <v>721190</v>
          </cell>
        </row>
        <row r="366">
          <cell r="N366">
            <v>0</v>
          </cell>
          <cell r="Q366">
            <v>0</v>
          </cell>
        </row>
        <row r="367">
          <cell r="F367" t="str">
            <v>2.2.3</v>
          </cell>
          <cell r="N367">
            <v>27836300</v>
          </cell>
          <cell r="Q367">
            <v>27836300</v>
          </cell>
        </row>
        <row r="368">
          <cell r="F368" t="str">
            <v>2.2.3</v>
          </cell>
          <cell r="N368">
            <v>0</v>
          </cell>
          <cell r="Q368">
            <v>4428962.79</v>
          </cell>
        </row>
        <row r="369">
          <cell r="N369">
            <v>0</v>
          </cell>
          <cell r="Q369">
            <v>0</v>
          </cell>
        </row>
        <row r="370">
          <cell r="F370" t="str">
            <v>2.2.4</v>
          </cell>
          <cell r="N370">
            <v>0</v>
          </cell>
          <cell r="Q370">
            <v>0</v>
          </cell>
        </row>
        <row r="371">
          <cell r="F371" t="str">
            <v>2.2.4</v>
          </cell>
          <cell r="N371">
            <v>0</v>
          </cell>
          <cell r="Q371">
            <v>0</v>
          </cell>
        </row>
        <row r="372">
          <cell r="F372" t="str">
            <v>2.2.4</v>
          </cell>
          <cell r="N372">
            <v>0</v>
          </cell>
          <cell r="Q372">
            <v>0</v>
          </cell>
        </row>
        <row r="373">
          <cell r="F373" t="str">
            <v>2.2.4</v>
          </cell>
          <cell r="N373">
            <v>0</v>
          </cell>
          <cell r="Q373">
            <v>0</v>
          </cell>
        </row>
        <row r="374">
          <cell r="N374">
            <v>0</v>
          </cell>
          <cell r="Q374">
            <v>0</v>
          </cell>
        </row>
        <row r="375">
          <cell r="F375" t="str">
            <v>2.2.4</v>
          </cell>
          <cell r="N375">
            <v>0</v>
          </cell>
          <cell r="Q375">
            <v>0</v>
          </cell>
        </row>
        <row r="376">
          <cell r="F376" t="str">
            <v>2.2.4</v>
          </cell>
          <cell r="N376">
            <v>0</v>
          </cell>
          <cell r="Q376">
            <v>99352.25</v>
          </cell>
        </row>
        <row r="377">
          <cell r="F377" t="str">
            <v>2.2.4</v>
          </cell>
          <cell r="N377">
            <v>0</v>
          </cell>
          <cell r="Q377">
            <v>0</v>
          </cell>
        </row>
        <row r="378">
          <cell r="F378" t="str">
            <v>2.2.4</v>
          </cell>
          <cell r="N378">
            <v>0</v>
          </cell>
          <cell r="Q378">
            <v>0</v>
          </cell>
        </row>
        <row r="379">
          <cell r="N379">
            <v>0</v>
          </cell>
          <cell r="Q379">
            <v>0</v>
          </cell>
        </row>
        <row r="380">
          <cell r="F380" t="str">
            <v>2.1.2</v>
          </cell>
          <cell r="N380">
            <v>66082190</v>
          </cell>
          <cell r="Q380">
            <v>66082190</v>
          </cell>
        </row>
        <row r="381">
          <cell r="F381" t="str">
            <v>2.1.2</v>
          </cell>
          <cell r="N381">
            <v>0</v>
          </cell>
          <cell r="Q381">
            <v>0</v>
          </cell>
        </row>
        <row r="382">
          <cell r="F382" t="str">
            <v>2.1.2</v>
          </cell>
          <cell r="N382">
            <v>0</v>
          </cell>
          <cell r="Q382">
            <v>0</v>
          </cell>
        </row>
        <row r="383">
          <cell r="N383">
            <v>0</v>
          </cell>
          <cell r="Q383">
            <v>0</v>
          </cell>
        </row>
        <row r="384">
          <cell r="F384" t="str">
            <v>2.1.2</v>
          </cell>
          <cell r="N384">
            <v>0</v>
          </cell>
          <cell r="Q384">
            <v>0</v>
          </cell>
        </row>
        <row r="385">
          <cell r="F385" t="str">
            <v>2.1.2</v>
          </cell>
          <cell r="N385">
            <v>0</v>
          </cell>
          <cell r="Q385">
            <v>0</v>
          </cell>
        </row>
        <row r="386">
          <cell r="F386" t="str">
            <v>2.1.2</v>
          </cell>
          <cell r="N386">
            <v>0</v>
          </cell>
          <cell r="Q386">
            <v>0</v>
          </cell>
        </row>
        <row r="387">
          <cell r="N387">
            <v>0</v>
          </cell>
          <cell r="Q387">
            <v>0</v>
          </cell>
        </row>
        <row r="388">
          <cell r="F388">
            <v>2.2999999999999998</v>
          </cell>
          <cell r="N388">
            <v>132088700</v>
          </cell>
          <cell r="Q388">
            <v>132088700</v>
          </cell>
        </row>
        <row r="389">
          <cell r="F389">
            <v>2.2999999999999998</v>
          </cell>
          <cell r="N389">
            <v>0</v>
          </cell>
          <cell r="Q389">
            <v>980864.34</v>
          </cell>
        </row>
        <row r="390">
          <cell r="F390">
            <v>2.2999999999999998</v>
          </cell>
          <cell r="N390">
            <v>0</v>
          </cell>
          <cell r="Q390">
            <v>14990496.5</v>
          </cell>
        </row>
        <row r="391">
          <cell r="N391">
            <v>0</v>
          </cell>
          <cell r="Q391">
            <v>0</v>
          </cell>
        </row>
        <row r="392">
          <cell r="F392">
            <v>2.2999999999999998</v>
          </cell>
          <cell r="N392">
            <v>0</v>
          </cell>
          <cell r="Q392">
            <v>0</v>
          </cell>
        </row>
        <row r="393">
          <cell r="F393">
            <v>2.2999999999999998</v>
          </cell>
          <cell r="N393">
            <v>0</v>
          </cell>
          <cell r="Q393">
            <v>861646170.39999998</v>
          </cell>
        </row>
        <row r="394">
          <cell r="F394">
            <v>2.2999999999999998</v>
          </cell>
          <cell r="N394">
            <v>0</v>
          </cell>
          <cell r="Q394">
            <v>0</v>
          </cell>
        </row>
        <row r="395">
          <cell r="N395">
            <v>0</v>
          </cell>
          <cell r="Q395">
            <v>0</v>
          </cell>
        </row>
        <row r="396">
          <cell r="F396">
            <v>2.2999999999999998</v>
          </cell>
          <cell r="N396">
            <v>155147500</v>
          </cell>
          <cell r="Q396">
            <v>155147500</v>
          </cell>
        </row>
        <row r="397">
          <cell r="F397">
            <v>2.2999999999999998</v>
          </cell>
          <cell r="N397">
            <v>0</v>
          </cell>
          <cell r="Q397">
            <v>48356244.549999997</v>
          </cell>
        </row>
        <row r="398">
          <cell r="F398">
            <v>2.2999999999999998</v>
          </cell>
          <cell r="N398">
            <v>0</v>
          </cell>
          <cell r="Q398">
            <v>0</v>
          </cell>
        </row>
        <row r="399">
          <cell r="F399">
            <v>2.2999999999999998</v>
          </cell>
          <cell r="N399">
            <v>0</v>
          </cell>
          <cell r="Q399">
            <v>101479970.5</v>
          </cell>
        </row>
        <row r="400">
          <cell r="N400">
            <v>0</v>
          </cell>
          <cell r="Q400">
            <v>0</v>
          </cell>
        </row>
        <row r="401">
          <cell r="F401">
            <v>6.1</v>
          </cell>
          <cell r="N401">
            <v>154009700</v>
          </cell>
          <cell r="Q401">
            <v>154009700</v>
          </cell>
        </row>
        <row r="402">
          <cell r="F402">
            <v>6.1</v>
          </cell>
          <cell r="N402">
            <v>0</v>
          </cell>
          <cell r="Q402">
            <v>3594529514.4200001</v>
          </cell>
        </row>
        <row r="403">
          <cell r="F403">
            <v>6.1</v>
          </cell>
          <cell r="N403">
            <v>0</v>
          </cell>
          <cell r="Q403">
            <v>0</v>
          </cell>
        </row>
        <row r="404">
          <cell r="N404">
            <v>0</v>
          </cell>
          <cell r="Q404">
            <v>0</v>
          </cell>
        </row>
        <row r="405">
          <cell r="F405">
            <v>6.1</v>
          </cell>
          <cell r="N405">
            <v>39780300</v>
          </cell>
          <cell r="Q405">
            <v>39780300</v>
          </cell>
        </row>
        <row r="406">
          <cell r="F406">
            <v>6.1</v>
          </cell>
          <cell r="N406">
            <v>0</v>
          </cell>
          <cell r="Q406">
            <v>485968190</v>
          </cell>
        </row>
        <row r="407">
          <cell r="F407">
            <v>6.1</v>
          </cell>
          <cell r="N407">
            <v>0</v>
          </cell>
          <cell r="Q407">
            <v>0</v>
          </cell>
        </row>
        <row r="408">
          <cell r="N408">
            <v>0</v>
          </cell>
          <cell r="Q408">
            <v>0</v>
          </cell>
        </row>
        <row r="409">
          <cell r="F409">
            <v>6.1</v>
          </cell>
          <cell r="N409">
            <v>0</v>
          </cell>
          <cell r="Q409">
            <v>0</v>
          </cell>
        </row>
        <row r="410">
          <cell r="F410">
            <v>6.1</v>
          </cell>
          <cell r="N410">
            <v>0</v>
          </cell>
          <cell r="Q410">
            <v>11564277.32</v>
          </cell>
        </row>
        <row r="411">
          <cell r="F411">
            <v>6.1</v>
          </cell>
          <cell r="N411">
            <v>0</v>
          </cell>
          <cell r="Q411">
            <v>0</v>
          </cell>
        </row>
        <row r="412">
          <cell r="N412">
            <v>0</v>
          </cell>
          <cell r="Q412">
            <v>0</v>
          </cell>
        </row>
        <row r="413">
          <cell r="F413">
            <v>6.2</v>
          </cell>
          <cell r="N413">
            <v>800000</v>
          </cell>
          <cell r="Q413">
            <v>800000</v>
          </cell>
        </row>
        <row r="414">
          <cell r="F414">
            <v>6.2</v>
          </cell>
          <cell r="N414">
            <v>0</v>
          </cell>
          <cell r="Q414">
            <v>-59083060.380000003</v>
          </cell>
        </row>
        <row r="415">
          <cell r="F415">
            <v>6.2</v>
          </cell>
          <cell r="N415">
            <v>0</v>
          </cell>
          <cell r="Q415">
            <v>0</v>
          </cell>
        </row>
        <row r="416">
          <cell r="N416">
            <v>0</v>
          </cell>
          <cell r="Q416">
            <v>0</v>
          </cell>
        </row>
        <row r="417">
          <cell r="F417">
            <v>6.2</v>
          </cell>
          <cell r="N417">
            <v>0</v>
          </cell>
          <cell r="Q417">
            <v>0</v>
          </cell>
        </row>
        <row r="418">
          <cell r="F418">
            <v>6.2</v>
          </cell>
          <cell r="N418">
            <v>0</v>
          </cell>
          <cell r="Q418">
            <v>303797259.66000003</v>
          </cell>
        </row>
        <row r="419">
          <cell r="F419">
            <v>6.2</v>
          </cell>
          <cell r="N419">
            <v>0</v>
          </cell>
          <cell r="Q419">
            <v>0</v>
          </cell>
        </row>
        <row r="420">
          <cell r="N420">
            <v>0</v>
          </cell>
          <cell r="Q420">
            <v>0</v>
          </cell>
        </row>
        <row r="421">
          <cell r="F421">
            <v>6.2</v>
          </cell>
          <cell r="N421">
            <v>9544800</v>
          </cell>
          <cell r="Q421">
            <v>9544800</v>
          </cell>
        </row>
        <row r="422">
          <cell r="F422">
            <v>6.2</v>
          </cell>
          <cell r="N422">
            <v>0</v>
          </cell>
          <cell r="Q422">
            <v>138250257.34999999</v>
          </cell>
        </row>
        <row r="423">
          <cell r="F423">
            <v>6.2</v>
          </cell>
          <cell r="N423">
            <v>0</v>
          </cell>
          <cell r="Q423">
            <v>0</v>
          </cell>
        </row>
        <row r="424">
          <cell r="F424">
            <v>6.2</v>
          </cell>
          <cell r="N424">
            <v>0</v>
          </cell>
          <cell r="Q424">
            <v>0</v>
          </cell>
        </row>
        <row r="425">
          <cell r="N425">
            <v>0</v>
          </cell>
          <cell r="Q425">
            <v>0</v>
          </cell>
        </row>
        <row r="426">
          <cell r="F426">
            <v>6.2</v>
          </cell>
          <cell r="N426">
            <v>941400</v>
          </cell>
          <cell r="Q426">
            <v>941400</v>
          </cell>
        </row>
        <row r="427">
          <cell r="F427">
            <v>6.2</v>
          </cell>
          <cell r="N427">
            <v>0</v>
          </cell>
          <cell r="Q427">
            <v>602346.37</v>
          </cell>
        </row>
        <row r="428">
          <cell r="F428">
            <v>6.2</v>
          </cell>
          <cell r="N428">
            <v>0</v>
          </cell>
          <cell r="Q428">
            <v>0</v>
          </cell>
        </row>
        <row r="429">
          <cell r="N429">
            <v>0</v>
          </cell>
          <cell r="Q429">
            <v>0</v>
          </cell>
        </row>
        <row r="430">
          <cell r="F430">
            <v>6.2</v>
          </cell>
          <cell r="N430">
            <v>887000</v>
          </cell>
          <cell r="Q430">
            <v>887000</v>
          </cell>
        </row>
        <row r="431">
          <cell r="F431">
            <v>6.2</v>
          </cell>
          <cell r="N431">
            <v>0</v>
          </cell>
          <cell r="Q431">
            <v>112385880.5</v>
          </cell>
        </row>
        <row r="432">
          <cell r="F432">
            <v>6.2</v>
          </cell>
          <cell r="N432">
            <v>0</v>
          </cell>
          <cell r="Q432">
            <v>146250</v>
          </cell>
        </row>
        <row r="433">
          <cell r="N433">
            <v>0</v>
          </cell>
          <cell r="Q433">
            <v>0</v>
          </cell>
        </row>
        <row r="434">
          <cell r="F434">
            <v>6.2</v>
          </cell>
          <cell r="N434">
            <v>132000</v>
          </cell>
          <cell r="Q434">
            <v>132000</v>
          </cell>
        </row>
        <row r="435">
          <cell r="F435">
            <v>6.2</v>
          </cell>
          <cell r="N435">
            <v>0</v>
          </cell>
          <cell r="Q435">
            <v>32153540.48</v>
          </cell>
        </row>
        <row r="436">
          <cell r="F436">
            <v>6.2</v>
          </cell>
          <cell r="N436">
            <v>0</v>
          </cell>
          <cell r="Q436">
            <v>0</v>
          </cell>
        </row>
        <row r="437">
          <cell r="N437">
            <v>0</v>
          </cell>
          <cell r="Q437">
            <v>0</v>
          </cell>
        </row>
        <row r="438">
          <cell r="F438">
            <v>6.5</v>
          </cell>
          <cell r="N438">
            <v>0</v>
          </cell>
          <cell r="Q438">
            <v>0</v>
          </cell>
        </row>
        <row r="439">
          <cell r="F439">
            <v>6.5</v>
          </cell>
          <cell r="N439">
            <v>0</v>
          </cell>
          <cell r="Q439">
            <v>0</v>
          </cell>
        </row>
        <row r="440">
          <cell r="F440">
            <v>6.5</v>
          </cell>
          <cell r="N440">
            <v>0</v>
          </cell>
          <cell r="Q440">
            <v>0</v>
          </cell>
        </row>
        <row r="441">
          <cell r="N441">
            <v>0</v>
          </cell>
          <cell r="Q441">
            <v>0</v>
          </cell>
        </row>
        <row r="442">
          <cell r="F442">
            <v>6.6</v>
          </cell>
          <cell r="N442">
            <v>0</v>
          </cell>
          <cell r="Q442">
            <v>0</v>
          </cell>
        </row>
        <row r="443">
          <cell r="F443">
            <v>6.6</v>
          </cell>
          <cell r="N443">
            <v>0</v>
          </cell>
          <cell r="Q443">
            <v>33095167.879999999</v>
          </cell>
        </row>
        <row r="444">
          <cell r="F444">
            <v>6.6</v>
          </cell>
          <cell r="N444">
            <v>0</v>
          </cell>
          <cell r="Q444">
            <v>0</v>
          </cell>
        </row>
        <row r="445">
          <cell r="N445">
            <v>0</v>
          </cell>
          <cell r="Q445">
            <v>0</v>
          </cell>
        </row>
        <row r="446">
          <cell r="F446">
            <v>6.6</v>
          </cell>
          <cell r="N446">
            <v>0</v>
          </cell>
          <cell r="Q446">
            <v>0</v>
          </cell>
        </row>
        <row r="447">
          <cell r="F447">
            <v>6.6</v>
          </cell>
          <cell r="N447">
            <v>0</v>
          </cell>
          <cell r="Q447">
            <v>57827151.840000004</v>
          </cell>
        </row>
        <row r="448">
          <cell r="F448">
            <v>6.6</v>
          </cell>
          <cell r="N448">
            <v>0</v>
          </cell>
          <cell r="Q448">
            <v>0</v>
          </cell>
        </row>
        <row r="449">
          <cell r="N449">
            <v>0</v>
          </cell>
          <cell r="Q449">
            <v>0</v>
          </cell>
        </row>
        <row r="450">
          <cell r="F450">
            <v>6.6</v>
          </cell>
          <cell r="N450">
            <v>0</v>
          </cell>
          <cell r="Q450">
            <v>0</v>
          </cell>
        </row>
        <row r="451">
          <cell r="F451">
            <v>6.6</v>
          </cell>
          <cell r="N451">
            <v>0</v>
          </cell>
          <cell r="Q451">
            <v>153967042.96000001</v>
          </cell>
        </row>
        <row r="452">
          <cell r="F452">
            <v>6.6</v>
          </cell>
          <cell r="N452">
            <v>0</v>
          </cell>
          <cell r="Q452">
            <v>0</v>
          </cell>
        </row>
        <row r="453">
          <cell r="N453">
            <v>0</v>
          </cell>
          <cell r="Q453">
            <v>0</v>
          </cell>
        </row>
        <row r="454">
          <cell r="F454">
            <v>6.6</v>
          </cell>
          <cell r="N454">
            <v>0</v>
          </cell>
          <cell r="Q454">
            <v>0</v>
          </cell>
        </row>
        <row r="455">
          <cell r="F455">
            <v>6.6</v>
          </cell>
          <cell r="N455">
            <v>0</v>
          </cell>
          <cell r="Q455">
            <v>114149521.40000001</v>
          </cell>
        </row>
        <row r="456">
          <cell r="F456">
            <v>6.6</v>
          </cell>
          <cell r="N456">
            <v>0</v>
          </cell>
          <cell r="Q456">
            <v>0</v>
          </cell>
        </row>
        <row r="457">
          <cell r="N457">
            <v>0</v>
          </cell>
          <cell r="Q457">
            <v>0</v>
          </cell>
        </row>
        <row r="458">
          <cell r="F458" t="str">
            <v>6.8.2</v>
          </cell>
          <cell r="N458">
            <v>0</v>
          </cell>
          <cell r="Q458">
            <v>0</v>
          </cell>
        </row>
        <row r="459">
          <cell r="F459" t="str">
            <v>6.8.2</v>
          </cell>
          <cell r="N459">
            <v>0</v>
          </cell>
          <cell r="Q459">
            <v>0</v>
          </cell>
        </row>
        <row r="460">
          <cell r="F460" t="str">
            <v>6.8.2</v>
          </cell>
          <cell r="N460">
            <v>0</v>
          </cell>
          <cell r="Q460">
            <v>0</v>
          </cell>
        </row>
        <row r="461">
          <cell r="N461">
            <v>0</v>
          </cell>
          <cell r="Q461">
            <v>0</v>
          </cell>
        </row>
        <row r="462">
          <cell r="F462">
            <v>6.5</v>
          </cell>
          <cell r="N462">
            <v>0</v>
          </cell>
          <cell r="Q462">
            <v>0</v>
          </cell>
        </row>
        <row r="463">
          <cell r="F463">
            <v>6.5</v>
          </cell>
          <cell r="N463">
            <v>0</v>
          </cell>
          <cell r="Q463">
            <v>24988548.329999998</v>
          </cell>
        </row>
        <row r="464">
          <cell r="F464">
            <v>6.5</v>
          </cell>
          <cell r="N464">
            <v>0</v>
          </cell>
          <cell r="Q464">
            <v>0</v>
          </cell>
        </row>
        <row r="465">
          <cell r="N465">
            <v>0</v>
          </cell>
          <cell r="Q465">
            <v>0</v>
          </cell>
        </row>
        <row r="466">
          <cell r="F466">
            <v>6.7</v>
          </cell>
          <cell r="N466">
            <v>0</v>
          </cell>
          <cell r="Q466">
            <v>0</v>
          </cell>
        </row>
        <row r="467">
          <cell r="F467">
            <v>6.7</v>
          </cell>
          <cell r="N467">
            <v>0</v>
          </cell>
          <cell r="Q467">
            <v>66598900.939999998</v>
          </cell>
        </row>
        <row r="468">
          <cell r="F468">
            <v>6.7</v>
          </cell>
          <cell r="N468">
            <v>0</v>
          </cell>
          <cell r="Q468">
            <v>0</v>
          </cell>
        </row>
        <row r="469">
          <cell r="N469">
            <v>0</v>
          </cell>
          <cell r="Q469">
            <v>0</v>
          </cell>
        </row>
        <row r="470">
          <cell r="F470">
            <v>6.7</v>
          </cell>
          <cell r="N470">
            <v>0</v>
          </cell>
          <cell r="Q470">
            <v>0</v>
          </cell>
        </row>
        <row r="471">
          <cell r="F471">
            <v>6.7</v>
          </cell>
          <cell r="N471">
            <v>0</v>
          </cell>
          <cell r="Q471">
            <v>0</v>
          </cell>
        </row>
        <row r="472">
          <cell r="F472">
            <v>6.7</v>
          </cell>
          <cell r="N472">
            <v>0</v>
          </cell>
          <cell r="Q472">
            <v>0</v>
          </cell>
        </row>
        <row r="473">
          <cell r="N473">
            <v>0</v>
          </cell>
          <cell r="Q473">
            <v>0</v>
          </cell>
        </row>
        <row r="474">
          <cell r="F474">
            <v>6.5</v>
          </cell>
          <cell r="N474">
            <v>349434.96</v>
          </cell>
          <cell r="Q474">
            <v>349434.96</v>
          </cell>
        </row>
        <row r="475">
          <cell r="F475">
            <v>6.5</v>
          </cell>
          <cell r="N475">
            <v>0</v>
          </cell>
          <cell r="Q475">
            <v>3488043.84</v>
          </cell>
        </row>
        <row r="476">
          <cell r="F476">
            <v>6.5</v>
          </cell>
          <cell r="N476">
            <v>0</v>
          </cell>
          <cell r="Q476">
            <v>0</v>
          </cell>
        </row>
        <row r="477">
          <cell r="N477">
            <v>0</v>
          </cell>
          <cell r="Q477">
            <v>0</v>
          </cell>
        </row>
        <row r="478">
          <cell r="F478">
            <v>6.6</v>
          </cell>
          <cell r="N478">
            <v>19552900</v>
          </cell>
          <cell r="Q478">
            <v>19552900</v>
          </cell>
        </row>
        <row r="479">
          <cell r="F479">
            <v>6.6</v>
          </cell>
          <cell r="N479">
            <v>2799900</v>
          </cell>
          <cell r="Q479">
            <v>2799900</v>
          </cell>
        </row>
        <row r="480">
          <cell r="F480">
            <v>6.6</v>
          </cell>
          <cell r="N480">
            <v>0</v>
          </cell>
          <cell r="Q480">
            <v>34874627.200000003</v>
          </cell>
        </row>
        <row r="481">
          <cell r="F481">
            <v>6.6</v>
          </cell>
          <cell r="N481">
            <v>0</v>
          </cell>
          <cell r="Q481">
            <v>98414478.439999998</v>
          </cell>
        </row>
        <row r="482">
          <cell r="F482">
            <v>6.6</v>
          </cell>
          <cell r="N482">
            <v>0</v>
          </cell>
          <cell r="Q482">
            <v>2010210</v>
          </cell>
        </row>
        <row r="483">
          <cell r="F483">
            <v>6.6</v>
          </cell>
          <cell r="N483">
            <v>0</v>
          </cell>
          <cell r="Q483">
            <v>1024808</v>
          </cell>
        </row>
        <row r="484">
          <cell r="N484">
            <v>0</v>
          </cell>
          <cell r="Q484">
            <v>0</v>
          </cell>
        </row>
        <row r="485">
          <cell r="F485">
            <v>6.3</v>
          </cell>
          <cell r="N485">
            <v>0</v>
          </cell>
          <cell r="Q485">
            <v>0</v>
          </cell>
        </row>
        <row r="486">
          <cell r="F486">
            <v>6.3</v>
          </cell>
          <cell r="N486">
            <v>0</v>
          </cell>
          <cell r="Q486">
            <v>338431958.77999997</v>
          </cell>
        </row>
        <row r="487">
          <cell r="F487">
            <v>6.3</v>
          </cell>
          <cell r="N487">
            <v>0</v>
          </cell>
          <cell r="Q487">
            <v>0</v>
          </cell>
        </row>
        <row r="488">
          <cell r="N488">
            <v>0</v>
          </cell>
          <cell r="Q488">
            <v>0</v>
          </cell>
        </row>
        <row r="489">
          <cell r="F489">
            <v>6.3</v>
          </cell>
          <cell r="N489">
            <v>15000</v>
          </cell>
          <cell r="Q489">
            <v>15000</v>
          </cell>
        </row>
        <row r="490">
          <cell r="F490">
            <v>6.3</v>
          </cell>
          <cell r="N490">
            <v>0</v>
          </cell>
          <cell r="Q490">
            <v>497849.76</v>
          </cell>
        </row>
        <row r="491">
          <cell r="F491">
            <v>6.3</v>
          </cell>
          <cell r="N491">
            <v>0</v>
          </cell>
          <cell r="Q491">
            <v>5068602</v>
          </cell>
        </row>
        <row r="492">
          <cell r="F492">
            <v>6.3</v>
          </cell>
          <cell r="N492">
            <v>0</v>
          </cell>
          <cell r="Q492">
            <v>18438374.039999999</v>
          </cell>
        </row>
        <row r="493">
          <cell r="F493">
            <v>6.3</v>
          </cell>
          <cell r="N493">
            <v>0</v>
          </cell>
          <cell r="Q493">
            <v>23886755.719999999</v>
          </cell>
        </row>
        <row r="494">
          <cell r="F494">
            <v>6.3</v>
          </cell>
          <cell r="N494">
            <v>0</v>
          </cell>
          <cell r="Q494">
            <v>212854781.44</v>
          </cell>
        </row>
        <row r="495">
          <cell r="F495">
            <v>6.3</v>
          </cell>
          <cell r="N495">
            <v>0</v>
          </cell>
          <cell r="Q495">
            <v>106969583.83</v>
          </cell>
        </row>
        <row r="496">
          <cell r="F496">
            <v>6.3</v>
          </cell>
          <cell r="N496">
            <v>0</v>
          </cell>
          <cell r="Q496">
            <v>71603.600000000006</v>
          </cell>
        </row>
        <row r="497">
          <cell r="F497">
            <v>6.3</v>
          </cell>
          <cell r="N497">
            <v>0</v>
          </cell>
          <cell r="Q497">
            <v>0</v>
          </cell>
        </row>
        <row r="498">
          <cell r="N498">
            <v>0</v>
          </cell>
          <cell r="Q498">
            <v>0</v>
          </cell>
        </row>
        <row r="499">
          <cell r="F499">
            <v>6.5</v>
          </cell>
          <cell r="N499">
            <v>155899240</v>
          </cell>
          <cell r="Q499">
            <v>155899240</v>
          </cell>
        </row>
        <row r="500">
          <cell r="F500">
            <v>6.5</v>
          </cell>
          <cell r="N500">
            <v>0</v>
          </cell>
          <cell r="Q500">
            <v>15379359.279999999</v>
          </cell>
        </row>
        <row r="501">
          <cell r="F501">
            <v>6.5</v>
          </cell>
          <cell r="N501">
            <v>0</v>
          </cell>
          <cell r="Q501">
            <v>8816438</v>
          </cell>
        </row>
        <row r="503">
          <cell r="F503">
            <v>6.5</v>
          </cell>
          <cell r="N503">
            <v>0</v>
          </cell>
          <cell r="Q503">
            <v>0</v>
          </cell>
        </row>
        <row r="504">
          <cell r="F504">
            <v>6.5</v>
          </cell>
          <cell r="N504">
            <v>0</v>
          </cell>
          <cell r="Q504">
            <v>0</v>
          </cell>
        </row>
        <row r="505">
          <cell r="F505">
            <v>6.5</v>
          </cell>
          <cell r="N505">
            <v>0</v>
          </cell>
          <cell r="Q505">
            <v>0</v>
          </cell>
        </row>
        <row r="506">
          <cell r="N506">
            <v>0</v>
          </cell>
          <cell r="Q506">
            <v>0</v>
          </cell>
        </row>
        <row r="507">
          <cell r="F507">
            <v>6.5</v>
          </cell>
          <cell r="N507">
            <v>58711700</v>
          </cell>
          <cell r="Q507">
            <v>58711700</v>
          </cell>
        </row>
        <row r="508">
          <cell r="F508">
            <v>6.5</v>
          </cell>
          <cell r="N508">
            <v>0</v>
          </cell>
          <cell r="Q508">
            <v>7706863.7199999997</v>
          </cell>
        </row>
        <row r="509">
          <cell r="F509">
            <v>6.5</v>
          </cell>
          <cell r="N509">
            <v>0</v>
          </cell>
          <cell r="Q509">
            <v>0</v>
          </cell>
        </row>
        <row r="510">
          <cell r="N510">
            <v>0</v>
          </cell>
          <cell r="Q510">
            <v>0</v>
          </cell>
        </row>
        <row r="511">
          <cell r="F511">
            <v>6.6</v>
          </cell>
          <cell r="N511">
            <v>3386600</v>
          </cell>
          <cell r="Q511">
            <v>3386600</v>
          </cell>
        </row>
        <row r="512">
          <cell r="F512">
            <v>6.6</v>
          </cell>
          <cell r="N512">
            <v>0</v>
          </cell>
          <cell r="Q512">
            <v>126496547.3</v>
          </cell>
        </row>
        <row r="513">
          <cell r="F513">
            <v>6.6</v>
          </cell>
          <cell r="N513">
            <v>0</v>
          </cell>
          <cell r="Q513">
            <v>0</v>
          </cell>
        </row>
        <row r="514">
          <cell r="N514">
            <v>0</v>
          </cell>
          <cell r="Q514">
            <v>0</v>
          </cell>
        </row>
        <row r="515">
          <cell r="F515" t="str">
            <v>6.8.2</v>
          </cell>
          <cell r="N515">
            <v>40000</v>
          </cell>
          <cell r="Q515">
            <v>40000</v>
          </cell>
        </row>
        <row r="516">
          <cell r="F516" t="str">
            <v>6.8.2</v>
          </cell>
          <cell r="N516">
            <v>0</v>
          </cell>
          <cell r="Q516">
            <v>6757258.0999999996</v>
          </cell>
        </row>
        <row r="517">
          <cell r="F517" t="str">
            <v>6.8.2</v>
          </cell>
          <cell r="N517">
            <v>0</v>
          </cell>
          <cell r="Q517">
            <v>0</v>
          </cell>
        </row>
        <row r="518">
          <cell r="N518">
            <v>0</v>
          </cell>
          <cell r="Q518">
            <v>0</v>
          </cell>
        </row>
        <row r="519">
          <cell r="F519" t="str">
            <v>6.8.2</v>
          </cell>
          <cell r="N519">
            <v>0</v>
          </cell>
          <cell r="Q519">
            <v>0</v>
          </cell>
        </row>
        <row r="520">
          <cell r="F520" t="str">
            <v>6.8.2</v>
          </cell>
          <cell r="N520">
            <v>0</v>
          </cell>
          <cell r="Q520">
            <v>15516907.24</v>
          </cell>
        </row>
        <row r="521">
          <cell r="F521" t="str">
            <v>6.8.2</v>
          </cell>
          <cell r="N521">
            <v>0</v>
          </cell>
          <cell r="Q521">
            <v>0</v>
          </cell>
        </row>
        <row r="522">
          <cell r="N522">
            <v>0</v>
          </cell>
          <cell r="Q522">
            <v>0</v>
          </cell>
        </row>
        <row r="523">
          <cell r="F523" t="str">
            <v>6.8.2</v>
          </cell>
          <cell r="N523">
            <v>0</v>
          </cell>
          <cell r="Q523">
            <v>0</v>
          </cell>
        </row>
        <row r="524">
          <cell r="F524" t="str">
            <v>6.8.2</v>
          </cell>
          <cell r="N524">
            <v>0</v>
          </cell>
          <cell r="Q524">
            <v>3323183.08</v>
          </cell>
        </row>
        <row r="525">
          <cell r="F525" t="str">
            <v>6.8.2</v>
          </cell>
          <cell r="N525">
            <v>0</v>
          </cell>
          <cell r="Q525">
            <v>0</v>
          </cell>
        </row>
        <row r="526">
          <cell r="N526">
            <v>0</v>
          </cell>
          <cell r="Q526">
            <v>0</v>
          </cell>
        </row>
        <row r="527">
          <cell r="F527" t="str">
            <v>6.8.2</v>
          </cell>
          <cell r="N527">
            <v>7607900</v>
          </cell>
          <cell r="Q527">
            <v>7607900</v>
          </cell>
        </row>
        <row r="528">
          <cell r="F528" t="str">
            <v>6.8.2</v>
          </cell>
          <cell r="N528">
            <v>0</v>
          </cell>
          <cell r="Q528">
            <v>9553395.8200000003</v>
          </cell>
        </row>
        <row r="529">
          <cell r="F529" t="str">
            <v>6.8.2</v>
          </cell>
          <cell r="N529">
            <v>0</v>
          </cell>
          <cell r="Q529">
            <v>113737.5</v>
          </cell>
        </row>
        <row r="530">
          <cell r="N530">
            <v>0</v>
          </cell>
          <cell r="Q530">
            <v>0</v>
          </cell>
        </row>
        <row r="531">
          <cell r="F531" t="str">
            <v>6.8.2</v>
          </cell>
          <cell r="N531">
            <v>0</v>
          </cell>
          <cell r="Q531">
            <v>0</v>
          </cell>
        </row>
        <row r="532">
          <cell r="F532" t="str">
            <v>6.8.2</v>
          </cell>
          <cell r="N532">
            <v>0</v>
          </cell>
          <cell r="Q532">
            <v>38064997.159999996</v>
          </cell>
        </row>
        <row r="533">
          <cell r="F533" t="str">
            <v>6.8.2</v>
          </cell>
          <cell r="N533">
            <v>0</v>
          </cell>
          <cell r="Q533">
            <v>0</v>
          </cell>
        </row>
        <row r="534">
          <cell r="F534" t="str">
            <v>6.8.2</v>
          </cell>
          <cell r="N534">
            <v>0</v>
          </cell>
          <cell r="Q534">
            <v>0</v>
          </cell>
        </row>
        <row r="535">
          <cell r="N535">
            <v>0</v>
          </cell>
          <cell r="Q535">
            <v>0</v>
          </cell>
        </row>
        <row r="536">
          <cell r="F536" t="str">
            <v>6.8.2</v>
          </cell>
          <cell r="N536">
            <v>754900</v>
          </cell>
          <cell r="Q536">
            <v>754900</v>
          </cell>
        </row>
        <row r="537">
          <cell r="F537" t="str">
            <v>6.8.2</v>
          </cell>
          <cell r="N537">
            <v>0</v>
          </cell>
          <cell r="Q537">
            <v>23738130.079999998</v>
          </cell>
        </row>
        <row r="538">
          <cell r="F538" t="str">
            <v>6.8.2</v>
          </cell>
          <cell r="N538">
            <v>0</v>
          </cell>
          <cell r="Q538">
            <v>122538.5</v>
          </cell>
        </row>
        <row r="539">
          <cell r="N539">
            <v>0</v>
          </cell>
          <cell r="Q539">
            <v>0</v>
          </cell>
        </row>
        <row r="540">
          <cell r="F540" t="str">
            <v>6.8.2</v>
          </cell>
          <cell r="N540">
            <v>0</v>
          </cell>
          <cell r="Q540">
            <v>0</v>
          </cell>
        </row>
        <row r="541">
          <cell r="F541" t="str">
            <v>6.8.2</v>
          </cell>
          <cell r="N541">
            <v>0</v>
          </cell>
          <cell r="Q541">
            <v>15615000</v>
          </cell>
        </row>
        <row r="542">
          <cell r="F542" t="str">
            <v>6.8.2</v>
          </cell>
          <cell r="N542">
            <v>0</v>
          </cell>
          <cell r="Q542">
            <v>0</v>
          </cell>
        </row>
        <row r="543">
          <cell r="N543">
            <v>0</v>
          </cell>
          <cell r="Q543">
            <v>0</v>
          </cell>
        </row>
        <row r="544">
          <cell r="F544" t="str">
            <v>6.8.2</v>
          </cell>
          <cell r="N544">
            <v>0</v>
          </cell>
          <cell r="Q544">
            <v>0</v>
          </cell>
        </row>
        <row r="545">
          <cell r="F545" t="str">
            <v>6.8.2</v>
          </cell>
          <cell r="N545">
            <v>0</v>
          </cell>
          <cell r="Q545">
            <v>0</v>
          </cell>
        </row>
        <row r="546">
          <cell r="F546" t="str">
            <v>6.8.2</v>
          </cell>
          <cell r="N546">
            <v>0</v>
          </cell>
          <cell r="Q546">
            <v>0</v>
          </cell>
        </row>
        <row r="547">
          <cell r="N547">
            <v>0</v>
          </cell>
          <cell r="Q547">
            <v>0</v>
          </cell>
        </row>
        <row r="548">
          <cell r="F548" t="str">
            <v>6.8.2</v>
          </cell>
          <cell r="N548">
            <v>0</v>
          </cell>
          <cell r="Q548">
            <v>0</v>
          </cell>
        </row>
        <row r="549">
          <cell r="F549" t="str">
            <v>6.8.2</v>
          </cell>
          <cell r="N549">
            <v>0</v>
          </cell>
          <cell r="Q549">
            <v>657120.84</v>
          </cell>
        </row>
        <row r="550">
          <cell r="F550" t="str">
            <v>6.8.2</v>
          </cell>
          <cell r="N550">
            <v>0</v>
          </cell>
          <cell r="Q550">
            <v>0</v>
          </cell>
        </row>
        <row r="551">
          <cell r="N551">
            <v>0</v>
          </cell>
          <cell r="Q551">
            <v>0</v>
          </cell>
        </row>
        <row r="552">
          <cell r="F552" t="str">
            <v>6.8.2</v>
          </cell>
          <cell r="N552">
            <v>0</v>
          </cell>
          <cell r="Q552">
            <v>0</v>
          </cell>
        </row>
        <row r="553">
          <cell r="F553" t="str">
            <v>6.8.2</v>
          </cell>
          <cell r="N553">
            <v>0</v>
          </cell>
          <cell r="Q553">
            <v>17880872</v>
          </cell>
        </row>
        <row r="554">
          <cell r="F554" t="str">
            <v>6.8.2</v>
          </cell>
          <cell r="N554">
            <v>0</v>
          </cell>
          <cell r="Q554">
            <v>0</v>
          </cell>
        </row>
        <row r="555">
          <cell r="F555" t="str">
            <v>6.8.2</v>
          </cell>
          <cell r="N555">
            <v>0</v>
          </cell>
          <cell r="Q555">
            <v>0</v>
          </cell>
        </row>
        <row r="556">
          <cell r="N556">
            <v>0</v>
          </cell>
          <cell r="Q556">
            <v>0</v>
          </cell>
        </row>
        <row r="557">
          <cell r="F557" t="str">
            <v>6.8.2</v>
          </cell>
          <cell r="N557">
            <v>22825000</v>
          </cell>
          <cell r="Q557">
            <v>22825000</v>
          </cell>
        </row>
        <row r="558">
          <cell r="F558" t="str">
            <v>6.8.2</v>
          </cell>
          <cell r="N558">
            <v>2155900</v>
          </cell>
          <cell r="Q558">
            <v>2155900</v>
          </cell>
        </row>
        <row r="559">
          <cell r="F559" t="str">
            <v>6.8.2</v>
          </cell>
          <cell r="N559">
            <v>0</v>
          </cell>
          <cell r="Q559">
            <v>44803070.909999996</v>
          </cell>
        </row>
        <row r="560">
          <cell r="F560" t="str">
            <v>6.8.2</v>
          </cell>
          <cell r="N560">
            <v>0</v>
          </cell>
          <cell r="Q560">
            <v>3033918.92</v>
          </cell>
        </row>
        <row r="561">
          <cell r="F561" t="str">
            <v>6.8.2</v>
          </cell>
          <cell r="N561">
            <v>0</v>
          </cell>
          <cell r="Q561">
            <v>0</v>
          </cell>
        </row>
        <row r="562">
          <cell r="F562" t="str">
            <v>6.8.2</v>
          </cell>
          <cell r="N562">
            <v>0</v>
          </cell>
          <cell r="Q562">
            <v>664096.5</v>
          </cell>
        </row>
        <row r="563">
          <cell r="F563" t="str">
            <v>6.8.2</v>
          </cell>
          <cell r="N563">
            <v>0</v>
          </cell>
          <cell r="Q563">
            <v>0</v>
          </cell>
        </row>
        <row r="564">
          <cell r="N564">
            <v>0</v>
          </cell>
          <cell r="Q564">
            <v>0</v>
          </cell>
        </row>
        <row r="565">
          <cell r="F565" t="str">
            <v>6.8.2</v>
          </cell>
          <cell r="N565">
            <v>0</v>
          </cell>
          <cell r="Q565">
            <v>0</v>
          </cell>
        </row>
        <row r="567">
          <cell r="F567" t="str">
            <v>6.8.2</v>
          </cell>
          <cell r="N567">
            <v>0</v>
          </cell>
          <cell r="Q567">
            <v>0</v>
          </cell>
        </row>
        <row r="568">
          <cell r="F568" t="str">
            <v>6.8.2</v>
          </cell>
          <cell r="N568">
            <v>0</v>
          </cell>
          <cell r="Q568">
            <v>2724070.16</v>
          </cell>
        </row>
        <row r="569">
          <cell r="F569" t="str">
            <v>6.8.2</v>
          </cell>
          <cell r="N569">
            <v>0</v>
          </cell>
          <cell r="Q569">
            <v>0</v>
          </cell>
        </row>
        <row r="570">
          <cell r="N570">
            <v>0</v>
          </cell>
          <cell r="Q570">
            <v>0</v>
          </cell>
        </row>
        <row r="571">
          <cell r="F571" t="str">
            <v>6.8.2</v>
          </cell>
          <cell r="N571">
            <v>0</v>
          </cell>
          <cell r="Q571">
            <v>0</v>
          </cell>
        </row>
        <row r="572">
          <cell r="F572" t="str">
            <v>6.8.2</v>
          </cell>
          <cell r="N572">
            <v>0</v>
          </cell>
          <cell r="Q572">
            <v>10420000</v>
          </cell>
        </row>
        <row r="573">
          <cell r="F573" t="str">
            <v>6.8.2</v>
          </cell>
          <cell r="N573">
            <v>0</v>
          </cell>
          <cell r="Q573">
            <v>0</v>
          </cell>
        </row>
        <row r="574">
          <cell r="N574">
            <v>0</v>
          </cell>
          <cell r="Q574">
            <v>0</v>
          </cell>
        </row>
        <row r="575">
          <cell r="F575" t="str">
            <v>6.8.2</v>
          </cell>
          <cell r="N575">
            <v>0</v>
          </cell>
          <cell r="Q575">
            <v>0</v>
          </cell>
        </row>
        <row r="576">
          <cell r="F576" t="str">
            <v>6.8.2</v>
          </cell>
          <cell r="N576">
            <v>0</v>
          </cell>
          <cell r="Q576">
            <v>0</v>
          </cell>
        </row>
        <row r="577">
          <cell r="F577" t="str">
            <v>6.8.2</v>
          </cell>
          <cell r="N577">
            <v>0</v>
          </cell>
          <cell r="Q577">
            <v>0</v>
          </cell>
        </row>
        <row r="578">
          <cell r="N578">
            <v>0</v>
          </cell>
          <cell r="Q578">
            <v>0</v>
          </cell>
        </row>
        <row r="579">
          <cell r="F579" t="str">
            <v>6.8.2</v>
          </cell>
          <cell r="N579">
            <v>836600</v>
          </cell>
          <cell r="Q579">
            <v>836600</v>
          </cell>
        </row>
        <row r="580">
          <cell r="F580" t="str">
            <v>6.8.2</v>
          </cell>
          <cell r="N580">
            <v>0</v>
          </cell>
          <cell r="Q580">
            <v>70918774.230000004</v>
          </cell>
        </row>
        <row r="581">
          <cell r="F581" t="str">
            <v>6.8.2</v>
          </cell>
          <cell r="N581">
            <v>0</v>
          </cell>
          <cell r="Q581">
            <v>0</v>
          </cell>
        </row>
        <row r="582">
          <cell r="N582">
            <v>0</v>
          </cell>
          <cell r="Q582">
            <v>0</v>
          </cell>
        </row>
        <row r="583">
          <cell r="F583" t="str">
            <v>6.8.2</v>
          </cell>
          <cell r="N583">
            <v>147000</v>
          </cell>
          <cell r="Q583">
            <v>147000</v>
          </cell>
        </row>
        <row r="584">
          <cell r="F584" t="str">
            <v>6.8.2</v>
          </cell>
          <cell r="N584">
            <v>0</v>
          </cell>
          <cell r="Q584">
            <v>18424206.899999999</v>
          </cell>
        </row>
        <row r="585">
          <cell r="F585" t="str">
            <v>6.8.2</v>
          </cell>
          <cell r="N585">
            <v>0</v>
          </cell>
          <cell r="Q585">
            <v>0</v>
          </cell>
        </row>
        <row r="586">
          <cell r="N586">
            <v>0</v>
          </cell>
          <cell r="Q586">
            <v>0</v>
          </cell>
        </row>
        <row r="587">
          <cell r="F587" t="str">
            <v>6.8.2</v>
          </cell>
          <cell r="N587">
            <v>0</v>
          </cell>
          <cell r="Q587">
            <v>0</v>
          </cell>
        </row>
        <row r="588">
          <cell r="F588" t="str">
            <v>6.8.2</v>
          </cell>
          <cell r="N588">
            <v>0</v>
          </cell>
          <cell r="Q588">
            <v>24432252.640000001</v>
          </cell>
        </row>
        <row r="589">
          <cell r="N589">
            <v>0</v>
          </cell>
          <cell r="Q589">
            <v>0</v>
          </cell>
        </row>
        <row r="590">
          <cell r="F590" t="str">
            <v>6.8.2</v>
          </cell>
          <cell r="N590">
            <v>8313100</v>
          </cell>
          <cell r="Q590">
            <v>8313100</v>
          </cell>
        </row>
        <row r="591">
          <cell r="F591" t="str">
            <v>6.8.2</v>
          </cell>
          <cell r="N591">
            <v>0</v>
          </cell>
          <cell r="Q591">
            <v>14765857.640000001</v>
          </cell>
        </row>
        <row r="592">
          <cell r="F592" t="str">
            <v>6.8.2</v>
          </cell>
          <cell r="N592">
            <v>0</v>
          </cell>
          <cell r="Q592">
            <v>244230.5</v>
          </cell>
        </row>
        <row r="593">
          <cell r="N593">
            <v>0</v>
          </cell>
          <cell r="Q593">
            <v>0</v>
          </cell>
        </row>
        <row r="594">
          <cell r="F594" t="str">
            <v>6.8.2</v>
          </cell>
          <cell r="N594">
            <v>2448375</v>
          </cell>
          <cell r="Q594">
            <v>2448375</v>
          </cell>
        </row>
        <row r="595">
          <cell r="F595" t="str">
            <v>6.8.2</v>
          </cell>
          <cell r="N595">
            <v>0</v>
          </cell>
          <cell r="Q595">
            <v>83321857.5</v>
          </cell>
        </row>
        <row r="596">
          <cell r="F596" t="str">
            <v>6.8.2</v>
          </cell>
          <cell r="N596">
            <v>0</v>
          </cell>
          <cell r="Q596">
            <v>67500</v>
          </cell>
        </row>
        <row r="597">
          <cell r="N597">
            <v>0</v>
          </cell>
          <cell r="Q597">
            <v>0</v>
          </cell>
        </row>
        <row r="598">
          <cell r="F598" t="str">
            <v>6.8.2</v>
          </cell>
          <cell r="N598">
            <v>5315000</v>
          </cell>
          <cell r="Q598">
            <v>5315000</v>
          </cell>
        </row>
        <row r="599">
          <cell r="F599" t="str">
            <v>6.8.2</v>
          </cell>
          <cell r="N599">
            <v>0</v>
          </cell>
          <cell r="Q599">
            <v>22072702.719999999</v>
          </cell>
        </row>
        <row r="600">
          <cell r="F600" t="str">
            <v>6.8.2</v>
          </cell>
          <cell r="N600">
            <v>0</v>
          </cell>
          <cell r="Q600">
            <v>446547.5</v>
          </cell>
        </row>
        <row r="601">
          <cell r="F601" t="str">
            <v>6.8.2</v>
          </cell>
          <cell r="N601">
            <v>0</v>
          </cell>
          <cell r="Q601">
            <v>1255376.1200000001</v>
          </cell>
        </row>
        <row r="602">
          <cell r="F602" t="str">
            <v>6.8.2</v>
          </cell>
          <cell r="N602">
            <v>0</v>
          </cell>
          <cell r="Q602">
            <v>0</v>
          </cell>
        </row>
        <row r="603">
          <cell r="F603" t="str">
            <v>6.8.2</v>
          </cell>
          <cell r="N603">
            <v>0</v>
          </cell>
          <cell r="Q603">
            <v>0</v>
          </cell>
        </row>
        <row r="604">
          <cell r="F604" t="str">
            <v>6.8.2</v>
          </cell>
          <cell r="N604">
            <v>0</v>
          </cell>
          <cell r="Q604">
            <v>36925</v>
          </cell>
        </row>
        <row r="605">
          <cell r="N605">
            <v>0</v>
          </cell>
          <cell r="Q605">
            <v>0</v>
          </cell>
        </row>
        <row r="606">
          <cell r="F606" t="str">
            <v>6.8.2</v>
          </cell>
          <cell r="N606">
            <v>0</v>
          </cell>
          <cell r="Q606">
            <v>0</v>
          </cell>
        </row>
        <row r="607">
          <cell r="F607" t="str">
            <v>6.8.2</v>
          </cell>
          <cell r="N607">
            <v>0</v>
          </cell>
          <cell r="Q607">
            <v>10169885.439999999</v>
          </cell>
        </row>
        <row r="608">
          <cell r="F608" t="str">
            <v>6.8.2</v>
          </cell>
          <cell r="N608">
            <v>0</v>
          </cell>
          <cell r="Q608">
            <v>11150</v>
          </cell>
        </row>
        <row r="609">
          <cell r="N609">
            <v>0</v>
          </cell>
          <cell r="Q609">
            <v>0</v>
          </cell>
        </row>
        <row r="610">
          <cell r="F610" t="str">
            <v>6.8.2</v>
          </cell>
          <cell r="N610">
            <v>1850100</v>
          </cell>
          <cell r="Q610">
            <v>1850100</v>
          </cell>
        </row>
        <row r="611">
          <cell r="F611" t="str">
            <v>6.8.2</v>
          </cell>
          <cell r="N611">
            <v>0</v>
          </cell>
          <cell r="Q611">
            <v>878411.4</v>
          </cell>
        </row>
        <row r="612">
          <cell r="F612" t="str">
            <v>6.8.2</v>
          </cell>
          <cell r="N612">
            <v>0</v>
          </cell>
          <cell r="Q612">
            <v>35267.5</v>
          </cell>
        </row>
        <row r="613">
          <cell r="N613">
            <v>0</v>
          </cell>
          <cell r="Q613">
            <v>0</v>
          </cell>
        </row>
        <row r="614">
          <cell r="F614" t="str">
            <v>6.8.2</v>
          </cell>
          <cell r="N614">
            <v>150000</v>
          </cell>
          <cell r="Q614">
            <v>150000</v>
          </cell>
        </row>
        <row r="615">
          <cell r="F615" t="str">
            <v>6.8.2</v>
          </cell>
          <cell r="N615">
            <v>0</v>
          </cell>
          <cell r="Q615">
            <v>19729258.199999999</v>
          </cell>
        </row>
        <row r="616">
          <cell r="F616" t="str">
            <v>6.8.2</v>
          </cell>
          <cell r="N616">
            <v>0</v>
          </cell>
          <cell r="Q616">
            <v>0</v>
          </cell>
        </row>
        <row r="617">
          <cell r="N617">
            <v>0</v>
          </cell>
          <cell r="Q617">
            <v>0</v>
          </cell>
        </row>
        <row r="618">
          <cell r="F618" t="str">
            <v>6.8.2</v>
          </cell>
          <cell r="N618">
            <v>0</v>
          </cell>
          <cell r="Q618">
            <v>0</v>
          </cell>
        </row>
        <row r="619">
          <cell r="F619" t="str">
            <v>6.8.2</v>
          </cell>
          <cell r="N619">
            <v>0</v>
          </cell>
          <cell r="Q619">
            <v>0</v>
          </cell>
        </row>
        <row r="620">
          <cell r="F620" t="str">
            <v>6.8.2</v>
          </cell>
          <cell r="N620">
            <v>0</v>
          </cell>
          <cell r="Q620">
            <v>0</v>
          </cell>
        </row>
        <row r="621">
          <cell r="N621">
            <v>0</v>
          </cell>
          <cell r="Q621">
            <v>0</v>
          </cell>
        </row>
        <row r="622">
          <cell r="F622" t="str">
            <v>6.8.2</v>
          </cell>
          <cell r="N622">
            <v>20917960.629999999</v>
          </cell>
          <cell r="Q622">
            <v>20917960.629999999</v>
          </cell>
        </row>
        <row r="623">
          <cell r="F623" t="str">
            <v>6.8.2</v>
          </cell>
          <cell r="N623">
            <v>0</v>
          </cell>
          <cell r="Q623">
            <v>94295867.709999993</v>
          </cell>
        </row>
        <row r="624">
          <cell r="F624" t="str">
            <v>6.8.2</v>
          </cell>
          <cell r="N624">
            <v>0</v>
          </cell>
          <cell r="Q624">
            <v>420648.5</v>
          </cell>
        </row>
        <row r="625">
          <cell r="N625">
            <v>0</v>
          </cell>
          <cell r="Q625">
            <v>0</v>
          </cell>
        </row>
        <row r="626">
          <cell r="F626" t="str">
            <v>6.8.2</v>
          </cell>
          <cell r="N626">
            <v>37400</v>
          </cell>
          <cell r="Q626">
            <v>37400</v>
          </cell>
        </row>
        <row r="627">
          <cell r="F627" t="str">
            <v>6.8.2</v>
          </cell>
          <cell r="N627">
            <v>0</v>
          </cell>
          <cell r="Q627">
            <v>112302825.04000001</v>
          </cell>
        </row>
        <row r="628">
          <cell r="F628" t="str">
            <v>6.8.2</v>
          </cell>
          <cell r="N628">
            <v>0</v>
          </cell>
          <cell r="Q628">
            <v>0</v>
          </cell>
        </row>
        <row r="629">
          <cell r="N629">
            <v>0</v>
          </cell>
          <cell r="Q629">
            <v>0</v>
          </cell>
        </row>
        <row r="630">
          <cell r="F630" t="str">
            <v>6.8.2</v>
          </cell>
          <cell r="N630">
            <v>1625200</v>
          </cell>
          <cell r="Q630">
            <v>1625200</v>
          </cell>
        </row>
        <row r="631">
          <cell r="F631" t="str">
            <v>6.8.2</v>
          </cell>
          <cell r="N631">
            <v>0</v>
          </cell>
          <cell r="Q631">
            <v>79309936.799999997</v>
          </cell>
        </row>
        <row r="632">
          <cell r="F632" t="str">
            <v>6.8.2</v>
          </cell>
          <cell r="N632">
            <v>0</v>
          </cell>
          <cell r="Q632">
            <v>0</v>
          </cell>
        </row>
        <row r="633">
          <cell r="N633">
            <v>0</v>
          </cell>
          <cell r="Q633">
            <v>0</v>
          </cell>
        </row>
        <row r="634">
          <cell r="F634" t="str">
            <v>6.8.2</v>
          </cell>
          <cell r="N634">
            <v>28997066.140000001</v>
          </cell>
          <cell r="Q634">
            <v>28997066.140000001</v>
          </cell>
        </row>
        <row r="635">
          <cell r="F635" t="str">
            <v>6.8.2</v>
          </cell>
          <cell r="N635">
            <v>0</v>
          </cell>
          <cell r="Q635">
            <v>14576058.439999999</v>
          </cell>
        </row>
        <row r="636">
          <cell r="F636" t="str">
            <v>6.8.2</v>
          </cell>
          <cell r="N636">
            <v>0</v>
          </cell>
          <cell r="Q636">
            <v>1065962.32</v>
          </cell>
        </row>
        <row r="637">
          <cell r="N637">
            <v>0</v>
          </cell>
          <cell r="Q637">
            <v>0</v>
          </cell>
        </row>
        <row r="638">
          <cell r="F638" t="str">
            <v>6.8.2</v>
          </cell>
          <cell r="N638">
            <v>0</v>
          </cell>
          <cell r="Q638">
            <v>0</v>
          </cell>
        </row>
        <row r="639">
          <cell r="F639" t="str">
            <v>6.8.2</v>
          </cell>
          <cell r="N639">
            <v>0</v>
          </cell>
          <cell r="Q639">
            <v>6975142.7599999998</v>
          </cell>
        </row>
        <row r="640">
          <cell r="F640" t="str">
            <v>6.8.2</v>
          </cell>
          <cell r="N640">
            <v>0</v>
          </cell>
          <cell r="Q640">
            <v>0</v>
          </cell>
        </row>
        <row r="641">
          <cell r="N641">
            <v>0</v>
          </cell>
          <cell r="Q641">
            <v>0</v>
          </cell>
        </row>
        <row r="642">
          <cell r="F642" t="str">
            <v>6.8.2</v>
          </cell>
          <cell r="N642">
            <v>0</v>
          </cell>
          <cell r="Q642">
            <v>0</v>
          </cell>
        </row>
        <row r="643">
          <cell r="F643" t="str">
            <v>6.8.2</v>
          </cell>
          <cell r="N643">
            <v>0</v>
          </cell>
          <cell r="Q643">
            <v>769101.7</v>
          </cell>
        </row>
        <row r="644">
          <cell r="F644" t="str">
            <v>6.8.2</v>
          </cell>
          <cell r="N644">
            <v>0</v>
          </cell>
          <cell r="Q644">
            <v>0</v>
          </cell>
        </row>
        <row r="646">
          <cell r="F646" t="str">
            <v>6.8.2</v>
          </cell>
          <cell r="N646">
            <v>0</v>
          </cell>
          <cell r="Q646">
            <v>0</v>
          </cell>
        </row>
        <row r="647">
          <cell r="F647" t="str">
            <v>6.8.2</v>
          </cell>
          <cell r="N647">
            <v>0</v>
          </cell>
          <cell r="Q647">
            <v>0</v>
          </cell>
        </row>
        <row r="648">
          <cell r="F648" t="str">
            <v>6.8.2</v>
          </cell>
          <cell r="N648">
            <v>0</v>
          </cell>
          <cell r="Q648">
            <v>0</v>
          </cell>
        </row>
        <row r="649">
          <cell r="N649">
            <v>0</v>
          </cell>
          <cell r="Q649">
            <v>0</v>
          </cell>
        </row>
        <row r="650">
          <cell r="F650" t="str">
            <v>6.8.2</v>
          </cell>
          <cell r="N650">
            <v>0</v>
          </cell>
          <cell r="Q650">
            <v>0</v>
          </cell>
        </row>
        <row r="651">
          <cell r="F651" t="str">
            <v>6.8.2</v>
          </cell>
          <cell r="N651">
            <v>0</v>
          </cell>
          <cell r="Q651">
            <v>52075</v>
          </cell>
        </row>
        <row r="652">
          <cell r="F652" t="str">
            <v>6.8.2</v>
          </cell>
          <cell r="N652">
            <v>0</v>
          </cell>
          <cell r="Q652">
            <v>0</v>
          </cell>
        </row>
        <row r="653">
          <cell r="N653">
            <v>0</v>
          </cell>
          <cell r="Q653">
            <v>0</v>
          </cell>
        </row>
        <row r="654">
          <cell r="F654">
            <v>6.2</v>
          </cell>
          <cell r="N654">
            <v>0</v>
          </cell>
          <cell r="Q654">
            <v>0</v>
          </cell>
        </row>
        <row r="655">
          <cell r="F655">
            <v>6.2</v>
          </cell>
          <cell r="N655">
            <v>0</v>
          </cell>
          <cell r="Q655">
            <v>0</v>
          </cell>
        </row>
        <row r="656">
          <cell r="F656">
            <v>6.2</v>
          </cell>
          <cell r="N656">
            <v>0</v>
          </cell>
          <cell r="Q656">
            <v>0</v>
          </cell>
        </row>
        <row r="657">
          <cell r="N657">
            <v>0</v>
          </cell>
          <cell r="Q657">
            <v>0</v>
          </cell>
        </row>
        <row r="658">
          <cell r="F658" t="str">
            <v>6.8.2</v>
          </cell>
          <cell r="N658">
            <v>0</v>
          </cell>
          <cell r="Q658">
            <v>0</v>
          </cell>
        </row>
        <row r="659">
          <cell r="F659" t="str">
            <v>6.8.2</v>
          </cell>
          <cell r="N659">
            <v>0</v>
          </cell>
          <cell r="Q659">
            <v>0</v>
          </cell>
        </row>
        <row r="660">
          <cell r="F660" t="str">
            <v>6.8.2</v>
          </cell>
          <cell r="N660">
            <v>0</v>
          </cell>
          <cell r="Q660">
            <v>0</v>
          </cell>
        </row>
        <row r="661">
          <cell r="N661">
            <v>0</v>
          </cell>
          <cell r="Q661">
            <v>0</v>
          </cell>
        </row>
        <row r="662">
          <cell r="F662" t="str">
            <v>6.8.2</v>
          </cell>
          <cell r="N662">
            <v>0</v>
          </cell>
          <cell r="Q662">
            <v>0</v>
          </cell>
        </row>
        <row r="663">
          <cell r="F663" t="str">
            <v>6.8.2</v>
          </cell>
          <cell r="N663">
            <v>0</v>
          </cell>
          <cell r="Q663">
            <v>0</v>
          </cell>
        </row>
        <row r="664">
          <cell r="N664">
            <v>0</v>
          </cell>
          <cell r="Q664">
            <v>0</v>
          </cell>
        </row>
        <row r="665">
          <cell r="F665" t="str">
            <v>6.8.2</v>
          </cell>
          <cell r="N665">
            <v>0</v>
          </cell>
          <cell r="Q665">
            <v>0</v>
          </cell>
        </row>
        <row r="666">
          <cell r="F666" t="str">
            <v>6.8.2</v>
          </cell>
          <cell r="N666">
            <v>0</v>
          </cell>
          <cell r="Q666">
            <v>4681243.88</v>
          </cell>
        </row>
        <row r="667">
          <cell r="F667" t="str">
            <v>6.8.2</v>
          </cell>
          <cell r="N667">
            <v>0</v>
          </cell>
          <cell r="Q667">
            <v>0</v>
          </cell>
        </row>
        <row r="668">
          <cell r="N668">
            <v>0</v>
          </cell>
          <cell r="Q668">
            <v>0</v>
          </cell>
        </row>
        <row r="669">
          <cell r="F669" t="str">
            <v>6.8.2</v>
          </cell>
          <cell r="N669">
            <v>40000</v>
          </cell>
          <cell r="Q669">
            <v>40000</v>
          </cell>
        </row>
        <row r="670">
          <cell r="F670" t="str">
            <v>6.8.2</v>
          </cell>
          <cell r="N670">
            <v>0</v>
          </cell>
          <cell r="Q670">
            <v>1504206</v>
          </cell>
        </row>
        <row r="671">
          <cell r="F671" t="str">
            <v>6.8.2</v>
          </cell>
          <cell r="N671">
            <v>0</v>
          </cell>
          <cell r="Q671">
            <v>0</v>
          </cell>
        </row>
        <row r="672">
          <cell r="N672">
            <v>0</v>
          </cell>
          <cell r="Q672">
            <v>0</v>
          </cell>
        </row>
        <row r="673">
          <cell r="F673" t="str">
            <v>6.8.1</v>
          </cell>
          <cell r="N673">
            <v>166666.66</v>
          </cell>
          <cell r="Q673">
            <v>166666.66</v>
          </cell>
        </row>
        <row r="674">
          <cell r="F674" t="str">
            <v>6.8.1</v>
          </cell>
          <cell r="N674">
            <v>0</v>
          </cell>
          <cell r="Q674">
            <v>173472.24</v>
          </cell>
        </row>
        <row r="675">
          <cell r="F675" t="str">
            <v>6.8.1</v>
          </cell>
          <cell r="N675">
            <v>0</v>
          </cell>
          <cell r="Q675">
            <v>0</v>
          </cell>
        </row>
        <row r="676">
          <cell r="N676">
            <v>0</v>
          </cell>
          <cell r="Q676">
            <v>0</v>
          </cell>
        </row>
        <row r="677">
          <cell r="F677" t="str">
            <v>6.8.1</v>
          </cell>
          <cell r="N677">
            <v>967000</v>
          </cell>
          <cell r="Q677">
            <v>967000</v>
          </cell>
        </row>
        <row r="678">
          <cell r="F678" t="str">
            <v>6.8.1</v>
          </cell>
          <cell r="N678">
            <v>0</v>
          </cell>
          <cell r="Q678">
            <v>7998582.6399999997</v>
          </cell>
        </row>
        <row r="679">
          <cell r="F679" t="str">
            <v>6.8.1</v>
          </cell>
          <cell r="N679">
            <v>0</v>
          </cell>
          <cell r="Q679">
            <v>1553834.76</v>
          </cell>
        </row>
        <row r="680">
          <cell r="F680" t="str">
            <v>6.8.1</v>
          </cell>
          <cell r="N680">
            <v>0</v>
          </cell>
          <cell r="Q680">
            <v>92247.5</v>
          </cell>
        </row>
        <row r="681">
          <cell r="N681">
            <v>0</v>
          </cell>
          <cell r="Q681">
            <v>0</v>
          </cell>
        </row>
        <row r="682">
          <cell r="F682" t="str">
            <v>6.8.1</v>
          </cell>
          <cell r="N682">
            <v>0</v>
          </cell>
          <cell r="Q682">
            <v>0</v>
          </cell>
        </row>
        <row r="683">
          <cell r="N683">
            <v>0</v>
          </cell>
          <cell r="Q683">
            <v>0</v>
          </cell>
        </row>
        <row r="684">
          <cell r="F684" t="str">
            <v>6.4.2</v>
          </cell>
          <cell r="N684">
            <v>0</v>
          </cell>
          <cell r="Q684">
            <v>0</v>
          </cell>
        </row>
        <row r="685">
          <cell r="F685" t="str">
            <v>6.4.2</v>
          </cell>
          <cell r="N685">
            <v>0</v>
          </cell>
          <cell r="Q685">
            <v>0</v>
          </cell>
        </row>
        <row r="686">
          <cell r="F686" t="str">
            <v>6.4.2</v>
          </cell>
          <cell r="N686">
            <v>0</v>
          </cell>
          <cell r="Q686">
            <v>0</v>
          </cell>
        </row>
        <row r="687">
          <cell r="N687">
            <v>0</v>
          </cell>
          <cell r="Q687">
            <v>0</v>
          </cell>
        </row>
        <row r="688">
          <cell r="F688" t="str">
            <v>6.4.1</v>
          </cell>
          <cell r="N688">
            <v>2421636</v>
          </cell>
          <cell r="Q688">
            <v>2421636</v>
          </cell>
        </row>
        <row r="689">
          <cell r="F689" t="str">
            <v>6.4.1</v>
          </cell>
          <cell r="N689">
            <v>0</v>
          </cell>
          <cell r="Q689">
            <v>392312.22</v>
          </cell>
        </row>
        <row r="690">
          <cell r="F690" t="str">
            <v>6.4.1</v>
          </cell>
          <cell r="N690">
            <v>0</v>
          </cell>
          <cell r="Q690">
            <v>0</v>
          </cell>
        </row>
        <row r="691">
          <cell r="N691">
            <v>0</v>
          </cell>
          <cell r="Q691">
            <v>0</v>
          </cell>
        </row>
        <row r="692">
          <cell r="F692" t="str">
            <v>6.4.1</v>
          </cell>
          <cell r="N692">
            <v>0</v>
          </cell>
          <cell r="Q692">
            <v>0</v>
          </cell>
        </row>
        <row r="693">
          <cell r="F693" t="str">
            <v>6.4.1</v>
          </cell>
          <cell r="N693">
            <v>0</v>
          </cell>
          <cell r="Q693">
            <v>1347284.4</v>
          </cell>
        </row>
        <row r="694">
          <cell r="F694" t="str">
            <v>6.4.1</v>
          </cell>
          <cell r="N694">
            <v>0</v>
          </cell>
          <cell r="Q694">
            <v>0</v>
          </cell>
        </row>
        <row r="695">
          <cell r="F695" t="str">
            <v>6.4.1</v>
          </cell>
          <cell r="N695">
            <v>0</v>
          </cell>
          <cell r="Q695">
            <v>0</v>
          </cell>
        </row>
        <row r="696">
          <cell r="N696">
            <v>0</v>
          </cell>
          <cell r="Q696">
            <v>0</v>
          </cell>
        </row>
        <row r="697">
          <cell r="F697" t="str">
            <v>6.4.2</v>
          </cell>
          <cell r="N697">
            <v>63285315.329999998</v>
          </cell>
          <cell r="Q697">
            <v>63285315.329999998</v>
          </cell>
        </row>
        <row r="698">
          <cell r="F698" t="str">
            <v>6.4.2</v>
          </cell>
          <cell r="N698">
            <v>0</v>
          </cell>
          <cell r="Q698">
            <v>18883240.32</v>
          </cell>
        </row>
        <row r="699">
          <cell r="F699" t="str">
            <v>6.4.2</v>
          </cell>
          <cell r="N699">
            <v>0</v>
          </cell>
          <cell r="Q699">
            <v>0</v>
          </cell>
        </row>
        <row r="700">
          <cell r="N700">
            <v>0</v>
          </cell>
          <cell r="Q700">
            <v>0</v>
          </cell>
        </row>
        <row r="701">
          <cell r="F701" t="str">
            <v>6.4.1</v>
          </cell>
          <cell r="N701">
            <v>4061536</v>
          </cell>
          <cell r="Q701">
            <v>4061536</v>
          </cell>
        </row>
        <row r="702">
          <cell r="F702" t="str">
            <v>6.4.1</v>
          </cell>
          <cell r="N702">
            <v>0</v>
          </cell>
          <cell r="Q702">
            <v>52505684.079999998</v>
          </cell>
        </row>
        <row r="703">
          <cell r="F703" t="str">
            <v>6.4.1</v>
          </cell>
          <cell r="N703">
            <v>0</v>
          </cell>
          <cell r="Q703">
            <v>0</v>
          </cell>
        </row>
        <row r="704">
          <cell r="N704">
            <v>0</v>
          </cell>
          <cell r="Q704">
            <v>0</v>
          </cell>
        </row>
        <row r="705">
          <cell r="F705" t="str">
            <v>6.4.1</v>
          </cell>
          <cell r="N705">
            <v>239400</v>
          </cell>
          <cell r="Q705">
            <v>239400</v>
          </cell>
        </row>
        <row r="706">
          <cell r="F706" t="str">
            <v>6.4.1</v>
          </cell>
          <cell r="N706">
            <v>0</v>
          </cell>
          <cell r="Q706">
            <v>0</v>
          </cell>
        </row>
        <row r="707">
          <cell r="F707" t="str">
            <v>6.4.1</v>
          </cell>
          <cell r="N707">
            <v>0</v>
          </cell>
          <cell r="Q707">
            <v>0</v>
          </cell>
        </row>
        <row r="708">
          <cell r="N708">
            <v>0</v>
          </cell>
          <cell r="Q708">
            <v>0</v>
          </cell>
        </row>
        <row r="709">
          <cell r="F709" t="str">
            <v>6.8.2</v>
          </cell>
          <cell r="N709">
            <v>73961650</v>
          </cell>
          <cell r="Q709">
            <v>73961650</v>
          </cell>
        </row>
        <row r="710">
          <cell r="F710" t="str">
            <v>6.8.2</v>
          </cell>
          <cell r="N710">
            <v>0</v>
          </cell>
          <cell r="Q710">
            <v>40332580.170000002</v>
          </cell>
        </row>
        <row r="711">
          <cell r="F711" t="str">
            <v>6.8.2</v>
          </cell>
          <cell r="N711">
            <v>0</v>
          </cell>
          <cell r="Q711">
            <v>3293333.5</v>
          </cell>
        </row>
        <row r="712">
          <cell r="N712">
            <v>0</v>
          </cell>
          <cell r="Q712">
            <v>0</v>
          </cell>
        </row>
        <row r="713">
          <cell r="F713">
            <v>13.1</v>
          </cell>
          <cell r="N713">
            <v>0</v>
          </cell>
          <cell r="Q713">
            <v>0</v>
          </cell>
        </row>
        <row r="714">
          <cell r="F714">
            <v>13.1</v>
          </cell>
          <cell r="N714">
            <v>140282800</v>
          </cell>
          <cell r="Q714">
            <v>140282800</v>
          </cell>
        </row>
        <row r="715">
          <cell r="F715">
            <v>13.1</v>
          </cell>
          <cell r="N715">
            <v>476374500</v>
          </cell>
          <cell r="Q715">
            <v>476374500</v>
          </cell>
        </row>
        <row r="716">
          <cell r="F716">
            <v>13.1</v>
          </cell>
          <cell r="N716">
            <v>0</v>
          </cell>
          <cell r="Q716">
            <v>0</v>
          </cell>
        </row>
        <row r="717">
          <cell r="F717">
            <v>13.1</v>
          </cell>
          <cell r="N717">
            <v>0</v>
          </cell>
          <cell r="Q717">
            <v>0</v>
          </cell>
        </row>
        <row r="718">
          <cell r="N718">
            <v>0</v>
          </cell>
          <cell r="Q718">
            <v>0</v>
          </cell>
        </row>
        <row r="719">
          <cell r="F719" t="str">
            <v>6.8.2</v>
          </cell>
          <cell r="N719">
            <v>599831.67000000004</v>
          </cell>
          <cell r="Q719">
            <v>599831.67000000004</v>
          </cell>
        </row>
        <row r="720">
          <cell r="F720" t="str">
            <v>6.8.2</v>
          </cell>
          <cell r="N720">
            <v>0</v>
          </cell>
          <cell r="Q720">
            <v>1038180</v>
          </cell>
        </row>
        <row r="721">
          <cell r="F721" t="str">
            <v>6.8.2</v>
          </cell>
          <cell r="N721">
            <v>0</v>
          </cell>
          <cell r="Q721">
            <v>256.89</v>
          </cell>
        </row>
        <row r="722">
          <cell r="F722" t="str">
            <v>6.8.2</v>
          </cell>
          <cell r="N722">
            <v>0</v>
          </cell>
          <cell r="Q722">
            <v>0</v>
          </cell>
        </row>
        <row r="723">
          <cell r="N723">
            <v>0</v>
          </cell>
          <cell r="Q723">
            <v>0</v>
          </cell>
        </row>
        <row r="724">
          <cell r="F724">
            <v>12.2</v>
          </cell>
          <cell r="N724">
            <v>0</v>
          </cell>
          <cell r="Q724">
            <v>0</v>
          </cell>
        </row>
        <row r="725">
          <cell r="F725">
            <v>12.2</v>
          </cell>
          <cell r="N725">
            <v>0</v>
          </cell>
          <cell r="Q725">
            <v>0</v>
          </cell>
        </row>
        <row r="726">
          <cell r="F726">
            <v>12.2</v>
          </cell>
          <cell r="N726">
            <v>0</v>
          </cell>
          <cell r="Q726">
            <v>0</v>
          </cell>
        </row>
        <row r="727">
          <cell r="N727">
            <v>0</v>
          </cell>
          <cell r="Q727">
            <v>0</v>
          </cell>
        </row>
        <row r="728">
          <cell r="F728" t="str">
            <v>6.8.2</v>
          </cell>
          <cell r="N728">
            <v>11060417.76</v>
          </cell>
          <cell r="Q728">
            <v>11060417.76</v>
          </cell>
        </row>
        <row r="729">
          <cell r="F729" t="str">
            <v>6.8.2</v>
          </cell>
          <cell r="N729">
            <v>0</v>
          </cell>
          <cell r="Q729">
            <v>0</v>
          </cell>
        </row>
        <row r="730">
          <cell r="F730" t="str">
            <v>6.8.2</v>
          </cell>
          <cell r="N730">
            <v>33000</v>
          </cell>
          <cell r="Q730">
            <v>33000</v>
          </cell>
        </row>
        <row r="731">
          <cell r="F731" t="str">
            <v>6.8.2</v>
          </cell>
          <cell r="N731">
            <v>0</v>
          </cell>
          <cell r="Q731">
            <v>33613643.159999996</v>
          </cell>
        </row>
        <row r="732">
          <cell r="F732" t="str">
            <v>6.8.2</v>
          </cell>
          <cell r="N732">
            <v>0</v>
          </cell>
          <cell r="Q732">
            <v>0</v>
          </cell>
        </row>
        <row r="733">
          <cell r="F733" t="str">
            <v>6.8.2</v>
          </cell>
          <cell r="N733">
            <v>0</v>
          </cell>
          <cell r="Q733">
            <v>20946868.16</v>
          </cell>
        </row>
        <row r="734">
          <cell r="F734" t="str">
            <v>6.8.2</v>
          </cell>
          <cell r="N734">
            <v>0</v>
          </cell>
          <cell r="Q734">
            <v>20210924.870000001</v>
          </cell>
        </row>
        <row r="735">
          <cell r="F735" t="str">
            <v>6.8.2</v>
          </cell>
          <cell r="N735">
            <v>0</v>
          </cell>
          <cell r="Q735">
            <v>2000513</v>
          </cell>
        </row>
        <row r="736">
          <cell r="F736" t="str">
            <v>6.8.2</v>
          </cell>
          <cell r="N736">
            <v>0</v>
          </cell>
          <cell r="Q736">
            <v>2005662</v>
          </cell>
        </row>
        <row r="737">
          <cell r="N737">
            <v>0</v>
          </cell>
          <cell r="Q737">
            <v>0</v>
          </cell>
        </row>
        <row r="738">
          <cell r="F738">
            <v>8.1</v>
          </cell>
          <cell r="N738">
            <v>0</v>
          </cell>
          <cell r="Q738">
            <v>0</v>
          </cell>
        </row>
        <row r="739">
          <cell r="F739">
            <v>8.1</v>
          </cell>
          <cell r="N739">
            <v>20790655.280000001</v>
          </cell>
          <cell r="Q739">
            <v>20790655.280000001</v>
          </cell>
        </row>
        <row r="740">
          <cell r="F740">
            <v>8.1</v>
          </cell>
          <cell r="N740">
            <v>0</v>
          </cell>
          <cell r="Q740">
            <v>2490</v>
          </cell>
        </row>
        <row r="741">
          <cell r="F741">
            <v>8.1</v>
          </cell>
          <cell r="N741">
            <v>0</v>
          </cell>
          <cell r="Q741">
            <v>27727053.620000001</v>
          </cell>
        </row>
        <row r="742">
          <cell r="F742">
            <v>8.1</v>
          </cell>
          <cell r="N742">
            <v>0</v>
          </cell>
          <cell r="Q742">
            <v>0</v>
          </cell>
        </row>
        <row r="743">
          <cell r="F743">
            <v>8.1</v>
          </cell>
          <cell r="N743">
            <v>0</v>
          </cell>
          <cell r="Q743">
            <v>0</v>
          </cell>
        </row>
        <row r="744">
          <cell r="F744">
            <v>8.1</v>
          </cell>
          <cell r="N744">
            <v>0</v>
          </cell>
          <cell r="Q744">
            <v>0</v>
          </cell>
        </row>
        <row r="745">
          <cell r="F745">
            <v>8.1</v>
          </cell>
          <cell r="N745">
            <v>0</v>
          </cell>
          <cell r="Q745">
            <v>26874026.300000001</v>
          </cell>
        </row>
        <row r="746">
          <cell r="N746">
            <v>0</v>
          </cell>
          <cell r="Q746">
            <v>0</v>
          </cell>
        </row>
        <row r="747">
          <cell r="F747">
            <v>8.1999999999999993</v>
          </cell>
          <cell r="N747">
            <v>0</v>
          </cell>
          <cell r="Q747">
            <v>0</v>
          </cell>
        </row>
        <row r="748">
          <cell r="F748">
            <v>8.1999999999999993</v>
          </cell>
          <cell r="N748">
            <v>-268523.18</v>
          </cell>
          <cell r="Q748">
            <v>-268523.18</v>
          </cell>
        </row>
        <row r="749">
          <cell r="F749">
            <v>8.1999999999999993</v>
          </cell>
          <cell r="N749">
            <v>0</v>
          </cell>
          <cell r="Q749">
            <v>0</v>
          </cell>
        </row>
        <row r="750">
          <cell r="F750">
            <v>8.1999999999999993</v>
          </cell>
          <cell r="N750">
            <v>0</v>
          </cell>
          <cell r="Q750">
            <v>2497681.7400000002</v>
          </cell>
        </row>
        <row r="751">
          <cell r="F751">
            <v>8.1999999999999993</v>
          </cell>
          <cell r="N751">
            <v>0</v>
          </cell>
          <cell r="Q751">
            <v>15751068.74</v>
          </cell>
        </row>
        <row r="752">
          <cell r="F752">
            <v>8.1999999999999993</v>
          </cell>
          <cell r="N752">
            <v>0</v>
          </cell>
          <cell r="Q752">
            <v>-306788.62</v>
          </cell>
        </row>
        <row r="753">
          <cell r="N753">
            <v>0</v>
          </cell>
          <cell r="Q753">
            <v>0</v>
          </cell>
        </row>
        <row r="754">
          <cell r="F754">
            <v>8.3000000000000007</v>
          </cell>
          <cell r="N754">
            <v>80688930.359999999</v>
          </cell>
          <cell r="Q754">
            <v>80688930.359999999</v>
          </cell>
        </row>
        <row r="755">
          <cell r="F755">
            <v>8.3000000000000007</v>
          </cell>
          <cell r="N755">
            <v>0</v>
          </cell>
          <cell r="Q755">
            <v>146258791.31999999</v>
          </cell>
        </row>
        <row r="756">
          <cell r="F756">
            <v>8.3000000000000007</v>
          </cell>
          <cell r="N756">
            <v>0</v>
          </cell>
          <cell r="Q756">
            <v>118306792.68000001</v>
          </cell>
        </row>
        <row r="757">
          <cell r="F757">
            <v>8.3000000000000007</v>
          </cell>
          <cell r="N757">
            <v>0</v>
          </cell>
          <cell r="Q757">
            <v>114795459.42</v>
          </cell>
        </row>
        <row r="758">
          <cell r="F758">
            <v>8.3000000000000007</v>
          </cell>
          <cell r="N758">
            <v>0</v>
          </cell>
          <cell r="Q758">
            <v>0</v>
          </cell>
        </row>
        <row r="759">
          <cell r="F759">
            <v>8.3000000000000007</v>
          </cell>
          <cell r="N759">
            <v>0</v>
          </cell>
          <cell r="Q759">
            <v>73902114.640000001</v>
          </cell>
        </row>
        <row r="760">
          <cell r="F760">
            <v>8.3000000000000007</v>
          </cell>
          <cell r="N760">
            <v>0</v>
          </cell>
          <cell r="Q760">
            <v>8663000.5</v>
          </cell>
        </row>
        <row r="761">
          <cell r="F761">
            <v>8.3000000000000007</v>
          </cell>
          <cell r="N761">
            <v>0</v>
          </cell>
          <cell r="Q761">
            <v>5968337.5599999996</v>
          </cell>
        </row>
        <row r="762">
          <cell r="N762">
            <v>0</v>
          </cell>
          <cell r="Q762">
            <v>0</v>
          </cell>
        </row>
        <row r="763">
          <cell r="F763" t="str">
            <v>(4.2.2)</v>
          </cell>
          <cell r="N763">
            <v>436245.62</v>
          </cell>
          <cell r="Q763">
            <v>436245.62</v>
          </cell>
        </row>
        <row r="764">
          <cell r="F764" t="str">
            <v>(4.2.2)</v>
          </cell>
          <cell r="N764">
            <v>0</v>
          </cell>
          <cell r="Q764">
            <v>0</v>
          </cell>
        </row>
        <row r="765">
          <cell r="F765" t="str">
            <v>(4.2.2)</v>
          </cell>
          <cell r="N765">
            <v>0</v>
          </cell>
          <cell r="Q765">
            <v>0</v>
          </cell>
        </row>
        <row r="766">
          <cell r="F766" t="str">
            <v>(4.2.2)</v>
          </cell>
          <cell r="N766">
            <v>0</v>
          </cell>
          <cell r="Q766">
            <v>0</v>
          </cell>
        </row>
        <row r="767">
          <cell r="N767">
            <v>0</v>
          </cell>
          <cell r="Q767">
            <v>0</v>
          </cell>
        </row>
        <row r="768">
          <cell r="F768" t="str">
            <v>(12.3)</v>
          </cell>
          <cell r="N768">
            <v>13648198.32</v>
          </cell>
          <cell r="Q768">
            <v>13648198.32</v>
          </cell>
        </row>
        <row r="769">
          <cell r="F769" t="str">
            <v>(12.3)</v>
          </cell>
          <cell r="N769">
            <v>0</v>
          </cell>
          <cell r="Q769">
            <v>676911554.58000004</v>
          </cell>
        </row>
        <row r="770">
          <cell r="F770" t="str">
            <v>(12.3)</v>
          </cell>
          <cell r="N770">
            <v>0</v>
          </cell>
          <cell r="Q770">
            <v>251888752.24000001</v>
          </cell>
        </row>
        <row r="771">
          <cell r="F771" t="str">
            <v>(12.3)</v>
          </cell>
          <cell r="N771">
            <v>0</v>
          </cell>
          <cell r="Q771">
            <v>1054370264.27</v>
          </cell>
        </row>
        <row r="772">
          <cell r="F772" t="str">
            <v>(12.3)</v>
          </cell>
          <cell r="N772">
            <v>0</v>
          </cell>
          <cell r="Q772">
            <v>16190684.59</v>
          </cell>
        </row>
        <row r="773">
          <cell r="F773" t="str">
            <v>(12.3)</v>
          </cell>
          <cell r="N773">
            <v>0</v>
          </cell>
          <cell r="Q773">
            <v>8116573.9199999999</v>
          </cell>
        </row>
        <row r="774">
          <cell r="F774" t="str">
            <v>(12.3)</v>
          </cell>
          <cell r="N774">
            <v>0</v>
          </cell>
          <cell r="Q774">
            <v>3767008.21</v>
          </cell>
        </row>
        <row r="775">
          <cell r="F775" t="str">
            <v>(12.3)</v>
          </cell>
          <cell r="N775">
            <v>0</v>
          </cell>
          <cell r="Q775">
            <v>2797.2</v>
          </cell>
        </row>
        <row r="776">
          <cell r="N776">
            <v>0</v>
          </cell>
          <cell r="Q776">
            <v>0</v>
          </cell>
        </row>
        <row r="777">
          <cell r="F777" t="str">
            <v>6.8.1</v>
          </cell>
          <cell r="N777">
            <v>0</v>
          </cell>
          <cell r="Q777">
            <v>0</v>
          </cell>
        </row>
        <row r="778">
          <cell r="F778" t="str">
            <v>6.8.1</v>
          </cell>
          <cell r="N778">
            <v>0</v>
          </cell>
          <cell r="Q778">
            <v>0</v>
          </cell>
        </row>
        <row r="779">
          <cell r="F779" t="str">
            <v>6.8.1</v>
          </cell>
          <cell r="N779">
            <v>0</v>
          </cell>
          <cell r="Q779">
            <v>0</v>
          </cell>
        </row>
        <row r="780">
          <cell r="N780">
            <v>0</v>
          </cell>
          <cell r="Q780">
            <v>0</v>
          </cell>
        </row>
        <row r="781">
          <cell r="F781" t="str">
            <v>(10)</v>
          </cell>
          <cell r="N781">
            <v>0</v>
          </cell>
          <cell r="Q781">
            <v>0</v>
          </cell>
        </row>
        <row r="782">
          <cell r="F782" t="str">
            <v>(10)</v>
          </cell>
          <cell r="N782">
            <v>0</v>
          </cell>
          <cell r="Q782">
            <v>1024836</v>
          </cell>
        </row>
        <row r="783">
          <cell r="F783" t="str">
            <v>(10)</v>
          </cell>
          <cell r="N783">
            <v>0</v>
          </cell>
          <cell r="Q783">
            <v>0</v>
          </cell>
        </row>
        <row r="784">
          <cell r="N784">
            <v>0</v>
          </cell>
          <cell r="Q784">
            <v>0</v>
          </cell>
        </row>
        <row r="785">
          <cell r="F785" t="str">
            <v>4.3.2</v>
          </cell>
          <cell r="N785">
            <v>11190400</v>
          </cell>
          <cell r="Q785">
            <v>11190400</v>
          </cell>
        </row>
        <row r="786">
          <cell r="F786" t="str">
            <v>4.3.2</v>
          </cell>
          <cell r="N786">
            <v>0</v>
          </cell>
          <cell r="Q786">
            <v>77174069.120000005</v>
          </cell>
        </row>
        <row r="787">
          <cell r="F787" t="str">
            <v>4.3.2</v>
          </cell>
          <cell r="N787">
            <v>0</v>
          </cell>
          <cell r="Q787">
            <v>352909.75</v>
          </cell>
        </row>
        <row r="788">
          <cell r="F788" t="str">
            <v>4.3.2</v>
          </cell>
          <cell r="N788">
            <v>0</v>
          </cell>
          <cell r="Q788">
            <v>334500</v>
          </cell>
        </row>
        <row r="789">
          <cell r="F789" t="str">
            <v>4.3.2</v>
          </cell>
          <cell r="N789">
            <v>0</v>
          </cell>
          <cell r="Q789">
            <v>0</v>
          </cell>
        </row>
        <row r="791">
          <cell r="N791">
            <v>1916259751.6399996</v>
          </cell>
          <cell r="Q791">
            <v>13613477637.959993</v>
          </cell>
        </row>
      </sheetData>
      <sheetData sheetId="4">
        <row r="6">
          <cell r="F6" t="str">
            <v>1.1.1</v>
          </cell>
        </row>
      </sheetData>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 Input"/>
      <sheetName val="IS Input"/>
      <sheetName val="ACBS"/>
      <sheetName val="ACIS"/>
      <sheetName val="ACIS.Cum"/>
      <sheetName val="BS nbc.1"/>
      <sheetName val="IS nbc.1"/>
      <sheetName val="IS nbc.Cum"/>
      <sheetName val="AL nbc"/>
      <sheetName val="AL nbc.1"/>
      <sheetName val="AL nbc.2"/>
      <sheetName val="BS nbc"/>
      <sheetName val="IS nbc"/>
    </sheetNames>
    <sheetDataSet>
      <sheetData sheetId="0">
        <row r="848">
          <cell r="U848">
            <v>379589353239.08002</v>
          </cell>
        </row>
      </sheetData>
      <sheetData sheetId="1"/>
      <sheetData sheetId="2">
        <row r="848">
          <cell r="U848">
            <v>379589353239.08002</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Source of Funds"/>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sheetData sheetId="1"/>
      <sheetData sheetId="2"/>
      <sheetData sheetId="3"/>
      <sheetData sheetId="4"/>
      <sheetData sheetId="5"/>
      <sheetData sheetId="6"/>
      <sheetData sheetId="7"/>
      <sheetData sheetId="8"/>
      <sheetData sheetId="9">
        <row r="11">
          <cell r="J11">
            <v>24</v>
          </cell>
        </row>
        <row r="16">
          <cell r="J16">
            <v>59</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List of Foreclosed Prop"/>
      <sheetName val="Source of Funds"/>
      <sheetName val="Normal"/>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sheetData sheetId="1"/>
      <sheetData sheetId="2"/>
      <sheetData sheetId="3"/>
      <sheetData sheetId="4"/>
      <sheetData sheetId="5"/>
      <sheetData sheetId="6"/>
      <sheetData sheetId="7"/>
      <sheetData sheetId="8"/>
      <sheetData sheetId="9"/>
      <sheetData sheetId="10">
        <row r="11">
          <cell r="J11">
            <v>24</v>
          </cell>
        </row>
        <row r="16">
          <cell r="J16">
            <v>59</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Source of Funds"/>
      <sheetName val="Normal"/>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1">
          <cell r="J11">
            <v>24</v>
          </cell>
        </row>
        <row r="16">
          <cell r="J16">
            <v>59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of Monthly Reports "/>
      <sheetName val="Balance Sheet"/>
      <sheetName val="Income Statement"/>
      <sheetName val="Off-Bal"/>
      <sheetName val="Networth "/>
      <sheetName val="Solvency Ratio"/>
      <sheetName val="Net Open Position"/>
      <sheetName val="Large Exp."/>
      <sheetName val="Loan2Related Parties"/>
      <sheetName val="List of Foreclosed Prop"/>
      <sheetName val="Source of Funds"/>
      <sheetName val="Normal"/>
      <sheetName val="Special"/>
      <sheetName val="Substandard"/>
      <sheetName val="Doubtful"/>
      <sheetName val="Loss"/>
      <sheetName val="Latest Credit by Sectors"/>
      <sheetName val="Top 20 Depositor"/>
      <sheetName val="classify customer depo"/>
      <sheetName val="classify amount Depo (L)"/>
      <sheetName val="Maturity"/>
      <sheetName val="Remuneration"/>
      <sheetName val="Net Liabilities"/>
      <sheetName val="Interest Rate"/>
      <sheetName val="Int. Sensitivity"/>
      <sheetName val="InterBank"/>
      <sheetName val="Network Info"/>
    </sheetNames>
    <sheetDataSet>
      <sheetData sheetId="0"/>
      <sheetData sheetId="1"/>
      <sheetData sheetId="2"/>
      <sheetData sheetId="3"/>
      <sheetData sheetId="4"/>
      <sheetData sheetId="5"/>
      <sheetData sheetId="6"/>
      <sheetData sheetId="7"/>
      <sheetData sheetId="8"/>
      <sheetData sheetId="9"/>
      <sheetData sheetId="10">
        <row r="11">
          <cell r="J11">
            <v>24</v>
          </cell>
        </row>
        <row r="16">
          <cell r="J16">
            <v>59</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Q144"/>
  <sheetViews>
    <sheetView workbookViewId="0">
      <selection activeCell="C25" sqref="C25"/>
    </sheetView>
  </sheetViews>
  <sheetFormatPr defaultRowHeight="12.75"/>
  <cols>
    <col min="1" max="1" width="3.85546875" customWidth="1"/>
    <col min="2" max="2" width="10.85546875" customWidth="1"/>
    <col min="3" max="3" width="67" customWidth="1"/>
    <col min="4" max="4" width="76.5703125" customWidth="1"/>
    <col min="5" max="5" width="10.85546875" style="1407" customWidth="1"/>
    <col min="6" max="6" width="8" customWidth="1"/>
    <col min="7" max="8" width="7.85546875" customWidth="1"/>
    <col min="9" max="9" width="10" customWidth="1"/>
    <col min="10" max="10" width="6.85546875" customWidth="1"/>
    <col min="11" max="11" width="6.5703125" style="1408" customWidth="1"/>
    <col min="12" max="12" width="7.5703125" style="1409" customWidth="1"/>
  </cols>
  <sheetData>
    <row r="1" spans="1:17" ht="26.25" customHeight="1">
      <c r="B1" s="2235" t="s">
        <v>1878</v>
      </c>
      <c r="C1" s="2235"/>
      <c r="D1" s="2235"/>
      <c r="E1" s="2235"/>
      <c r="F1" s="2235"/>
      <c r="G1" s="2235"/>
      <c r="H1" s="2235"/>
      <c r="I1" s="2235"/>
      <c r="J1" s="2235"/>
      <c r="K1" s="2235"/>
      <c r="L1" s="2235"/>
    </row>
    <row r="2" spans="1:17" ht="5.25" customHeight="1" thickBot="1"/>
    <row r="3" spans="1:17" s="1410" customFormat="1" ht="21.75" customHeight="1" thickTop="1">
      <c r="A3" s="2236" t="s">
        <v>369</v>
      </c>
      <c r="B3" s="2238" t="s">
        <v>1879</v>
      </c>
      <c r="C3" s="2239" t="s">
        <v>1880</v>
      </c>
      <c r="D3" s="2239"/>
      <c r="E3" s="2240" t="s">
        <v>1881</v>
      </c>
      <c r="F3" s="2241" t="s">
        <v>1882</v>
      </c>
      <c r="G3" s="2241"/>
      <c r="H3" s="2241"/>
      <c r="I3" s="2241"/>
      <c r="J3" s="2241"/>
      <c r="K3" s="2242" t="s">
        <v>1883</v>
      </c>
      <c r="L3" s="2242"/>
      <c r="P3" s="2230"/>
      <c r="Q3" s="2231"/>
    </row>
    <row r="4" spans="1:17" s="842" customFormat="1" ht="14.25" customHeight="1">
      <c r="A4" s="2237"/>
      <c r="B4" s="2238"/>
      <c r="C4" s="1411" t="s">
        <v>1884</v>
      </c>
      <c r="D4" s="1411" t="s">
        <v>1885</v>
      </c>
      <c r="E4" s="2240"/>
      <c r="F4" s="1412" t="s">
        <v>1886</v>
      </c>
      <c r="G4" s="1412" t="s">
        <v>1887</v>
      </c>
      <c r="H4" s="1412" t="s">
        <v>1888</v>
      </c>
      <c r="I4" s="1412" t="s">
        <v>1889</v>
      </c>
      <c r="J4" s="1413" t="s">
        <v>1890</v>
      </c>
      <c r="K4" s="1414" t="s">
        <v>1891</v>
      </c>
      <c r="L4" s="1414" t="s">
        <v>1892</v>
      </c>
    </row>
    <row r="5" spans="1:17" s="1425" customFormat="1" ht="19.5" customHeight="1">
      <c r="A5" s="1415">
        <v>1</v>
      </c>
      <c r="B5" s="1416" t="s">
        <v>1893</v>
      </c>
      <c r="C5" s="1417" t="s">
        <v>1894</v>
      </c>
      <c r="D5" s="1418" t="s">
        <v>946</v>
      </c>
      <c r="E5" s="1419">
        <v>1</v>
      </c>
      <c r="F5" s="1420"/>
      <c r="G5" s="1421"/>
      <c r="H5" s="1422" t="s">
        <v>1895</v>
      </c>
      <c r="I5" s="1420"/>
      <c r="J5" s="1421"/>
      <c r="K5" s="1423" t="s">
        <v>1895</v>
      </c>
      <c r="L5" s="1423" t="s">
        <v>1895</v>
      </c>
      <c r="M5" s="1424"/>
    </row>
    <row r="6" spans="1:17" s="1415" customFormat="1" ht="19.5" customHeight="1">
      <c r="A6" s="1415">
        <v>2</v>
      </c>
      <c r="B6" s="1416" t="s">
        <v>1896</v>
      </c>
      <c r="C6" s="1417" t="s">
        <v>1897</v>
      </c>
      <c r="D6" s="1418" t="s">
        <v>1428</v>
      </c>
      <c r="E6" s="1419">
        <v>1</v>
      </c>
      <c r="F6" s="1421"/>
      <c r="G6" s="1421"/>
      <c r="H6" s="1422" t="s">
        <v>1895</v>
      </c>
      <c r="I6" s="1421"/>
      <c r="J6" s="1421"/>
      <c r="K6" s="1423" t="s">
        <v>1895</v>
      </c>
      <c r="L6" s="1423" t="s">
        <v>1895</v>
      </c>
      <c r="M6" s="1426"/>
    </row>
    <row r="7" spans="1:17" s="1415" customFormat="1" ht="19.5" customHeight="1">
      <c r="A7" s="1415">
        <v>3</v>
      </c>
      <c r="B7" s="1416" t="s">
        <v>1898</v>
      </c>
      <c r="C7" s="1417" t="s">
        <v>1899</v>
      </c>
      <c r="D7" s="1418" t="s">
        <v>1714</v>
      </c>
      <c r="E7" s="1419">
        <v>1</v>
      </c>
      <c r="F7" s="1421"/>
      <c r="G7" s="1421"/>
      <c r="H7" s="1422" t="s">
        <v>1895</v>
      </c>
      <c r="I7" s="1421"/>
      <c r="J7" s="1421"/>
      <c r="K7" s="1423" t="s">
        <v>1895</v>
      </c>
      <c r="L7" s="1423" t="s">
        <v>1895</v>
      </c>
      <c r="M7" s="1426"/>
    </row>
    <row r="8" spans="1:17" s="1415" customFormat="1" ht="19.5" customHeight="1">
      <c r="A8" s="1415">
        <v>4</v>
      </c>
      <c r="B8" s="1416" t="s">
        <v>1900</v>
      </c>
      <c r="C8" s="1417" t="s">
        <v>1901</v>
      </c>
      <c r="D8" s="1418" t="s">
        <v>1902</v>
      </c>
      <c r="E8" s="1419">
        <v>1</v>
      </c>
      <c r="F8" s="1421"/>
      <c r="G8" s="1421"/>
      <c r="H8" s="1422" t="s">
        <v>1895</v>
      </c>
      <c r="I8" s="1421"/>
      <c r="J8" s="1421"/>
      <c r="K8" s="1423" t="s">
        <v>1895</v>
      </c>
      <c r="L8" s="1427"/>
      <c r="M8" s="1426"/>
    </row>
    <row r="9" spans="1:17" s="1415" customFormat="1" ht="19.5" customHeight="1">
      <c r="A9" s="1415">
        <v>5</v>
      </c>
      <c r="B9" s="1428" t="s">
        <v>1903</v>
      </c>
      <c r="C9" s="1417" t="s">
        <v>666</v>
      </c>
      <c r="D9" s="1418" t="s">
        <v>1904</v>
      </c>
      <c r="E9" s="1419">
        <v>1</v>
      </c>
      <c r="F9" s="1421"/>
      <c r="G9" s="1421"/>
      <c r="H9" s="1422" t="s">
        <v>1895</v>
      </c>
      <c r="I9" s="1421"/>
      <c r="J9" s="1421"/>
      <c r="K9" s="1423" t="s">
        <v>1895</v>
      </c>
      <c r="L9" s="1423" t="s">
        <v>1895</v>
      </c>
      <c r="M9" s="1426"/>
    </row>
    <row r="10" spans="1:17" s="1415" customFormat="1" ht="19.5" customHeight="1">
      <c r="A10" s="1415">
        <v>6</v>
      </c>
      <c r="B10" s="1428" t="s">
        <v>1905</v>
      </c>
      <c r="C10" s="1417" t="s">
        <v>1906</v>
      </c>
      <c r="D10" s="1418" t="s">
        <v>746</v>
      </c>
      <c r="E10" s="1419">
        <v>1</v>
      </c>
      <c r="F10" s="1421"/>
      <c r="G10" s="1421"/>
      <c r="H10" s="1422" t="s">
        <v>1895</v>
      </c>
      <c r="I10" s="1421"/>
      <c r="J10" s="1421"/>
      <c r="K10" s="1423" t="s">
        <v>1895</v>
      </c>
      <c r="L10" s="1423" t="s">
        <v>1895</v>
      </c>
      <c r="M10" s="1426"/>
    </row>
    <row r="11" spans="1:17" s="1415" customFormat="1" ht="19.5" customHeight="1">
      <c r="A11" s="1415">
        <v>7</v>
      </c>
      <c r="B11" s="1428" t="s">
        <v>1907</v>
      </c>
      <c r="C11" s="1417" t="s">
        <v>1908</v>
      </c>
      <c r="D11" s="1418" t="s">
        <v>2</v>
      </c>
      <c r="E11" s="1419">
        <v>1</v>
      </c>
      <c r="F11" s="1421"/>
      <c r="G11" s="1421"/>
      <c r="H11" s="1422" t="s">
        <v>1895</v>
      </c>
      <c r="I11" s="1421"/>
      <c r="J11" s="1421"/>
      <c r="K11" s="1423" t="s">
        <v>1895</v>
      </c>
      <c r="L11" s="1423" t="s">
        <v>1895</v>
      </c>
      <c r="M11" s="1426"/>
    </row>
    <row r="12" spans="1:17" s="1415" customFormat="1" ht="19.5" customHeight="1">
      <c r="A12" s="1415">
        <v>8</v>
      </c>
      <c r="B12" s="1429" t="s">
        <v>1909</v>
      </c>
      <c r="C12" s="1417" t="s">
        <v>1910</v>
      </c>
      <c r="D12" s="1418" t="s">
        <v>35</v>
      </c>
      <c r="E12" s="1419">
        <v>1</v>
      </c>
      <c r="H12" s="1422" t="s">
        <v>1895</v>
      </c>
      <c r="K12" s="1423" t="s">
        <v>1895</v>
      </c>
      <c r="L12" s="1423" t="s">
        <v>1895</v>
      </c>
      <c r="M12" s="1426"/>
    </row>
    <row r="13" spans="1:17" s="1415" customFormat="1" ht="19.5" customHeight="1">
      <c r="A13" s="1415">
        <v>9</v>
      </c>
      <c r="B13" s="1429" t="s">
        <v>1911</v>
      </c>
      <c r="C13" s="1417" t="s">
        <v>1912</v>
      </c>
      <c r="D13" s="1418" t="s">
        <v>851</v>
      </c>
      <c r="E13" s="1419">
        <v>1</v>
      </c>
      <c r="F13" s="1421"/>
      <c r="G13" s="1421"/>
      <c r="H13" s="1422" t="s">
        <v>1895</v>
      </c>
      <c r="I13" s="1421"/>
      <c r="J13" s="1421"/>
      <c r="K13" s="1423" t="s">
        <v>1895</v>
      </c>
      <c r="L13" s="1423" t="s">
        <v>1895</v>
      </c>
      <c r="M13" s="1426"/>
    </row>
    <row r="14" spans="1:17" s="1415" customFormat="1" ht="19.5" customHeight="1">
      <c r="A14" s="1415">
        <v>10</v>
      </c>
      <c r="B14" s="1430" t="s">
        <v>1913</v>
      </c>
      <c r="C14" s="1417" t="s">
        <v>1914</v>
      </c>
      <c r="D14" s="1418" t="s">
        <v>1915</v>
      </c>
      <c r="E14" s="1419">
        <v>1</v>
      </c>
      <c r="F14" s="1421"/>
      <c r="G14" s="1421"/>
      <c r="H14" s="1422" t="s">
        <v>1895</v>
      </c>
      <c r="I14" s="1421"/>
      <c r="J14" s="1421"/>
      <c r="K14" s="1423" t="s">
        <v>1895</v>
      </c>
      <c r="L14" s="1423" t="s">
        <v>1895</v>
      </c>
      <c r="M14" s="1426"/>
    </row>
    <row r="15" spans="1:17" s="1415" customFormat="1" ht="19.5" customHeight="1">
      <c r="A15" s="1415">
        <v>11</v>
      </c>
      <c r="B15" s="1428" t="s">
        <v>1916</v>
      </c>
      <c r="C15" s="1417" t="s">
        <v>1917</v>
      </c>
      <c r="D15" s="1418" t="s">
        <v>1918</v>
      </c>
      <c r="E15" s="1419">
        <v>1</v>
      </c>
      <c r="F15" s="1421"/>
      <c r="G15" s="1421"/>
      <c r="H15" s="1422" t="s">
        <v>1895</v>
      </c>
      <c r="I15" s="1421"/>
      <c r="J15" s="1421"/>
      <c r="K15" s="1423" t="s">
        <v>1895</v>
      </c>
      <c r="L15" s="1423" t="s">
        <v>1895</v>
      </c>
      <c r="M15" s="1426"/>
    </row>
    <row r="16" spans="1:17" s="1415" customFormat="1" ht="19.5" customHeight="1">
      <c r="A16" s="1415">
        <v>12</v>
      </c>
      <c r="B16" s="1431" t="s">
        <v>1919</v>
      </c>
      <c r="C16" s="1417" t="s">
        <v>1920</v>
      </c>
      <c r="D16" s="1418" t="s">
        <v>1921</v>
      </c>
      <c r="E16" s="1419">
        <v>1</v>
      </c>
      <c r="F16" s="1421"/>
      <c r="G16" s="1421"/>
      <c r="H16" s="1422" t="s">
        <v>1895</v>
      </c>
      <c r="I16" s="1421"/>
      <c r="J16" s="1421"/>
      <c r="K16" s="1423" t="s">
        <v>1895</v>
      </c>
      <c r="L16" s="1432"/>
      <c r="M16" s="1426"/>
    </row>
    <row r="17" spans="1:13" s="1415" customFormat="1" ht="19.5" customHeight="1">
      <c r="A17" s="1415">
        <v>13</v>
      </c>
      <c r="B17" s="1431" t="s">
        <v>1922</v>
      </c>
      <c r="C17" s="1417" t="s">
        <v>1923</v>
      </c>
      <c r="D17" s="1418" t="s">
        <v>1924</v>
      </c>
      <c r="E17" s="1419">
        <v>1</v>
      </c>
      <c r="F17" s="1421"/>
      <c r="G17" s="1421"/>
      <c r="H17" s="1422" t="s">
        <v>1895</v>
      </c>
      <c r="I17" s="1421"/>
      <c r="J17" s="1421"/>
      <c r="K17" s="1423" t="s">
        <v>1895</v>
      </c>
      <c r="L17" s="1432"/>
      <c r="M17" s="1426"/>
    </row>
    <row r="18" spans="1:13" s="1415" customFormat="1" ht="19.5" customHeight="1">
      <c r="A18" s="1415">
        <v>14</v>
      </c>
      <c r="B18" s="1431" t="s">
        <v>1925</v>
      </c>
      <c r="C18" s="1417" t="s">
        <v>1926</v>
      </c>
      <c r="D18" s="1418" t="s">
        <v>1927</v>
      </c>
      <c r="E18" s="1419">
        <v>1</v>
      </c>
      <c r="F18" s="1421"/>
      <c r="G18" s="1421"/>
      <c r="H18" s="1422" t="s">
        <v>1895</v>
      </c>
      <c r="I18" s="1421"/>
      <c r="J18" s="1421"/>
      <c r="K18" s="1423" t="s">
        <v>1895</v>
      </c>
      <c r="L18" s="1432"/>
      <c r="M18" s="1426"/>
    </row>
    <row r="19" spans="1:13" s="1415" customFormat="1" ht="19.5" customHeight="1">
      <c r="A19" s="1415">
        <v>15</v>
      </c>
      <c r="B19" s="1431" t="s">
        <v>1928</v>
      </c>
      <c r="C19" s="1417" t="s">
        <v>1929</v>
      </c>
      <c r="D19" s="1418" t="s">
        <v>1930</v>
      </c>
      <c r="E19" s="1419">
        <v>1</v>
      </c>
      <c r="F19" s="1421"/>
      <c r="G19" s="1421"/>
      <c r="H19" s="1422" t="s">
        <v>1895</v>
      </c>
      <c r="I19" s="1422"/>
      <c r="J19" s="1421"/>
      <c r="K19" s="1423" t="s">
        <v>1895</v>
      </c>
      <c r="L19" s="1432"/>
      <c r="M19" s="1426"/>
    </row>
    <row r="20" spans="1:13" s="1415" customFormat="1" ht="19.5" customHeight="1">
      <c r="A20" s="1415">
        <v>16</v>
      </c>
      <c r="B20" s="1431" t="s">
        <v>1931</v>
      </c>
      <c r="C20" s="1417" t="s">
        <v>1932</v>
      </c>
      <c r="D20" s="1418" t="s">
        <v>1933</v>
      </c>
      <c r="E20" s="1419">
        <v>1</v>
      </c>
      <c r="F20" s="1421"/>
      <c r="G20" s="1421"/>
      <c r="H20" s="1422" t="s">
        <v>1895</v>
      </c>
      <c r="I20" s="1422"/>
      <c r="J20" s="1421"/>
      <c r="K20" s="1423" t="s">
        <v>1895</v>
      </c>
      <c r="L20" s="1432"/>
      <c r="M20" s="1426"/>
    </row>
    <row r="21" spans="1:13" s="1415" customFormat="1" ht="19.5" customHeight="1">
      <c r="A21" s="1415">
        <v>17</v>
      </c>
      <c r="B21" s="1431" t="s">
        <v>1934</v>
      </c>
      <c r="C21" s="1417" t="s">
        <v>1935</v>
      </c>
      <c r="D21" s="1418" t="s">
        <v>1936</v>
      </c>
      <c r="E21" s="1419">
        <v>1</v>
      </c>
      <c r="F21" s="1421"/>
      <c r="G21" s="1421"/>
      <c r="H21" s="1422" t="s">
        <v>1895</v>
      </c>
      <c r="I21" s="1421"/>
      <c r="J21" s="1421"/>
      <c r="K21" s="1423" t="s">
        <v>1895</v>
      </c>
      <c r="L21" s="1423"/>
      <c r="M21" s="1426"/>
    </row>
    <row r="22" spans="1:13" s="1415" customFormat="1" ht="19.5" customHeight="1">
      <c r="A22" s="1415">
        <v>18</v>
      </c>
      <c r="B22" s="1433" t="s">
        <v>1937</v>
      </c>
      <c r="C22" s="1417" t="s">
        <v>1938</v>
      </c>
      <c r="D22" s="1418" t="s">
        <v>292</v>
      </c>
      <c r="E22" s="1419">
        <v>1</v>
      </c>
      <c r="F22" s="1421"/>
      <c r="G22" s="1421"/>
      <c r="H22" s="1422" t="s">
        <v>1895</v>
      </c>
      <c r="I22" s="1421"/>
      <c r="J22" s="1421"/>
      <c r="K22" s="1423" t="s">
        <v>1895</v>
      </c>
      <c r="L22" s="1432"/>
      <c r="M22" s="1426"/>
    </row>
    <row r="23" spans="1:13" s="1415" customFormat="1" ht="19.5" customHeight="1">
      <c r="A23" s="1415">
        <v>19</v>
      </c>
      <c r="B23" s="1433" t="s">
        <v>1939</v>
      </c>
      <c r="C23" s="1417" t="s">
        <v>1940</v>
      </c>
      <c r="D23" s="1418" t="s">
        <v>1941</v>
      </c>
      <c r="E23" s="1419">
        <v>1</v>
      </c>
      <c r="F23" s="1421"/>
      <c r="G23" s="1421"/>
      <c r="H23" s="1422" t="s">
        <v>1895</v>
      </c>
      <c r="I23" s="1421"/>
      <c r="J23" s="1421"/>
      <c r="K23" s="1423" t="s">
        <v>1895</v>
      </c>
      <c r="L23" s="1423" t="s">
        <v>1895</v>
      </c>
      <c r="M23" s="1426"/>
    </row>
    <row r="24" spans="1:13" s="1415" customFormat="1" ht="19.5" customHeight="1">
      <c r="A24" s="1415">
        <v>20</v>
      </c>
      <c r="B24" s="1434" t="s">
        <v>1942</v>
      </c>
      <c r="C24" s="1417" t="s">
        <v>1943</v>
      </c>
      <c r="D24" s="1418" t="s">
        <v>1944</v>
      </c>
      <c r="E24" s="1419">
        <v>1</v>
      </c>
      <c r="F24" s="1421"/>
      <c r="G24" s="1421"/>
      <c r="H24" s="1422" t="s">
        <v>1895</v>
      </c>
      <c r="I24" s="1421"/>
      <c r="J24" s="1421"/>
      <c r="K24" s="1423" t="s">
        <v>1895</v>
      </c>
      <c r="L24" s="1423" t="s">
        <v>1895</v>
      </c>
      <c r="M24" s="1426"/>
    </row>
    <row r="25" spans="1:13" s="1415" customFormat="1" ht="19.5" customHeight="1">
      <c r="A25" s="1415">
        <v>21</v>
      </c>
      <c r="B25" s="1435" t="s">
        <v>1945</v>
      </c>
      <c r="C25" s="1417" t="s">
        <v>1946</v>
      </c>
      <c r="D25" s="1418" t="s">
        <v>706</v>
      </c>
      <c r="E25" s="1419">
        <v>1</v>
      </c>
      <c r="F25" s="1421"/>
      <c r="G25" s="1421"/>
      <c r="H25" s="1422" t="s">
        <v>1895</v>
      </c>
      <c r="I25" s="1421"/>
      <c r="J25" s="1421"/>
      <c r="K25" s="1423" t="s">
        <v>1895</v>
      </c>
      <c r="L25" s="1423" t="s">
        <v>1895</v>
      </c>
      <c r="M25" s="1426"/>
    </row>
    <row r="26" spans="1:13" s="1415" customFormat="1" ht="19.5" customHeight="1">
      <c r="A26" s="1415">
        <v>22</v>
      </c>
      <c r="B26" s="1435" t="s">
        <v>1947</v>
      </c>
      <c r="C26" s="1417" t="s">
        <v>1948</v>
      </c>
      <c r="D26" s="1418" t="s">
        <v>1949</v>
      </c>
      <c r="E26" s="1419">
        <v>1</v>
      </c>
      <c r="F26" s="1421"/>
      <c r="G26" s="1421"/>
      <c r="H26" s="1422" t="s">
        <v>1895</v>
      </c>
      <c r="I26" s="1421"/>
      <c r="J26" s="1421"/>
      <c r="K26" s="1423" t="s">
        <v>1895</v>
      </c>
      <c r="L26" s="1423" t="s">
        <v>1895</v>
      </c>
      <c r="M26" s="1426"/>
    </row>
    <row r="27" spans="1:13" s="1415" customFormat="1" ht="19.5" customHeight="1">
      <c r="A27" s="1415">
        <v>23</v>
      </c>
      <c r="B27" s="1435" t="s">
        <v>1950</v>
      </c>
      <c r="C27" s="1417" t="s">
        <v>1951</v>
      </c>
      <c r="D27" s="1418" t="s">
        <v>499</v>
      </c>
      <c r="E27" s="1419">
        <v>1</v>
      </c>
      <c r="F27" s="1421"/>
      <c r="G27" s="1421"/>
      <c r="H27" s="1422" t="s">
        <v>1895</v>
      </c>
      <c r="I27" s="1421"/>
      <c r="J27" s="1421"/>
      <c r="K27" s="1423" t="s">
        <v>1895</v>
      </c>
      <c r="L27" s="1423" t="s">
        <v>1895</v>
      </c>
      <c r="M27" s="1426"/>
    </row>
    <row r="28" spans="1:13" s="1415" customFormat="1" ht="19.5" customHeight="1">
      <c r="A28" s="1415">
        <v>24</v>
      </c>
      <c r="B28" s="1435" t="s">
        <v>1952</v>
      </c>
      <c r="C28" s="1417" t="s">
        <v>1846</v>
      </c>
      <c r="D28" s="1418" t="s">
        <v>1953</v>
      </c>
      <c r="E28" s="1419">
        <v>1</v>
      </c>
      <c r="F28" s="1421"/>
      <c r="G28" s="1421"/>
      <c r="H28" s="1422" t="s">
        <v>1895</v>
      </c>
      <c r="I28" s="1421"/>
      <c r="J28" s="1421"/>
      <c r="K28" s="1423" t="s">
        <v>1895</v>
      </c>
      <c r="L28" s="1423" t="s">
        <v>1895</v>
      </c>
      <c r="M28" s="1426"/>
    </row>
    <row r="29" spans="1:13" s="1415" customFormat="1" ht="19.5" customHeight="1">
      <c r="A29" s="1415">
        <v>25</v>
      </c>
      <c r="B29" s="1436" t="s">
        <v>1954</v>
      </c>
      <c r="C29" s="1417" t="s">
        <v>1955</v>
      </c>
      <c r="D29" s="1418" t="s">
        <v>614</v>
      </c>
      <c r="E29" s="1419">
        <v>1</v>
      </c>
      <c r="F29" s="1421"/>
      <c r="G29" s="1421"/>
      <c r="H29" s="1422" t="s">
        <v>1895</v>
      </c>
      <c r="I29" s="1421"/>
      <c r="J29" s="1421"/>
      <c r="K29" s="1423" t="s">
        <v>1895</v>
      </c>
      <c r="L29" s="1423" t="s">
        <v>1895</v>
      </c>
      <c r="M29" s="1426"/>
    </row>
    <row r="30" spans="1:13" s="1415" customFormat="1" ht="19.5" customHeight="1">
      <c r="A30" s="1415">
        <v>26</v>
      </c>
      <c r="B30" s="1436" t="s">
        <v>1956</v>
      </c>
      <c r="C30" s="1417" t="s">
        <v>1957</v>
      </c>
      <c r="D30" s="1418" t="s">
        <v>882</v>
      </c>
      <c r="E30" s="1419">
        <v>1</v>
      </c>
      <c r="F30" s="1421"/>
      <c r="G30" s="1421"/>
      <c r="H30" s="1422" t="s">
        <v>1895</v>
      </c>
      <c r="I30" s="1421"/>
      <c r="J30" s="1421"/>
      <c r="K30" s="1423" t="s">
        <v>1895</v>
      </c>
      <c r="L30" s="1423" t="s">
        <v>1895</v>
      </c>
      <c r="M30" s="1426"/>
    </row>
    <row r="31" spans="1:13" s="1415" customFormat="1" ht="19.5" customHeight="1">
      <c r="A31" s="1415">
        <v>27</v>
      </c>
      <c r="B31" s="1435" t="s">
        <v>1958</v>
      </c>
      <c r="C31" s="1417" t="s">
        <v>1959</v>
      </c>
      <c r="D31" s="1418" t="s">
        <v>1849</v>
      </c>
      <c r="E31" s="1419">
        <v>1</v>
      </c>
      <c r="F31" s="1421"/>
      <c r="G31" s="1421"/>
      <c r="H31" s="1422" t="s">
        <v>1895</v>
      </c>
      <c r="I31" s="1422"/>
      <c r="J31" s="1421"/>
      <c r="K31" s="1423" t="s">
        <v>1895</v>
      </c>
      <c r="L31" s="1423" t="s">
        <v>1895</v>
      </c>
      <c r="M31" s="1426"/>
    </row>
    <row r="32" spans="1:13" s="1438" customFormat="1" ht="19.5" customHeight="1">
      <c r="A32" s="1415">
        <v>28</v>
      </c>
      <c r="B32" s="1437" t="s">
        <v>1960</v>
      </c>
      <c r="C32" s="1417" t="s">
        <v>1961</v>
      </c>
      <c r="D32" s="1418" t="s">
        <v>1962</v>
      </c>
      <c r="E32" s="1419">
        <v>1</v>
      </c>
      <c r="F32" s="1418"/>
      <c r="G32" s="1421"/>
      <c r="H32" s="1422" t="s">
        <v>1895</v>
      </c>
      <c r="I32" s="1421"/>
      <c r="J32" s="1421"/>
      <c r="K32" s="1423" t="s">
        <v>1895</v>
      </c>
      <c r="L32" s="1423" t="s">
        <v>1895</v>
      </c>
    </row>
    <row r="33" spans="1:12" s="1438" customFormat="1" ht="19.5" customHeight="1">
      <c r="A33" s="1415">
        <v>29</v>
      </c>
      <c r="B33" s="1437" t="s">
        <v>1963</v>
      </c>
      <c r="C33" s="1417" t="s">
        <v>1964</v>
      </c>
      <c r="D33" s="1418" t="s">
        <v>1965</v>
      </c>
      <c r="E33" s="1419">
        <v>1</v>
      </c>
      <c r="F33" s="1418"/>
      <c r="G33" s="1421"/>
      <c r="H33" s="1439" t="s">
        <v>1966</v>
      </c>
      <c r="I33" s="1421"/>
      <c r="J33" s="1421"/>
      <c r="K33" s="1440" t="s">
        <v>1966</v>
      </c>
      <c r="L33" s="1423" t="s">
        <v>1895</v>
      </c>
    </row>
    <row r="34" spans="1:12" s="1438" customFormat="1" ht="19.5" customHeight="1">
      <c r="A34" s="1415">
        <v>30</v>
      </c>
      <c r="B34" s="1437" t="s">
        <v>1967</v>
      </c>
      <c r="C34" s="1417" t="s">
        <v>1968</v>
      </c>
      <c r="D34" s="1418" t="s">
        <v>1969</v>
      </c>
      <c r="E34" s="1419">
        <v>1</v>
      </c>
      <c r="F34" s="1418"/>
      <c r="G34" s="1421"/>
      <c r="H34" s="1422" t="s">
        <v>1895</v>
      </c>
      <c r="I34" s="1421"/>
      <c r="J34" s="1421"/>
      <c r="K34" s="1423" t="s">
        <v>1895</v>
      </c>
      <c r="L34" s="1423" t="s">
        <v>1895</v>
      </c>
    </row>
    <row r="35" spans="1:12" s="1438" customFormat="1" ht="19.5" customHeight="1">
      <c r="K35" s="1441"/>
      <c r="L35" s="1441"/>
    </row>
    <row r="36" spans="1:12" s="1438" customFormat="1" ht="10.5" customHeight="1">
      <c r="K36" s="1441"/>
      <c r="L36" s="1442"/>
    </row>
    <row r="37" spans="1:12" s="1438" customFormat="1" ht="10.5" customHeight="1">
      <c r="B37" s="1443"/>
      <c r="K37" s="1441"/>
      <c r="L37" s="1442"/>
    </row>
    <row r="38" spans="1:12" s="1438" customFormat="1" ht="23.25" customHeight="1">
      <c r="C38" s="1444" t="s">
        <v>1970</v>
      </c>
      <c r="D38" s="1445" t="s">
        <v>1971</v>
      </c>
      <c r="E38" s="2232" t="s">
        <v>1972</v>
      </c>
      <c r="F38" s="2232"/>
      <c r="G38" s="2232"/>
      <c r="K38" s="1446"/>
      <c r="L38" s="1442"/>
    </row>
    <row r="39" spans="1:12" s="1438" customFormat="1" ht="10.5" customHeight="1">
      <c r="C39" s="1447" t="s">
        <v>1973</v>
      </c>
      <c r="D39" s="1447" t="s">
        <v>1974</v>
      </c>
      <c r="E39" s="2233" t="s">
        <v>212</v>
      </c>
      <c r="F39" s="2234"/>
      <c r="G39" s="2234"/>
      <c r="K39" s="1441"/>
      <c r="L39" s="1442"/>
    </row>
    <row r="40" spans="1:12" s="1438" customFormat="1" ht="10.5" customHeight="1">
      <c r="B40" s="1448"/>
      <c r="K40" s="1441"/>
      <c r="L40" s="1442"/>
    </row>
    <row r="41" spans="1:12" s="1438" customFormat="1" ht="21" customHeight="1">
      <c r="B41" s="1448"/>
      <c r="K41" s="1441"/>
      <c r="L41" s="1442"/>
    </row>
    <row r="42" spans="1:12" s="1438" customFormat="1" ht="10.5" customHeight="1">
      <c r="B42" s="1449"/>
      <c r="K42" s="1441"/>
      <c r="L42" s="1442"/>
    </row>
    <row r="43" spans="1:12" s="1438" customFormat="1" ht="10.5" customHeight="1">
      <c r="B43" s="1450"/>
      <c r="D43" s="1451"/>
      <c r="E43" s="1449"/>
      <c r="K43" s="1446"/>
      <c r="L43" s="1442"/>
    </row>
    <row r="44" spans="1:12" s="1438" customFormat="1" ht="20.25" customHeight="1">
      <c r="E44" s="1449"/>
      <c r="K44" s="1446"/>
      <c r="L44" s="1442"/>
    </row>
    <row r="45" spans="1:12" s="1438" customFormat="1" ht="20.25" customHeight="1">
      <c r="E45" s="1449"/>
      <c r="K45" s="1446"/>
      <c r="L45" s="1442"/>
    </row>
    <row r="46" spans="1:12" s="1438" customFormat="1" ht="20.25" customHeight="1">
      <c r="K46" s="1446"/>
      <c r="L46" s="1442"/>
    </row>
    <row r="47" spans="1:12" s="1438" customFormat="1" ht="20.25" customHeight="1">
      <c r="K47" s="1446"/>
      <c r="L47" s="1442"/>
    </row>
    <row r="48" spans="1:12" s="1438" customFormat="1" ht="20.25" customHeight="1">
      <c r="E48" s="1449"/>
      <c r="K48" s="1446"/>
      <c r="L48" s="1442"/>
    </row>
    <row r="49" spans="5:12" s="1438" customFormat="1" ht="20.25" customHeight="1">
      <c r="E49" s="1449"/>
      <c r="K49" s="1446"/>
      <c r="L49" s="1442"/>
    </row>
    <row r="50" spans="5:12" s="1438" customFormat="1" ht="20.25" customHeight="1">
      <c r="E50" s="1449"/>
      <c r="K50" s="1446"/>
      <c r="L50" s="1442"/>
    </row>
    <row r="51" spans="5:12" s="1438" customFormat="1" ht="20.25" customHeight="1">
      <c r="E51" s="1449"/>
      <c r="K51" s="1446"/>
      <c r="L51" s="1442"/>
    </row>
    <row r="52" spans="5:12" s="1438" customFormat="1" ht="20.25" customHeight="1">
      <c r="E52" s="1449"/>
      <c r="K52" s="1446"/>
      <c r="L52" s="1442"/>
    </row>
    <row r="53" spans="5:12" s="1438" customFormat="1" ht="20.25" customHeight="1">
      <c r="E53" s="1449"/>
      <c r="K53" s="1446"/>
      <c r="L53" s="1442"/>
    </row>
    <row r="54" spans="5:12" s="1438" customFormat="1" ht="20.25" customHeight="1">
      <c r="E54" s="1449"/>
      <c r="K54" s="1446"/>
      <c r="L54" s="1442"/>
    </row>
    <row r="55" spans="5:12" s="1438" customFormat="1" ht="20.25" customHeight="1">
      <c r="E55" s="1449"/>
      <c r="K55" s="1446"/>
      <c r="L55" s="1442"/>
    </row>
    <row r="56" spans="5:12" s="1438" customFormat="1" ht="20.25" customHeight="1">
      <c r="E56" s="1449"/>
      <c r="K56" s="1446"/>
      <c r="L56" s="1442"/>
    </row>
    <row r="57" spans="5:12" s="144" customFormat="1">
      <c r="E57" s="1452"/>
      <c r="K57" s="1453"/>
      <c r="L57" s="1454"/>
    </row>
    <row r="58" spans="5:12" s="144" customFormat="1">
      <c r="E58" s="1452"/>
      <c r="K58" s="1453"/>
      <c r="L58" s="1454"/>
    </row>
    <row r="59" spans="5:12" s="144" customFormat="1">
      <c r="E59" s="1452"/>
      <c r="K59" s="1453"/>
      <c r="L59" s="1454"/>
    </row>
    <row r="60" spans="5:12" s="144" customFormat="1">
      <c r="E60" s="1452"/>
      <c r="K60" s="1453"/>
      <c r="L60" s="1454"/>
    </row>
    <row r="61" spans="5:12" s="144" customFormat="1">
      <c r="E61" s="1452"/>
      <c r="K61" s="1453"/>
      <c r="L61" s="1454"/>
    </row>
    <row r="62" spans="5:12" s="144" customFormat="1">
      <c r="E62" s="1452"/>
      <c r="K62" s="1453"/>
      <c r="L62" s="1454"/>
    </row>
    <row r="63" spans="5:12" s="144" customFormat="1">
      <c r="E63" s="1452"/>
      <c r="K63" s="1453"/>
      <c r="L63" s="1454"/>
    </row>
    <row r="64" spans="5:12" s="144" customFormat="1">
      <c r="E64" s="1452"/>
      <c r="K64" s="1453"/>
      <c r="L64" s="1454"/>
    </row>
    <row r="65" spans="5:12" s="144" customFormat="1">
      <c r="E65" s="1452"/>
      <c r="K65" s="1453"/>
      <c r="L65" s="1454"/>
    </row>
    <row r="66" spans="5:12" s="144" customFormat="1">
      <c r="E66" s="1452"/>
      <c r="K66" s="1453"/>
      <c r="L66" s="1454"/>
    </row>
    <row r="67" spans="5:12" s="144" customFormat="1">
      <c r="E67" s="1452"/>
      <c r="K67" s="1453"/>
      <c r="L67" s="1454"/>
    </row>
    <row r="68" spans="5:12" s="144" customFormat="1">
      <c r="E68" s="1452"/>
      <c r="K68" s="1453"/>
      <c r="L68" s="1454"/>
    </row>
    <row r="69" spans="5:12" s="144" customFormat="1">
      <c r="E69" s="1452"/>
      <c r="K69" s="1453"/>
      <c r="L69" s="1454"/>
    </row>
    <row r="70" spans="5:12" s="144" customFormat="1">
      <c r="E70" s="1452"/>
      <c r="K70" s="1453"/>
      <c r="L70" s="1454"/>
    </row>
    <row r="71" spans="5:12" s="144" customFormat="1">
      <c r="E71" s="1452"/>
      <c r="K71" s="1453"/>
      <c r="L71" s="1454"/>
    </row>
    <row r="72" spans="5:12" s="144" customFormat="1">
      <c r="E72" s="1452"/>
      <c r="K72" s="1453"/>
      <c r="L72" s="1454"/>
    </row>
    <row r="73" spans="5:12" s="144" customFormat="1">
      <c r="E73" s="1452"/>
      <c r="K73" s="1453"/>
      <c r="L73" s="1454"/>
    </row>
    <row r="74" spans="5:12" s="144" customFormat="1">
      <c r="E74" s="1452"/>
      <c r="K74" s="1453"/>
      <c r="L74" s="1454"/>
    </row>
    <row r="75" spans="5:12" s="144" customFormat="1">
      <c r="E75" s="1452"/>
      <c r="K75" s="1453"/>
      <c r="L75" s="1454"/>
    </row>
    <row r="76" spans="5:12" s="144" customFormat="1">
      <c r="E76" s="1452"/>
      <c r="K76" s="1453"/>
      <c r="L76" s="1454"/>
    </row>
    <row r="77" spans="5:12" s="144" customFormat="1">
      <c r="E77" s="1452"/>
      <c r="K77" s="1453"/>
      <c r="L77" s="1454"/>
    </row>
    <row r="78" spans="5:12" s="144" customFormat="1">
      <c r="E78" s="1452"/>
      <c r="K78" s="1453"/>
      <c r="L78" s="1454"/>
    </row>
    <row r="79" spans="5:12" s="144" customFormat="1">
      <c r="E79" s="1452"/>
      <c r="K79" s="1453"/>
      <c r="L79" s="1454"/>
    </row>
    <row r="80" spans="5:12" s="144" customFormat="1">
      <c r="E80" s="1452"/>
      <c r="K80" s="1453"/>
      <c r="L80" s="1454"/>
    </row>
    <row r="81" spans="5:12" s="144" customFormat="1">
      <c r="E81" s="1452"/>
      <c r="K81" s="1453"/>
      <c r="L81" s="1454"/>
    </row>
    <row r="82" spans="5:12" s="144" customFormat="1">
      <c r="E82" s="1452"/>
      <c r="K82" s="1453"/>
      <c r="L82" s="1454"/>
    </row>
    <row r="83" spans="5:12" s="144" customFormat="1">
      <c r="E83" s="1452"/>
      <c r="K83" s="1453"/>
      <c r="L83" s="1454"/>
    </row>
    <row r="84" spans="5:12" s="144" customFormat="1">
      <c r="E84" s="1452"/>
      <c r="K84" s="1453"/>
      <c r="L84" s="1454"/>
    </row>
    <row r="85" spans="5:12" s="144" customFormat="1">
      <c r="E85" s="1452"/>
      <c r="K85" s="1453"/>
      <c r="L85" s="1454"/>
    </row>
    <row r="86" spans="5:12" s="144" customFormat="1">
      <c r="E86" s="1452"/>
      <c r="K86" s="1453"/>
      <c r="L86" s="1454"/>
    </row>
    <row r="87" spans="5:12" s="144" customFormat="1">
      <c r="E87" s="1452"/>
      <c r="K87" s="1453"/>
      <c r="L87" s="1454"/>
    </row>
    <row r="88" spans="5:12" s="144" customFormat="1">
      <c r="E88" s="1452"/>
      <c r="K88" s="1453"/>
      <c r="L88" s="1454"/>
    </row>
    <row r="89" spans="5:12" s="144" customFormat="1">
      <c r="E89" s="1452"/>
      <c r="K89" s="1453"/>
      <c r="L89" s="1454"/>
    </row>
    <row r="90" spans="5:12" s="144" customFormat="1">
      <c r="E90" s="1452"/>
      <c r="K90" s="1453"/>
      <c r="L90" s="1454"/>
    </row>
    <row r="91" spans="5:12" s="144" customFormat="1">
      <c r="E91" s="1452"/>
      <c r="K91" s="1453"/>
      <c r="L91" s="1454"/>
    </row>
    <row r="92" spans="5:12" s="144" customFormat="1">
      <c r="E92" s="1452"/>
      <c r="K92" s="1453"/>
      <c r="L92" s="1454"/>
    </row>
    <row r="93" spans="5:12" s="144" customFormat="1">
      <c r="E93" s="1452"/>
      <c r="K93" s="1453"/>
      <c r="L93" s="1454"/>
    </row>
    <row r="94" spans="5:12" s="144" customFormat="1">
      <c r="E94" s="1452"/>
      <c r="K94" s="1453"/>
      <c r="L94" s="1454"/>
    </row>
    <row r="95" spans="5:12" s="144" customFormat="1">
      <c r="E95" s="1452"/>
      <c r="K95" s="1453"/>
      <c r="L95" s="1454"/>
    </row>
    <row r="96" spans="5:12" s="144" customFormat="1">
      <c r="E96" s="1452"/>
      <c r="K96" s="1453"/>
      <c r="L96" s="1454"/>
    </row>
    <row r="97" spans="5:12" s="144" customFormat="1">
      <c r="E97" s="1452"/>
      <c r="K97" s="1453"/>
      <c r="L97" s="1454"/>
    </row>
    <row r="98" spans="5:12" s="144" customFormat="1">
      <c r="E98" s="1452"/>
      <c r="K98" s="1453"/>
      <c r="L98" s="1454"/>
    </row>
    <row r="99" spans="5:12" s="144" customFormat="1">
      <c r="E99" s="1452"/>
      <c r="K99" s="1453"/>
      <c r="L99" s="1454"/>
    </row>
    <row r="100" spans="5:12" s="144" customFormat="1">
      <c r="E100" s="1452"/>
      <c r="K100" s="1453"/>
      <c r="L100" s="1454"/>
    </row>
    <row r="101" spans="5:12" s="144" customFormat="1">
      <c r="E101" s="1452"/>
      <c r="K101" s="1453"/>
      <c r="L101" s="1454"/>
    </row>
    <row r="102" spans="5:12" s="144" customFormat="1">
      <c r="E102" s="1452"/>
      <c r="K102" s="1453"/>
      <c r="L102" s="1454"/>
    </row>
    <row r="103" spans="5:12" s="144" customFormat="1">
      <c r="E103" s="1452"/>
      <c r="K103" s="1453"/>
      <c r="L103" s="1454"/>
    </row>
    <row r="104" spans="5:12" s="144" customFormat="1">
      <c r="E104" s="1452"/>
      <c r="K104" s="1453"/>
      <c r="L104" s="1454"/>
    </row>
    <row r="105" spans="5:12" s="144" customFormat="1">
      <c r="E105" s="1452"/>
      <c r="K105" s="1453"/>
      <c r="L105" s="1454"/>
    </row>
    <row r="106" spans="5:12" s="144" customFormat="1">
      <c r="E106" s="1452"/>
      <c r="K106" s="1453"/>
      <c r="L106" s="1454"/>
    </row>
    <row r="107" spans="5:12" s="144" customFormat="1">
      <c r="E107" s="1452"/>
      <c r="K107" s="1453"/>
      <c r="L107" s="1454"/>
    </row>
    <row r="108" spans="5:12" s="144" customFormat="1">
      <c r="E108" s="1452"/>
      <c r="K108" s="1453"/>
      <c r="L108" s="1454"/>
    </row>
    <row r="109" spans="5:12" s="144" customFormat="1">
      <c r="E109" s="1452"/>
      <c r="K109" s="1453"/>
      <c r="L109" s="1454"/>
    </row>
    <row r="110" spans="5:12" s="144" customFormat="1">
      <c r="E110" s="1452"/>
      <c r="K110" s="1453"/>
      <c r="L110" s="1454"/>
    </row>
    <row r="111" spans="5:12" s="144" customFormat="1">
      <c r="E111" s="1452"/>
      <c r="K111" s="1453"/>
      <c r="L111" s="1454"/>
    </row>
    <row r="112" spans="5:12" s="144" customFormat="1">
      <c r="E112" s="1452"/>
      <c r="K112" s="1453"/>
      <c r="L112" s="1454"/>
    </row>
    <row r="113" spans="5:12" s="144" customFormat="1">
      <c r="E113" s="1452"/>
      <c r="K113" s="1453"/>
      <c r="L113" s="1454"/>
    </row>
    <row r="114" spans="5:12" s="144" customFormat="1">
      <c r="E114" s="1452"/>
      <c r="K114" s="1453"/>
      <c r="L114" s="1454"/>
    </row>
    <row r="115" spans="5:12" s="144" customFormat="1">
      <c r="E115" s="1452"/>
      <c r="K115" s="1453"/>
      <c r="L115" s="1454"/>
    </row>
    <row r="116" spans="5:12" s="144" customFormat="1">
      <c r="E116" s="1452"/>
      <c r="K116" s="1453"/>
      <c r="L116" s="1454"/>
    </row>
    <row r="117" spans="5:12" s="144" customFormat="1">
      <c r="E117" s="1452"/>
      <c r="K117" s="1453"/>
      <c r="L117" s="1454"/>
    </row>
    <row r="118" spans="5:12" s="144" customFormat="1">
      <c r="E118" s="1452"/>
      <c r="K118" s="1453"/>
      <c r="L118" s="1454"/>
    </row>
    <row r="119" spans="5:12" s="144" customFormat="1">
      <c r="E119" s="1452"/>
      <c r="K119" s="1453"/>
      <c r="L119" s="1454"/>
    </row>
    <row r="120" spans="5:12" s="144" customFormat="1">
      <c r="E120" s="1452"/>
      <c r="K120" s="1453"/>
      <c r="L120" s="1454"/>
    </row>
    <row r="121" spans="5:12" s="144" customFormat="1">
      <c r="E121" s="1452"/>
      <c r="K121" s="1453"/>
      <c r="L121" s="1454"/>
    </row>
    <row r="122" spans="5:12" s="144" customFormat="1">
      <c r="E122" s="1452"/>
      <c r="K122" s="1453"/>
      <c r="L122" s="1454"/>
    </row>
    <row r="123" spans="5:12" s="144" customFormat="1">
      <c r="E123" s="1452"/>
      <c r="K123" s="1453"/>
      <c r="L123" s="1454"/>
    </row>
    <row r="124" spans="5:12" s="144" customFormat="1">
      <c r="E124" s="1452"/>
      <c r="K124" s="1453"/>
      <c r="L124" s="1454"/>
    </row>
    <row r="125" spans="5:12" s="144" customFormat="1">
      <c r="E125" s="1452"/>
      <c r="K125" s="1453"/>
      <c r="L125" s="1454"/>
    </row>
    <row r="126" spans="5:12" s="144" customFormat="1">
      <c r="E126" s="1452"/>
      <c r="K126" s="1453"/>
      <c r="L126" s="1454"/>
    </row>
    <row r="127" spans="5:12" s="144" customFormat="1">
      <c r="E127" s="1452"/>
      <c r="K127" s="1453"/>
      <c r="L127" s="1454"/>
    </row>
    <row r="128" spans="5:12" s="144" customFormat="1">
      <c r="E128" s="1452"/>
      <c r="K128" s="1453"/>
      <c r="L128" s="1454"/>
    </row>
    <row r="129" spans="5:12" s="144" customFormat="1">
      <c r="E129" s="1452"/>
      <c r="K129" s="1453"/>
      <c r="L129" s="1454"/>
    </row>
    <row r="130" spans="5:12" s="144" customFormat="1">
      <c r="E130" s="1452"/>
      <c r="K130" s="1453"/>
      <c r="L130" s="1454"/>
    </row>
    <row r="131" spans="5:12" s="144" customFormat="1">
      <c r="E131" s="1452"/>
      <c r="K131" s="1453"/>
      <c r="L131" s="1454"/>
    </row>
    <row r="132" spans="5:12" s="144" customFormat="1">
      <c r="E132" s="1452"/>
      <c r="K132" s="1453"/>
      <c r="L132" s="1454"/>
    </row>
    <row r="133" spans="5:12" s="144" customFormat="1">
      <c r="E133" s="1452"/>
      <c r="K133" s="1453"/>
      <c r="L133" s="1454"/>
    </row>
    <row r="134" spans="5:12" s="144" customFormat="1">
      <c r="E134" s="1452"/>
      <c r="K134" s="1453"/>
      <c r="L134" s="1454"/>
    </row>
    <row r="135" spans="5:12" s="144" customFormat="1">
      <c r="E135" s="1452"/>
      <c r="K135" s="1453"/>
      <c r="L135" s="1454"/>
    </row>
    <row r="136" spans="5:12" s="144" customFormat="1">
      <c r="E136" s="1452"/>
      <c r="K136" s="1453"/>
      <c r="L136" s="1454"/>
    </row>
    <row r="137" spans="5:12" s="144" customFormat="1">
      <c r="E137" s="1452"/>
      <c r="K137" s="1453"/>
      <c r="L137" s="1454"/>
    </row>
    <row r="138" spans="5:12" s="144" customFormat="1">
      <c r="E138" s="1452"/>
      <c r="K138" s="1453"/>
      <c r="L138" s="1454"/>
    </row>
    <row r="139" spans="5:12" s="144" customFormat="1">
      <c r="E139" s="1452"/>
      <c r="K139" s="1453"/>
      <c r="L139" s="1454"/>
    </row>
    <row r="140" spans="5:12" s="144" customFormat="1">
      <c r="E140" s="1452"/>
      <c r="K140" s="1453"/>
      <c r="L140" s="1454"/>
    </row>
    <row r="141" spans="5:12" s="144" customFormat="1">
      <c r="E141" s="1452"/>
      <c r="K141" s="1453"/>
      <c r="L141" s="1454"/>
    </row>
    <row r="142" spans="5:12" s="144" customFormat="1">
      <c r="E142" s="1452"/>
      <c r="K142" s="1453"/>
      <c r="L142" s="1454"/>
    </row>
    <row r="143" spans="5:12" s="144" customFormat="1">
      <c r="E143" s="1452"/>
      <c r="K143" s="1453"/>
      <c r="L143" s="1454"/>
    </row>
    <row r="144" spans="5:12" s="144" customFormat="1">
      <c r="E144" s="1452"/>
      <c r="K144" s="1453"/>
      <c r="L144" s="1454"/>
    </row>
  </sheetData>
  <mergeCells count="10">
    <mergeCell ref="P3:Q3"/>
    <mergeCell ref="E38:G38"/>
    <mergeCell ref="E39:G39"/>
    <mergeCell ref="B1:L1"/>
    <mergeCell ref="A3:A4"/>
    <mergeCell ref="B3:B4"/>
    <mergeCell ref="C3:D3"/>
    <mergeCell ref="E3:E4"/>
    <mergeCell ref="F3:J3"/>
    <mergeCell ref="K3:L3"/>
  </mergeCells>
  <pageMargins left="0.83" right="0.75" top="1" bottom="1" header="0.5" footer="0.5"/>
  <pageSetup scale="55"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sheetPr>
  <dimension ref="A1:BZ451"/>
  <sheetViews>
    <sheetView showGridLines="0" topLeftCell="A1048576" workbookViewId="0">
      <selection activeCell="H16" sqref="H16:J19"/>
    </sheetView>
  </sheetViews>
  <sheetFormatPr defaultColWidth="9.140625" defaultRowHeight="13.5" customHeight="1" zeroHeight="1"/>
  <cols>
    <col min="1" max="1" width="6.28515625" style="1146" bestFit="1" customWidth="1"/>
    <col min="2" max="2" width="7.28515625" style="1147" bestFit="1" customWidth="1"/>
    <col min="3" max="3" width="3.42578125" style="1148" customWidth="1"/>
    <col min="4" max="4" width="1.42578125" style="1148" customWidth="1"/>
    <col min="5" max="5" width="1.85546875" style="1148" customWidth="1"/>
    <col min="6" max="6" width="54.85546875" style="1148" customWidth="1"/>
    <col min="7" max="8" width="14.85546875" style="1148" customWidth="1"/>
    <col min="9" max="9" width="16.42578125" style="1148" customWidth="1"/>
    <col min="10" max="10" width="14.85546875" style="1148" customWidth="1"/>
    <col min="11" max="11" width="15.140625" style="1148" customWidth="1"/>
    <col min="12" max="12" width="16.7109375" style="1148" customWidth="1"/>
    <col min="13" max="78" width="9.140625" style="1148" customWidth="1"/>
    <col min="79" max="16384" width="9.140625" style="1148"/>
  </cols>
  <sheetData>
    <row r="1" spans="1:52" ht="20.25" customHeight="1">
      <c r="A1" s="983"/>
      <c r="B1" s="984"/>
      <c r="C1" s="985"/>
      <c r="D1" s="985"/>
      <c r="E1" s="985"/>
      <c r="F1" s="985"/>
      <c r="G1" s="985"/>
      <c r="H1" s="985"/>
      <c r="I1" s="985"/>
      <c r="J1" s="2256" t="s">
        <v>1843</v>
      </c>
      <c r="K1" s="2256"/>
    </row>
    <row r="2" spans="1:52" ht="36" customHeight="1">
      <c r="A2" s="986"/>
      <c r="B2" s="987"/>
      <c r="C2" s="2257" t="s">
        <v>945</v>
      </c>
      <c r="D2" s="2258"/>
      <c r="E2" s="2258"/>
      <c r="F2" s="2258"/>
      <c r="G2" s="2258"/>
      <c r="H2" s="2258"/>
      <c r="I2" s="2258"/>
      <c r="J2" s="2258"/>
      <c r="K2" s="2258"/>
    </row>
    <row r="3" spans="1:52" s="1153" customFormat="1" ht="23.25">
      <c r="A3" s="986"/>
      <c r="B3" s="987"/>
      <c r="C3" s="2259" t="s">
        <v>946</v>
      </c>
      <c r="D3" s="2259"/>
      <c r="E3" s="2259"/>
      <c r="F3" s="2259"/>
      <c r="G3" s="2259"/>
      <c r="H3" s="2259"/>
      <c r="I3" s="2259"/>
      <c r="J3" s="2259"/>
      <c r="K3" s="2259"/>
      <c r="L3" s="1151"/>
      <c r="M3" s="1151"/>
    </row>
    <row r="4" spans="1:52" s="1153" customFormat="1" ht="28.5" customHeight="1">
      <c r="A4" s="1149"/>
      <c r="B4" s="1150"/>
      <c r="C4" s="2260" t="s">
        <v>947</v>
      </c>
      <c r="D4" s="2261"/>
      <c r="E4" s="2261"/>
      <c r="F4" s="2261"/>
      <c r="G4" s="2261"/>
      <c r="H4" s="2261"/>
      <c r="I4" s="2261"/>
      <c r="J4" s="2261"/>
      <c r="K4" s="2261"/>
      <c r="L4" s="1151"/>
      <c r="M4" s="1151"/>
    </row>
    <row r="5" spans="1:52" s="1153" customFormat="1" ht="25.5">
      <c r="A5" s="1149"/>
      <c r="B5" s="1150"/>
      <c r="C5" s="2262" t="s">
        <v>815</v>
      </c>
      <c r="D5" s="2243"/>
      <c r="E5" s="2243"/>
      <c r="F5" s="2243"/>
      <c r="G5" s="1152"/>
      <c r="H5" s="1152"/>
      <c r="J5" s="1154"/>
      <c r="K5" s="1154"/>
      <c r="L5" s="1364"/>
      <c r="M5" s="1151"/>
    </row>
    <row r="6" spans="1:52" s="1153" customFormat="1" ht="18.75" customHeight="1">
      <c r="A6" s="1155"/>
      <c r="B6" s="1156"/>
      <c r="C6" s="2263" t="s">
        <v>819</v>
      </c>
      <c r="D6" s="2264"/>
      <c r="E6" s="2264"/>
      <c r="F6" s="2264"/>
      <c r="G6" s="1157"/>
      <c r="H6" s="1151"/>
      <c r="I6" s="1158"/>
      <c r="J6" s="1158"/>
      <c r="K6" s="1158"/>
      <c r="L6" s="1365"/>
      <c r="M6" s="1151"/>
    </row>
    <row r="7" spans="1:52" s="1153" customFormat="1" ht="10.5" customHeight="1">
      <c r="A7" s="1155"/>
      <c r="B7" s="1156"/>
      <c r="C7" s="2243"/>
      <c r="D7" s="2243"/>
      <c r="E7" s="2243"/>
      <c r="F7" s="2243"/>
      <c r="G7" s="1157"/>
      <c r="H7" s="1154"/>
      <c r="I7" s="1154"/>
      <c r="J7" s="1154"/>
      <c r="K7" s="1154"/>
      <c r="L7" s="1151"/>
      <c r="M7" s="1151"/>
    </row>
    <row r="8" spans="1:52" s="1153" customFormat="1" ht="26.25" customHeight="1" thickBot="1">
      <c r="A8" s="1149"/>
      <c r="B8" s="1150"/>
      <c r="C8" s="2244" t="s">
        <v>948</v>
      </c>
      <c r="D8" s="2245"/>
      <c r="E8" s="2245"/>
      <c r="F8" s="2245"/>
      <c r="G8" s="2245"/>
      <c r="H8" s="1151"/>
      <c r="I8" s="1159"/>
      <c r="J8" s="1159" t="s">
        <v>949</v>
      </c>
      <c r="K8" s="1153" t="s">
        <v>950</v>
      </c>
      <c r="L8" s="1151"/>
      <c r="M8" s="1151"/>
    </row>
    <row r="9" spans="1:52" s="988" customFormat="1" ht="19.5" customHeight="1" thickTop="1">
      <c r="A9" s="2246"/>
      <c r="B9" s="2248"/>
      <c r="C9" s="2250" t="s">
        <v>951</v>
      </c>
      <c r="D9" s="2251"/>
      <c r="E9" s="2251"/>
      <c r="F9" s="2251"/>
      <c r="G9" s="2254" t="s">
        <v>952</v>
      </c>
      <c r="H9" s="2254" t="s">
        <v>953</v>
      </c>
      <c r="I9" s="2276" t="s">
        <v>954</v>
      </c>
      <c r="J9" s="2276"/>
      <c r="K9" s="2276"/>
      <c r="L9" s="1151"/>
      <c r="M9" s="1151"/>
      <c r="N9" s="1153"/>
      <c r="O9" s="1153"/>
      <c r="P9" s="1153"/>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row>
    <row r="10" spans="1:52" s="988" customFormat="1" ht="27" customHeight="1">
      <c r="A10" s="2247"/>
      <c r="B10" s="2249"/>
      <c r="C10" s="2252"/>
      <c r="D10" s="2253"/>
      <c r="E10" s="2253"/>
      <c r="F10" s="2253"/>
      <c r="G10" s="2255"/>
      <c r="H10" s="2255"/>
      <c r="I10" s="2277" t="s">
        <v>955</v>
      </c>
      <c r="J10" s="2277"/>
      <c r="K10" s="2277"/>
      <c r="L10" s="1151"/>
      <c r="M10" s="1151"/>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row>
    <row r="11" spans="1:52" s="988" customFormat="1" ht="44.25" customHeight="1">
      <c r="A11" s="2278"/>
      <c r="B11" s="2280"/>
      <c r="C11" s="2282" t="s">
        <v>956</v>
      </c>
      <c r="D11" s="2283"/>
      <c r="E11" s="2283"/>
      <c r="F11" s="2283"/>
      <c r="G11" s="2284" t="s">
        <v>957</v>
      </c>
      <c r="H11" s="2284" t="s">
        <v>958</v>
      </c>
      <c r="I11" s="990" t="s">
        <v>959</v>
      </c>
      <c r="J11" s="991" t="s">
        <v>960</v>
      </c>
      <c r="K11" s="992" t="s">
        <v>961</v>
      </c>
      <c r="L11" s="1151"/>
      <c r="M11" s="1151"/>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row>
    <row r="12" spans="1:52" s="988" customFormat="1" ht="39" customHeight="1">
      <c r="A12" s="2279"/>
      <c r="B12" s="2281"/>
      <c r="C12" s="2282"/>
      <c r="D12" s="2283"/>
      <c r="E12" s="2283"/>
      <c r="F12" s="2283"/>
      <c r="G12" s="2285"/>
      <c r="H12" s="2285"/>
      <c r="I12" s="993" t="s">
        <v>962</v>
      </c>
      <c r="J12" s="994" t="s">
        <v>963</v>
      </c>
      <c r="K12" s="993" t="s">
        <v>964</v>
      </c>
      <c r="L12" s="1151"/>
      <c r="M12" s="1151"/>
      <c r="N12" s="1153"/>
      <c r="O12" s="1153"/>
      <c r="P12" s="1153"/>
      <c r="Q12" s="1153"/>
      <c r="R12" s="1153"/>
      <c r="S12" s="1153"/>
      <c r="T12" s="1153"/>
      <c r="U12" s="1153"/>
      <c r="V12" s="1153"/>
      <c r="W12" s="1153"/>
      <c r="X12" s="1153"/>
      <c r="Y12" s="1153"/>
      <c r="Z12" s="1153"/>
      <c r="AA12" s="1153"/>
      <c r="AB12" s="1153"/>
      <c r="AC12" s="1153"/>
      <c r="AD12" s="1153"/>
      <c r="AE12" s="1153"/>
      <c r="AF12" s="1153"/>
      <c r="AG12" s="1153"/>
      <c r="AH12" s="1153"/>
      <c r="AI12" s="1153"/>
      <c r="AJ12" s="1153"/>
      <c r="AK12" s="1153"/>
      <c r="AL12" s="1153"/>
      <c r="AM12" s="1153"/>
      <c r="AN12" s="1153"/>
      <c r="AO12" s="1153"/>
      <c r="AP12" s="1153"/>
      <c r="AQ12" s="1153"/>
      <c r="AR12" s="1153"/>
      <c r="AS12" s="1153"/>
      <c r="AT12" s="1153"/>
      <c r="AU12" s="1153"/>
      <c r="AV12" s="1153"/>
      <c r="AW12" s="1153"/>
      <c r="AX12" s="1153"/>
      <c r="AY12" s="1153"/>
      <c r="AZ12" s="1153"/>
    </row>
    <row r="13" spans="1:52" s="988" customFormat="1" ht="14.25" customHeight="1">
      <c r="A13" s="1144"/>
      <c r="B13" s="1145"/>
      <c r="C13" s="2265"/>
      <c r="D13" s="2265"/>
      <c r="E13" s="2265"/>
      <c r="F13" s="2266"/>
      <c r="G13" s="995">
        <v>1</v>
      </c>
      <c r="H13" s="995">
        <v>2</v>
      </c>
      <c r="I13" s="995">
        <v>3</v>
      </c>
      <c r="J13" s="995">
        <v>4</v>
      </c>
      <c r="K13" s="995" t="s">
        <v>965</v>
      </c>
      <c r="L13" s="1151"/>
      <c r="M13" s="1151"/>
      <c r="N13" s="1153"/>
      <c r="O13" s="1153"/>
      <c r="P13" s="1153"/>
      <c r="Q13" s="1153"/>
      <c r="R13" s="1153"/>
      <c r="S13" s="1153"/>
      <c r="T13" s="1153"/>
      <c r="U13" s="1153"/>
      <c r="V13" s="1153"/>
      <c r="W13" s="1153"/>
      <c r="X13" s="1153"/>
      <c r="Y13" s="1153"/>
      <c r="Z13" s="1153"/>
      <c r="AA13" s="1153"/>
      <c r="AB13" s="1153"/>
      <c r="AC13" s="1153"/>
      <c r="AD13" s="1153"/>
      <c r="AE13" s="1153"/>
      <c r="AF13" s="1153"/>
      <c r="AG13" s="1153"/>
      <c r="AH13" s="1153"/>
      <c r="AI13" s="1153"/>
      <c r="AJ13" s="1153"/>
      <c r="AK13" s="1153"/>
      <c r="AL13" s="1153"/>
      <c r="AM13" s="1153"/>
      <c r="AN13" s="1153"/>
      <c r="AO13" s="1153"/>
      <c r="AP13" s="1153"/>
      <c r="AQ13" s="1153"/>
      <c r="AR13" s="1153"/>
      <c r="AS13" s="1153"/>
      <c r="AT13" s="1153"/>
      <c r="AU13" s="1153"/>
      <c r="AV13" s="1153"/>
      <c r="AW13" s="1153"/>
      <c r="AX13" s="1153"/>
      <c r="AY13" s="1153"/>
      <c r="AZ13" s="1153"/>
    </row>
    <row r="14" spans="1:52" s="988" customFormat="1" ht="49.5" customHeight="1">
      <c r="A14" s="2267"/>
      <c r="B14" s="2269"/>
      <c r="C14" s="2271" t="s">
        <v>966</v>
      </c>
      <c r="D14" s="2272"/>
      <c r="E14" s="2272"/>
      <c r="F14" s="2273"/>
      <c r="G14" s="2274">
        <f>G16+G18+G20+G32+G38</f>
        <v>0</v>
      </c>
      <c r="H14" s="2274">
        <f>H16+H18+H20+H32+H38</f>
        <v>0</v>
      </c>
      <c r="I14" s="2274">
        <f>I16+I18+I20+I32+I38</f>
        <v>0</v>
      </c>
      <c r="J14" s="2274">
        <f>J16+J18+J20+J32+J38</f>
        <v>0</v>
      </c>
      <c r="K14" s="2286">
        <f>G14-H14</f>
        <v>0</v>
      </c>
      <c r="L14" s="1151"/>
      <c r="M14" s="1151"/>
      <c r="N14" s="1153"/>
      <c r="O14" s="1153"/>
      <c r="P14" s="1153"/>
      <c r="Q14" s="1153"/>
      <c r="R14" s="1153"/>
      <c r="S14" s="1153"/>
      <c r="T14" s="1153"/>
      <c r="U14" s="1153"/>
      <c r="V14" s="1153"/>
      <c r="W14" s="1153"/>
      <c r="X14" s="1153"/>
      <c r="Y14" s="1153"/>
      <c r="Z14" s="1153"/>
      <c r="AA14" s="1153"/>
      <c r="AB14" s="1153"/>
      <c r="AC14" s="1153"/>
      <c r="AD14" s="1153"/>
      <c r="AE14" s="1153"/>
      <c r="AF14" s="1153"/>
      <c r="AG14" s="1153"/>
      <c r="AH14" s="1153"/>
      <c r="AI14" s="1153"/>
      <c r="AJ14" s="1153"/>
      <c r="AK14" s="1153"/>
      <c r="AL14" s="1153"/>
      <c r="AM14" s="1153"/>
      <c r="AN14" s="1153"/>
      <c r="AO14" s="1153"/>
      <c r="AP14" s="1153"/>
      <c r="AQ14" s="1153"/>
      <c r="AR14" s="1153"/>
      <c r="AS14" s="1153"/>
      <c r="AT14" s="1153"/>
      <c r="AU14" s="1153"/>
      <c r="AV14" s="1153"/>
      <c r="AW14" s="1153"/>
      <c r="AX14" s="1153"/>
      <c r="AY14" s="1153"/>
      <c r="AZ14" s="1153"/>
    </row>
    <row r="15" spans="1:52" s="988" customFormat="1" ht="13.5" customHeight="1" thickBot="1">
      <c r="A15" s="2268"/>
      <c r="B15" s="2270"/>
      <c r="C15" s="1143" t="s">
        <v>380</v>
      </c>
      <c r="D15" s="997" t="s">
        <v>967</v>
      </c>
      <c r="E15" s="998"/>
      <c r="F15" s="999"/>
      <c r="G15" s="2275"/>
      <c r="H15" s="2275"/>
      <c r="I15" s="2275"/>
      <c r="J15" s="2275"/>
      <c r="K15" s="2286"/>
      <c r="L15" s="1151"/>
      <c r="M15" s="1151"/>
      <c r="N15" s="1153"/>
      <c r="O15" s="1153"/>
      <c r="P15" s="1153"/>
      <c r="Q15" s="1153"/>
      <c r="R15" s="1153"/>
      <c r="S15" s="1153"/>
      <c r="T15" s="1153"/>
      <c r="U15" s="1153"/>
      <c r="V15" s="1153"/>
      <c r="W15" s="1153"/>
      <c r="X15" s="1153"/>
      <c r="Y15" s="1153"/>
      <c r="Z15" s="1153"/>
      <c r="AA15" s="1153"/>
      <c r="AB15" s="1153"/>
      <c r="AC15" s="1153"/>
      <c r="AD15" s="1153"/>
      <c r="AE15" s="1153"/>
      <c r="AF15" s="1153"/>
      <c r="AG15" s="1153"/>
      <c r="AH15" s="1153"/>
      <c r="AI15" s="1153"/>
      <c r="AJ15" s="1153"/>
      <c r="AK15" s="1153"/>
      <c r="AL15" s="1153"/>
      <c r="AM15" s="1153"/>
      <c r="AN15" s="1153"/>
      <c r="AO15" s="1153"/>
      <c r="AP15" s="1153"/>
      <c r="AQ15" s="1153"/>
      <c r="AR15" s="1153"/>
      <c r="AS15" s="1153"/>
      <c r="AT15" s="1153"/>
      <c r="AU15" s="1153"/>
      <c r="AV15" s="1153"/>
      <c r="AW15" s="1153"/>
      <c r="AX15" s="1153"/>
      <c r="AY15" s="1153"/>
      <c r="AZ15" s="1153"/>
    </row>
    <row r="16" spans="1:52" s="1004" customFormat="1" ht="21.75" customHeight="1" thickTop="1">
      <c r="A16" s="2287" t="s">
        <v>968</v>
      </c>
      <c r="B16" s="2289" t="s">
        <v>969</v>
      </c>
      <c r="C16" s="1000"/>
      <c r="D16" s="1001" t="s">
        <v>970</v>
      </c>
      <c r="E16" s="1002"/>
      <c r="F16" s="1003"/>
      <c r="G16" s="2291">
        <f>H16+I16+J16</f>
        <v>0</v>
      </c>
      <c r="H16" s="2293"/>
      <c r="I16" s="2293"/>
      <c r="J16" s="2293"/>
      <c r="K16" s="2295">
        <f>G16-H16</f>
        <v>0</v>
      </c>
      <c r="L16" s="1157"/>
      <c r="M16" s="1157"/>
      <c r="N16" s="1163"/>
      <c r="O16" s="1163"/>
      <c r="P16" s="1163"/>
      <c r="Q16" s="1163"/>
      <c r="R16" s="1163"/>
      <c r="S16" s="1163"/>
      <c r="T16" s="1163"/>
      <c r="U16" s="1163"/>
      <c r="V16" s="1163"/>
      <c r="W16" s="1163"/>
      <c r="X16" s="1163"/>
      <c r="Y16" s="1163"/>
      <c r="Z16" s="1163"/>
      <c r="AA16" s="1163"/>
      <c r="AB16" s="1163"/>
      <c r="AC16" s="1163"/>
      <c r="AD16" s="1163"/>
      <c r="AE16" s="1163"/>
      <c r="AF16" s="1163"/>
      <c r="AG16" s="1163"/>
      <c r="AH16" s="1163"/>
      <c r="AI16" s="1163"/>
      <c r="AJ16" s="1163"/>
      <c r="AK16" s="1163"/>
      <c r="AL16" s="1163"/>
      <c r="AM16" s="1163"/>
      <c r="AN16" s="1163"/>
      <c r="AO16" s="1163"/>
      <c r="AP16" s="1163"/>
      <c r="AQ16" s="1163"/>
      <c r="AR16" s="1163"/>
      <c r="AS16" s="1163"/>
      <c r="AT16" s="1163"/>
      <c r="AU16" s="1163"/>
      <c r="AV16" s="1163"/>
      <c r="AW16" s="1163"/>
      <c r="AX16" s="1163"/>
      <c r="AY16" s="1163"/>
      <c r="AZ16" s="1163"/>
    </row>
    <row r="17" spans="1:52" s="988" customFormat="1" ht="13.5" customHeight="1">
      <c r="A17" s="2288"/>
      <c r="B17" s="2290"/>
      <c r="C17" s="1005"/>
      <c r="D17" s="1006" t="s">
        <v>971</v>
      </c>
      <c r="E17" s="1007"/>
      <c r="F17" s="1008"/>
      <c r="G17" s="2292"/>
      <c r="H17" s="2294"/>
      <c r="I17" s="2294"/>
      <c r="J17" s="2294"/>
      <c r="K17" s="2295"/>
      <c r="L17" s="1151"/>
      <c r="M17" s="1151"/>
      <c r="N17" s="1153"/>
      <c r="O17" s="1153"/>
      <c r="P17" s="1153"/>
      <c r="Q17" s="1153"/>
      <c r="R17" s="1153"/>
      <c r="S17" s="1153"/>
      <c r="T17" s="1153"/>
      <c r="U17" s="1153"/>
      <c r="V17" s="1153"/>
      <c r="W17" s="1153"/>
      <c r="X17" s="1153"/>
      <c r="Y17" s="1153"/>
      <c r="Z17" s="1153"/>
      <c r="AA17" s="1153"/>
      <c r="AB17" s="1153"/>
      <c r="AC17" s="1153"/>
      <c r="AD17" s="1153"/>
      <c r="AE17" s="1153"/>
      <c r="AF17" s="1153"/>
      <c r="AG17" s="1153"/>
      <c r="AH17" s="1153"/>
      <c r="AI17" s="1153"/>
      <c r="AJ17" s="1153"/>
      <c r="AK17" s="1153"/>
      <c r="AL17" s="1153"/>
      <c r="AM17" s="1153"/>
      <c r="AN17" s="1153"/>
      <c r="AO17" s="1153"/>
      <c r="AP17" s="1153"/>
      <c r="AQ17" s="1153"/>
      <c r="AR17" s="1153"/>
      <c r="AS17" s="1153"/>
      <c r="AT17" s="1153"/>
      <c r="AU17" s="1153"/>
      <c r="AV17" s="1153"/>
      <c r="AW17" s="1153"/>
      <c r="AX17" s="1153"/>
      <c r="AY17" s="1153"/>
      <c r="AZ17" s="1153"/>
    </row>
    <row r="18" spans="1:52" s="988" customFormat="1" ht="21.75" customHeight="1">
      <c r="A18" s="2296" t="s">
        <v>972</v>
      </c>
      <c r="B18" s="2297" t="s">
        <v>973</v>
      </c>
      <c r="C18" s="1009"/>
      <c r="D18" s="1001" t="s">
        <v>974</v>
      </c>
      <c r="E18" s="1004"/>
      <c r="F18" s="1010"/>
      <c r="G18" s="2291">
        <f>H18+I18+J18</f>
        <v>0</v>
      </c>
      <c r="H18" s="2293"/>
      <c r="I18" s="2293"/>
      <c r="J18" s="2293"/>
      <c r="K18" s="2295">
        <f>G18-H18</f>
        <v>0</v>
      </c>
      <c r="L18" s="1151"/>
      <c r="M18" s="1151"/>
      <c r="N18" s="1153"/>
      <c r="O18" s="1153"/>
      <c r="P18" s="1153"/>
      <c r="Q18" s="1153"/>
      <c r="R18" s="1153"/>
      <c r="S18" s="1153"/>
      <c r="T18" s="1153"/>
      <c r="U18" s="1153"/>
      <c r="V18" s="1153"/>
      <c r="W18" s="1153"/>
      <c r="X18" s="1153"/>
      <c r="Y18" s="1153"/>
      <c r="Z18" s="1153"/>
      <c r="AA18" s="1153"/>
      <c r="AB18" s="1153"/>
      <c r="AC18" s="1153"/>
      <c r="AD18" s="1153"/>
      <c r="AE18" s="1153"/>
      <c r="AF18" s="1153"/>
      <c r="AG18" s="1153"/>
      <c r="AH18" s="1153"/>
      <c r="AI18" s="1153"/>
      <c r="AJ18" s="1153"/>
      <c r="AK18" s="1153"/>
      <c r="AL18" s="1153"/>
      <c r="AM18" s="1153"/>
      <c r="AN18" s="1153"/>
      <c r="AO18" s="1153"/>
      <c r="AP18" s="1153"/>
      <c r="AQ18" s="1153"/>
      <c r="AR18" s="1153"/>
      <c r="AS18" s="1153"/>
      <c r="AT18" s="1153"/>
      <c r="AU18" s="1153"/>
      <c r="AV18" s="1153"/>
      <c r="AW18" s="1153"/>
      <c r="AX18" s="1153"/>
      <c r="AY18" s="1153"/>
      <c r="AZ18" s="1153"/>
    </row>
    <row r="19" spans="1:52" s="988" customFormat="1" ht="13.5" customHeight="1">
      <c r="A19" s="2288"/>
      <c r="B19" s="2290"/>
      <c r="C19" s="1011"/>
      <c r="D19" s="1006" t="s">
        <v>975</v>
      </c>
      <c r="E19" s="1007"/>
      <c r="F19" s="1008"/>
      <c r="G19" s="2292"/>
      <c r="H19" s="2294"/>
      <c r="I19" s="2294"/>
      <c r="J19" s="2294"/>
      <c r="K19" s="2295"/>
      <c r="L19" s="1151"/>
      <c r="M19" s="1151"/>
      <c r="N19" s="1153"/>
      <c r="O19" s="1153"/>
      <c r="P19" s="1153"/>
      <c r="Q19" s="1153"/>
      <c r="R19" s="1153"/>
      <c r="S19" s="1153"/>
      <c r="T19" s="1153"/>
      <c r="U19" s="1153"/>
      <c r="V19" s="1153"/>
      <c r="W19" s="1153"/>
      <c r="X19" s="1153"/>
      <c r="Y19" s="1153"/>
      <c r="Z19" s="1153"/>
      <c r="AA19" s="1153"/>
      <c r="AB19" s="1153"/>
      <c r="AC19" s="1153"/>
      <c r="AD19" s="1153"/>
      <c r="AE19" s="1153"/>
      <c r="AF19" s="1153"/>
      <c r="AG19" s="1153"/>
      <c r="AH19" s="1153"/>
      <c r="AI19" s="1153"/>
      <c r="AJ19" s="1153"/>
      <c r="AK19" s="1153"/>
      <c r="AL19" s="1153"/>
      <c r="AM19" s="1153"/>
      <c r="AN19" s="1153"/>
      <c r="AO19" s="1153"/>
      <c r="AP19" s="1153"/>
      <c r="AQ19" s="1153"/>
      <c r="AR19" s="1153"/>
      <c r="AS19" s="1153"/>
      <c r="AT19" s="1153"/>
      <c r="AU19" s="1153"/>
      <c r="AV19" s="1153"/>
      <c r="AW19" s="1153"/>
      <c r="AX19" s="1153"/>
      <c r="AY19" s="1153"/>
      <c r="AZ19" s="1153"/>
    </row>
    <row r="20" spans="1:52" s="988" customFormat="1" ht="21.75" customHeight="1">
      <c r="A20" s="2296" t="s">
        <v>976</v>
      </c>
      <c r="B20" s="2297" t="s">
        <v>977</v>
      </c>
      <c r="C20" s="1012"/>
      <c r="D20" s="1001" t="s">
        <v>978</v>
      </c>
      <c r="E20" s="1004"/>
      <c r="F20" s="1010"/>
      <c r="G20" s="2291">
        <f>H20+I20+J20</f>
        <v>0</v>
      </c>
      <c r="H20" s="2291">
        <f>H22+H30</f>
        <v>0</v>
      </c>
      <c r="I20" s="2291">
        <f>I22+I30</f>
        <v>0</v>
      </c>
      <c r="J20" s="2291">
        <f>J22+J30</f>
        <v>0</v>
      </c>
      <c r="K20" s="2295">
        <f>G20-H20</f>
        <v>0</v>
      </c>
      <c r="L20" s="1151"/>
      <c r="M20" s="1151"/>
      <c r="N20" s="1153"/>
      <c r="O20" s="1153"/>
      <c r="P20" s="1153"/>
      <c r="Q20" s="1153"/>
      <c r="R20" s="1153"/>
      <c r="S20" s="1153"/>
      <c r="T20" s="1153"/>
      <c r="U20" s="1153"/>
      <c r="V20" s="1153"/>
      <c r="W20" s="1153"/>
      <c r="X20" s="1153"/>
      <c r="Y20" s="1153"/>
      <c r="Z20" s="1153"/>
      <c r="AA20" s="1153"/>
      <c r="AB20" s="1153"/>
      <c r="AC20" s="1153"/>
      <c r="AD20" s="1153"/>
      <c r="AE20" s="1153"/>
      <c r="AF20" s="1153"/>
      <c r="AG20" s="1153"/>
      <c r="AH20" s="1153"/>
      <c r="AI20" s="1153"/>
      <c r="AJ20" s="1153"/>
      <c r="AK20" s="1153"/>
      <c r="AL20" s="1153"/>
      <c r="AM20" s="1153"/>
      <c r="AN20" s="1153"/>
      <c r="AO20" s="1153"/>
      <c r="AP20" s="1153"/>
      <c r="AQ20" s="1153"/>
      <c r="AR20" s="1153"/>
      <c r="AS20" s="1153"/>
      <c r="AT20" s="1153"/>
      <c r="AU20" s="1153"/>
      <c r="AV20" s="1153"/>
      <c r="AW20" s="1153"/>
      <c r="AX20" s="1153"/>
      <c r="AY20" s="1153"/>
      <c r="AZ20" s="1153"/>
    </row>
    <row r="21" spans="1:52" s="988" customFormat="1" ht="13.5" customHeight="1">
      <c r="A21" s="2288"/>
      <c r="B21" s="2290"/>
      <c r="C21" s="1011"/>
      <c r="D21" s="1007" t="s">
        <v>979</v>
      </c>
      <c r="E21" s="1007"/>
      <c r="F21" s="1008"/>
      <c r="G21" s="2292"/>
      <c r="H21" s="2292"/>
      <c r="I21" s="2292"/>
      <c r="J21" s="2292"/>
      <c r="K21" s="2295"/>
      <c r="L21" s="1151"/>
      <c r="M21" s="1151"/>
      <c r="N21" s="1153"/>
      <c r="O21" s="1153"/>
      <c r="P21" s="1153"/>
      <c r="Q21" s="1153"/>
      <c r="R21" s="1153"/>
      <c r="S21" s="1153"/>
      <c r="T21" s="1153"/>
      <c r="U21" s="1153"/>
      <c r="V21" s="1153"/>
      <c r="W21" s="1153"/>
      <c r="X21" s="1153"/>
      <c r="Y21" s="1153"/>
      <c r="Z21" s="1153"/>
      <c r="AA21" s="1153"/>
      <c r="AB21" s="1153"/>
      <c r="AC21" s="1153"/>
      <c r="AD21" s="1153"/>
      <c r="AE21" s="1153"/>
      <c r="AF21" s="1153"/>
      <c r="AG21" s="1153"/>
      <c r="AH21" s="1153"/>
      <c r="AI21" s="1153"/>
      <c r="AJ21" s="1153"/>
      <c r="AK21" s="1153"/>
      <c r="AL21" s="1153"/>
      <c r="AM21" s="1153"/>
      <c r="AN21" s="1153"/>
      <c r="AO21" s="1153"/>
      <c r="AP21" s="1153"/>
      <c r="AQ21" s="1153"/>
      <c r="AR21" s="1153"/>
      <c r="AS21" s="1153"/>
      <c r="AT21" s="1153"/>
      <c r="AU21" s="1153"/>
      <c r="AV21" s="1153"/>
      <c r="AW21" s="1153"/>
      <c r="AX21" s="1153"/>
      <c r="AY21" s="1153"/>
      <c r="AZ21" s="1153"/>
    </row>
    <row r="22" spans="1:52" s="988" customFormat="1" ht="21.75" customHeight="1">
      <c r="A22" s="2298" t="s">
        <v>980</v>
      </c>
      <c r="B22" s="2297" t="s">
        <v>981</v>
      </c>
      <c r="C22" s="1012"/>
      <c r="E22" s="989" t="s">
        <v>982</v>
      </c>
      <c r="F22" s="1013"/>
      <c r="G22" s="2291">
        <f>SUM(G24:G29)</f>
        <v>0</v>
      </c>
      <c r="H22" s="2291">
        <f>SUM(H24:H29)</f>
        <v>0</v>
      </c>
      <c r="I22" s="2291">
        <f>SUM(I24:I29)</f>
        <v>0</v>
      </c>
      <c r="J22" s="2291">
        <f>SUM(J24:J29)</f>
        <v>0</v>
      </c>
      <c r="K22" s="2295">
        <f>G22-H22</f>
        <v>0</v>
      </c>
      <c r="L22" s="1151"/>
      <c r="M22" s="1151"/>
      <c r="N22" s="1153"/>
      <c r="O22" s="1153"/>
      <c r="P22" s="1153"/>
      <c r="Q22" s="1153"/>
      <c r="R22" s="1153"/>
      <c r="S22" s="1153"/>
      <c r="T22" s="1153"/>
      <c r="U22" s="1153"/>
      <c r="V22" s="1153"/>
      <c r="W22" s="1153"/>
      <c r="X22" s="1153"/>
      <c r="Y22" s="1153"/>
      <c r="Z22" s="1153"/>
      <c r="AA22" s="1153"/>
      <c r="AB22" s="1153"/>
      <c r="AC22" s="1153"/>
      <c r="AD22" s="1153"/>
      <c r="AE22" s="1153"/>
      <c r="AF22" s="1153"/>
      <c r="AG22" s="1153"/>
      <c r="AH22" s="1153"/>
      <c r="AI22" s="1153"/>
      <c r="AJ22" s="1153"/>
      <c r="AK22" s="1153"/>
      <c r="AL22" s="1153"/>
      <c r="AM22" s="1153"/>
      <c r="AN22" s="1153"/>
      <c r="AO22" s="1153"/>
      <c r="AP22" s="1153"/>
      <c r="AQ22" s="1153"/>
      <c r="AR22" s="1153"/>
      <c r="AS22" s="1153"/>
      <c r="AT22" s="1153"/>
      <c r="AU22" s="1153"/>
      <c r="AV22" s="1153"/>
      <c r="AW22" s="1153"/>
      <c r="AX22" s="1153"/>
      <c r="AY22" s="1153"/>
      <c r="AZ22" s="1153"/>
    </row>
    <row r="23" spans="1:52" s="988" customFormat="1" ht="13.5" customHeight="1">
      <c r="A23" s="2288"/>
      <c r="B23" s="2290"/>
      <c r="C23" s="1014"/>
      <c r="D23" s="1015"/>
      <c r="E23" s="1016" t="s">
        <v>983</v>
      </c>
      <c r="F23" s="1017"/>
      <c r="G23" s="2292"/>
      <c r="H23" s="2292"/>
      <c r="I23" s="2292"/>
      <c r="J23" s="2292"/>
      <c r="K23" s="2295"/>
      <c r="L23" s="1151"/>
      <c r="M23" s="1151"/>
      <c r="N23" s="1153"/>
      <c r="O23" s="1153"/>
      <c r="P23" s="1153"/>
      <c r="Q23" s="1153"/>
      <c r="R23" s="1153"/>
      <c r="S23" s="1153"/>
      <c r="T23" s="1153"/>
      <c r="U23" s="1153"/>
      <c r="V23" s="1153"/>
      <c r="W23" s="1153"/>
      <c r="X23" s="1153"/>
      <c r="Y23" s="1153"/>
      <c r="Z23" s="1153"/>
      <c r="AA23" s="1153"/>
      <c r="AB23" s="1153"/>
      <c r="AC23" s="1153"/>
      <c r="AD23" s="1153"/>
      <c r="AE23" s="1153"/>
      <c r="AF23" s="1153"/>
      <c r="AG23" s="1153"/>
      <c r="AH23" s="1153"/>
      <c r="AI23" s="1153"/>
      <c r="AJ23" s="1153"/>
      <c r="AK23" s="1153"/>
      <c r="AL23" s="1153"/>
      <c r="AM23" s="1153"/>
      <c r="AN23" s="1153"/>
      <c r="AO23" s="1153"/>
      <c r="AP23" s="1153"/>
      <c r="AQ23" s="1153"/>
      <c r="AR23" s="1153"/>
      <c r="AS23" s="1153"/>
      <c r="AT23" s="1153"/>
      <c r="AU23" s="1153"/>
      <c r="AV23" s="1153"/>
      <c r="AW23" s="1153"/>
      <c r="AX23" s="1153"/>
      <c r="AY23" s="1153"/>
      <c r="AZ23" s="1153"/>
    </row>
    <row r="24" spans="1:52" s="988" customFormat="1" ht="21.75" customHeight="1">
      <c r="A24" s="2298" t="s">
        <v>984</v>
      </c>
      <c r="B24" s="2297" t="s">
        <v>985</v>
      </c>
      <c r="C24" s="1018"/>
      <c r="D24" s="1019" t="s">
        <v>986</v>
      </c>
      <c r="F24" s="1020" t="s">
        <v>986</v>
      </c>
      <c r="G24" s="2291">
        <f>H24+I24+J24</f>
        <v>0</v>
      </c>
      <c r="H24" s="2293"/>
      <c r="I24" s="2293"/>
      <c r="J24" s="2293"/>
      <c r="K24" s="2295">
        <f>G24-H24</f>
        <v>0</v>
      </c>
      <c r="L24" s="1151"/>
      <c r="M24" s="1151"/>
      <c r="N24" s="1153"/>
      <c r="O24" s="1153"/>
      <c r="P24" s="1153"/>
      <c r="Q24" s="1153"/>
      <c r="R24" s="1153"/>
      <c r="S24" s="1153"/>
      <c r="T24" s="1153"/>
      <c r="U24" s="1153"/>
      <c r="V24" s="1153"/>
      <c r="W24" s="1153"/>
      <c r="X24" s="1153"/>
      <c r="Y24" s="1153"/>
      <c r="Z24" s="1153"/>
      <c r="AA24" s="1153"/>
      <c r="AB24" s="1153"/>
      <c r="AC24" s="1153"/>
      <c r="AD24" s="1153"/>
      <c r="AE24" s="1153"/>
      <c r="AF24" s="1153"/>
      <c r="AG24" s="1153"/>
      <c r="AH24" s="1153"/>
      <c r="AI24" s="1153"/>
      <c r="AJ24" s="1153"/>
      <c r="AK24" s="1153"/>
      <c r="AL24" s="1153"/>
      <c r="AM24" s="1153"/>
      <c r="AN24" s="1153"/>
      <c r="AO24" s="1153"/>
      <c r="AP24" s="1153"/>
      <c r="AQ24" s="1153"/>
      <c r="AR24" s="1153"/>
      <c r="AS24" s="1153"/>
      <c r="AT24" s="1153"/>
      <c r="AU24" s="1153"/>
      <c r="AV24" s="1153"/>
      <c r="AW24" s="1153"/>
      <c r="AX24" s="1153"/>
      <c r="AY24" s="1153"/>
      <c r="AZ24" s="1153"/>
    </row>
    <row r="25" spans="1:52" s="988" customFormat="1" ht="13.5" customHeight="1">
      <c r="A25" s="2288"/>
      <c r="B25" s="2290"/>
      <c r="C25" s="1014"/>
      <c r="D25" s="1015"/>
      <c r="E25" s="1021"/>
      <c r="F25" s="1022" t="s">
        <v>987</v>
      </c>
      <c r="G25" s="2292"/>
      <c r="H25" s="2294"/>
      <c r="I25" s="2294"/>
      <c r="J25" s="2294"/>
      <c r="K25" s="2295"/>
      <c r="L25" s="1151"/>
      <c r="M25" s="1151"/>
      <c r="N25" s="1153"/>
      <c r="O25" s="1153"/>
      <c r="P25" s="1153"/>
      <c r="Q25" s="1153"/>
      <c r="R25" s="1153"/>
      <c r="S25" s="1153"/>
      <c r="T25" s="1153"/>
      <c r="U25" s="1153"/>
      <c r="V25" s="1153"/>
      <c r="W25" s="1153"/>
      <c r="X25" s="1153"/>
      <c r="Y25" s="1153"/>
      <c r="Z25" s="1153"/>
      <c r="AA25" s="1153"/>
      <c r="AB25" s="1153"/>
      <c r="AC25" s="1153"/>
      <c r="AD25" s="1153"/>
      <c r="AE25" s="1153"/>
      <c r="AF25" s="1153"/>
      <c r="AG25" s="1153"/>
      <c r="AH25" s="1153"/>
      <c r="AI25" s="1153"/>
      <c r="AJ25" s="1153"/>
      <c r="AK25" s="1153"/>
      <c r="AL25" s="1153"/>
      <c r="AM25" s="1153"/>
      <c r="AN25" s="1153"/>
      <c r="AO25" s="1153"/>
      <c r="AP25" s="1153"/>
      <c r="AQ25" s="1153"/>
      <c r="AR25" s="1153"/>
      <c r="AS25" s="1153"/>
      <c r="AT25" s="1153"/>
      <c r="AU25" s="1153"/>
      <c r="AV25" s="1153"/>
      <c r="AW25" s="1153"/>
      <c r="AX25" s="1153"/>
      <c r="AY25" s="1153"/>
      <c r="AZ25" s="1153"/>
    </row>
    <row r="26" spans="1:52" s="988" customFormat="1" ht="21.75" customHeight="1">
      <c r="A26" s="2296" t="s">
        <v>988</v>
      </c>
      <c r="B26" s="2299" t="s">
        <v>989</v>
      </c>
      <c r="C26" s="1018"/>
      <c r="F26" s="1020" t="s">
        <v>990</v>
      </c>
      <c r="G26" s="2291">
        <f>H26+I26+J26</f>
        <v>0</v>
      </c>
      <c r="H26" s="2293"/>
      <c r="I26" s="2293"/>
      <c r="J26" s="2293"/>
      <c r="K26" s="2295">
        <f>G26-H26</f>
        <v>0</v>
      </c>
      <c r="L26" s="1151"/>
      <c r="M26" s="1151"/>
      <c r="N26" s="1153"/>
      <c r="O26" s="1153"/>
      <c r="P26" s="1153"/>
      <c r="Q26" s="1153"/>
      <c r="R26" s="1153"/>
      <c r="S26" s="1153"/>
      <c r="T26" s="1153"/>
      <c r="U26" s="1153"/>
      <c r="V26" s="1153"/>
      <c r="W26" s="1153"/>
      <c r="X26" s="1153"/>
      <c r="Y26" s="1153"/>
      <c r="Z26" s="1153"/>
      <c r="AA26" s="1153"/>
      <c r="AB26" s="1153"/>
      <c r="AC26" s="1153"/>
      <c r="AD26" s="1153"/>
      <c r="AE26" s="1153"/>
      <c r="AF26" s="1153"/>
      <c r="AG26" s="1153"/>
      <c r="AH26" s="1153"/>
      <c r="AI26" s="1153"/>
      <c r="AJ26" s="1153"/>
      <c r="AK26" s="1153"/>
      <c r="AL26" s="1153"/>
      <c r="AM26" s="1153"/>
      <c r="AN26" s="1153"/>
      <c r="AO26" s="1153"/>
      <c r="AP26" s="1153"/>
      <c r="AQ26" s="1153"/>
      <c r="AR26" s="1153"/>
      <c r="AS26" s="1153"/>
      <c r="AT26" s="1153"/>
      <c r="AU26" s="1153"/>
      <c r="AV26" s="1153"/>
      <c r="AW26" s="1153"/>
      <c r="AX26" s="1153"/>
      <c r="AY26" s="1153"/>
      <c r="AZ26" s="1153"/>
    </row>
    <row r="27" spans="1:52" s="988" customFormat="1" ht="13.5" customHeight="1">
      <c r="A27" s="2288"/>
      <c r="B27" s="2290"/>
      <c r="C27" s="1011"/>
      <c r="D27" s="1016"/>
      <c r="E27" s="1021"/>
      <c r="F27" s="1022" t="s">
        <v>991</v>
      </c>
      <c r="G27" s="2292"/>
      <c r="H27" s="2294"/>
      <c r="I27" s="2294"/>
      <c r="J27" s="2294"/>
      <c r="K27" s="2295"/>
      <c r="L27" s="1151"/>
      <c r="M27" s="1151"/>
      <c r="N27" s="1153"/>
      <c r="O27" s="1153"/>
      <c r="P27" s="1153"/>
      <c r="Q27" s="1153"/>
      <c r="R27" s="1153"/>
      <c r="S27" s="1153"/>
      <c r="T27" s="1153"/>
      <c r="U27" s="1153"/>
      <c r="V27" s="1153"/>
      <c r="W27" s="1153"/>
      <c r="X27" s="1153"/>
      <c r="Y27" s="1153"/>
      <c r="Z27" s="1153"/>
      <c r="AA27" s="1153"/>
      <c r="AB27" s="1153"/>
      <c r="AC27" s="1153"/>
      <c r="AD27" s="1153"/>
      <c r="AE27" s="1153"/>
      <c r="AF27" s="1153"/>
      <c r="AG27" s="1153"/>
      <c r="AH27" s="1153"/>
      <c r="AI27" s="1153"/>
      <c r="AJ27" s="1153"/>
      <c r="AK27" s="1153"/>
      <c r="AL27" s="1153"/>
      <c r="AM27" s="1153"/>
      <c r="AN27" s="1153"/>
      <c r="AO27" s="1153"/>
      <c r="AP27" s="1153"/>
      <c r="AQ27" s="1153"/>
      <c r="AR27" s="1153"/>
      <c r="AS27" s="1153"/>
      <c r="AT27" s="1153"/>
      <c r="AU27" s="1153"/>
      <c r="AV27" s="1153"/>
      <c r="AW27" s="1153"/>
      <c r="AX27" s="1153"/>
      <c r="AY27" s="1153"/>
      <c r="AZ27" s="1153"/>
    </row>
    <row r="28" spans="1:52" s="988" customFormat="1" ht="21.75" customHeight="1">
      <c r="A28" s="2296" t="s">
        <v>992</v>
      </c>
      <c r="B28" s="2299" t="s">
        <v>993</v>
      </c>
      <c r="C28" s="1012"/>
      <c r="E28" s="1023"/>
      <c r="F28" s="1020" t="s">
        <v>994</v>
      </c>
      <c r="G28" s="2291">
        <f t="shared" ref="G28:G36" si="0">H28+I28+J28</f>
        <v>0</v>
      </c>
      <c r="H28" s="2293"/>
      <c r="I28" s="2293"/>
      <c r="J28" s="2293"/>
      <c r="K28" s="2295">
        <f>G28-H28</f>
        <v>0</v>
      </c>
      <c r="L28" s="1151"/>
      <c r="M28" s="1151"/>
      <c r="N28" s="1153"/>
      <c r="O28" s="1153"/>
      <c r="P28" s="1153"/>
      <c r="Q28" s="1153"/>
      <c r="R28" s="1153"/>
      <c r="S28" s="1153"/>
      <c r="T28" s="1153"/>
      <c r="U28" s="1153"/>
      <c r="V28" s="1153"/>
      <c r="W28" s="1153"/>
      <c r="X28" s="1153"/>
      <c r="Y28" s="1153"/>
      <c r="Z28" s="1153"/>
      <c r="AA28" s="1153"/>
      <c r="AB28" s="1153"/>
      <c r="AC28" s="1153"/>
      <c r="AD28" s="1153"/>
      <c r="AE28" s="1153"/>
      <c r="AF28" s="1153"/>
      <c r="AG28" s="1153"/>
      <c r="AH28" s="1153"/>
      <c r="AI28" s="1153"/>
      <c r="AJ28" s="1153"/>
      <c r="AK28" s="1153"/>
      <c r="AL28" s="1153"/>
      <c r="AM28" s="1153"/>
      <c r="AN28" s="1153"/>
      <c r="AO28" s="1153"/>
      <c r="AP28" s="1153"/>
      <c r="AQ28" s="1153"/>
      <c r="AR28" s="1153"/>
      <c r="AS28" s="1153"/>
      <c r="AT28" s="1153"/>
      <c r="AU28" s="1153"/>
      <c r="AV28" s="1153"/>
      <c r="AW28" s="1153"/>
      <c r="AX28" s="1153"/>
      <c r="AY28" s="1153"/>
      <c r="AZ28" s="1153"/>
    </row>
    <row r="29" spans="1:52" s="988" customFormat="1" ht="13.5" customHeight="1">
      <c r="A29" s="2288"/>
      <c r="B29" s="2290"/>
      <c r="C29" s="1014"/>
      <c r="D29" s="1015"/>
      <c r="E29" s="1021"/>
      <c r="F29" s="1022" t="s">
        <v>995</v>
      </c>
      <c r="G29" s="2292"/>
      <c r="H29" s="2294"/>
      <c r="I29" s="2294"/>
      <c r="J29" s="2294"/>
      <c r="K29" s="2295"/>
      <c r="L29" s="1151"/>
      <c r="M29" s="1151"/>
      <c r="N29" s="1153"/>
      <c r="O29" s="1153"/>
      <c r="P29" s="1153"/>
      <c r="Q29" s="1153"/>
      <c r="R29" s="1153"/>
      <c r="S29" s="1153"/>
      <c r="T29" s="1153"/>
      <c r="U29" s="1153"/>
      <c r="V29" s="1153"/>
      <c r="W29" s="1153"/>
      <c r="X29" s="1153"/>
      <c r="Y29" s="1153"/>
      <c r="Z29" s="1153"/>
      <c r="AA29" s="1153"/>
      <c r="AB29" s="1153"/>
      <c r="AC29" s="1153"/>
      <c r="AD29" s="1153"/>
      <c r="AE29" s="1153"/>
      <c r="AF29" s="1153"/>
      <c r="AG29" s="1153"/>
      <c r="AH29" s="1153"/>
      <c r="AI29" s="1153"/>
      <c r="AJ29" s="1153"/>
      <c r="AK29" s="1153"/>
      <c r="AL29" s="1153"/>
      <c r="AM29" s="1153"/>
      <c r="AN29" s="1153"/>
      <c r="AO29" s="1153"/>
      <c r="AP29" s="1153"/>
      <c r="AQ29" s="1153"/>
      <c r="AR29" s="1153"/>
      <c r="AS29" s="1153"/>
      <c r="AT29" s="1153"/>
      <c r="AU29" s="1153"/>
      <c r="AV29" s="1153"/>
      <c r="AW29" s="1153"/>
      <c r="AX29" s="1153"/>
      <c r="AY29" s="1153"/>
      <c r="AZ29" s="1153"/>
    </row>
    <row r="30" spans="1:52" s="988" customFormat="1" ht="21.75" customHeight="1">
      <c r="A30" s="2298" t="s">
        <v>996</v>
      </c>
      <c r="B30" s="2297" t="s">
        <v>997</v>
      </c>
      <c r="C30" s="1018"/>
      <c r="E30" s="989" t="s">
        <v>998</v>
      </c>
      <c r="F30" s="1010"/>
      <c r="G30" s="2291">
        <f t="shared" si="0"/>
        <v>0</v>
      </c>
      <c r="H30" s="2293"/>
      <c r="I30" s="2293"/>
      <c r="J30" s="2293"/>
      <c r="K30" s="2295">
        <f>G30-H30</f>
        <v>0</v>
      </c>
      <c r="L30" s="1151"/>
      <c r="M30" s="1151"/>
      <c r="N30" s="1153"/>
      <c r="O30" s="1153"/>
      <c r="P30" s="1153"/>
      <c r="Q30" s="1153"/>
      <c r="R30" s="1153"/>
      <c r="S30" s="1153"/>
      <c r="T30" s="1153"/>
      <c r="U30" s="1153"/>
      <c r="V30" s="1153"/>
      <c r="W30" s="1153"/>
      <c r="X30" s="1153"/>
      <c r="Y30" s="1153"/>
      <c r="Z30" s="1153"/>
      <c r="AA30" s="1153"/>
      <c r="AB30" s="1153"/>
      <c r="AC30" s="1153"/>
      <c r="AD30" s="1153"/>
      <c r="AE30" s="1153"/>
      <c r="AF30" s="1153"/>
      <c r="AG30" s="1153"/>
      <c r="AH30" s="1153"/>
      <c r="AI30" s="1153"/>
      <c r="AJ30" s="1153"/>
      <c r="AK30" s="1153"/>
      <c r="AL30" s="1153"/>
      <c r="AM30" s="1153"/>
      <c r="AN30" s="1153"/>
      <c r="AO30" s="1153"/>
      <c r="AP30" s="1153"/>
      <c r="AQ30" s="1153"/>
      <c r="AR30" s="1153"/>
      <c r="AS30" s="1153"/>
      <c r="AT30" s="1153"/>
      <c r="AU30" s="1153"/>
      <c r="AV30" s="1153"/>
      <c r="AW30" s="1153"/>
      <c r="AX30" s="1153"/>
      <c r="AY30" s="1153"/>
      <c r="AZ30" s="1153"/>
    </row>
    <row r="31" spans="1:52" s="988" customFormat="1" ht="13.5" customHeight="1">
      <c r="A31" s="2288"/>
      <c r="B31" s="2290"/>
      <c r="C31" s="1011"/>
      <c r="D31" s="1015"/>
      <c r="E31" s="1016" t="s">
        <v>999</v>
      </c>
      <c r="F31" s="1008"/>
      <c r="G31" s="2292"/>
      <c r="H31" s="2294"/>
      <c r="I31" s="2294"/>
      <c r="J31" s="2294"/>
      <c r="K31" s="2295"/>
      <c r="L31" s="1151"/>
      <c r="M31" s="1151"/>
      <c r="N31" s="1153"/>
      <c r="O31" s="1153"/>
      <c r="P31" s="1153"/>
      <c r="Q31" s="1153"/>
      <c r="R31" s="1153"/>
      <c r="S31" s="1153"/>
      <c r="T31" s="1153"/>
      <c r="U31" s="1153"/>
      <c r="V31" s="1153"/>
      <c r="W31" s="1153"/>
      <c r="X31" s="1153"/>
      <c r="Y31" s="1153"/>
      <c r="Z31" s="1153"/>
      <c r="AA31" s="1153"/>
      <c r="AB31" s="1153"/>
      <c r="AC31" s="1153"/>
      <c r="AD31" s="1153"/>
      <c r="AE31" s="1153"/>
      <c r="AF31" s="1153"/>
      <c r="AG31" s="1153"/>
      <c r="AH31" s="1153"/>
      <c r="AI31" s="1153"/>
      <c r="AJ31" s="1153"/>
      <c r="AK31" s="1153"/>
      <c r="AL31" s="1153"/>
      <c r="AM31" s="1153"/>
      <c r="AN31" s="1153"/>
      <c r="AO31" s="1153"/>
      <c r="AP31" s="1153"/>
      <c r="AQ31" s="1153"/>
      <c r="AR31" s="1153"/>
      <c r="AS31" s="1153"/>
      <c r="AT31" s="1153"/>
      <c r="AU31" s="1153"/>
      <c r="AV31" s="1153"/>
      <c r="AW31" s="1153"/>
      <c r="AX31" s="1153"/>
      <c r="AY31" s="1153"/>
      <c r="AZ31" s="1153"/>
    </row>
    <row r="32" spans="1:52" s="988" customFormat="1" ht="21.75" customHeight="1">
      <c r="A32" s="2296" t="s">
        <v>1000</v>
      </c>
      <c r="B32" s="2297" t="s">
        <v>1001</v>
      </c>
      <c r="C32" s="1012"/>
      <c r="D32" s="1001" t="s">
        <v>1002</v>
      </c>
      <c r="E32" s="1004"/>
      <c r="F32" s="1010"/>
      <c r="G32" s="2291">
        <f>G34+G36</f>
        <v>0</v>
      </c>
      <c r="H32" s="2291">
        <f t="shared" ref="H32:J32" si="1">H34+H36</f>
        <v>0</v>
      </c>
      <c r="I32" s="2291">
        <f t="shared" si="1"/>
        <v>0</v>
      </c>
      <c r="J32" s="2291">
        <f t="shared" si="1"/>
        <v>0</v>
      </c>
      <c r="K32" s="2295">
        <f>G32-H32</f>
        <v>0</v>
      </c>
      <c r="L32" s="1151"/>
      <c r="M32" s="1151"/>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row>
    <row r="33" spans="1:52" s="988" customFormat="1" ht="13.5" customHeight="1">
      <c r="A33" s="2288"/>
      <c r="B33" s="2290"/>
      <c r="C33" s="1011"/>
      <c r="D33" s="1007" t="s">
        <v>1003</v>
      </c>
      <c r="E33" s="1024"/>
      <c r="F33" s="1008"/>
      <c r="G33" s="2292"/>
      <c r="H33" s="2292"/>
      <c r="I33" s="2292"/>
      <c r="J33" s="2292"/>
      <c r="K33" s="2295"/>
      <c r="L33" s="1151"/>
      <c r="M33" s="1151"/>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row>
    <row r="34" spans="1:52" s="988" customFormat="1" ht="21.75" customHeight="1">
      <c r="A34" s="2296" t="s">
        <v>1004</v>
      </c>
      <c r="B34" s="2297" t="s">
        <v>1005</v>
      </c>
      <c r="C34" s="1012"/>
      <c r="D34" s="1001"/>
      <c r="E34" s="989" t="s">
        <v>1006</v>
      </c>
      <c r="F34" s="1010"/>
      <c r="G34" s="2291">
        <f t="shared" si="0"/>
        <v>0</v>
      </c>
      <c r="H34" s="2293"/>
      <c r="I34" s="2293"/>
      <c r="J34" s="2293"/>
      <c r="K34" s="2295">
        <f>G34-H34</f>
        <v>0</v>
      </c>
      <c r="L34" s="1151"/>
      <c r="M34" s="1151"/>
      <c r="N34" s="1153"/>
      <c r="O34" s="1153"/>
      <c r="P34" s="1153"/>
      <c r="Q34" s="1153"/>
      <c r="R34" s="1153"/>
      <c r="S34" s="1153"/>
      <c r="T34" s="1153"/>
      <c r="U34" s="1153"/>
      <c r="V34" s="1153"/>
      <c r="W34" s="1153"/>
      <c r="X34" s="1153"/>
      <c r="Y34" s="1153"/>
      <c r="Z34" s="1153"/>
      <c r="AA34" s="1153"/>
      <c r="AB34" s="1153"/>
      <c r="AC34" s="1153"/>
      <c r="AD34" s="1153"/>
      <c r="AE34" s="1153"/>
      <c r="AF34" s="1153"/>
      <c r="AG34" s="1153"/>
      <c r="AH34" s="1153"/>
      <c r="AI34" s="1153"/>
      <c r="AJ34" s="1153"/>
      <c r="AK34" s="1153"/>
      <c r="AL34" s="1153"/>
      <c r="AM34" s="1153"/>
      <c r="AN34" s="1153"/>
      <c r="AO34" s="1153"/>
      <c r="AP34" s="1153"/>
      <c r="AQ34" s="1153"/>
      <c r="AR34" s="1153"/>
      <c r="AS34" s="1153"/>
      <c r="AT34" s="1153"/>
      <c r="AU34" s="1153"/>
      <c r="AV34" s="1153"/>
      <c r="AW34" s="1153"/>
      <c r="AX34" s="1153"/>
      <c r="AY34" s="1153"/>
      <c r="AZ34" s="1153"/>
    </row>
    <row r="35" spans="1:52" s="988" customFormat="1" ht="13.5" customHeight="1">
      <c r="A35" s="2288"/>
      <c r="B35" s="2290"/>
      <c r="C35" s="1011"/>
      <c r="D35" s="1007"/>
      <c r="E35" s="1016" t="s">
        <v>1007</v>
      </c>
      <c r="F35" s="1025"/>
      <c r="G35" s="2292"/>
      <c r="H35" s="2294"/>
      <c r="I35" s="2294"/>
      <c r="J35" s="2294"/>
      <c r="K35" s="2295"/>
      <c r="L35" s="1151"/>
      <c r="M35" s="1151"/>
      <c r="N35" s="1153"/>
      <c r="O35" s="1153"/>
      <c r="P35" s="1153"/>
      <c r="Q35" s="1153"/>
      <c r="R35" s="1153"/>
      <c r="S35" s="1153"/>
      <c r="T35" s="1153"/>
      <c r="U35" s="1153"/>
      <c r="V35" s="1153"/>
      <c r="W35" s="1153"/>
      <c r="X35" s="1153"/>
      <c r="Y35" s="1153"/>
      <c r="Z35" s="1153"/>
      <c r="AA35" s="1153"/>
      <c r="AB35" s="1153"/>
      <c r="AC35" s="1153"/>
      <c r="AD35" s="1153"/>
      <c r="AE35" s="1153"/>
      <c r="AF35" s="1153"/>
      <c r="AG35" s="1153"/>
      <c r="AH35" s="1153"/>
      <c r="AI35" s="1153"/>
      <c r="AJ35" s="1153"/>
      <c r="AK35" s="1153"/>
      <c r="AL35" s="1153"/>
      <c r="AM35" s="1153"/>
      <c r="AN35" s="1153"/>
      <c r="AO35" s="1153"/>
      <c r="AP35" s="1153"/>
      <c r="AQ35" s="1153"/>
      <c r="AR35" s="1153"/>
      <c r="AS35" s="1153"/>
      <c r="AT35" s="1153"/>
      <c r="AU35" s="1153"/>
      <c r="AV35" s="1153"/>
      <c r="AW35" s="1153"/>
      <c r="AX35" s="1153"/>
      <c r="AY35" s="1153"/>
      <c r="AZ35" s="1153"/>
    </row>
    <row r="36" spans="1:52" s="988" customFormat="1" ht="21.75" customHeight="1">
      <c r="A36" s="2298" t="s">
        <v>1008</v>
      </c>
      <c r="B36" s="2297" t="s">
        <v>1009</v>
      </c>
      <c r="C36" s="1012"/>
      <c r="D36" s="1001"/>
      <c r="E36" s="989" t="s">
        <v>1010</v>
      </c>
      <c r="F36" s="1010"/>
      <c r="G36" s="2291">
        <f t="shared" si="0"/>
        <v>0</v>
      </c>
      <c r="H36" s="2293"/>
      <c r="I36" s="2293"/>
      <c r="J36" s="2293"/>
      <c r="K36" s="2295">
        <f>G36-H36</f>
        <v>0</v>
      </c>
      <c r="L36" s="1151"/>
      <c r="M36" s="1151"/>
      <c r="N36" s="1153"/>
      <c r="O36" s="1153"/>
      <c r="P36" s="1153"/>
      <c r="Q36" s="1153"/>
      <c r="R36" s="1153"/>
      <c r="S36" s="1153"/>
      <c r="T36" s="1153"/>
      <c r="U36" s="1153"/>
      <c r="V36" s="1153"/>
      <c r="W36" s="1153"/>
      <c r="X36" s="1153"/>
      <c r="Y36" s="1153"/>
      <c r="Z36" s="1153"/>
      <c r="AA36" s="1153"/>
      <c r="AB36" s="1153"/>
      <c r="AC36" s="1153"/>
      <c r="AD36" s="1153"/>
      <c r="AE36" s="1153"/>
      <c r="AF36" s="1153"/>
      <c r="AG36" s="1153"/>
      <c r="AH36" s="1153"/>
      <c r="AI36" s="1153"/>
      <c r="AJ36" s="1153"/>
      <c r="AK36" s="1153"/>
      <c r="AL36" s="1153"/>
      <c r="AM36" s="1153"/>
      <c r="AN36" s="1153"/>
      <c r="AO36" s="1153"/>
      <c r="AP36" s="1153"/>
      <c r="AQ36" s="1153"/>
      <c r="AR36" s="1153"/>
      <c r="AS36" s="1153"/>
      <c r="AT36" s="1153"/>
      <c r="AU36" s="1153"/>
      <c r="AV36" s="1153"/>
      <c r="AW36" s="1153"/>
      <c r="AX36" s="1153"/>
      <c r="AY36" s="1153"/>
      <c r="AZ36" s="1153"/>
    </row>
    <row r="37" spans="1:52" s="988" customFormat="1" ht="13.5" customHeight="1">
      <c r="A37" s="2288"/>
      <c r="B37" s="2290"/>
      <c r="C37" s="1011"/>
      <c r="D37" s="1007"/>
      <c r="E37" s="1016" t="s">
        <v>1011</v>
      </c>
      <c r="F37" s="1025"/>
      <c r="G37" s="2292"/>
      <c r="H37" s="2294"/>
      <c r="I37" s="2294"/>
      <c r="J37" s="2294"/>
      <c r="K37" s="2295"/>
      <c r="L37" s="1151"/>
      <c r="M37" s="1151"/>
      <c r="N37" s="1153"/>
      <c r="O37" s="1153"/>
      <c r="P37" s="1153"/>
      <c r="Q37" s="1153"/>
      <c r="R37" s="1153"/>
      <c r="S37" s="1153"/>
      <c r="T37" s="1153"/>
      <c r="U37" s="1153"/>
      <c r="V37" s="1153"/>
      <c r="W37" s="1153"/>
      <c r="X37" s="1153"/>
      <c r="Y37" s="1153"/>
      <c r="Z37" s="1153"/>
      <c r="AA37" s="1153"/>
      <c r="AB37" s="1153"/>
      <c r="AC37" s="1153"/>
      <c r="AD37" s="1153"/>
      <c r="AE37" s="1153"/>
      <c r="AF37" s="1153"/>
      <c r="AG37" s="1153"/>
      <c r="AH37" s="1153"/>
      <c r="AI37" s="1153"/>
      <c r="AJ37" s="1153"/>
      <c r="AK37" s="1153"/>
      <c r="AL37" s="1153"/>
      <c r="AM37" s="1153"/>
      <c r="AN37" s="1153"/>
      <c r="AO37" s="1153"/>
      <c r="AP37" s="1153"/>
      <c r="AQ37" s="1153"/>
      <c r="AR37" s="1153"/>
      <c r="AS37" s="1153"/>
      <c r="AT37" s="1153"/>
      <c r="AU37" s="1153"/>
      <c r="AV37" s="1153"/>
      <c r="AW37" s="1153"/>
      <c r="AX37" s="1153"/>
      <c r="AY37" s="1153"/>
      <c r="AZ37" s="1153"/>
    </row>
    <row r="38" spans="1:52" s="988" customFormat="1" ht="21.75" customHeight="1">
      <c r="A38" s="2296" t="s">
        <v>1012</v>
      </c>
      <c r="B38" s="2299" t="s">
        <v>1013</v>
      </c>
      <c r="C38" s="1012"/>
      <c r="D38" s="1001" t="s">
        <v>1014</v>
      </c>
      <c r="E38" s="1004"/>
      <c r="F38" s="1010"/>
      <c r="G38" s="2291">
        <f>G40+G48+G58+G60</f>
        <v>0</v>
      </c>
      <c r="H38" s="2291">
        <f>H40+H48+H58+H60</f>
        <v>0</v>
      </c>
      <c r="I38" s="2291">
        <f>I40+I48+I58+I60</f>
        <v>0</v>
      </c>
      <c r="J38" s="2291">
        <f>J40+J48+J58+J60</f>
        <v>0</v>
      </c>
      <c r="K38" s="2295">
        <f>G38-H38</f>
        <v>0</v>
      </c>
      <c r="L38" s="1151"/>
      <c r="M38" s="1151"/>
      <c r="N38" s="1153"/>
      <c r="O38" s="1153"/>
      <c r="P38" s="1153"/>
      <c r="Q38" s="1153"/>
      <c r="R38" s="1153"/>
      <c r="S38" s="1153"/>
      <c r="T38" s="1153"/>
      <c r="U38" s="1153"/>
      <c r="V38" s="1153"/>
      <c r="W38" s="1153"/>
      <c r="X38" s="1153"/>
      <c r="Y38" s="1153"/>
      <c r="Z38" s="1153"/>
      <c r="AA38" s="1153"/>
      <c r="AB38" s="1153"/>
      <c r="AC38" s="1153"/>
      <c r="AD38" s="1153"/>
      <c r="AE38" s="1153"/>
      <c r="AF38" s="1153"/>
      <c r="AG38" s="1153"/>
      <c r="AH38" s="1153"/>
      <c r="AI38" s="1153"/>
      <c r="AJ38" s="1153"/>
      <c r="AK38" s="1153"/>
      <c r="AL38" s="1153"/>
      <c r="AM38" s="1153"/>
      <c r="AN38" s="1153"/>
      <c r="AO38" s="1153"/>
      <c r="AP38" s="1153"/>
      <c r="AQ38" s="1153"/>
      <c r="AR38" s="1153"/>
      <c r="AS38" s="1153"/>
      <c r="AT38" s="1153"/>
      <c r="AU38" s="1153"/>
      <c r="AV38" s="1153"/>
      <c r="AW38" s="1153"/>
      <c r="AX38" s="1153"/>
      <c r="AY38" s="1153"/>
      <c r="AZ38" s="1153"/>
    </row>
    <row r="39" spans="1:52" s="988" customFormat="1" ht="13.5" customHeight="1">
      <c r="A39" s="2288"/>
      <c r="B39" s="2290"/>
      <c r="C39" s="1011"/>
      <c r="D39" s="1007" t="s">
        <v>1015</v>
      </c>
      <c r="E39" s="1007"/>
      <c r="F39" s="1008"/>
      <c r="G39" s="2292"/>
      <c r="H39" s="2292"/>
      <c r="I39" s="2292"/>
      <c r="J39" s="2292"/>
      <c r="K39" s="2295"/>
      <c r="L39" s="1151"/>
      <c r="M39" s="1151"/>
      <c r="N39" s="1153"/>
      <c r="O39" s="1153"/>
      <c r="P39" s="1153"/>
      <c r="Q39" s="1153"/>
      <c r="R39" s="1153"/>
      <c r="S39" s="1153"/>
      <c r="T39" s="1153"/>
      <c r="U39" s="1153"/>
      <c r="V39" s="1153"/>
      <c r="W39" s="1153"/>
      <c r="X39" s="1153"/>
      <c r="Y39" s="1153"/>
      <c r="Z39" s="1153"/>
      <c r="AA39" s="1153"/>
      <c r="AB39" s="1153"/>
      <c r="AC39" s="1153"/>
      <c r="AD39" s="1153"/>
      <c r="AE39" s="1153"/>
      <c r="AF39" s="1153"/>
      <c r="AG39" s="1153"/>
      <c r="AH39" s="1153"/>
      <c r="AI39" s="1153"/>
      <c r="AJ39" s="1153"/>
      <c r="AK39" s="1153"/>
      <c r="AL39" s="1153"/>
      <c r="AM39" s="1153"/>
      <c r="AN39" s="1153"/>
      <c r="AO39" s="1153"/>
      <c r="AP39" s="1153"/>
      <c r="AQ39" s="1153"/>
      <c r="AR39" s="1153"/>
      <c r="AS39" s="1153"/>
      <c r="AT39" s="1153"/>
      <c r="AU39" s="1153"/>
      <c r="AV39" s="1153"/>
      <c r="AW39" s="1153"/>
      <c r="AX39" s="1153"/>
      <c r="AY39" s="1153"/>
      <c r="AZ39" s="1153"/>
    </row>
    <row r="40" spans="1:52" s="988" customFormat="1" ht="21.75" customHeight="1">
      <c r="A40" s="2298" t="s">
        <v>1016</v>
      </c>
      <c r="B40" s="2297" t="s">
        <v>1017</v>
      </c>
      <c r="C40" s="1012"/>
      <c r="E40" s="989" t="s">
        <v>1018</v>
      </c>
      <c r="F40" s="1010"/>
      <c r="G40" s="2291">
        <f>SUM(G42:G47)</f>
        <v>0</v>
      </c>
      <c r="H40" s="2291">
        <f>SUM(H42:H47)</f>
        <v>0</v>
      </c>
      <c r="I40" s="2291">
        <f>SUM(I42:I47)</f>
        <v>0</v>
      </c>
      <c r="J40" s="2291">
        <f>SUM(J42:J47)</f>
        <v>0</v>
      </c>
      <c r="K40" s="2295">
        <f>G40-H40</f>
        <v>0</v>
      </c>
      <c r="L40" s="1151"/>
      <c r="M40" s="1151"/>
      <c r="N40" s="1153"/>
      <c r="O40" s="1153"/>
      <c r="P40" s="1153"/>
      <c r="Q40" s="1153"/>
      <c r="R40" s="1153"/>
      <c r="S40" s="1153"/>
      <c r="T40" s="1153"/>
      <c r="U40" s="1153"/>
      <c r="V40" s="1153"/>
      <c r="W40" s="1153"/>
      <c r="X40" s="1153"/>
      <c r="Y40" s="1153"/>
      <c r="Z40" s="1153"/>
      <c r="AA40" s="1153"/>
      <c r="AB40" s="1153"/>
      <c r="AC40" s="1153"/>
      <c r="AD40" s="1153"/>
      <c r="AE40" s="1153"/>
      <c r="AF40" s="1153"/>
      <c r="AG40" s="1153"/>
      <c r="AH40" s="1153"/>
      <c r="AI40" s="1153"/>
      <c r="AJ40" s="1153"/>
      <c r="AK40" s="1153"/>
      <c r="AL40" s="1153"/>
      <c r="AM40" s="1153"/>
      <c r="AN40" s="1153"/>
      <c r="AO40" s="1153"/>
      <c r="AP40" s="1153"/>
      <c r="AQ40" s="1153"/>
      <c r="AR40" s="1153"/>
      <c r="AS40" s="1153"/>
      <c r="AT40" s="1153"/>
      <c r="AU40" s="1153"/>
      <c r="AV40" s="1153"/>
      <c r="AW40" s="1153"/>
      <c r="AX40" s="1153"/>
      <c r="AY40" s="1153"/>
      <c r="AZ40" s="1153"/>
    </row>
    <row r="41" spans="1:52" s="988" customFormat="1" ht="13.5" customHeight="1">
      <c r="A41" s="2288"/>
      <c r="B41" s="2290"/>
      <c r="C41" s="1011"/>
      <c r="D41" s="1026"/>
      <c r="E41" s="1016" t="s">
        <v>1019</v>
      </c>
      <c r="F41" s="1025"/>
      <c r="G41" s="2292"/>
      <c r="H41" s="2292"/>
      <c r="I41" s="2292"/>
      <c r="J41" s="2292"/>
      <c r="K41" s="2295"/>
      <c r="L41" s="1151"/>
      <c r="M41" s="1151"/>
      <c r="N41" s="1153"/>
      <c r="O41" s="1153"/>
      <c r="P41" s="1153"/>
      <c r="Q41" s="1153"/>
      <c r="R41" s="1153"/>
      <c r="S41" s="1153"/>
      <c r="T41" s="1153"/>
      <c r="U41" s="1153"/>
      <c r="V41" s="1153"/>
      <c r="W41" s="1153"/>
      <c r="X41" s="1153"/>
      <c r="Y41" s="1153"/>
      <c r="Z41" s="1153"/>
      <c r="AA41" s="1153"/>
      <c r="AB41" s="1153"/>
      <c r="AC41" s="1153"/>
      <c r="AD41" s="1153"/>
      <c r="AE41" s="1153"/>
      <c r="AF41" s="1153"/>
      <c r="AG41" s="1153"/>
      <c r="AH41" s="1153"/>
      <c r="AI41" s="1153"/>
      <c r="AJ41" s="1153"/>
      <c r="AK41" s="1153"/>
      <c r="AL41" s="1153"/>
      <c r="AM41" s="1153"/>
      <c r="AN41" s="1153"/>
      <c r="AO41" s="1153"/>
      <c r="AP41" s="1153"/>
      <c r="AQ41" s="1153"/>
      <c r="AR41" s="1153"/>
      <c r="AS41" s="1153"/>
      <c r="AT41" s="1153"/>
      <c r="AU41" s="1153"/>
      <c r="AV41" s="1153"/>
      <c r="AW41" s="1153"/>
      <c r="AX41" s="1153"/>
      <c r="AY41" s="1153"/>
      <c r="AZ41" s="1153"/>
    </row>
    <row r="42" spans="1:52" s="988" customFormat="1" ht="21.75" customHeight="1">
      <c r="A42" s="2298" t="s">
        <v>1020</v>
      </c>
      <c r="B42" s="2297" t="s">
        <v>1021</v>
      </c>
      <c r="C42" s="1012"/>
      <c r="F42" s="1020" t="s">
        <v>1022</v>
      </c>
      <c r="G42" s="2291">
        <f>H42+I42+J42</f>
        <v>0</v>
      </c>
      <c r="H42" s="2293"/>
      <c r="I42" s="2293"/>
      <c r="J42" s="2293"/>
      <c r="K42" s="2295">
        <f>G42-H42</f>
        <v>0</v>
      </c>
      <c r="L42" s="1151"/>
      <c r="M42" s="1151"/>
      <c r="N42" s="1153"/>
      <c r="O42" s="1153"/>
      <c r="P42" s="1153"/>
      <c r="Q42" s="1153"/>
      <c r="R42" s="1153"/>
      <c r="S42" s="1153"/>
      <c r="T42" s="1153"/>
      <c r="U42" s="1153"/>
      <c r="V42" s="1153"/>
      <c r="W42" s="1153"/>
      <c r="X42" s="1153"/>
      <c r="Y42" s="1153"/>
      <c r="Z42" s="1153"/>
      <c r="AA42" s="1153"/>
      <c r="AB42" s="1153"/>
      <c r="AC42" s="1153"/>
      <c r="AD42" s="1153"/>
      <c r="AE42" s="1153"/>
      <c r="AF42" s="1153"/>
      <c r="AG42" s="1153"/>
      <c r="AH42" s="1153"/>
      <c r="AI42" s="1153"/>
      <c r="AJ42" s="1153"/>
      <c r="AK42" s="1153"/>
      <c r="AL42" s="1153"/>
      <c r="AM42" s="1153"/>
      <c r="AN42" s="1153"/>
      <c r="AO42" s="1153"/>
      <c r="AP42" s="1153"/>
      <c r="AQ42" s="1153"/>
      <c r="AR42" s="1153"/>
      <c r="AS42" s="1153"/>
      <c r="AT42" s="1153"/>
      <c r="AU42" s="1153"/>
      <c r="AV42" s="1153"/>
      <c r="AW42" s="1153"/>
      <c r="AX42" s="1153"/>
      <c r="AY42" s="1153"/>
      <c r="AZ42" s="1153"/>
    </row>
    <row r="43" spans="1:52" s="988" customFormat="1" ht="13.5" customHeight="1">
      <c r="A43" s="2288"/>
      <c r="B43" s="2290"/>
      <c r="C43" s="1027"/>
      <c r="D43" s="1028"/>
      <c r="E43" s="1028"/>
      <c r="F43" s="1022" t="s">
        <v>1023</v>
      </c>
      <c r="G43" s="2292"/>
      <c r="H43" s="2294"/>
      <c r="I43" s="2294"/>
      <c r="J43" s="2294"/>
      <c r="K43" s="2295"/>
      <c r="L43" s="1151"/>
      <c r="M43" s="1151"/>
      <c r="N43" s="1153"/>
      <c r="O43" s="1153"/>
      <c r="P43" s="1153"/>
      <c r="Q43" s="1153"/>
      <c r="R43" s="1153"/>
      <c r="S43" s="1153"/>
      <c r="T43" s="1153"/>
      <c r="U43" s="1153"/>
      <c r="V43" s="1153"/>
      <c r="W43" s="1153"/>
      <c r="X43" s="1153"/>
      <c r="Y43" s="1153"/>
      <c r="Z43" s="1153"/>
      <c r="AA43" s="1153"/>
      <c r="AB43" s="1153"/>
      <c r="AC43" s="1153"/>
      <c r="AD43" s="1153"/>
      <c r="AE43" s="1153"/>
      <c r="AF43" s="1153"/>
      <c r="AG43" s="1153"/>
      <c r="AH43" s="1153"/>
      <c r="AI43" s="1153"/>
      <c r="AJ43" s="1153"/>
      <c r="AK43" s="1153"/>
      <c r="AL43" s="1153"/>
      <c r="AM43" s="1153"/>
      <c r="AN43" s="1153"/>
      <c r="AO43" s="1153"/>
      <c r="AP43" s="1153"/>
      <c r="AQ43" s="1153"/>
      <c r="AR43" s="1153"/>
      <c r="AS43" s="1153"/>
      <c r="AT43" s="1153"/>
      <c r="AU43" s="1153"/>
      <c r="AV43" s="1153"/>
      <c r="AW43" s="1153"/>
      <c r="AX43" s="1153"/>
      <c r="AY43" s="1153"/>
      <c r="AZ43" s="1153"/>
    </row>
    <row r="44" spans="1:52" s="988" customFormat="1" ht="21.75" customHeight="1">
      <c r="A44" s="2298" t="s">
        <v>1024</v>
      </c>
      <c r="B44" s="2297" t="s">
        <v>1025</v>
      </c>
      <c r="C44" s="1029"/>
      <c r="E44" s="985"/>
      <c r="F44" s="1020" t="s">
        <v>1026</v>
      </c>
      <c r="G44" s="2291">
        <f>H44+I44+J44</f>
        <v>0</v>
      </c>
      <c r="H44" s="2293"/>
      <c r="I44" s="2293"/>
      <c r="J44" s="2293"/>
      <c r="K44" s="2295">
        <f>G44-H44</f>
        <v>0</v>
      </c>
      <c r="L44" s="1151"/>
      <c r="M44" s="1151"/>
      <c r="N44" s="1153"/>
      <c r="O44" s="1153"/>
      <c r="P44" s="1153"/>
      <c r="Q44" s="1153"/>
      <c r="R44" s="1153"/>
      <c r="S44" s="1153"/>
      <c r="T44" s="1153"/>
      <c r="U44" s="1153"/>
      <c r="V44" s="1153"/>
      <c r="W44" s="1153"/>
      <c r="X44" s="1153"/>
      <c r="Y44" s="1153"/>
      <c r="Z44" s="1153"/>
      <c r="AA44" s="1153"/>
      <c r="AB44" s="1153"/>
      <c r="AC44" s="1153"/>
      <c r="AD44" s="1153"/>
      <c r="AE44" s="1153"/>
      <c r="AF44" s="1153"/>
      <c r="AG44" s="1153"/>
      <c r="AH44" s="1153"/>
      <c r="AI44" s="1153"/>
      <c r="AJ44" s="1153"/>
      <c r="AK44" s="1153"/>
      <c r="AL44" s="1153"/>
      <c r="AM44" s="1153"/>
      <c r="AN44" s="1153"/>
      <c r="AO44" s="1153"/>
      <c r="AP44" s="1153"/>
      <c r="AQ44" s="1153"/>
      <c r="AR44" s="1153"/>
      <c r="AS44" s="1153"/>
      <c r="AT44" s="1153"/>
      <c r="AU44" s="1153"/>
      <c r="AV44" s="1153"/>
      <c r="AW44" s="1153"/>
      <c r="AX44" s="1153"/>
      <c r="AY44" s="1153"/>
      <c r="AZ44" s="1153"/>
    </row>
    <row r="45" spans="1:52" s="988" customFormat="1" ht="13.5" customHeight="1">
      <c r="A45" s="2288"/>
      <c r="B45" s="2290"/>
      <c r="C45" s="1014"/>
      <c r="D45" s="1026"/>
      <c r="E45" s="1026"/>
      <c r="F45" s="1022" t="s">
        <v>1027</v>
      </c>
      <c r="G45" s="2292"/>
      <c r="H45" s="2294"/>
      <c r="I45" s="2294"/>
      <c r="J45" s="2294"/>
      <c r="K45" s="2295"/>
      <c r="L45" s="1151"/>
      <c r="M45" s="1151"/>
      <c r="N45" s="1153"/>
      <c r="O45" s="1153"/>
      <c r="P45" s="1153"/>
      <c r="Q45" s="1153"/>
      <c r="R45" s="1153"/>
      <c r="S45" s="1153"/>
      <c r="T45" s="1153"/>
      <c r="U45" s="1153"/>
      <c r="V45" s="1153"/>
      <c r="W45" s="1153"/>
      <c r="X45" s="1153"/>
      <c r="Y45" s="1153"/>
      <c r="Z45" s="1153"/>
      <c r="AA45" s="1153"/>
      <c r="AB45" s="1153"/>
      <c r="AC45" s="1153"/>
      <c r="AD45" s="1153"/>
      <c r="AE45" s="1153"/>
      <c r="AF45" s="1153"/>
      <c r="AG45" s="1153"/>
      <c r="AH45" s="1153"/>
      <c r="AI45" s="1153"/>
      <c r="AJ45" s="1153"/>
      <c r="AK45" s="1153"/>
      <c r="AL45" s="1153"/>
      <c r="AM45" s="1153"/>
      <c r="AN45" s="1153"/>
      <c r="AO45" s="1153"/>
      <c r="AP45" s="1153"/>
      <c r="AQ45" s="1153"/>
      <c r="AR45" s="1153"/>
      <c r="AS45" s="1153"/>
      <c r="AT45" s="1153"/>
      <c r="AU45" s="1153"/>
      <c r="AV45" s="1153"/>
      <c r="AW45" s="1153"/>
      <c r="AX45" s="1153"/>
      <c r="AY45" s="1153"/>
      <c r="AZ45" s="1153"/>
    </row>
    <row r="46" spans="1:52" s="988" customFormat="1" ht="21.75" customHeight="1">
      <c r="A46" s="2296" t="s">
        <v>1028</v>
      </c>
      <c r="B46" s="2299" t="s">
        <v>1029</v>
      </c>
      <c r="C46" s="1018"/>
      <c r="F46" s="1020" t="s">
        <v>1030</v>
      </c>
      <c r="G46" s="2291">
        <f>H46+I46+J46</f>
        <v>0</v>
      </c>
      <c r="H46" s="2293"/>
      <c r="I46" s="2293"/>
      <c r="J46" s="2293"/>
      <c r="K46" s="2295">
        <f>G46-H46</f>
        <v>0</v>
      </c>
      <c r="L46" s="1151"/>
      <c r="M46" s="1151"/>
      <c r="N46" s="1153"/>
      <c r="O46" s="1153"/>
      <c r="P46" s="1153"/>
      <c r="Q46" s="1153"/>
      <c r="R46" s="1153"/>
      <c r="S46" s="1153"/>
      <c r="T46" s="1153"/>
      <c r="U46" s="1153"/>
      <c r="V46" s="1153"/>
      <c r="W46" s="1153"/>
      <c r="X46" s="1153"/>
      <c r="Y46" s="1153"/>
      <c r="Z46" s="1153"/>
      <c r="AA46" s="1153"/>
      <c r="AB46" s="1153"/>
      <c r="AC46" s="1153"/>
      <c r="AD46" s="1153"/>
      <c r="AE46" s="1153"/>
      <c r="AF46" s="1153"/>
      <c r="AG46" s="1153"/>
      <c r="AH46" s="1153"/>
      <c r="AI46" s="1153"/>
      <c r="AJ46" s="1153"/>
      <c r="AK46" s="1153"/>
      <c r="AL46" s="1153"/>
      <c r="AM46" s="1153"/>
      <c r="AN46" s="1153"/>
      <c r="AO46" s="1153"/>
      <c r="AP46" s="1153"/>
      <c r="AQ46" s="1153"/>
      <c r="AR46" s="1153"/>
      <c r="AS46" s="1153"/>
      <c r="AT46" s="1153"/>
      <c r="AU46" s="1153"/>
      <c r="AV46" s="1153"/>
      <c r="AW46" s="1153"/>
      <c r="AX46" s="1153"/>
      <c r="AY46" s="1153"/>
      <c r="AZ46" s="1153"/>
    </row>
    <row r="47" spans="1:52" s="988" customFormat="1" ht="13.5" customHeight="1">
      <c r="A47" s="2288"/>
      <c r="B47" s="2290"/>
      <c r="C47" s="1011"/>
      <c r="D47" s="1026"/>
      <c r="E47" s="1026"/>
      <c r="F47" s="1022" t="s">
        <v>1031</v>
      </c>
      <c r="G47" s="2292"/>
      <c r="H47" s="2294"/>
      <c r="I47" s="2294"/>
      <c r="J47" s="2294"/>
      <c r="K47" s="2295"/>
      <c r="L47" s="1151"/>
      <c r="M47" s="1151"/>
      <c r="N47" s="1153"/>
      <c r="O47" s="1153"/>
      <c r="P47" s="1153"/>
      <c r="Q47" s="1153"/>
      <c r="R47" s="1153"/>
      <c r="S47" s="1153"/>
      <c r="T47" s="1153"/>
      <c r="U47" s="1153"/>
      <c r="V47" s="1153"/>
      <c r="W47" s="1153"/>
      <c r="X47" s="1153"/>
      <c r="Y47" s="1153"/>
      <c r="Z47" s="1153"/>
      <c r="AA47" s="1153"/>
      <c r="AB47" s="1153"/>
      <c r="AC47" s="1153"/>
      <c r="AD47" s="1153"/>
      <c r="AE47" s="1153"/>
      <c r="AF47" s="1153"/>
      <c r="AG47" s="1153"/>
      <c r="AH47" s="1153"/>
      <c r="AI47" s="1153"/>
      <c r="AJ47" s="1153"/>
      <c r="AK47" s="1153"/>
      <c r="AL47" s="1153"/>
      <c r="AM47" s="1153"/>
      <c r="AN47" s="1153"/>
      <c r="AO47" s="1153"/>
      <c r="AP47" s="1153"/>
      <c r="AQ47" s="1153"/>
      <c r="AR47" s="1153"/>
      <c r="AS47" s="1153"/>
      <c r="AT47" s="1153"/>
      <c r="AU47" s="1153"/>
      <c r="AV47" s="1153"/>
      <c r="AW47" s="1153"/>
      <c r="AX47" s="1153"/>
      <c r="AY47" s="1153"/>
      <c r="AZ47" s="1153"/>
    </row>
    <row r="48" spans="1:52" s="988" customFormat="1" ht="21.75" customHeight="1">
      <c r="A48" s="2298" t="s">
        <v>1032</v>
      </c>
      <c r="B48" s="2297" t="s">
        <v>1033</v>
      </c>
      <c r="C48" s="1012"/>
      <c r="E48" s="989" t="s">
        <v>1034</v>
      </c>
      <c r="F48" s="1010"/>
      <c r="G48" s="2291">
        <f>SUM(G50:G55)</f>
        <v>0</v>
      </c>
      <c r="H48" s="2291">
        <f>SUM(H50:H55)</f>
        <v>0</v>
      </c>
      <c r="I48" s="2291">
        <f>SUM(I50:I55)</f>
        <v>0</v>
      </c>
      <c r="J48" s="2291">
        <f>SUM(J50:J55)</f>
        <v>0</v>
      </c>
      <c r="K48" s="2295">
        <f>G48-H48</f>
        <v>0</v>
      </c>
      <c r="L48" s="1151"/>
      <c r="M48" s="1151"/>
      <c r="N48" s="1153"/>
      <c r="O48" s="1153"/>
      <c r="P48" s="1153"/>
      <c r="Q48" s="1153"/>
      <c r="R48" s="1153"/>
      <c r="S48" s="1153"/>
      <c r="T48" s="1153"/>
      <c r="U48" s="1153"/>
      <c r="V48" s="1153"/>
      <c r="W48" s="1153"/>
      <c r="X48" s="1153"/>
      <c r="Y48" s="1153"/>
      <c r="Z48" s="1153"/>
      <c r="AA48" s="1153"/>
      <c r="AB48" s="1153"/>
      <c r="AC48" s="1153"/>
      <c r="AD48" s="1153"/>
      <c r="AE48" s="1153"/>
      <c r="AF48" s="1153"/>
      <c r="AG48" s="1153"/>
      <c r="AH48" s="1153"/>
      <c r="AI48" s="1153"/>
      <c r="AJ48" s="1153"/>
      <c r="AK48" s="1153"/>
      <c r="AL48" s="1153"/>
      <c r="AM48" s="1153"/>
      <c r="AN48" s="1153"/>
      <c r="AO48" s="1153"/>
      <c r="AP48" s="1153"/>
      <c r="AQ48" s="1153"/>
      <c r="AR48" s="1153"/>
      <c r="AS48" s="1153"/>
      <c r="AT48" s="1153"/>
      <c r="AU48" s="1153"/>
      <c r="AV48" s="1153"/>
      <c r="AW48" s="1153"/>
      <c r="AX48" s="1153"/>
      <c r="AY48" s="1153"/>
      <c r="AZ48" s="1153"/>
    </row>
    <row r="49" spans="1:52" s="988" customFormat="1" ht="13.5" customHeight="1">
      <c r="A49" s="2288"/>
      <c r="B49" s="2290"/>
      <c r="C49" s="1011"/>
      <c r="D49" s="1026"/>
      <c r="E49" s="1016" t="s">
        <v>1035</v>
      </c>
      <c r="F49" s="1025"/>
      <c r="G49" s="2292"/>
      <c r="H49" s="2292"/>
      <c r="I49" s="2292"/>
      <c r="J49" s="2292"/>
      <c r="K49" s="2295"/>
      <c r="L49" s="1151"/>
      <c r="M49" s="1151"/>
      <c r="N49" s="1153"/>
      <c r="O49" s="1153"/>
      <c r="P49" s="1153"/>
      <c r="Q49" s="1153"/>
      <c r="R49" s="1153"/>
      <c r="S49" s="1153"/>
      <c r="T49" s="1153"/>
      <c r="U49" s="1153"/>
      <c r="V49" s="1153"/>
      <c r="W49" s="1153"/>
      <c r="X49" s="1153"/>
      <c r="Y49" s="1153"/>
      <c r="Z49" s="1153"/>
      <c r="AA49" s="1153"/>
      <c r="AB49" s="1153"/>
      <c r="AC49" s="1153"/>
      <c r="AD49" s="1153"/>
      <c r="AE49" s="1153"/>
      <c r="AF49" s="1153"/>
      <c r="AG49" s="1153"/>
      <c r="AH49" s="1153"/>
      <c r="AI49" s="1153"/>
      <c r="AJ49" s="1153"/>
      <c r="AK49" s="1153"/>
      <c r="AL49" s="1153"/>
      <c r="AM49" s="1153"/>
      <c r="AN49" s="1153"/>
      <c r="AO49" s="1153"/>
      <c r="AP49" s="1153"/>
      <c r="AQ49" s="1153"/>
      <c r="AR49" s="1153"/>
      <c r="AS49" s="1153"/>
      <c r="AT49" s="1153"/>
      <c r="AU49" s="1153"/>
      <c r="AV49" s="1153"/>
      <c r="AW49" s="1153"/>
      <c r="AX49" s="1153"/>
      <c r="AY49" s="1153"/>
      <c r="AZ49" s="1153"/>
    </row>
    <row r="50" spans="1:52" s="988" customFormat="1" ht="21.75" customHeight="1">
      <c r="A50" s="2296" t="s">
        <v>1036</v>
      </c>
      <c r="B50" s="2299" t="s">
        <v>1037</v>
      </c>
      <c r="C50" s="1012"/>
      <c r="E50" s="1004"/>
      <c r="F50" s="1020" t="s">
        <v>1038</v>
      </c>
      <c r="G50" s="2291">
        <f t="shared" ref="G50:G60" si="2">H50+I50+J50</f>
        <v>0</v>
      </c>
      <c r="H50" s="2293"/>
      <c r="I50" s="2293"/>
      <c r="J50" s="2293"/>
      <c r="K50" s="2295">
        <f>G50-H50</f>
        <v>0</v>
      </c>
      <c r="L50" s="1151"/>
      <c r="M50" s="1151"/>
      <c r="N50" s="1153"/>
      <c r="O50" s="1153"/>
      <c r="P50" s="1153"/>
      <c r="Q50" s="1153"/>
      <c r="R50" s="1153"/>
      <c r="S50" s="1153"/>
      <c r="T50" s="1153"/>
      <c r="U50" s="1153"/>
      <c r="V50" s="1153"/>
      <c r="W50" s="1153"/>
      <c r="X50" s="1153"/>
      <c r="Y50" s="1153"/>
      <c r="Z50" s="1153"/>
      <c r="AA50" s="1153"/>
      <c r="AB50" s="1153"/>
      <c r="AC50" s="1153"/>
      <c r="AD50" s="1153"/>
      <c r="AE50" s="1153"/>
      <c r="AF50" s="1153"/>
      <c r="AG50" s="1153"/>
      <c r="AH50" s="1153"/>
      <c r="AI50" s="1153"/>
      <c r="AJ50" s="1153"/>
      <c r="AK50" s="1153"/>
      <c r="AL50" s="1153"/>
      <c r="AM50" s="1153"/>
      <c r="AN50" s="1153"/>
      <c r="AO50" s="1153"/>
      <c r="AP50" s="1153"/>
      <c r="AQ50" s="1153"/>
      <c r="AR50" s="1153"/>
      <c r="AS50" s="1153"/>
      <c r="AT50" s="1153"/>
      <c r="AU50" s="1153"/>
      <c r="AV50" s="1153"/>
      <c r="AW50" s="1153"/>
      <c r="AX50" s="1153"/>
      <c r="AY50" s="1153"/>
      <c r="AZ50" s="1153"/>
    </row>
    <row r="51" spans="1:52" s="988" customFormat="1" ht="13.5" customHeight="1">
      <c r="A51" s="2288"/>
      <c r="B51" s="2290"/>
      <c r="C51" s="1014"/>
      <c r="D51" s="1026"/>
      <c r="E51" s="1026"/>
      <c r="F51" s="1022" t="s">
        <v>1039</v>
      </c>
      <c r="G51" s="2292"/>
      <c r="H51" s="2294"/>
      <c r="I51" s="2294"/>
      <c r="J51" s="2294"/>
      <c r="K51" s="2295"/>
      <c r="L51" s="1151"/>
      <c r="M51" s="1151"/>
      <c r="N51" s="1153"/>
      <c r="O51" s="1153"/>
      <c r="P51" s="1153"/>
      <c r="Q51" s="1153"/>
      <c r="R51" s="1153"/>
      <c r="S51" s="1153"/>
      <c r="T51" s="1153"/>
      <c r="U51" s="1153"/>
      <c r="V51" s="1153"/>
      <c r="W51" s="1153"/>
      <c r="X51" s="1153"/>
      <c r="Y51" s="1153"/>
      <c r="Z51" s="1153"/>
      <c r="AA51" s="1153"/>
      <c r="AB51" s="1153"/>
      <c r="AC51" s="1153"/>
      <c r="AD51" s="1153"/>
      <c r="AE51" s="1153"/>
      <c r="AF51" s="1153"/>
      <c r="AG51" s="1153"/>
      <c r="AH51" s="1153"/>
      <c r="AI51" s="1153"/>
      <c r="AJ51" s="1153"/>
      <c r="AK51" s="1153"/>
      <c r="AL51" s="1153"/>
      <c r="AM51" s="1153"/>
      <c r="AN51" s="1153"/>
      <c r="AO51" s="1153"/>
      <c r="AP51" s="1153"/>
      <c r="AQ51" s="1153"/>
      <c r="AR51" s="1153"/>
      <c r="AS51" s="1153"/>
      <c r="AT51" s="1153"/>
      <c r="AU51" s="1153"/>
      <c r="AV51" s="1153"/>
      <c r="AW51" s="1153"/>
      <c r="AX51" s="1153"/>
      <c r="AY51" s="1153"/>
      <c r="AZ51" s="1153"/>
    </row>
    <row r="52" spans="1:52" s="988" customFormat="1" ht="21.75" customHeight="1">
      <c r="A52" s="2296" t="s">
        <v>1040</v>
      </c>
      <c r="B52" s="2299" t="s">
        <v>1041</v>
      </c>
      <c r="C52" s="1018"/>
      <c r="F52" s="1020" t="s">
        <v>1042</v>
      </c>
      <c r="G52" s="2291">
        <f t="shared" si="2"/>
        <v>0</v>
      </c>
      <c r="H52" s="2293"/>
      <c r="I52" s="2293"/>
      <c r="J52" s="2293"/>
      <c r="K52" s="2295">
        <f>G52-H52</f>
        <v>0</v>
      </c>
      <c r="L52" s="1151"/>
      <c r="M52" s="1151"/>
      <c r="N52" s="1153"/>
      <c r="O52" s="1153"/>
      <c r="P52" s="1153"/>
      <c r="Q52" s="1153"/>
      <c r="R52" s="1153"/>
      <c r="S52" s="1153"/>
      <c r="T52" s="1153"/>
      <c r="U52" s="1153"/>
      <c r="V52" s="1153"/>
      <c r="W52" s="1153"/>
      <c r="X52" s="1153"/>
      <c r="Y52" s="1153"/>
      <c r="Z52" s="1153"/>
      <c r="AA52" s="1153"/>
      <c r="AB52" s="1153"/>
      <c r="AC52" s="1153"/>
      <c r="AD52" s="1153"/>
      <c r="AE52" s="1153"/>
      <c r="AF52" s="1153"/>
      <c r="AG52" s="1153"/>
      <c r="AH52" s="1153"/>
      <c r="AI52" s="1153"/>
      <c r="AJ52" s="1153"/>
      <c r="AK52" s="1153"/>
      <c r="AL52" s="1153"/>
      <c r="AM52" s="1153"/>
      <c r="AN52" s="1153"/>
      <c r="AO52" s="1153"/>
      <c r="AP52" s="1153"/>
      <c r="AQ52" s="1153"/>
      <c r="AR52" s="1153"/>
      <c r="AS52" s="1153"/>
      <c r="AT52" s="1153"/>
      <c r="AU52" s="1153"/>
      <c r="AV52" s="1153"/>
      <c r="AW52" s="1153"/>
      <c r="AX52" s="1153"/>
      <c r="AY52" s="1153"/>
      <c r="AZ52" s="1153"/>
    </row>
    <row r="53" spans="1:52" s="988" customFormat="1" ht="13.5" customHeight="1">
      <c r="A53" s="2288"/>
      <c r="B53" s="2290"/>
      <c r="C53" s="1014"/>
      <c r="D53" s="1026"/>
      <c r="E53" s="1026"/>
      <c r="F53" s="1022" t="s">
        <v>1043</v>
      </c>
      <c r="G53" s="2292"/>
      <c r="H53" s="2294"/>
      <c r="I53" s="2294"/>
      <c r="J53" s="2294"/>
      <c r="K53" s="2295"/>
      <c r="L53" s="1151"/>
      <c r="M53" s="1151"/>
      <c r="N53" s="1153"/>
      <c r="O53" s="1153"/>
      <c r="P53" s="1153"/>
      <c r="Q53" s="1153"/>
      <c r="R53" s="1153"/>
      <c r="S53" s="1153"/>
      <c r="T53" s="1153"/>
      <c r="U53" s="1153"/>
      <c r="V53" s="1153"/>
      <c r="W53" s="1153"/>
      <c r="X53" s="1153"/>
      <c r="Y53" s="1153"/>
      <c r="Z53" s="1153"/>
      <c r="AA53" s="1153"/>
      <c r="AB53" s="1153"/>
      <c r="AC53" s="1153"/>
      <c r="AD53" s="1153"/>
      <c r="AE53" s="1153"/>
      <c r="AF53" s="1153"/>
      <c r="AG53" s="1153"/>
      <c r="AH53" s="1153"/>
      <c r="AI53" s="1153"/>
      <c r="AJ53" s="1153"/>
      <c r="AK53" s="1153"/>
      <c r="AL53" s="1153"/>
      <c r="AM53" s="1153"/>
      <c r="AN53" s="1153"/>
      <c r="AO53" s="1153"/>
      <c r="AP53" s="1153"/>
      <c r="AQ53" s="1153"/>
      <c r="AR53" s="1153"/>
      <c r="AS53" s="1153"/>
      <c r="AT53" s="1153"/>
      <c r="AU53" s="1153"/>
      <c r="AV53" s="1153"/>
      <c r="AW53" s="1153"/>
      <c r="AX53" s="1153"/>
      <c r="AY53" s="1153"/>
      <c r="AZ53" s="1153"/>
    </row>
    <row r="54" spans="1:52" s="988" customFormat="1" ht="21.75" customHeight="1">
      <c r="A54" s="2296" t="s">
        <v>1044</v>
      </c>
      <c r="B54" s="2299" t="s">
        <v>1045</v>
      </c>
      <c r="C54" s="1018"/>
      <c r="F54" s="1020" t="s">
        <v>1046</v>
      </c>
      <c r="G54" s="2291">
        <f t="shared" si="2"/>
        <v>0</v>
      </c>
      <c r="H54" s="2293"/>
      <c r="I54" s="2293"/>
      <c r="J54" s="2293"/>
      <c r="K54" s="2295">
        <f>G54-H54</f>
        <v>0</v>
      </c>
      <c r="L54" s="1151"/>
      <c r="M54" s="1151"/>
      <c r="N54" s="1153"/>
      <c r="O54" s="1153"/>
      <c r="P54" s="1153"/>
      <c r="Q54" s="1153"/>
      <c r="R54" s="1153"/>
      <c r="S54" s="1153"/>
      <c r="T54" s="1153"/>
      <c r="U54" s="1153"/>
      <c r="V54" s="1153"/>
      <c r="W54" s="1153"/>
      <c r="X54" s="1153"/>
      <c r="Y54" s="1153"/>
      <c r="Z54" s="1153"/>
      <c r="AA54" s="1153"/>
      <c r="AB54" s="1153"/>
      <c r="AC54" s="1153"/>
      <c r="AD54" s="1153"/>
      <c r="AE54" s="1153"/>
      <c r="AF54" s="1153"/>
      <c r="AG54" s="1153"/>
      <c r="AH54" s="1153"/>
      <c r="AI54" s="1153"/>
      <c r="AJ54" s="1153"/>
      <c r="AK54" s="1153"/>
      <c r="AL54" s="1153"/>
      <c r="AM54" s="1153"/>
      <c r="AN54" s="1153"/>
      <c r="AO54" s="1153"/>
      <c r="AP54" s="1153"/>
      <c r="AQ54" s="1153"/>
      <c r="AR54" s="1153"/>
      <c r="AS54" s="1153"/>
      <c r="AT54" s="1153"/>
      <c r="AU54" s="1153"/>
      <c r="AV54" s="1153"/>
      <c r="AW54" s="1153"/>
      <c r="AX54" s="1153"/>
      <c r="AY54" s="1153"/>
      <c r="AZ54" s="1153"/>
    </row>
    <row r="55" spans="1:52" s="988" customFormat="1" ht="13.5" customHeight="1">
      <c r="A55" s="2288"/>
      <c r="B55" s="2290"/>
      <c r="C55" s="1014"/>
      <c r="D55" s="1026"/>
      <c r="E55" s="1026"/>
      <c r="F55" s="1022" t="s">
        <v>1047</v>
      </c>
      <c r="G55" s="2292"/>
      <c r="H55" s="2294"/>
      <c r="I55" s="2294"/>
      <c r="J55" s="2294"/>
      <c r="K55" s="2295"/>
      <c r="L55" s="1151"/>
      <c r="M55" s="1151"/>
      <c r="N55" s="1153"/>
      <c r="O55" s="1153"/>
      <c r="P55" s="1153"/>
      <c r="Q55" s="1153"/>
      <c r="R55" s="1153"/>
      <c r="S55" s="1153"/>
      <c r="T55" s="1153"/>
      <c r="U55" s="1153"/>
      <c r="V55" s="1153"/>
      <c r="W55" s="1153"/>
      <c r="X55" s="1153"/>
      <c r="Y55" s="1153"/>
      <c r="Z55" s="1153"/>
      <c r="AA55" s="1153"/>
      <c r="AB55" s="1153"/>
      <c r="AC55" s="1153"/>
      <c r="AD55" s="1153"/>
      <c r="AE55" s="1153"/>
      <c r="AF55" s="1153"/>
      <c r="AG55" s="1153"/>
      <c r="AH55" s="1153"/>
      <c r="AI55" s="1153"/>
      <c r="AJ55" s="1153"/>
      <c r="AK55" s="1153"/>
      <c r="AL55" s="1153"/>
      <c r="AM55" s="1153"/>
      <c r="AN55" s="1153"/>
      <c r="AO55" s="1153"/>
      <c r="AP55" s="1153"/>
      <c r="AQ55" s="1153"/>
      <c r="AR55" s="1153"/>
      <c r="AS55" s="1153"/>
      <c r="AT55" s="1153"/>
      <c r="AU55" s="1153"/>
      <c r="AV55" s="1153"/>
      <c r="AW55" s="1153"/>
      <c r="AX55" s="1153"/>
      <c r="AY55" s="1153"/>
      <c r="AZ55" s="1153"/>
    </row>
    <row r="56" spans="1:52" s="988" customFormat="1" ht="21.75" customHeight="1">
      <c r="A56" s="2296" t="s">
        <v>1048</v>
      </c>
      <c r="B56" s="2299" t="s">
        <v>1049</v>
      </c>
      <c r="C56" s="1030"/>
      <c r="D56" s="1031"/>
      <c r="E56" s="1031"/>
      <c r="F56" s="1032" t="s">
        <v>1050</v>
      </c>
      <c r="G56" s="2291">
        <f t="shared" si="2"/>
        <v>0</v>
      </c>
      <c r="H56" s="2293"/>
      <c r="I56" s="2293"/>
      <c r="J56" s="2293"/>
      <c r="K56" s="2295">
        <f>G56-H56</f>
        <v>0</v>
      </c>
      <c r="L56" s="1151"/>
      <c r="M56" s="1151"/>
      <c r="N56" s="1153"/>
      <c r="O56" s="1153"/>
      <c r="P56" s="1153"/>
      <c r="Q56" s="1153"/>
      <c r="R56" s="1153"/>
      <c r="S56" s="1153"/>
      <c r="T56" s="1153"/>
      <c r="U56" s="1153"/>
      <c r="V56" s="1153"/>
      <c r="W56" s="1153"/>
      <c r="X56" s="1153"/>
      <c r="Y56" s="1153"/>
      <c r="Z56" s="1153"/>
      <c r="AA56" s="1153"/>
      <c r="AB56" s="1153"/>
      <c r="AC56" s="1153"/>
      <c r="AD56" s="1153"/>
      <c r="AE56" s="1153"/>
      <c r="AF56" s="1153"/>
      <c r="AG56" s="1153"/>
      <c r="AH56" s="1153"/>
      <c r="AI56" s="1153"/>
      <c r="AJ56" s="1153"/>
      <c r="AK56" s="1153"/>
      <c r="AL56" s="1153"/>
      <c r="AM56" s="1153"/>
      <c r="AN56" s="1153"/>
      <c r="AO56" s="1153"/>
      <c r="AP56" s="1153"/>
      <c r="AQ56" s="1153"/>
      <c r="AR56" s="1153"/>
      <c r="AS56" s="1153"/>
      <c r="AT56" s="1153"/>
      <c r="AU56" s="1153"/>
      <c r="AV56" s="1153"/>
      <c r="AW56" s="1153"/>
      <c r="AX56" s="1153"/>
      <c r="AY56" s="1153"/>
      <c r="AZ56" s="1153"/>
    </row>
    <row r="57" spans="1:52" s="988" customFormat="1" ht="13.5" customHeight="1">
      <c r="A57" s="2288"/>
      <c r="B57" s="2290"/>
      <c r="C57" s="1011"/>
      <c r="D57" s="1033"/>
      <c r="E57" s="1033"/>
      <c r="F57" s="1034" t="s">
        <v>1051</v>
      </c>
      <c r="G57" s="2292"/>
      <c r="H57" s="2294"/>
      <c r="I57" s="2294"/>
      <c r="J57" s="2294"/>
      <c r="K57" s="2295"/>
      <c r="L57" s="1151"/>
      <c r="M57" s="1151"/>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row>
    <row r="58" spans="1:52" s="988" customFormat="1" ht="21.75" customHeight="1">
      <c r="A58" s="2298" t="s">
        <v>1052</v>
      </c>
      <c r="B58" s="2297" t="s">
        <v>1053</v>
      </c>
      <c r="C58" s="1035"/>
      <c r="D58" s="1031"/>
      <c r="E58" s="1036" t="s">
        <v>1054</v>
      </c>
      <c r="F58" s="1037"/>
      <c r="G58" s="2291">
        <f t="shared" si="2"/>
        <v>0</v>
      </c>
      <c r="H58" s="2293"/>
      <c r="I58" s="2293"/>
      <c r="J58" s="2293"/>
      <c r="K58" s="2295">
        <f>G58-H58</f>
        <v>0</v>
      </c>
      <c r="L58" s="1151"/>
      <c r="M58" s="1151"/>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row>
    <row r="59" spans="1:52" s="988" customFormat="1" ht="13.5" customHeight="1">
      <c r="A59" s="2288"/>
      <c r="B59" s="2290"/>
      <c r="C59" s="1011"/>
      <c r="D59" s="1026"/>
      <c r="E59" s="1016" t="s">
        <v>1055</v>
      </c>
      <c r="F59" s="1008"/>
      <c r="G59" s="2292"/>
      <c r="H59" s="2294"/>
      <c r="I59" s="2294"/>
      <c r="J59" s="2294"/>
      <c r="K59" s="2295"/>
      <c r="L59" s="1151"/>
      <c r="M59" s="1151"/>
      <c r="N59" s="1153"/>
      <c r="O59" s="1153"/>
      <c r="P59" s="1153"/>
      <c r="Q59" s="1153"/>
      <c r="R59" s="1153"/>
      <c r="S59" s="1153"/>
      <c r="T59" s="1153"/>
      <c r="U59" s="1153"/>
      <c r="V59" s="1153"/>
      <c r="W59" s="1153"/>
      <c r="X59" s="1153"/>
      <c r="Y59" s="1153"/>
      <c r="Z59" s="1153"/>
      <c r="AA59" s="1153"/>
      <c r="AB59" s="1153"/>
      <c r="AC59" s="1153"/>
      <c r="AD59" s="1153"/>
      <c r="AE59" s="1153"/>
      <c r="AF59" s="1153"/>
      <c r="AG59" s="1153"/>
      <c r="AH59" s="1153"/>
      <c r="AI59" s="1153"/>
      <c r="AJ59" s="1153"/>
      <c r="AK59" s="1153"/>
      <c r="AL59" s="1153"/>
      <c r="AM59" s="1153"/>
      <c r="AN59" s="1153"/>
      <c r="AO59" s="1153"/>
      <c r="AP59" s="1153"/>
      <c r="AQ59" s="1153"/>
      <c r="AR59" s="1153"/>
      <c r="AS59" s="1153"/>
      <c r="AT59" s="1153"/>
      <c r="AU59" s="1153"/>
      <c r="AV59" s="1153"/>
      <c r="AW59" s="1153"/>
      <c r="AX59" s="1153"/>
      <c r="AY59" s="1153"/>
      <c r="AZ59" s="1153"/>
    </row>
    <row r="60" spans="1:52" s="988" customFormat="1" ht="21.75" customHeight="1">
      <c r="A60" s="2298" t="s">
        <v>1056</v>
      </c>
      <c r="B60" s="2297" t="s">
        <v>1057</v>
      </c>
      <c r="C60" s="1012"/>
      <c r="E60" s="989" t="s">
        <v>1058</v>
      </c>
      <c r="F60" s="1010"/>
      <c r="G60" s="2291">
        <f t="shared" si="2"/>
        <v>0</v>
      </c>
      <c r="H60" s="2293"/>
      <c r="I60" s="2293"/>
      <c r="J60" s="2293"/>
      <c r="K60" s="2295">
        <f>G60-H60</f>
        <v>0</v>
      </c>
      <c r="L60" s="1151"/>
      <c r="M60" s="1151"/>
      <c r="N60" s="1153"/>
      <c r="O60" s="1153"/>
      <c r="P60" s="1153"/>
      <c r="Q60" s="1153"/>
      <c r="R60" s="1153"/>
      <c r="S60" s="1153"/>
      <c r="T60" s="1153"/>
      <c r="U60" s="1153"/>
      <c r="V60" s="1153"/>
      <c r="W60" s="1153"/>
      <c r="X60" s="1153"/>
      <c r="Y60" s="1153"/>
      <c r="Z60" s="1153"/>
      <c r="AA60" s="1153"/>
      <c r="AB60" s="1153"/>
      <c r="AC60" s="1153"/>
      <c r="AD60" s="1153"/>
      <c r="AE60" s="1153"/>
      <c r="AF60" s="1153"/>
      <c r="AG60" s="1153"/>
      <c r="AH60" s="1153"/>
      <c r="AI60" s="1153"/>
      <c r="AJ60" s="1153"/>
      <c r="AK60" s="1153"/>
      <c r="AL60" s="1153"/>
      <c r="AM60" s="1153"/>
      <c r="AN60" s="1153"/>
      <c r="AO60" s="1153"/>
      <c r="AP60" s="1153"/>
      <c r="AQ60" s="1153"/>
      <c r="AR60" s="1153"/>
      <c r="AS60" s="1153"/>
      <c r="AT60" s="1153"/>
      <c r="AU60" s="1153"/>
      <c r="AV60" s="1153"/>
      <c r="AW60" s="1153"/>
      <c r="AX60" s="1153"/>
      <c r="AY60" s="1153"/>
      <c r="AZ60" s="1153"/>
    </row>
    <row r="61" spans="1:52" s="988" customFormat="1" ht="13.5" customHeight="1">
      <c r="A61" s="2288"/>
      <c r="B61" s="2290"/>
      <c r="C61" s="1011"/>
      <c r="D61" s="1026"/>
      <c r="E61" s="1016" t="s">
        <v>1059</v>
      </c>
      <c r="F61" s="1008"/>
      <c r="G61" s="2292"/>
      <c r="H61" s="2294"/>
      <c r="I61" s="2294"/>
      <c r="J61" s="2294"/>
      <c r="K61" s="2295"/>
      <c r="L61" s="1151"/>
      <c r="M61" s="1151"/>
      <c r="N61" s="1153"/>
      <c r="O61" s="1153"/>
      <c r="P61" s="1153"/>
      <c r="Q61" s="1153"/>
      <c r="R61" s="1153"/>
      <c r="S61" s="1153"/>
      <c r="T61" s="1153"/>
      <c r="U61" s="1153"/>
      <c r="V61" s="1153"/>
      <c r="W61" s="1153"/>
      <c r="X61" s="1153"/>
      <c r="Y61" s="1153"/>
      <c r="Z61" s="1153"/>
      <c r="AA61" s="1153"/>
      <c r="AB61" s="1153"/>
      <c r="AC61" s="1153"/>
      <c r="AD61" s="1153"/>
      <c r="AE61" s="1153"/>
      <c r="AF61" s="1153"/>
      <c r="AG61" s="1153"/>
      <c r="AH61" s="1153"/>
      <c r="AI61" s="1153"/>
      <c r="AJ61" s="1153"/>
      <c r="AK61" s="1153"/>
      <c r="AL61" s="1153"/>
      <c r="AM61" s="1153"/>
      <c r="AN61" s="1153"/>
      <c r="AO61" s="1153"/>
      <c r="AP61" s="1153"/>
      <c r="AQ61" s="1153"/>
      <c r="AR61" s="1153"/>
      <c r="AS61" s="1153"/>
      <c r="AT61" s="1153"/>
      <c r="AU61" s="1153"/>
      <c r="AV61" s="1153"/>
      <c r="AW61" s="1153"/>
      <c r="AX61" s="1153"/>
      <c r="AY61" s="1153"/>
      <c r="AZ61" s="1153"/>
    </row>
    <row r="62" spans="1:52" s="988" customFormat="1" ht="21.75" customHeight="1">
      <c r="A62" s="2298">
        <v>2</v>
      </c>
      <c r="B62" s="2297" t="s">
        <v>1060</v>
      </c>
      <c r="C62" s="1038" t="s">
        <v>1061</v>
      </c>
      <c r="D62" s="1039"/>
      <c r="E62" s="1039"/>
      <c r="F62" s="1040"/>
      <c r="G62" s="2300">
        <f>G64+G72</f>
        <v>0</v>
      </c>
      <c r="H62" s="2300">
        <f>H64+H72</f>
        <v>0</v>
      </c>
      <c r="I62" s="2300">
        <f>I64+I72</f>
        <v>0</v>
      </c>
      <c r="J62" s="2300">
        <f>J64+J72</f>
        <v>0</v>
      </c>
      <c r="K62" s="2286">
        <f>G62-H62</f>
        <v>0</v>
      </c>
      <c r="L62" s="1151"/>
      <c r="M62" s="1151"/>
      <c r="N62" s="1153"/>
      <c r="O62" s="1153"/>
      <c r="P62" s="1153"/>
      <c r="Q62" s="1153"/>
      <c r="R62" s="1153"/>
      <c r="S62" s="1153"/>
      <c r="T62" s="1153"/>
      <c r="U62" s="1153"/>
      <c r="V62" s="1153"/>
      <c r="W62" s="1153"/>
      <c r="X62" s="1153"/>
      <c r="Y62" s="1153"/>
      <c r="Z62" s="1153"/>
      <c r="AA62" s="1153"/>
      <c r="AB62" s="1153"/>
      <c r="AC62" s="1153"/>
      <c r="AD62" s="1153"/>
      <c r="AE62" s="1153"/>
      <c r="AF62" s="1153"/>
      <c r="AG62" s="1153"/>
      <c r="AH62" s="1153"/>
      <c r="AI62" s="1153"/>
      <c r="AJ62" s="1153"/>
      <c r="AK62" s="1153"/>
      <c r="AL62" s="1153"/>
      <c r="AM62" s="1153"/>
      <c r="AN62" s="1153"/>
      <c r="AO62" s="1153"/>
      <c r="AP62" s="1153"/>
      <c r="AQ62" s="1153"/>
      <c r="AR62" s="1153"/>
      <c r="AS62" s="1153"/>
      <c r="AT62" s="1153"/>
      <c r="AU62" s="1153"/>
      <c r="AV62" s="1153"/>
      <c r="AW62" s="1153"/>
      <c r="AX62" s="1153"/>
      <c r="AY62" s="1153"/>
      <c r="AZ62" s="1153"/>
    </row>
    <row r="63" spans="1:52" s="988" customFormat="1" ht="13.5" customHeight="1">
      <c r="A63" s="2288"/>
      <c r="B63" s="2290"/>
      <c r="C63" s="996" t="s">
        <v>388</v>
      </c>
      <c r="D63" s="997" t="s">
        <v>1062</v>
      </c>
      <c r="E63" s="998"/>
      <c r="F63" s="999"/>
      <c r="G63" s="2275"/>
      <c r="H63" s="2275"/>
      <c r="I63" s="2275"/>
      <c r="J63" s="2275"/>
      <c r="K63" s="2286"/>
      <c r="L63" s="1151"/>
      <c r="M63" s="1151"/>
      <c r="N63" s="1153"/>
      <c r="O63" s="1153"/>
      <c r="P63" s="1153"/>
      <c r="Q63" s="1153"/>
      <c r="R63" s="1153"/>
      <c r="S63" s="1153"/>
      <c r="T63" s="1153"/>
      <c r="U63" s="1153"/>
      <c r="V63" s="1153"/>
      <c r="W63" s="1153"/>
      <c r="X63" s="1153"/>
      <c r="Y63" s="1153"/>
      <c r="Z63" s="1153"/>
      <c r="AA63" s="1153"/>
      <c r="AB63" s="1153"/>
      <c r="AC63" s="1153"/>
      <c r="AD63" s="1153"/>
      <c r="AE63" s="1153"/>
      <c r="AF63" s="1153"/>
      <c r="AG63" s="1153"/>
      <c r="AH63" s="1153"/>
      <c r="AI63" s="1153"/>
      <c r="AJ63" s="1153"/>
      <c r="AK63" s="1153"/>
      <c r="AL63" s="1153"/>
      <c r="AM63" s="1153"/>
      <c r="AN63" s="1153"/>
      <c r="AO63" s="1153"/>
      <c r="AP63" s="1153"/>
      <c r="AQ63" s="1153"/>
      <c r="AR63" s="1153"/>
      <c r="AS63" s="1153"/>
      <c r="AT63" s="1153"/>
      <c r="AU63" s="1153"/>
      <c r="AV63" s="1153"/>
      <c r="AW63" s="1153"/>
      <c r="AX63" s="1153"/>
      <c r="AY63" s="1153"/>
      <c r="AZ63" s="1153"/>
    </row>
    <row r="64" spans="1:52" s="1004" customFormat="1" ht="21.75" customHeight="1">
      <c r="A64" s="2296" t="s">
        <v>1063</v>
      </c>
      <c r="B64" s="2299" t="s">
        <v>1064</v>
      </c>
      <c r="C64" s="1041"/>
      <c r="D64" s="1001" t="s">
        <v>1065</v>
      </c>
      <c r="E64" s="1002"/>
      <c r="F64" s="1003"/>
      <c r="G64" s="2291">
        <f>SUM(G66:G71)</f>
        <v>0</v>
      </c>
      <c r="H64" s="2291">
        <f>SUM(H66:H71)</f>
        <v>0</v>
      </c>
      <c r="I64" s="2291">
        <f>SUM(I66:I71)</f>
        <v>0</v>
      </c>
      <c r="J64" s="2291">
        <f>SUM(J66:J71)</f>
        <v>0</v>
      </c>
      <c r="K64" s="2295">
        <f>G64-H64</f>
        <v>0</v>
      </c>
      <c r="L64" s="1157"/>
      <c r="M64" s="1157"/>
      <c r="N64" s="1163"/>
      <c r="O64" s="1163"/>
      <c r="P64" s="1163"/>
      <c r="Q64" s="1163"/>
      <c r="R64" s="1163"/>
      <c r="S64" s="1163"/>
      <c r="T64" s="1163"/>
      <c r="U64" s="1163"/>
      <c r="V64" s="1163"/>
      <c r="W64" s="1163"/>
      <c r="X64" s="1163"/>
      <c r="Y64" s="1163"/>
      <c r="Z64" s="1163"/>
      <c r="AA64" s="1163"/>
      <c r="AB64" s="1163"/>
      <c r="AC64" s="1163"/>
      <c r="AD64" s="1163"/>
      <c r="AE64" s="1163"/>
      <c r="AF64" s="1163"/>
      <c r="AG64" s="1163"/>
      <c r="AH64" s="1163"/>
      <c r="AI64" s="1163"/>
      <c r="AJ64" s="1163"/>
      <c r="AK64" s="1163"/>
      <c r="AL64" s="1163"/>
      <c r="AM64" s="1163"/>
      <c r="AN64" s="1163"/>
      <c r="AO64" s="1163"/>
      <c r="AP64" s="1163"/>
      <c r="AQ64" s="1163"/>
      <c r="AR64" s="1163"/>
      <c r="AS64" s="1163"/>
      <c r="AT64" s="1163"/>
      <c r="AU64" s="1163"/>
      <c r="AV64" s="1163"/>
      <c r="AW64" s="1163"/>
      <c r="AX64" s="1163"/>
      <c r="AY64" s="1163"/>
      <c r="AZ64" s="1163"/>
    </row>
    <row r="65" spans="1:52" s="988" customFormat="1" ht="13.5" customHeight="1">
      <c r="A65" s="2288"/>
      <c r="B65" s="2290"/>
      <c r="C65" s="1011"/>
      <c r="D65" s="1007" t="s">
        <v>1066</v>
      </c>
      <c r="E65" s="1007"/>
      <c r="F65" s="1008"/>
      <c r="G65" s="2292"/>
      <c r="H65" s="2292"/>
      <c r="I65" s="2292"/>
      <c r="J65" s="2292"/>
      <c r="K65" s="2295"/>
      <c r="L65" s="1151"/>
      <c r="M65" s="1151"/>
      <c r="N65" s="1153"/>
      <c r="O65" s="1153"/>
      <c r="P65" s="1153"/>
      <c r="Q65" s="1153"/>
      <c r="R65" s="1153"/>
      <c r="S65" s="1153"/>
      <c r="T65" s="1153"/>
      <c r="U65" s="1153"/>
      <c r="V65" s="1153"/>
      <c r="W65" s="1153"/>
      <c r="X65" s="1153"/>
      <c r="Y65" s="1153"/>
      <c r="Z65" s="1153"/>
      <c r="AA65" s="1153"/>
      <c r="AB65" s="1153"/>
      <c r="AC65" s="1153"/>
      <c r="AD65" s="1153"/>
      <c r="AE65" s="1153"/>
      <c r="AF65" s="1153"/>
      <c r="AG65" s="1153"/>
      <c r="AH65" s="1153"/>
      <c r="AI65" s="1153"/>
      <c r="AJ65" s="1153"/>
      <c r="AK65" s="1153"/>
      <c r="AL65" s="1153"/>
      <c r="AM65" s="1153"/>
      <c r="AN65" s="1153"/>
      <c r="AO65" s="1153"/>
      <c r="AP65" s="1153"/>
      <c r="AQ65" s="1153"/>
      <c r="AR65" s="1153"/>
      <c r="AS65" s="1153"/>
      <c r="AT65" s="1153"/>
      <c r="AU65" s="1153"/>
      <c r="AV65" s="1153"/>
      <c r="AW65" s="1153"/>
      <c r="AX65" s="1153"/>
      <c r="AY65" s="1153"/>
      <c r="AZ65" s="1153"/>
    </row>
    <row r="66" spans="1:52" s="988" customFormat="1" ht="21.75" customHeight="1">
      <c r="A66" s="2298" t="s">
        <v>1067</v>
      </c>
      <c r="B66" s="2297" t="s">
        <v>1068</v>
      </c>
      <c r="C66" s="1012"/>
      <c r="E66" s="989" t="s">
        <v>1069</v>
      </c>
      <c r="F66" s="1010"/>
      <c r="G66" s="2291">
        <f>H66+I66+J66</f>
        <v>0</v>
      </c>
      <c r="H66" s="2293"/>
      <c r="I66" s="2293"/>
      <c r="J66" s="2293"/>
      <c r="K66" s="2295">
        <f>G66-H66</f>
        <v>0</v>
      </c>
      <c r="L66" s="1151"/>
      <c r="M66" s="1151"/>
      <c r="N66" s="1153"/>
      <c r="O66" s="1153"/>
      <c r="P66" s="1153"/>
      <c r="Q66" s="1153"/>
      <c r="R66" s="1153"/>
      <c r="S66" s="1153"/>
      <c r="T66" s="1153"/>
      <c r="U66" s="1153"/>
      <c r="V66" s="1153"/>
      <c r="W66" s="1153"/>
      <c r="X66" s="1153"/>
      <c r="Y66" s="1153"/>
      <c r="Z66" s="1153"/>
      <c r="AA66" s="1153"/>
      <c r="AB66" s="1153"/>
      <c r="AC66" s="1153"/>
      <c r="AD66" s="1153"/>
      <c r="AE66" s="1153"/>
      <c r="AF66" s="1153"/>
      <c r="AG66" s="1153"/>
      <c r="AH66" s="1153"/>
      <c r="AI66" s="1153"/>
      <c r="AJ66" s="1153"/>
      <c r="AK66" s="1153"/>
      <c r="AL66" s="1153"/>
      <c r="AM66" s="1153"/>
      <c r="AN66" s="1153"/>
      <c r="AO66" s="1153"/>
      <c r="AP66" s="1153"/>
      <c r="AQ66" s="1153"/>
      <c r="AR66" s="1153"/>
      <c r="AS66" s="1153"/>
      <c r="AT66" s="1153"/>
      <c r="AU66" s="1153"/>
      <c r="AV66" s="1153"/>
      <c r="AW66" s="1153"/>
      <c r="AX66" s="1153"/>
      <c r="AY66" s="1153"/>
      <c r="AZ66" s="1153"/>
    </row>
    <row r="67" spans="1:52" s="988" customFormat="1" ht="13.5" customHeight="1">
      <c r="A67" s="2288"/>
      <c r="B67" s="2290"/>
      <c r="C67" s="1011"/>
      <c r="D67" s="1007"/>
      <c r="E67" s="1015" t="s">
        <v>1070</v>
      </c>
      <c r="F67" s="1008"/>
      <c r="G67" s="2292"/>
      <c r="H67" s="2294"/>
      <c r="I67" s="2294"/>
      <c r="J67" s="2294"/>
      <c r="K67" s="2295"/>
      <c r="L67" s="1151"/>
      <c r="M67" s="1151"/>
      <c r="N67" s="1153"/>
      <c r="O67" s="1153"/>
      <c r="P67" s="1153"/>
      <c r="Q67" s="1153"/>
      <c r="R67" s="1153"/>
      <c r="S67" s="1153"/>
      <c r="T67" s="1153"/>
      <c r="U67" s="1153"/>
      <c r="V67" s="1153"/>
      <c r="W67" s="1153"/>
      <c r="X67" s="1153"/>
      <c r="Y67" s="1153"/>
      <c r="Z67" s="1153"/>
      <c r="AA67" s="1153"/>
      <c r="AB67" s="1153"/>
      <c r="AC67" s="1153"/>
      <c r="AD67" s="1153"/>
      <c r="AE67" s="1153"/>
      <c r="AF67" s="1153"/>
      <c r="AG67" s="1153"/>
      <c r="AH67" s="1153"/>
      <c r="AI67" s="1153"/>
      <c r="AJ67" s="1153"/>
      <c r="AK67" s="1153"/>
      <c r="AL67" s="1153"/>
      <c r="AM67" s="1153"/>
      <c r="AN67" s="1153"/>
      <c r="AO67" s="1153"/>
      <c r="AP67" s="1153"/>
      <c r="AQ67" s="1153"/>
      <c r="AR67" s="1153"/>
      <c r="AS67" s="1153"/>
      <c r="AT67" s="1153"/>
      <c r="AU67" s="1153"/>
      <c r="AV67" s="1153"/>
      <c r="AW67" s="1153"/>
      <c r="AX67" s="1153"/>
      <c r="AY67" s="1153"/>
      <c r="AZ67" s="1153"/>
    </row>
    <row r="68" spans="1:52" s="988" customFormat="1" ht="21.75" customHeight="1">
      <c r="A68" s="2298" t="s">
        <v>1071</v>
      </c>
      <c r="B68" s="2297" t="s">
        <v>1072</v>
      </c>
      <c r="C68" s="1012"/>
      <c r="E68" s="989" t="s">
        <v>1073</v>
      </c>
      <c r="F68" s="1010"/>
      <c r="G68" s="2291">
        <f>H68+I68+J68</f>
        <v>0</v>
      </c>
      <c r="H68" s="2293"/>
      <c r="I68" s="2293"/>
      <c r="J68" s="2293"/>
      <c r="K68" s="2295">
        <f>G68-H68</f>
        <v>0</v>
      </c>
      <c r="L68" s="1151"/>
      <c r="M68" s="1151"/>
      <c r="N68" s="1153"/>
      <c r="O68" s="1153"/>
      <c r="P68" s="1153"/>
      <c r="Q68" s="1153"/>
      <c r="R68" s="1153"/>
      <c r="S68" s="1153"/>
      <c r="T68" s="1153"/>
      <c r="U68" s="1153"/>
      <c r="V68" s="1153"/>
      <c r="W68" s="1153"/>
      <c r="X68" s="1153"/>
      <c r="Y68" s="1153"/>
      <c r="Z68" s="1153"/>
      <c r="AA68" s="1153"/>
      <c r="AB68" s="1153"/>
      <c r="AC68" s="1153"/>
      <c r="AD68" s="1153"/>
      <c r="AE68" s="1153"/>
      <c r="AF68" s="1153"/>
      <c r="AG68" s="1153"/>
      <c r="AH68" s="1153"/>
      <c r="AI68" s="1153"/>
      <c r="AJ68" s="1153"/>
      <c r="AK68" s="1153"/>
      <c r="AL68" s="1153"/>
      <c r="AM68" s="1153"/>
      <c r="AN68" s="1153"/>
      <c r="AO68" s="1153"/>
      <c r="AP68" s="1153"/>
      <c r="AQ68" s="1153"/>
      <c r="AR68" s="1153"/>
      <c r="AS68" s="1153"/>
      <c r="AT68" s="1153"/>
      <c r="AU68" s="1153"/>
      <c r="AV68" s="1153"/>
      <c r="AW68" s="1153"/>
      <c r="AX68" s="1153"/>
      <c r="AY68" s="1153"/>
      <c r="AZ68" s="1153"/>
    </row>
    <row r="69" spans="1:52" s="988" customFormat="1" ht="13.5" customHeight="1">
      <c r="A69" s="2288"/>
      <c r="B69" s="2290"/>
      <c r="C69" s="1011"/>
      <c r="D69" s="1007"/>
      <c r="E69" s="1015" t="s">
        <v>1074</v>
      </c>
      <c r="F69" s="1008"/>
      <c r="G69" s="2292"/>
      <c r="H69" s="2294"/>
      <c r="I69" s="2294"/>
      <c r="J69" s="2294"/>
      <c r="K69" s="2295"/>
      <c r="L69" s="1151"/>
      <c r="M69" s="1151"/>
      <c r="N69" s="1153"/>
      <c r="O69" s="1153"/>
      <c r="P69" s="1153"/>
      <c r="Q69" s="1153"/>
      <c r="R69" s="1153"/>
      <c r="S69" s="1153"/>
      <c r="T69" s="1153"/>
      <c r="U69" s="1153"/>
      <c r="V69" s="1153"/>
      <c r="W69" s="1153"/>
      <c r="X69" s="1153"/>
      <c r="Y69" s="1153"/>
      <c r="Z69" s="1153"/>
      <c r="AA69" s="1153"/>
      <c r="AB69" s="1153"/>
      <c r="AC69" s="1153"/>
      <c r="AD69" s="1153"/>
      <c r="AE69" s="1153"/>
      <c r="AF69" s="1153"/>
      <c r="AG69" s="1153"/>
      <c r="AH69" s="1153"/>
      <c r="AI69" s="1153"/>
      <c r="AJ69" s="1153"/>
      <c r="AK69" s="1153"/>
      <c r="AL69" s="1153"/>
      <c r="AM69" s="1153"/>
      <c r="AN69" s="1153"/>
      <c r="AO69" s="1153"/>
      <c r="AP69" s="1153"/>
      <c r="AQ69" s="1153"/>
      <c r="AR69" s="1153"/>
      <c r="AS69" s="1153"/>
      <c r="AT69" s="1153"/>
      <c r="AU69" s="1153"/>
      <c r="AV69" s="1153"/>
      <c r="AW69" s="1153"/>
      <c r="AX69" s="1153"/>
      <c r="AY69" s="1153"/>
      <c r="AZ69" s="1153"/>
    </row>
    <row r="70" spans="1:52" s="988" customFormat="1" ht="21.75" customHeight="1">
      <c r="A70" s="2298" t="s">
        <v>1075</v>
      </c>
      <c r="B70" s="2297" t="s">
        <v>1076</v>
      </c>
      <c r="C70" s="1012"/>
      <c r="E70" s="989" t="s">
        <v>1077</v>
      </c>
      <c r="F70" s="1010"/>
      <c r="G70" s="2291">
        <f>H70+I70+J70</f>
        <v>0</v>
      </c>
      <c r="H70" s="2293"/>
      <c r="I70" s="2293"/>
      <c r="J70" s="2293"/>
      <c r="K70" s="2295">
        <f>G70-H70</f>
        <v>0</v>
      </c>
      <c r="L70" s="1151"/>
      <c r="M70" s="1151"/>
      <c r="N70" s="1153"/>
      <c r="O70" s="1153"/>
      <c r="P70" s="1153"/>
      <c r="Q70" s="1153"/>
      <c r="R70" s="1153"/>
      <c r="S70" s="1153"/>
      <c r="T70" s="1153"/>
      <c r="U70" s="1153"/>
      <c r="V70" s="1153"/>
      <c r="W70" s="1153"/>
      <c r="X70" s="1153"/>
      <c r="Y70" s="1153"/>
      <c r="Z70" s="1153"/>
      <c r="AA70" s="1153"/>
      <c r="AB70" s="1153"/>
      <c r="AC70" s="1153"/>
      <c r="AD70" s="1153"/>
      <c r="AE70" s="1153"/>
      <c r="AF70" s="1153"/>
      <c r="AG70" s="1153"/>
      <c r="AH70" s="1153"/>
      <c r="AI70" s="1153"/>
      <c r="AJ70" s="1153"/>
      <c r="AK70" s="1153"/>
      <c r="AL70" s="1153"/>
      <c r="AM70" s="1153"/>
      <c r="AN70" s="1153"/>
      <c r="AO70" s="1153"/>
      <c r="AP70" s="1153"/>
      <c r="AQ70" s="1153"/>
      <c r="AR70" s="1153"/>
      <c r="AS70" s="1153"/>
      <c r="AT70" s="1153"/>
      <c r="AU70" s="1153"/>
      <c r="AV70" s="1153"/>
      <c r="AW70" s="1153"/>
      <c r="AX70" s="1153"/>
      <c r="AY70" s="1153"/>
      <c r="AZ70" s="1153"/>
    </row>
    <row r="71" spans="1:52" s="988" customFormat="1" ht="13.5" customHeight="1">
      <c r="A71" s="2288"/>
      <c r="B71" s="2290"/>
      <c r="C71" s="1011"/>
      <c r="D71" s="1007"/>
      <c r="E71" s="1015" t="s">
        <v>1078</v>
      </c>
      <c r="F71" s="1008"/>
      <c r="G71" s="2292"/>
      <c r="H71" s="2294"/>
      <c r="I71" s="2294"/>
      <c r="J71" s="2294"/>
      <c r="K71" s="2295"/>
      <c r="L71" s="1151"/>
      <c r="M71" s="1151"/>
      <c r="N71" s="1153"/>
      <c r="O71" s="1153"/>
      <c r="P71" s="1153"/>
      <c r="Q71" s="1153"/>
      <c r="R71" s="1153"/>
      <c r="S71" s="1153"/>
      <c r="T71" s="1153"/>
      <c r="U71" s="1153"/>
      <c r="V71" s="1153"/>
      <c r="W71" s="1153"/>
      <c r="X71" s="1153"/>
      <c r="Y71" s="1153"/>
      <c r="Z71" s="1153"/>
      <c r="AA71" s="1153"/>
      <c r="AB71" s="1153"/>
      <c r="AC71" s="1153"/>
      <c r="AD71" s="1153"/>
      <c r="AE71" s="1153"/>
      <c r="AF71" s="1153"/>
      <c r="AG71" s="1153"/>
      <c r="AH71" s="1153"/>
      <c r="AI71" s="1153"/>
      <c r="AJ71" s="1153"/>
      <c r="AK71" s="1153"/>
      <c r="AL71" s="1153"/>
      <c r="AM71" s="1153"/>
      <c r="AN71" s="1153"/>
      <c r="AO71" s="1153"/>
      <c r="AP71" s="1153"/>
      <c r="AQ71" s="1153"/>
      <c r="AR71" s="1153"/>
      <c r="AS71" s="1153"/>
      <c r="AT71" s="1153"/>
      <c r="AU71" s="1153"/>
      <c r="AV71" s="1153"/>
      <c r="AW71" s="1153"/>
      <c r="AX71" s="1153"/>
      <c r="AY71" s="1153"/>
      <c r="AZ71" s="1153"/>
    </row>
    <row r="72" spans="1:52" s="988" customFormat="1" ht="21.75" customHeight="1">
      <c r="A72" s="2296" t="s">
        <v>1079</v>
      </c>
      <c r="B72" s="2299" t="s">
        <v>1080</v>
      </c>
      <c r="C72" s="1012"/>
      <c r="D72" s="1001" t="s">
        <v>1081</v>
      </c>
      <c r="F72" s="1010"/>
      <c r="G72" s="2291">
        <f>SUM(G74:G83)</f>
        <v>0</v>
      </c>
      <c r="H72" s="2291">
        <f>SUM(H74:H83)</f>
        <v>0</v>
      </c>
      <c r="I72" s="2291">
        <f>SUM(I74:I83)</f>
        <v>0</v>
      </c>
      <c r="J72" s="2291">
        <f>SUM(J74:J83)</f>
        <v>0</v>
      </c>
      <c r="K72" s="2295">
        <f>G72-H72</f>
        <v>0</v>
      </c>
      <c r="L72" s="1366"/>
      <c r="M72" s="1151"/>
      <c r="N72" s="1153"/>
      <c r="O72" s="1153"/>
      <c r="P72" s="1153"/>
      <c r="Q72" s="1153"/>
      <c r="R72" s="1153"/>
      <c r="S72" s="1153"/>
      <c r="T72" s="1153"/>
      <c r="U72" s="1153"/>
      <c r="V72" s="1153"/>
      <c r="W72" s="1153"/>
      <c r="X72" s="1153"/>
      <c r="Y72" s="1153"/>
      <c r="Z72" s="1153"/>
      <c r="AA72" s="1153"/>
      <c r="AB72" s="1153"/>
      <c r="AC72" s="1153"/>
      <c r="AD72" s="1153"/>
      <c r="AE72" s="1153"/>
      <c r="AF72" s="1153"/>
      <c r="AG72" s="1153"/>
      <c r="AH72" s="1153"/>
      <c r="AI72" s="1153"/>
      <c r="AJ72" s="1153"/>
      <c r="AK72" s="1153"/>
      <c r="AL72" s="1153"/>
      <c r="AM72" s="1153"/>
      <c r="AN72" s="1153"/>
      <c r="AO72" s="1153"/>
      <c r="AP72" s="1153"/>
      <c r="AQ72" s="1153"/>
      <c r="AR72" s="1153"/>
      <c r="AS72" s="1153"/>
      <c r="AT72" s="1153"/>
      <c r="AU72" s="1153"/>
      <c r="AV72" s="1153"/>
      <c r="AW72" s="1153"/>
      <c r="AX72" s="1153"/>
      <c r="AY72" s="1153"/>
      <c r="AZ72" s="1153"/>
    </row>
    <row r="73" spans="1:52" s="988" customFormat="1" ht="13.5" customHeight="1">
      <c r="A73" s="2288"/>
      <c r="B73" s="2290"/>
      <c r="C73" s="1011"/>
      <c r="D73" s="1007" t="s">
        <v>1082</v>
      </c>
      <c r="E73" s="1007"/>
      <c r="F73" s="1008"/>
      <c r="G73" s="2292"/>
      <c r="H73" s="2292"/>
      <c r="I73" s="2292"/>
      <c r="J73" s="2292"/>
      <c r="K73" s="2295"/>
      <c r="L73" s="1151"/>
      <c r="M73" s="1151"/>
      <c r="N73" s="1153"/>
      <c r="O73" s="1153"/>
      <c r="P73" s="1153"/>
      <c r="Q73" s="1153"/>
      <c r="R73" s="1153"/>
      <c r="S73" s="1153"/>
      <c r="T73" s="1153"/>
      <c r="U73" s="1153"/>
      <c r="V73" s="1153"/>
      <c r="W73" s="1153"/>
      <c r="X73" s="1153"/>
      <c r="Y73" s="1153"/>
      <c r="Z73" s="1153"/>
      <c r="AA73" s="1153"/>
      <c r="AB73" s="1153"/>
      <c r="AC73" s="1153"/>
      <c r="AD73" s="1153"/>
      <c r="AE73" s="1153"/>
      <c r="AF73" s="1153"/>
      <c r="AG73" s="1153"/>
      <c r="AH73" s="1153"/>
      <c r="AI73" s="1153"/>
      <c r="AJ73" s="1153"/>
      <c r="AK73" s="1153"/>
      <c r="AL73" s="1153"/>
      <c r="AM73" s="1153"/>
      <c r="AN73" s="1153"/>
      <c r="AO73" s="1153"/>
      <c r="AP73" s="1153"/>
      <c r="AQ73" s="1153"/>
      <c r="AR73" s="1153"/>
      <c r="AS73" s="1153"/>
      <c r="AT73" s="1153"/>
      <c r="AU73" s="1153"/>
      <c r="AV73" s="1153"/>
      <c r="AW73" s="1153"/>
      <c r="AX73" s="1153"/>
      <c r="AY73" s="1153"/>
      <c r="AZ73" s="1153"/>
    </row>
    <row r="74" spans="1:52" s="988" customFormat="1" ht="21.75" customHeight="1">
      <c r="A74" s="2298" t="s">
        <v>1083</v>
      </c>
      <c r="B74" s="2299" t="s">
        <v>1084</v>
      </c>
      <c r="C74" s="1012"/>
      <c r="E74" s="989" t="s">
        <v>1085</v>
      </c>
      <c r="F74" s="1010"/>
      <c r="G74" s="2291">
        <f>H74+I74+J74</f>
        <v>0</v>
      </c>
      <c r="H74" s="2293"/>
      <c r="I74" s="2293"/>
      <c r="J74" s="2293"/>
      <c r="K74" s="2295">
        <f>G74-H74</f>
        <v>0</v>
      </c>
      <c r="L74" s="1151"/>
      <c r="M74" s="1151"/>
      <c r="N74" s="1153"/>
      <c r="O74" s="1153"/>
      <c r="P74" s="1153"/>
      <c r="Q74" s="1153"/>
      <c r="R74" s="1153"/>
      <c r="S74" s="1153"/>
      <c r="T74" s="1153"/>
      <c r="U74" s="1153"/>
      <c r="V74" s="1153"/>
      <c r="W74" s="1153"/>
      <c r="X74" s="1153"/>
      <c r="Y74" s="1153"/>
      <c r="Z74" s="1153"/>
      <c r="AA74" s="1153"/>
      <c r="AB74" s="1153"/>
      <c r="AC74" s="1153"/>
      <c r="AD74" s="1153"/>
      <c r="AE74" s="1153"/>
      <c r="AF74" s="1153"/>
      <c r="AG74" s="1153"/>
      <c r="AH74" s="1153"/>
      <c r="AI74" s="1153"/>
      <c r="AJ74" s="1153"/>
      <c r="AK74" s="1153"/>
      <c r="AL74" s="1153"/>
      <c r="AM74" s="1153"/>
      <c r="AN74" s="1153"/>
      <c r="AO74" s="1153"/>
      <c r="AP74" s="1153"/>
      <c r="AQ74" s="1153"/>
      <c r="AR74" s="1153"/>
      <c r="AS74" s="1153"/>
      <c r="AT74" s="1153"/>
      <c r="AU74" s="1153"/>
      <c r="AV74" s="1153"/>
      <c r="AW74" s="1153"/>
      <c r="AX74" s="1153"/>
      <c r="AY74" s="1153"/>
      <c r="AZ74" s="1153"/>
    </row>
    <row r="75" spans="1:52" s="988" customFormat="1" ht="13.5" customHeight="1">
      <c r="A75" s="2288"/>
      <c r="B75" s="2290"/>
      <c r="C75" s="1011"/>
      <c r="D75" s="1026"/>
      <c r="E75" s="1016" t="s">
        <v>1086</v>
      </c>
      <c r="F75" s="1025"/>
      <c r="G75" s="2292"/>
      <c r="H75" s="2294"/>
      <c r="I75" s="2294"/>
      <c r="J75" s="2294"/>
      <c r="K75" s="2295"/>
      <c r="L75" s="1151"/>
      <c r="M75" s="1151"/>
      <c r="N75" s="1153"/>
      <c r="O75" s="1153"/>
      <c r="P75" s="1153"/>
      <c r="Q75" s="1153"/>
      <c r="R75" s="1153"/>
      <c r="S75" s="1153"/>
      <c r="T75" s="1153"/>
      <c r="U75" s="1153"/>
      <c r="V75" s="1153"/>
      <c r="W75" s="1153"/>
      <c r="X75" s="1153"/>
      <c r="Y75" s="1153"/>
      <c r="Z75" s="1153"/>
      <c r="AA75" s="1153"/>
      <c r="AB75" s="1153"/>
      <c r="AC75" s="1153"/>
      <c r="AD75" s="1153"/>
      <c r="AE75" s="1153"/>
      <c r="AF75" s="1153"/>
      <c r="AG75" s="1153"/>
      <c r="AH75" s="1153"/>
      <c r="AI75" s="1153"/>
      <c r="AJ75" s="1153"/>
      <c r="AK75" s="1153"/>
      <c r="AL75" s="1153"/>
      <c r="AM75" s="1153"/>
      <c r="AN75" s="1153"/>
      <c r="AO75" s="1153"/>
      <c r="AP75" s="1153"/>
      <c r="AQ75" s="1153"/>
      <c r="AR75" s="1153"/>
      <c r="AS75" s="1153"/>
      <c r="AT75" s="1153"/>
      <c r="AU75" s="1153"/>
      <c r="AV75" s="1153"/>
      <c r="AW75" s="1153"/>
      <c r="AX75" s="1153"/>
      <c r="AY75" s="1153"/>
      <c r="AZ75" s="1153"/>
    </row>
    <row r="76" spans="1:52" s="988" customFormat="1" ht="21.75" customHeight="1">
      <c r="A76" s="2296" t="s">
        <v>1087</v>
      </c>
      <c r="B76" s="2299" t="s">
        <v>1088</v>
      </c>
      <c r="C76" s="1012"/>
      <c r="E76" s="989" t="s">
        <v>1089</v>
      </c>
      <c r="F76" s="1042"/>
      <c r="G76" s="2291">
        <f t="shared" ref="G76:G94" si="3">H76+I76+J76</f>
        <v>0</v>
      </c>
      <c r="H76" s="2293"/>
      <c r="I76" s="2293"/>
      <c r="J76" s="2293"/>
      <c r="K76" s="2295">
        <f>G76-H76</f>
        <v>0</v>
      </c>
      <c r="L76" s="1151"/>
      <c r="M76" s="1151"/>
      <c r="N76" s="1153"/>
      <c r="O76" s="1153"/>
      <c r="P76" s="1153"/>
      <c r="Q76" s="1153"/>
      <c r="R76" s="1153"/>
      <c r="S76" s="1153"/>
      <c r="T76" s="1153"/>
      <c r="U76" s="1153"/>
      <c r="V76" s="1153"/>
      <c r="W76" s="1153"/>
      <c r="X76" s="1153"/>
      <c r="Y76" s="1153"/>
      <c r="Z76" s="1153"/>
      <c r="AA76" s="1153"/>
      <c r="AB76" s="1153"/>
      <c r="AC76" s="1153"/>
      <c r="AD76" s="1153"/>
      <c r="AE76" s="1153"/>
      <c r="AF76" s="1153"/>
      <c r="AG76" s="1153"/>
      <c r="AH76" s="1153"/>
      <c r="AI76" s="1153"/>
      <c r="AJ76" s="1153"/>
      <c r="AK76" s="1153"/>
      <c r="AL76" s="1153"/>
      <c r="AM76" s="1153"/>
      <c r="AN76" s="1153"/>
      <c r="AO76" s="1153"/>
      <c r="AP76" s="1153"/>
      <c r="AQ76" s="1153"/>
      <c r="AR76" s="1153"/>
      <c r="AS76" s="1153"/>
      <c r="AT76" s="1153"/>
      <c r="AU76" s="1153"/>
      <c r="AV76" s="1153"/>
      <c r="AW76" s="1153"/>
      <c r="AX76" s="1153"/>
      <c r="AY76" s="1153"/>
      <c r="AZ76" s="1153"/>
    </row>
    <row r="77" spans="1:52" s="988" customFormat="1" ht="13.5" customHeight="1">
      <c r="A77" s="2288"/>
      <c r="B77" s="2290"/>
      <c r="C77" s="1014"/>
      <c r="D77" s="1026"/>
      <c r="E77" s="1016" t="s">
        <v>1090</v>
      </c>
      <c r="F77" s="1025"/>
      <c r="G77" s="2292"/>
      <c r="H77" s="2294"/>
      <c r="I77" s="2294"/>
      <c r="J77" s="2294"/>
      <c r="K77" s="2295"/>
      <c r="L77" s="1151"/>
      <c r="M77" s="1151"/>
      <c r="N77" s="1153"/>
      <c r="O77" s="1153"/>
      <c r="P77" s="1153"/>
      <c r="Q77" s="1153"/>
      <c r="R77" s="1153"/>
      <c r="S77" s="1153"/>
      <c r="T77" s="1153"/>
      <c r="U77" s="1153"/>
      <c r="V77" s="1153"/>
      <c r="W77" s="1153"/>
      <c r="X77" s="1153"/>
      <c r="Y77" s="1153"/>
      <c r="Z77" s="1153"/>
      <c r="AA77" s="1153"/>
      <c r="AB77" s="1153"/>
      <c r="AC77" s="1153"/>
      <c r="AD77" s="1153"/>
      <c r="AE77" s="1153"/>
      <c r="AF77" s="1153"/>
      <c r="AG77" s="1153"/>
      <c r="AH77" s="1153"/>
      <c r="AI77" s="1153"/>
      <c r="AJ77" s="1153"/>
      <c r="AK77" s="1153"/>
      <c r="AL77" s="1153"/>
      <c r="AM77" s="1153"/>
      <c r="AN77" s="1153"/>
      <c r="AO77" s="1153"/>
      <c r="AP77" s="1153"/>
      <c r="AQ77" s="1153"/>
      <c r="AR77" s="1153"/>
      <c r="AS77" s="1153"/>
      <c r="AT77" s="1153"/>
      <c r="AU77" s="1153"/>
      <c r="AV77" s="1153"/>
      <c r="AW77" s="1153"/>
      <c r="AX77" s="1153"/>
      <c r="AY77" s="1153"/>
      <c r="AZ77" s="1153"/>
    </row>
    <row r="78" spans="1:52" s="988" customFormat="1" ht="21.75" customHeight="1">
      <c r="A78" s="2298" t="s">
        <v>1091</v>
      </c>
      <c r="B78" s="2297" t="s">
        <v>1092</v>
      </c>
      <c r="C78" s="1018"/>
      <c r="E78" s="989" t="s">
        <v>1093</v>
      </c>
      <c r="F78" s="1042"/>
      <c r="G78" s="2291">
        <f t="shared" si="3"/>
        <v>0</v>
      </c>
      <c r="H78" s="2293"/>
      <c r="I78" s="2293"/>
      <c r="J78" s="2293"/>
      <c r="K78" s="2295">
        <f>G78-H78</f>
        <v>0</v>
      </c>
      <c r="L78" s="1151"/>
      <c r="M78" s="1151"/>
      <c r="N78" s="1153"/>
      <c r="O78" s="1153"/>
      <c r="P78" s="1153"/>
      <c r="Q78" s="1153"/>
      <c r="R78" s="1153"/>
      <c r="S78" s="1153"/>
      <c r="T78" s="1153"/>
      <c r="U78" s="1153"/>
      <c r="V78" s="1153"/>
      <c r="W78" s="1153"/>
      <c r="X78" s="1153"/>
      <c r="Y78" s="1153"/>
      <c r="Z78" s="1153"/>
      <c r="AA78" s="1153"/>
      <c r="AB78" s="1153"/>
      <c r="AC78" s="1153"/>
      <c r="AD78" s="1153"/>
      <c r="AE78" s="1153"/>
      <c r="AF78" s="1153"/>
      <c r="AG78" s="1153"/>
      <c r="AH78" s="1153"/>
      <c r="AI78" s="1153"/>
      <c r="AJ78" s="1153"/>
      <c r="AK78" s="1153"/>
      <c r="AL78" s="1153"/>
      <c r="AM78" s="1153"/>
      <c r="AN78" s="1153"/>
      <c r="AO78" s="1153"/>
      <c r="AP78" s="1153"/>
      <c r="AQ78" s="1153"/>
      <c r="AR78" s="1153"/>
      <c r="AS78" s="1153"/>
      <c r="AT78" s="1153"/>
      <c r="AU78" s="1153"/>
      <c r="AV78" s="1153"/>
      <c r="AW78" s="1153"/>
      <c r="AX78" s="1153"/>
      <c r="AY78" s="1153"/>
      <c r="AZ78" s="1153"/>
    </row>
    <row r="79" spans="1:52" s="988" customFormat="1" ht="13.5" customHeight="1">
      <c r="A79" s="2288"/>
      <c r="B79" s="2290"/>
      <c r="C79" s="1011"/>
      <c r="D79" s="1043"/>
      <c r="E79" s="1016" t="s">
        <v>1094</v>
      </c>
      <c r="F79" s="1025"/>
      <c r="G79" s="2292"/>
      <c r="H79" s="2294"/>
      <c r="I79" s="2294"/>
      <c r="J79" s="2294"/>
      <c r="K79" s="2295"/>
      <c r="L79" s="1151"/>
      <c r="M79" s="1151"/>
      <c r="N79" s="1153"/>
      <c r="O79" s="1153"/>
      <c r="P79" s="1153"/>
      <c r="Q79" s="1153"/>
      <c r="R79" s="1153"/>
      <c r="S79" s="1153"/>
      <c r="T79" s="1153"/>
      <c r="U79" s="1153"/>
      <c r="V79" s="1153"/>
      <c r="W79" s="1153"/>
      <c r="X79" s="1153"/>
      <c r="Y79" s="1153"/>
      <c r="Z79" s="1153"/>
      <c r="AA79" s="1153"/>
      <c r="AB79" s="1153"/>
      <c r="AC79" s="1153"/>
      <c r="AD79" s="1153"/>
      <c r="AE79" s="1153"/>
      <c r="AF79" s="1153"/>
      <c r="AG79" s="1153"/>
      <c r="AH79" s="1153"/>
      <c r="AI79" s="1153"/>
      <c r="AJ79" s="1153"/>
      <c r="AK79" s="1153"/>
      <c r="AL79" s="1153"/>
      <c r="AM79" s="1153"/>
      <c r="AN79" s="1153"/>
      <c r="AO79" s="1153"/>
      <c r="AP79" s="1153"/>
      <c r="AQ79" s="1153"/>
      <c r="AR79" s="1153"/>
      <c r="AS79" s="1153"/>
      <c r="AT79" s="1153"/>
      <c r="AU79" s="1153"/>
      <c r="AV79" s="1153"/>
      <c r="AW79" s="1153"/>
      <c r="AX79" s="1153"/>
      <c r="AY79" s="1153"/>
      <c r="AZ79" s="1153"/>
    </row>
    <row r="80" spans="1:52" s="988" customFormat="1" ht="21.75" customHeight="1">
      <c r="A80" s="2298" t="s">
        <v>1095</v>
      </c>
      <c r="B80" s="2297" t="s">
        <v>1096</v>
      </c>
      <c r="C80" s="1035"/>
      <c r="E80" s="1036" t="s">
        <v>1097</v>
      </c>
      <c r="F80" s="1044"/>
      <c r="G80" s="2291">
        <f t="shared" si="3"/>
        <v>0</v>
      </c>
      <c r="H80" s="2293"/>
      <c r="I80" s="2293"/>
      <c r="J80" s="2293"/>
      <c r="K80" s="2295">
        <f>G80-H80</f>
        <v>0</v>
      </c>
      <c r="L80" s="1366"/>
      <c r="M80" s="1151"/>
      <c r="N80" s="1153"/>
      <c r="O80" s="1153"/>
      <c r="P80" s="1153"/>
      <c r="Q80" s="1153"/>
      <c r="R80" s="1153"/>
      <c r="S80" s="1153"/>
      <c r="T80" s="1153"/>
      <c r="U80" s="1153"/>
      <c r="V80" s="1153"/>
      <c r="W80" s="1153"/>
      <c r="X80" s="1153"/>
      <c r="Y80" s="1153"/>
      <c r="Z80" s="1153"/>
      <c r="AA80" s="1153"/>
      <c r="AB80" s="1153"/>
      <c r="AC80" s="1153"/>
      <c r="AD80" s="1153"/>
      <c r="AE80" s="1153"/>
      <c r="AF80" s="1153"/>
      <c r="AG80" s="1153"/>
      <c r="AH80" s="1153"/>
      <c r="AI80" s="1153"/>
      <c r="AJ80" s="1153"/>
      <c r="AK80" s="1153"/>
      <c r="AL80" s="1153"/>
      <c r="AM80" s="1153"/>
      <c r="AN80" s="1153"/>
      <c r="AO80" s="1153"/>
      <c r="AP80" s="1153"/>
      <c r="AQ80" s="1153"/>
      <c r="AR80" s="1153"/>
      <c r="AS80" s="1153"/>
      <c r="AT80" s="1153"/>
      <c r="AU80" s="1153"/>
      <c r="AV80" s="1153"/>
      <c r="AW80" s="1153"/>
      <c r="AX80" s="1153"/>
      <c r="AY80" s="1153"/>
      <c r="AZ80" s="1153"/>
    </row>
    <row r="81" spans="1:52" s="988" customFormat="1" ht="13.5" customHeight="1">
      <c r="A81" s="2288"/>
      <c r="B81" s="2290"/>
      <c r="C81" s="1011"/>
      <c r="D81" s="1007"/>
      <c r="E81" s="1016" t="s">
        <v>1098</v>
      </c>
      <c r="F81" s="1025"/>
      <c r="G81" s="2292"/>
      <c r="H81" s="2294"/>
      <c r="I81" s="2294"/>
      <c r="J81" s="2294"/>
      <c r="K81" s="2295"/>
      <c r="L81" s="1366"/>
      <c r="M81" s="1151"/>
      <c r="N81" s="1153"/>
      <c r="O81" s="1153"/>
      <c r="P81" s="1153"/>
      <c r="Q81" s="1153"/>
      <c r="R81" s="1153"/>
      <c r="S81" s="1153"/>
      <c r="T81" s="1153"/>
      <c r="U81" s="1153"/>
      <c r="V81" s="1153"/>
      <c r="W81" s="1153"/>
      <c r="X81" s="1153"/>
      <c r="Y81" s="1153"/>
      <c r="Z81" s="1153"/>
      <c r="AA81" s="1153"/>
      <c r="AB81" s="1153"/>
      <c r="AC81" s="1153"/>
      <c r="AD81" s="1153"/>
      <c r="AE81" s="1153"/>
      <c r="AF81" s="1153"/>
      <c r="AG81" s="1153"/>
      <c r="AH81" s="1153"/>
      <c r="AI81" s="1153"/>
      <c r="AJ81" s="1153"/>
      <c r="AK81" s="1153"/>
      <c r="AL81" s="1153"/>
      <c r="AM81" s="1153"/>
      <c r="AN81" s="1153"/>
      <c r="AO81" s="1153"/>
      <c r="AP81" s="1153"/>
      <c r="AQ81" s="1153"/>
      <c r="AR81" s="1153"/>
      <c r="AS81" s="1153"/>
      <c r="AT81" s="1153"/>
      <c r="AU81" s="1153"/>
      <c r="AV81" s="1153"/>
      <c r="AW81" s="1153"/>
      <c r="AX81" s="1153"/>
      <c r="AY81" s="1153"/>
      <c r="AZ81" s="1153"/>
    </row>
    <row r="82" spans="1:52" s="988" customFormat="1" ht="21.75" customHeight="1">
      <c r="A82" s="2298" t="s">
        <v>1099</v>
      </c>
      <c r="B82" s="2297" t="s">
        <v>1100</v>
      </c>
      <c r="C82" s="1012"/>
      <c r="E82" s="989" t="s">
        <v>1101</v>
      </c>
      <c r="F82" s="1042"/>
      <c r="G82" s="2291">
        <f t="shared" si="3"/>
        <v>0</v>
      </c>
      <c r="H82" s="2293"/>
      <c r="I82" s="2293"/>
      <c r="J82" s="2293"/>
      <c r="K82" s="2295">
        <f>G82-H82</f>
        <v>0</v>
      </c>
      <c r="L82" s="1151"/>
      <c r="M82" s="1151"/>
      <c r="N82" s="1153"/>
      <c r="O82" s="1153"/>
      <c r="P82" s="1153"/>
      <c r="Q82" s="1153"/>
      <c r="R82" s="1153"/>
      <c r="S82" s="1153"/>
      <c r="T82" s="1153"/>
      <c r="U82" s="1153"/>
      <c r="V82" s="1153"/>
      <c r="W82" s="1153"/>
      <c r="X82" s="1153"/>
      <c r="Y82" s="1153"/>
      <c r="Z82" s="1153"/>
      <c r="AA82" s="1153"/>
      <c r="AB82" s="1153"/>
      <c r="AC82" s="1153"/>
      <c r="AD82" s="1153"/>
      <c r="AE82" s="1153"/>
      <c r="AF82" s="1153"/>
      <c r="AG82" s="1153"/>
      <c r="AH82" s="1153"/>
      <c r="AI82" s="1153"/>
      <c r="AJ82" s="1153"/>
      <c r="AK82" s="1153"/>
      <c r="AL82" s="1153"/>
      <c r="AM82" s="1153"/>
      <c r="AN82" s="1153"/>
      <c r="AO82" s="1153"/>
      <c r="AP82" s="1153"/>
      <c r="AQ82" s="1153"/>
      <c r="AR82" s="1153"/>
      <c r="AS82" s="1153"/>
      <c r="AT82" s="1153"/>
      <c r="AU82" s="1153"/>
      <c r="AV82" s="1153"/>
      <c r="AW82" s="1153"/>
      <c r="AX82" s="1153"/>
      <c r="AY82" s="1153"/>
      <c r="AZ82" s="1153"/>
    </row>
    <row r="83" spans="1:52" s="988" customFormat="1" ht="13.5" customHeight="1">
      <c r="A83" s="2288"/>
      <c r="B83" s="2290"/>
      <c r="C83" s="1011"/>
      <c r="D83" s="1007"/>
      <c r="E83" s="1016" t="s">
        <v>1102</v>
      </c>
      <c r="F83" s="1025"/>
      <c r="G83" s="2292"/>
      <c r="H83" s="2294"/>
      <c r="I83" s="2294"/>
      <c r="J83" s="2294"/>
      <c r="K83" s="2295"/>
      <c r="L83" s="1151"/>
      <c r="M83" s="1151"/>
      <c r="N83" s="1153"/>
      <c r="O83" s="1153"/>
      <c r="P83" s="1153"/>
      <c r="Q83" s="1153"/>
      <c r="R83" s="1153"/>
      <c r="S83" s="1153"/>
      <c r="T83" s="1153"/>
      <c r="U83" s="1153"/>
      <c r="V83" s="1153"/>
      <c r="W83" s="1153"/>
      <c r="X83" s="1153"/>
      <c r="Y83" s="1153"/>
      <c r="Z83" s="1153"/>
      <c r="AA83" s="1153"/>
      <c r="AB83" s="1153"/>
      <c r="AC83" s="1153"/>
      <c r="AD83" s="1153"/>
      <c r="AE83" s="1153"/>
      <c r="AF83" s="1153"/>
      <c r="AG83" s="1153"/>
      <c r="AH83" s="1153"/>
      <c r="AI83" s="1153"/>
      <c r="AJ83" s="1153"/>
      <c r="AK83" s="1153"/>
      <c r="AL83" s="1153"/>
      <c r="AM83" s="1153"/>
      <c r="AN83" s="1153"/>
      <c r="AO83" s="1153"/>
      <c r="AP83" s="1153"/>
      <c r="AQ83" s="1153"/>
      <c r="AR83" s="1153"/>
      <c r="AS83" s="1153"/>
      <c r="AT83" s="1153"/>
      <c r="AU83" s="1153"/>
      <c r="AV83" s="1153"/>
      <c r="AW83" s="1153"/>
      <c r="AX83" s="1153"/>
      <c r="AY83" s="1153"/>
      <c r="AZ83" s="1153"/>
    </row>
    <row r="84" spans="1:52" s="988" customFormat="1" ht="21.75" customHeight="1">
      <c r="A84" s="2298" t="s">
        <v>1103</v>
      </c>
      <c r="B84" s="2297" t="s">
        <v>1104</v>
      </c>
      <c r="C84" s="1012"/>
      <c r="E84" s="989" t="s">
        <v>1844</v>
      </c>
      <c r="F84" s="1042"/>
      <c r="G84" s="2291">
        <f t="shared" si="3"/>
        <v>0</v>
      </c>
      <c r="H84" s="2293"/>
      <c r="I84" s="2293"/>
      <c r="J84" s="2293"/>
      <c r="K84" s="2295">
        <f>I84+J84</f>
        <v>0</v>
      </c>
      <c r="L84" s="1151"/>
      <c r="M84" s="1151"/>
      <c r="N84" s="1153"/>
      <c r="O84" s="1153"/>
      <c r="P84" s="1153"/>
      <c r="Q84" s="1153"/>
      <c r="R84" s="1153"/>
      <c r="S84" s="1153"/>
      <c r="T84" s="1153"/>
      <c r="U84" s="1153"/>
      <c r="V84" s="1153"/>
      <c r="W84" s="1153"/>
      <c r="X84" s="1153"/>
      <c r="Y84" s="1153"/>
      <c r="Z84" s="1153"/>
      <c r="AA84" s="1153"/>
      <c r="AB84" s="1153"/>
      <c r="AC84" s="1153"/>
      <c r="AD84" s="1153"/>
      <c r="AE84" s="1153"/>
      <c r="AF84" s="1153"/>
      <c r="AG84" s="1153"/>
      <c r="AH84" s="1153"/>
      <c r="AI84" s="1153"/>
      <c r="AJ84" s="1153"/>
      <c r="AK84" s="1153"/>
      <c r="AL84" s="1153"/>
      <c r="AM84" s="1153"/>
      <c r="AN84" s="1153"/>
      <c r="AO84" s="1153"/>
      <c r="AP84" s="1153"/>
      <c r="AQ84" s="1153"/>
      <c r="AR84" s="1153"/>
      <c r="AS84" s="1153"/>
      <c r="AT84" s="1153"/>
      <c r="AU84" s="1153"/>
      <c r="AV84" s="1153"/>
      <c r="AW84" s="1153"/>
      <c r="AX84" s="1153"/>
      <c r="AY84" s="1153"/>
      <c r="AZ84" s="1153"/>
    </row>
    <row r="85" spans="1:52" s="988" customFormat="1" ht="13.5" customHeight="1">
      <c r="A85" s="2288"/>
      <c r="B85" s="2290"/>
      <c r="C85" s="1011"/>
      <c r="D85" s="1007"/>
      <c r="E85" s="1016" t="s">
        <v>1105</v>
      </c>
      <c r="F85" s="1025"/>
      <c r="G85" s="2292"/>
      <c r="H85" s="2294"/>
      <c r="I85" s="2294"/>
      <c r="J85" s="2294"/>
      <c r="K85" s="2295"/>
      <c r="L85" s="1151"/>
      <c r="M85" s="1151"/>
      <c r="N85" s="1153"/>
      <c r="O85" s="1153"/>
      <c r="P85" s="1153"/>
      <c r="Q85" s="1153"/>
      <c r="R85" s="1153"/>
      <c r="S85" s="1153"/>
      <c r="T85" s="1153"/>
      <c r="U85" s="1153"/>
      <c r="V85" s="1153"/>
      <c r="W85" s="1153"/>
      <c r="X85" s="1153"/>
      <c r="Y85" s="1153"/>
      <c r="Z85" s="1153"/>
      <c r="AA85" s="1153"/>
      <c r="AB85" s="1153"/>
      <c r="AC85" s="1153"/>
      <c r="AD85" s="1153"/>
      <c r="AE85" s="1153"/>
      <c r="AF85" s="1153"/>
      <c r="AG85" s="1153"/>
      <c r="AH85" s="1153"/>
      <c r="AI85" s="1153"/>
      <c r="AJ85" s="1153"/>
      <c r="AK85" s="1153"/>
      <c r="AL85" s="1153"/>
      <c r="AM85" s="1153"/>
      <c r="AN85" s="1153"/>
      <c r="AO85" s="1153"/>
      <c r="AP85" s="1153"/>
      <c r="AQ85" s="1153"/>
      <c r="AR85" s="1153"/>
      <c r="AS85" s="1153"/>
      <c r="AT85" s="1153"/>
      <c r="AU85" s="1153"/>
      <c r="AV85" s="1153"/>
      <c r="AW85" s="1153"/>
      <c r="AX85" s="1153"/>
      <c r="AY85" s="1153"/>
      <c r="AZ85" s="1153"/>
    </row>
    <row r="86" spans="1:52" s="988" customFormat="1" ht="21.75" customHeight="1">
      <c r="A86" s="2298" t="s">
        <v>1106</v>
      </c>
      <c r="B86" s="2297" t="s">
        <v>1107</v>
      </c>
      <c r="C86" s="1012"/>
      <c r="E86" s="989" t="s">
        <v>1108</v>
      </c>
      <c r="F86" s="1042"/>
      <c r="G86" s="2291">
        <f>H86+I86+J86</f>
        <v>0</v>
      </c>
      <c r="H86" s="2293"/>
      <c r="I86" s="2293"/>
      <c r="J86" s="2293"/>
      <c r="K86" s="2295">
        <f>I86+J86</f>
        <v>0</v>
      </c>
      <c r="L86" s="1151"/>
      <c r="M86" s="1151"/>
      <c r="N86" s="1153"/>
      <c r="O86" s="1153"/>
      <c r="P86" s="1153"/>
      <c r="Q86" s="1153"/>
      <c r="R86" s="1153"/>
      <c r="S86" s="1153"/>
      <c r="T86" s="1153"/>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row>
    <row r="87" spans="1:52" s="988" customFormat="1" ht="13.5" customHeight="1">
      <c r="A87" s="2288"/>
      <c r="B87" s="2290"/>
      <c r="C87" s="1011"/>
      <c r="D87" s="1007"/>
      <c r="E87" s="1016" t="s">
        <v>1109</v>
      </c>
      <c r="F87" s="1025"/>
      <c r="G87" s="2292"/>
      <c r="H87" s="2294"/>
      <c r="I87" s="2294"/>
      <c r="J87" s="2294"/>
      <c r="K87" s="2295"/>
      <c r="L87" s="1151"/>
      <c r="M87" s="1151"/>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row>
    <row r="88" spans="1:52" s="988" customFormat="1" ht="21.75" customHeight="1">
      <c r="A88" s="2298" t="s">
        <v>1110</v>
      </c>
      <c r="B88" s="2297" t="s">
        <v>1111</v>
      </c>
      <c r="C88" s="1012"/>
      <c r="E88" s="989" t="s">
        <v>1112</v>
      </c>
      <c r="F88" s="1042"/>
      <c r="G88" s="2291">
        <f t="shared" si="3"/>
        <v>0</v>
      </c>
      <c r="H88" s="2293"/>
      <c r="I88" s="2293"/>
      <c r="J88" s="2293"/>
      <c r="K88" s="2295">
        <f>G88-H88</f>
        <v>0</v>
      </c>
      <c r="L88" s="1151"/>
      <c r="M88" s="1151"/>
      <c r="N88" s="1153"/>
      <c r="O88" s="1153"/>
      <c r="P88" s="1153"/>
      <c r="Q88" s="1153"/>
      <c r="R88" s="1153"/>
      <c r="S88" s="1153"/>
      <c r="T88" s="1153"/>
      <c r="U88" s="1153"/>
      <c r="V88" s="1153"/>
      <c r="W88" s="1153"/>
      <c r="X88" s="1153"/>
      <c r="Y88" s="1153"/>
      <c r="Z88" s="1153"/>
      <c r="AA88" s="1153"/>
      <c r="AB88" s="1153"/>
      <c r="AC88" s="1153"/>
      <c r="AD88" s="1153"/>
      <c r="AE88" s="1153"/>
      <c r="AF88" s="1153"/>
      <c r="AG88" s="1153"/>
      <c r="AH88" s="1153"/>
      <c r="AI88" s="1153"/>
      <c r="AJ88" s="1153"/>
      <c r="AK88" s="1153"/>
      <c r="AL88" s="1153"/>
      <c r="AM88" s="1153"/>
      <c r="AN88" s="1153"/>
      <c r="AO88" s="1153"/>
      <c r="AP88" s="1153"/>
      <c r="AQ88" s="1153"/>
      <c r="AR88" s="1153"/>
      <c r="AS88" s="1153"/>
      <c r="AT88" s="1153"/>
      <c r="AU88" s="1153"/>
      <c r="AV88" s="1153"/>
      <c r="AW88" s="1153"/>
      <c r="AX88" s="1153"/>
      <c r="AY88" s="1153"/>
      <c r="AZ88" s="1153"/>
    </row>
    <row r="89" spans="1:52" s="988" customFormat="1" ht="13.5" customHeight="1">
      <c r="A89" s="2288"/>
      <c r="B89" s="2290"/>
      <c r="C89" s="1011"/>
      <c r="D89" s="1007"/>
      <c r="E89" s="1016" t="s">
        <v>1113</v>
      </c>
      <c r="F89" s="1025"/>
      <c r="G89" s="2292"/>
      <c r="H89" s="2294"/>
      <c r="I89" s="2294"/>
      <c r="J89" s="2294"/>
      <c r="K89" s="2295"/>
      <c r="L89" s="1151"/>
      <c r="M89" s="1151"/>
      <c r="N89" s="1153"/>
      <c r="O89" s="1153"/>
      <c r="P89" s="1153"/>
      <c r="Q89" s="1153"/>
      <c r="R89" s="1153"/>
      <c r="S89" s="1153"/>
      <c r="T89" s="1153"/>
      <c r="U89" s="1153"/>
      <c r="V89" s="1153"/>
      <c r="W89" s="1153"/>
      <c r="X89" s="1153"/>
      <c r="Y89" s="1153"/>
      <c r="Z89" s="1153"/>
      <c r="AA89" s="1153"/>
      <c r="AB89" s="1153"/>
      <c r="AC89" s="1153"/>
      <c r="AD89" s="1153"/>
      <c r="AE89" s="1153"/>
      <c r="AF89" s="1153"/>
      <c r="AG89" s="1153"/>
      <c r="AH89" s="1153"/>
      <c r="AI89" s="1153"/>
      <c r="AJ89" s="1153"/>
      <c r="AK89" s="1153"/>
      <c r="AL89" s="1153"/>
      <c r="AM89" s="1153"/>
      <c r="AN89" s="1153"/>
      <c r="AO89" s="1153"/>
      <c r="AP89" s="1153"/>
      <c r="AQ89" s="1153"/>
      <c r="AR89" s="1153"/>
      <c r="AS89" s="1153"/>
      <c r="AT89" s="1153"/>
      <c r="AU89" s="1153"/>
      <c r="AV89" s="1153"/>
      <c r="AW89" s="1153"/>
      <c r="AX89" s="1153"/>
      <c r="AY89" s="1153"/>
      <c r="AZ89" s="1153"/>
    </row>
    <row r="90" spans="1:52" s="988" customFormat="1" ht="21.75" customHeight="1">
      <c r="A90" s="2298" t="s">
        <v>1114</v>
      </c>
      <c r="B90" s="2297" t="s">
        <v>1115</v>
      </c>
      <c r="C90" s="1012"/>
      <c r="E90" s="989" t="s">
        <v>1116</v>
      </c>
      <c r="F90" s="1042"/>
      <c r="G90" s="2291">
        <f t="shared" si="3"/>
        <v>0</v>
      </c>
      <c r="H90" s="2293"/>
      <c r="I90" s="2293"/>
      <c r="J90" s="2293"/>
      <c r="K90" s="2295">
        <f>G90-H90</f>
        <v>0</v>
      </c>
      <c r="L90" s="1151"/>
      <c r="M90" s="1151"/>
      <c r="N90" s="1153"/>
      <c r="O90" s="1153"/>
      <c r="P90" s="1153"/>
      <c r="Q90" s="1153"/>
      <c r="R90" s="1153"/>
      <c r="S90" s="1153"/>
      <c r="T90" s="1153"/>
      <c r="U90" s="1153"/>
      <c r="V90" s="1153"/>
      <c r="W90" s="1153"/>
      <c r="X90" s="1153"/>
      <c r="Y90" s="1153"/>
      <c r="Z90" s="1153"/>
      <c r="AA90" s="1153"/>
      <c r="AB90" s="1153"/>
      <c r="AC90" s="1153"/>
      <c r="AD90" s="1153"/>
      <c r="AE90" s="1153"/>
      <c r="AF90" s="1153"/>
      <c r="AG90" s="1153"/>
      <c r="AH90" s="1153"/>
      <c r="AI90" s="1153"/>
      <c r="AJ90" s="1153"/>
      <c r="AK90" s="1153"/>
      <c r="AL90" s="1153"/>
      <c r="AM90" s="1153"/>
      <c r="AN90" s="1153"/>
      <c r="AO90" s="1153"/>
      <c r="AP90" s="1153"/>
      <c r="AQ90" s="1153"/>
      <c r="AR90" s="1153"/>
      <c r="AS90" s="1153"/>
      <c r="AT90" s="1153"/>
      <c r="AU90" s="1153"/>
      <c r="AV90" s="1153"/>
      <c r="AW90" s="1153"/>
      <c r="AX90" s="1153"/>
      <c r="AY90" s="1153"/>
      <c r="AZ90" s="1153"/>
    </row>
    <row r="91" spans="1:52" s="988" customFormat="1" ht="13.5" customHeight="1">
      <c r="A91" s="2288"/>
      <c r="B91" s="2290"/>
      <c r="C91" s="1014"/>
      <c r="D91" s="1026"/>
      <c r="E91" s="1016" t="s">
        <v>1117</v>
      </c>
      <c r="F91" s="1025"/>
      <c r="G91" s="2292"/>
      <c r="H91" s="2294"/>
      <c r="I91" s="2294"/>
      <c r="J91" s="2294"/>
      <c r="K91" s="2295"/>
      <c r="L91" s="1151"/>
      <c r="M91" s="1151"/>
      <c r="N91" s="1153"/>
      <c r="O91" s="1153"/>
      <c r="P91" s="1153"/>
      <c r="Q91" s="1153"/>
      <c r="R91" s="1153"/>
      <c r="S91" s="1153"/>
      <c r="T91" s="1153"/>
      <c r="U91" s="1153"/>
      <c r="V91" s="1153"/>
      <c r="W91" s="1153"/>
      <c r="X91" s="1153"/>
      <c r="Y91" s="1153"/>
      <c r="Z91" s="1153"/>
      <c r="AA91" s="1153"/>
      <c r="AB91" s="1153"/>
      <c r="AC91" s="1153"/>
      <c r="AD91" s="1153"/>
      <c r="AE91" s="1153"/>
      <c r="AF91" s="1153"/>
      <c r="AG91" s="1153"/>
      <c r="AH91" s="1153"/>
      <c r="AI91" s="1153"/>
      <c r="AJ91" s="1153"/>
      <c r="AK91" s="1153"/>
      <c r="AL91" s="1153"/>
      <c r="AM91" s="1153"/>
      <c r="AN91" s="1153"/>
      <c r="AO91" s="1153"/>
      <c r="AP91" s="1153"/>
      <c r="AQ91" s="1153"/>
      <c r="AR91" s="1153"/>
      <c r="AS91" s="1153"/>
      <c r="AT91" s="1153"/>
      <c r="AU91" s="1153"/>
      <c r="AV91" s="1153"/>
      <c r="AW91" s="1153"/>
      <c r="AX91" s="1153"/>
      <c r="AY91" s="1153"/>
      <c r="AZ91" s="1153"/>
    </row>
    <row r="92" spans="1:52" s="988" customFormat="1" ht="21.75" customHeight="1">
      <c r="A92" s="2298" t="s">
        <v>1118</v>
      </c>
      <c r="B92" s="2297" t="s">
        <v>1119</v>
      </c>
      <c r="C92" s="1018"/>
      <c r="E92" s="989" t="s">
        <v>1120</v>
      </c>
      <c r="F92" s="1042"/>
      <c r="G92" s="2291">
        <f t="shared" si="3"/>
        <v>0</v>
      </c>
      <c r="H92" s="2293"/>
      <c r="I92" s="2293"/>
      <c r="J92" s="2293"/>
      <c r="K92" s="2295">
        <f>G92-H92</f>
        <v>0</v>
      </c>
      <c r="L92" s="1151"/>
      <c r="M92" s="1151"/>
      <c r="N92" s="1153"/>
      <c r="O92" s="1153"/>
      <c r="P92" s="1153"/>
      <c r="Q92" s="1153"/>
      <c r="R92" s="1153"/>
      <c r="S92" s="1153"/>
      <c r="T92" s="1153"/>
      <c r="U92" s="1153"/>
      <c r="V92" s="1153"/>
      <c r="W92" s="1153"/>
      <c r="X92" s="1153"/>
      <c r="Y92" s="1153"/>
      <c r="Z92" s="1153"/>
      <c r="AA92" s="1153"/>
      <c r="AB92" s="1153"/>
      <c r="AC92" s="1153"/>
      <c r="AD92" s="1153"/>
      <c r="AE92" s="1153"/>
      <c r="AF92" s="1153"/>
      <c r="AG92" s="1153"/>
      <c r="AH92" s="1153"/>
      <c r="AI92" s="1153"/>
      <c r="AJ92" s="1153"/>
      <c r="AK92" s="1153"/>
      <c r="AL92" s="1153"/>
      <c r="AM92" s="1153"/>
      <c r="AN92" s="1153"/>
      <c r="AO92" s="1153"/>
      <c r="AP92" s="1153"/>
      <c r="AQ92" s="1153"/>
      <c r="AR92" s="1153"/>
      <c r="AS92" s="1153"/>
      <c r="AT92" s="1153"/>
      <c r="AU92" s="1153"/>
      <c r="AV92" s="1153"/>
      <c r="AW92" s="1153"/>
      <c r="AX92" s="1153"/>
      <c r="AY92" s="1153"/>
      <c r="AZ92" s="1153"/>
    </row>
    <row r="93" spans="1:52" s="988" customFormat="1" ht="13.5" customHeight="1">
      <c r="A93" s="2288"/>
      <c r="B93" s="2290"/>
      <c r="C93" s="1011"/>
      <c r="D93" s="1007"/>
      <c r="E93" s="1016" t="s">
        <v>1121</v>
      </c>
      <c r="F93" s="1025"/>
      <c r="G93" s="2292"/>
      <c r="H93" s="2294"/>
      <c r="I93" s="2294"/>
      <c r="J93" s="2294"/>
      <c r="K93" s="2295"/>
      <c r="L93" s="1151"/>
      <c r="M93" s="1151"/>
      <c r="N93" s="1153"/>
      <c r="O93" s="1153"/>
      <c r="P93" s="1153"/>
      <c r="Q93" s="1153"/>
      <c r="R93" s="1153"/>
      <c r="S93" s="1153"/>
      <c r="T93" s="1153"/>
      <c r="U93" s="1153"/>
      <c r="V93" s="1153"/>
      <c r="W93" s="1153"/>
      <c r="X93" s="1153"/>
      <c r="Y93" s="1153"/>
      <c r="Z93" s="1153"/>
      <c r="AA93" s="1153"/>
      <c r="AB93" s="1153"/>
      <c r="AC93" s="1153"/>
      <c r="AD93" s="1153"/>
      <c r="AE93" s="1153"/>
      <c r="AF93" s="1153"/>
      <c r="AG93" s="1153"/>
      <c r="AH93" s="1153"/>
      <c r="AI93" s="1153"/>
      <c r="AJ93" s="1153"/>
      <c r="AK93" s="1153"/>
      <c r="AL93" s="1153"/>
      <c r="AM93" s="1153"/>
      <c r="AN93" s="1153"/>
      <c r="AO93" s="1153"/>
      <c r="AP93" s="1153"/>
      <c r="AQ93" s="1153"/>
      <c r="AR93" s="1153"/>
      <c r="AS93" s="1153"/>
      <c r="AT93" s="1153"/>
      <c r="AU93" s="1153"/>
      <c r="AV93" s="1153"/>
      <c r="AW93" s="1153"/>
      <c r="AX93" s="1153"/>
      <c r="AY93" s="1153"/>
      <c r="AZ93" s="1153"/>
    </row>
    <row r="94" spans="1:52" s="988" customFormat="1" ht="21.75" customHeight="1">
      <c r="A94" s="2298" t="s">
        <v>1122</v>
      </c>
      <c r="B94" s="2297" t="s">
        <v>1123</v>
      </c>
      <c r="C94" s="1012"/>
      <c r="E94" s="989" t="s">
        <v>1124</v>
      </c>
      <c r="F94" s="1042"/>
      <c r="G94" s="2291">
        <f t="shared" si="3"/>
        <v>0</v>
      </c>
      <c r="H94" s="2293"/>
      <c r="I94" s="2293"/>
      <c r="J94" s="2293"/>
      <c r="K94" s="2295">
        <f>G94-H94</f>
        <v>0</v>
      </c>
      <c r="L94" s="1151"/>
      <c r="M94" s="1151"/>
      <c r="N94" s="1153"/>
      <c r="O94" s="1153"/>
      <c r="P94" s="1153"/>
      <c r="Q94" s="1153"/>
      <c r="R94" s="1153"/>
      <c r="S94" s="1153"/>
      <c r="T94" s="1153"/>
      <c r="U94" s="1153"/>
      <c r="V94" s="1153"/>
      <c r="W94" s="1153"/>
      <c r="X94" s="1153"/>
      <c r="Y94" s="1153"/>
      <c r="Z94" s="1153"/>
      <c r="AA94" s="1153"/>
      <c r="AB94" s="1153"/>
      <c r="AC94" s="1153"/>
      <c r="AD94" s="1153"/>
      <c r="AE94" s="1153"/>
      <c r="AF94" s="1153"/>
      <c r="AG94" s="1153"/>
      <c r="AH94" s="1153"/>
      <c r="AI94" s="1153"/>
      <c r="AJ94" s="1153"/>
      <c r="AK94" s="1153"/>
      <c r="AL94" s="1153"/>
      <c r="AM94" s="1153"/>
      <c r="AN94" s="1153"/>
      <c r="AO94" s="1153"/>
      <c r="AP94" s="1153"/>
      <c r="AQ94" s="1153"/>
      <c r="AR94" s="1153"/>
      <c r="AS94" s="1153"/>
      <c r="AT94" s="1153"/>
      <c r="AU94" s="1153"/>
      <c r="AV94" s="1153"/>
      <c r="AW94" s="1153"/>
      <c r="AX94" s="1153"/>
      <c r="AY94" s="1153"/>
      <c r="AZ94" s="1153"/>
    </row>
    <row r="95" spans="1:52" s="988" customFormat="1" ht="13.5" customHeight="1">
      <c r="A95" s="2288"/>
      <c r="B95" s="2290"/>
      <c r="C95" s="1014"/>
      <c r="D95" s="1026"/>
      <c r="E95" s="1016" t="s">
        <v>1125</v>
      </c>
      <c r="F95" s="1025"/>
      <c r="G95" s="2292"/>
      <c r="H95" s="2294"/>
      <c r="I95" s="2294"/>
      <c r="J95" s="2294"/>
      <c r="K95" s="2295"/>
      <c r="L95" s="1151"/>
      <c r="M95" s="1151"/>
      <c r="N95" s="1153"/>
      <c r="O95" s="1153"/>
      <c r="P95" s="1153"/>
      <c r="Q95" s="1153"/>
      <c r="R95" s="1153"/>
      <c r="S95" s="1153"/>
      <c r="T95" s="1153"/>
      <c r="U95" s="1153"/>
      <c r="V95" s="1153"/>
      <c r="W95" s="1153"/>
      <c r="X95" s="1153"/>
      <c r="Y95" s="1153"/>
      <c r="Z95" s="1153"/>
      <c r="AA95" s="1153"/>
      <c r="AB95" s="1153"/>
      <c r="AC95" s="1153"/>
      <c r="AD95" s="1153"/>
      <c r="AE95" s="1153"/>
      <c r="AF95" s="1153"/>
      <c r="AG95" s="1153"/>
      <c r="AH95" s="1153"/>
      <c r="AI95" s="1153"/>
      <c r="AJ95" s="1153"/>
      <c r="AK95" s="1153"/>
      <c r="AL95" s="1153"/>
      <c r="AM95" s="1153"/>
      <c r="AN95" s="1153"/>
      <c r="AO95" s="1153"/>
      <c r="AP95" s="1153"/>
      <c r="AQ95" s="1153"/>
      <c r="AR95" s="1153"/>
      <c r="AS95" s="1153"/>
      <c r="AT95" s="1153"/>
      <c r="AU95" s="1153"/>
      <c r="AV95" s="1153"/>
      <c r="AW95" s="1153"/>
      <c r="AX95" s="1153"/>
      <c r="AY95" s="1153"/>
      <c r="AZ95" s="1153"/>
    </row>
    <row r="96" spans="1:52" s="988" customFormat="1" ht="21.75" customHeight="1">
      <c r="A96" s="2298">
        <v>3</v>
      </c>
      <c r="B96" s="2297" t="s">
        <v>1126</v>
      </c>
      <c r="C96" s="1045" t="s">
        <v>1127</v>
      </c>
      <c r="D96" s="1046"/>
      <c r="E96" s="1047"/>
      <c r="F96" s="1048"/>
      <c r="G96" s="2300">
        <f>G98+G108+G110+G112+G114</f>
        <v>0</v>
      </c>
      <c r="H96" s="2300">
        <f>H98+H108+H110+H112+H114</f>
        <v>0</v>
      </c>
      <c r="I96" s="2300">
        <f>I98+I108+I110+I112+I114</f>
        <v>0</v>
      </c>
      <c r="J96" s="2300">
        <f>J98+J108+J110+J112+J114</f>
        <v>0</v>
      </c>
      <c r="K96" s="2286">
        <f>G96-H96</f>
        <v>0</v>
      </c>
      <c r="L96" s="1151"/>
      <c r="M96" s="1151"/>
      <c r="N96" s="1153"/>
      <c r="O96" s="1153"/>
      <c r="P96" s="1153"/>
      <c r="Q96" s="1153"/>
      <c r="R96" s="1153"/>
      <c r="S96" s="1153"/>
      <c r="T96" s="1153"/>
      <c r="U96" s="1153"/>
      <c r="V96" s="1153"/>
      <c r="W96" s="1153"/>
      <c r="X96" s="1153"/>
      <c r="Y96" s="1153"/>
      <c r="Z96" s="1153"/>
      <c r="AA96" s="1153"/>
      <c r="AB96" s="1153"/>
      <c r="AC96" s="1153"/>
      <c r="AD96" s="1153"/>
      <c r="AE96" s="1153"/>
      <c r="AF96" s="1153"/>
      <c r="AG96" s="1153"/>
      <c r="AH96" s="1153"/>
      <c r="AI96" s="1153"/>
      <c r="AJ96" s="1153"/>
      <c r="AK96" s="1153"/>
      <c r="AL96" s="1153"/>
      <c r="AM96" s="1153"/>
      <c r="AN96" s="1153"/>
      <c r="AO96" s="1153"/>
      <c r="AP96" s="1153"/>
      <c r="AQ96" s="1153"/>
      <c r="AR96" s="1153"/>
      <c r="AS96" s="1153"/>
      <c r="AT96" s="1153"/>
      <c r="AU96" s="1153"/>
      <c r="AV96" s="1153"/>
      <c r="AW96" s="1153"/>
      <c r="AX96" s="1153"/>
      <c r="AY96" s="1153"/>
      <c r="AZ96" s="1153"/>
    </row>
    <row r="97" spans="1:52" s="988" customFormat="1" ht="13.5" customHeight="1">
      <c r="A97" s="2288"/>
      <c r="B97" s="2290"/>
      <c r="C97" s="996" t="s">
        <v>539</v>
      </c>
      <c r="D97" s="997" t="s">
        <v>1128</v>
      </c>
      <c r="E97" s="998"/>
      <c r="F97" s="999"/>
      <c r="G97" s="2275"/>
      <c r="H97" s="2275"/>
      <c r="I97" s="2275"/>
      <c r="J97" s="2275"/>
      <c r="K97" s="2286"/>
      <c r="L97" s="1151"/>
      <c r="M97" s="1151"/>
      <c r="N97" s="1153"/>
      <c r="O97" s="1153"/>
      <c r="P97" s="1153"/>
      <c r="Q97" s="1153"/>
      <c r="R97" s="1153"/>
      <c r="S97" s="1153"/>
      <c r="T97" s="1153"/>
      <c r="U97" s="1153"/>
      <c r="V97" s="1153"/>
      <c r="W97" s="1153"/>
      <c r="X97" s="1153"/>
      <c r="Y97" s="1153"/>
      <c r="Z97" s="1153"/>
      <c r="AA97" s="1153"/>
      <c r="AB97" s="1153"/>
      <c r="AC97" s="1153"/>
      <c r="AD97" s="1153"/>
      <c r="AE97" s="1153"/>
      <c r="AF97" s="1153"/>
      <c r="AG97" s="1153"/>
      <c r="AH97" s="1153"/>
      <c r="AI97" s="1153"/>
      <c r="AJ97" s="1153"/>
      <c r="AK97" s="1153"/>
      <c r="AL97" s="1153"/>
      <c r="AM97" s="1153"/>
      <c r="AN97" s="1153"/>
      <c r="AO97" s="1153"/>
      <c r="AP97" s="1153"/>
      <c r="AQ97" s="1153"/>
      <c r="AR97" s="1153"/>
      <c r="AS97" s="1153"/>
      <c r="AT97" s="1153"/>
      <c r="AU97" s="1153"/>
      <c r="AV97" s="1153"/>
      <c r="AW97" s="1153"/>
      <c r="AX97" s="1153"/>
      <c r="AY97" s="1153"/>
      <c r="AZ97" s="1153"/>
    </row>
    <row r="98" spans="1:52" s="988" customFormat="1" ht="21.75" customHeight="1">
      <c r="A98" s="2296" t="s">
        <v>1129</v>
      </c>
      <c r="B98" s="2299" t="s">
        <v>1130</v>
      </c>
      <c r="C98" s="1000"/>
      <c r="D98" s="1001" t="s">
        <v>1131</v>
      </c>
      <c r="E98" s="1002"/>
      <c r="F98" s="1003"/>
      <c r="G98" s="2291">
        <f>SUM(G100:G107)</f>
        <v>0</v>
      </c>
      <c r="H98" s="2291">
        <f>SUM(H100:H107)</f>
        <v>0</v>
      </c>
      <c r="I98" s="2291">
        <f>SUM(I100:I107)</f>
        <v>0</v>
      </c>
      <c r="J98" s="2291">
        <f>SUM(J100:J107)</f>
        <v>0</v>
      </c>
      <c r="K98" s="2295">
        <f>G98-H98</f>
        <v>0</v>
      </c>
      <c r="L98" s="1151"/>
      <c r="M98" s="1151"/>
      <c r="N98" s="1153"/>
      <c r="O98" s="1153"/>
      <c r="P98" s="1153"/>
      <c r="Q98" s="1153"/>
      <c r="R98" s="1153"/>
      <c r="S98" s="1153"/>
      <c r="T98" s="1153"/>
      <c r="U98" s="1153"/>
      <c r="V98" s="1153"/>
      <c r="W98" s="1153"/>
      <c r="X98" s="1153"/>
      <c r="Y98" s="1153"/>
      <c r="Z98" s="1153"/>
      <c r="AA98" s="1153"/>
      <c r="AB98" s="1153"/>
      <c r="AC98" s="1153"/>
      <c r="AD98" s="1153"/>
      <c r="AE98" s="1153"/>
      <c r="AF98" s="1153"/>
      <c r="AG98" s="1153"/>
      <c r="AH98" s="1153"/>
      <c r="AI98" s="1153"/>
      <c r="AJ98" s="1153"/>
      <c r="AK98" s="1153"/>
      <c r="AL98" s="1153"/>
      <c r="AM98" s="1153"/>
      <c r="AN98" s="1153"/>
      <c r="AO98" s="1153"/>
      <c r="AP98" s="1153"/>
      <c r="AQ98" s="1153"/>
      <c r="AR98" s="1153"/>
      <c r="AS98" s="1153"/>
      <c r="AT98" s="1153"/>
      <c r="AU98" s="1153"/>
      <c r="AV98" s="1153"/>
      <c r="AW98" s="1153"/>
      <c r="AX98" s="1153"/>
      <c r="AY98" s="1153"/>
      <c r="AZ98" s="1153"/>
    </row>
    <row r="99" spans="1:52" s="988" customFormat="1" ht="13.5" customHeight="1">
      <c r="A99" s="2288"/>
      <c r="B99" s="2290"/>
      <c r="C99" s="1014"/>
      <c r="D99" s="1007" t="s">
        <v>1132</v>
      </c>
      <c r="E99" s="1007"/>
      <c r="F99" s="1025"/>
      <c r="G99" s="2292"/>
      <c r="H99" s="2292"/>
      <c r="I99" s="2292"/>
      <c r="J99" s="2292"/>
      <c r="K99" s="2295"/>
      <c r="L99" s="1151"/>
      <c r="M99" s="1151"/>
      <c r="N99" s="1153"/>
      <c r="O99" s="1153"/>
      <c r="P99" s="1153"/>
      <c r="Q99" s="1153"/>
      <c r="R99" s="1153"/>
      <c r="S99" s="1153"/>
      <c r="T99" s="1153"/>
      <c r="U99" s="1153"/>
      <c r="V99" s="1153"/>
      <c r="W99" s="1153"/>
      <c r="X99" s="1153"/>
      <c r="Y99" s="1153"/>
      <c r="Z99" s="1153"/>
      <c r="AA99" s="1153"/>
      <c r="AB99" s="1153"/>
      <c r="AC99" s="1153"/>
      <c r="AD99" s="1153"/>
      <c r="AE99" s="1153"/>
      <c r="AF99" s="1153"/>
      <c r="AG99" s="1153"/>
      <c r="AH99" s="1153"/>
      <c r="AI99" s="1153"/>
      <c r="AJ99" s="1153"/>
      <c r="AK99" s="1153"/>
      <c r="AL99" s="1153"/>
      <c r="AM99" s="1153"/>
      <c r="AN99" s="1153"/>
      <c r="AO99" s="1153"/>
      <c r="AP99" s="1153"/>
      <c r="AQ99" s="1153"/>
      <c r="AR99" s="1153"/>
      <c r="AS99" s="1153"/>
      <c r="AT99" s="1153"/>
      <c r="AU99" s="1153"/>
      <c r="AV99" s="1153"/>
      <c r="AW99" s="1153"/>
      <c r="AX99" s="1153"/>
      <c r="AY99" s="1153"/>
      <c r="AZ99" s="1153"/>
    </row>
    <row r="100" spans="1:52" s="988" customFormat="1" ht="21.75" customHeight="1">
      <c r="A100" s="2298" t="s">
        <v>1133</v>
      </c>
      <c r="B100" s="2297" t="s">
        <v>1134</v>
      </c>
      <c r="C100" s="1018"/>
      <c r="D100" s="1004"/>
      <c r="E100" s="989" t="s">
        <v>1135</v>
      </c>
      <c r="F100" s="1042"/>
      <c r="G100" s="2291">
        <f t="shared" ref="G100:G114" si="4">H100+I100+J100</f>
        <v>0</v>
      </c>
      <c r="H100" s="2293"/>
      <c r="I100" s="2293"/>
      <c r="J100" s="2293"/>
      <c r="K100" s="2295">
        <f>G100-H100</f>
        <v>0</v>
      </c>
      <c r="L100" s="1151"/>
      <c r="M100" s="1151"/>
      <c r="N100" s="1153"/>
      <c r="O100" s="1153"/>
      <c r="P100" s="1153"/>
      <c r="Q100" s="1153"/>
      <c r="R100" s="1153"/>
      <c r="S100" s="1153"/>
      <c r="T100" s="1153"/>
      <c r="U100" s="1153"/>
      <c r="V100" s="1153"/>
      <c r="W100" s="1153"/>
      <c r="X100" s="1153"/>
      <c r="Y100" s="1153"/>
      <c r="Z100" s="1153"/>
      <c r="AA100" s="1153"/>
      <c r="AB100" s="1153"/>
      <c r="AC100" s="1153"/>
      <c r="AD100" s="1153"/>
      <c r="AE100" s="1153"/>
      <c r="AF100" s="1153"/>
      <c r="AG100" s="1153"/>
      <c r="AH100" s="1153"/>
      <c r="AI100" s="1153"/>
      <c r="AJ100" s="1153"/>
      <c r="AK100" s="1153"/>
      <c r="AL100" s="1153"/>
      <c r="AM100" s="1153"/>
      <c r="AN100" s="1153"/>
      <c r="AO100" s="1153"/>
      <c r="AP100" s="1153"/>
      <c r="AQ100" s="1153"/>
      <c r="AR100" s="1153"/>
      <c r="AS100" s="1153"/>
      <c r="AT100" s="1153"/>
      <c r="AU100" s="1153"/>
      <c r="AV100" s="1153"/>
      <c r="AW100" s="1153"/>
      <c r="AX100" s="1153"/>
      <c r="AY100" s="1153"/>
      <c r="AZ100" s="1153"/>
    </row>
    <row r="101" spans="1:52" s="988" customFormat="1" ht="13.5" customHeight="1">
      <c r="A101" s="2288"/>
      <c r="B101" s="2290"/>
      <c r="C101" s="1014"/>
      <c r="D101" s="1026"/>
      <c r="E101" s="1016" t="s">
        <v>1136</v>
      </c>
      <c r="F101" s="1025"/>
      <c r="G101" s="2292"/>
      <c r="H101" s="2294"/>
      <c r="I101" s="2294"/>
      <c r="J101" s="2294"/>
      <c r="K101" s="2295"/>
      <c r="L101" s="1151"/>
      <c r="M101" s="1151"/>
      <c r="N101" s="1153"/>
      <c r="O101" s="1153"/>
      <c r="P101" s="1153"/>
      <c r="Q101" s="1153"/>
      <c r="R101" s="1153"/>
      <c r="S101" s="1153"/>
      <c r="T101" s="1153"/>
      <c r="U101" s="1153"/>
      <c r="V101" s="1153"/>
      <c r="W101" s="1153"/>
      <c r="X101" s="1153"/>
      <c r="Y101" s="1153"/>
      <c r="Z101" s="1153"/>
      <c r="AA101" s="1153"/>
      <c r="AB101" s="1153"/>
      <c r="AC101" s="1153"/>
      <c r="AD101" s="1153"/>
      <c r="AE101" s="1153"/>
      <c r="AF101" s="1153"/>
      <c r="AG101" s="1153"/>
      <c r="AH101" s="1153"/>
      <c r="AI101" s="1153"/>
      <c r="AJ101" s="1153"/>
      <c r="AK101" s="1153"/>
      <c r="AL101" s="1153"/>
      <c r="AM101" s="1153"/>
      <c r="AN101" s="1153"/>
      <c r="AO101" s="1153"/>
      <c r="AP101" s="1153"/>
      <c r="AQ101" s="1153"/>
      <c r="AR101" s="1153"/>
      <c r="AS101" s="1153"/>
      <c r="AT101" s="1153"/>
      <c r="AU101" s="1153"/>
      <c r="AV101" s="1153"/>
      <c r="AW101" s="1153"/>
      <c r="AX101" s="1153"/>
      <c r="AY101" s="1153"/>
      <c r="AZ101" s="1153"/>
    </row>
    <row r="102" spans="1:52" s="988" customFormat="1" ht="21.75" customHeight="1">
      <c r="A102" s="2298" t="s">
        <v>1137</v>
      </c>
      <c r="B102" s="2297" t="s">
        <v>1138</v>
      </c>
      <c r="C102" s="1018"/>
      <c r="E102" s="989" t="s">
        <v>1139</v>
      </c>
      <c r="F102" s="1042"/>
      <c r="G102" s="2291">
        <f t="shared" si="4"/>
        <v>0</v>
      </c>
      <c r="H102" s="2293"/>
      <c r="I102" s="2293"/>
      <c r="J102" s="2293"/>
      <c r="K102" s="2295">
        <f>G102-H102</f>
        <v>0</v>
      </c>
      <c r="L102" s="1151"/>
      <c r="M102" s="1151"/>
      <c r="N102" s="1153"/>
      <c r="O102" s="1153"/>
      <c r="P102" s="1153"/>
      <c r="Q102" s="1153"/>
      <c r="R102" s="1153"/>
      <c r="S102" s="1153"/>
      <c r="T102" s="1153"/>
      <c r="U102" s="1153"/>
      <c r="V102" s="1153"/>
      <c r="W102" s="1153"/>
      <c r="X102" s="1153"/>
      <c r="Y102" s="1153"/>
      <c r="Z102" s="1153"/>
      <c r="AA102" s="1153"/>
      <c r="AB102" s="1153"/>
      <c r="AC102" s="1153"/>
      <c r="AD102" s="1153"/>
      <c r="AE102" s="1153"/>
      <c r="AF102" s="1153"/>
      <c r="AG102" s="1153"/>
      <c r="AH102" s="1153"/>
      <c r="AI102" s="1153"/>
      <c r="AJ102" s="1153"/>
      <c r="AK102" s="1153"/>
      <c r="AL102" s="1153"/>
      <c r="AM102" s="1153"/>
      <c r="AN102" s="1153"/>
      <c r="AO102" s="1153"/>
      <c r="AP102" s="1153"/>
      <c r="AQ102" s="1153"/>
      <c r="AR102" s="1153"/>
      <c r="AS102" s="1153"/>
      <c r="AT102" s="1153"/>
      <c r="AU102" s="1153"/>
      <c r="AV102" s="1153"/>
      <c r="AW102" s="1153"/>
      <c r="AX102" s="1153"/>
      <c r="AY102" s="1153"/>
      <c r="AZ102" s="1153"/>
    </row>
    <row r="103" spans="1:52" s="988" customFormat="1" ht="13.5" customHeight="1">
      <c r="A103" s="2288"/>
      <c r="B103" s="2290"/>
      <c r="C103" s="1011"/>
      <c r="D103" s="1026"/>
      <c r="E103" s="1016" t="s">
        <v>1140</v>
      </c>
      <c r="F103" s="1025"/>
      <c r="G103" s="2292"/>
      <c r="H103" s="2294"/>
      <c r="I103" s="2294"/>
      <c r="J103" s="2294"/>
      <c r="K103" s="2295"/>
      <c r="L103" s="1151"/>
      <c r="M103" s="1151"/>
      <c r="N103" s="1153"/>
      <c r="O103" s="1153"/>
      <c r="P103" s="1153"/>
      <c r="Q103" s="1153"/>
      <c r="R103" s="1153"/>
      <c r="S103" s="1153"/>
      <c r="T103" s="1153"/>
      <c r="U103" s="1153"/>
      <c r="V103" s="1153"/>
      <c r="W103" s="1153"/>
      <c r="X103" s="1153"/>
      <c r="Y103" s="1153"/>
      <c r="Z103" s="1153"/>
      <c r="AA103" s="1153"/>
      <c r="AB103" s="1153"/>
      <c r="AC103" s="1153"/>
      <c r="AD103" s="1153"/>
      <c r="AE103" s="1153"/>
      <c r="AF103" s="1153"/>
      <c r="AG103" s="1153"/>
      <c r="AH103" s="1153"/>
      <c r="AI103" s="1153"/>
      <c r="AJ103" s="1153"/>
      <c r="AK103" s="1153"/>
      <c r="AL103" s="1153"/>
      <c r="AM103" s="1153"/>
      <c r="AN103" s="1153"/>
      <c r="AO103" s="1153"/>
      <c r="AP103" s="1153"/>
      <c r="AQ103" s="1153"/>
      <c r="AR103" s="1153"/>
      <c r="AS103" s="1153"/>
      <c r="AT103" s="1153"/>
      <c r="AU103" s="1153"/>
      <c r="AV103" s="1153"/>
      <c r="AW103" s="1153"/>
      <c r="AX103" s="1153"/>
      <c r="AY103" s="1153"/>
      <c r="AZ103" s="1153"/>
    </row>
    <row r="104" spans="1:52" s="988" customFormat="1" ht="21.75" customHeight="1">
      <c r="A104" s="2298" t="s">
        <v>1141</v>
      </c>
      <c r="B104" s="2297" t="s">
        <v>1142</v>
      </c>
      <c r="C104" s="1012"/>
      <c r="E104" s="989" t="s">
        <v>1143</v>
      </c>
      <c r="F104" s="1042"/>
      <c r="G104" s="2291">
        <f t="shared" si="4"/>
        <v>0</v>
      </c>
      <c r="H104" s="2293"/>
      <c r="I104" s="2293"/>
      <c r="J104" s="2293"/>
      <c r="K104" s="2295">
        <f>G104-H104</f>
        <v>0</v>
      </c>
      <c r="L104" s="1151"/>
      <c r="M104" s="1151"/>
      <c r="N104" s="1153"/>
      <c r="O104" s="1153"/>
      <c r="P104" s="1153"/>
      <c r="Q104" s="1153"/>
      <c r="R104" s="1153"/>
      <c r="S104" s="1153"/>
      <c r="T104" s="1153"/>
      <c r="U104" s="1153"/>
      <c r="V104" s="1153"/>
      <c r="W104" s="1153"/>
      <c r="X104" s="1153"/>
      <c r="Y104" s="1153"/>
      <c r="Z104" s="1153"/>
      <c r="AA104" s="1153"/>
      <c r="AB104" s="1153"/>
      <c r="AC104" s="1153"/>
      <c r="AD104" s="1153"/>
      <c r="AE104" s="1153"/>
      <c r="AF104" s="1153"/>
      <c r="AG104" s="1153"/>
      <c r="AH104" s="1153"/>
      <c r="AI104" s="1153"/>
      <c r="AJ104" s="1153"/>
      <c r="AK104" s="1153"/>
      <c r="AL104" s="1153"/>
      <c r="AM104" s="1153"/>
      <c r="AN104" s="1153"/>
      <c r="AO104" s="1153"/>
      <c r="AP104" s="1153"/>
      <c r="AQ104" s="1153"/>
      <c r="AR104" s="1153"/>
      <c r="AS104" s="1153"/>
      <c r="AT104" s="1153"/>
      <c r="AU104" s="1153"/>
      <c r="AV104" s="1153"/>
      <c r="AW104" s="1153"/>
      <c r="AX104" s="1153"/>
      <c r="AY104" s="1153"/>
      <c r="AZ104" s="1153"/>
    </row>
    <row r="105" spans="1:52" s="988" customFormat="1" ht="13.5" customHeight="1">
      <c r="A105" s="2288"/>
      <c r="B105" s="2290"/>
      <c r="C105" s="1011"/>
      <c r="D105" s="1026"/>
      <c r="E105" s="1016" t="s">
        <v>1144</v>
      </c>
      <c r="F105" s="1025"/>
      <c r="G105" s="2292"/>
      <c r="H105" s="2294"/>
      <c r="I105" s="2294"/>
      <c r="J105" s="2294"/>
      <c r="K105" s="2295"/>
      <c r="L105" s="1151"/>
      <c r="M105" s="1151"/>
      <c r="N105" s="1153"/>
      <c r="O105" s="1153"/>
      <c r="P105" s="1153"/>
      <c r="Q105" s="1153"/>
      <c r="R105" s="1153"/>
      <c r="S105" s="1153"/>
      <c r="T105" s="1153"/>
      <c r="U105" s="1153"/>
      <c r="V105" s="1153"/>
      <c r="W105" s="1153"/>
      <c r="X105" s="1153"/>
      <c r="Y105" s="1153"/>
      <c r="Z105" s="1153"/>
      <c r="AA105" s="1153"/>
      <c r="AB105" s="1153"/>
      <c r="AC105" s="1153"/>
      <c r="AD105" s="1153"/>
      <c r="AE105" s="1153"/>
      <c r="AF105" s="1153"/>
      <c r="AG105" s="1153"/>
      <c r="AH105" s="1153"/>
      <c r="AI105" s="1153"/>
      <c r="AJ105" s="1153"/>
      <c r="AK105" s="1153"/>
      <c r="AL105" s="1153"/>
      <c r="AM105" s="1153"/>
      <c r="AN105" s="1153"/>
      <c r="AO105" s="1153"/>
      <c r="AP105" s="1153"/>
      <c r="AQ105" s="1153"/>
      <c r="AR105" s="1153"/>
      <c r="AS105" s="1153"/>
      <c r="AT105" s="1153"/>
      <c r="AU105" s="1153"/>
      <c r="AV105" s="1153"/>
      <c r="AW105" s="1153"/>
      <c r="AX105" s="1153"/>
      <c r="AY105" s="1153"/>
      <c r="AZ105" s="1153"/>
    </row>
    <row r="106" spans="1:52" s="988" customFormat="1" ht="21.75" customHeight="1">
      <c r="A106" s="2298" t="s">
        <v>1145</v>
      </c>
      <c r="B106" s="2297" t="s">
        <v>1146</v>
      </c>
      <c r="C106" s="1012"/>
      <c r="E106" s="989" t="s">
        <v>1147</v>
      </c>
      <c r="F106" s="1042"/>
      <c r="G106" s="2291">
        <f t="shared" si="4"/>
        <v>0</v>
      </c>
      <c r="H106" s="2293"/>
      <c r="I106" s="2293"/>
      <c r="J106" s="2293"/>
      <c r="K106" s="2295">
        <f>G106-H106</f>
        <v>0</v>
      </c>
      <c r="L106" s="1151"/>
      <c r="M106" s="1151"/>
      <c r="N106" s="1153"/>
      <c r="O106" s="1153"/>
      <c r="P106" s="1153"/>
      <c r="Q106" s="1153"/>
      <c r="R106" s="1153"/>
      <c r="S106" s="1153"/>
      <c r="T106" s="1153"/>
      <c r="U106" s="1153"/>
      <c r="V106" s="1153"/>
      <c r="W106" s="1153"/>
      <c r="X106" s="1153"/>
      <c r="Y106" s="1153"/>
      <c r="Z106" s="1153"/>
      <c r="AA106" s="1153"/>
      <c r="AB106" s="1153"/>
      <c r="AC106" s="1153"/>
      <c r="AD106" s="1153"/>
      <c r="AE106" s="1153"/>
      <c r="AF106" s="1153"/>
      <c r="AG106" s="1153"/>
      <c r="AH106" s="1153"/>
      <c r="AI106" s="1153"/>
      <c r="AJ106" s="1153"/>
      <c r="AK106" s="1153"/>
      <c r="AL106" s="1153"/>
      <c r="AM106" s="1153"/>
      <c r="AN106" s="1153"/>
      <c r="AO106" s="1153"/>
      <c r="AP106" s="1153"/>
      <c r="AQ106" s="1153"/>
      <c r="AR106" s="1153"/>
      <c r="AS106" s="1153"/>
      <c r="AT106" s="1153"/>
      <c r="AU106" s="1153"/>
      <c r="AV106" s="1153"/>
      <c r="AW106" s="1153"/>
      <c r="AX106" s="1153"/>
      <c r="AY106" s="1153"/>
      <c r="AZ106" s="1153"/>
    </row>
    <row r="107" spans="1:52" s="988" customFormat="1" ht="13.5" customHeight="1">
      <c r="A107" s="2288"/>
      <c r="B107" s="2290"/>
      <c r="C107" s="1011"/>
      <c r="D107" s="1026"/>
      <c r="E107" s="1049" t="s">
        <v>1148</v>
      </c>
      <c r="F107" s="1050"/>
      <c r="G107" s="2292"/>
      <c r="H107" s="2294"/>
      <c r="I107" s="2294"/>
      <c r="J107" s="2294"/>
      <c r="K107" s="2295"/>
      <c r="L107" s="1151"/>
      <c r="M107" s="1151"/>
      <c r="N107" s="1153"/>
      <c r="O107" s="1153"/>
      <c r="P107" s="1153"/>
      <c r="Q107" s="1153"/>
      <c r="R107" s="1153"/>
      <c r="S107" s="1153"/>
      <c r="T107" s="1153"/>
      <c r="U107" s="1153"/>
      <c r="V107" s="1153"/>
      <c r="W107" s="1153"/>
      <c r="X107" s="1153"/>
      <c r="Y107" s="1153"/>
      <c r="Z107" s="1153"/>
      <c r="AA107" s="1153"/>
      <c r="AB107" s="1153"/>
      <c r="AC107" s="1153"/>
      <c r="AD107" s="1153"/>
      <c r="AE107" s="1153"/>
      <c r="AF107" s="1153"/>
      <c r="AG107" s="1153"/>
      <c r="AH107" s="1153"/>
      <c r="AI107" s="1153"/>
      <c r="AJ107" s="1153"/>
      <c r="AK107" s="1153"/>
      <c r="AL107" s="1153"/>
      <c r="AM107" s="1153"/>
      <c r="AN107" s="1153"/>
      <c r="AO107" s="1153"/>
      <c r="AP107" s="1153"/>
      <c r="AQ107" s="1153"/>
      <c r="AR107" s="1153"/>
      <c r="AS107" s="1153"/>
      <c r="AT107" s="1153"/>
      <c r="AU107" s="1153"/>
      <c r="AV107" s="1153"/>
      <c r="AW107" s="1153"/>
      <c r="AX107" s="1153"/>
      <c r="AY107" s="1153"/>
      <c r="AZ107" s="1153"/>
    </row>
    <row r="108" spans="1:52" s="988" customFormat="1" ht="21.75" customHeight="1">
      <c r="A108" s="2296" t="s">
        <v>1149</v>
      </c>
      <c r="B108" s="2299" t="s">
        <v>1150</v>
      </c>
      <c r="C108" s="1012"/>
      <c r="D108" s="1001" t="s">
        <v>1151</v>
      </c>
      <c r="E108" s="1001"/>
      <c r="F108" s="1051"/>
      <c r="G108" s="2291">
        <f t="shared" si="4"/>
        <v>0</v>
      </c>
      <c r="H108" s="2293"/>
      <c r="I108" s="2293"/>
      <c r="J108" s="2293"/>
      <c r="K108" s="2295">
        <f>G108-H108</f>
        <v>0</v>
      </c>
      <c r="L108" s="1151"/>
      <c r="M108" s="1151"/>
      <c r="N108" s="1153"/>
      <c r="O108" s="1153"/>
      <c r="P108" s="1153"/>
      <c r="Q108" s="1153"/>
      <c r="R108" s="1153"/>
      <c r="S108" s="1153"/>
      <c r="T108" s="1153"/>
      <c r="U108" s="1153"/>
      <c r="V108" s="1153"/>
      <c r="W108" s="1153"/>
      <c r="X108" s="1153"/>
      <c r="Y108" s="1153"/>
      <c r="Z108" s="1153"/>
      <c r="AA108" s="1153"/>
      <c r="AB108" s="1153"/>
      <c r="AC108" s="1153"/>
      <c r="AD108" s="1153"/>
      <c r="AE108" s="1153"/>
      <c r="AF108" s="1153"/>
      <c r="AG108" s="1153"/>
      <c r="AH108" s="1153"/>
      <c r="AI108" s="1153"/>
      <c r="AJ108" s="1153"/>
      <c r="AK108" s="1153"/>
      <c r="AL108" s="1153"/>
      <c r="AM108" s="1153"/>
      <c r="AN108" s="1153"/>
      <c r="AO108" s="1153"/>
      <c r="AP108" s="1153"/>
      <c r="AQ108" s="1153"/>
      <c r="AR108" s="1153"/>
      <c r="AS108" s="1153"/>
      <c r="AT108" s="1153"/>
      <c r="AU108" s="1153"/>
      <c r="AV108" s="1153"/>
      <c r="AW108" s="1153"/>
      <c r="AX108" s="1153"/>
      <c r="AY108" s="1153"/>
      <c r="AZ108" s="1153"/>
    </row>
    <row r="109" spans="1:52" s="988" customFormat="1" ht="13.5" customHeight="1">
      <c r="A109" s="2288"/>
      <c r="B109" s="2290"/>
      <c r="C109" s="1014"/>
      <c r="D109" s="1007" t="s">
        <v>1152</v>
      </c>
      <c r="E109" s="1007"/>
      <c r="F109" s="1025"/>
      <c r="G109" s="2292"/>
      <c r="H109" s="2294"/>
      <c r="I109" s="2294"/>
      <c r="J109" s="2294"/>
      <c r="K109" s="2295"/>
      <c r="L109" s="1151"/>
      <c r="M109" s="1151"/>
      <c r="N109" s="1153"/>
      <c r="O109" s="1153"/>
      <c r="P109" s="1153"/>
      <c r="Q109" s="1153"/>
      <c r="R109" s="1153"/>
      <c r="S109" s="1153"/>
      <c r="T109" s="1153"/>
      <c r="U109" s="1153"/>
      <c r="V109" s="1153"/>
      <c r="W109" s="1153"/>
      <c r="X109" s="1153"/>
      <c r="Y109" s="1153"/>
      <c r="Z109" s="1153"/>
      <c r="AA109" s="1153"/>
      <c r="AB109" s="1153"/>
      <c r="AC109" s="1153"/>
      <c r="AD109" s="1153"/>
      <c r="AE109" s="1153"/>
      <c r="AF109" s="1153"/>
      <c r="AG109" s="1153"/>
      <c r="AH109" s="1153"/>
      <c r="AI109" s="1153"/>
      <c r="AJ109" s="1153"/>
      <c r="AK109" s="1153"/>
      <c r="AL109" s="1153"/>
      <c r="AM109" s="1153"/>
      <c r="AN109" s="1153"/>
      <c r="AO109" s="1153"/>
      <c r="AP109" s="1153"/>
      <c r="AQ109" s="1153"/>
      <c r="AR109" s="1153"/>
      <c r="AS109" s="1153"/>
      <c r="AT109" s="1153"/>
      <c r="AU109" s="1153"/>
      <c r="AV109" s="1153"/>
      <c r="AW109" s="1153"/>
      <c r="AX109" s="1153"/>
      <c r="AY109" s="1153"/>
      <c r="AZ109" s="1153"/>
    </row>
    <row r="110" spans="1:52" s="988" customFormat="1" ht="21.75" customHeight="1">
      <c r="A110" s="2296" t="s">
        <v>1153</v>
      </c>
      <c r="B110" s="2299" t="s">
        <v>1154</v>
      </c>
      <c r="C110" s="1018"/>
      <c r="D110" s="1001" t="s">
        <v>1155</v>
      </c>
      <c r="E110" s="1004"/>
      <c r="F110" s="1042"/>
      <c r="G110" s="2291">
        <f t="shared" si="4"/>
        <v>0</v>
      </c>
      <c r="H110" s="2293"/>
      <c r="I110" s="2293"/>
      <c r="J110" s="2293"/>
      <c r="K110" s="2295">
        <f>G110-H110</f>
        <v>0</v>
      </c>
      <c r="L110" s="1151"/>
      <c r="M110" s="1151"/>
      <c r="N110" s="1153"/>
      <c r="O110" s="1153"/>
      <c r="P110" s="1153"/>
      <c r="Q110" s="1153"/>
      <c r="R110" s="1153"/>
      <c r="S110" s="1153"/>
      <c r="T110" s="1153"/>
      <c r="U110" s="1153"/>
      <c r="V110" s="1153"/>
      <c r="W110" s="1153"/>
      <c r="X110" s="1153"/>
      <c r="Y110" s="1153"/>
      <c r="Z110" s="1153"/>
      <c r="AA110" s="1153"/>
      <c r="AB110" s="1153"/>
      <c r="AC110" s="1153"/>
      <c r="AD110" s="1153"/>
      <c r="AE110" s="1153"/>
      <c r="AF110" s="1153"/>
      <c r="AG110" s="1153"/>
      <c r="AH110" s="1153"/>
      <c r="AI110" s="1153"/>
      <c r="AJ110" s="1153"/>
      <c r="AK110" s="1153"/>
      <c r="AL110" s="1153"/>
      <c r="AM110" s="1153"/>
      <c r="AN110" s="1153"/>
      <c r="AO110" s="1153"/>
      <c r="AP110" s="1153"/>
      <c r="AQ110" s="1153"/>
      <c r="AR110" s="1153"/>
      <c r="AS110" s="1153"/>
      <c r="AT110" s="1153"/>
      <c r="AU110" s="1153"/>
      <c r="AV110" s="1153"/>
      <c r="AW110" s="1153"/>
      <c r="AX110" s="1153"/>
      <c r="AY110" s="1153"/>
      <c r="AZ110" s="1153"/>
    </row>
    <row r="111" spans="1:52" s="988" customFormat="1" ht="13.5" customHeight="1">
      <c r="A111" s="2288"/>
      <c r="B111" s="2290"/>
      <c r="C111" s="1014"/>
      <c r="D111" s="1007" t="s">
        <v>1156</v>
      </c>
      <c r="E111" s="1007"/>
      <c r="F111" s="1025"/>
      <c r="G111" s="2292"/>
      <c r="H111" s="2294"/>
      <c r="I111" s="2294"/>
      <c r="J111" s="2294"/>
      <c r="K111" s="2295"/>
      <c r="L111" s="1151"/>
      <c r="M111" s="1151"/>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row>
    <row r="112" spans="1:52" s="988" customFormat="1" ht="21.75" customHeight="1">
      <c r="A112" s="2296" t="s">
        <v>1157</v>
      </c>
      <c r="B112" s="2299" t="s">
        <v>1158</v>
      </c>
      <c r="C112" s="1018"/>
      <c r="D112" s="1001" t="s">
        <v>1159</v>
      </c>
      <c r="E112" s="1004"/>
      <c r="F112" s="1042"/>
      <c r="G112" s="2291">
        <f t="shared" si="4"/>
        <v>0</v>
      </c>
      <c r="H112" s="2293"/>
      <c r="I112" s="2293"/>
      <c r="J112" s="2293"/>
      <c r="K112" s="2295">
        <f>G112-H112</f>
        <v>0</v>
      </c>
      <c r="L112" s="1151"/>
      <c r="M112" s="1151"/>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row>
    <row r="113" spans="1:52" s="988" customFormat="1" ht="13.5" customHeight="1">
      <c r="A113" s="2288"/>
      <c r="B113" s="2290"/>
      <c r="C113" s="1052"/>
      <c r="D113" s="1053" t="s">
        <v>1160</v>
      </c>
      <c r="E113" s="1054"/>
      <c r="F113" s="1050"/>
      <c r="G113" s="2292"/>
      <c r="H113" s="2294"/>
      <c r="I113" s="2294"/>
      <c r="J113" s="2294"/>
      <c r="K113" s="2295"/>
      <c r="L113" s="1151"/>
      <c r="M113" s="1151"/>
      <c r="N113" s="1153"/>
      <c r="O113" s="1153"/>
      <c r="P113" s="1153"/>
      <c r="Q113" s="1153"/>
      <c r="R113" s="1153"/>
      <c r="S113" s="1153"/>
      <c r="T113" s="1153"/>
      <c r="U113" s="1153"/>
      <c r="V113" s="1153"/>
      <c r="W113" s="1153"/>
      <c r="X113" s="1153"/>
      <c r="Y113" s="1153"/>
      <c r="Z113" s="1153"/>
      <c r="AA113" s="1153"/>
      <c r="AB113" s="1153"/>
      <c r="AC113" s="1153"/>
      <c r="AD113" s="1153"/>
      <c r="AE113" s="1153"/>
      <c r="AF113" s="1153"/>
      <c r="AG113" s="1153"/>
      <c r="AH113" s="1153"/>
      <c r="AI113" s="1153"/>
      <c r="AJ113" s="1153"/>
      <c r="AK113" s="1153"/>
      <c r="AL113" s="1153"/>
      <c r="AM113" s="1153"/>
      <c r="AN113" s="1153"/>
      <c r="AO113" s="1153"/>
      <c r="AP113" s="1153"/>
      <c r="AQ113" s="1153"/>
      <c r="AR113" s="1153"/>
      <c r="AS113" s="1153"/>
      <c r="AT113" s="1153"/>
      <c r="AU113" s="1153"/>
      <c r="AV113" s="1153"/>
      <c r="AW113" s="1153"/>
      <c r="AX113" s="1153"/>
      <c r="AY113" s="1153"/>
      <c r="AZ113" s="1153"/>
    </row>
    <row r="114" spans="1:52" s="988" customFormat="1" ht="21.75" customHeight="1">
      <c r="A114" s="2296" t="s">
        <v>1161</v>
      </c>
      <c r="B114" s="2299" t="s">
        <v>1162</v>
      </c>
      <c r="C114" s="1055"/>
      <c r="D114" s="1001" t="s">
        <v>1163</v>
      </c>
      <c r="E114" s="1056"/>
      <c r="F114" s="1051"/>
      <c r="G114" s="2291">
        <f t="shared" si="4"/>
        <v>0</v>
      </c>
      <c r="H114" s="2293"/>
      <c r="I114" s="2293"/>
      <c r="J114" s="2293"/>
      <c r="K114" s="2295">
        <f>G114-H114</f>
        <v>0</v>
      </c>
      <c r="L114" s="1151"/>
      <c r="M114" s="1151"/>
      <c r="N114" s="1153"/>
      <c r="O114" s="1153"/>
      <c r="P114" s="1153"/>
      <c r="Q114" s="1153"/>
      <c r="R114" s="1153"/>
      <c r="S114" s="1153"/>
      <c r="T114" s="1153"/>
      <c r="U114" s="1153"/>
      <c r="V114" s="1153"/>
      <c r="W114" s="1153"/>
      <c r="X114" s="1153"/>
      <c r="Y114" s="1153"/>
      <c r="Z114" s="1153"/>
      <c r="AA114" s="1153"/>
      <c r="AB114" s="1153"/>
      <c r="AC114" s="1153"/>
      <c r="AD114" s="1153"/>
      <c r="AE114" s="1153"/>
      <c r="AF114" s="1153"/>
      <c r="AG114" s="1153"/>
      <c r="AH114" s="1153"/>
      <c r="AI114" s="1153"/>
      <c r="AJ114" s="1153"/>
      <c r="AK114" s="1153"/>
      <c r="AL114" s="1153"/>
      <c r="AM114" s="1153"/>
      <c r="AN114" s="1153"/>
      <c r="AO114" s="1153"/>
      <c r="AP114" s="1153"/>
      <c r="AQ114" s="1153"/>
      <c r="AR114" s="1153"/>
      <c r="AS114" s="1153"/>
      <c r="AT114" s="1153"/>
      <c r="AU114" s="1153"/>
      <c r="AV114" s="1153"/>
      <c r="AW114" s="1153"/>
      <c r="AX114" s="1153"/>
      <c r="AY114" s="1153"/>
      <c r="AZ114" s="1153"/>
    </row>
    <row r="115" spans="1:52" s="988" customFormat="1" ht="13.5" customHeight="1">
      <c r="A115" s="2288"/>
      <c r="B115" s="2290"/>
      <c r="C115" s="1014"/>
      <c r="D115" s="1007" t="s">
        <v>1164</v>
      </c>
      <c r="E115" s="1007"/>
      <c r="F115" s="1025"/>
      <c r="G115" s="2292"/>
      <c r="H115" s="2294"/>
      <c r="I115" s="2294"/>
      <c r="J115" s="2294"/>
      <c r="K115" s="2295"/>
      <c r="L115" s="1151"/>
      <c r="M115" s="1151"/>
      <c r="N115" s="1153"/>
      <c r="O115" s="1153"/>
      <c r="P115" s="1153"/>
      <c r="Q115" s="1153"/>
      <c r="R115" s="1153"/>
      <c r="S115" s="1153"/>
      <c r="T115" s="1153"/>
      <c r="U115" s="1153"/>
      <c r="V115" s="1153"/>
      <c r="W115" s="1153"/>
      <c r="X115" s="1153"/>
      <c r="Y115" s="1153"/>
      <c r="Z115" s="1153"/>
      <c r="AA115" s="1153"/>
      <c r="AB115" s="1153"/>
      <c r="AC115" s="1153"/>
      <c r="AD115" s="1153"/>
      <c r="AE115" s="1153"/>
      <c r="AF115" s="1153"/>
      <c r="AG115" s="1153"/>
      <c r="AH115" s="1153"/>
      <c r="AI115" s="1153"/>
      <c r="AJ115" s="1153"/>
      <c r="AK115" s="1153"/>
      <c r="AL115" s="1153"/>
      <c r="AM115" s="1153"/>
      <c r="AN115" s="1153"/>
      <c r="AO115" s="1153"/>
      <c r="AP115" s="1153"/>
      <c r="AQ115" s="1153"/>
      <c r="AR115" s="1153"/>
      <c r="AS115" s="1153"/>
      <c r="AT115" s="1153"/>
      <c r="AU115" s="1153"/>
      <c r="AV115" s="1153"/>
      <c r="AW115" s="1153"/>
      <c r="AX115" s="1153"/>
      <c r="AY115" s="1153"/>
      <c r="AZ115" s="1153"/>
    </row>
    <row r="116" spans="1:52" s="988" customFormat="1" ht="21.75" customHeight="1">
      <c r="A116" s="2298">
        <v>4</v>
      </c>
      <c r="B116" s="2297" t="s">
        <v>1165</v>
      </c>
      <c r="C116" s="1045" t="s">
        <v>1166</v>
      </c>
      <c r="D116" s="1057"/>
      <c r="E116" s="1047"/>
      <c r="F116" s="1048"/>
      <c r="G116" s="2300">
        <f>G118+G120</f>
        <v>0</v>
      </c>
      <c r="H116" s="2300">
        <f>H118+H120</f>
        <v>0</v>
      </c>
      <c r="I116" s="2300">
        <f>I118+I120</f>
        <v>0</v>
      </c>
      <c r="J116" s="2300">
        <f>J118+J120</f>
        <v>0</v>
      </c>
      <c r="K116" s="2286">
        <f>G116-H116</f>
        <v>0</v>
      </c>
      <c r="L116" s="1151"/>
      <c r="M116" s="1151"/>
      <c r="N116" s="1153"/>
      <c r="O116" s="1153"/>
      <c r="P116" s="1153"/>
      <c r="Q116" s="1153"/>
      <c r="R116" s="1153"/>
      <c r="S116" s="1153"/>
      <c r="T116" s="1153"/>
      <c r="U116" s="1153"/>
      <c r="V116" s="1153"/>
      <c r="W116" s="1153"/>
      <c r="X116" s="1153"/>
      <c r="Y116" s="1153"/>
      <c r="Z116" s="1153"/>
      <c r="AA116" s="1153"/>
      <c r="AB116" s="1153"/>
      <c r="AC116" s="1153"/>
      <c r="AD116" s="1153"/>
      <c r="AE116" s="1153"/>
      <c r="AF116" s="1153"/>
      <c r="AG116" s="1153"/>
      <c r="AH116" s="1153"/>
      <c r="AI116" s="1153"/>
      <c r="AJ116" s="1153"/>
      <c r="AK116" s="1153"/>
      <c r="AL116" s="1153"/>
      <c r="AM116" s="1153"/>
      <c r="AN116" s="1153"/>
      <c r="AO116" s="1153"/>
      <c r="AP116" s="1153"/>
      <c r="AQ116" s="1153"/>
      <c r="AR116" s="1153"/>
      <c r="AS116" s="1153"/>
      <c r="AT116" s="1153"/>
      <c r="AU116" s="1153"/>
      <c r="AV116" s="1153"/>
      <c r="AW116" s="1153"/>
      <c r="AX116" s="1153"/>
      <c r="AY116" s="1153"/>
      <c r="AZ116" s="1153"/>
    </row>
    <row r="117" spans="1:52" s="988" customFormat="1" ht="13.5" customHeight="1">
      <c r="A117" s="2288"/>
      <c r="B117" s="2290"/>
      <c r="C117" s="996" t="s">
        <v>566</v>
      </c>
      <c r="D117" s="997" t="s">
        <v>1167</v>
      </c>
      <c r="E117" s="998"/>
      <c r="F117" s="999"/>
      <c r="G117" s="2275"/>
      <c r="H117" s="2275"/>
      <c r="I117" s="2275"/>
      <c r="J117" s="2275"/>
      <c r="K117" s="2286"/>
      <c r="L117" s="1151"/>
      <c r="M117" s="1151"/>
      <c r="N117" s="1153"/>
      <c r="O117" s="1153"/>
      <c r="P117" s="1153"/>
      <c r="Q117" s="1153"/>
      <c r="R117" s="1153"/>
      <c r="S117" s="1153"/>
      <c r="T117" s="1153"/>
      <c r="U117" s="1153"/>
      <c r="V117" s="1153"/>
      <c r="W117" s="1153"/>
      <c r="X117" s="1153"/>
      <c r="Y117" s="1153"/>
      <c r="Z117" s="1153"/>
      <c r="AA117" s="1153"/>
      <c r="AB117" s="1153"/>
      <c r="AC117" s="1153"/>
      <c r="AD117" s="1153"/>
      <c r="AE117" s="1153"/>
      <c r="AF117" s="1153"/>
      <c r="AG117" s="1153"/>
      <c r="AH117" s="1153"/>
      <c r="AI117" s="1153"/>
      <c r="AJ117" s="1153"/>
      <c r="AK117" s="1153"/>
      <c r="AL117" s="1153"/>
      <c r="AM117" s="1153"/>
      <c r="AN117" s="1153"/>
      <c r="AO117" s="1153"/>
      <c r="AP117" s="1153"/>
      <c r="AQ117" s="1153"/>
      <c r="AR117" s="1153"/>
      <c r="AS117" s="1153"/>
      <c r="AT117" s="1153"/>
      <c r="AU117" s="1153"/>
      <c r="AV117" s="1153"/>
      <c r="AW117" s="1153"/>
      <c r="AX117" s="1153"/>
      <c r="AY117" s="1153"/>
      <c r="AZ117" s="1153"/>
    </row>
    <row r="118" spans="1:52" s="988" customFormat="1" ht="21.75" customHeight="1">
      <c r="A118" s="2296" t="s">
        <v>1168</v>
      </c>
      <c r="B118" s="2297" t="s">
        <v>1169</v>
      </c>
      <c r="C118" s="1058"/>
      <c r="D118" s="1059" t="s">
        <v>1170</v>
      </c>
      <c r="E118" s="1060"/>
      <c r="F118" s="1061"/>
      <c r="G118" s="2291">
        <f>H118+I118+J118</f>
        <v>0</v>
      </c>
      <c r="H118" s="2293"/>
      <c r="I118" s="2293"/>
      <c r="J118" s="2293"/>
      <c r="K118" s="2295">
        <f>G118-H118</f>
        <v>0</v>
      </c>
      <c r="L118" s="1151"/>
      <c r="M118" s="1151"/>
      <c r="N118" s="1153"/>
      <c r="O118" s="1153"/>
      <c r="P118" s="1153"/>
      <c r="Q118" s="1153"/>
      <c r="R118" s="1153"/>
      <c r="S118" s="1153"/>
      <c r="T118" s="1153"/>
      <c r="U118" s="1153"/>
      <c r="V118" s="1153"/>
      <c r="W118" s="1153"/>
      <c r="X118" s="1153"/>
      <c r="Y118" s="1153"/>
      <c r="Z118" s="1153"/>
      <c r="AA118" s="1153"/>
      <c r="AB118" s="1153"/>
      <c r="AC118" s="1153"/>
      <c r="AD118" s="1153"/>
      <c r="AE118" s="1153"/>
      <c r="AF118" s="1153"/>
      <c r="AG118" s="1153"/>
      <c r="AH118" s="1153"/>
      <c r="AI118" s="1153"/>
      <c r="AJ118" s="1153"/>
      <c r="AK118" s="1153"/>
      <c r="AL118" s="1153"/>
      <c r="AM118" s="1153"/>
      <c r="AN118" s="1153"/>
      <c r="AO118" s="1153"/>
      <c r="AP118" s="1153"/>
      <c r="AQ118" s="1153"/>
      <c r="AR118" s="1153"/>
      <c r="AS118" s="1153"/>
      <c r="AT118" s="1153"/>
      <c r="AU118" s="1153"/>
      <c r="AV118" s="1153"/>
      <c r="AW118" s="1153"/>
      <c r="AX118" s="1153"/>
      <c r="AY118" s="1153"/>
      <c r="AZ118" s="1153"/>
    </row>
    <row r="119" spans="1:52" s="988" customFormat="1" ht="13.5" customHeight="1">
      <c r="A119" s="2288"/>
      <c r="B119" s="2290"/>
      <c r="C119" s="1014"/>
      <c r="D119" s="1007" t="s">
        <v>1171</v>
      </c>
      <c r="E119" s="1026"/>
      <c r="F119" s="1025"/>
      <c r="G119" s="2292"/>
      <c r="H119" s="2294"/>
      <c r="I119" s="2294"/>
      <c r="J119" s="2294"/>
      <c r="K119" s="2295"/>
      <c r="L119" s="1151"/>
      <c r="M119" s="1151"/>
      <c r="N119" s="1153"/>
      <c r="O119" s="1153"/>
      <c r="P119" s="1153"/>
      <c r="Q119" s="1153"/>
      <c r="R119" s="1153"/>
      <c r="S119" s="1153"/>
      <c r="T119" s="1153"/>
      <c r="U119" s="1153"/>
      <c r="V119" s="1153"/>
      <c r="W119" s="1153"/>
      <c r="X119" s="1153"/>
      <c r="Y119" s="1153"/>
      <c r="Z119" s="1153"/>
      <c r="AA119" s="1153"/>
      <c r="AB119" s="1153"/>
      <c r="AC119" s="1153"/>
      <c r="AD119" s="1153"/>
      <c r="AE119" s="1153"/>
      <c r="AF119" s="1153"/>
      <c r="AG119" s="1153"/>
      <c r="AH119" s="1153"/>
      <c r="AI119" s="1153"/>
      <c r="AJ119" s="1153"/>
      <c r="AK119" s="1153"/>
      <c r="AL119" s="1153"/>
      <c r="AM119" s="1153"/>
      <c r="AN119" s="1153"/>
      <c r="AO119" s="1153"/>
      <c r="AP119" s="1153"/>
      <c r="AQ119" s="1153"/>
      <c r="AR119" s="1153"/>
      <c r="AS119" s="1153"/>
      <c r="AT119" s="1153"/>
      <c r="AU119" s="1153"/>
      <c r="AV119" s="1153"/>
      <c r="AW119" s="1153"/>
      <c r="AX119" s="1153"/>
      <c r="AY119" s="1153"/>
      <c r="AZ119" s="1153"/>
    </row>
    <row r="120" spans="1:52" s="988" customFormat="1" ht="21.75" customHeight="1">
      <c r="A120" s="2296" t="s">
        <v>1172</v>
      </c>
      <c r="B120" s="2297" t="s">
        <v>1173</v>
      </c>
      <c r="C120" s="1018"/>
      <c r="D120" s="1001" t="s">
        <v>1174</v>
      </c>
      <c r="F120" s="1042"/>
      <c r="G120" s="2291">
        <f>H120+I120+J120</f>
        <v>0</v>
      </c>
      <c r="H120" s="2293"/>
      <c r="I120" s="2293"/>
      <c r="J120" s="2293"/>
      <c r="K120" s="2295">
        <f>G120-H120</f>
        <v>0</v>
      </c>
      <c r="L120" s="1151"/>
      <c r="M120" s="1151"/>
      <c r="N120" s="1153"/>
      <c r="O120" s="1153"/>
      <c r="P120" s="1153"/>
      <c r="Q120" s="1153"/>
      <c r="R120" s="1153"/>
      <c r="S120" s="1153"/>
      <c r="T120" s="1153"/>
      <c r="U120" s="1153"/>
      <c r="V120" s="1153"/>
      <c r="W120" s="1153"/>
      <c r="X120" s="1153"/>
      <c r="Y120" s="1153"/>
      <c r="Z120" s="1153"/>
      <c r="AA120" s="1153"/>
      <c r="AB120" s="1153"/>
      <c r="AC120" s="1153"/>
      <c r="AD120" s="1153"/>
      <c r="AE120" s="1153"/>
      <c r="AF120" s="1153"/>
      <c r="AG120" s="1153"/>
      <c r="AH120" s="1153"/>
      <c r="AI120" s="1153"/>
      <c r="AJ120" s="1153"/>
      <c r="AK120" s="1153"/>
      <c r="AL120" s="1153"/>
      <c r="AM120" s="1153"/>
      <c r="AN120" s="1153"/>
      <c r="AO120" s="1153"/>
      <c r="AP120" s="1153"/>
      <c r="AQ120" s="1153"/>
      <c r="AR120" s="1153"/>
      <c r="AS120" s="1153"/>
      <c r="AT120" s="1153"/>
      <c r="AU120" s="1153"/>
      <c r="AV120" s="1153"/>
      <c r="AW120" s="1153"/>
      <c r="AX120" s="1153"/>
      <c r="AY120" s="1153"/>
      <c r="AZ120" s="1153"/>
    </row>
    <row r="121" spans="1:52" s="988" customFormat="1" ht="13.5" customHeight="1">
      <c r="A121" s="2288"/>
      <c r="B121" s="2290"/>
      <c r="C121" s="1014"/>
      <c r="D121" s="1007" t="s">
        <v>1175</v>
      </c>
      <c r="E121" s="1026"/>
      <c r="F121" s="1025"/>
      <c r="G121" s="2292"/>
      <c r="H121" s="2294"/>
      <c r="I121" s="2294"/>
      <c r="J121" s="2294"/>
      <c r="K121" s="2295"/>
      <c r="L121" s="1151"/>
      <c r="M121" s="1151"/>
      <c r="N121" s="1153"/>
      <c r="O121" s="1153"/>
      <c r="P121" s="1153"/>
      <c r="Q121" s="1153"/>
      <c r="R121" s="1153"/>
      <c r="S121" s="1153"/>
      <c r="T121" s="1153"/>
      <c r="U121" s="1153"/>
      <c r="V121" s="1153"/>
      <c r="W121" s="1153"/>
      <c r="X121" s="1153"/>
      <c r="Y121" s="1153"/>
      <c r="Z121" s="1153"/>
      <c r="AA121" s="1153"/>
      <c r="AB121" s="1153"/>
      <c r="AC121" s="1153"/>
      <c r="AD121" s="1153"/>
      <c r="AE121" s="1153"/>
      <c r="AF121" s="1153"/>
      <c r="AG121" s="1153"/>
      <c r="AH121" s="1153"/>
      <c r="AI121" s="1153"/>
      <c r="AJ121" s="1153"/>
      <c r="AK121" s="1153"/>
      <c r="AL121" s="1153"/>
      <c r="AM121" s="1153"/>
      <c r="AN121" s="1153"/>
      <c r="AO121" s="1153"/>
      <c r="AP121" s="1153"/>
      <c r="AQ121" s="1153"/>
      <c r="AR121" s="1153"/>
      <c r="AS121" s="1153"/>
      <c r="AT121" s="1153"/>
      <c r="AU121" s="1153"/>
      <c r="AV121" s="1153"/>
      <c r="AW121" s="1153"/>
      <c r="AX121" s="1153"/>
      <c r="AY121" s="1153"/>
      <c r="AZ121" s="1153"/>
    </row>
    <row r="122" spans="1:52" s="988" customFormat="1" ht="21.75" customHeight="1">
      <c r="A122" s="2298">
        <v>5</v>
      </c>
      <c r="B122" s="2297" t="s">
        <v>1176</v>
      </c>
      <c r="C122" s="1045" t="s">
        <v>1177</v>
      </c>
      <c r="D122" s="1047"/>
      <c r="E122" s="1047"/>
      <c r="F122" s="1048"/>
      <c r="G122" s="2300">
        <f>+H122+I122+J122</f>
        <v>0</v>
      </c>
      <c r="H122" s="2293"/>
      <c r="I122" s="2293"/>
      <c r="J122" s="2293"/>
      <c r="K122" s="2300">
        <f>G122-H122</f>
        <v>0</v>
      </c>
      <c r="L122" s="1151"/>
      <c r="M122" s="1151"/>
      <c r="N122" s="1153"/>
      <c r="O122" s="1153"/>
      <c r="P122" s="1153"/>
      <c r="Q122" s="1153"/>
      <c r="R122" s="1153"/>
      <c r="S122" s="1153"/>
      <c r="T122" s="1153"/>
      <c r="U122" s="1153"/>
      <c r="V122" s="1153"/>
      <c r="W122" s="1153"/>
      <c r="X122" s="1153"/>
      <c r="Y122" s="1153"/>
      <c r="Z122" s="1153"/>
      <c r="AA122" s="1153"/>
      <c r="AB122" s="1153"/>
      <c r="AC122" s="1153"/>
      <c r="AD122" s="1153"/>
      <c r="AE122" s="1153"/>
      <c r="AF122" s="1153"/>
      <c r="AG122" s="1153"/>
      <c r="AH122" s="1153"/>
      <c r="AI122" s="1153"/>
      <c r="AJ122" s="1153"/>
      <c r="AK122" s="1153"/>
      <c r="AL122" s="1153"/>
      <c r="AM122" s="1153"/>
      <c r="AN122" s="1153"/>
      <c r="AO122" s="1153"/>
      <c r="AP122" s="1153"/>
      <c r="AQ122" s="1153"/>
      <c r="AR122" s="1153"/>
      <c r="AS122" s="1153"/>
      <c r="AT122" s="1153"/>
      <c r="AU122" s="1153"/>
      <c r="AV122" s="1153"/>
      <c r="AW122" s="1153"/>
      <c r="AX122" s="1153"/>
      <c r="AY122" s="1153"/>
      <c r="AZ122" s="1153"/>
    </row>
    <row r="123" spans="1:52" s="988" customFormat="1" ht="13.5" customHeight="1">
      <c r="A123" s="2288"/>
      <c r="B123" s="2290"/>
      <c r="C123" s="996" t="s">
        <v>576</v>
      </c>
      <c r="D123" s="997" t="s">
        <v>1178</v>
      </c>
      <c r="E123" s="998"/>
      <c r="F123" s="999"/>
      <c r="G123" s="2275"/>
      <c r="H123" s="2294"/>
      <c r="I123" s="2294"/>
      <c r="J123" s="2294"/>
      <c r="K123" s="2275"/>
      <c r="L123" s="1151"/>
      <c r="M123" s="1151"/>
      <c r="N123" s="1153"/>
      <c r="O123" s="1153"/>
      <c r="P123" s="1153"/>
      <c r="Q123" s="1153"/>
      <c r="R123" s="1153"/>
      <c r="S123" s="1153"/>
      <c r="T123" s="1153"/>
      <c r="U123" s="1153"/>
      <c r="V123" s="1153"/>
      <c r="W123" s="1153"/>
      <c r="X123" s="1153"/>
      <c r="Y123" s="1153"/>
      <c r="Z123" s="1153"/>
      <c r="AA123" s="1153"/>
      <c r="AB123" s="1153"/>
      <c r="AC123" s="1153"/>
      <c r="AD123" s="1153"/>
      <c r="AE123" s="1153"/>
      <c r="AF123" s="1153"/>
      <c r="AG123" s="1153"/>
      <c r="AH123" s="1153"/>
      <c r="AI123" s="1153"/>
      <c r="AJ123" s="1153"/>
      <c r="AK123" s="1153"/>
      <c r="AL123" s="1153"/>
      <c r="AM123" s="1153"/>
      <c r="AN123" s="1153"/>
      <c r="AO123" s="1153"/>
      <c r="AP123" s="1153"/>
      <c r="AQ123" s="1153"/>
      <c r="AR123" s="1153"/>
      <c r="AS123" s="1153"/>
      <c r="AT123" s="1153"/>
      <c r="AU123" s="1153"/>
      <c r="AV123" s="1153"/>
      <c r="AW123" s="1153"/>
      <c r="AX123" s="1153"/>
      <c r="AY123" s="1153"/>
      <c r="AZ123" s="1153"/>
    </row>
    <row r="124" spans="1:52" s="988" customFormat="1" ht="21.75" customHeight="1">
      <c r="A124" s="2298">
        <v>6</v>
      </c>
      <c r="B124" s="2297" t="s">
        <v>1179</v>
      </c>
      <c r="C124" s="1062" t="s">
        <v>1180</v>
      </c>
      <c r="D124" s="1063"/>
      <c r="E124" s="1064"/>
      <c r="F124" s="1065"/>
      <c r="G124" s="2300">
        <f>G126+G128+G130+G134+G138+G140+G142</f>
        <v>0</v>
      </c>
      <c r="H124" s="2300">
        <f>+H126+H128+H130+H134+H138+H140+H142</f>
        <v>0</v>
      </c>
      <c r="I124" s="2300">
        <f>+I126+I128+I130+I134+I138+I140+I142</f>
        <v>0</v>
      </c>
      <c r="J124" s="2300">
        <f>+J126+J128+J130+J134+J138+J140+J142</f>
        <v>0</v>
      </c>
      <c r="K124" s="2286">
        <f>G124-H124</f>
        <v>0</v>
      </c>
      <c r="L124" s="1151"/>
      <c r="M124" s="1151"/>
      <c r="N124" s="1153"/>
      <c r="O124" s="1153"/>
      <c r="P124" s="1153"/>
      <c r="Q124" s="1153"/>
      <c r="R124" s="1153"/>
      <c r="S124" s="1153"/>
      <c r="T124" s="1153"/>
      <c r="U124" s="1153"/>
      <c r="V124" s="1153"/>
      <c r="W124" s="1153"/>
      <c r="X124" s="1153"/>
      <c r="Y124" s="1153"/>
      <c r="Z124" s="1153"/>
      <c r="AA124" s="1153"/>
      <c r="AB124" s="1153"/>
      <c r="AC124" s="1153"/>
      <c r="AD124" s="1153"/>
      <c r="AE124" s="1153"/>
      <c r="AF124" s="1153"/>
      <c r="AG124" s="1153"/>
      <c r="AH124" s="1153"/>
      <c r="AI124" s="1153"/>
      <c r="AJ124" s="1153"/>
      <c r="AK124" s="1153"/>
      <c r="AL124" s="1153"/>
      <c r="AM124" s="1153"/>
      <c r="AN124" s="1153"/>
      <c r="AO124" s="1153"/>
      <c r="AP124" s="1153"/>
      <c r="AQ124" s="1153"/>
      <c r="AR124" s="1153"/>
      <c r="AS124" s="1153"/>
      <c r="AT124" s="1153"/>
      <c r="AU124" s="1153"/>
      <c r="AV124" s="1153"/>
      <c r="AW124" s="1153"/>
      <c r="AX124" s="1153"/>
      <c r="AY124" s="1153"/>
      <c r="AZ124" s="1153"/>
    </row>
    <row r="125" spans="1:52" s="988" customFormat="1" ht="13.5" customHeight="1">
      <c r="A125" s="2288"/>
      <c r="B125" s="2290"/>
      <c r="C125" s="996" t="s">
        <v>587</v>
      </c>
      <c r="D125" s="997" t="s">
        <v>1181</v>
      </c>
      <c r="E125" s="998"/>
      <c r="F125" s="999"/>
      <c r="G125" s="2275"/>
      <c r="H125" s="2275"/>
      <c r="I125" s="2275"/>
      <c r="J125" s="2275"/>
      <c r="K125" s="2286"/>
      <c r="L125" s="1151"/>
      <c r="M125" s="1151"/>
      <c r="N125" s="1153"/>
      <c r="O125" s="1153"/>
      <c r="P125" s="1153"/>
      <c r="Q125" s="1153"/>
      <c r="R125" s="1153"/>
      <c r="S125" s="1153"/>
      <c r="T125" s="1153"/>
      <c r="U125" s="1153"/>
      <c r="V125" s="1153"/>
      <c r="W125" s="1153"/>
      <c r="X125" s="1153"/>
      <c r="Y125" s="1153"/>
      <c r="Z125" s="1153"/>
      <c r="AA125" s="1153"/>
      <c r="AB125" s="1153"/>
      <c r="AC125" s="1153"/>
      <c r="AD125" s="1153"/>
      <c r="AE125" s="1153"/>
      <c r="AF125" s="1153"/>
      <c r="AG125" s="1153"/>
      <c r="AH125" s="1153"/>
      <c r="AI125" s="1153"/>
      <c r="AJ125" s="1153"/>
      <c r="AK125" s="1153"/>
      <c r="AL125" s="1153"/>
      <c r="AM125" s="1153"/>
      <c r="AN125" s="1153"/>
      <c r="AO125" s="1153"/>
      <c r="AP125" s="1153"/>
      <c r="AQ125" s="1153"/>
      <c r="AR125" s="1153"/>
      <c r="AS125" s="1153"/>
      <c r="AT125" s="1153"/>
      <c r="AU125" s="1153"/>
      <c r="AV125" s="1153"/>
      <c r="AW125" s="1153"/>
      <c r="AX125" s="1153"/>
      <c r="AY125" s="1153"/>
      <c r="AZ125" s="1153"/>
    </row>
    <row r="126" spans="1:52" s="1004" customFormat="1" ht="21.75" customHeight="1">
      <c r="A126" s="2296" t="s">
        <v>1182</v>
      </c>
      <c r="B126" s="2299" t="s">
        <v>1183</v>
      </c>
      <c r="C126" s="1041"/>
      <c r="D126" s="1001" t="s">
        <v>1184</v>
      </c>
      <c r="E126" s="1002"/>
      <c r="F126" s="1003"/>
      <c r="G126" s="2291">
        <f>H126+I126+J126</f>
        <v>0</v>
      </c>
      <c r="H126" s="2293"/>
      <c r="I126" s="2293"/>
      <c r="J126" s="2293"/>
      <c r="K126" s="2295">
        <f>G126-H126</f>
        <v>0</v>
      </c>
      <c r="L126" s="1157"/>
      <c r="M126" s="1157"/>
      <c r="N126" s="1163"/>
      <c r="O126" s="1163"/>
      <c r="P126" s="1163"/>
      <c r="Q126" s="1163"/>
      <c r="R126" s="1163"/>
      <c r="S126" s="1163"/>
      <c r="T126" s="1163"/>
      <c r="U126" s="1163"/>
      <c r="V126" s="1163"/>
      <c r="W126" s="1163"/>
      <c r="X126" s="1163"/>
      <c r="Y126" s="1163"/>
      <c r="Z126" s="1163"/>
      <c r="AA126" s="1163"/>
      <c r="AB126" s="1163"/>
      <c r="AC126" s="1163"/>
      <c r="AD126" s="1163"/>
      <c r="AE126" s="1163"/>
      <c r="AF126" s="1163"/>
      <c r="AG126" s="1163"/>
      <c r="AH126" s="1163"/>
      <c r="AI126" s="1163"/>
      <c r="AJ126" s="1163"/>
      <c r="AK126" s="1163"/>
      <c r="AL126" s="1163"/>
      <c r="AM126" s="1163"/>
      <c r="AN126" s="1163"/>
      <c r="AO126" s="1163"/>
      <c r="AP126" s="1163"/>
      <c r="AQ126" s="1163"/>
      <c r="AR126" s="1163"/>
      <c r="AS126" s="1163"/>
      <c r="AT126" s="1163"/>
      <c r="AU126" s="1163"/>
      <c r="AV126" s="1163"/>
      <c r="AW126" s="1163"/>
      <c r="AX126" s="1163"/>
      <c r="AY126" s="1163"/>
      <c r="AZ126" s="1163"/>
    </row>
    <row r="127" spans="1:52" s="988" customFormat="1" ht="13.5" customHeight="1">
      <c r="A127" s="2288"/>
      <c r="B127" s="2290"/>
      <c r="C127" s="1014"/>
      <c r="D127" s="1007" t="s">
        <v>1185</v>
      </c>
      <c r="E127" s="1026"/>
      <c r="F127" s="1025"/>
      <c r="G127" s="2292"/>
      <c r="H127" s="2294"/>
      <c r="I127" s="2294"/>
      <c r="J127" s="2294"/>
      <c r="K127" s="2295"/>
      <c r="L127" s="1151"/>
      <c r="M127" s="1151"/>
      <c r="N127" s="1153"/>
      <c r="O127" s="1153"/>
      <c r="P127" s="1153"/>
      <c r="Q127" s="1153"/>
      <c r="R127" s="1153"/>
      <c r="S127" s="1153"/>
      <c r="T127" s="1153"/>
      <c r="U127" s="1153"/>
      <c r="V127" s="1153"/>
      <c r="W127" s="1153"/>
      <c r="X127" s="1153"/>
      <c r="Y127" s="1153"/>
      <c r="Z127" s="1153"/>
      <c r="AA127" s="1153"/>
      <c r="AB127" s="1153"/>
      <c r="AC127" s="1153"/>
      <c r="AD127" s="1153"/>
      <c r="AE127" s="1153"/>
      <c r="AF127" s="1153"/>
      <c r="AG127" s="1153"/>
      <c r="AH127" s="1153"/>
      <c r="AI127" s="1153"/>
      <c r="AJ127" s="1153"/>
      <c r="AK127" s="1153"/>
      <c r="AL127" s="1153"/>
      <c r="AM127" s="1153"/>
      <c r="AN127" s="1153"/>
      <c r="AO127" s="1153"/>
      <c r="AP127" s="1153"/>
      <c r="AQ127" s="1153"/>
      <c r="AR127" s="1153"/>
      <c r="AS127" s="1153"/>
      <c r="AT127" s="1153"/>
      <c r="AU127" s="1153"/>
      <c r="AV127" s="1153"/>
      <c r="AW127" s="1153"/>
      <c r="AX127" s="1153"/>
      <c r="AY127" s="1153"/>
      <c r="AZ127" s="1153"/>
    </row>
    <row r="128" spans="1:52" s="988" customFormat="1" ht="21.75" customHeight="1">
      <c r="A128" s="2296" t="s">
        <v>1186</v>
      </c>
      <c r="B128" s="2299" t="s">
        <v>1187</v>
      </c>
      <c r="C128" s="1018"/>
      <c r="D128" s="1001" t="s">
        <v>1188</v>
      </c>
      <c r="F128" s="1042"/>
      <c r="G128" s="2291">
        <f>H128+I128+J128</f>
        <v>0</v>
      </c>
      <c r="H128" s="2293"/>
      <c r="I128" s="2293"/>
      <c r="J128" s="2293"/>
      <c r="K128" s="2295">
        <f>G128-H128</f>
        <v>0</v>
      </c>
      <c r="L128" s="1151"/>
      <c r="M128" s="1151"/>
      <c r="N128" s="1153"/>
      <c r="O128" s="1153"/>
      <c r="P128" s="1153"/>
      <c r="Q128" s="1153"/>
      <c r="R128" s="1153"/>
      <c r="S128" s="1153"/>
      <c r="T128" s="1153"/>
      <c r="U128" s="1153"/>
      <c r="V128" s="1153"/>
      <c r="W128" s="1153"/>
      <c r="X128" s="1153"/>
      <c r="Y128" s="1153"/>
      <c r="Z128" s="1153"/>
      <c r="AA128" s="1153"/>
      <c r="AB128" s="1153"/>
      <c r="AC128" s="1153"/>
      <c r="AD128" s="1153"/>
      <c r="AE128" s="1153"/>
      <c r="AF128" s="1153"/>
      <c r="AG128" s="1153"/>
      <c r="AH128" s="1153"/>
      <c r="AI128" s="1153"/>
      <c r="AJ128" s="1153"/>
      <c r="AK128" s="1153"/>
      <c r="AL128" s="1153"/>
      <c r="AM128" s="1153"/>
      <c r="AN128" s="1153"/>
      <c r="AO128" s="1153"/>
      <c r="AP128" s="1153"/>
      <c r="AQ128" s="1153"/>
      <c r="AR128" s="1153"/>
      <c r="AS128" s="1153"/>
      <c r="AT128" s="1153"/>
      <c r="AU128" s="1153"/>
      <c r="AV128" s="1153"/>
      <c r="AW128" s="1153"/>
      <c r="AX128" s="1153"/>
      <c r="AY128" s="1153"/>
      <c r="AZ128" s="1153"/>
    </row>
    <row r="129" spans="1:52" s="988" customFormat="1" ht="13.5" customHeight="1">
      <c r="A129" s="2288"/>
      <c r="B129" s="2290"/>
      <c r="C129" s="1014"/>
      <c r="D129" s="1007" t="s">
        <v>1189</v>
      </c>
      <c r="E129" s="1026"/>
      <c r="F129" s="1025"/>
      <c r="G129" s="2292"/>
      <c r="H129" s="2294"/>
      <c r="I129" s="2294"/>
      <c r="J129" s="2294"/>
      <c r="K129" s="2295"/>
      <c r="L129" s="1151"/>
      <c r="M129" s="1151"/>
      <c r="N129" s="1153"/>
      <c r="O129" s="1153"/>
      <c r="P129" s="1153"/>
      <c r="Q129" s="1153"/>
      <c r="R129" s="1153"/>
      <c r="S129" s="1153"/>
      <c r="T129" s="1153"/>
      <c r="U129" s="1153"/>
      <c r="V129" s="1153"/>
      <c r="W129" s="1153"/>
      <c r="X129" s="1153"/>
      <c r="Y129" s="1153"/>
      <c r="Z129" s="1153"/>
      <c r="AA129" s="1153"/>
      <c r="AB129" s="1153"/>
      <c r="AC129" s="1153"/>
      <c r="AD129" s="1153"/>
      <c r="AE129" s="1153"/>
      <c r="AF129" s="1153"/>
      <c r="AG129" s="1153"/>
      <c r="AH129" s="1153"/>
      <c r="AI129" s="1153"/>
      <c r="AJ129" s="1153"/>
      <c r="AK129" s="1153"/>
      <c r="AL129" s="1153"/>
      <c r="AM129" s="1153"/>
      <c r="AN129" s="1153"/>
      <c r="AO129" s="1153"/>
      <c r="AP129" s="1153"/>
      <c r="AQ129" s="1153"/>
      <c r="AR129" s="1153"/>
      <c r="AS129" s="1153"/>
      <c r="AT129" s="1153"/>
      <c r="AU129" s="1153"/>
      <c r="AV129" s="1153"/>
      <c r="AW129" s="1153"/>
      <c r="AX129" s="1153"/>
      <c r="AY129" s="1153"/>
      <c r="AZ129" s="1153"/>
    </row>
    <row r="130" spans="1:52" s="988" customFormat="1" ht="21.75" customHeight="1">
      <c r="A130" s="2296" t="s">
        <v>1190</v>
      </c>
      <c r="B130" s="2299" t="s">
        <v>1191</v>
      </c>
      <c r="C130" s="1018"/>
      <c r="D130" s="1001" t="s">
        <v>1192</v>
      </c>
      <c r="F130" s="1042"/>
      <c r="G130" s="2291">
        <f t="shared" ref="G130:G142" si="5">H130+I130+J130</f>
        <v>0</v>
      </c>
      <c r="H130" s="2293"/>
      <c r="I130" s="2293"/>
      <c r="J130" s="2293"/>
      <c r="K130" s="2295">
        <f>G130-H130</f>
        <v>0</v>
      </c>
      <c r="L130" s="1151"/>
      <c r="M130" s="1151"/>
      <c r="N130" s="1153"/>
      <c r="O130" s="1153"/>
      <c r="P130" s="1153"/>
      <c r="Q130" s="1153"/>
      <c r="R130" s="1153"/>
      <c r="S130" s="1153"/>
      <c r="T130" s="1153"/>
      <c r="U130" s="1153"/>
      <c r="V130" s="1153"/>
      <c r="W130" s="1153"/>
      <c r="X130" s="1153"/>
      <c r="Y130" s="1153"/>
      <c r="Z130" s="1153"/>
      <c r="AA130" s="1153"/>
      <c r="AB130" s="1153"/>
      <c r="AC130" s="1153"/>
      <c r="AD130" s="1153"/>
      <c r="AE130" s="1153"/>
      <c r="AF130" s="1153"/>
      <c r="AG130" s="1153"/>
      <c r="AH130" s="1153"/>
      <c r="AI130" s="1153"/>
      <c r="AJ130" s="1153"/>
      <c r="AK130" s="1153"/>
      <c r="AL130" s="1153"/>
      <c r="AM130" s="1153"/>
      <c r="AN130" s="1153"/>
      <c r="AO130" s="1153"/>
      <c r="AP130" s="1153"/>
      <c r="AQ130" s="1153"/>
      <c r="AR130" s="1153"/>
      <c r="AS130" s="1153"/>
      <c r="AT130" s="1153"/>
      <c r="AU130" s="1153"/>
      <c r="AV130" s="1153"/>
      <c r="AW130" s="1153"/>
      <c r="AX130" s="1153"/>
      <c r="AY130" s="1153"/>
      <c r="AZ130" s="1153"/>
    </row>
    <row r="131" spans="1:52" s="988" customFormat="1" ht="13.5" customHeight="1">
      <c r="A131" s="2288"/>
      <c r="B131" s="2290"/>
      <c r="C131" s="1014"/>
      <c r="D131" s="1007" t="s">
        <v>1193</v>
      </c>
      <c r="E131" s="1026"/>
      <c r="F131" s="1025"/>
      <c r="G131" s="2292"/>
      <c r="H131" s="2294"/>
      <c r="I131" s="2294"/>
      <c r="J131" s="2294"/>
      <c r="K131" s="2295"/>
      <c r="L131" s="1151"/>
      <c r="M131" s="1151"/>
      <c r="N131" s="1153"/>
      <c r="O131" s="1153"/>
      <c r="P131" s="1153"/>
      <c r="Q131" s="1153"/>
      <c r="R131" s="1153"/>
      <c r="S131" s="1153"/>
      <c r="T131" s="1153"/>
      <c r="U131" s="1153"/>
      <c r="V131" s="1153"/>
      <c r="W131" s="1153"/>
      <c r="X131" s="1153"/>
      <c r="Y131" s="1153"/>
      <c r="Z131" s="1153"/>
      <c r="AA131" s="1153"/>
      <c r="AB131" s="1153"/>
      <c r="AC131" s="1153"/>
      <c r="AD131" s="1153"/>
      <c r="AE131" s="1153"/>
      <c r="AF131" s="1153"/>
      <c r="AG131" s="1153"/>
      <c r="AH131" s="1153"/>
      <c r="AI131" s="1153"/>
      <c r="AJ131" s="1153"/>
      <c r="AK131" s="1153"/>
      <c r="AL131" s="1153"/>
      <c r="AM131" s="1153"/>
      <c r="AN131" s="1153"/>
      <c r="AO131" s="1153"/>
      <c r="AP131" s="1153"/>
      <c r="AQ131" s="1153"/>
      <c r="AR131" s="1153"/>
      <c r="AS131" s="1153"/>
      <c r="AT131" s="1153"/>
      <c r="AU131" s="1153"/>
      <c r="AV131" s="1153"/>
      <c r="AW131" s="1153"/>
      <c r="AX131" s="1153"/>
      <c r="AY131" s="1153"/>
      <c r="AZ131" s="1153"/>
    </row>
    <row r="132" spans="1:52" s="988" customFormat="1" ht="21.75" customHeight="1">
      <c r="A132" s="2296" t="s">
        <v>1194</v>
      </c>
      <c r="B132" s="2299" t="s">
        <v>1195</v>
      </c>
      <c r="C132" s="1018"/>
      <c r="D132" s="1001" t="s">
        <v>1196</v>
      </c>
      <c r="F132" s="1042"/>
      <c r="G132" s="2291">
        <f t="shared" si="5"/>
        <v>0</v>
      </c>
      <c r="H132" s="2293"/>
      <c r="I132" s="2293"/>
      <c r="J132" s="2293"/>
      <c r="K132" s="2295">
        <f>I132+J132</f>
        <v>0</v>
      </c>
      <c r="L132" s="1151"/>
      <c r="M132" s="1151"/>
      <c r="N132" s="1153"/>
      <c r="O132" s="1153"/>
      <c r="P132" s="1153"/>
      <c r="Q132" s="1153"/>
      <c r="R132" s="1153"/>
      <c r="S132" s="1153"/>
      <c r="T132" s="1153"/>
      <c r="U132" s="1153"/>
      <c r="V132" s="1153"/>
      <c r="W132" s="1153"/>
      <c r="X132" s="1153"/>
      <c r="Y132" s="1153"/>
      <c r="Z132" s="1153"/>
      <c r="AA132" s="1153"/>
      <c r="AB132" s="1153"/>
      <c r="AC132" s="1153"/>
      <c r="AD132" s="1153"/>
      <c r="AE132" s="1153"/>
      <c r="AF132" s="1153"/>
      <c r="AG132" s="1153"/>
      <c r="AH132" s="1153"/>
      <c r="AI132" s="1153"/>
      <c r="AJ132" s="1153"/>
      <c r="AK132" s="1153"/>
      <c r="AL132" s="1153"/>
      <c r="AM132" s="1153"/>
      <c r="AN132" s="1153"/>
      <c r="AO132" s="1153"/>
      <c r="AP132" s="1153"/>
      <c r="AQ132" s="1153"/>
      <c r="AR132" s="1153"/>
      <c r="AS132" s="1153"/>
      <c r="AT132" s="1153"/>
      <c r="AU132" s="1153"/>
      <c r="AV132" s="1153"/>
      <c r="AW132" s="1153"/>
      <c r="AX132" s="1153"/>
      <c r="AY132" s="1153"/>
      <c r="AZ132" s="1153"/>
    </row>
    <row r="133" spans="1:52" s="988" customFormat="1" ht="13.5" customHeight="1">
      <c r="A133" s="2288"/>
      <c r="B133" s="2290"/>
      <c r="C133" s="1014"/>
      <c r="D133" s="1066" t="s">
        <v>1845</v>
      </c>
      <c r="E133" s="1066"/>
      <c r="F133" s="1067"/>
      <c r="G133" s="2292"/>
      <c r="H133" s="2294"/>
      <c r="I133" s="2294"/>
      <c r="J133" s="2294"/>
      <c r="K133" s="2295"/>
      <c r="L133" s="1151"/>
      <c r="M133" s="1151"/>
      <c r="N133" s="1153"/>
      <c r="O133" s="1153"/>
      <c r="P133" s="1153"/>
      <c r="Q133" s="1153"/>
      <c r="R133" s="1153"/>
      <c r="S133" s="1153"/>
      <c r="T133" s="1153"/>
      <c r="U133" s="1153"/>
      <c r="V133" s="1153"/>
      <c r="W133" s="1153"/>
      <c r="X133" s="1153"/>
      <c r="Y133" s="1153"/>
      <c r="Z133" s="1153"/>
      <c r="AA133" s="1153"/>
      <c r="AB133" s="1153"/>
      <c r="AC133" s="1153"/>
      <c r="AD133" s="1153"/>
      <c r="AE133" s="1153"/>
      <c r="AF133" s="1153"/>
      <c r="AG133" s="1153"/>
      <c r="AH133" s="1153"/>
      <c r="AI133" s="1153"/>
      <c r="AJ133" s="1153"/>
      <c r="AK133" s="1153"/>
      <c r="AL133" s="1153"/>
      <c r="AM133" s="1153"/>
      <c r="AN133" s="1153"/>
      <c r="AO133" s="1153"/>
      <c r="AP133" s="1153"/>
      <c r="AQ133" s="1153"/>
      <c r="AR133" s="1153"/>
      <c r="AS133" s="1153"/>
      <c r="AT133" s="1153"/>
      <c r="AU133" s="1153"/>
      <c r="AV133" s="1153"/>
      <c r="AW133" s="1153"/>
      <c r="AX133" s="1153"/>
      <c r="AY133" s="1153"/>
      <c r="AZ133" s="1153"/>
    </row>
    <row r="134" spans="1:52" s="988" customFormat="1" ht="21.75" customHeight="1">
      <c r="A134" s="2296" t="s">
        <v>1197</v>
      </c>
      <c r="B134" s="2299" t="s">
        <v>1198</v>
      </c>
      <c r="C134" s="1018"/>
      <c r="D134" s="1001" t="s">
        <v>1199</v>
      </c>
      <c r="E134" s="1068"/>
      <c r="F134" s="1069"/>
      <c r="G134" s="2291">
        <f t="shared" si="5"/>
        <v>0</v>
      </c>
      <c r="H134" s="2293"/>
      <c r="I134" s="2293"/>
      <c r="J134" s="2293"/>
      <c r="K134" s="2295">
        <f>G134-H134</f>
        <v>0</v>
      </c>
      <c r="L134" s="1151"/>
      <c r="M134" s="1151"/>
      <c r="N134" s="1153"/>
      <c r="O134" s="1153"/>
      <c r="P134" s="1153"/>
      <c r="Q134" s="1153"/>
      <c r="R134" s="1153"/>
      <c r="S134" s="1153"/>
      <c r="T134" s="1153"/>
      <c r="U134" s="1153"/>
      <c r="V134" s="1153"/>
      <c r="W134" s="1153"/>
      <c r="X134" s="1153"/>
      <c r="Y134" s="1153"/>
      <c r="Z134" s="1153"/>
      <c r="AA134" s="1153"/>
      <c r="AB134" s="1153"/>
      <c r="AC134" s="1153"/>
      <c r="AD134" s="1153"/>
      <c r="AE134" s="1153"/>
      <c r="AF134" s="1153"/>
      <c r="AG134" s="1153"/>
      <c r="AH134" s="1153"/>
      <c r="AI134" s="1153"/>
      <c r="AJ134" s="1153"/>
      <c r="AK134" s="1153"/>
      <c r="AL134" s="1153"/>
      <c r="AM134" s="1153"/>
      <c r="AN134" s="1153"/>
      <c r="AO134" s="1153"/>
      <c r="AP134" s="1153"/>
      <c r="AQ134" s="1153"/>
      <c r="AR134" s="1153"/>
      <c r="AS134" s="1153"/>
      <c r="AT134" s="1153"/>
      <c r="AU134" s="1153"/>
      <c r="AV134" s="1153"/>
      <c r="AW134" s="1153"/>
      <c r="AX134" s="1153"/>
      <c r="AY134" s="1153"/>
      <c r="AZ134" s="1153"/>
    </row>
    <row r="135" spans="1:52" s="988" customFormat="1" ht="13.5" customHeight="1">
      <c r="A135" s="2288"/>
      <c r="B135" s="2290"/>
      <c r="C135" s="1014"/>
      <c r="D135" s="1007" t="s">
        <v>1200</v>
      </c>
      <c r="E135" s="1026"/>
      <c r="F135" s="1025"/>
      <c r="G135" s="2292"/>
      <c r="H135" s="2294"/>
      <c r="I135" s="2294"/>
      <c r="J135" s="2294"/>
      <c r="K135" s="2295"/>
      <c r="L135" s="1151"/>
      <c r="M135" s="1151"/>
      <c r="N135" s="1153"/>
      <c r="O135" s="1153"/>
      <c r="P135" s="1153"/>
      <c r="Q135" s="1153"/>
      <c r="R135" s="1153"/>
      <c r="S135" s="1153"/>
      <c r="T135" s="1153"/>
      <c r="U135" s="1153"/>
      <c r="V135" s="1153"/>
      <c r="W135" s="1153"/>
      <c r="X135" s="1153"/>
      <c r="Y135" s="1153"/>
      <c r="Z135" s="1153"/>
      <c r="AA135" s="1153"/>
      <c r="AB135" s="1153"/>
      <c r="AC135" s="1153"/>
      <c r="AD135" s="1153"/>
      <c r="AE135" s="1153"/>
      <c r="AF135" s="1153"/>
      <c r="AG135" s="1153"/>
      <c r="AH135" s="1153"/>
      <c r="AI135" s="1153"/>
      <c r="AJ135" s="1153"/>
      <c r="AK135" s="1153"/>
      <c r="AL135" s="1153"/>
      <c r="AM135" s="1153"/>
      <c r="AN135" s="1153"/>
      <c r="AO135" s="1153"/>
      <c r="AP135" s="1153"/>
      <c r="AQ135" s="1153"/>
      <c r="AR135" s="1153"/>
      <c r="AS135" s="1153"/>
      <c r="AT135" s="1153"/>
      <c r="AU135" s="1153"/>
      <c r="AV135" s="1153"/>
      <c r="AW135" s="1153"/>
      <c r="AX135" s="1153"/>
      <c r="AY135" s="1153"/>
      <c r="AZ135" s="1153"/>
    </row>
    <row r="136" spans="1:52" s="988" customFormat="1" ht="21.75" customHeight="1">
      <c r="A136" s="2296" t="s">
        <v>1201</v>
      </c>
      <c r="B136" s="2299" t="s">
        <v>1202</v>
      </c>
      <c r="C136" s="1018"/>
      <c r="D136" s="1001" t="s">
        <v>1203</v>
      </c>
      <c r="F136" s="1042"/>
      <c r="G136" s="2291">
        <f>H136+I136+J136</f>
        <v>0</v>
      </c>
      <c r="H136" s="2293"/>
      <c r="I136" s="2293"/>
      <c r="J136" s="2293"/>
      <c r="K136" s="2295">
        <f>I136+J136</f>
        <v>0</v>
      </c>
      <c r="L136" s="1151"/>
      <c r="M136" s="1151"/>
      <c r="N136" s="1153"/>
      <c r="O136" s="1153"/>
      <c r="P136" s="1153"/>
      <c r="Q136" s="1153"/>
      <c r="R136" s="1153"/>
      <c r="S136" s="1153"/>
      <c r="T136" s="1153"/>
      <c r="U136" s="1153"/>
      <c r="V136" s="1153"/>
      <c r="W136" s="1153"/>
      <c r="X136" s="1153"/>
      <c r="Y136" s="1153"/>
      <c r="Z136" s="1153"/>
      <c r="AA136" s="1153"/>
      <c r="AB136" s="1153"/>
      <c r="AC136" s="1153"/>
      <c r="AD136" s="1153"/>
      <c r="AE136" s="1153"/>
      <c r="AF136" s="1153"/>
      <c r="AG136" s="1153"/>
      <c r="AH136" s="1153"/>
      <c r="AI136" s="1153"/>
      <c r="AJ136" s="1153"/>
      <c r="AK136" s="1153"/>
      <c r="AL136" s="1153"/>
      <c r="AM136" s="1153"/>
      <c r="AN136" s="1153"/>
      <c r="AO136" s="1153"/>
      <c r="AP136" s="1153"/>
      <c r="AQ136" s="1153"/>
      <c r="AR136" s="1153"/>
      <c r="AS136" s="1153"/>
      <c r="AT136" s="1153"/>
      <c r="AU136" s="1153"/>
      <c r="AV136" s="1153"/>
      <c r="AW136" s="1153"/>
      <c r="AX136" s="1153"/>
      <c r="AY136" s="1153"/>
      <c r="AZ136" s="1153"/>
    </row>
    <row r="137" spans="1:52" s="988" customFormat="1" ht="13.5" customHeight="1">
      <c r="A137" s="2288"/>
      <c r="B137" s="2290"/>
      <c r="C137" s="1014"/>
      <c r="D137" s="1007" t="s">
        <v>1204</v>
      </c>
      <c r="E137" s="1026"/>
      <c r="F137" s="1025"/>
      <c r="G137" s="2292"/>
      <c r="H137" s="2294"/>
      <c r="I137" s="2294"/>
      <c r="J137" s="2294"/>
      <c r="K137" s="2295"/>
      <c r="L137" s="1151"/>
      <c r="M137" s="1151"/>
      <c r="N137" s="1153"/>
      <c r="O137" s="1153"/>
      <c r="P137" s="1153"/>
      <c r="Q137" s="1153"/>
      <c r="R137" s="1153"/>
      <c r="S137" s="1153"/>
      <c r="T137" s="1153"/>
      <c r="U137" s="1153"/>
      <c r="V137" s="1153"/>
      <c r="W137" s="1153"/>
      <c r="X137" s="1153"/>
      <c r="Y137" s="1153"/>
      <c r="Z137" s="1153"/>
      <c r="AA137" s="1153"/>
      <c r="AB137" s="1153"/>
      <c r="AC137" s="1153"/>
      <c r="AD137" s="1153"/>
      <c r="AE137" s="1153"/>
      <c r="AF137" s="1153"/>
      <c r="AG137" s="1153"/>
      <c r="AH137" s="1153"/>
      <c r="AI137" s="1153"/>
      <c r="AJ137" s="1153"/>
      <c r="AK137" s="1153"/>
      <c r="AL137" s="1153"/>
      <c r="AM137" s="1153"/>
      <c r="AN137" s="1153"/>
      <c r="AO137" s="1153"/>
      <c r="AP137" s="1153"/>
      <c r="AQ137" s="1153"/>
      <c r="AR137" s="1153"/>
      <c r="AS137" s="1153"/>
      <c r="AT137" s="1153"/>
      <c r="AU137" s="1153"/>
      <c r="AV137" s="1153"/>
      <c r="AW137" s="1153"/>
      <c r="AX137" s="1153"/>
      <c r="AY137" s="1153"/>
      <c r="AZ137" s="1153"/>
    </row>
    <row r="138" spans="1:52" s="988" customFormat="1" ht="21.75" customHeight="1">
      <c r="A138" s="2296" t="s">
        <v>1205</v>
      </c>
      <c r="B138" s="2299" t="s">
        <v>1206</v>
      </c>
      <c r="C138" s="1018"/>
      <c r="D138" s="1001" t="s">
        <v>1207</v>
      </c>
      <c r="F138" s="1042"/>
      <c r="G138" s="2291">
        <f t="shared" si="5"/>
        <v>0</v>
      </c>
      <c r="H138" s="2293"/>
      <c r="I138" s="2293"/>
      <c r="J138" s="2293"/>
      <c r="K138" s="2295">
        <f>G138-H138</f>
        <v>0</v>
      </c>
      <c r="L138" s="1151"/>
      <c r="M138" s="1151"/>
      <c r="N138" s="1153"/>
      <c r="O138" s="1153"/>
      <c r="P138" s="1153"/>
      <c r="Q138" s="1153"/>
      <c r="R138" s="1153"/>
      <c r="S138" s="1153"/>
      <c r="T138" s="1153"/>
      <c r="U138" s="1153"/>
      <c r="V138" s="1153"/>
      <c r="W138" s="1153"/>
      <c r="X138" s="1153"/>
      <c r="Y138" s="1153"/>
      <c r="Z138" s="1153"/>
      <c r="AA138" s="1153"/>
      <c r="AB138" s="1153"/>
      <c r="AC138" s="1153"/>
      <c r="AD138" s="1153"/>
      <c r="AE138" s="1153"/>
      <c r="AF138" s="1153"/>
      <c r="AG138" s="1153"/>
      <c r="AH138" s="1153"/>
      <c r="AI138" s="1153"/>
      <c r="AJ138" s="1153"/>
      <c r="AK138" s="1153"/>
      <c r="AL138" s="1153"/>
      <c r="AM138" s="1153"/>
      <c r="AN138" s="1153"/>
      <c r="AO138" s="1153"/>
      <c r="AP138" s="1153"/>
      <c r="AQ138" s="1153"/>
      <c r="AR138" s="1153"/>
      <c r="AS138" s="1153"/>
      <c r="AT138" s="1153"/>
      <c r="AU138" s="1153"/>
      <c r="AV138" s="1153"/>
      <c r="AW138" s="1153"/>
      <c r="AX138" s="1153"/>
      <c r="AY138" s="1153"/>
      <c r="AZ138" s="1153"/>
    </row>
    <row r="139" spans="1:52" s="988" customFormat="1" ht="13.5" customHeight="1">
      <c r="A139" s="2288"/>
      <c r="B139" s="2290"/>
      <c r="C139" s="1014"/>
      <c r="D139" s="1007" t="s">
        <v>1208</v>
      </c>
      <c r="E139" s="1026"/>
      <c r="F139" s="1025"/>
      <c r="G139" s="2292"/>
      <c r="H139" s="2294"/>
      <c r="I139" s="2294"/>
      <c r="J139" s="2294"/>
      <c r="K139" s="2295"/>
      <c r="L139" s="1151"/>
      <c r="M139" s="1151"/>
      <c r="N139" s="1153"/>
      <c r="O139" s="1153"/>
      <c r="P139" s="1153"/>
      <c r="Q139" s="1153"/>
      <c r="R139" s="1153"/>
      <c r="S139" s="1153"/>
      <c r="T139" s="1153"/>
      <c r="U139" s="1153"/>
      <c r="V139" s="1153"/>
      <c r="W139" s="1153"/>
      <c r="X139" s="1153"/>
      <c r="Y139" s="1153"/>
      <c r="Z139" s="1153"/>
      <c r="AA139" s="1153"/>
      <c r="AB139" s="1153"/>
      <c r="AC139" s="1153"/>
      <c r="AD139" s="1153"/>
      <c r="AE139" s="1153"/>
      <c r="AF139" s="1153"/>
      <c r="AG139" s="1153"/>
      <c r="AH139" s="1153"/>
      <c r="AI139" s="1153"/>
      <c r="AJ139" s="1153"/>
      <c r="AK139" s="1153"/>
      <c r="AL139" s="1153"/>
      <c r="AM139" s="1153"/>
      <c r="AN139" s="1153"/>
      <c r="AO139" s="1153"/>
      <c r="AP139" s="1153"/>
      <c r="AQ139" s="1153"/>
      <c r="AR139" s="1153"/>
      <c r="AS139" s="1153"/>
      <c r="AT139" s="1153"/>
      <c r="AU139" s="1153"/>
      <c r="AV139" s="1153"/>
      <c r="AW139" s="1153"/>
      <c r="AX139" s="1153"/>
      <c r="AY139" s="1153"/>
      <c r="AZ139" s="1153"/>
    </row>
    <row r="140" spans="1:52" s="988" customFormat="1" ht="21.75" customHeight="1">
      <c r="A140" s="2296" t="s">
        <v>1209</v>
      </c>
      <c r="B140" s="2299" t="s">
        <v>1210</v>
      </c>
      <c r="C140" s="1018"/>
      <c r="D140" s="1001" t="s">
        <v>1211</v>
      </c>
      <c r="F140" s="1042"/>
      <c r="G140" s="2291">
        <f t="shared" si="5"/>
        <v>0</v>
      </c>
      <c r="H140" s="2293"/>
      <c r="I140" s="2293"/>
      <c r="J140" s="2293"/>
      <c r="K140" s="2295">
        <f>G140-H140</f>
        <v>0</v>
      </c>
      <c r="L140" s="1151"/>
      <c r="M140" s="1151"/>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row>
    <row r="141" spans="1:52" s="988" customFormat="1" ht="13.5" customHeight="1">
      <c r="A141" s="2288"/>
      <c r="B141" s="2290"/>
      <c r="C141" s="1014"/>
      <c r="D141" s="1007" t="s">
        <v>1212</v>
      </c>
      <c r="E141" s="1026"/>
      <c r="F141" s="1025"/>
      <c r="G141" s="2292"/>
      <c r="H141" s="2294"/>
      <c r="I141" s="2294"/>
      <c r="J141" s="2294"/>
      <c r="K141" s="2295"/>
      <c r="L141" s="1151"/>
      <c r="M141" s="1151"/>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row>
    <row r="142" spans="1:52" s="988" customFormat="1" ht="21.75" customHeight="1">
      <c r="A142" s="2296" t="s">
        <v>1213</v>
      </c>
      <c r="B142" s="2299" t="s">
        <v>1214</v>
      </c>
      <c r="C142" s="1018"/>
      <c r="D142" s="1001" t="s">
        <v>1215</v>
      </c>
      <c r="F142" s="1042"/>
      <c r="G142" s="2291">
        <f t="shared" si="5"/>
        <v>0</v>
      </c>
      <c r="H142" s="2293"/>
      <c r="I142" s="2293"/>
      <c r="J142" s="2293"/>
      <c r="K142" s="2295">
        <f>G142-H142</f>
        <v>0</v>
      </c>
      <c r="L142" s="1151"/>
      <c r="M142" s="1151"/>
      <c r="N142" s="1153"/>
      <c r="O142" s="1153"/>
      <c r="P142" s="1153"/>
      <c r="Q142" s="1153"/>
      <c r="R142" s="1153"/>
      <c r="S142" s="1153"/>
      <c r="T142" s="1153"/>
      <c r="U142" s="1153"/>
      <c r="V142" s="1153"/>
      <c r="W142" s="1153"/>
      <c r="X142" s="1153"/>
      <c r="Y142" s="1153"/>
      <c r="Z142" s="1153"/>
      <c r="AA142" s="1153"/>
      <c r="AB142" s="1153"/>
      <c r="AC142" s="1153"/>
      <c r="AD142" s="1153"/>
      <c r="AE142" s="1153"/>
      <c r="AF142" s="1153"/>
      <c r="AG142" s="1153"/>
      <c r="AH142" s="1153"/>
      <c r="AI142" s="1153"/>
      <c r="AJ142" s="1153"/>
      <c r="AK142" s="1153"/>
      <c r="AL142" s="1153"/>
      <c r="AM142" s="1153"/>
      <c r="AN142" s="1153"/>
      <c r="AO142" s="1153"/>
      <c r="AP142" s="1153"/>
      <c r="AQ142" s="1153"/>
      <c r="AR142" s="1153"/>
      <c r="AS142" s="1153"/>
      <c r="AT142" s="1153"/>
      <c r="AU142" s="1153"/>
      <c r="AV142" s="1153"/>
      <c r="AW142" s="1153"/>
      <c r="AX142" s="1153"/>
      <c r="AY142" s="1153"/>
      <c r="AZ142" s="1153"/>
    </row>
    <row r="143" spans="1:52" s="988" customFormat="1" ht="13.5" customHeight="1">
      <c r="A143" s="2288"/>
      <c r="B143" s="2290"/>
      <c r="C143" s="1014"/>
      <c r="D143" s="1007" t="s">
        <v>1216</v>
      </c>
      <c r="E143" s="1026"/>
      <c r="F143" s="1025"/>
      <c r="G143" s="2292"/>
      <c r="H143" s="2294"/>
      <c r="I143" s="2294"/>
      <c r="J143" s="2294"/>
      <c r="K143" s="2295"/>
      <c r="L143" s="1151"/>
      <c r="M143" s="1151"/>
      <c r="N143" s="1153"/>
      <c r="O143" s="1153"/>
      <c r="P143" s="1153"/>
      <c r="Q143" s="1153"/>
      <c r="R143" s="1153"/>
      <c r="S143" s="1153"/>
      <c r="T143" s="1153"/>
      <c r="U143" s="1153"/>
      <c r="V143" s="1153"/>
      <c r="W143" s="1153"/>
      <c r="X143" s="1153"/>
      <c r="Y143" s="1153"/>
      <c r="Z143" s="1153"/>
      <c r="AA143" s="1153"/>
      <c r="AB143" s="1153"/>
      <c r="AC143" s="1153"/>
      <c r="AD143" s="1153"/>
      <c r="AE143" s="1153"/>
      <c r="AF143" s="1153"/>
      <c r="AG143" s="1153"/>
      <c r="AH143" s="1153"/>
      <c r="AI143" s="1153"/>
      <c r="AJ143" s="1153"/>
      <c r="AK143" s="1153"/>
      <c r="AL143" s="1153"/>
      <c r="AM143" s="1153"/>
      <c r="AN143" s="1153"/>
      <c r="AO143" s="1153"/>
      <c r="AP143" s="1153"/>
      <c r="AQ143" s="1153"/>
      <c r="AR143" s="1153"/>
      <c r="AS143" s="1153"/>
      <c r="AT143" s="1153"/>
      <c r="AU143" s="1153"/>
      <c r="AV143" s="1153"/>
      <c r="AW143" s="1153"/>
      <c r="AX143" s="1153"/>
      <c r="AY143" s="1153"/>
      <c r="AZ143" s="1153"/>
    </row>
    <row r="144" spans="1:52" s="988" customFormat="1" ht="21.75" customHeight="1">
      <c r="A144" s="2298">
        <v>7</v>
      </c>
      <c r="B144" s="2297" t="s">
        <v>1217</v>
      </c>
      <c r="C144" s="1045" t="s">
        <v>1218</v>
      </c>
      <c r="D144" s="1047"/>
      <c r="E144" s="1047"/>
      <c r="F144" s="1048"/>
      <c r="G144" s="2300">
        <f>G146+G148</f>
        <v>0</v>
      </c>
      <c r="H144" s="2300">
        <f>H146+H148</f>
        <v>0</v>
      </c>
      <c r="I144" s="2300">
        <f>I146+I148</f>
        <v>0</v>
      </c>
      <c r="J144" s="2300">
        <f>J146+J148</f>
        <v>0</v>
      </c>
      <c r="K144" s="2286">
        <f>G144-H144</f>
        <v>0</v>
      </c>
      <c r="L144" s="1151"/>
      <c r="M144" s="1151"/>
      <c r="N144" s="1153"/>
      <c r="O144" s="1153"/>
      <c r="P144" s="1153"/>
      <c r="Q144" s="1153"/>
      <c r="R144" s="1153"/>
      <c r="S144" s="1153"/>
      <c r="T144" s="1153"/>
      <c r="U144" s="1153"/>
      <c r="V144" s="1153"/>
      <c r="W144" s="1153"/>
      <c r="X144" s="1153"/>
      <c r="Y144" s="1153"/>
      <c r="Z144" s="1153"/>
      <c r="AA144" s="1153"/>
      <c r="AB144" s="1153"/>
      <c r="AC144" s="1153"/>
      <c r="AD144" s="1153"/>
      <c r="AE144" s="1153"/>
      <c r="AF144" s="1153"/>
      <c r="AG144" s="1153"/>
      <c r="AH144" s="1153"/>
      <c r="AI144" s="1153"/>
      <c r="AJ144" s="1153"/>
      <c r="AK144" s="1153"/>
      <c r="AL144" s="1153"/>
      <c r="AM144" s="1153"/>
      <c r="AN144" s="1153"/>
      <c r="AO144" s="1153"/>
      <c r="AP144" s="1153"/>
      <c r="AQ144" s="1153"/>
      <c r="AR144" s="1153"/>
      <c r="AS144" s="1153"/>
      <c r="AT144" s="1153"/>
      <c r="AU144" s="1153"/>
      <c r="AV144" s="1153"/>
      <c r="AW144" s="1153"/>
      <c r="AX144" s="1153"/>
      <c r="AY144" s="1153"/>
      <c r="AZ144" s="1153"/>
    </row>
    <row r="145" spans="1:52" s="988" customFormat="1" ht="13.5" customHeight="1">
      <c r="A145" s="2288"/>
      <c r="B145" s="2290"/>
      <c r="C145" s="996" t="s">
        <v>595</v>
      </c>
      <c r="D145" s="997" t="s">
        <v>1219</v>
      </c>
      <c r="E145" s="998"/>
      <c r="F145" s="999"/>
      <c r="G145" s="2275"/>
      <c r="H145" s="2275"/>
      <c r="I145" s="2275"/>
      <c r="J145" s="2275"/>
      <c r="K145" s="2286"/>
      <c r="L145" s="1151"/>
      <c r="M145" s="1151"/>
      <c r="N145" s="1153"/>
      <c r="O145" s="1153"/>
      <c r="P145" s="1153"/>
      <c r="Q145" s="1153"/>
      <c r="R145" s="1153"/>
      <c r="S145" s="1153"/>
      <c r="T145" s="1153"/>
      <c r="U145" s="1153"/>
      <c r="V145" s="1153"/>
      <c r="W145" s="1153"/>
      <c r="X145" s="1153"/>
      <c r="Y145" s="1153"/>
      <c r="Z145" s="1153"/>
      <c r="AA145" s="1153"/>
      <c r="AB145" s="1153"/>
      <c r="AC145" s="1153"/>
      <c r="AD145" s="1153"/>
      <c r="AE145" s="1153"/>
      <c r="AF145" s="1153"/>
      <c r="AG145" s="1153"/>
      <c r="AH145" s="1153"/>
      <c r="AI145" s="1153"/>
      <c r="AJ145" s="1153"/>
      <c r="AK145" s="1153"/>
      <c r="AL145" s="1153"/>
      <c r="AM145" s="1153"/>
      <c r="AN145" s="1153"/>
      <c r="AO145" s="1153"/>
      <c r="AP145" s="1153"/>
      <c r="AQ145" s="1153"/>
      <c r="AR145" s="1153"/>
      <c r="AS145" s="1153"/>
      <c r="AT145" s="1153"/>
      <c r="AU145" s="1153"/>
      <c r="AV145" s="1153"/>
      <c r="AW145" s="1153"/>
      <c r="AX145" s="1153"/>
      <c r="AY145" s="1153"/>
      <c r="AZ145" s="1153"/>
    </row>
    <row r="146" spans="1:52" s="1004" customFormat="1" ht="27.75" customHeight="1">
      <c r="A146" s="2296" t="s">
        <v>1220</v>
      </c>
      <c r="B146" s="2297" t="s">
        <v>1221</v>
      </c>
      <c r="C146" s="1000"/>
      <c r="D146" s="1001" t="s">
        <v>1222</v>
      </c>
      <c r="E146" s="1002"/>
      <c r="F146" s="1003"/>
      <c r="G146" s="2291">
        <f>H146+I146+J146</f>
        <v>0</v>
      </c>
      <c r="H146" s="2293"/>
      <c r="I146" s="2293"/>
      <c r="J146" s="2293"/>
      <c r="K146" s="2295">
        <f>G146-H146</f>
        <v>0</v>
      </c>
      <c r="L146" s="1157"/>
      <c r="M146" s="1157"/>
      <c r="N146" s="1163"/>
      <c r="O146" s="1163"/>
      <c r="P146" s="1163"/>
      <c r="Q146" s="1163"/>
      <c r="R146" s="1163"/>
      <c r="S146" s="1163"/>
      <c r="T146" s="1163"/>
      <c r="U146" s="1163"/>
      <c r="V146" s="1163"/>
      <c r="W146" s="1163"/>
      <c r="X146" s="1163"/>
      <c r="Y146" s="1163"/>
      <c r="Z146" s="1163"/>
      <c r="AA146" s="1163"/>
      <c r="AB146" s="1163"/>
      <c r="AC146" s="1163"/>
      <c r="AD146" s="1163"/>
      <c r="AE146" s="1163"/>
      <c r="AF146" s="1163"/>
      <c r="AG146" s="1163"/>
      <c r="AH146" s="1163"/>
      <c r="AI146" s="1163"/>
      <c r="AJ146" s="1163"/>
      <c r="AK146" s="1163"/>
      <c r="AL146" s="1163"/>
      <c r="AM146" s="1163"/>
      <c r="AN146" s="1163"/>
      <c r="AO146" s="1163"/>
      <c r="AP146" s="1163"/>
      <c r="AQ146" s="1163"/>
      <c r="AR146" s="1163"/>
      <c r="AS146" s="1163"/>
      <c r="AT146" s="1163"/>
      <c r="AU146" s="1163"/>
      <c r="AV146" s="1163"/>
      <c r="AW146" s="1163"/>
      <c r="AX146" s="1163"/>
      <c r="AY146" s="1163"/>
      <c r="AZ146" s="1163"/>
    </row>
    <row r="147" spans="1:52" s="988" customFormat="1" ht="13.5" customHeight="1">
      <c r="A147" s="2288"/>
      <c r="B147" s="2290"/>
      <c r="C147" s="1014"/>
      <c r="D147" s="1007" t="s">
        <v>1223</v>
      </c>
      <c r="E147" s="1026"/>
      <c r="F147" s="1025"/>
      <c r="G147" s="2292"/>
      <c r="H147" s="2294"/>
      <c r="I147" s="2294"/>
      <c r="J147" s="2294"/>
      <c r="K147" s="2295"/>
      <c r="L147" s="1151"/>
      <c r="M147" s="1151"/>
      <c r="N147" s="1153"/>
      <c r="O147" s="1153"/>
      <c r="P147" s="1153"/>
      <c r="Q147" s="1153"/>
      <c r="R147" s="1153"/>
      <c r="S147" s="1153"/>
      <c r="T147" s="1153"/>
      <c r="U147" s="1153"/>
      <c r="V147" s="1153"/>
      <c r="W147" s="1153"/>
      <c r="X147" s="1153"/>
      <c r="Y147" s="1153"/>
      <c r="Z147" s="1153"/>
      <c r="AA147" s="1153"/>
      <c r="AB147" s="1153"/>
      <c r="AC147" s="1153"/>
      <c r="AD147" s="1153"/>
      <c r="AE147" s="1153"/>
      <c r="AF147" s="1153"/>
      <c r="AG147" s="1153"/>
      <c r="AH147" s="1153"/>
      <c r="AI147" s="1153"/>
      <c r="AJ147" s="1153"/>
      <c r="AK147" s="1153"/>
      <c r="AL147" s="1153"/>
      <c r="AM147" s="1153"/>
      <c r="AN147" s="1153"/>
      <c r="AO147" s="1153"/>
      <c r="AP147" s="1153"/>
      <c r="AQ147" s="1153"/>
      <c r="AR147" s="1153"/>
      <c r="AS147" s="1153"/>
      <c r="AT147" s="1153"/>
      <c r="AU147" s="1153"/>
      <c r="AV147" s="1153"/>
      <c r="AW147" s="1153"/>
      <c r="AX147" s="1153"/>
      <c r="AY147" s="1153"/>
      <c r="AZ147" s="1153"/>
    </row>
    <row r="148" spans="1:52" s="988" customFormat="1" ht="21.75" customHeight="1">
      <c r="A148" s="2296" t="s">
        <v>1224</v>
      </c>
      <c r="B148" s="2297" t="s">
        <v>1225</v>
      </c>
      <c r="C148" s="1018"/>
      <c r="D148" s="1001" t="s">
        <v>1226</v>
      </c>
      <c r="F148" s="1042"/>
      <c r="G148" s="2291">
        <f>H148+I148+J148</f>
        <v>0</v>
      </c>
      <c r="H148" s="2293"/>
      <c r="I148" s="2293"/>
      <c r="J148" s="2293"/>
      <c r="K148" s="2295">
        <f>G148-H148</f>
        <v>0</v>
      </c>
      <c r="L148" s="1151"/>
      <c r="M148" s="1151"/>
      <c r="N148" s="1153"/>
      <c r="O148" s="1153"/>
      <c r="P148" s="1153"/>
      <c r="Q148" s="1153"/>
      <c r="R148" s="1153"/>
      <c r="S148" s="1153"/>
      <c r="T148" s="1153"/>
      <c r="U148" s="1153"/>
      <c r="V148" s="1153"/>
      <c r="W148" s="1153"/>
      <c r="X148" s="1153"/>
      <c r="Y148" s="1153"/>
      <c r="Z148" s="1153"/>
      <c r="AA148" s="1153"/>
      <c r="AB148" s="1153"/>
      <c r="AC148" s="1153"/>
      <c r="AD148" s="1153"/>
      <c r="AE148" s="1153"/>
      <c r="AF148" s="1153"/>
      <c r="AG148" s="1153"/>
      <c r="AH148" s="1153"/>
      <c r="AI148" s="1153"/>
      <c r="AJ148" s="1153"/>
      <c r="AK148" s="1153"/>
      <c r="AL148" s="1153"/>
      <c r="AM148" s="1153"/>
      <c r="AN148" s="1153"/>
      <c r="AO148" s="1153"/>
      <c r="AP148" s="1153"/>
      <c r="AQ148" s="1153"/>
      <c r="AR148" s="1153"/>
      <c r="AS148" s="1153"/>
      <c r="AT148" s="1153"/>
      <c r="AU148" s="1153"/>
      <c r="AV148" s="1153"/>
      <c r="AW148" s="1153"/>
      <c r="AX148" s="1153"/>
      <c r="AY148" s="1153"/>
      <c r="AZ148" s="1153"/>
    </row>
    <row r="149" spans="1:52" s="988" customFormat="1" ht="13.5" customHeight="1">
      <c r="A149" s="2288"/>
      <c r="B149" s="2290"/>
      <c r="C149" s="1014"/>
      <c r="D149" s="1007" t="s">
        <v>1227</v>
      </c>
      <c r="E149" s="1026"/>
      <c r="F149" s="1025"/>
      <c r="G149" s="2292"/>
      <c r="H149" s="2294"/>
      <c r="I149" s="2294"/>
      <c r="J149" s="2294"/>
      <c r="K149" s="2295"/>
      <c r="L149" s="1151"/>
      <c r="M149" s="1151"/>
      <c r="N149" s="1153"/>
      <c r="O149" s="1153"/>
      <c r="P149" s="1153"/>
      <c r="Q149" s="1153"/>
      <c r="R149" s="1153"/>
      <c r="S149" s="1153"/>
      <c r="T149" s="1153"/>
      <c r="U149" s="1153"/>
      <c r="V149" s="1153"/>
      <c r="W149" s="1153"/>
      <c r="X149" s="1153"/>
      <c r="Y149" s="1153"/>
      <c r="Z149" s="1153"/>
      <c r="AA149" s="1153"/>
      <c r="AB149" s="1153"/>
      <c r="AC149" s="1153"/>
      <c r="AD149" s="1153"/>
      <c r="AE149" s="1153"/>
      <c r="AF149" s="1153"/>
      <c r="AG149" s="1153"/>
      <c r="AH149" s="1153"/>
      <c r="AI149" s="1153"/>
      <c r="AJ149" s="1153"/>
      <c r="AK149" s="1153"/>
      <c r="AL149" s="1153"/>
      <c r="AM149" s="1153"/>
      <c r="AN149" s="1153"/>
      <c r="AO149" s="1153"/>
      <c r="AP149" s="1153"/>
      <c r="AQ149" s="1153"/>
      <c r="AR149" s="1153"/>
      <c r="AS149" s="1153"/>
      <c r="AT149" s="1153"/>
      <c r="AU149" s="1153"/>
      <c r="AV149" s="1153"/>
      <c r="AW149" s="1153"/>
      <c r="AX149" s="1153"/>
      <c r="AY149" s="1153"/>
      <c r="AZ149" s="1153"/>
    </row>
    <row r="150" spans="1:52" s="988" customFormat="1" ht="24.75" customHeight="1">
      <c r="A150" s="2298">
        <v>8</v>
      </c>
      <c r="B150" s="2297" t="s">
        <v>1228</v>
      </c>
      <c r="C150" s="1045" t="s">
        <v>1229</v>
      </c>
      <c r="D150" s="1047"/>
      <c r="E150" s="1047"/>
      <c r="F150" s="1048"/>
      <c r="G150" s="2307">
        <f>H150+I150+J150</f>
        <v>0</v>
      </c>
      <c r="H150" s="2293"/>
      <c r="I150" s="2293"/>
      <c r="J150" s="2293"/>
      <c r="K150" s="2300">
        <f>G150-H150</f>
        <v>0</v>
      </c>
      <c r="L150" s="1151"/>
      <c r="M150" s="1151"/>
      <c r="N150" s="1153"/>
      <c r="O150" s="1153"/>
      <c r="P150" s="1153"/>
      <c r="Q150" s="1153"/>
      <c r="R150" s="1153"/>
      <c r="S150" s="1153"/>
      <c r="T150" s="1153"/>
      <c r="U150" s="1153"/>
      <c r="V150" s="1153"/>
      <c r="W150" s="1153"/>
      <c r="X150" s="1153"/>
      <c r="Y150" s="1153"/>
      <c r="Z150" s="1153"/>
      <c r="AA150" s="1153"/>
      <c r="AB150" s="1153"/>
      <c r="AC150" s="1153"/>
      <c r="AD150" s="1153"/>
      <c r="AE150" s="1153"/>
      <c r="AF150" s="1153"/>
      <c r="AG150" s="1153"/>
      <c r="AH150" s="1153"/>
      <c r="AI150" s="1153"/>
      <c r="AJ150" s="1153"/>
      <c r="AK150" s="1153"/>
      <c r="AL150" s="1153"/>
      <c r="AM150" s="1153"/>
      <c r="AN150" s="1153"/>
      <c r="AO150" s="1153"/>
      <c r="AP150" s="1153"/>
      <c r="AQ150" s="1153"/>
      <c r="AR150" s="1153"/>
      <c r="AS150" s="1153"/>
      <c r="AT150" s="1153"/>
      <c r="AU150" s="1153"/>
      <c r="AV150" s="1153"/>
      <c r="AW150" s="1153"/>
      <c r="AX150" s="1153"/>
      <c r="AY150" s="1153"/>
      <c r="AZ150" s="1153"/>
    </row>
    <row r="151" spans="1:52" s="988" customFormat="1" ht="13.5" customHeight="1">
      <c r="A151" s="2288"/>
      <c r="B151" s="2290"/>
      <c r="C151" s="996" t="s">
        <v>1230</v>
      </c>
      <c r="D151" s="997" t="s">
        <v>1231</v>
      </c>
      <c r="E151" s="1070"/>
      <c r="F151" s="1071"/>
      <c r="G151" s="2308"/>
      <c r="H151" s="2294"/>
      <c r="I151" s="2294"/>
      <c r="J151" s="2294"/>
      <c r="K151" s="2275"/>
      <c r="L151" s="1151"/>
      <c r="M151" s="1151"/>
      <c r="N151" s="1153"/>
      <c r="O151" s="1153"/>
      <c r="P151" s="1153"/>
      <c r="Q151" s="1153"/>
      <c r="R151" s="1153"/>
      <c r="S151" s="1153"/>
      <c r="T151" s="1153"/>
      <c r="U151" s="1153"/>
      <c r="V151" s="1153"/>
      <c r="W151" s="1153"/>
      <c r="X151" s="1153"/>
      <c r="Y151" s="1153"/>
      <c r="Z151" s="1153"/>
      <c r="AA151" s="1153"/>
      <c r="AB151" s="1153"/>
      <c r="AC151" s="1153"/>
      <c r="AD151" s="1153"/>
      <c r="AE151" s="1153"/>
      <c r="AF151" s="1153"/>
      <c r="AG151" s="1153"/>
      <c r="AH151" s="1153"/>
      <c r="AI151" s="1153"/>
      <c r="AJ151" s="1153"/>
      <c r="AK151" s="1153"/>
      <c r="AL151" s="1153"/>
      <c r="AM151" s="1153"/>
      <c r="AN151" s="1153"/>
      <c r="AO151" s="1153"/>
      <c r="AP151" s="1153"/>
      <c r="AQ151" s="1153"/>
      <c r="AR151" s="1153"/>
      <c r="AS151" s="1153"/>
      <c r="AT151" s="1153"/>
      <c r="AU151" s="1153"/>
      <c r="AV151" s="1153"/>
      <c r="AW151" s="1153"/>
      <c r="AX151" s="1153"/>
      <c r="AY151" s="1153"/>
      <c r="AZ151" s="1153"/>
    </row>
    <row r="152" spans="1:52" s="988" customFormat="1" ht="21.75" customHeight="1">
      <c r="A152" s="2298"/>
      <c r="B152" s="2297"/>
      <c r="C152" s="2303" t="s">
        <v>1232</v>
      </c>
      <c r="D152" s="2303"/>
      <c r="E152" s="2303"/>
      <c r="F152" s="2303"/>
      <c r="G152" s="2304">
        <f>G14+G62+G96+G122+G124+G116+G144+G150</f>
        <v>0</v>
      </c>
      <c r="H152" s="2304">
        <f>H14+H62+H96+H116+H122+H124+H144+H150</f>
        <v>0</v>
      </c>
      <c r="I152" s="2304">
        <f>I14+I62+I96+I116+I122+I124+I144+I150</f>
        <v>0</v>
      </c>
      <c r="J152" s="2304">
        <f>J14+J62+J96+J116+J122+J124+J144+J150</f>
        <v>0</v>
      </c>
      <c r="K152" s="2304">
        <f>K14+K62+K96+K116+K122+K124+K144+K150</f>
        <v>0</v>
      </c>
      <c r="L152" s="1151"/>
      <c r="M152" s="1151"/>
      <c r="N152" s="1153"/>
      <c r="O152" s="1153"/>
      <c r="P152" s="1153"/>
      <c r="Q152" s="1153"/>
      <c r="R152" s="1153"/>
      <c r="S152" s="1153"/>
      <c r="T152" s="1153"/>
      <c r="U152" s="1153"/>
      <c r="V152" s="1153"/>
      <c r="W152" s="1153"/>
      <c r="X152" s="1153"/>
      <c r="Y152" s="1153"/>
      <c r="Z152" s="1153"/>
      <c r="AA152" s="1153"/>
      <c r="AB152" s="1153"/>
      <c r="AC152" s="1153"/>
      <c r="AD152" s="1153"/>
      <c r="AE152" s="1153"/>
      <c r="AF152" s="1153"/>
      <c r="AG152" s="1153"/>
      <c r="AH152" s="1153"/>
      <c r="AI152" s="1153"/>
      <c r="AJ152" s="1153"/>
      <c r="AK152" s="1153"/>
      <c r="AL152" s="1153"/>
      <c r="AM152" s="1153"/>
      <c r="AN152" s="1153"/>
      <c r="AO152" s="1153"/>
      <c r="AP152" s="1153"/>
      <c r="AQ152" s="1153"/>
      <c r="AR152" s="1153"/>
      <c r="AS152" s="1153"/>
      <c r="AT152" s="1153"/>
      <c r="AU152" s="1153"/>
      <c r="AV152" s="1153"/>
      <c r="AW152" s="1153"/>
      <c r="AX152" s="1153"/>
      <c r="AY152" s="1153"/>
      <c r="AZ152" s="1153"/>
    </row>
    <row r="153" spans="1:52" s="988" customFormat="1" ht="20.25" customHeight="1">
      <c r="A153" s="2301"/>
      <c r="B153" s="2302"/>
      <c r="C153" s="2306" t="s">
        <v>1233</v>
      </c>
      <c r="D153" s="2306"/>
      <c r="E153" s="2306"/>
      <c r="F153" s="2306"/>
      <c r="G153" s="2305"/>
      <c r="H153" s="2305"/>
      <c r="I153" s="2305"/>
      <c r="J153" s="2305"/>
      <c r="K153" s="2305"/>
      <c r="L153" s="1151"/>
      <c r="M153" s="1151"/>
      <c r="N153" s="1153"/>
      <c r="O153" s="1153"/>
      <c r="P153" s="1153"/>
      <c r="Q153" s="1153"/>
      <c r="R153" s="1153"/>
      <c r="S153" s="1153"/>
      <c r="T153" s="1153"/>
      <c r="U153" s="1153"/>
      <c r="V153" s="1153"/>
      <c r="W153" s="1153"/>
      <c r="X153" s="1153"/>
      <c r="Y153" s="1153"/>
      <c r="Z153" s="1153"/>
      <c r="AA153" s="1153"/>
      <c r="AB153" s="1153"/>
      <c r="AC153" s="1153"/>
      <c r="AD153" s="1153"/>
      <c r="AE153" s="1153"/>
      <c r="AF153" s="1153"/>
      <c r="AG153" s="1153"/>
      <c r="AH153" s="1153"/>
      <c r="AI153" s="1153"/>
      <c r="AJ153" s="1153"/>
      <c r="AK153" s="1153"/>
      <c r="AL153" s="1153"/>
      <c r="AM153" s="1153"/>
      <c r="AN153" s="1153"/>
      <c r="AO153" s="1153"/>
      <c r="AP153" s="1153"/>
      <c r="AQ153" s="1153"/>
      <c r="AR153" s="1153"/>
      <c r="AS153" s="1153"/>
      <c r="AT153" s="1153"/>
      <c r="AU153" s="1153"/>
      <c r="AV153" s="1153"/>
      <c r="AW153" s="1153"/>
      <c r="AX153" s="1153"/>
      <c r="AY153" s="1153"/>
      <c r="AZ153" s="1153"/>
    </row>
    <row r="154" spans="1:52" s="988" customFormat="1" ht="16.5" customHeight="1">
      <c r="A154" s="1072"/>
      <c r="B154" s="1073"/>
      <c r="C154" s="1074"/>
      <c r="D154" s="1075"/>
      <c r="E154" s="1075"/>
      <c r="F154" s="1075"/>
      <c r="G154" s="1076"/>
      <c r="H154" s="1076"/>
      <c r="I154" s="1076"/>
      <c r="J154" s="1076"/>
      <c r="K154" s="1076"/>
      <c r="L154" s="1151"/>
      <c r="M154" s="1151"/>
      <c r="N154" s="1153"/>
      <c r="O154" s="1153"/>
      <c r="P154" s="1153"/>
      <c r="Q154" s="1153"/>
      <c r="R154" s="1153"/>
      <c r="S154" s="1153"/>
      <c r="T154" s="1153"/>
      <c r="U154" s="1153"/>
      <c r="V154" s="1153"/>
      <c r="W154" s="1153"/>
      <c r="X154" s="1153"/>
      <c r="Y154" s="1153"/>
      <c r="Z154" s="1153"/>
      <c r="AA154" s="1153"/>
      <c r="AB154" s="1153"/>
      <c r="AC154" s="1153"/>
      <c r="AD154" s="1153"/>
      <c r="AE154" s="1153"/>
      <c r="AF154" s="1153"/>
      <c r="AG154" s="1153"/>
      <c r="AH154" s="1153"/>
      <c r="AI154" s="1153"/>
      <c r="AJ154" s="1153"/>
      <c r="AK154" s="1153"/>
      <c r="AL154" s="1153"/>
      <c r="AM154" s="1153"/>
      <c r="AN154" s="1153"/>
      <c r="AO154" s="1153"/>
      <c r="AP154" s="1153"/>
      <c r="AQ154" s="1153"/>
      <c r="AR154" s="1153"/>
      <c r="AS154" s="1153"/>
      <c r="AT154" s="1153"/>
      <c r="AU154" s="1153"/>
      <c r="AV154" s="1153"/>
      <c r="AW154" s="1153"/>
      <c r="AX154" s="1153"/>
      <c r="AY154" s="1153"/>
      <c r="AZ154" s="1153"/>
    </row>
    <row r="155" spans="1:52" s="988" customFormat="1" ht="12.75" customHeight="1">
      <c r="A155" s="1072"/>
      <c r="B155" s="1073"/>
      <c r="C155" s="1074"/>
      <c r="D155" s="1075"/>
      <c r="E155" s="1075"/>
      <c r="F155" s="1075"/>
      <c r="G155" s="1076"/>
      <c r="H155" s="1076"/>
      <c r="I155" s="1076"/>
      <c r="J155" s="1076"/>
      <c r="K155" s="1076"/>
      <c r="L155" s="1151"/>
      <c r="M155" s="1151"/>
      <c r="N155" s="1153"/>
      <c r="O155" s="1153"/>
      <c r="P155" s="1153"/>
      <c r="Q155" s="1153"/>
      <c r="R155" s="1153"/>
      <c r="S155" s="1153"/>
      <c r="T155" s="1153"/>
      <c r="U155" s="1153"/>
      <c r="V155" s="1153"/>
      <c r="W155" s="1153"/>
      <c r="X155" s="1153"/>
      <c r="Y155" s="1153"/>
      <c r="Z155" s="1153"/>
      <c r="AA155" s="1153"/>
      <c r="AB155" s="1153"/>
      <c r="AC155" s="1153"/>
      <c r="AD155" s="1153"/>
      <c r="AE155" s="1153"/>
      <c r="AF155" s="1153"/>
      <c r="AG155" s="1153"/>
      <c r="AH155" s="1153"/>
      <c r="AI155" s="1153"/>
      <c r="AJ155" s="1153"/>
      <c r="AK155" s="1153"/>
      <c r="AL155" s="1153"/>
      <c r="AM155" s="1153"/>
      <c r="AN155" s="1153"/>
      <c r="AO155" s="1153"/>
      <c r="AP155" s="1153"/>
      <c r="AQ155" s="1153"/>
      <c r="AR155" s="1153"/>
      <c r="AS155" s="1153"/>
      <c r="AT155" s="1153"/>
      <c r="AU155" s="1153"/>
      <c r="AV155" s="1153"/>
      <c r="AW155" s="1153"/>
      <c r="AX155" s="1153"/>
      <c r="AY155" s="1153"/>
      <c r="AZ155" s="1153"/>
    </row>
    <row r="156" spans="1:52" s="988" customFormat="1" ht="45.75" customHeight="1">
      <c r="A156" s="986"/>
      <c r="B156" s="987"/>
      <c r="C156" s="2317" t="s">
        <v>1234</v>
      </c>
      <c r="D156" s="2318"/>
      <c r="E156" s="2318"/>
      <c r="F156" s="2318"/>
      <c r="G156" s="2318"/>
      <c r="H156" s="2250"/>
      <c r="I156" s="1077" t="s">
        <v>959</v>
      </c>
      <c r="J156" s="1078" t="s">
        <v>960</v>
      </c>
      <c r="K156" s="1079" t="s">
        <v>961</v>
      </c>
      <c r="L156" s="1151"/>
      <c r="M156" s="1151"/>
      <c r="N156" s="1153"/>
      <c r="O156" s="1153"/>
      <c r="P156" s="1153"/>
      <c r="Q156" s="1153"/>
      <c r="R156" s="1153"/>
      <c r="S156" s="1153"/>
      <c r="T156" s="1153"/>
      <c r="U156" s="1153"/>
      <c r="V156" s="1153"/>
      <c r="W156" s="1153"/>
      <c r="X156" s="1153"/>
      <c r="Y156" s="1153"/>
      <c r="Z156" s="1153"/>
      <c r="AA156" s="1153"/>
      <c r="AB156" s="1153"/>
      <c r="AC156" s="1153"/>
      <c r="AD156" s="1153"/>
      <c r="AE156" s="1153"/>
      <c r="AF156" s="1153"/>
      <c r="AG156" s="1153"/>
      <c r="AH156" s="1153"/>
      <c r="AI156" s="1153"/>
      <c r="AJ156" s="1153"/>
      <c r="AK156" s="1153"/>
      <c r="AL156" s="1153"/>
      <c r="AM156" s="1153"/>
      <c r="AN156" s="1153"/>
      <c r="AO156" s="1153"/>
      <c r="AP156" s="1153"/>
      <c r="AQ156" s="1153"/>
      <c r="AR156" s="1153"/>
      <c r="AS156" s="1153"/>
      <c r="AT156" s="1153"/>
      <c r="AU156" s="1153"/>
      <c r="AV156" s="1153"/>
      <c r="AW156" s="1153"/>
      <c r="AX156" s="1153"/>
      <c r="AY156" s="1153"/>
      <c r="AZ156" s="1153"/>
    </row>
    <row r="157" spans="1:52" s="988" customFormat="1" ht="36" customHeight="1">
      <c r="A157" s="1080"/>
      <c r="B157" s="1081"/>
      <c r="C157" s="2319" t="s">
        <v>1235</v>
      </c>
      <c r="D157" s="2320"/>
      <c r="E157" s="2320"/>
      <c r="F157" s="2320"/>
      <c r="G157" s="2320"/>
      <c r="H157" s="2321"/>
      <c r="I157" s="1082" t="s">
        <v>962</v>
      </c>
      <c r="J157" s="1083" t="s">
        <v>963</v>
      </c>
      <c r="K157" s="1084" t="s">
        <v>964</v>
      </c>
      <c r="L157" s="1151"/>
      <c r="M157" s="1151"/>
      <c r="N157" s="1153"/>
      <c r="O157" s="1153"/>
      <c r="P157" s="1153"/>
      <c r="Q157" s="1153"/>
      <c r="R157" s="1153"/>
      <c r="S157" s="1153"/>
      <c r="T157" s="1153"/>
      <c r="U157" s="1153"/>
      <c r="V157" s="1153"/>
      <c r="W157" s="1153"/>
      <c r="X157" s="1153"/>
      <c r="Y157" s="1153"/>
      <c r="Z157" s="1153"/>
      <c r="AA157" s="1153"/>
      <c r="AB157" s="1153"/>
      <c r="AC157" s="1153"/>
      <c r="AD157" s="1153"/>
      <c r="AE157" s="1153"/>
      <c r="AF157" s="1153"/>
      <c r="AG157" s="1153"/>
      <c r="AH157" s="1153"/>
      <c r="AI157" s="1153"/>
      <c r="AJ157" s="1153"/>
      <c r="AK157" s="1153"/>
      <c r="AL157" s="1153"/>
      <c r="AM157" s="1153"/>
      <c r="AN157" s="1153"/>
      <c r="AO157" s="1153"/>
      <c r="AP157" s="1153"/>
      <c r="AQ157" s="1153"/>
      <c r="AR157" s="1153"/>
      <c r="AS157" s="1153"/>
      <c r="AT157" s="1153"/>
      <c r="AU157" s="1153"/>
      <c r="AV157" s="1153"/>
      <c r="AW157" s="1153"/>
      <c r="AX157" s="1153"/>
      <c r="AY157" s="1153"/>
      <c r="AZ157" s="1153"/>
    </row>
    <row r="158" spans="1:52" s="1004" customFormat="1" ht="26.25" customHeight="1">
      <c r="A158" s="2322">
        <v>9</v>
      </c>
      <c r="B158" s="2324">
        <v>9</v>
      </c>
      <c r="C158" s="1085" t="s">
        <v>1236</v>
      </c>
      <c r="D158" s="1086"/>
      <c r="E158" s="1086"/>
      <c r="F158" s="1086"/>
      <c r="G158" s="1087"/>
      <c r="H158" s="1088"/>
      <c r="I158" s="2309">
        <f>I160+I162</f>
        <v>0</v>
      </c>
      <c r="J158" s="2309">
        <f>J160+J162</f>
        <v>0</v>
      </c>
      <c r="K158" s="2309">
        <f>K160+K162</f>
        <v>0</v>
      </c>
      <c r="L158" s="1157"/>
      <c r="M158" s="1157"/>
      <c r="N158" s="1163"/>
      <c r="O158" s="1163"/>
      <c r="P158" s="1163"/>
      <c r="Q158" s="1163"/>
      <c r="R158" s="1163"/>
      <c r="S158" s="1163"/>
      <c r="T158" s="1163"/>
      <c r="U158" s="1163"/>
      <c r="V158" s="1163"/>
      <c r="W158" s="1163"/>
      <c r="X158" s="1163"/>
      <c r="Y158" s="1163"/>
      <c r="Z158" s="1163"/>
      <c r="AA158" s="1163"/>
      <c r="AB158" s="1163"/>
      <c r="AC158" s="1163"/>
      <c r="AD158" s="1163"/>
      <c r="AE158" s="1163"/>
      <c r="AF158" s="1163"/>
      <c r="AG158" s="1163"/>
      <c r="AH158" s="1163"/>
      <c r="AI158" s="1163"/>
      <c r="AJ158" s="1163"/>
      <c r="AK158" s="1163"/>
      <c r="AL158" s="1163"/>
      <c r="AM158" s="1163"/>
      <c r="AN158" s="1163"/>
      <c r="AO158" s="1163"/>
      <c r="AP158" s="1163"/>
      <c r="AQ158" s="1163"/>
      <c r="AR158" s="1163"/>
      <c r="AS158" s="1163"/>
      <c r="AT158" s="1163"/>
      <c r="AU158" s="1163"/>
      <c r="AV158" s="1163"/>
      <c r="AW158" s="1163"/>
      <c r="AX158" s="1163"/>
      <c r="AY158" s="1163"/>
      <c r="AZ158" s="1163"/>
    </row>
    <row r="159" spans="1:52" s="988" customFormat="1" ht="12" customHeight="1">
      <c r="A159" s="2323"/>
      <c r="B159" s="2325"/>
      <c r="C159" s="996" t="s">
        <v>1237</v>
      </c>
      <c r="D159" s="997" t="s">
        <v>1238</v>
      </c>
      <c r="E159" s="998"/>
      <c r="F159" s="998"/>
      <c r="G159" s="1070"/>
      <c r="H159" s="1071"/>
      <c r="I159" s="2309"/>
      <c r="J159" s="2309"/>
      <c r="K159" s="2309"/>
      <c r="L159" s="1153"/>
      <c r="M159" s="1153"/>
      <c r="N159" s="1153"/>
      <c r="O159" s="1153"/>
      <c r="P159" s="1153"/>
      <c r="Q159" s="1153"/>
      <c r="R159" s="1153"/>
      <c r="S159" s="1153"/>
      <c r="T159" s="1153"/>
      <c r="U159" s="1153"/>
      <c r="V159" s="1153"/>
      <c r="W159" s="1153"/>
      <c r="X159" s="1153"/>
      <c r="Y159" s="1153"/>
      <c r="Z159" s="1153"/>
      <c r="AA159" s="1153"/>
      <c r="AB159" s="1153"/>
      <c r="AC159" s="1153"/>
      <c r="AD159" s="1153"/>
      <c r="AE159" s="1153"/>
      <c r="AF159" s="1153"/>
      <c r="AG159" s="1153"/>
      <c r="AH159" s="1153"/>
      <c r="AI159" s="1153"/>
      <c r="AJ159" s="1153"/>
      <c r="AK159" s="1153"/>
      <c r="AL159" s="1153"/>
      <c r="AM159" s="1153"/>
      <c r="AN159" s="1153"/>
      <c r="AO159" s="1153"/>
      <c r="AP159" s="1153"/>
      <c r="AQ159" s="1153"/>
      <c r="AR159" s="1153"/>
      <c r="AS159" s="1153"/>
      <c r="AT159" s="1153"/>
      <c r="AU159" s="1153"/>
      <c r="AV159" s="1153"/>
      <c r="AW159" s="1153"/>
      <c r="AX159" s="1153"/>
      <c r="AY159" s="1153"/>
      <c r="AZ159" s="1153"/>
    </row>
    <row r="160" spans="1:52" s="988" customFormat="1" ht="19.5" customHeight="1">
      <c r="A160" s="2310" t="s">
        <v>1239</v>
      </c>
      <c r="B160" s="2312" t="s">
        <v>1239</v>
      </c>
      <c r="C160" s="1089"/>
      <c r="D160" s="1001" t="s">
        <v>1240</v>
      </c>
      <c r="E160" s="1002"/>
      <c r="F160" s="1002"/>
      <c r="G160" s="1004"/>
      <c r="H160" s="1010"/>
      <c r="I160" s="2314"/>
      <c r="J160" s="2314"/>
      <c r="K160" s="2316">
        <f>I160+J160</f>
        <v>0</v>
      </c>
      <c r="L160" s="1153"/>
      <c r="M160" s="1153"/>
      <c r="N160" s="1153"/>
      <c r="O160" s="1153"/>
      <c r="P160" s="1153"/>
      <c r="Q160" s="1153"/>
      <c r="R160" s="1153"/>
      <c r="S160" s="1153"/>
      <c r="T160" s="1153"/>
      <c r="U160" s="1153"/>
      <c r="V160" s="1153"/>
      <c r="W160" s="1153"/>
      <c r="X160" s="1153"/>
      <c r="Y160" s="1153"/>
      <c r="Z160" s="1153"/>
      <c r="AA160" s="1153"/>
      <c r="AB160" s="1153"/>
      <c r="AC160" s="1153"/>
      <c r="AD160" s="1153"/>
      <c r="AE160" s="1153"/>
      <c r="AF160" s="1153"/>
      <c r="AG160" s="1153"/>
      <c r="AH160" s="1153"/>
      <c r="AI160" s="1153"/>
      <c r="AJ160" s="1153"/>
      <c r="AK160" s="1153"/>
      <c r="AL160" s="1153"/>
      <c r="AM160" s="1153"/>
      <c r="AN160" s="1153"/>
      <c r="AO160" s="1153"/>
      <c r="AP160" s="1153"/>
      <c r="AQ160" s="1153"/>
      <c r="AR160" s="1153"/>
      <c r="AS160" s="1153"/>
      <c r="AT160" s="1153"/>
      <c r="AU160" s="1153"/>
      <c r="AV160" s="1153"/>
      <c r="AW160" s="1153"/>
      <c r="AX160" s="1153"/>
      <c r="AY160" s="1153"/>
      <c r="AZ160" s="1153"/>
    </row>
    <row r="161" spans="1:52" s="988" customFormat="1" ht="13.5" customHeight="1">
      <c r="A161" s="2311"/>
      <c r="B161" s="2313"/>
      <c r="C161" s="1090"/>
      <c r="D161" s="1007" t="s">
        <v>1241</v>
      </c>
      <c r="E161" s="1007"/>
      <c r="F161" s="1007"/>
      <c r="G161" s="1026"/>
      <c r="H161" s="1025"/>
      <c r="I161" s="2315"/>
      <c r="J161" s="2315"/>
      <c r="K161" s="2316"/>
      <c r="L161" s="1153"/>
      <c r="M161" s="1153"/>
      <c r="N161" s="1153"/>
      <c r="O161" s="1153"/>
      <c r="P161" s="1153"/>
      <c r="Q161" s="1153"/>
      <c r="R161" s="1153"/>
      <c r="S161" s="1153"/>
      <c r="T161" s="1153"/>
      <c r="U161" s="1153"/>
      <c r="V161" s="1153"/>
      <c r="W161" s="1153"/>
      <c r="X161" s="1153"/>
      <c r="Y161" s="1153"/>
      <c r="Z161" s="1153"/>
      <c r="AA161" s="1153"/>
      <c r="AB161" s="1153"/>
      <c r="AC161" s="1153"/>
      <c r="AD161" s="1153"/>
      <c r="AE161" s="1153"/>
      <c r="AF161" s="1153"/>
      <c r="AG161" s="1153"/>
      <c r="AH161" s="1153"/>
      <c r="AI161" s="1153"/>
      <c r="AJ161" s="1153"/>
      <c r="AK161" s="1153"/>
      <c r="AL161" s="1153"/>
      <c r="AM161" s="1153"/>
      <c r="AN161" s="1153"/>
      <c r="AO161" s="1153"/>
      <c r="AP161" s="1153"/>
      <c r="AQ161" s="1153"/>
      <c r="AR161" s="1153"/>
      <c r="AS161" s="1153"/>
      <c r="AT161" s="1153"/>
      <c r="AU161" s="1153"/>
      <c r="AV161" s="1153"/>
      <c r="AW161" s="1153"/>
      <c r="AX161" s="1153"/>
      <c r="AY161" s="1153"/>
      <c r="AZ161" s="1153"/>
    </row>
    <row r="162" spans="1:52" s="988" customFormat="1" ht="21" customHeight="1">
      <c r="A162" s="2310" t="s">
        <v>1242</v>
      </c>
      <c r="B162" s="2312" t="s">
        <v>1242</v>
      </c>
      <c r="C162" s="1091"/>
      <c r="D162" s="1001" t="s">
        <v>1243</v>
      </c>
      <c r="E162" s="1004"/>
      <c r="F162" s="1004"/>
      <c r="H162" s="1042"/>
      <c r="I162" s="2326">
        <f>I164+I180</f>
        <v>0</v>
      </c>
      <c r="J162" s="2326">
        <f>J164+J180</f>
        <v>0</v>
      </c>
      <c r="K162" s="2316">
        <f>I162+J162</f>
        <v>0</v>
      </c>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row>
    <row r="163" spans="1:52" s="988" customFormat="1" ht="13.5" customHeight="1">
      <c r="A163" s="2311"/>
      <c r="B163" s="2313"/>
      <c r="C163" s="1090"/>
      <c r="D163" s="1007" t="s">
        <v>1244</v>
      </c>
      <c r="E163" s="1024"/>
      <c r="F163" s="1007"/>
      <c r="G163" s="1026"/>
      <c r="H163" s="1025"/>
      <c r="I163" s="2326"/>
      <c r="J163" s="2326"/>
      <c r="K163" s="2316"/>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row>
    <row r="164" spans="1:52" s="988" customFormat="1" ht="19.5" customHeight="1">
      <c r="A164" s="2311" t="s">
        <v>1245</v>
      </c>
      <c r="B164" s="2313" t="s">
        <v>1245</v>
      </c>
      <c r="C164" s="1091"/>
      <c r="E164" s="989" t="s">
        <v>1246</v>
      </c>
      <c r="F164" s="1004"/>
      <c r="H164" s="1042"/>
      <c r="I164" s="2326">
        <f>SUM(I166:I179)</f>
        <v>0</v>
      </c>
      <c r="J164" s="2326">
        <f>SUM(J166:J179)</f>
        <v>0</v>
      </c>
      <c r="K164" s="2316">
        <f>I164+J164</f>
        <v>0</v>
      </c>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3"/>
      <c r="AK164" s="1153"/>
      <c r="AL164" s="1153"/>
      <c r="AM164" s="1153"/>
      <c r="AN164" s="1153"/>
      <c r="AO164" s="1153"/>
      <c r="AP164" s="1153"/>
      <c r="AQ164" s="1153"/>
      <c r="AR164" s="1153"/>
      <c r="AS164" s="1153"/>
      <c r="AT164" s="1153"/>
      <c r="AU164" s="1153"/>
      <c r="AV164" s="1153"/>
      <c r="AW164" s="1153"/>
      <c r="AX164" s="1153"/>
      <c r="AY164" s="1153"/>
      <c r="AZ164" s="1153"/>
    </row>
    <row r="165" spans="1:52" s="988" customFormat="1" ht="13.5" customHeight="1">
      <c r="A165" s="2311"/>
      <c r="B165" s="2313"/>
      <c r="C165" s="1092"/>
      <c r="D165" s="1007"/>
      <c r="E165" s="1016" t="s">
        <v>1247</v>
      </c>
      <c r="F165" s="1026"/>
      <c r="G165" s="1026"/>
      <c r="H165" s="1025"/>
      <c r="I165" s="2326"/>
      <c r="J165" s="2326"/>
      <c r="K165" s="2316"/>
      <c r="L165" s="1153"/>
      <c r="M165" s="1153"/>
      <c r="N165" s="1153"/>
      <c r="O165" s="1153"/>
      <c r="P165" s="1153"/>
      <c r="Q165" s="1153"/>
      <c r="R165" s="1153"/>
      <c r="S165" s="1153"/>
      <c r="T165" s="1153"/>
      <c r="U165" s="1153"/>
      <c r="V165" s="1153"/>
      <c r="W165" s="1153"/>
      <c r="X165" s="1153"/>
      <c r="Y165" s="1153"/>
      <c r="Z165" s="1153"/>
      <c r="AA165" s="1153"/>
      <c r="AB165" s="1153"/>
      <c r="AC165" s="1153"/>
      <c r="AD165" s="1153"/>
      <c r="AE165" s="1153"/>
      <c r="AF165" s="1153"/>
      <c r="AG165" s="1153"/>
      <c r="AH165" s="1153"/>
      <c r="AI165" s="1153"/>
      <c r="AJ165" s="1153"/>
      <c r="AK165" s="1153"/>
      <c r="AL165" s="1153"/>
      <c r="AM165" s="1153"/>
      <c r="AN165" s="1153"/>
      <c r="AO165" s="1153"/>
      <c r="AP165" s="1153"/>
      <c r="AQ165" s="1153"/>
      <c r="AR165" s="1153"/>
      <c r="AS165" s="1153"/>
      <c r="AT165" s="1153"/>
      <c r="AU165" s="1153"/>
      <c r="AV165" s="1153"/>
      <c r="AW165" s="1153"/>
      <c r="AX165" s="1153"/>
      <c r="AY165" s="1153"/>
      <c r="AZ165" s="1153"/>
    </row>
    <row r="166" spans="1:52" s="988" customFormat="1" ht="19.5" customHeight="1">
      <c r="A166" s="2310" t="s">
        <v>1248</v>
      </c>
      <c r="B166" s="2312" t="s">
        <v>1248</v>
      </c>
      <c r="C166" s="1093"/>
      <c r="E166" s="1004"/>
      <c r="F166" s="1020" t="s">
        <v>1249</v>
      </c>
      <c r="H166" s="1042"/>
      <c r="I166" s="2314"/>
      <c r="J166" s="2314"/>
      <c r="K166" s="2316">
        <f>I166+J166</f>
        <v>0</v>
      </c>
      <c r="L166" s="1153"/>
      <c r="M166" s="1153"/>
      <c r="N166" s="1153"/>
      <c r="O166" s="1153"/>
      <c r="P166" s="1153"/>
      <c r="Q166" s="1153"/>
      <c r="R166" s="1153"/>
      <c r="S166" s="1153"/>
      <c r="T166" s="1153"/>
      <c r="U166" s="1153"/>
      <c r="V166" s="1153"/>
      <c r="W166" s="1153"/>
      <c r="X166" s="1153"/>
      <c r="Y166" s="1153"/>
      <c r="Z166" s="1153"/>
      <c r="AA166" s="1153"/>
      <c r="AB166" s="1153"/>
      <c r="AC166" s="1153"/>
      <c r="AD166" s="1153"/>
      <c r="AE166" s="1153"/>
      <c r="AF166" s="1153"/>
      <c r="AG166" s="1153"/>
      <c r="AH166" s="1153"/>
      <c r="AI166" s="1153"/>
      <c r="AJ166" s="1153"/>
      <c r="AK166" s="1153"/>
      <c r="AL166" s="1153"/>
      <c r="AM166" s="1153"/>
      <c r="AN166" s="1153"/>
      <c r="AO166" s="1153"/>
      <c r="AP166" s="1153"/>
      <c r="AQ166" s="1153"/>
      <c r="AR166" s="1153"/>
      <c r="AS166" s="1153"/>
      <c r="AT166" s="1153"/>
      <c r="AU166" s="1153"/>
      <c r="AV166" s="1153"/>
      <c r="AW166" s="1153"/>
      <c r="AX166" s="1153"/>
      <c r="AY166" s="1153"/>
      <c r="AZ166" s="1153"/>
    </row>
    <row r="167" spans="1:52" s="988" customFormat="1" ht="13.5" customHeight="1">
      <c r="A167" s="2311"/>
      <c r="B167" s="2313"/>
      <c r="C167" s="1092"/>
      <c r="D167" s="1026"/>
      <c r="E167" s="1026"/>
      <c r="F167" s="1021" t="s">
        <v>1250</v>
      </c>
      <c r="G167" s="1026"/>
      <c r="H167" s="1025"/>
      <c r="I167" s="2315"/>
      <c r="J167" s="2315"/>
      <c r="K167" s="2316"/>
      <c r="L167" s="1153"/>
      <c r="M167" s="1153"/>
      <c r="N167" s="1153"/>
      <c r="O167" s="1153"/>
      <c r="P167" s="1153"/>
      <c r="Q167" s="1153"/>
      <c r="R167" s="1153"/>
      <c r="S167" s="1153"/>
      <c r="T167" s="1153"/>
      <c r="U167" s="1153"/>
      <c r="V167" s="1153"/>
      <c r="W167" s="1153"/>
      <c r="X167" s="1153"/>
      <c r="Y167" s="1153"/>
      <c r="Z167" s="1153"/>
      <c r="AA167" s="1153"/>
      <c r="AB167" s="1153"/>
      <c r="AC167" s="1153"/>
      <c r="AD167" s="1153"/>
      <c r="AE167" s="1153"/>
      <c r="AF167" s="1153"/>
      <c r="AG167" s="1153"/>
      <c r="AH167" s="1153"/>
      <c r="AI167" s="1153"/>
      <c r="AJ167" s="1153"/>
      <c r="AK167" s="1153"/>
      <c r="AL167" s="1153"/>
      <c r="AM167" s="1153"/>
      <c r="AN167" s="1153"/>
      <c r="AO167" s="1153"/>
      <c r="AP167" s="1153"/>
      <c r="AQ167" s="1153"/>
      <c r="AR167" s="1153"/>
      <c r="AS167" s="1153"/>
      <c r="AT167" s="1153"/>
      <c r="AU167" s="1153"/>
      <c r="AV167" s="1153"/>
      <c r="AW167" s="1153"/>
      <c r="AX167" s="1153"/>
      <c r="AY167" s="1153"/>
      <c r="AZ167" s="1153"/>
    </row>
    <row r="168" spans="1:52" s="988" customFormat="1" ht="21.75" customHeight="1">
      <c r="A168" s="2310" t="s">
        <v>1251</v>
      </c>
      <c r="B168" s="2312" t="s">
        <v>1251</v>
      </c>
      <c r="C168" s="1093"/>
      <c r="F168" s="1020" t="s">
        <v>1252</v>
      </c>
      <c r="H168" s="1042"/>
      <c r="I168" s="2314"/>
      <c r="J168" s="2314"/>
      <c r="K168" s="2316">
        <f>I168+J168</f>
        <v>0</v>
      </c>
      <c r="L168" s="1153"/>
      <c r="M168" s="1153"/>
      <c r="N168" s="1153"/>
      <c r="O168" s="1153"/>
      <c r="P168" s="1153"/>
      <c r="Q168" s="1153"/>
      <c r="R168" s="1153"/>
      <c r="S168" s="1153"/>
      <c r="T168" s="1153"/>
      <c r="U168" s="1153"/>
      <c r="V168" s="1153"/>
      <c r="W168" s="1153"/>
      <c r="X168" s="1153"/>
      <c r="Y168" s="1153"/>
      <c r="Z168" s="1153"/>
      <c r="AA168" s="1153"/>
      <c r="AB168" s="1153"/>
      <c r="AC168" s="1153"/>
      <c r="AD168" s="1153"/>
      <c r="AE168" s="1153"/>
      <c r="AF168" s="1153"/>
      <c r="AG168" s="1153"/>
      <c r="AH168" s="1153"/>
      <c r="AI168" s="1153"/>
      <c r="AJ168" s="1153"/>
      <c r="AK168" s="1153"/>
      <c r="AL168" s="1153"/>
      <c r="AM168" s="1153"/>
      <c r="AN168" s="1153"/>
      <c r="AO168" s="1153"/>
      <c r="AP168" s="1153"/>
      <c r="AQ168" s="1153"/>
      <c r="AR168" s="1153"/>
      <c r="AS168" s="1153"/>
      <c r="AT168" s="1153"/>
      <c r="AU168" s="1153"/>
      <c r="AV168" s="1153"/>
      <c r="AW168" s="1153"/>
      <c r="AX168" s="1153"/>
      <c r="AY168" s="1153"/>
      <c r="AZ168" s="1153"/>
    </row>
    <row r="169" spans="1:52" s="988" customFormat="1" ht="13.5" customHeight="1">
      <c r="A169" s="2311"/>
      <c r="B169" s="2313"/>
      <c r="C169" s="1092"/>
      <c r="D169" s="1007"/>
      <c r="E169" s="1026"/>
      <c r="F169" s="1094" t="s">
        <v>1253</v>
      </c>
      <c r="G169" s="1026"/>
      <c r="H169" s="1025"/>
      <c r="I169" s="2315"/>
      <c r="J169" s="2315"/>
      <c r="K169" s="2316"/>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3"/>
      <c r="AK169" s="1153"/>
      <c r="AL169" s="1153"/>
      <c r="AM169" s="1153"/>
      <c r="AN169" s="1153"/>
      <c r="AO169" s="1153"/>
      <c r="AP169" s="1153"/>
      <c r="AQ169" s="1153"/>
      <c r="AR169" s="1153"/>
      <c r="AS169" s="1153"/>
      <c r="AT169" s="1153"/>
      <c r="AU169" s="1153"/>
      <c r="AV169" s="1153"/>
      <c r="AW169" s="1153"/>
      <c r="AX169" s="1153"/>
      <c r="AY169" s="1153"/>
      <c r="AZ169" s="1153"/>
    </row>
    <row r="170" spans="1:52" s="988" customFormat="1" ht="21.75" customHeight="1">
      <c r="A170" s="2310" t="s">
        <v>1254</v>
      </c>
      <c r="B170" s="2312" t="s">
        <v>1254</v>
      </c>
      <c r="C170" s="1093"/>
      <c r="F170" s="1095" t="s">
        <v>1255</v>
      </c>
      <c r="H170" s="1042"/>
      <c r="I170" s="2314"/>
      <c r="J170" s="2314"/>
      <c r="K170" s="2316">
        <f>I170+J170</f>
        <v>0</v>
      </c>
      <c r="L170" s="1153"/>
      <c r="M170" s="1153"/>
      <c r="N170" s="1153"/>
      <c r="O170" s="1153"/>
      <c r="P170" s="1153"/>
      <c r="Q170" s="1153"/>
      <c r="R170" s="1153"/>
      <c r="S170" s="1153"/>
      <c r="T170" s="1153"/>
      <c r="U170" s="1153"/>
      <c r="V170" s="1153"/>
      <c r="W170" s="1153"/>
      <c r="X170" s="1153"/>
      <c r="Y170" s="1153"/>
      <c r="Z170" s="1153"/>
      <c r="AA170" s="1153"/>
      <c r="AB170" s="1153"/>
      <c r="AC170" s="1153"/>
      <c r="AD170" s="1153"/>
      <c r="AE170" s="1153"/>
      <c r="AF170" s="1153"/>
      <c r="AG170" s="1153"/>
      <c r="AH170" s="1153"/>
      <c r="AI170" s="1153"/>
      <c r="AJ170" s="1153"/>
      <c r="AK170" s="1153"/>
      <c r="AL170" s="1153"/>
      <c r="AM170" s="1153"/>
      <c r="AN170" s="1153"/>
      <c r="AO170" s="1153"/>
      <c r="AP170" s="1153"/>
      <c r="AQ170" s="1153"/>
      <c r="AR170" s="1153"/>
      <c r="AS170" s="1153"/>
      <c r="AT170" s="1153"/>
      <c r="AU170" s="1153"/>
      <c r="AV170" s="1153"/>
      <c r="AW170" s="1153"/>
      <c r="AX170" s="1153"/>
      <c r="AY170" s="1153"/>
      <c r="AZ170" s="1153"/>
    </row>
    <row r="171" spans="1:52" s="988" customFormat="1" ht="13.5" customHeight="1">
      <c r="A171" s="2311"/>
      <c r="B171" s="2313"/>
      <c r="C171" s="1092"/>
      <c r="D171" s="1007"/>
      <c r="E171" s="1026"/>
      <c r="F171" s="1096" t="s">
        <v>1256</v>
      </c>
      <c r="G171" s="1026"/>
      <c r="H171" s="1025"/>
      <c r="I171" s="2315"/>
      <c r="J171" s="2315"/>
      <c r="K171" s="2316"/>
      <c r="L171" s="1153"/>
      <c r="M171" s="1153"/>
      <c r="N171" s="1153"/>
      <c r="O171" s="1153"/>
      <c r="P171" s="1153"/>
      <c r="Q171" s="1153"/>
      <c r="R171" s="1153"/>
      <c r="S171" s="1153"/>
      <c r="T171" s="1153"/>
      <c r="U171" s="1153"/>
      <c r="V171" s="1153"/>
      <c r="W171" s="1153"/>
      <c r="X171" s="1153"/>
      <c r="Y171" s="1153"/>
      <c r="Z171" s="1153"/>
      <c r="AA171" s="1153"/>
      <c r="AB171" s="1153"/>
      <c r="AC171" s="1153"/>
      <c r="AD171" s="1153"/>
      <c r="AE171" s="1153"/>
      <c r="AF171" s="1153"/>
      <c r="AG171" s="1153"/>
      <c r="AH171" s="1153"/>
      <c r="AI171" s="1153"/>
      <c r="AJ171" s="1153"/>
      <c r="AK171" s="1153"/>
      <c r="AL171" s="1153"/>
      <c r="AM171" s="1153"/>
      <c r="AN171" s="1153"/>
      <c r="AO171" s="1153"/>
      <c r="AP171" s="1153"/>
      <c r="AQ171" s="1153"/>
      <c r="AR171" s="1153"/>
      <c r="AS171" s="1153"/>
      <c r="AT171" s="1153"/>
      <c r="AU171" s="1153"/>
      <c r="AV171" s="1153"/>
      <c r="AW171" s="1153"/>
      <c r="AX171" s="1153"/>
      <c r="AY171" s="1153"/>
      <c r="AZ171" s="1153"/>
    </row>
    <row r="172" spans="1:52" s="988" customFormat="1" ht="20.25" customHeight="1">
      <c r="A172" s="2310" t="s">
        <v>1257</v>
      </c>
      <c r="B172" s="2312" t="s">
        <v>1257</v>
      </c>
      <c r="C172" s="1093"/>
      <c r="F172" s="1020" t="s">
        <v>1258</v>
      </c>
      <c r="H172" s="1042"/>
      <c r="I172" s="2314"/>
      <c r="J172" s="2314"/>
      <c r="K172" s="2316">
        <f>I172+J172</f>
        <v>0</v>
      </c>
      <c r="L172" s="1153"/>
      <c r="M172" s="1153"/>
      <c r="N172" s="1153"/>
      <c r="O172" s="1153"/>
      <c r="P172" s="1153"/>
      <c r="Q172" s="1153"/>
      <c r="R172" s="1153"/>
      <c r="S172" s="1153"/>
      <c r="T172" s="1153"/>
      <c r="U172" s="1153"/>
      <c r="V172" s="1153"/>
      <c r="W172" s="1153"/>
      <c r="X172" s="1153"/>
      <c r="Y172" s="1153"/>
      <c r="Z172" s="1153"/>
      <c r="AA172" s="1153"/>
      <c r="AB172" s="1153"/>
      <c r="AC172" s="1153"/>
      <c r="AD172" s="1153"/>
      <c r="AE172" s="1153"/>
      <c r="AF172" s="1153"/>
      <c r="AG172" s="1153"/>
      <c r="AH172" s="1153"/>
      <c r="AI172" s="1153"/>
      <c r="AJ172" s="1153"/>
      <c r="AK172" s="1153"/>
      <c r="AL172" s="1153"/>
      <c r="AM172" s="1153"/>
      <c r="AN172" s="1153"/>
      <c r="AO172" s="1153"/>
      <c r="AP172" s="1153"/>
      <c r="AQ172" s="1153"/>
      <c r="AR172" s="1153"/>
      <c r="AS172" s="1153"/>
      <c r="AT172" s="1153"/>
      <c r="AU172" s="1153"/>
      <c r="AV172" s="1153"/>
      <c r="AW172" s="1153"/>
      <c r="AX172" s="1153"/>
      <c r="AY172" s="1153"/>
      <c r="AZ172" s="1153"/>
    </row>
    <row r="173" spans="1:52" s="988" customFormat="1" ht="13.5" customHeight="1">
      <c r="A173" s="2311"/>
      <c r="B173" s="2313"/>
      <c r="C173" s="1092"/>
      <c r="D173" s="1007"/>
      <c r="E173" s="1026"/>
      <c r="F173" s="1021" t="s">
        <v>1259</v>
      </c>
      <c r="G173" s="1026"/>
      <c r="H173" s="1025"/>
      <c r="I173" s="2315"/>
      <c r="J173" s="2315"/>
      <c r="K173" s="2316"/>
      <c r="L173" s="1153"/>
      <c r="M173" s="1153"/>
      <c r="N173" s="1153"/>
      <c r="O173" s="1153"/>
      <c r="P173" s="1153"/>
      <c r="Q173" s="1153"/>
      <c r="R173" s="1153"/>
      <c r="S173" s="1153"/>
      <c r="T173" s="1153"/>
      <c r="U173" s="1153"/>
      <c r="V173" s="1153"/>
      <c r="W173" s="1153"/>
      <c r="X173" s="1153"/>
      <c r="Y173" s="1153"/>
      <c r="Z173" s="1153"/>
      <c r="AA173" s="1153"/>
      <c r="AB173" s="1153"/>
      <c r="AC173" s="1153"/>
      <c r="AD173" s="1153"/>
      <c r="AE173" s="1153"/>
      <c r="AF173" s="1153"/>
      <c r="AG173" s="1153"/>
      <c r="AH173" s="1153"/>
      <c r="AI173" s="1153"/>
      <c r="AJ173" s="1153"/>
      <c r="AK173" s="1153"/>
      <c r="AL173" s="1153"/>
      <c r="AM173" s="1153"/>
      <c r="AN173" s="1153"/>
      <c r="AO173" s="1153"/>
      <c r="AP173" s="1153"/>
      <c r="AQ173" s="1153"/>
      <c r="AR173" s="1153"/>
      <c r="AS173" s="1153"/>
      <c r="AT173" s="1153"/>
      <c r="AU173" s="1153"/>
      <c r="AV173" s="1153"/>
      <c r="AW173" s="1153"/>
      <c r="AX173" s="1153"/>
      <c r="AY173" s="1153"/>
      <c r="AZ173" s="1153"/>
    </row>
    <row r="174" spans="1:52" s="988" customFormat="1" ht="19.5" customHeight="1">
      <c r="A174" s="2310" t="s">
        <v>1260</v>
      </c>
      <c r="B174" s="2312" t="s">
        <v>1260</v>
      </c>
      <c r="C174" s="1097"/>
      <c r="D174" s="1031"/>
      <c r="E174" s="1098"/>
      <c r="F174" s="1099" t="s">
        <v>1261</v>
      </c>
      <c r="G174" s="1098"/>
      <c r="H174" s="1100"/>
      <c r="I174" s="2314"/>
      <c r="J174" s="2314"/>
      <c r="K174" s="2316">
        <f>I174+J174</f>
        <v>0</v>
      </c>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3"/>
      <c r="AK174" s="1153"/>
      <c r="AL174" s="1153"/>
      <c r="AM174" s="1153"/>
      <c r="AN174" s="1153"/>
      <c r="AO174" s="1153"/>
      <c r="AP174" s="1153"/>
      <c r="AQ174" s="1153"/>
      <c r="AR174" s="1153"/>
      <c r="AS174" s="1153"/>
      <c r="AT174" s="1153"/>
      <c r="AU174" s="1153"/>
      <c r="AV174" s="1153"/>
      <c r="AW174" s="1153"/>
      <c r="AX174" s="1153"/>
      <c r="AY174" s="1153"/>
      <c r="AZ174" s="1153"/>
    </row>
    <row r="175" spans="1:52" s="988" customFormat="1" ht="13.5" customHeight="1">
      <c r="A175" s="2311"/>
      <c r="B175" s="2313"/>
      <c r="C175" s="1092"/>
      <c r="D175" s="1007"/>
      <c r="E175" s="1026"/>
      <c r="F175" s="1094" t="s">
        <v>1262</v>
      </c>
      <c r="G175" s="1026"/>
      <c r="H175" s="1025"/>
      <c r="I175" s="2315"/>
      <c r="J175" s="2315"/>
      <c r="K175" s="2316"/>
      <c r="L175" s="1153"/>
      <c r="M175" s="1153"/>
      <c r="N175" s="1153"/>
      <c r="O175" s="1153"/>
      <c r="P175" s="1153"/>
      <c r="Q175" s="1153"/>
      <c r="R175" s="1153"/>
      <c r="S175" s="1153"/>
      <c r="T175" s="1153"/>
      <c r="U175" s="1153"/>
      <c r="V175" s="1153"/>
      <c r="W175" s="1153"/>
      <c r="X175" s="1153"/>
      <c r="Y175" s="1153"/>
      <c r="Z175" s="1153"/>
      <c r="AA175" s="1153"/>
      <c r="AB175" s="1153"/>
      <c r="AC175" s="1153"/>
      <c r="AD175" s="1153"/>
      <c r="AE175" s="1153"/>
      <c r="AF175" s="1153"/>
      <c r="AG175" s="1153"/>
      <c r="AH175" s="1153"/>
      <c r="AI175" s="1153"/>
      <c r="AJ175" s="1153"/>
      <c r="AK175" s="1153"/>
      <c r="AL175" s="1153"/>
      <c r="AM175" s="1153"/>
      <c r="AN175" s="1153"/>
      <c r="AO175" s="1153"/>
      <c r="AP175" s="1153"/>
      <c r="AQ175" s="1153"/>
      <c r="AR175" s="1153"/>
      <c r="AS175" s="1153"/>
      <c r="AT175" s="1153"/>
      <c r="AU175" s="1153"/>
      <c r="AV175" s="1153"/>
      <c r="AW175" s="1153"/>
      <c r="AX175" s="1153"/>
      <c r="AY175" s="1153"/>
      <c r="AZ175" s="1153"/>
    </row>
    <row r="176" spans="1:52" s="988" customFormat="1" ht="18.75" customHeight="1">
      <c r="A176" s="2310" t="s">
        <v>1263</v>
      </c>
      <c r="B176" s="2312" t="s">
        <v>1263</v>
      </c>
      <c r="C176" s="1093"/>
      <c r="F176" s="1020" t="s">
        <v>1264</v>
      </c>
      <c r="H176" s="1042"/>
      <c r="I176" s="2314"/>
      <c r="J176" s="2314"/>
      <c r="K176" s="2316">
        <f>I176+J176</f>
        <v>0</v>
      </c>
      <c r="L176" s="1153"/>
      <c r="M176" s="1153"/>
      <c r="N176" s="1153"/>
      <c r="O176" s="1153"/>
      <c r="P176" s="1153"/>
      <c r="Q176" s="1153"/>
      <c r="R176" s="1153"/>
      <c r="S176" s="1153"/>
      <c r="T176" s="1153"/>
      <c r="U176" s="1153"/>
      <c r="V176" s="1153"/>
      <c r="W176" s="1153"/>
      <c r="X176" s="1153"/>
      <c r="Y176" s="1153"/>
      <c r="Z176" s="1153"/>
      <c r="AA176" s="1153"/>
      <c r="AB176" s="1153"/>
      <c r="AC176" s="1153"/>
      <c r="AD176" s="1153"/>
      <c r="AE176" s="1153"/>
      <c r="AF176" s="1153"/>
      <c r="AG176" s="1153"/>
      <c r="AH176" s="1153"/>
      <c r="AI176" s="1153"/>
      <c r="AJ176" s="1153"/>
      <c r="AK176" s="1153"/>
      <c r="AL176" s="1153"/>
      <c r="AM176" s="1153"/>
      <c r="AN176" s="1153"/>
      <c r="AO176" s="1153"/>
      <c r="AP176" s="1153"/>
      <c r="AQ176" s="1153"/>
      <c r="AR176" s="1153"/>
      <c r="AS176" s="1153"/>
      <c r="AT176" s="1153"/>
      <c r="AU176" s="1153"/>
      <c r="AV176" s="1153"/>
      <c r="AW176" s="1153"/>
      <c r="AX176" s="1153"/>
      <c r="AY176" s="1153"/>
      <c r="AZ176" s="1153"/>
    </row>
    <row r="177" spans="1:73" s="988" customFormat="1" ht="13.5" customHeight="1">
      <c r="A177" s="2311"/>
      <c r="B177" s="2313"/>
      <c r="C177" s="1092"/>
      <c r="D177" s="1007"/>
      <c r="E177" s="1026"/>
      <c r="F177" s="1094" t="s">
        <v>1265</v>
      </c>
      <c r="G177" s="1026"/>
      <c r="H177" s="1025"/>
      <c r="I177" s="2315"/>
      <c r="J177" s="2315"/>
      <c r="K177" s="2316"/>
      <c r="L177" s="1153"/>
      <c r="M177" s="1153"/>
      <c r="N177" s="1153"/>
      <c r="O177" s="1153"/>
      <c r="P177" s="1153"/>
      <c r="Q177" s="1153"/>
      <c r="R177" s="1153"/>
      <c r="S177" s="1153"/>
      <c r="T177" s="1153"/>
      <c r="U177" s="1153"/>
      <c r="V177" s="1153"/>
      <c r="W177" s="1153"/>
      <c r="X177" s="1153"/>
      <c r="Y177" s="1153"/>
      <c r="Z177" s="1153"/>
      <c r="AA177" s="1153"/>
      <c r="AB177" s="1153"/>
      <c r="AC177" s="1153"/>
      <c r="AD177" s="1153"/>
      <c r="AE177" s="1153"/>
      <c r="AF177" s="1153"/>
      <c r="AG177" s="1153"/>
      <c r="AH177" s="1153"/>
      <c r="AI177" s="1153"/>
      <c r="AJ177" s="1153"/>
      <c r="AK177" s="1153"/>
      <c r="AL177" s="1153"/>
      <c r="AM177" s="1153"/>
      <c r="AN177" s="1153"/>
      <c r="AO177" s="1153"/>
      <c r="AP177" s="1153"/>
      <c r="AQ177" s="1153"/>
      <c r="AR177" s="1153"/>
      <c r="AS177" s="1153"/>
      <c r="AT177" s="1153"/>
      <c r="AU177" s="1153"/>
      <c r="AV177" s="1153"/>
      <c r="AW177" s="1153"/>
      <c r="AX177" s="1153"/>
      <c r="AY177" s="1153"/>
      <c r="AZ177" s="1153"/>
    </row>
    <row r="178" spans="1:73" s="988" customFormat="1" ht="18.75" customHeight="1">
      <c r="A178" s="2310" t="s">
        <v>1266</v>
      </c>
      <c r="B178" s="2312" t="s">
        <v>1266</v>
      </c>
      <c r="C178" s="1093"/>
      <c r="F178" s="1020" t="s">
        <v>1267</v>
      </c>
      <c r="H178" s="1042"/>
      <c r="I178" s="2314"/>
      <c r="J178" s="2314"/>
      <c r="K178" s="2316">
        <f>I178+J178</f>
        <v>0</v>
      </c>
      <c r="L178" s="1153"/>
      <c r="M178" s="1153"/>
      <c r="N178" s="1153"/>
      <c r="O178" s="1153"/>
      <c r="P178" s="1153"/>
      <c r="Q178" s="1153"/>
      <c r="R178" s="1153"/>
      <c r="S178" s="1153"/>
      <c r="T178" s="1153"/>
      <c r="U178" s="1153"/>
      <c r="V178" s="1153"/>
      <c r="W178" s="1153"/>
      <c r="X178" s="1153"/>
      <c r="Y178" s="1153"/>
      <c r="Z178" s="1153"/>
      <c r="AA178" s="1153"/>
      <c r="AB178" s="1153"/>
      <c r="AC178" s="1153"/>
      <c r="AD178" s="1153"/>
      <c r="AE178" s="1153"/>
      <c r="AF178" s="1153"/>
      <c r="AG178" s="1153"/>
      <c r="AH178" s="1153"/>
      <c r="AI178" s="1153"/>
      <c r="AJ178" s="1153"/>
      <c r="AK178" s="1153"/>
      <c r="AL178" s="1153"/>
      <c r="AM178" s="1153"/>
      <c r="AN178" s="1153"/>
      <c r="AO178" s="1153"/>
      <c r="AP178" s="1153"/>
      <c r="AQ178" s="1153"/>
      <c r="AR178" s="1153"/>
      <c r="AS178" s="1153"/>
      <c r="AT178" s="1153"/>
      <c r="AU178" s="1153"/>
      <c r="AV178" s="1153"/>
      <c r="AW178" s="1153"/>
      <c r="AX178" s="1153"/>
      <c r="AY178" s="1153"/>
      <c r="AZ178" s="1153"/>
    </row>
    <row r="179" spans="1:73" s="988" customFormat="1" ht="13.5" customHeight="1">
      <c r="A179" s="2311"/>
      <c r="B179" s="2313"/>
      <c r="C179" s="1092"/>
      <c r="D179" s="1007"/>
      <c r="E179" s="1026"/>
      <c r="F179" s="1094" t="s">
        <v>1268</v>
      </c>
      <c r="G179" s="1026"/>
      <c r="H179" s="1025"/>
      <c r="I179" s="2315"/>
      <c r="J179" s="2315"/>
      <c r="K179" s="2316"/>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3"/>
      <c r="AK179" s="1153"/>
      <c r="AL179" s="1153"/>
      <c r="AM179" s="1153"/>
      <c r="AN179" s="1153"/>
      <c r="AO179" s="1153"/>
      <c r="AP179" s="1153"/>
      <c r="AQ179" s="1153"/>
      <c r="AR179" s="1153"/>
      <c r="AS179" s="1153"/>
      <c r="AT179" s="1153"/>
      <c r="AU179" s="1153"/>
      <c r="AV179" s="1153"/>
      <c r="AW179" s="1153"/>
      <c r="AX179" s="1153"/>
      <c r="AY179" s="1153"/>
      <c r="AZ179" s="1153"/>
    </row>
    <row r="180" spans="1:73" s="988" customFormat="1" ht="21" customHeight="1">
      <c r="A180" s="2311" t="s">
        <v>1269</v>
      </c>
      <c r="B180" s="2313" t="s">
        <v>1269</v>
      </c>
      <c r="C180" s="1093"/>
      <c r="E180" s="989" t="s">
        <v>1270</v>
      </c>
      <c r="F180" s="1056"/>
      <c r="H180" s="1042"/>
      <c r="I180" s="2326">
        <f>SUM(I182:I195)</f>
        <v>0</v>
      </c>
      <c r="J180" s="2326">
        <f>SUM(J182:J195)</f>
        <v>0</v>
      </c>
      <c r="K180" s="2316">
        <f>I180+J180</f>
        <v>0</v>
      </c>
      <c r="L180" s="1153"/>
      <c r="M180" s="1153"/>
      <c r="N180" s="1153"/>
      <c r="O180" s="1153"/>
      <c r="P180" s="1153"/>
      <c r="Q180" s="1153"/>
      <c r="R180" s="1153"/>
      <c r="S180" s="1153"/>
      <c r="T180" s="1153"/>
      <c r="U180" s="1153"/>
      <c r="V180" s="1153"/>
      <c r="W180" s="1153"/>
      <c r="X180" s="1153"/>
      <c r="Y180" s="1153"/>
      <c r="Z180" s="1153"/>
      <c r="AA180" s="1153"/>
      <c r="AB180" s="1153"/>
      <c r="AC180" s="1153"/>
      <c r="AD180" s="1153"/>
      <c r="AE180" s="1153"/>
      <c r="AF180" s="1153"/>
      <c r="AG180" s="1153"/>
      <c r="AH180" s="1153"/>
      <c r="AI180" s="1153"/>
      <c r="AJ180" s="1153"/>
      <c r="AK180" s="1153"/>
      <c r="AL180" s="1153"/>
      <c r="AM180" s="1153"/>
      <c r="AN180" s="1153"/>
      <c r="AO180" s="1153"/>
      <c r="AP180" s="1153"/>
      <c r="AQ180" s="1153"/>
      <c r="AR180" s="1153"/>
      <c r="AS180" s="1153"/>
      <c r="AT180" s="1153"/>
      <c r="AU180" s="1153"/>
      <c r="AV180" s="1153"/>
      <c r="AW180" s="1153"/>
      <c r="AX180" s="1153"/>
      <c r="AY180" s="1153"/>
      <c r="AZ180" s="1153"/>
    </row>
    <row r="181" spans="1:73" s="985" customFormat="1" ht="13.5" customHeight="1">
      <c r="A181" s="2311"/>
      <c r="B181" s="2313"/>
      <c r="C181" s="1092"/>
      <c r="D181" s="1007"/>
      <c r="E181" s="1016" t="s">
        <v>1271</v>
      </c>
      <c r="F181" s="1026"/>
      <c r="G181" s="1026"/>
      <c r="H181" s="1025"/>
      <c r="I181" s="2326"/>
      <c r="J181" s="2326"/>
      <c r="K181" s="2316"/>
      <c r="L181" s="1153"/>
      <c r="M181" s="1153"/>
      <c r="N181" s="1153"/>
      <c r="O181" s="1153"/>
      <c r="P181" s="1153"/>
      <c r="Q181" s="1153"/>
      <c r="R181" s="1153"/>
      <c r="S181" s="1153"/>
      <c r="T181" s="1153"/>
      <c r="U181" s="1153"/>
      <c r="V181" s="1153"/>
      <c r="W181" s="1153"/>
      <c r="X181" s="1153"/>
      <c r="Y181" s="1153"/>
      <c r="Z181" s="1153"/>
      <c r="AA181" s="1153"/>
      <c r="AB181" s="1153"/>
      <c r="AC181" s="1153"/>
      <c r="AD181" s="1153"/>
      <c r="AE181" s="1153"/>
      <c r="AF181" s="1153"/>
      <c r="AG181" s="1153"/>
      <c r="AH181" s="1153"/>
      <c r="AI181" s="1153"/>
      <c r="AJ181" s="1153"/>
      <c r="AK181" s="1153"/>
      <c r="AL181" s="1153"/>
      <c r="AM181" s="1153"/>
      <c r="AN181" s="1153"/>
      <c r="AO181" s="1153"/>
      <c r="AP181" s="1153"/>
      <c r="AQ181" s="1153"/>
      <c r="AR181" s="1153"/>
      <c r="AS181" s="1153"/>
      <c r="AT181" s="1153"/>
      <c r="AU181" s="1153"/>
      <c r="AV181" s="1153"/>
      <c r="AW181" s="1153"/>
      <c r="AX181" s="1153"/>
      <c r="AY181" s="1153"/>
      <c r="AZ181" s="1153"/>
      <c r="BA181" s="988"/>
      <c r="BB181" s="988"/>
      <c r="BC181" s="988"/>
      <c r="BD181" s="988"/>
      <c r="BE181" s="988"/>
      <c r="BF181" s="988"/>
      <c r="BG181" s="988"/>
      <c r="BH181" s="988"/>
      <c r="BI181" s="988"/>
      <c r="BJ181" s="988"/>
      <c r="BK181" s="988"/>
      <c r="BL181" s="988"/>
      <c r="BM181" s="988"/>
      <c r="BN181" s="988"/>
      <c r="BO181" s="988"/>
      <c r="BP181" s="988"/>
      <c r="BQ181" s="988"/>
      <c r="BR181" s="988"/>
      <c r="BS181" s="988"/>
      <c r="BT181" s="988"/>
      <c r="BU181" s="988"/>
    </row>
    <row r="182" spans="1:73" s="985" customFormat="1" ht="22.5" customHeight="1">
      <c r="A182" s="2310" t="s">
        <v>1272</v>
      </c>
      <c r="B182" s="2312" t="s">
        <v>1272</v>
      </c>
      <c r="C182" s="1093"/>
      <c r="E182" s="1101"/>
      <c r="F182" s="1095" t="s">
        <v>1273</v>
      </c>
      <c r="G182" s="988"/>
      <c r="H182" s="1042"/>
      <c r="I182" s="2314"/>
      <c r="J182" s="2314"/>
      <c r="K182" s="2316">
        <f>I182+J182</f>
        <v>0</v>
      </c>
      <c r="L182" s="1153"/>
      <c r="M182" s="1153"/>
      <c r="N182" s="1153"/>
      <c r="O182" s="1153"/>
      <c r="P182" s="1153"/>
      <c r="Q182" s="1153"/>
      <c r="R182" s="1153"/>
      <c r="S182" s="1153"/>
      <c r="T182" s="1153"/>
      <c r="U182" s="1153"/>
      <c r="V182" s="1153"/>
      <c r="W182" s="1153"/>
      <c r="X182" s="1153"/>
      <c r="Y182" s="1153"/>
      <c r="Z182" s="1153"/>
      <c r="AA182" s="1153"/>
      <c r="AB182" s="1153"/>
      <c r="AC182" s="1153"/>
      <c r="AD182" s="1153"/>
      <c r="AE182" s="1153"/>
      <c r="AF182" s="1153"/>
      <c r="AG182" s="1153"/>
      <c r="AH182" s="1153"/>
      <c r="AI182" s="1153"/>
      <c r="AJ182" s="1153"/>
      <c r="AK182" s="1153"/>
      <c r="AL182" s="1153"/>
      <c r="AM182" s="1153"/>
      <c r="AN182" s="1153"/>
      <c r="AO182" s="1153"/>
      <c r="AP182" s="1153"/>
      <c r="AQ182" s="1153"/>
      <c r="AR182" s="1153"/>
      <c r="AS182" s="1153"/>
      <c r="AT182" s="1153"/>
      <c r="AU182" s="1153"/>
      <c r="AV182" s="1153"/>
      <c r="AW182" s="1153"/>
      <c r="AX182" s="1153"/>
      <c r="AY182" s="1153"/>
      <c r="AZ182" s="1153"/>
      <c r="BA182" s="988"/>
      <c r="BB182" s="988"/>
      <c r="BC182" s="988"/>
      <c r="BD182" s="988"/>
      <c r="BE182" s="988"/>
      <c r="BF182" s="988"/>
      <c r="BG182" s="988"/>
      <c r="BH182" s="988"/>
      <c r="BI182" s="988"/>
      <c r="BJ182" s="988"/>
      <c r="BK182" s="988"/>
      <c r="BL182" s="988"/>
      <c r="BM182" s="988"/>
      <c r="BN182" s="988"/>
      <c r="BO182" s="988"/>
      <c r="BP182" s="988"/>
      <c r="BQ182" s="988"/>
      <c r="BR182" s="988"/>
      <c r="BS182" s="988"/>
      <c r="BT182" s="988"/>
      <c r="BU182" s="988"/>
    </row>
    <row r="183" spans="1:73" s="988" customFormat="1" ht="13.5" customHeight="1">
      <c r="A183" s="2311"/>
      <c r="B183" s="2313"/>
      <c r="C183" s="1092"/>
      <c r="D183" s="1007"/>
      <c r="E183" s="1043"/>
      <c r="F183" s="1021" t="s">
        <v>1274</v>
      </c>
      <c r="G183" s="1026"/>
      <c r="H183" s="1025"/>
      <c r="I183" s="2315"/>
      <c r="J183" s="2315"/>
      <c r="K183" s="2316"/>
      <c r="L183" s="1153"/>
      <c r="M183" s="1153"/>
      <c r="N183" s="1153"/>
      <c r="O183" s="1153"/>
      <c r="P183" s="1153"/>
      <c r="Q183" s="1153"/>
      <c r="R183" s="1153"/>
      <c r="S183" s="1153"/>
      <c r="T183" s="1153"/>
      <c r="U183" s="1153"/>
      <c r="V183" s="1153"/>
      <c r="W183" s="1153"/>
      <c r="X183" s="1153"/>
      <c r="Y183" s="1153"/>
      <c r="Z183" s="1153"/>
      <c r="AA183" s="1153"/>
      <c r="AB183" s="1153"/>
      <c r="AC183" s="1153"/>
      <c r="AD183" s="1153"/>
      <c r="AE183" s="1153"/>
      <c r="AF183" s="1153"/>
      <c r="AG183" s="1153"/>
      <c r="AH183" s="1153"/>
      <c r="AI183" s="1153"/>
      <c r="AJ183" s="1153"/>
      <c r="AK183" s="1153"/>
      <c r="AL183" s="1153"/>
      <c r="AM183" s="1153"/>
      <c r="AN183" s="1153"/>
      <c r="AO183" s="1153"/>
      <c r="AP183" s="1153"/>
      <c r="AQ183" s="1153"/>
      <c r="AR183" s="1153"/>
      <c r="AS183" s="1153"/>
      <c r="AT183" s="1153"/>
      <c r="AU183" s="1153"/>
      <c r="AV183" s="1153"/>
      <c r="AW183" s="1153"/>
      <c r="AX183" s="1153"/>
      <c r="AY183" s="1153"/>
      <c r="AZ183" s="1153"/>
    </row>
    <row r="184" spans="1:73" s="988" customFormat="1" ht="19.5" customHeight="1">
      <c r="A184" s="2310" t="s">
        <v>1275</v>
      </c>
      <c r="B184" s="2312" t="s">
        <v>1275</v>
      </c>
      <c r="C184" s="1102"/>
      <c r="D184" s="1031"/>
      <c r="E184" s="1103"/>
      <c r="F184" s="1099" t="s">
        <v>1276</v>
      </c>
      <c r="G184" s="1031"/>
      <c r="H184" s="1044"/>
      <c r="I184" s="2314"/>
      <c r="J184" s="2314"/>
      <c r="K184" s="2316">
        <f>I184+J184</f>
        <v>0</v>
      </c>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3"/>
      <c r="AK184" s="1153"/>
      <c r="AL184" s="1153"/>
      <c r="AM184" s="1153"/>
      <c r="AN184" s="1153"/>
      <c r="AO184" s="1153"/>
      <c r="AP184" s="1153"/>
      <c r="AQ184" s="1153"/>
      <c r="AR184" s="1153"/>
      <c r="AS184" s="1153"/>
      <c r="AT184" s="1153"/>
      <c r="AU184" s="1153"/>
      <c r="AV184" s="1153"/>
      <c r="AW184" s="1153"/>
      <c r="AX184" s="1153"/>
      <c r="AY184" s="1153"/>
      <c r="AZ184" s="1153"/>
    </row>
    <row r="185" spans="1:73" s="988" customFormat="1" ht="13.5" customHeight="1">
      <c r="A185" s="2311"/>
      <c r="B185" s="2313"/>
      <c r="C185" s="1092"/>
      <c r="D185" s="1007"/>
      <c r="E185" s="1043"/>
      <c r="F185" s="1094" t="s">
        <v>1277</v>
      </c>
      <c r="G185" s="1026"/>
      <c r="H185" s="1025"/>
      <c r="I185" s="2315"/>
      <c r="J185" s="2315"/>
      <c r="K185" s="2316"/>
      <c r="L185" s="1153"/>
      <c r="M185" s="1153"/>
      <c r="N185" s="1153"/>
      <c r="O185" s="1153"/>
      <c r="P185" s="1153"/>
      <c r="Q185" s="1153"/>
      <c r="R185" s="1153"/>
      <c r="S185" s="1153"/>
      <c r="T185" s="1153"/>
      <c r="U185" s="1153"/>
      <c r="V185" s="1153"/>
      <c r="W185" s="1153"/>
      <c r="X185" s="1153"/>
      <c r="Y185" s="1153"/>
      <c r="Z185" s="1153"/>
      <c r="AA185" s="1153"/>
      <c r="AB185" s="1153"/>
      <c r="AC185" s="1153"/>
      <c r="AD185" s="1153"/>
      <c r="AE185" s="1153"/>
      <c r="AF185" s="1153"/>
      <c r="AG185" s="1153"/>
      <c r="AH185" s="1153"/>
      <c r="AI185" s="1153"/>
      <c r="AJ185" s="1153"/>
      <c r="AK185" s="1153"/>
      <c r="AL185" s="1153"/>
      <c r="AM185" s="1153"/>
      <c r="AN185" s="1153"/>
      <c r="AO185" s="1153"/>
      <c r="AP185" s="1153"/>
      <c r="AQ185" s="1153"/>
      <c r="AR185" s="1153"/>
      <c r="AS185" s="1153"/>
      <c r="AT185" s="1153"/>
      <c r="AU185" s="1153"/>
      <c r="AV185" s="1153"/>
      <c r="AW185" s="1153"/>
      <c r="AX185" s="1153"/>
      <c r="AY185" s="1153"/>
      <c r="AZ185" s="1153"/>
    </row>
    <row r="186" spans="1:73" s="988" customFormat="1" ht="22.5" customHeight="1">
      <c r="A186" s="2310" t="s">
        <v>1278</v>
      </c>
      <c r="B186" s="2312" t="s">
        <v>1278</v>
      </c>
      <c r="C186" s="1102"/>
      <c r="D186" s="1031"/>
      <c r="E186" s="1103"/>
      <c r="F186" s="1104" t="s">
        <v>1279</v>
      </c>
      <c r="G186" s="1031"/>
      <c r="H186" s="1044"/>
      <c r="I186" s="2314"/>
      <c r="J186" s="2314"/>
      <c r="K186" s="2316">
        <f>I186+J186</f>
        <v>0</v>
      </c>
      <c r="L186" s="1153"/>
      <c r="M186" s="1153"/>
      <c r="N186" s="1153"/>
      <c r="O186" s="1153"/>
      <c r="P186" s="1153"/>
      <c r="Q186" s="1153"/>
      <c r="R186" s="1153"/>
      <c r="S186" s="1153"/>
      <c r="T186" s="1153"/>
      <c r="U186" s="1153"/>
      <c r="V186" s="1153"/>
      <c r="W186" s="1153"/>
      <c r="X186" s="1153"/>
      <c r="Y186" s="1153"/>
      <c r="Z186" s="1153"/>
      <c r="AA186" s="1153"/>
      <c r="AB186" s="1153"/>
      <c r="AC186" s="1153"/>
      <c r="AD186" s="1153"/>
      <c r="AE186" s="1153"/>
      <c r="AF186" s="1153"/>
      <c r="AG186" s="1153"/>
      <c r="AH186" s="1153"/>
      <c r="AI186" s="1153"/>
      <c r="AJ186" s="1153"/>
      <c r="AK186" s="1153"/>
      <c r="AL186" s="1153"/>
      <c r="AM186" s="1153"/>
      <c r="AN186" s="1153"/>
      <c r="AO186" s="1153"/>
      <c r="AP186" s="1153"/>
      <c r="AQ186" s="1153"/>
      <c r="AR186" s="1153"/>
      <c r="AS186" s="1153"/>
      <c r="AT186" s="1153"/>
      <c r="AU186" s="1153"/>
      <c r="AV186" s="1153"/>
      <c r="AW186" s="1153"/>
      <c r="AX186" s="1153"/>
      <c r="AY186" s="1153"/>
      <c r="AZ186" s="1153"/>
    </row>
    <row r="187" spans="1:73" s="988" customFormat="1" ht="13.5" customHeight="1">
      <c r="A187" s="2311"/>
      <c r="B187" s="2313"/>
      <c r="C187" s="2327"/>
      <c r="D187" s="2328"/>
      <c r="E187" s="2328"/>
      <c r="F187" s="1021" t="s">
        <v>1280</v>
      </c>
      <c r="G187" s="1026"/>
      <c r="H187" s="1025"/>
      <c r="I187" s="2315"/>
      <c r="J187" s="2315"/>
      <c r="K187" s="2316"/>
      <c r="L187" s="1153"/>
      <c r="M187" s="1153"/>
      <c r="N187" s="1153"/>
      <c r="O187" s="1153"/>
      <c r="P187" s="1153"/>
      <c r="Q187" s="1153"/>
      <c r="R187" s="1153"/>
      <c r="S187" s="1153"/>
      <c r="T187" s="1153"/>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row>
    <row r="188" spans="1:73" s="988" customFormat="1" ht="18.75" customHeight="1">
      <c r="A188" s="2310" t="s">
        <v>1281</v>
      </c>
      <c r="B188" s="2312" t="s">
        <v>1281</v>
      </c>
      <c r="C188" s="1105"/>
      <c r="E188" s="1106"/>
      <c r="F188" s="1020" t="s">
        <v>1282</v>
      </c>
      <c r="H188" s="1042"/>
      <c r="I188" s="2314"/>
      <c r="J188" s="2314"/>
      <c r="K188" s="2316">
        <f>I188+J188</f>
        <v>0</v>
      </c>
      <c r="L188" s="1153"/>
      <c r="M188" s="1153"/>
      <c r="N188" s="1153"/>
      <c r="O188" s="1153"/>
      <c r="P188" s="1153"/>
      <c r="Q188" s="1153"/>
      <c r="R188" s="1153"/>
      <c r="S188" s="1153"/>
      <c r="T188" s="1153"/>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row>
    <row r="189" spans="1:73" s="988" customFormat="1" ht="13.5" customHeight="1">
      <c r="A189" s="2311"/>
      <c r="B189" s="2313"/>
      <c r="C189" s="1092"/>
      <c r="D189" s="1043"/>
      <c r="E189" s="1043"/>
      <c r="F189" s="1021" t="s">
        <v>1283</v>
      </c>
      <c r="G189" s="1026"/>
      <c r="H189" s="1025"/>
      <c r="I189" s="2315"/>
      <c r="J189" s="2315"/>
      <c r="K189" s="2316"/>
      <c r="L189" s="1153"/>
      <c r="M189" s="1153"/>
      <c r="N189" s="1153"/>
      <c r="O189" s="1153"/>
      <c r="P189" s="1153"/>
      <c r="Q189" s="1153"/>
      <c r="R189" s="1153"/>
      <c r="S189" s="1153"/>
      <c r="T189" s="1153"/>
      <c r="U189" s="1153"/>
      <c r="V189" s="1153"/>
      <c r="W189" s="1153"/>
      <c r="X189" s="1153"/>
      <c r="Y189" s="1153"/>
      <c r="Z189" s="1153"/>
      <c r="AA189" s="1153"/>
      <c r="AB189" s="1153"/>
      <c r="AC189" s="1153"/>
      <c r="AD189" s="1153"/>
      <c r="AE189" s="1153"/>
      <c r="AF189" s="1153"/>
      <c r="AG189" s="1153"/>
      <c r="AH189" s="1153"/>
      <c r="AI189" s="1153"/>
      <c r="AJ189" s="1153"/>
      <c r="AK189" s="1153"/>
      <c r="AL189" s="1153"/>
      <c r="AM189" s="1153"/>
      <c r="AN189" s="1153"/>
      <c r="AO189" s="1153"/>
      <c r="AP189" s="1153"/>
      <c r="AQ189" s="1153"/>
      <c r="AR189" s="1153"/>
      <c r="AS189" s="1153"/>
      <c r="AT189" s="1153"/>
      <c r="AU189" s="1153"/>
      <c r="AV189" s="1153"/>
      <c r="AW189" s="1153"/>
      <c r="AX189" s="1153"/>
      <c r="AY189" s="1153"/>
      <c r="AZ189" s="1153"/>
    </row>
    <row r="190" spans="1:73" s="988" customFormat="1" ht="19.5" customHeight="1">
      <c r="A190" s="2310" t="s">
        <v>1284</v>
      </c>
      <c r="B190" s="2312" t="s">
        <v>1284</v>
      </c>
      <c r="C190" s="1093"/>
      <c r="E190" s="1107"/>
      <c r="F190" s="1020" t="s">
        <v>1285</v>
      </c>
      <c r="H190" s="1042"/>
      <c r="I190" s="2314"/>
      <c r="J190" s="2314"/>
      <c r="K190" s="2316">
        <f>I190+J190</f>
        <v>0</v>
      </c>
      <c r="L190" s="1153"/>
      <c r="M190" s="1153"/>
      <c r="N190" s="1153"/>
      <c r="O190" s="1153"/>
      <c r="P190" s="1153"/>
      <c r="Q190" s="1153"/>
      <c r="R190" s="1153"/>
      <c r="S190" s="1153"/>
      <c r="T190" s="1153"/>
      <c r="U190" s="1153"/>
      <c r="V190" s="1153"/>
      <c r="W190" s="1153"/>
      <c r="X190" s="1153"/>
      <c r="Y190" s="1153"/>
      <c r="Z190" s="1153"/>
      <c r="AA190" s="1153"/>
      <c r="AB190" s="1153"/>
      <c r="AC190" s="1153"/>
      <c r="AD190" s="1153"/>
      <c r="AE190" s="1153"/>
      <c r="AF190" s="1153"/>
      <c r="AG190" s="1153"/>
      <c r="AH190" s="1153"/>
      <c r="AI190" s="1153"/>
      <c r="AJ190" s="1153"/>
      <c r="AK190" s="1153"/>
      <c r="AL190" s="1153"/>
      <c r="AM190" s="1153"/>
      <c r="AN190" s="1153"/>
      <c r="AO190" s="1153"/>
      <c r="AP190" s="1153"/>
      <c r="AQ190" s="1153"/>
      <c r="AR190" s="1153"/>
      <c r="AS190" s="1153"/>
      <c r="AT190" s="1153"/>
      <c r="AU190" s="1153"/>
      <c r="AV190" s="1153"/>
      <c r="AW190" s="1153"/>
      <c r="AX190" s="1153"/>
      <c r="AY190" s="1153"/>
      <c r="AZ190" s="1153"/>
    </row>
    <row r="191" spans="1:73" s="988" customFormat="1" ht="13.5" customHeight="1">
      <c r="A191" s="2311"/>
      <c r="B191" s="2313"/>
      <c r="C191" s="1092"/>
      <c r="D191" s="1007"/>
      <c r="E191" s="1026"/>
      <c r="F191" s="1094" t="s">
        <v>1286</v>
      </c>
      <c r="G191" s="1026"/>
      <c r="H191" s="1025"/>
      <c r="I191" s="2315"/>
      <c r="J191" s="2315"/>
      <c r="K191" s="2316"/>
      <c r="L191" s="1153"/>
      <c r="M191" s="1153"/>
      <c r="N191" s="1153"/>
      <c r="O191" s="1153"/>
      <c r="P191" s="1153"/>
      <c r="Q191" s="1153"/>
      <c r="R191" s="1153"/>
      <c r="S191" s="1153"/>
      <c r="T191" s="1153"/>
      <c r="U191" s="1153"/>
      <c r="V191" s="1153"/>
      <c r="W191" s="1153"/>
      <c r="X191" s="1153"/>
      <c r="Y191" s="1153"/>
      <c r="Z191" s="1153"/>
      <c r="AA191" s="1153"/>
      <c r="AB191" s="1153"/>
      <c r="AC191" s="1153"/>
      <c r="AD191" s="1153"/>
      <c r="AE191" s="1153"/>
      <c r="AF191" s="1153"/>
      <c r="AG191" s="1153"/>
      <c r="AH191" s="1153"/>
      <c r="AI191" s="1153"/>
      <c r="AJ191" s="1153"/>
      <c r="AK191" s="1153"/>
      <c r="AL191" s="1153"/>
      <c r="AM191" s="1153"/>
      <c r="AN191" s="1153"/>
      <c r="AO191" s="1153"/>
      <c r="AP191" s="1153"/>
      <c r="AQ191" s="1153"/>
      <c r="AR191" s="1153"/>
      <c r="AS191" s="1153"/>
      <c r="AT191" s="1153"/>
      <c r="AU191" s="1153"/>
      <c r="AV191" s="1153"/>
      <c r="AW191" s="1153"/>
      <c r="AX191" s="1153"/>
      <c r="AY191" s="1153"/>
      <c r="AZ191" s="1153"/>
    </row>
    <row r="192" spans="1:73" s="988" customFormat="1" ht="19.5" customHeight="1">
      <c r="A192" s="2310" t="s">
        <v>1287</v>
      </c>
      <c r="B192" s="2312" t="s">
        <v>1287</v>
      </c>
      <c r="C192" s="1093"/>
      <c r="F192" s="1020" t="s">
        <v>1288</v>
      </c>
      <c r="H192" s="1042"/>
      <c r="I192" s="2314"/>
      <c r="J192" s="2314"/>
      <c r="K192" s="2316">
        <f>I192+J192</f>
        <v>0</v>
      </c>
      <c r="L192" s="1153"/>
      <c r="M192" s="1153"/>
      <c r="N192" s="1153"/>
      <c r="O192" s="1153"/>
      <c r="P192" s="1153"/>
      <c r="Q192" s="1153"/>
      <c r="R192" s="1153"/>
      <c r="S192" s="1153"/>
      <c r="T192" s="1153"/>
      <c r="U192" s="1153"/>
      <c r="V192" s="1153"/>
      <c r="W192" s="1153"/>
      <c r="X192" s="1153"/>
      <c r="Y192" s="1153"/>
      <c r="Z192" s="1153"/>
      <c r="AA192" s="1153"/>
      <c r="AB192" s="1153"/>
      <c r="AC192" s="1153"/>
      <c r="AD192" s="1153"/>
      <c r="AE192" s="1153"/>
      <c r="AF192" s="1153"/>
      <c r="AG192" s="1153"/>
      <c r="AH192" s="1153"/>
      <c r="AI192" s="1153"/>
      <c r="AJ192" s="1153"/>
      <c r="AK192" s="1153"/>
      <c r="AL192" s="1153"/>
      <c r="AM192" s="1153"/>
      <c r="AN192" s="1153"/>
      <c r="AO192" s="1153"/>
      <c r="AP192" s="1153"/>
      <c r="AQ192" s="1153"/>
      <c r="AR192" s="1153"/>
      <c r="AS192" s="1153"/>
      <c r="AT192" s="1153"/>
      <c r="AU192" s="1153"/>
      <c r="AV192" s="1153"/>
      <c r="AW192" s="1153"/>
      <c r="AX192" s="1153"/>
      <c r="AY192" s="1153"/>
      <c r="AZ192" s="1153"/>
    </row>
    <row r="193" spans="1:52" s="988" customFormat="1" ht="13.5" customHeight="1">
      <c r="A193" s="2311"/>
      <c r="B193" s="2313"/>
      <c r="C193" s="1092"/>
      <c r="D193" s="1007"/>
      <c r="E193" s="1026"/>
      <c r="F193" s="1094" t="s">
        <v>1289</v>
      </c>
      <c r="G193" s="1026"/>
      <c r="H193" s="1025"/>
      <c r="I193" s="2315"/>
      <c r="J193" s="2315"/>
      <c r="K193" s="2316"/>
      <c r="L193" s="1153"/>
      <c r="M193" s="1153"/>
      <c r="N193" s="1153"/>
      <c r="O193" s="1153"/>
      <c r="P193" s="1153"/>
      <c r="Q193" s="1153"/>
      <c r="R193" s="1153"/>
      <c r="S193" s="1153"/>
      <c r="T193" s="1153"/>
      <c r="U193" s="1153"/>
      <c r="V193" s="1153"/>
      <c r="W193" s="1153"/>
      <c r="X193" s="1153"/>
      <c r="Y193" s="1153"/>
      <c r="Z193" s="1153"/>
      <c r="AA193" s="1153"/>
      <c r="AB193" s="1153"/>
      <c r="AC193" s="1153"/>
      <c r="AD193" s="1153"/>
      <c r="AE193" s="1153"/>
      <c r="AF193" s="1153"/>
      <c r="AG193" s="1153"/>
      <c r="AH193" s="1153"/>
      <c r="AI193" s="1153"/>
      <c r="AJ193" s="1153"/>
      <c r="AK193" s="1153"/>
      <c r="AL193" s="1153"/>
      <c r="AM193" s="1153"/>
      <c r="AN193" s="1153"/>
      <c r="AO193" s="1153"/>
      <c r="AP193" s="1153"/>
      <c r="AQ193" s="1153"/>
      <c r="AR193" s="1153"/>
      <c r="AS193" s="1153"/>
      <c r="AT193" s="1153"/>
      <c r="AU193" s="1153"/>
      <c r="AV193" s="1153"/>
      <c r="AW193" s="1153"/>
      <c r="AX193" s="1153"/>
      <c r="AY193" s="1153"/>
      <c r="AZ193" s="1153"/>
    </row>
    <row r="194" spans="1:52" s="988" customFormat="1" ht="18.75" customHeight="1">
      <c r="A194" s="2310" t="s">
        <v>1290</v>
      </c>
      <c r="B194" s="2312" t="s">
        <v>1290</v>
      </c>
      <c r="C194" s="1093"/>
      <c r="F194" s="1020" t="s">
        <v>1291</v>
      </c>
      <c r="H194" s="1042"/>
      <c r="I194" s="2314"/>
      <c r="J194" s="2314"/>
      <c r="K194" s="2316">
        <f>I194+J194</f>
        <v>0</v>
      </c>
      <c r="L194" s="1153"/>
      <c r="M194" s="1153"/>
      <c r="N194" s="1153"/>
      <c r="O194" s="1153"/>
      <c r="P194" s="1153"/>
      <c r="Q194" s="1153"/>
      <c r="R194" s="1153"/>
      <c r="S194" s="1153"/>
      <c r="T194" s="1153"/>
      <c r="U194" s="1153"/>
      <c r="V194" s="1153"/>
      <c r="W194" s="1153"/>
      <c r="X194" s="1153"/>
      <c r="Y194" s="1153"/>
      <c r="Z194" s="1153"/>
      <c r="AA194" s="1153"/>
      <c r="AB194" s="1153"/>
      <c r="AC194" s="1153"/>
      <c r="AD194" s="1153"/>
      <c r="AE194" s="1153"/>
      <c r="AF194" s="1153"/>
      <c r="AG194" s="1153"/>
      <c r="AH194" s="1153"/>
      <c r="AI194" s="1153"/>
      <c r="AJ194" s="1153"/>
      <c r="AK194" s="1153"/>
      <c r="AL194" s="1153"/>
      <c r="AM194" s="1153"/>
      <c r="AN194" s="1153"/>
      <c r="AO194" s="1153"/>
      <c r="AP194" s="1153"/>
      <c r="AQ194" s="1153"/>
      <c r="AR194" s="1153"/>
      <c r="AS194" s="1153"/>
      <c r="AT194" s="1153"/>
      <c r="AU194" s="1153"/>
      <c r="AV194" s="1153"/>
      <c r="AW194" s="1153"/>
      <c r="AX194" s="1153"/>
      <c r="AY194" s="1153"/>
      <c r="AZ194" s="1153"/>
    </row>
    <row r="195" spans="1:52" s="988" customFormat="1" ht="13.5" customHeight="1">
      <c r="A195" s="2311"/>
      <c r="B195" s="2313"/>
      <c r="C195" s="1092"/>
      <c r="D195" s="1007"/>
      <c r="E195" s="1026"/>
      <c r="F195" s="1094" t="s">
        <v>1292</v>
      </c>
      <c r="G195" s="1026"/>
      <c r="H195" s="1025"/>
      <c r="I195" s="2315"/>
      <c r="J195" s="2315"/>
      <c r="K195" s="2316"/>
      <c r="L195" s="1153"/>
      <c r="M195" s="1153"/>
      <c r="N195" s="1153"/>
      <c r="O195" s="1153"/>
      <c r="P195" s="1153"/>
      <c r="Q195" s="1153"/>
      <c r="R195" s="1153"/>
      <c r="S195" s="1153"/>
      <c r="T195" s="1153"/>
      <c r="U195" s="1153"/>
      <c r="V195" s="1153"/>
      <c r="W195" s="1153"/>
      <c r="X195" s="1153"/>
      <c r="Y195" s="1153"/>
      <c r="Z195" s="1153"/>
      <c r="AA195" s="1153"/>
      <c r="AB195" s="1153"/>
      <c r="AC195" s="1153"/>
      <c r="AD195" s="1153"/>
      <c r="AE195" s="1153"/>
      <c r="AF195" s="1153"/>
      <c r="AG195" s="1153"/>
      <c r="AH195" s="1153"/>
      <c r="AI195" s="1153"/>
      <c r="AJ195" s="1153"/>
      <c r="AK195" s="1153"/>
      <c r="AL195" s="1153"/>
      <c r="AM195" s="1153"/>
      <c r="AN195" s="1153"/>
      <c r="AO195" s="1153"/>
      <c r="AP195" s="1153"/>
      <c r="AQ195" s="1153"/>
      <c r="AR195" s="1153"/>
      <c r="AS195" s="1153"/>
      <c r="AT195" s="1153"/>
      <c r="AU195" s="1153"/>
      <c r="AV195" s="1153"/>
      <c r="AW195" s="1153"/>
      <c r="AX195" s="1153"/>
      <c r="AY195" s="1153"/>
      <c r="AZ195" s="1153"/>
    </row>
    <row r="196" spans="1:52" s="988" customFormat="1" ht="20.25" customHeight="1">
      <c r="A196" s="2311" t="s">
        <v>1293</v>
      </c>
      <c r="B196" s="2313" t="s">
        <v>1293</v>
      </c>
      <c r="C196" s="1093"/>
      <c r="E196" s="989" t="s">
        <v>1294</v>
      </c>
      <c r="F196" s="1108"/>
      <c r="H196" s="1042"/>
      <c r="I196" s="2326">
        <f>SUM(I198:I201)</f>
        <v>0</v>
      </c>
      <c r="J196" s="2326">
        <f>SUM(J198:J201)</f>
        <v>0</v>
      </c>
      <c r="K196" s="2316">
        <f>I196+J196</f>
        <v>0</v>
      </c>
      <c r="L196" s="1153"/>
      <c r="M196" s="1153"/>
      <c r="N196" s="1153"/>
      <c r="O196" s="1153"/>
      <c r="P196" s="1153"/>
      <c r="Q196" s="1153"/>
      <c r="R196" s="1153"/>
      <c r="S196" s="1153"/>
      <c r="T196" s="1153"/>
      <c r="U196" s="1153"/>
      <c r="V196" s="1153"/>
      <c r="W196" s="1153"/>
      <c r="X196" s="1153"/>
      <c r="Y196" s="1153"/>
      <c r="Z196" s="1153"/>
      <c r="AA196" s="1153"/>
      <c r="AB196" s="1153"/>
      <c r="AC196" s="1153"/>
      <c r="AD196" s="1153"/>
      <c r="AE196" s="1153"/>
      <c r="AF196" s="1153"/>
      <c r="AG196" s="1153"/>
      <c r="AH196" s="1153"/>
      <c r="AI196" s="1153"/>
      <c r="AJ196" s="1153"/>
      <c r="AK196" s="1153"/>
      <c r="AL196" s="1153"/>
      <c r="AM196" s="1153"/>
      <c r="AN196" s="1153"/>
      <c r="AO196" s="1153"/>
      <c r="AP196" s="1153"/>
      <c r="AQ196" s="1153"/>
      <c r="AR196" s="1153"/>
      <c r="AS196" s="1153"/>
      <c r="AT196" s="1153"/>
      <c r="AU196" s="1153"/>
      <c r="AV196" s="1153"/>
      <c r="AW196" s="1153"/>
      <c r="AX196" s="1153"/>
      <c r="AY196" s="1153"/>
      <c r="AZ196" s="1153"/>
    </row>
    <row r="197" spans="1:52" s="988" customFormat="1" ht="13.5" customHeight="1">
      <c r="A197" s="2311"/>
      <c r="B197" s="2313"/>
      <c r="C197" s="1014"/>
      <c r="D197" s="1033"/>
      <c r="E197" s="1109" t="s">
        <v>1295</v>
      </c>
      <c r="F197" s="1033"/>
      <c r="G197" s="1026"/>
      <c r="H197" s="1025"/>
      <c r="I197" s="2326"/>
      <c r="J197" s="2326"/>
      <c r="K197" s="2316"/>
      <c r="L197" s="1153"/>
      <c r="M197" s="1153"/>
      <c r="N197" s="1153"/>
      <c r="O197" s="1153"/>
      <c r="P197" s="1153"/>
      <c r="Q197" s="1153"/>
      <c r="R197" s="1153"/>
      <c r="S197" s="1153"/>
      <c r="T197" s="1153"/>
      <c r="U197" s="1153"/>
      <c r="V197" s="1153"/>
      <c r="W197" s="1153"/>
      <c r="X197" s="1153"/>
      <c r="Y197" s="1153"/>
      <c r="Z197" s="1153"/>
      <c r="AA197" s="1153"/>
      <c r="AB197" s="1153"/>
      <c r="AC197" s="1153"/>
      <c r="AD197" s="1153"/>
      <c r="AE197" s="1153"/>
      <c r="AF197" s="1153"/>
      <c r="AG197" s="1153"/>
      <c r="AH197" s="1153"/>
      <c r="AI197" s="1153"/>
      <c r="AJ197" s="1153"/>
      <c r="AK197" s="1153"/>
      <c r="AL197" s="1153"/>
      <c r="AM197" s="1153"/>
      <c r="AN197" s="1153"/>
      <c r="AO197" s="1153"/>
      <c r="AP197" s="1153"/>
      <c r="AQ197" s="1153"/>
      <c r="AR197" s="1153"/>
      <c r="AS197" s="1153"/>
      <c r="AT197" s="1153"/>
      <c r="AU197" s="1153"/>
      <c r="AV197" s="1153"/>
      <c r="AW197" s="1153"/>
      <c r="AX197" s="1153"/>
      <c r="AY197" s="1153"/>
      <c r="AZ197" s="1153"/>
    </row>
    <row r="198" spans="1:52" s="988" customFormat="1" ht="19.5" customHeight="1">
      <c r="A198" s="2310" t="s">
        <v>1296</v>
      </c>
      <c r="B198" s="2312" t="s">
        <v>1296</v>
      </c>
      <c r="C198" s="1018"/>
      <c r="E198" s="1110"/>
      <c r="F198" s="1020" t="s">
        <v>1297</v>
      </c>
      <c r="H198" s="1042"/>
      <c r="I198" s="2314"/>
      <c r="J198" s="2314"/>
      <c r="K198" s="2316">
        <f>I198+J198</f>
        <v>0</v>
      </c>
      <c r="L198" s="1153"/>
      <c r="M198" s="1153"/>
      <c r="N198" s="1153"/>
      <c r="O198" s="1153"/>
      <c r="P198" s="1153"/>
      <c r="Q198" s="1153"/>
      <c r="R198" s="1153"/>
      <c r="S198" s="1153"/>
      <c r="T198" s="1153"/>
      <c r="U198" s="1153"/>
      <c r="V198" s="1153"/>
      <c r="W198" s="1153"/>
      <c r="X198" s="1153"/>
      <c r="Y198" s="1153"/>
      <c r="Z198" s="1153"/>
      <c r="AA198" s="1153"/>
      <c r="AB198" s="1153"/>
      <c r="AC198" s="1153"/>
      <c r="AD198" s="1153"/>
      <c r="AE198" s="1153"/>
      <c r="AF198" s="1153"/>
      <c r="AG198" s="1153"/>
      <c r="AH198" s="1153"/>
      <c r="AI198" s="1153"/>
      <c r="AJ198" s="1153"/>
      <c r="AK198" s="1153"/>
      <c r="AL198" s="1153"/>
      <c r="AM198" s="1153"/>
      <c r="AN198" s="1153"/>
      <c r="AO198" s="1153"/>
      <c r="AP198" s="1153"/>
      <c r="AQ198" s="1153"/>
      <c r="AR198" s="1153"/>
      <c r="AS198" s="1153"/>
      <c r="AT198" s="1153"/>
      <c r="AU198" s="1153"/>
      <c r="AV198" s="1153"/>
      <c r="AW198" s="1153"/>
      <c r="AX198" s="1153"/>
      <c r="AY198" s="1153"/>
      <c r="AZ198" s="1153"/>
    </row>
    <row r="199" spans="1:52" s="988" customFormat="1" ht="13.5" customHeight="1">
      <c r="A199" s="2311"/>
      <c r="B199" s="2313"/>
      <c r="C199" s="1014"/>
      <c r="D199" s="1026"/>
      <c r="E199" s="1026"/>
      <c r="F199" s="1021" t="s">
        <v>1298</v>
      </c>
      <c r="G199" s="1026"/>
      <c r="H199" s="1025"/>
      <c r="I199" s="2315"/>
      <c r="J199" s="2315"/>
      <c r="K199" s="2316"/>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3"/>
      <c r="AK199" s="1153"/>
      <c r="AL199" s="1153"/>
      <c r="AM199" s="1153"/>
      <c r="AN199" s="1153"/>
      <c r="AO199" s="1153"/>
      <c r="AP199" s="1153"/>
      <c r="AQ199" s="1153"/>
      <c r="AR199" s="1153"/>
      <c r="AS199" s="1153"/>
      <c r="AT199" s="1153"/>
      <c r="AU199" s="1153"/>
      <c r="AV199" s="1153"/>
      <c r="AW199" s="1153"/>
      <c r="AX199" s="1153"/>
      <c r="AY199" s="1153"/>
      <c r="AZ199" s="1153"/>
    </row>
    <row r="200" spans="1:52" s="988" customFormat="1" ht="18.75" customHeight="1">
      <c r="A200" s="2310" t="s">
        <v>1299</v>
      </c>
      <c r="B200" s="2312" t="s">
        <v>1299</v>
      </c>
      <c r="C200" s="1018"/>
      <c r="F200" s="1020" t="s">
        <v>1300</v>
      </c>
      <c r="H200" s="1042"/>
      <c r="I200" s="2314"/>
      <c r="J200" s="2314"/>
      <c r="K200" s="2316">
        <f>I200+J200</f>
        <v>0</v>
      </c>
      <c r="L200" s="1153"/>
      <c r="M200" s="1153"/>
      <c r="N200" s="1153"/>
      <c r="O200" s="1153"/>
      <c r="P200" s="1153"/>
      <c r="Q200" s="1153"/>
      <c r="R200" s="1153"/>
      <c r="S200" s="1153"/>
      <c r="T200" s="1153"/>
      <c r="U200" s="1153"/>
      <c r="V200" s="1153"/>
      <c r="W200" s="1153"/>
      <c r="X200" s="1153"/>
      <c r="Y200" s="1153"/>
      <c r="Z200" s="1153"/>
      <c r="AA200" s="1153"/>
      <c r="AB200" s="1153"/>
      <c r="AC200" s="1153"/>
      <c r="AD200" s="1153"/>
      <c r="AE200" s="1153"/>
      <c r="AF200" s="1153"/>
      <c r="AG200" s="1153"/>
      <c r="AH200" s="1153"/>
      <c r="AI200" s="1153"/>
      <c r="AJ200" s="1153"/>
      <c r="AK200" s="1153"/>
      <c r="AL200" s="1153"/>
      <c r="AM200" s="1153"/>
      <c r="AN200" s="1153"/>
      <c r="AO200" s="1153"/>
      <c r="AP200" s="1153"/>
      <c r="AQ200" s="1153"/>
      <c r="AR200" s="1153"/>
      <c r="AS200" s="1153"/>
      <c r="AT200" s="1153"/>
      <c r="AU200" s="1153"/>
      <c r="AV200" s="1153"/>
      <c r="AW200" s="1153"/>
      <c r="AX200" s="1153"/>
      <c r="AY200" s="1153"/>
      <c r="AZ200" s="1153"/>
    </row>
    <row r="201" spans="1:52" s="988" customFormat="1" ht="13.5" customHeight="1">
      <c r="A201" s="2311"/>
      <c r="B201" s="2313"/>
      <c r="C201" s="1014"/>
      <c r="D201" s="1026"/>
      <c r="E201" s="1026"/>
      <c r="F201" s="1021" t="s">
        <v>1301</v>
      </c>
      <c r="G201" s="1026"/>
      <c r="H201" s="1025"/>
      <c r="I201" s="2315"/>
      <c r="J201" s="2315"/>
      <c r="K201" s="2316"/>
      <c r="L201" s="1153"/>
      <c r="M201" s="1153"/>
      <c r="N201" s="1153"/>
      <c r="O201" s="1153"/>
      <c r="P201" s="1153"/>
      <c r="Q201" s="1153"/>
      <c r="R201" s="1153"/>
      <c r="S201" s="1153"/>
      <c r="T201" s="1153"/>
      <c r="U201" s="1153"/>
      <c r="V201" s="1153"/>
      <c r="W201" s="1153"/>
      <c r="X201" s="1153"/>
      <c r="Y201" s="1153"/>
      <c r="Z201" s="1153"/>
      <c r="AA201" s="1153"/>
      <c r="AB201" s="1153"/>
      <c r="AC201" s="1153"/>
      <c r="AD201" s="1153"/>
      <c r="AE201" s="1153"/>
      <c r="AF201" s="1153"/>
      <c r="AG201" s="1153"/>
      <c r="AH201" s="1153"/>
      <c r="AI201" s="1153"/>
      <c r="AJ201" s="1153"/>
      <c r="AK201" s="1153"/>
      <c r="AL201" s="1153"/>
      <c r="AM201" s="1153"/>
      <c r="AN201" s="1153"/>
      <c r="AO201" s="1153"/>
      <c r="AP201" s="1153"/>
      <c r="AQ201" s="1153"/>
      <c r="AR201" s="1153"/>
      <c r="AS201" s="1153"/>
      <c r="AT201" s="1153"/>
      <c r="AU201" s="1153"/>
      <c r="AV201" s="1153"/>
      <c r="AW201" s="1153"/>
      <c r="AX201" s="1153"/>
      <c r="AY201" s="1153"/>
      <c r="AZ201" s="1153"/>
    </row>
    <row r="202" spans="1:52" s="988" customFormat="1" ht="22.5" customHeight="1">
      <c r="A202" s="2311">
        <v>10</v>
      </c>
      <c r="B202" s="2313">
        <v>10</v>
      </c>
      <c r="C202" s="1111" t="s">
        <v>1302</v>
      </c>
      <c r="D202" s="1047"/>
      <c r="E202" s="1047"/>
      <c r="F202" s="1047"/>
      <c r="G202" s="1047"/>
      <c r="H202" s="1048"/>
      <c r="I202" s="2309">
        <f>I204+I210</f>
        <v>0</v>
      </c>
      <c r="J202" s="2309">
        <f>J204+J210</f>
        <v>0</v>
      </c>
      <c r="K202" s="2309">
        <f>I202+J202</f>
        <v>0</v>
      </c>
      <c r="L202" s="1153"/>
      <c r="M202" s="1153"/>
      <c r="N202" s="1153"/>
      <c r="O202" s="1153"/>
      <c r="P202" s="1153"/>
      <c r="Q202" s="1153"/>
      <c r="R202" s="1153"/>
      <c r="S202" s="1153"/>
      <c r="T202" s="1153"/>
      <c r="U202" s="1153"/>
      <c r="V202" s="1153"/>
      <c r="W202" s="1153"/>
      <c r="X202" s="1153"/>
      <c r="Y202" s="1153"/>
      <c r="Z202" s="1153"/>
      <c r="AA202" s="1153"/>
      <c r="AB202" s="1153"/>
      <c r="AC202" s="1153"/>
      <c r="AD202" s="1153"/>
      <c r="AE202" s="1153"/>
      <c r="AF202" s="1153"/>
      <c r="AG202" s="1153"/>
      <c r="AH202" s="1153"/>
      <c r="AI202" s="1153"/>
      <c r="AJ202" s="1153"/>
      <c r="AK202" s="1153"/>
      <c r="AL202" s="1153"/>
      <c r="AM202" s="1153"/>
      <c r="AN202" s="1153"/>
      <c r="AO202" s="1153"/>
      <c r="AP202" s="1153"/>
      <c r="AQ202" s="1153"/>
      <c r="AR202" s="1153"/>
      <c r="AS202" s="1153"/>
      <c r="AT202" s="1153"/>
      <c r="AU202" s="1153"/>
      <c r="AV202" s="1153"/>
      <c r="AW202" s="1153"/>
      <c r="AX202" s="1153"/>
      <c r="AY202" s="1153"/>
      <c r="AZ202" s="1153"/>
    </row>
    <row r="203" spans="1:52" s="988" customFormat="1" ht="13.5" customHeight="1">
      <c r="A203" s="2311"/>
      <c r="B203" s="2313"/>
      <c r="C203" s="996" t="s">
        <v>1303</v>
      </c>
      <c r="D203" s="997" t="s">
        <v>1304</v>
      </c>
      <c r="E203" s="1070"/>
      <c r="F203" s="1070"/>
      <c r="G203" s="1070"/>
      <c r="H203" s="1071"/>
      <c r="I203" s="2309"/>
      <c r="J203" s="2309"/>
      <c r="K203" s="2309"/>
      <c r="L203" s="1153"/>
      <c r="M203" s="1153"/>
      <c r="N203" s="1153"/>
      <c r="O203" s="1153"/>
      <c r="P203" s="1153"/>
      <c r="Q203" s="1153"/>
      <c r="R203" s="1153"/>
      <c r="S203" s="1153"/>
      <c r="T203" s="1153"/>
      <c r="U203" s="1153"/>
      <c r="V203" s="1153"/>
      <c r="W203" s="1153"/>
      <c r="X203" s="1153"/>
      <c r="Y203" s="1153"/>
      <c r="Z203" s="1153"/>
      <c r="AA203" s="1153"/>
      <c r="AB203" s="1153"/>
      <c r="AC203" s="1153"/>
      <c r="AD203" s="1153"/>
      <c r="AE203" s="1153"/>
      <c r="AF203" s="1153"/>
      <c r="AG203" s="1153"/>
      <c r="AH203" s="1153"/>
      <c r="AI203" s="1153"/>
      <c r="AJ203" s="1153"/>
      <c r="AK203" s="1153"/>
      <c r="AL203" s="1153"/>
      <c r="AM203" s="1153"/>
      <c r="AN203" s="1153"/>
      <c r="AO203" s="1153"/>
      <c r="AP203" s="1153"/>
      <c r="AQ203" s="1153"/>
      <c r="AR203" s="1153"/>
      <c r="AS203" s="1153"/>
      <c r="AT203" s="1153"/>
      <c r="AU203" s="1153"/>
      <c r="AV203" s="1153"/>
      <c r="AW203" s="1153"/>
      <c r="AX203" s="1153"/>
      <c r="AY203" s="1153"/>
      <c r="AZ203" s="1153"/>
    </row>
    <row r="204" spans="1:52" s="988" customFormat="1" ht="13.5" customHeight="1">
      <c r="A204" s="2310" t="s">
        <v>1305</v>
      </c>
      <c r="B204" s="2312" t="s">
        <v>1305</v>
      </c>
      <c r="C204" s="1000"/>
      <c r="D204" s="1001" t="s">
        <v>1306</v>
      </c>
      <c r="E204" s="1004"/>
      <c r="F204" s="1004"/>
      <c r="G204" s="1004"/>
      <c r="H204" s="1010"/>
      <c r="I204" s="2326">
        <f>SUM(I206:I209)</f>
        <v>0</v>
      </c>
      <c r="J204" s="2326">
        <f>SUM(J206:J209)</f>
        <v>0</v>
      </c>
      <c r="K204" s="2316">
        <f>I204+J204</f>
        <v>0</v>
      </c>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3"/>
      <c r="AK204" s="1153"/>
      <c r="AL204" s="1153"/>
      <c r="AM204" s="1153"/>
      <c r="AN204" s="1153"/>
      <c r="AO204" s="1153"/>
      <c r="AP204" s="1153"/>
      <c r="AQ204" s="1153"/>
      <c r="AR204" s="1153"/>
      <c r="AS204" s="1153"/>
      <c r="AT204" s="1153"/>
      <c r="AU204" s="1153"/>
      <c r="AV204" s="1153"/>
      <c r="AW204" s="1153"/>
      <c r="AX204" s="1153"/>
      <c r="AY204" s="1153"/>
      <c r="AZ204" s="1153"/>
    </row>
    <row r="205" spans="1:52" s="988" customFormat="1" ht="13.5" customHeight="1">
      <c r="A205" s="2311"/>
      <c r="B205" s="2313"/>
      <c r="C205" s="1112"/>
      <c r="D205" s="1113" t="s">
        <v>1307</v>
      </c>
      <c r="E205" s="1007"/>
      <c r="F205" s="1007"/>
      <c r="G205" s="1026"/>
      <c r="H205" s="1025"/>
      <c r="I205" s="2326"/>
      <c r="J205" s="2326"/>
      <c r="K205" s="2316"/>
      <c r="L205" s="1153"/>
      <c r="M205" s="1153"/>
      <c r="N205" s="1153"/>
      <c r="O205" s="1153"/>
      <c r="P205" s="1153"/>
      <c r="Q205" s="1153"/>
      <c r="R205" s="1153"/>
      <c r="S205" s="1153"/>
      <c r="T205" s="1153"/>
      <c r="U205" s="1153"/>
      <c r="V205" s="1153"/>
      <c r="W205" s="1153"/>
      <c r="X205" s="1153"/>
      <c r="Y205" s="1153"/>
      <c r="Z205" s="1153"/>
      <c r="AA205" s="1153"/>
      <c r="AB205" s="1153"/>
      <c r="AC205" s="1153"/>
      <c r="AD205" s="1153"/>
      <c r="AE205" s="1153"/>
      <c r="AF205" s="1153"/>
      <c r="AG205" s="1153"/>
      <c r="AH205" s="1153"/>
      <c r="AI205" s="1153"/>
      <c r="AJ205" s="1153"/>
      <c r="AK205" s="1153"/>
      <c r="AL205" s="1153"/>
      <c r="AM205" s="1153"/>
      <c r="AN205" s="1153"/>
      <c r="AO205" s="1153"/>
      <c r="AP205" s="1153"/>
      <c r="AQ205" s="1153"/>
      <c r="AR205" s="1153"/>
      <c r="AS205" s="1153"/>
      <c r="AT205" s="1153"/>
      <c r="AU205" s="1153"/>
      <c r="AV205" s="1153"/>
      <c r="AW205" s="1153"/>
      <c r="AX205" s="1153"/>
      <c r="AY205" s="1153"/>
      <c r="AZ205" s="1153"/>
    </row>
    <row r="206" spans="1:52" s="988" customFormat="1" ht="19.5" customHeight="1">
      <c r="A206" s="2311" t="s">
        <v>1308</v>
      </c>
      <c r="B206" s="2313" t="s">
        <v>1308</v>
      </c>
      <c r="C206" s="1000"/>
      <c r="E206" s="989" t="s">
        <v>1309</v>
      </c>
      <c r="F206" s="1004"/>
      <c r="H206" s="1042"/>
      <c r="I206" s="2314"/>
      <c r="J206" s="2314"/>
      <c r="K206" s="2316">
        <f>I206+J206</f>
        <v>0</v>
      </c>
      <c r="L206" s="1153"/>
      <c r="M206" s="1153"/>
      <c r="N206" s="1153"/>
      <c r="O206" s="1153"/>
      <c r="P206" s="1153"/>
      <c r="Q206" s="1153"/>
      <c r="R206" s="1153"/>
      <c r="S206" s="1153"/>
      <c r="T206" s="1153"/>
      <c r="U206" s="1153"/>
      <c r="V206" s="1153"/>
      <c r="W206" s="1153"/>
      <c r="X206" s="1153"/>
      <c r="Y206" s="1153"/>
      <c r="Z206" s="1153"/>
      <c r="AA206" s="1153"/>
      <c r="AB206" s="1153"/>
      <c r="AC206" s="1153"/>
      <c r="AD206" s="1153"/>
      <c r="AE206" s="1153"/>
      <c r="AF206" s="1153"/>
      <c r="AG206" s="1153"/>
      <c r="AH206" s="1153"/>
      <c r="AI206" s="1153"/>
      <c r="AJ206" s="1153"/>
      <c r="AK206" s="1153"/>
      <c r="AL206" s="1153"/>
      <c r="AM206" s="1153"/>
      <c r="AN206" s="1153"/>
      <c r="AO206" s="1153"/>
      <c r="AP206" s="1153"/>
      <c r="AQ206" s="1153"/>
      <c r="AR206" s="1153"/>
      <c r="AS206" s="1153"/>
      <c r="AT206" s="1153"/>
      <c r="AU206" s="1153"/>
      <c r="AV206" s="1153"/>
      <c r="AW206" s="1153"/>
      <c r="AX206" s="1153"/>
      <c r="AY206" s="1153"/>
      <c r="AZ206" s="1153"/>
    </row>
    <row r="207" spans="1:52" s="988" customFormat="1" ht="13.5" customHeight="1">
      <c r="A207" s="2311"/>
      <c r="B207" s="2313"/>
      <c r="C207" s="1112"/>
      <c r="D207" s="1113"/>
      <c r="E207" s="1016" t="s">
        <v>1310</v>
      </c>
      <c r="F207" s="1007"/>
      <c r="G207" s="1026"/>
      <c r="H207" s="1025"/>
      <c r="I207" s="2315"/>
      <c r="J207" s="2315"/>
      <c r="K207" s="2316"/>
      <c r="L207" s="1153"/>
      <c r="M207" s="1153"/>
      <c r="N207" s="1153"/>
      <c r="O207" s="1153"/>
      <c r="P207" s="1153"/>
      <c r="Q207" s="1153"/>
      <c r="R207" s="1153"/>
      <c r="S207" s="1153"/>
      <c r="T207" s="1153"/>
      <c r="U207" s="1153"/>
      <c r="V207" s="1153"/>
      <c r="W207" s="1153"/>
      <c r="X207" s="1153"/>
      <c r="Y207" s="1153"/>
      <c r="Z207" s="1153"/>
      <c r="AA207" s="1153"/>
      <c r="AB207" s="1153"/>
      <c r="AC207" s="1153"/>
      <c r="AD207" s="1153"/>
      <c r="AE207" s="1153"/>
      <c r="AF207" s="1153"/>
      <c r="AG207" s="1153"/>
      <c r="AH207" s="1153"/>
      <c r="AI207" s="1153"/>
      <c r="AJ207" s="1153"/>
      <c r="AK207" s="1153"/>
      <c r="AL207" s="1153"/>
      <c r="AM207" s="1153"/>
      <c r="AN207" s="1153"/>
      <c r="AO207" s="1153"/>
      <c r="AP207" s="1153"/>
      <c r="AQ207" s="1153"/>
      <c r="AR207" s="1153"/>
      <c r="AS207" s="1153"/>
      <c r="AT207" s="1153"/>
      <c r="AU207" s="1153"/>
      <c r="AV207" s="1153"/>
      <c r="AW207" s="1153"/>
      <c r="AX207" s="1153"/>
      <c r="AY207" s="1153"/>
      <c r="AZ207" s="1153"/>
    </row>
    <row r="208" spans="1:52" s="988" customFormat="1" ht="19.5" customHeight="1">
      <c r="A208" s="2311" t="s">
        <v>1311</v>
      </c>
      <c r="B208" s="2313" t="s">
        <v>1311</v>
      </c>
      <c r="C208" s="1000"/>
      <c r="E208" s="989" t="s">
        <v>1312</v>
      </c>
      <c r="F208" s="1004"/>
      <c r="H208" s="1042"/>
      <c r="I208" s="2314"/>
      <c r="J208" s="2314"/>
      <c r="K208" s="2316">
        <f>I208+J208</f>
        <v>0</v>
      </c>
      <c r="L208" s="1153"/>
      <c r="M208" s="1153"/>
      <c r="N208" s="1153"/>
      <c r="O208" s="1153"/>
      <c r="P208" s="1153"/>
      <c r="Q208" s="1153"/>
      <c r="R208" s="1153"/>
      <c r="S208" s="1153"/>
      <c r="T208" s="1153"/>
      <c r="U208" s="1153"/>
      <c r="V208" s="1153"/>
      <c r="W208" s="1153"/>
      <c r="X208" s="1153"/>
      <c r="Y208" s="1153"/>
      <c r="Z208" s="1153"/>
      <c r="AA208" s="1153"/>
      <c r="AB208" s="1153"/>
      <c r="AC208" s="1153"/>
      <c r="AD208" s="1153"/>
      <c r="AE208" s="1153"/>
      <c r="AF208" s="1153"/>
      <c r="AG208" s="1153"/>
      <c r="AH208" s="1153"/>
      <c r="AI208" s="1153"/>
      <c r="AJ208" s="1153"/>
      <c r="AK208" s="1153"/>
      <c r="AL208" s="1153"/>
      <c r="AM208" s="1153"/>
      <c r="AN208" s="1153"/>
      <c r="AO208" s="1153"/>
      <c r="AP208" s="1153"/>
      <c r="AQ208" s="1153"/>
      <c r="AR208" s="1153"/>
      <c r="AS208" s="1153"/>
      <c r="AT208" s="1153"/>
      <c r="AU208" s="1153"/>
      <c r="AV208" s="1153"/>
      <c r="AW208" s="1153"/>
      <c r="AX208" s="1153"/>
      <c r="AY208" s="1153"/>
      <c r="AZ208" s="1153"/>
    </row>
    <row r="209" spans="1:73" s="988" customFormat="1" ht="13.5" customHeight="1">
      <c r="A209" s="2311"/>
      <c r="B209" s="2313"/>
      <c r="C209" s="1112"/>
      <c r="D209" s="1113"/>
      <c r="E209" s="1016" t="s">
        <v>1313</v>
      </c>
      <c r="F209" s="1007"/>
      <c r="G209" s="1026"/>
      <c r="H209" s="1025"/>
      <c r="I209" s="2315"/>
      <c r="J209" s="2315"/>
      <c r="K209" s="2316"/>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3"/>
      <c r="AK209" s="1153"/>
      <c r="AL209" s="1153"/>
      <c r="AM209" s="1153"/>
      <c r="AN209" s="1153"/>
      <c r="AO209" s="1153"/>
      <c r="AP209" s="1153"/>
      <c r="AQ209" s="1153"/>
      <c r="AR209" s="1153"/>
      <c r="AS209" s="1153"/>
      <c r="AT209" s="1153"/>
      <c r="AU209" s="1153"/>
      <c r="AV209" s="1153"/>
      <c r="AW209" s="1153"/>
      <c r="AX209" s="1153"/>
      <c r="AY209" s="1153"/>
      <c r="AZ209" s="1153"/>
    </row>
    <row r="210" spans="1:73" s="988" customFormat="1" ht="18.75" customHeight="1">
      <c r="A210" s="2311">
        <v>10.199999999999999</v>
      </c>
      <c r="B210" s="2313">
        <v>10.199999999999999</v>
      </c>
      <c r="C210" s="1000"/>
      <c r="D210" s="1001" t="s">
        <v>1314</v>
      </c>
      <c r="E210" s="1107"/>
      <c r="F210" s="1004"/>
      <c r="H210" s="1042"/>
      <c r="I210" s="2326">
        <f>SUM(I212:I215)</f>
        <v>0</v>
      </c>
      <c r="J210" s="2326">
        <f>SUM(J212:J215)</f>
        <v>0</v>
      </c>
      <c r="K210" s="2316">
        <f>I210+J210</f>
        <v>0</v>
      </c>
      <c r="L210" s="1153"/>
      <c r="M210" s="1153"/>
      <c r="N210" s="1153"/>
      <c r="O210" s="1153"/>
      <c r="P210" s="1153"/>
      <c r="Q210" s="1153"/>
      <c r="R210" s="1153"/>
      <c r="S210" s="1153"/>
      <c r="T210" s="1153"/>
      <c r="U210" s="1153"/>
      <c r="V210" s="1153"/>
      <c r="W210" s="1153"/>
      <c r="X210" s="1153"/>
      <c r="Y210" s="1153"/>
      <c r="Z210" s="1153"/>
      <c r="AA210" s="1153"/>
      <c r="AB210" s="1153"/>
      <c r="AC210" s="1153"/>
      <c r="AD210" s="1153"/>
      <c r="AE210" s="1153"/>
      <c r="AF210" s="1153"/>
      <c r="AG210" s="1153"/>
      <c r="AH210" s="1153"/>
      <c r="AI210" s="1153"/>
      <c r="AJ210" s="1153"/>
      <c r="AK210" s="1153"/>
      <c r="AL210" s="1153"/>
      <c r="AM210" s="1153"/>
      <c r="AN210" s="1153"/>
      <c r="AO210" s="1153"/>
      <c r="AP210" s="1153"/>
      <c r="AQ210" s="1153"/>
      <c r="AR210" s="1153"/>
      <c r="AS210" s="1153"/>
      <c r="AT210" s="1153"/>
      <c r="AU210" s="1153"/>
      <c r="AV210" s="1153"/>
      <c r="AW210" s="1153"/>
      <c r="AX210" s="1153"/>
      <c r="AY210" s="1153"/>
      <c r="AZ210" s="1153"/>
    </row>
    <row r="211" spans="1:73" s="988" customFormat="1" ht="13.5" customHeight="1">
      <c r="A211" s="2311"/>
      <c r="B211" s="2313"/>
      <c r="C211" s="1112"/>
      <c r="D211" s="1113" t="s">
        <v>1315</v>
      </c>
      <c r="E211" s="1024"/>
      <c r="F211" s="1007"/>
      <c r="G211" s="1026"/>
      <c r="H211" s="1025"/>
      <c r="I211" s="2326"/>
      <c r="J211" s="2326"/>
      <c r="K211" s="2316"/>
      <c r="L211" s="1153"/>
      <c r="M211" s="1153"/>
      <c r="N211" s="1153"/>
      <c r="O211" s="1153"/>
      <c r="P211" s="1153"/>
      <c r="Q211" s="1153"/>
      <c r="R211" s="1153"/>
      <c r="S211" s="1153"/>
      <c r="T211" s="1153"/>
      <c r="U211" s="1153"/>
      <c r="V211" s="1153"/>
      <c r="W211" s="1153"/>
      <c r="X211" s="1153"/>
      <c r="Y211" s="1153"/>
      <c r="Z211" s="1153"/>
      <c r="AA211" s="1153"/>
      <c r="AB211" s="1153"/>
      <c r="AC211" s="1153"/>
      <c r="AD211" s="1153"/>
      <c r="AE211" s="1153"/>
      <c r="AF211" s="1153"/>
      <c r="AG211" s="1153"/>
      <c r="AH211" s="1153"/>
      <c r="AI211" s="1153"/>
      <c r="AJ211" s="1153"/>
      <c r="AK211" s="1153"/>
      <c r="AL211" s="1153"/>
      <c r="AM211" s="1153"/>
      <c r="AN211" s="1153"/>
      <c r="AO211" s="1153"/>
      <c r="AP211" s="1153"/>
      <c r="AQ211" s="1153"/>
      <c r="AR211" s="1153"/>
      <c r="AS211" s="1153"/>
      <c r="AT211" s="1153"/>
      <c r="AU211" s="1153"/>
      <c r="AV211" s="1153"/>
      <c r="AW211" s="1153"/>
      <c r="AX211" s="1153"/>
      <c r="AY211" s="1153"/>
      <c r="AZ211" s="1153"/>
    </row>
    <row r="212" spans="1:73" s="988" customFormat="1" ht="18" customHeight="1">
      <c r="A212" s="2311" t="s">
        <v>1316</v>
      </c>
      <c r="B212" s="2313" t="s">
        <v>1316</v>
      </c>
      <c r="C212" s="1000"/>
      <c r="E212" s="989" t="s">
        <v>1317</v>
      </c>
      <c r="F212" s="1004"/>
      <c r="H212" s="1042"/>
      <c r="I212" s="2314"/>
      <c r="J212" s="2314"/>
      <c r="K212" s="2316">
        <f>I212+J212</f>
        <v>0</v>
      </c>
      <c r="L212" s="1153"/>
      <c r="M212" s="1153"/>
      <c r="N212" s="1153"/>
      <c r="O212" s="1153"/>
      <c r="P212" s="1153"/>
      <c r="Q212" s="1153"/>
      <c r="R212" s="1153"/>
      <c r="S212" s="1153"/>
      <c r="T212" s="1153"/>
      <c r="U212" s="1153"/>
      <c r="V212" s="1153"/>
      <c r="W212" s="1153"/>
      <c r="X212" s="1153"/>
      <c r="Y212" s="1153"/>
      <c r="Z212" s="1153"/>
      <c r="AA212" s="1153"/>
      <c r="AB212" s="1153"/>
      <c r="AC212" s="1153"/>
      <c r="AD212" s="1153"/>
      <c r="AE212" s="1153"/>
      <c r="AF212" s="1153"/>
      <c r="AG212" s="1153"/>
      <c r="AH212" s="1153"/>
      <c r="AI212" s="1153"/>
      <c r="AJ212" s="1153"/>
      <c r="AK212" s="1153"/>
      <c r="AL212" s="1153"/>
      <c r="AM212" s="1153"/>
      <c r="AN212" s="1153"/>
      <c r="AO212" s="1153"/>
      <c r="AP212" s="1153"/>
      <c r="AQ212" s="1153"/>
      <c r="AR212" s="1153"/>
      <c r="AS212" s="1153"/>
      <c r="AT212" s="1153"/>
      <c r="AU212" s="1153"/>
      <c r="AV212" s="1153"/>
      <c r="AW212" s="1153"/>
      <c r="AX212" s="1153"/>
      <c r="AY212" s="1153"/>
      <c r="AZ212" s="1153"/>
    </row>
    <row r="213" spans="1:73" s="988" customFormat="1" ht="13.5" customHeight="1">
      <c r="A213" s="2311"/>
      <c r="B213" s="2313"/>
      <c r="C213" s="1112"/>
      <c r="D213" s="1114"/>
      <c r="E213" s="1016" t="s">
        <v>1318</v>
      </c>
      <c r="F213" s="1007"/>
      <c r="G213" s="1026"/>
      <c r="H213" s="1025"/>
      <c r="I213" s="2315"/>
      <c r="J213" s="2315"/>
      <c r="K213" s="2316"/>
      <c r="L213" s="1153"/>
      <c r="M213" s="1153"/>
      <c r="N213" s="1153"/>
      <c r="O213" s="1153"/>
      <c r="P213" s="1153"/>
      <c r="Q213" s="1153"/>
      <c r="R213" s="1153"/>
      <c r="S213" s="1153"/>
      <c r="T213" s="1153"/>
      <c r="U213" s="1153"/>
      <c r="V213" s="1153"/>
      <c r="W213" s="1153"/>
      <c r="X213" s="1153"/>
      <c r="Y213" s="1153"/>
      <c r="Z213" s="1153"/>
      <c r="AA213" s="1153"/>
      <c r="AB213" s="1153"/>
      <c r="AC213" s="1153"/>
      <c r="AD213" s="1153"/>
      <c r="AE213" s="1153"/>
      <c r="AF213" s="1153"/>
      <c r="AG213" s="1153"/>
      <c r="AH213" s="1153"/>
      <c r="AI213" s="1153"/>
      <c r="AJ213" s="1153"/>
      <c r="AK213" s="1153"/>
      <c r="AL213" s="1153"/>
      <c r="AM213" s="1153"/>
      <c r="AN213" s="1153"/>
      <c r="AO213" s="1153"/>
      <c r="AP213" s="1153"/>
      <c r="AQ213" s="1153"/>
      <c r="AR213" s="1153"/>
      <c r="AS213" s="1153"/>
      <c r="AT213" s="1153"/>
      <c r="AU213" s="1153"/>
      <c r="AV213" s="1153"/>
      <c r="AW213" s="1153"/>
      <c r="AX213" s="1153"/>
      <c r="AY213" s="1153"/>
      <c r="AZ213" s="1153"/>
    </row>
    <row r="214" spans="1:73" s="988" customFormat="1" ht="18" customHeight="1">
      <c r="A214" s="2311" t="s">
        <v>1319</v>
      </c>
      <c r="B214" s="2313" t="s">
        <v>1319</v>
      </c>
      <c r="C214" s="1000"/>
      <c r="E214" s="989" t="s">
        <v>1320</v>
      </c>
      <c r="F214" s="1004"/>
      <c r="H214" s="1042"/>
      <c r="I214" s="2314"/>
      <c r="J214" s="2314"/>
      <c r="K214" s="2316">
        <f>I214+J214</f>
        <v>0</v>
      </c>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3"/>
      <c r="AK214" s="1153"/>
      <c r="AL214" s="1153"/>
      <c r="AM214" s="1153"/>
      <c r="AN214" s="1153"/>
      <c r="AO214" s="1153"/>
      <c r="AP214" s="1153"/>
      <c r="AQ214" s="1153"/>
      <c r="AR214" s="1153"/>
      <c r="AS214" s="1153"/>
      <c r="AT214" s="1153"/>
      <c r="AU214" s="1153"/>
      <c r="AV214" s="1153"/>
      <c r="AW214" s="1153"/>
      <c r="AX214" s="1153"/>
      <c r="AY214" s="1153"/>
      <c r="AZ214" s="1153"/>
    </row>
    <row r="215" spans="1:73" s="988" customFormat="1" ht="13.5" customHeight="1">
      <c r="A215" s="2311"/>
      <c r="B215" s="2313"/>
      <c r="C215" s="1112"/>
      <c r="D215" s="1114"/>
      <c r="E215" s="1016" t="s">
        <v>1321</v>
      </c>
      <c r="F215" s="1007"/>
      <c r="G215" s="1026"/>
      <c r="H215" s="1025"/>
      <c r="I215" s="2315"/>
      <c r="J215" s="2315"/>
      <c r="K215" s="2316"/>
      <c r="L215" s="1153"/>
      <c r="M215" s="1153"/>
      <c r="N215" s="1153"/>
      <c r="O215" s="1153"/>
      <c r="P215" s="1153"/>
      <c r="Q215" s="1153"/>
      <c r="R215" s="1153"/>
      <c r="S215" s="1153"/>
      <c r="T215" s="1153"/>
      <c r="U215" s="1153"/>
      <c r="V215" s="1153"/>
      <c r="W215" s="1153"/>
      <c r="X215" s="1153"/>
      <c r="Y215" s="1153"/>
      <c r="Z215" s="1153"/>
      <c r="AA215" s="1153"/>
      <c r="AB215" s="1153"/>
      <c r="AC215" s="1153"/>
      <c r="AD215" s="1153"/>
      <c r="AE215" s="1153"/>
      <c r="AF215" s="1153"/>
      <c r="AG215" s="1153"/>
      <c r="AH215" s="1153"/>
      <c r="AI215" s="1153"/>
      <c r="AJ215" s="1153"/>
      <c r="AK215" s="1153"/>
      <c r="AL215" s="1153"/>
      <c r="AM215" s="1153"/>
      <c r="AN215" s="1153"/>
      <c r="AO215" s="1153"/>
      <c r="AP215" s="1153"/>
      <c r="AQ215" s="1153"/>
      <c r="AR215" s="1153"/>
      <c r="AS215" s="1153"/>
      <c r="AT215" s="1153"/>
      <c r="AU215" s="1153"/>
      <c r="AV215" s="1153"/>
      <c r="AW215" s="1153"/>
      <c r="AX215" s="1153"/>
      <c r="AY215" s="1153"/>
      <c r="AZ215" s="1153"/>
    </row>
    <row r="216" spans="1:73" s="988" customFormat="1" ht="19.5" customHeight="1">
      <c r="A216" s="2311">
        <v>11</v>
      </c>
      <c r="B216" s="2313">
        <v>11</v>
      </c>
      <c r="C216" s="1045" t="s">
        <v>1322</v>
      </c>
      <c r="D216" s="1115"/>
      <c r="E216" s="1047"/>
      <c r="F216" s="1047"/>
      <c r="G216" s="1047"/>
      <c r="H216" s="1048"/>
      <c r="I216" s="2309">
        <f>I218+I232</f>
        <v>0</v>
      </c>
      <c r="J216" s="2309">
        <f>J218+J232</f>
        <v>0</v>
      </c>
      <c r="K216" s="2309">
        <f>I216+J216</f>
        <v>0</v>
      </c>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row>
    <row r="217" spans="1:73" s="985" customFormat="1" ht="13.5" customHeight="1">
      <c r="A217" s="2311"/>
      <c r="B217" s="2313"/>
      <c r="C217" s="996" t="s">
        <v>1323</v>
      </c>
      <c r="D217" s="997" t="s">
        <v>1324</v>
      </c>
      <c r="E217" s="1116"/>
      <c r="F217" s="1117"/>
      <c r="G217" s="1070"/>
      <c r="H217" s="1071"/>
      <c r="I217" s="2309"/>
      <c r="J217" s="2309"/>
      <c r="K217" s="2309"/>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988"/>
      <c r="BB217" s="988"/>
      <c r="BC217" s="988"/>
      <c r="BD217" s="988"/>
      <c r="BE217" s="988"/>
      <c r="BF217" s="988"/>
      <c r="BG217" s="988"/>
      <c r="BH217" s="988"/>
      <c r="BI217" s="988"/>
      <c r="BJ217" s="988"/>
      <c r="BK217" s="988"/>
      <c r="BL217" s="988"/>
      <c r="BM217" s="988"/>
      <c r="BN217" s="988"/>
      <c r="BO217" s="988"/>
      <c r="BP217" s="988"/>
      <c r="BQ217" s="988"/>
      <c r="BR217" s="988"/>
      <c r="BS217" s="988"/>
      <c r="BT217" s="988"/>
      <c r="BU217" s="988"/>
    </row>
    <row r="218" spans="1:73" s="1119" customFormat="1" ht="19.5" customHeight="1">
      <c r="A218" s="2310" t="s">
        <v>1325</v>
      </c>
      <c r="B218" s="2312" t="s">
        <v>1325</v>
      </c>
      <c r="C218" s="1000"/>
      <c r="D218" s="1001" t="s">
        <v>1326</v>
      </c>
      <c r="E218" s="1118"/>
      <c r="G218" s="1004"/>
      <c r="H218" s="1010"/>
      <c r="I218" s="2326">
        <f>SUM(I220:I231)</f>
        <v>0</v>
      </c>
      <c r="J218" s="2326">
        <f>SUM(J220:J231)</f>
        <v>0</v>
      </c>
      <c r="K218" s="2316">
        <f>I218+J218</f>
        <v>0</v>
      </c>
      <c r="L218" s="1163"/>
      <c r="M218" s="1163"/>
      <c r="N218" s="1163"/>
      <c r="O218" s="1163"/>
      <c r="P218" s="1163"/>
      <c r="Q218" s="1163"/>
      <c r="R218" s="1163"/>
      <c r="S218" s="1163"/>
      <c r="T218" s="1163"/>
      <c r="U218" s="1163"/>
      <c r="V218" s="1163"/>
      <c r="W218" s="1163"/>
      <c r="X218" s="1163"/>
      <c r="Y218" s="1163"/>
      <c r="Z218" s="1163"/>
      <c r="AA218" s="1163"/>
      <c r="AB218" s="1163"/>
      <c r="AC218" s="1163"/>
      <c r="AD218" s="1163"/>
      <c r="AE218" s="1163"/>
      <c r="AF218" s="1163"/>
      <c r="AG218" s="1163"/>
      <c r="AH218" s="1163"/>
      <c r="AI218" s="1163"/>
      <c r="AJ218" s="1163"/>
      <c r="AK218" s="1163"/>
      <c r="AL218" s="1163"/>
      <c r="AM218" s="1163"/>
      <c r="AN218" s="1163"/>
      <c r="AO218" s="1163"/>
      <c r="AP218" s="1163"/>
      <c r="AQ218" s="1163"/>
      <c r="AR218" s="1163"/>
      <c r="AS218" s="1163"/>
      <c r="AT218" s="1163"/>
      <c r="AU218" s="1163"/>
      <c r="AV218" s="1163"/>
      <c r="AW218" s="1163"/>
      <c r="AX218" s="1163"/>
      <c r="AY218" s="1163"/>
      <c r="AZ218" s="1163"/>
      <c r="BA218" s="1004"/>
      <c r="BB218" s="1004"/>
      <c r="BC218" s="1004"/>
      <c r="BD218" s="1004"/>
      <c r="BE218" s="1004"/>
      <c r="BF218" s="1004"/>
      <c r="BG218" s="1004"/>
      <c r="BH218" s="1004"/>
      <c r="BI218" s="1004"/>
      <c r="BJ218" s="1004"/>
      <c r="BK218" s="1004"/>
      <c r="BL218" s="1004"/>
      <c r="BM218" s="1004"/>
      <c r="BN218" s="1004"/>
      <c r="BO218" s="1004"/>
      <c r="BP218" s="1004"/>
      <c r="BQ218" s="1004"/>
      <c r="BR218" s="1004"/>
      <c r="BS218" s="1004"/>
      <c r="BT218" s="1004"/>
      <c r="BU218" s="1004"/>
    </row>
    <row r="219" spans="1:73" s="988" customFormat="1" ht="13.5" customHeight="1">
      <c r="A219" s="2311"/>
      <c r="B219" s="2313"/>
      <c r="C219" s="1011"/>
      <c r="D219" s="1007" t="s">
        <v>1327</v>
      </c>
      <c r="E219" s="1007"/>
      <c r="F219" s="1007"/>
      <c r="G219" s="1026"/>
      <c r="H219" s="1025"/>
      <c r="I219" s="2326"/>
      <c r="J219" s="2326"/>
      <c r="K219" s="2316"/>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3"/>
      <c r="AK219" s="1153"/>
      <c r="AL219" s="1153"/>
      <c r="AM219" s="1153"/>
      <c r="AN219" s="1153"/>
      <c r="AO219" s="1153"/>
      <c r="AP219" s="1153"/>
      <c r="AQ219" s="1153"/>
      <c r="AR219" s="1153"/>
      <c r="AS219" s="1153"/>
      <c r="AT219" s="1153"/>
      <c r="AU219" s="1153"/>
      <c r="AV219" s="1153"/>
      <c r="AW219" s="1153"/>
      <c r="AX219" s="1153"/>
      <c r="AY219" s="1153"/>
      <c r="AZ219" s="1153"/>
    </row>
    <row r="220" spans="1:73" s="988" customFormat="1" ht="18.75" customHeight="1">
      <c r="A220" s="2311" t="s">
        <v>1328</v>
      </c>
      <c r="B220" s="2313" t="s">
        <v>1328</v>
      </c>
      <c r="C220" s="1012"/>
      <c r="E220" s="1120" t="s">
        <v>1329</v>
      </c>
      <c r="F220" s="1004"/>
      <c r="H220" s="1042"/>
      <c r="I220" s="2314"/>
      <c r="J220" s="2314"/>
      <c r="K220" s="2316">
        <f>I220+J220</f>
        <v>0</v>
      </c>
      <c r="L220" s="1153"/>
      <c r="M220" s="1153"/>
      <c r="N220" s="1153"/>
      <c r="O220" s="1153"/>
      <c r="P220" s="1153"/>
      <c r="Q220" s="1153"/>
      <c r="R220" s="1153"/>
      <c r="S220" s="1153"/>
      <c r="T220" s="1153"/>
      <c r="U220" s="1153"/>
      <c r="V220" s="1153"/>
      <c r="W220" s="1153"/>
      <c r="X220" s="1153"/>
      <c r="Y220" s="1153"/>
      <c r="Z220" s="1153"/>
      <c r="AA220" s="1153"/>
      <c r="AB220" s="1153"/>
      <c r="AC220" s="1153"/>
      <c r="AD220" s="1153"/>
      <c r="AE220" s="1153"/>
      <c r="AF220" s="1153"/>
      <c r="AG220" s="1153"/>
      <c r="AH220" s="1153"/>
      <c r="AI220" s="1153"/>
      <c r="AJ220" s="1153"/>
      <c r="AK220" s="1153"/>
      <c r="AL220" s="1153"/>
      <c r="AM220" s="1153"/>
      <c r="AN220" s="1153"/>
      <c r="AO220" s="1153"/>
      <c r="AP220" s="1153"/>
      <c r="AQ220" s="1153"/>
      <c r="AR220" s="1153"/>
      <c r="AS220" s="1153"/>
      <c r="AT220" s="1153"/>
      <c r="AU220" s="1153"/>
      <c r="AV220" s="1153"/>
      <c r="AW220" s="1153"/>
      <c r="AX220" s="1153"/>
      <c r="AY220" s="1153"/>
      <c r="AZ220" s="1153"/>
    </row>
    <row r="221" spans="1:73" s="988" customFormat="1" ht="12" customHeight="1">
      <c r="A221" s="2311"/>
      <c r="B221" s="2313"/>
      <c r="C221" s="1011"/>
      <c r="D221" s="1007"/>
      <c r="E221" s="1016" t="s">
        <v>1330</v>
      </c>
      <c r="F221" s="1007"/>
      <c r="G221" s="1026"/>
      <c r="H221" s="1025"/>
      <c r="I221" s="2315"/>
      <c r="J221" s="2315"/>
      <c r="K221" s="2316"/>
      <c r="L221" s="1153"/>
      <c r="M221" s="1153"/>
      <c r="N221" s="1153"/>
      <c r="O221" s="1153"/>
      <c r="P221" s="1153"/>
      <c r="Q221" s="1153"/>
      <c r="R221" s="1153"/>
      <c r="S221" s="1153"/>
      <c r="T221" s="1153"/>
      <c r="U221" s="1153"/>
      <c r="V221" s="1153"/>
      <c r="W221" s="1153"/>
      <c r="X221" s="1153"/>
      <c r="Y221" s="1153"/>
      <c r="Z221" s="1153"/>
      <c r="AA221" s="1153"/>
      <c r="AB221" s="1153"/>
      <c r="AC221" s="1153"/>
      <c r="AD221" s="1153"/>
      <c r="AE221" s="1153"/>
      <c r="AF221" s="1153"/>
      <c r="AG221" s="1153"/>
      <c r="AH221" s="1153"/>
      <c r="AI221" s="1153"/>
      <c r="AJ221" s="1153"/>
      <c r="AK221" s="1153"/>
      <c r="AL221" s="1153"/>
      <c r="AM221" s="1153"/>
      <c r="AN221" s="1153"/>
      <c r="AO221" s="1153"/>
      <c r="AP221" s="1153"/>
      <c r="AQ221" s="1153"/>
      <c r="AR221" s="1153"/>
      <c r="AS221" s="1153"/>
      <c r="AT221" s="1153"/>
      <c r="AU221" s="1153"/>
      <c r="AV221" s="1153"/>
      <c r="AW221" s="1153"/>
      <c r="AX221" s="1153"/>
      <c r="AY221" s="1153"/>
      <c r="AZ221" s="1153"/>
    </row>
    <row r="222" spans="1:73" s="988" customFormat="1" ht="19.5" customHeight="1">
      <c r="A222" s="2311" t="s">
        <v>1331</v>
      </c>
      <c r="B222" s="2313" t="s">
        <v>1331</v>
      </c>
      <c r="C222" s="1035"/>
      <c r="D222" s="1031"/>
      <c r="E222" s="1036" t="s">
        <v>1332</v>
      </c>
      <c r="F222" s="1121"/>
      <c r="G222" s="1031"/>
      <c r="H222" s="1044"/>
      <c r="I222" s="2314"/>
      <c r="J222" s="2314"/>
      <c r="K222" s="2316">
        <f>I222+J222</f>
        <v>0</v>
      </c>
      <c r="L222" s="1153"/>
      <c r="M222" s="1153"/>
      <c r="N222" s="1153"/>
      <c r="O222" s="1153"/>
      <c r="P222" s="1153"/>
      <c r="Q222" s="1153"/>
      <c r="R222" s="1153"/>
      <c r="S222" s="1153"/>
      <c r="T222" s="1153"/>
      <c r="U222" s="1153"/>
      <c r="V222" s="1153"/>
      <c r="W222" s="1153"/>
      <c r="X222" s="1153"/>
      <c r="Y222" s="1153"/>
      <c r="Z222" s="1153"/>
      <c r="AA222" s="1153"/>
      <c r="AB222" s="1153"/>
      <c r="AC222" s="1153"/>
      <c r="AD222" s="1153"/>
      <c r="AE222" s="1153"/>
      <c r="AF222" s="1153"/>
      <c r="AG222" s="1153"/>
      <c r="AH222" s="1153"/>
      <c r="AI222" s="1153"/>
      <c r="AJ222" s="1153"/>
      <c r="AK222" s="1153"/>
      <c r="AL222" s="1153"/>
      <c r="AM222" s="1153"/>
      <c r="AN222" s="1153"/>
      <c r="AO222" s="1153"/>
      <c r="AP222" s="1153"/>
      <c r="AQ222" s="1153"/>
      <c r="AR222" s="1153"/>
      <c r="AS222" s="1153"/>
      <c r="AT222" s="1153"/>
      <c r="AU222" s="1153"/>
      <c r="AV222" s="1153"/>
      <c r="AW222" s="1153"/>
      <c r="AX222" s="1153"/>
      <c r="AY222" s="1153"/>
      <c r="AZ222" s="1153"/>
    </row>
    <row r="223" spans="1:73" s="988" customFormat="1" ht="13.5" customHeight="1">
      <c r="A223" s="2311"/>
      <c r="B223" s="2313"/>
      <c r="C223" s="1011"/>
      <c r="D223" s="1007"/>
      <c r="E223" s="1016" t="s">
        <v>1333</v>
      </c>
      <c r="F223" s="1007"/>
      <c r="G223" s="1026"/>
      <c r="H223" s="1025"/>
      <c r="I223" s="2315"/>
      <c r="J223" s="2315"/>
      <c r="K223" s="2316"/>
      <c r="L223" s="1153"/>
      <c r="M223" s="1153"/>
      <c r="N223" s="1153"/>
      <c r="O223" s="1153"/>
      <c r="P223" s="1153"/>
      <c r="Q223" s="1153"/>
      <c r="R223" s="1153"/>
      <c r="S223" s="1153"/>
      <c r="T223" s="1153"/>
      <c r="U223" s="1153"/>
      <c r="V223" s="1153"/>
      <c r="W223" s="1153"/>
      <c r="X223" s="1153"/>
      <c r="Y223" s="1153"/>
      <c r="Z223" s="1153"/>
      <c r="AA223" s="1153"/>
      <c r="AB223" s="1153"/>
      <c r="AC223" s="1153"/>
      <c r="AD223" s="1153"/>
      <c r="AE223" s="1153"/>
      <c r="AF223" s="1153"/>
      <c r="AG223" s="1153"/>
      <c r="AH223" s="1153"/>
      <c r="AI223" s="1153"/>
      <c r="AJ223" s="1153"/>
      <c r="AK223" s="1153"/>
      <c r="AL223" s="1153"/>
      <c r="AM223" s="1153"/>
      <c r="AN223" s="1153"/>
      <c r="AO223" s="1153"/>
      <c r="AP223" s="1153"/>
      <c r="AQ223" s="1153"/>
      <c r="AR223" s="1153"/>
      <c r="AS223" s="1153"/>
      <c r="AT223" s="1153"/>
      <c r="AU223" s="1153"/>
      <c r="AV223" s="1153"/>
      <c r="AW223" s="1153"/>
      <c r="AX223" s="1153"/>
      <c r="AY223" s="1153"/>
      <c r="AZ223" s="1153"/>
    </row>
    <row r="224" spans="1:73" s="988" customFormat="1" ht="18" customHeight="1">
      <c r="A224" s="2311" t="s">
        <v>1334</v>
      </c>
      <c r="B224" s="2313" t="s">
        <v>1334</v>
      </c>
      <c r="C224" s="1012"/>
      <c r="E224" s="989" t="s">
        <v>1335</v>
      </c>
      <c r="F224" s="1004"/>
      <c r="H224" s="1042"/>
      <c r="I224" s="2314"/>
      <c r="J224" s="2314"/>
      <c r="K224" s="2316">
        <f>I224+J224</f>
        <v>0</v>
      </c>
      <c r="L224" s="1153"/>
      <c r="M224" s="1153"/>
      <c r="N224" s="1153"/>
      <c r="O224" s="1153"/>
      <c r="P224" s="1153"/>
      <c r="Q224" s="1153"/>
      <c r="R224" s="1153"/>
      <c r="S224" s="1153"/>
      <c r="T224" s="1153"/>
      <c r="U224" s="1153"/>
      <c r="V224" s="1153"/>
      <c r="W224" s="1153"/>
      <c r="X224" s="1153"/>
      <c r="Y224" s="1153"/>
      <c r="Z224" s="1153"/>
      <c r="AA224" s="1153"/>
      <c r="AB224" s="1153"/>
      <c r="AC224" s="1153"/>
      <c r="AD224" s="1153"/>
      <c r="AE224" s="1153"/>
      <c r="AF224" s="1153"/>
      <c r="AG224" s="1153"/>
      <c r="AH224" s="1153"/>
      <c r="AI224" s="1153"/>
      <c r="AJ224" s="1153"/>
      <c r="AK224" s="1153"/>
      <c r="AL224" s="1153"/>
      <c r="AM224" s="1153"/>
      <c r="AN224" s="1153"/>
      <c r="AO224" s="1153"/>
      <c r="AP224" s="1153"/>
      <c r="AQ224" s="1153"/>
      <c r="AR224" s="1153"/>
      <c r="AS224" s="1153"/>
      <c r="AT224" s="1153"/>
      <c r="AU224" s="1153"/>
      <c r="AV224" s="1153"/>
      <c r="AW224" s="1153"/>
      <c r="AX224" s="1153"/>
      <c r="AY224" s="1153"/>
      <c r="AZ224" s="1153"/>
    </row>
    <row r="225" spans="1:52" s="988" customFormat="1" ht="13.5" customHeight="1">
      <c r="A225" s="2311"/>
      <c r="B225" s="2313"/>
      <c r="C225" s="1011"/>
      <c r="D225" s="1007"/>
      <c r="E225" s="1016" t="s">
        <v>1336</v>
      </c>
      <c r="F225" s="1007"/>
      <c r="G225" s="1026"/>
      <c r="H225" s="1025"/>
      <c r="I225" s="2315"/>
      <c r="J225" s="2315"/>
      <c r="K225" s="2316"/>
      <c r="L225" s="1153"/>
      <c r="M225" s="1153"/>
      <c r="N225" s="1153"/>
      <c r="O225" s="1153"/>
      <c r="P225" s="1153"/>
      <c r="Q225" s="1153"/>
      <c r="R225" s="1153"/>
      <c r="S225" s="1153"/>
      <c r="T225" s="1153"/>
      <c r="U225" s="1153"/>
      <c r="V225" s="1153"/>
      <c r="W225" s="1153"/>
      <c r="X225" s="1153"/>
      <c r="Y225" s="1153"/>
      <c r="Z225" s="1153"/>
      <c r="AA225" s="1153"/>
      <c r="AB225" s="1153"/>
      <c r="AC225" s="1153"/>
      <c r="AD225" s="1153"/>
      <c r="AE225" s="1153"/>
      <c r="AF225" s="1153"/>
      <c r="AG225" s="1153"/>
      <c r="AH225" s="1153"/>
      <c r="AI225" s="1153"/>
      <c r="AJ225" s="1153"/>
      <c r="AK225" s="1153"/>
      <c r="AL225" s="1153"/>
      <c r="AM225" s="1153"/>
      <c r="AN225" s="1153"/>
      <c r="AO225" s="1153"/>
      <c r="AP225" s="1153"/>
      <c r="AQ225" s="1153"/>
      <c r="AR225" s="1153"/>
      <c r="AS225" s="1153"/>
      <c r="AT225" s="1153"/>
      <c r="AU225" s="1153"/>
      <c r="AV225" s="1153"/>
      <c r="AW225" s="1153"/>
      <c r="AX225" s="1153"/>
      <c r="AY225" s="1153"/>
      <c r="AZ225" s="1153"/>
    </row>
    <row r="226" spans="1:52" s="988" customFormat="1" ht="23.25" customHeight="1">
      <c r="A226" s="2311" t="s">
        <v>1337</v>
      </c>
      <c r="B226" s="2313" t="s">
        <v>1337</v>
      </c>
      <c r="C226" s="1012"/>
      <c r="E226" s="989" t="s">
        <v>1338</v>
      </c>
      <c r="F226" s="1004"/>
      <c r="H226" s="1042"/>
      <c r="I226" s="2314"/>
      <c r="J226" s="2314"/>
      <c r="K226" s="2316">
        <f>I226+J226</f>
        <v>0</v>
      </c>
      <c r="L226" s="1153"/>
      <c r="M226" s="1153"/>
      <c r="N226" s="1153"/>
      <c r="O226" s="1153"/>
      <c r="P226" s="1153"/>
      <c r="Q226" s="1153"/>
      <c r="R226" s="1153"/>
      <c r="S226" s="1153"/>
      <c r="T226" s="1153"/>
      <c r="U226" s="1153"/>
      <c r="V226" s="1153"/>
      <c r="W226" s="1153"/>
      <c r="X226" s="1153"/>
      <c r="Y226" s="1153"/>
      <c r="Z226" s="1153"/>
      <c r="AA226" s="1153"/>
      <c r="AB226" s="1153"/>
      <c r="AC226" s="1153"/>
      <c r="AD226" s="1153"/>
      <c r="AE226" s="1153"/>
      <c r="AF226" s="1153"/>
      <c r="AG226" s="1153"/>
      <c r="AH226" s="1153"/>
      <c r="AI226" s="1153"/>
      <c r="AJ226" s="1153"/>
      <c r="AK226" s="1153"/>
      <c r="AL226" s="1153"/>
      <c r="AM226" s="1153"/>
      <c r="AN226" s="1153"/>
      <c r="AO226" s="1153"/>
      <c r="AP226" s="1153"/>
      <c r="AQ226" s="1153"/>
      <c r="AR226" s="1153"/>
      <c r="AS226" s="1153"/>
      <c r="AT226" s="1153"/>
      <c r="AU226" s="1153"/>
      <c r="AV226" s="1153"/>
      <c r="AW226" s="1153"/>
      <c r="AX226" s="1153"/>
      <c r="AY226" s="1153"/>
      <c r="AZ226" s="1153"/>
    </row>
    <row r="227" spans="1:52" s="988" customFormat="1" ht="13.5" customHeight="1">
      <c r="A227" s="2311"/>
      <c r="B227" s="2313"/>
      <c r="C227" s="1011"/>
      <c r="D227" s="1007"/>
      <c r="E227" s="1016" t="s">
        <v>1339</v>
      </c>
      <c r="F227" s="1007"/>
      <c r="G227" s="1026"/>
      <c r="H227" s="1025"/>
      <c r="I227" s="2315"/>
      <c r="J227" s="2315"/>
      <c r="K227" s="2316"/>
      <c r="L227" s="1153"/>
      <c r="M227" s="1153"/>
      <c r="N227" s="1153"/>
      <c r="O227" s="1153"/>
      <c r="P227" s="1153"/>
      <c r="Q227" s="1153"/>
      <c r="R227" s="1153"/>
      <c r="S227" s="1153"/>
      <c r="T227" s="1153"/>
      <c r="U227" s="1153"/>
      <c r="V227" s="1153"/>
      <c r="W227" s="1153"/>
      <c r="X227" s="1153"/>
      <c r="Y227" s="1153"/>
      <c r="Z227" s="1153"/>
      <c r="AA227" s="1153"/>
      <c r="AB227" s="1153"/>
      <c r="AC227" s="1153"/>
      <c r="AD227" s="1153"/>
      <c r="AE227" s="1153"/>
      <c r="AF227" s="1153"/>
      <c r="AG227" s="1153"/>
      <c r="AH227" s="1153"/>
      <c r="AI227" s="1153"/>
      <c r="AJ227" s="1153"/>
      <c r="AK227" s="1153"/>
      <c r="AL227" s="1153"/>
      <c r="AM227" s="1153"/>
      <c r="AN227" s="1153"/>
      <c r="AO227" s="1153"/>
      <c r="AP227" s="1153"/>
      <c r="AQ227" s="1153"/>
      <c r="AR227" s="1153"/>
      <c r="AS227" s="1153"/>
      <c r="AT227" s="1153"/>
      <c r="AU227" s="1153"/>
      <c r="AV227" s="1153"/>
      <c r="AW227" s="1153"/>
      <c r="AX227" s="1153"/>
      <c r="AY227" s="1153"/>
      <c r="AZ227" s="1153"/>
    </row>
    <row r="228" spans="1:52" s="988" customFormat="1" ht="18.75" customHeight="1">
      <c r="A228" s="2311" t="s">
        <v>1340</v>
      </c>
      <c r="B228" s="2313" t="s">
        <v>1340</v>
      </c>
      <c r="C228" s="1012"/>
      <c r="E228" s="989" t="s">
        <v>1341</v>
      </c>
      <c r="F228" s="1004"/>
      <c r="H228" s="1042"/>
      <c r="I228" s="2314"/>
      <c r="J228" s="2314"/>
      <c r="K228" s="2316">
        <f>I228+J228</f>
        <v>0</v>
      </c>
      <c r="L228" s="1153"/>
      <c r="M228" s="1153"/>
      <c r="N228" s="1153"/>
      <c r="O228" s="1153"/>
      <c r="P228" s="1153"/>
      <c r="Q228" s="1153"/>
      <c r="R228" s="1153"/>
      <c r="S228" s="1153"/>
      <c r="T228" s="1153"/>
      <c r="U228" s="1153"/>
      <c r="V228" s="1153"/>
      <c r="W228" s="1153"/>
      <c r="X228" s="1153"/>
      <c r="Y228" s="1153"/>
      <c r="Z228" s="1153"/>
      <c r="AA228" s="1153"/>
      <c r="AB228" s="1153"/>
      <c r="AC228" s="1153"/>
      <c r="AD228" s="1153"/>
      <c r="AE228" s="1153"/>
      <c r="AF228" s="1153"/>
      <c r="AG228" s="1153"/>
      <c r="AH228" s="1153"/>
      <c r="AI228" s="1153"/>
      <c r="AJ228" s="1153"/>
      <c r="AK228" s="1153"/>
      <c r="AL228" s="1153"/>
      <c r="AM228" s="1153"/>
      <c r="AN228" s="1153"/>
      <c r="AO228" s="1153"/>
      <c r="AP228" s="1153"/>
      <c r="AQ228" s="1153"/>
      <c r="AR228" s="1153"/>
      <c r="AS228" s="1153"/>
      <c r="AT228" s="1153"/>
      <c r="AU228" s="1153"/>
      <c r="AV228" s="1153"/>
      <c r="AW228" s="1153"/>
      <c r="AX228" s="1153"/>
      <c r="AY228" s="1153"/>
      <c r="AZ228" s="1153"/>
    </row>
    <row r="229" spans="1:52" s="988" customFormat="1" ht="13.5" customHeight="1">
      <c r="A229" s="2311"/>
      <c r="B229" s="2313"/>
      <c r="C229" s="1011"/>
      <c r="D229" s="1007"/>
      <c r="E229" s="1016" t="s">
        <v>1342</v>
      </c>
      <c r="F229" s="1007"/>
      <c r="G229" s="1026"/>
      <c r="H229" s="1025"/>
      <c r="I229" s="2315"/>
      <c r="J229" s="2315"/>
      <c r="K229" s="2316"/>
      <c r="L229" s="1153"/>
      <c r="M229" s="1153"/>
      <c r="N229" s="1153"/>
      <c r="O229" s="1153"/>
      <c r="P229" s="1153"/>
      <c r="Q229" s="1153"/>
      <c r="R229" s="1153"/>
      <c r="S229" s="1153"/>
      <c r="T229" s="1153"/>
      <c r="U229" s="1153"/>
      <c r="V229" s="1153"/>
      <c r="W229" s="1153"/>
      <c r="X229" s="1153"/>
      <c r="Y229" s="1153"/>
      <c r="Z229" s="1153"/>
      <c r="AA229" s="1153"/>
      <c r="AB229" s="1153"/>
      <c r="AC229" s="1153"/>
      <c r="AD229" s="1153"/>
      <c r="AE229" s="1153"/>
      <c r="AF229" s="1153"/>
      <c r="AG229" s="1153"/>
      <c r="AH229" s="1153"/>
      <c r="AI229" s="1153"/>
      <c r="AJ229" s="1153"/>
      <c r="AK229" s="1153"/>
      <c r="AL229" s="1153"/>
      <c r="AM229" s="1153"/>
      <c r="AN229" s="1153"/>
      <c r="AO229" s="1153"/>
      <c r="AP229" s="1153"/>
      <c r="AQ229" s="1153"/>
      <c r="AR229" s="1153"/>
      <c r="AS229" s="1153"/>
      <c r="AT229" s="1153"/>
      <c r="AU229" s="1153"/>
      <c r="AV229" s="1153"/>
      <c r="AW229" s="1153"/>
      <c r="AX229" s="1153"/>
      <c r="AY229" s="1153"/>
      <c r="AZ229" s="1153"/>
    </row>
    <row r="230" spans="1:52" s="988" customFormat="1" ht="20.25" customHeight="1">
      <c r="A230" s="2311" t="s">
        <v>1343</v>
      </c>
      <c r="B230" s="2313" t="s">
        <v>1343</v>
      </c>
      <c r="C230" s="1012"/>
      <c r="E230" s="989" t="s">
        <v>1344</v>
      </c>
      <c r="F230" s="1004"/>
      <c r="H230" s="1042"/>
      <c r="I230" s="2314"/>
      <c r="J230" s="2314"/>
      <c r="K230" s="2316">
        <f>I230+J230</f>
        <v>0</v>
      </c>
      <c r="L230" s="1153"/>
      <c r="M230" s="1153"/>
      <c r="N230" s="1153"/>
      <c r="O230" s="1153"/>
      <c r="P230" s="1153"/>
      <c r="Q230" s="1153"/>
      <c r="R230" s="1153"/>
      <c r="S230" s="1153"/>
      <c r="T230" s="1153"/>
      <c r="U230" s="1153"/>
      <c r="V230" s="1153"/>
      <c r="W230" s="1153"/>
      <c r="X230" s="1153"/>
      <c r="Y230" s="1153"/>
      <c r="Z230" s="1153"/>
      <c r="AA230" s="1153"/>
      <c r="AB230" s="1153"/>
      <c r="AC230" s="1153"/>
      <c r="AD230" s="1153"/>
      <c r="AE230" s="1153"/>
      <c r="AF230" s="1153"/>
      <c r="AG230" s="1153"/>
      <c r="AH230" s="1153"/>
      <c r="AI230" s="1153"/>
      <c r="AJ230" s="1153"/>
      <c r="AK230" s="1153"/>
      <c r="AL230" s="1153"/>
      <c r="AM230" s="1153"/>
      <c r="AN230" s="1153"/>
      <c r="AO230" s="1153"/>
      <c r="AP230" s="1153"/>
      <c r="AQ230" s="1153"/>
      <c r="AR230" s="1153"/>
      <c r="AS230" s="1153"/>
      <c r="AT230" s="1153"/>
      <c r="AU230" s="1153"/>
      <c r="AV230" s="1153"/>
      <c r="AW230" s="1153"/>
      <c r="AX230" s="1153"/>
      <c r="AY230" s="1153"/>
      <c r="AZ230" s="1153"/>
    </row>
    <row r="231" spans="1:52" s="988" customFormat="1" ht="13.5" customHeight="1">
      <c r="A231" s="2311"/>
      <c r="B231" s="2313"/>
      <c r="C231" s="1011"/>
      <c r="D231" s="1007"/>
      <c r="E231" s="1016" t="s">
        <v>1345</v>
      </c>
      <c r="F231" s="1007"/>
      <c r="G231" s="1026"/>
      <c r="H231" s="1025"/>
      <c r="I231" s="2315"/>
      <c r="J231" s="2315"/>
      <c r="K231" s="2316"/>
      <c r="L231" s="1153"/>
      <c r="M231" s="1153"/>
      <c r="N231" s="1153"/>
      <c r="O231" s="1153"/>
      <c r="P231" s="1153"/>
      <c r="Q231" s="1153"/>
      <c r="R231" s="1153"/>
      <c r="S231" s="1153"/>
      <c r="T231" s="1153"/>
      <c r="U231" s="1153"/>
      <c r="V231" s="1153"/>
      <c r="W231" s="1153"/>
      <c r="X231" s="1153"/>
      <c r="Y231" s="1153"/>
      <c r="Z231" s="1153"/>
      <c r="AA231" s="1153"/>
      <c r="AB231" s="1153"/>
      <c r="AC231" s="1153"/>
      <c r="AD231" s="1153"/>
      <c r="AE231" s="1153"/>
      <c r="AF231" s="1153"/>
      <c r="AG231" s="1153"/>
      <c r="AH231" s="1153"/>
      <c r="AI231" s="1153"/>
      <c r="AJ231" s="1153"/>
      <c r="AK231" s="1153"/>
      <c r="AL231" s="1153"/>
      <c r="AM231" s="1153"/>
      <c r="AN231" s="1153"/>
      <c r="AO231" s="1153"/>
      <c r="AP231" s="1153"/>
      <c r="AQ231" s="1153"/>
      <c r="AR231" s="1153"/>
      <c r="AS231" s="1153"/>
      <c r="AT231" s="1153"/>
      <c r="AU231" s="1153"/>
      <c r="AV231" s="1153"/>
      <c r="AW231" s="1153"/>
      <c r="AX231" s="1153"/>
      <c r="AY231" s="1153"/>
      <c r="AZ231" s="1153"/>
    </row>
    <row r="232" spans="1:52" s="988" customFormat="1" ht="18.75" customHeight="1">
      <c r="A232" s="2310" t="s">
        <v>1346</v>
      </c>
      <c r="B232" s="2312" t="s">
        <v>1346</v>
      </c>
      <c r="C232" s="1012"/>
      <c r="D232" s="1001" t="s">
        <v>1347</v>
      </c>
      <c r="E232" s="1004"/>
      <c r="F232" s="1004"/>
      <c r="H232" s="1042"/>
      <c r="I232" s="2326">
        <f>SUM(I234:I245)</f>
        <v>0</v>
      </c>
      <c r="J232" s="2326">
        <f>SUM(J234:J245)</f>
        <v>0</v>
      </c>
      <c r="K232" s="2316">
        <f>I232+J232</f>
        <v>0</v>
      </c>
      <c r="L232" s="1153"/>
      <c r="M232" s="1153"/>
      <c r="N232" s="1153"/>
      <c r="O232" s="1153"/>
      <c r="P232" s="1153"/>
      <c r="Q232" s="1153"/>
      <c r="R232" s="1153"/>
      <c r="S232" s="1153"/>
      <c r="T232" s="1153"/>
      <c r="U232" s="1153"/>
      <c r="V232" s="1153"/>
      <c r="W232" s="1153"/>
      <c r="X232" s="1153"/>
      <c r="Y232" s="1153"/>
      <c r="Z232" s="1153"/>
      <c r="AA232" s="1153"/>
      <c r="AB232" s="1153"/>
      <c r="AC232" s="1153"/>
      <c r="AD232" s="1153"/>
      <c r="AE232" s="1153"/>
      <c r="AF232" s="1153"/>
      <c r="AG232" s="1153"/>
      <c r="AH232" s="1153"/>
      <c r="AI232" s="1153"/>
      <c r="AJ232" s="1153"/>
      <c r="AK232" s="1153"/>
      <c r="AL232" s="1153"/>
      <c r="AM232" s="1153"/>
      <c r="AN232" s="1153"/>
      <c r="AO232" s="1153"/>
      <c r="AP232" s="1153"/>
      <c r="AQ232" s="1153"/>
      <c r="AR232" s="1153"/>
      <c r="AS232" s="1153"/>
      <c r="AT232" s="1153"/>
      <c r="AU232" s="1153"/>
      <c r="AV232" s="1153"/>
      <c r="AW232" s="1153"/>
      <c r="AX232" s="1153"/>
      <c r="AY232" s="1153"/>
      <c r="AZ232" s="1153"/>
    </row>
    <row r="233" spans="1:52" s="988" customFormat="1" ht="13.5" customHeight="1">
      <c r="A233" s="2311"/>
      <c r="B233" s="2313"/>
      <c r="C233" s="1011"/>
      <c r="D233" s="1007" t="s">
        <v>1348</v>
      </c>
      <c r="E233" s="1007"/>
      <c r="F233" s="1007"/>
      <c r="G233" s="1026"/>
      <c r="H233" s="1025"/>
      <c r="I233" s="2326"/>
      <c r="J233" s="2326"/>
      <c r="K233" s="2316"/>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3"/>
      <c r="AK233" s="1153"/>
      <c r="AL233" s="1153"/>
      <c r="AM233" s="1153"/>
      <c r="AN233" s="1153"/>
      <c r="AO233" s="1153"/>
      <c r="AP233" s="1153"/>
      <c r="AQ233" s="1153"/>
      <c r="AR233" s="1153"/>
      <c r="AS233" s="1153"/>
      <c r="AT233" s="1153"/>
      <c r="AU233" s="1153"/>
      <c r="AV233" s="1153"/>
      <c r="AW233" s="1153"/>
      <c r="AX233" s="1153"/>
      <c r="AY233" s="1153"/>
      <c r="AZ233" s="1153"/>
    </row>
    <row r="234" spans="1:52" s="988" customFormat="1" ht="19.5" customHeight="1">
      <c r="A234" s="2311" t="s">
        <v>1349</v>
      </c>
      <c r="B234" s="2313" t="s">
        <v>1349</v>
      </c>
      <c r="C234" s="1012"/>
      <c r="E234" s="989" t="s">
        <v>1350</v>
      </c>
      <c r="F234" s="1004"/>
      <c r="H234" s="1042"/>
      <c r="I234" s="2314"/>
      <c r="J234" s="2314"/>
      <c r="K234" s="2316">
        <f>I234+J234</f>
        <v>0</v>
      </c>
      <c r="L234" s="1153"/>
      <c r="M234" s="1153"/>
      <c r="N234" s="1153"/>
      <c r="O234" s="1153"/>
      <c r="P234" s="1153"/>
      <c r="Q234" s="1153"/>
      <c r="R234" s="1153"/>
      <c r="S234" s="1153"/>
      <c r="T234" s="1153"/>
      <c r="U234" s="1153"/>
      <c r="V234" s="1153"/>
      <c r="W234" s="1153"/>
      <c r="X234" s="1153"/>
      <c r="Y234" s="1153"/>
      <c r="Z234" s="1153"/>
      <c r="AA234" s="1153"/>
      <c r="AB234" s="1153"/>
      <c r="AC234" s="1153"/>
      <c r="AD234" s="1153"/>
      <c r="AE234" s="1153"/>
      <c r="AF234" s="1153"/>
      <c r="AG234" s="1153"/>
      <c r="AH234" s="1153"/>
      <c r="AI234" s="1153"/>
      <c r="AJ234" s="1153"/>
      <c r="AK234" s="1153"/>
      <c r="AL234" s="1153"/>
      <c r="AM234" s="1153"/>
      <c r="AN234" s="1153"/>
      <c r="AO234" s="1153"/>
      <c r="AP234" s="1153"/>
      <c r="AQ234" s="1153"/>
      <c r="AR234" s="1153"/>
      <c r="AS234" s="1153"/>
      <c r="AT234" s="1153"/>
      <c r="AU234" s="1153"/>
      <c r="AV234" s="1153"/>
      <c r="AW234" s="1153"/>
      <c r="AX234" s="1153"/>
      <c r="AY234" s="1153"/>
      <c r="AZ234" s="1153"/>
    </row>
    <row r="235" spans="1:52" s="988" customFormat="1" ht="13.5" customHeight="1">
      <c r="A235" s="2311"/>
      <c r="B235" s="2313"/>
      <c r="C235" s="1011"/>
      <c r="D235" s="1007"/>
      <c r="E235" s="1016" t="s">
        <v>1351</v>
      </c>
      <c r="F235" s="1007"/>
      <c r="G235" s="1026"/>
      <c r="H235" s="1025"/>
      <c r="I235" s="2315"/>
      <c r="J235" s="2315"/>
      <c r="K235" s="2316"/>
      <c r="L235" s="1153"/>
      <c r="M235" s="1153"/>
      <c r="N235" s="1153"/>
      <c r="O235" s="1153"/>
      <c r="P235" s="1153"/>
      <c r="Q235" s="1153"/>
      <c r="R235" s="1153"/>
      <c r="S235" s="1153"/>
      <c r="T235" s="1153"/>
      <c r="U235" s="1153"/>
      <c r="V235" s="1153"/>
      <c r="W235" s="1153"/>
      <c r="X235" s="1153"/>
      <c r="Y235" s="1153"/>
      <c r="Z235" s="1153"/>
      <c r="AA235" s="1153"/>
      <c r="AB235" s="1153"/>
      <c r="AC235" s="1153"/>
      <c r="AD235" s="1153"/>
      <c r="AE235" s="1153"/>
      <c r="AF235" s="1153"/>
      <c r="AG235" s="1153"/>
      <c r="AH235" s="1153"/>
      <c r="AI235" s="1153"/>
      <c r="AJ235" s="1153"/>
      <c r="AK235" s="1153"/>
      <c r="AL235" s="1153"/>
      <c r="AM235" s="1153"/>
      <c r="AN235" s="1153"/>
      <c r="AO235" s="1153"/>
      <c r="AP235" s="1153"/>
      <c r="AQ235" s="1153"/>
      <c r="AR235" s="1153"/>
      <c r="AS235" s="1153"/>
      <c r="AT235" s="1153"/>
      <c r="AU235" s="1153"/>
      <c r="AV235" s="1153"/>
      <c r="AW235" s="1153"/>
      <c r="AX235" s="1153"/>
      <c r="AY235" s="1153"/>
      <c r="AZ235" s="1153"/>
    </row>
    <row r="236" spans="1:52" s="988" customFormat="1" ht="19.5" customHeight="1">
      <c r="A236" s="2311" t="s">
        <v>1352</v>
      </c>
      <c r="B236" s="2313" t="s">
        <v>1352</v>
      </c>
      <c r="C236" s="1012"/>
      <c r="E236" s="989" t="s">
        <v>1353</v>
      </c>
      <c r="F236" s="1004"/>
      <c r="H236" s="1042"/>
      <c r="I236" s="2314"/>
      <c r="J236" s="2314"/>
      <c r="K236" s="2316">
        <f>I236+J236</f>
        <v>0</v>
      </c>
      <c r="L236" s="1153"/>
      <c r="M236" s="1153"/>
      <c r="N236" s="1153"/>
      <c r="O236" s="1153"/>
      <c r="P236" s="1153"/>
      <c r="Q236" s="1153"/>
      <c r="R236" s="1153"/>
      <c r="S236" s="1153"/>
      <c r="T236" s="1153"/>
      <c r="U236" s="1153"/>
      <c r="V236" s="1153"/>
      <c r="W236" s="1153"/>
      <c r="X236" s="1153"/>
      <c r="Y236" s="1153"/>
      <c r="Z236" s="1153"/>
      <c r="AA236" s="1153"/>
      <c r="AB236" s="1153"/>
      <c r="AC236" s="1153"/>
      <c r="AD236" s="1153"/>
      <c r="AE236" s="1153"/>
      <c r="AF236" s="1153"/>
      <c r="AG236" s="1153"/>
      <c r="AH236" s="1153"/>
      <c r="AI236" s="1153"/>
      <c r="AJ236" s="1153"/>
      <c r="AK236" s="1153"/>
      <c r="AL236" s="1153"/>
      <c r="AM236" s="1153"/>
      <c r="AN236" s="1153"/>
      <c r="AO236" s="1153"/>
      <c r="AP236" s="1153"/>
      <c r="AQ236" s="1153"/>
      <c r="AR236" s="1153"/>
      <c r="AS236" s="1153"/>
      <c r="AT236" s="1153"/>
      <c r="AU236" s="1153"/>
      <c r="AV236" s="1153"/>
      <c r="AW236" s="1153"/>
      <c r="AX236" s="1153"/>
      <c r="AY236" s="1153"/>
      <c r="AZ236" s="1153"/>
    </row>
    <row r="237" spans="1:52" s="988" customFormat="1" ht="13.5" customHeight="1">
      <c r="A237" s="2311"/>
      <c r="B237" s="2313"/>
      <c r="C237" s="1011"/>
      <c r="D237" s="1007"/>
      <c r="E237" s="1016" t="s">
        <v>1354</v>
      </c>
      <c r="F237" s="1007"/>
      <c r="G237" s="1026"/>
      <c r="H237" s="1025"/>
      <c r="I237" s="2315"/>
      <c r="J237" s="2315"/>
      <c r="K237" s="2316"/>
      <c r="L237" s="1153"/>
      <c r="M237" s="1153"/>
      <c r="N237" s="1153"/>
      <c r="O237" s="1153"/>
      <c r="P237" s="1153"/>
      <c r="Q237" s="1153"/>
      <c r="R237" s="1153"/>
      <c r="S237" s="1153"/>
      <c r="T237" s="1153"/>
      <c r="U237" s="1153"/>
      <c r="V237" s="1153"/>
      <c r="W237" s="1153"/>
      <c r="X237" s="1153"/>
      <c r="Y237" s="1153"/>
      <c r="Z237" s="1153"/>
      <c r="AA237" s="1153"/>
      <c r="AB237" s="1153"/>
      <c r="AC237" s="1153"/>
      <c r="AD237" s="1153"/>
      <c r="AE237" s="1153"/>
      <c r="AF237" s="1153"/>
      <c r="AG237" s="1153"/>
      <c r="AH237" s="1153"/>
      <c r="AI237" s="1153"/>
      <c r="AJ237" s="1153"/>
      <c r="AK237" s="1153"/>
      <c r="AL237" s="1153"/>
      <c r="AM237" s="1153"/>
      <c r="AN237" s="1153"/>
      <c r="AO237" s="1153"/>
      <c r="AP237" s="1153"/>
      <c r="AQ237" s="1153"/>
      <c r="AR237" s="1153"/>
      <c r="AS237" s="1153"/>
      <c r="AT237" s="1153"/>
      <c r="AU237" s="1153"/>
      <c r="AV237" s="1153"/>
      <c r="AW237" s="1153"/>
      <c r="AX237" s="1153"/>
      <c r="AY237" s="1153"/>
      <c r="AZ237" s="1153"/>
    </row>
    <row r="238" spans="1:52" s="988" customFormat="1" ht="18.75" customHeight="1">
      <c r="A238" s="2310" t="s">
        <v>1355</v>
      </c>
      <c r="B238" s="2312" t="s">
        <v>1355</v>
      </c>
      <c r="C238" s="1035"/>
      <c r="D238" s="1031"/>
      <c r="E238" s="1122" t="s">
        <v>1356</v>
      </c>
      <c r="F238" s="1121"/>
      <c r="G238" s="1031"/>
      <c r="H238" s="1044"/>
      <c r="I238" s="2314"/>
      <c r="J238" s="2314"/>
      <c r="K238" s="2316">
        <f>I238+J238</f>
        <v>0</v>
      </c>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3"/>
      <c r="AK238" s="1153"/>
      <c r="AL238" s="1153"/>
      <c r="AM238" s="1153"/>
      <c r="AN238" s="1153"/>
      <c r="AO238" s="1153"/>
      <c r="AP238" s="1153"/>
      <c r="AQ238" s="1153"/>
      <c r="AR238" s="1153"/>
      <c r="AS238" s="1153"/>
      <c r="AT238" s="1153"/>
      <c r="AU238" s="1153"/>
      <c r="AV238" s="1153"/>
      <c r="AW238" s="1153"/>
      <c r="AX238" s="1153"/>
      <c r="AY238" s="1153"/>
      <c r="AZ238" s="1153"/>
    </row>
    <row r="239" spans="1:52" s="988" customFormat="1" ht="13.5" customHeight="1">
      <c r="A239" s="2311"/>
      <c r="B239" s="2313"/>
      <c r="C239" s="1011"/>
      <c r="D239" s="1007"/>
      <c r="E239" s="1016" t="s">
        <v>1357</v>
      </c>
      <c r="F239" s="1007"/>
      <c r="G239" s="1026"/>
      <c r="H239" s="1025"/>
      <c r="I239" s="2315"/>
      <c r="J239" s="2315"/>
      <c r="K239" s="2316"/>
      <c r="L239" s="1153"/>
      <c r="M239" s="1153"/>
      <c r="N239" s="1153"/>
      <c r="O239" s="1153"/>
      <c r="P239" s="1153"/>
      <c r="Q239" s="1153"/>
      <c r="R239" s="1153"/>
      <c r="S239" s="1153"/>
      <c r="T239" s="1153"/>
      <c r="U239" s="1153"/>
      <c r="V239" s="1153"/>
      <c r="W239" s="1153"/>
      <c r="X239" s="1153"/>
      <c r="Y239" s="1153"/>
      <c r="Z239" s="1153"/>
      <c r="AA239" s="1153"/>
      <c r="AB239" s="1153"/>
      <c r="AC239" s="1153"/>
      <c r="AD239" s="1153"/>
      <c r="AE239" s="1153"/>
      <c r="AF239" s="1153"/>
      <c r="AG239" s="1153"/>
      <c r="AH239" s="1153"/>
      <c r="AI239" s="1153"/>
      <c r="AJ239" s="1153"/>
      <c r="AK239" s="1153"/>
      <c r="AL239" s="1153"/>
      <c r="AM239" s="1153"/>
      <c r="AN239" s="1153"/>
      <c r="AO239" s="1153"/>
      <c r="AP239" s="1153"/>
      <c r="AQ239" s="1153"/>
      <c r="AR239" s="1153"/>
      <c r="AS239" s="1153"/>
      <c r="AT239" s="1153"/>
      <c r="AU239" s="1153"/>
      <c r="AV239" s="1153"/>
      <c r="AW239" s="1153"/>
      <c r="AX239" s="1153"/>
      <c r="AY239" s="1153"/>
      <c r="AZ239" s="1153"/>
    </row>
    <row r="240" spans="1:52" s="988" customFormat="1" ht="26.25" customHeight="1">
      <c r="A240" s="2311" t="s">
        <v>1358</v>
      </c>
      <c r="B240" s="2313" t="s">
        <v>1358</v>
      </c>
      <c r="C240" s="1035"/>
      <c r="D240" s="1031"/>
      <c r="E240" s="1036" t="s">
        <v>1359</v>
      </c>
      <c r="F240" s="1121"/>
      <c r="G240" s="1031"/>
      <c r="H240" s="1044"/>
      <c r="I240" s="2314"/>
      <c r="J240" s="2314"/>
      <c r="K240" s="2316">
        <f>I240+J240</f>
        <v>0</v>
      </c>
      <c r="L240" s="1153"/>
      <c r="M240" s="1153"/>
      <c r="N240" s="1153"/>
      <c r="O240" s="1153"/>
      <c r="P240" s="1153"/>
      <c r="Q240" s="1153"/>
      <c r="R240" s="1153"/>
      <c r="S240" s="1153"/>
      <c r="T240" s="1153"/>
      <c r="U240" s="1153"/>
      <c r="V240" s="1153"/>
      <c r="W240" s="1153"/>
      <c r="X240" s="1153"/>
      <c r="Y240" s="1153"/>
      <c r="Z240" s="1153"/>
      <c r="AA240" s="1153"/>
      <c r="AB240" s="1153"/>
      <c r="AC240" s="1153"/>
      <c r="AD240" s="1153"/>
      <c r="AE240" s="1153"/>
      <c r="AF240" s="1153"/>
      <c r="AG240" s="1153"/>
      <c r="AH240" s="1153"/>
      <c r="AI240" s="1153"/>
      <c r="AJ240" s="1153"/>
      <c r="AK240" s="1153"/>
      <c r="AL240" s="1153"/>
      <c r="AM240" s="1153"/>
      <c r="AN240" s="1153"/>
      <c r="AO240" s="1153"/>
      <c r="AP240" s="1153"/>
      <c r="AQ240" s="1153"/>
      <c r="AR240" s="1153"/>
      <c r="AS240" s="1153"/>
      <c r="AT240" s="1153"/>
      <c r="AU240" s="1153"/>
      <c r="AV240" s="1153"/>
      <c r="AW240" s="1153"/>
      <c r="AX240" s="1153"/>
      <c r="AY240" s="1153"/>
      <c r="AZ240" s="1153"/>
    </row>
    <row r="241" spans="1:73" s="988" customFormat="1" ht="21" customHeight="1">
      <c r="A241" s="2311"/>
      <c r="B241" s="2313"/>
      <c r="C241" s="1011"/>
      <c r="D241" s="1007"/>
      <c r="E241" s="1016" t="s">
        <v>1360</v>
      </c>
      <c r="F241" s="1007"/>
      <c r="G241" s="1026"/>
      <c r="H241" s="1025"/>
      <c r="I241" s="2315"/>
      <c r="J241" s="2315"/>
      <c r="K241" s="2316"/>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row>
    <row r="242" spans="1:73" s="988" customFormat="1" ht="18.75" customHeight="1">
      <c r="A242" s="2311" t="s">
        <v>1361</v>
      </c>
      <c r="B242" s="2313" t="s">
        <v>1361</v>
      </c>
      <c r="C242" s="1012"/>
      <c r="E242" s="989" t="s">
        <v>1362</v>
      </c>
      <c r="F242" s="1004"/>
      <c r="H242" s="1042"/>
      <c r="I242" s="2314"/>
      <c r="J242" s="2314"/>
      <c r="K242" s="2316">
        <f>I242+J242</f>
        <v>0</v>
      </c>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row>
    <row r="243" spans="1:73" s="988" customFormat="1" ht="13.5" customHeight="1">
      <c r="A243" s="2311"/>
      <c r="B243" s="2313"/>
      <c r="C243" s="1011"/>
      <c r="D243" s="1007"/>
      <c r="E243" s="1016" t="s">
        <v>1363</v>
      </c>
      <c r="F243" s="1007"/>
      <c r="G243" s="1026"/>
      <c r="H243" s="1025"/>
      <c r="I243" s="2315"/>
      <c r="J243" s="2315"/>
      <c r="K243" s="2316"/>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row>
    <row r="244" spans="1:73" s="988" customFormat="1" ht="19.5" customHeight="1">
      <c r="A244" s="2311" t="s">
        <v>1364</v>
      </c>
      <c r="B244" s="2313" t="s">
        <v>1364</v>
      </c>
      <c r="C244" s="1012"/>
      <c r="E244" s="989" t="s">
        <v>1365</v>
      </c>
      <c r="F244" s="1004"/>
      <c r="H244" s="1042"/>
      <c r="I244" s="2314"/>
      <c r="J244" s="2314"/>
      <c r="K244" s="2316">
        <f>I244+J244</f>
        <v>0</v>
      </c>
      <c r="L244" s="1153"/>
      <c r="M244" s="1153"/>
      <c r="N244" s="1153"/>
      <c r="O244" s="1153"/>
      <c r="P244" s="1153"/>
      <c r="Q244" s="1153"/>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row>
    <row r="245" spans="1:73" s="988" customFormat="1" ht="13.5" customHeight="1">
      <c r="A245" s="2311"/>
      <c r="B245" s="2313"/>
      <c r="C245" s="1011"/>
      <c r="D245" s="1007"/>
      <c r="E245" s="1016" t="s">
        <v>1366</v>
      </c>
      <c r="F245" s="1007"/>
      <c r="G245" s="1026"/>
      <c r="H245" s="1025"/>
      <c r="I245" s="2315"/>
      <c r="J245" s="2315"/>
      <c r="K245" s="2316"/>
      <c r="L245" s="1153"/>
      <c r="M245" s="1153"/>
      <c r="N245" s="1153"/>
      <c r="O245" s="1153"/>
      <c r="P245" s="1153"/>
      <c r="Q245" s="1153"/>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row>
    <row r="246" spans="1:73" s="988" customFormat="1" ht="19.5" customHeight="1">
      <c r="A246" s="2311">
        <v>11.3</v>
      </c>
      <c r="B246" s="2313">
        <v>11.3</v>
      </c>
      <c r="C246" s="1012"/>
      <c r="D246" s="1123" t="s">
        <v>1367</v>
      </c>
      <c r="E246" s="1004"/>
      <c r="F246" s="1004"/>
      <c r="H246" s="1042"/>
      <c r="I246" s="2326">
        <f>SUM(I248:I251)</f>
        <v>0</v>
      </c>
      <c r="J246" s="2326">
        <f>SUM(J248:J251)</f>
        <v>0</v>
      </c>
      <c r="K246" s="2316">
        <f>I246+J246</f>
        <v>0</v>
      </c>
      <c r="L246" s="1153"/>
      <c r="M246" s="1153"/>
      <c r="N246" s="1153"/>
      <c r="O246" s="1153"/>
      <c r="P246" s="1153"/>
      <c r="Q246" s="1153"/>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row>
    <row r="247" spans="1:73" s="985" customFormat="1" ht="13.5" customHeight="1">
      <c r="A247" s="2311"/>
      <c r="B247" s="2313"/>
      <c r="C247" s="1011"/>
      <c r="D247" s="1124" t="s">
        <v>1368</v>
      </c>
      <c r="E247" s="1007"/>
      <c r="F247" s="1007"/>
      <c r="G247" s="1026"/>
      <c r="H247" s="1025"/>
      <c r="I247" s="2326"/>
      <c r="J247" s="2326"/>
      <c r="K247" s="2316"/>
      <c r="L247" s="1153"/>
      <c r="M247" s="1153"/>
      <c r="N247" s="1153"/>
      <c r="O247" s="1153"/>
      <c r="P247" s="1153"/>
      <c r="Q247" s="115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988"/>
      <c r="BB247" s="988"/>
      <c r="BC247" s="988"/>
      <c r="BD247" s="988"/>
      <c r="BE247" s="988"/>
      <c r="BF247" s="988"/>
      <c r="BG247" s="988"/>
      <c r="BH247" s="988"/>
      <c r="BI247" s="988"/>
      <c r="BJ247" s="988"/>
      <c r="BK247" s="988"/>
      <c r="BL247" s="988"/>
      <c r="BM247" s="988"/>
      <c r="BN247" s="988"/>
      <c r="BO247" s="988"/>
      <c r="BP247" s="988"/>
      <c r="BQ247" s="988"/>
      <c r="BR247" s="988"/>
      <c r="BS247" s="988"/>
      <c r="BT247" s="988"/>
      <c r="BU247" s="988"/>
    </row>
    <row r="248" spans="1:73" s="985" customFormat="1" ht="19.5" customHeight="1">
      <c r="A248" s="2311" t="s">
        <v>1369</v>
      </c>
      <c r="B248" s="2313" t="s">
        <v>1369</v>
      </c>
      <c r="C248" s="1012"/>
      <c r="E248" s="989" t="s">
        <v>1370</v>
      </c>
      <c r="F248" s="1004"/>
      <c r="G248" s="988"/>
      <c r="H248" s="1042"/>
      <c r="I248" s="2314"/>
      <c r="J248" s="2314"/>
      <c r="K248" s="2316">
        <f>I248+J248</f>
        <v>0</v>
      </c>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988"/>
      <c r="BB248" s="988"/>
      <c r="BC248" s="988"/>
      <c r="BD248" s="988"/>
      <c r="BE248" s="988"/>
      <c r="BF248" s="988"/>
      <c r="BG248" s="988"/>
      <c r="BH248" s="988"/>
      <c r="BI248" s="988"/>
      <c r="BJ248" s="988"/>
      <c r="BK248" s="988"/>
      <c r="BL248" s="988"/>
      <c r="BM248" s="988"/>
      <c r="BN248" s="988"/>
      <c r="BO248" s="988"/>
      <c r="BP248" s="988"/>
      <c r="BQ248" s="988"/>
      <c r="BR248" s="988"/>
      <c r="BS248" s="988"/>
      <c r="BT248" s="988"/>
      <c r="BU248" s="988"/>
    </row>
    <row r="249" spans="1:73" s="988" customFormat="1" ht="13.5" customHeight="1">
      <c r="A249" s="2311"/>
      <c r="B249" s="2313"/>
      <c r="C249" s="1011"/>
      <c r="D249" s="1007"/>
      <c r="E249" s="1016" t="s">
        <v>1371</v>
      </c>
      <c r="F249" s="1007"/>
      <c r="G249" s="1026"/>
      <c r="H249" s="1025"/>
      <c r="I249" s="2315"/>
      <c r="J249" s="2315"/>
      <c r="K249" s="2316"/>
      <c r="L249" s="1153"/>
      <c r="M249" s="1153"/>
      <c r="N249" s="1153"/>
      <c r="O249" s="1153"/>
      <c r="P249" s="1153"/>
      <c r="Q249" s="115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row>
    <row r="250" spans="1:73" s="988" customFormat="1" ht="18.75" customHeight="1">
      <c r="A250" s="2311" t="s">
        <v>1372</v>
      </c>
      <c r="B250" s="2313" t="s">
        <v>1372</v>
      </c>
      <c r="C250" s="1012"/>
      <c r="E250" s="989" t="s">
        <v>1373</v>
      </c>
      <c r="F250" s="1004"/>
      <c r="H250" s="1042"/>
      <c r="I250" s="2314"/>
      <c r="J250" s="2314"/>
      <c r="K250" s="2316">
        <f>I250+J250</f>
        <v>0</v>
      </c>
      <c r="L250" s="1153"/>
      <c r="M250" s="1153"/>
      <c r="N250" s="1153"/>
      <c r="O250" s="1153"/>
      <c r="P250" s="1153"/>
      <c r="Q250" s="1153"/>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row>
    <row r="251" spans="1:73" s="988" customFormat="1" ht="13.5" customHeight="1">
      <c r="A251" s="2311"/>
      <c r="B251" s="2313"/>
      <c r="C251" s="1011"/>
      <c r="D251" s="1007"/>
      <c r="E251" s="1016" t="s">
        <v>1374</v>
      </c>
      <c r="F251" s="1007"/>
      <c r="G251" s="1026"/>
      <c r="H251" s="1025"/>
      <c r="I251" s="2315"/>
      <c r="J251" s="2315"/>
      <c r="K251" s="2316"/>
      <c r="L251" s="1153"/>
      <c r="M251" s="1153"/>
      <c r="N251" s="1153"/>
      <c r="O251" s="1153"/>
      <c r="P251" s="1153"/>
      <c r="Q251" s="1153"/>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row>
    <row r="252" spans="1:73" s="988" customFormat="1" ht="19.5" customHeight="1">
      <c r="A252" s="2311">
        <v>12</v>
      </c>
      <c r="B252" s="2313">
        <v>12</v>
      </c>
      <c r="C252" s="1045" t="s">
        <v>1375</v>
      </c>
      <c r="D252" s="1047"/>
      <c r="E252" s="1047"/>
      <c r="F252" s="1047"/>
      <c r="G252" s="1047"/>
      <c r="H252" s="1048"/>
      <c r="I252" s="2309">
        <f>SUM(I254:I259)</f>
        <v>0</v>
      </c>
      <c r="J252" s="2309">
        <f>SUM(J254:J259)</f>
        <v>0</v>
      </c>
      <c r="K252" s="2309">
        <f>I252+J252</f>
        <v>0</v>
      </c>
      <c r="L252" s="1153"/>
      <c r="M252" s="1153"/>
      <c r="N252" s="1153"/>
      <c r="O252" s="1153"/>
      <c r="P252" s="1153"/>
      <c r="Q252" s="1153"/>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row>
    <row r="253" spans="1:73" s="988" customFormat="1" ht="13.5" customHeight="1">
      <c r="A253" s="2311"/>
      <c r="B253" s="2313"/>
      <c r="C253" s="996" t="s">
        <v>1376</v>
      </c>
      <c r="D253" s="997" t="s">
        <v>1377</v>
      </c>
      <c r="E253" s="1116"/>
      <c r="F253" s="1117"/>
      <c r="G253" s="1070"/>
      <c r="H253" s="1071"/>
      <c r="I253" s="2309"/>
      <c r="J253" s="2309"/>
      <c r="K253" s="2309"/>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row>
    <row r="254" spans="1:73" s="1004" customFormat="1" ht="17.25" customHeight="1">
      <c r="A254" s="2310" t="s">
        <v>1378</v>
      </c>
      <c r="B254" s="2312" t="s">
        <v>1378</v>
      </c>
      <c r="C254" s="1125"/>
      <c r="D254" s="1059" t="s">
        <v>1379</v>
      </c>
      <c r="E254" s="1126"/>
      <c r="F254" s="1127"/>
      <c r="G254" s="1121"/>
      <c r="H254" s="1037"/>
      <c r="I254" s="2314"/>
      <c r="J254" s="2314"/>
      <c r="K254" s="2316">
        <f>I254+J254</f>
        <v>0</v>
      </c>
      <c r="L254" s="1163"/>
      <c r="M254" s="1163"/>
      <c r="N254" s="1163"/>
      <c r="O254" s="1163"/>
      <c r="P254" s="1163"/>
      <c r="Q254" s="1163"/>
      <c r="R254" s="1163"/>
      <c r="S254" s="1163"/>
      <c r="T254" s="1163"/>
      <c r="U254" s="1163"/>
      <c r="V254" s="1163"/>
      <c r="W254" s="1163"/>
      <c r="X254" s="1163"/>
      <c r="Y254" s="1163"/>
      <c r="Z254" s="1163"/>
      <c r="AA254" s="1163"/>
      <c r="AB254" s="1163"/>
      <c r="AC254" s="1163"/>
      <c r="AD254" s="1163"/>
      <c r="AE254" s="1163"/>
      <c r="AF254" s="1163"/>
      <c r="AG254" s="1163"/>
      <c r="AH254" s="1163"/>
      <c r="AI254" s="1163"/>
      <c r="AJ254" s="1163"/>
      <c r="AK254" s="1163"/>
      <c r="AL254" s="1163"/>
      <c r="AM254" s="1163"/>
      <c r="AN254" s="1163"/>
      <c r="AO254" s="1163"/>
      <c r="AP254" s="1163"/>
      <c r="AQ254" s="1163"/>
      <c r="AR254" s="1163"/>
      <c r="AS254" s="1163"/>
      <c r="AT254" s="1163"/>
      <c r="AU254" s="1163"/>
      <c r="AV254" s="1163"/>
      <c r="AW254" s="1163"/>
      <c r="AX254" s="1163"/>
      <c r="AY254" s="1163"/>
      <c r="AZ254" s="1163"/>
    </row>
    <row r="255" spans="1:73" s="988" customFormat="1" ht="13.5" customHeight="1">
      <c r="A255" s="2311"/>
      <c r="B255" s="2313"/>
      <c r="C255" s="1092"/>
      <c r="D255" s="1007" t="s">
        <v>1380</v>
      </c>
      <c r="E255" s="1043"/>
      <c r="F255" s="1043"/>
      <c r="G255" s="1026"/>
      <c r="H255" s="1025"/>
      <c r="I255" s="2315"/>
      <c r="J255" s="2315"/>
      <c r="K255" s="2316"/>
      <c r="L255" s="1153"/>
      <c r="M255" s="1153"/>
      <c r="N255" s="1153"/>
      <c r="O255" s="1153"/>
      <c r="P255" s="1153"/>
      <c r="Q255" s="1153"/>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row>
    <row r="256" spans="1:73" s="988" customFormat="1" ht="18" customHeight="1">
      <c r="A256" s="2310" t="s">
        <v>1381</v>
      </c>
      <c r="B256" s="2312" t="s">
        <v>1381</v>
      </c>
      <c r="C256" s="1093"/>
      <c r="D256" s="1001" t="s">
        <v>1382</v>
      </c>
      <c r="E256" s="1107"/>
      <c r="F256" s="1107"/>
      <c r="H256" s="1042"/>
      <c r="I256" s="2314"/>
      <c r="J256" s="2314"/>
      <c r="K256" s="2316">
        <f>I256+J256</f>
        <v>0</v>
      </c>
      <c r="L256" s="1153"/>
      <c r="M256" s="1153"/>
      <c r="N256" s="1153"/>
      <c r="O256" s="1153"/>
      <c r="P256" s="1153"/>
      <c r="Q256" s="1153"/>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row>
    <row r="257" spans="1:73" s="988" customFormat="1" ht="13.5" customHeight="1">
      <c r="A257" s="2311"/>
      <c r="B257" s="2313"/>
      <c r="C257" s="1092"/>
      <c r="D257" s="1007" t="s">
        <v>1383</v>
      </c>
      <c r="E257" s="1043"/>
      <c r="F257" s="1043"/>
      <c r="G257" s="1026"/>
      <c r="H257" s="1025"/>
      <c r="I257" s="2315"/>
      <c r="J257" s="2315"/>
      <c r="K257" s="2316"/>
      <c r="L257" s="1153"/>
      <c r="M257" s="1153"/>
      <c r="N257" s="1153"/>
      <c r="O257" s="1153"/>
      <c r="P257" s="1153"/>
      <c r="Q257" s="1153"/>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row>
    <row r="258" spans="1:73" s="988" customFormat="1" ht="18" customHeight="1">
      <c r="A258" s="2310" t="s">
        <v>1384</v>
      </c>
      <c r="B258" s="2312" t="s">
        <v>1384</v>
      </c>
      <c r="C258" s="1128"/>
      <c r="D258" s="1129" t="s">
        <v>1385</v>
      </c>
      <c r="E258" s="1001"/>
      <c r="F258" s="1130"/>
      <c r="G258" s="1131"/>
      <c r="H258" s="1132"/>
      <c r="I258" s="2314"/>
      <c r="J258" s="2314"/>
      <c r="K258" s="2316">
        <f>I258+J258</f>
        <v>0</v>
      </c>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row>
    <row r="259" spans="1:73" s="988" customFormat="1" ht="13.5" customHeight="1">
      <c r="A259" s="2311"/>
      <c r="B259" s="2313"/>
      <c r="C259" s="1133"/>
      <c r="D259" s="1134" t="s">
        <v>1386</v>
      </c>
      <c r="E259" s="1007"/>
      <c r="F259" s="1135"/>
      <c r="G259" s="1136"/>
      <c r="H259" s="1137"/>
      <c r="I259" s="2315"/>
      <c r="J259" s="2315"/>
      <c r="K259" s="2316"/>
      <c r="L259" s="1153"/>
      <c r="M259" s="1153"/>
      <c r="N259" s="1153"/>
      <c r="O259" s="1153"/>
      <c r="P259" s="1153"/>
      <c r="Q259" s="1153"/>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row>
    <row r="260" spans="1:73" s="985" customFormat="1" ht="18" customHeight="1">
      <c r="A260" s="2311">
        <v>13</v>
      </c>
      <c r="B260" s="2313">
        <v>13</v>
      </c>
      <c r="C260" s="1045" t="s">
        <v>1387</v>
      </c>
      <c r="D260" s="1047"/>
      <c r="E260" s="1138"/>
      <c r="F260" s="1138"/>
      <c r="G260" s="1047"/>
      <c r="H260" s="1048"/>
      <c r="I260" s="2314"/>
      <c r="J260" s="2314"/>
      <c r="K260" s="2309">
        <f>I260+J260</f>
        <v>0</v>
      </c>
      <c r="L260" s="1153"/>
      <c r="M260" s="1153"/>
      <c r="N260" s="1153"/>
      <c r="O260" s="1153"/>
      <c r="P260" s="1153"/>
      <c r="Q260" s="1153"/>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988"/>
      <c r="BB260" s="988"/>
      <c r="BC260" s="988"/>
      <c r="BD260" s="988"/>
      <c r="BE260" s="988"/>
      <c r="BF260" s="988"/>
      <c r="BG260" s="988"/>
      <c r="BH260" s="988"/>
      <c r="BI260" s="988"/>
      <c r="BJ260" s="988"/>
      <c r="BK260" s="988"/>
      <c r="BL260" s="988"/>
      <c r="BM260" s="988"/>
      <c r="BN260" s="988"/>
      <c r="BO260" s="988"/>
      <c r="BP260" s="988"/>
      <c r="BQ260" s="988"/>
      <c r="BR260" s="988"/>
      <c r="BS260" s="988"/>
      <c r="BT260" s="988"/>
      <c r="BU260" s="988"/>
    </row>
    <row r="261" spans="1:73" s="988" customFormat="1" ht="13.5" customHeight="1">
      <c r="A261" s="2311"/>
      <c r="B261" s="2313"/>
      <c r="C261" s="996" t="s">
        <v>1388</v>
      </c>
      <c r="D261" s="997" t="s">
        <v>1389</v>
      </c>
      <c r="E261" s="1116"/>
      <c r="F261" s="1117"/>
      <c r="G261" s="1070"/>
      <c r="H261" s="1071"/>
      <c r="I261" s="2315"/>
      <c r="J261" s="2315"/>
      <c r="K261" s="2309"/>
      <c r="L261" s="1153"/>
      <c r="M261" s="1153"/>
      <c r="N261" s="1153"/>
      <c r="O261" s="1153"/>
      <c r="P261" s="1153"/>
      <c r="Q261" s="1153"/>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row>
    <row r="262" spans="1:73" s="988" customFormat="1" ht="20.25" customHeight="1">
      <c r="A262" s="2311">
        <v>14</v>
      </c>
      <c r="B262" s="2313">
        <v>14</v>
      </c>
      <c r="C262" s="1045" t="s">
        <v>1390</v>
      </c>
      <c r="D262" s="1115"/>
      <c r="E262" s="1139"/>
      <c r="F262" s="1140"/>
      <c r="G262" s="1047"/>
      <c r="H262" s="1048"/>
      <c r="I262" s="2309">
        <f>I264+I270+I272+I274+I276+I278+I280</f>
        <v>0</v>
      </c>
      <c r="J262" s="2309">
        <f>J264+J270+J272+J274+J276+J278+J280</f>
        <v>0</v>
      </c>
      <c r="K262" s="2309">
        <f>I262+J262</f>
        <v>0</v>
      </c>
      <c r="L262" s="1153"/>
      <c r="M262" s="1153"/>
      <c r="N262" s="1153"/>
      <c r="O262" s="1153"/>
      <c r="P262" s="1153"/>
      <c r="Q262" s="1153"/>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row>
    <row r="263" spans="1:73" s="985" customFormat="1" ht="13.5" customHeight="1">
      <c r="A263" s="2311"/>
      <c r="B263" s="2313"/>
      <c r="C263" s="1141" t="s">
        <v>1391</v>
      </c>
      <c r="D263" s="1142" t="s">
        <v>1392</v>
      </c>
      <c r="E263" s="1116"/>
      <c r="F263" s="1117"/>
      <c r="G263" s="1070"/>
      <c r="H263" s="1071"/>
      <c r="I263" s="2309"/>
      <c r="J263" s="2309"/>
      <c r="K263" s="2309"/>
      <c r="L263" s="1153"/>
      <c r="M263" s="1153"/>
      <c r="N263" s="1153"/>
      <c r="O263" s="1153"/>
      <c r="P263" s="1153"/>
      <c r="Q263" s="1153"/>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988"/>
      <c r="BB263" s="988"/>
      <c r="BC263" s="988"/>
      <c r="BD263" s="988"/>
      <c r="BE263" s="988"/>
      <c r="BF263" s="988"/>
      <c r="BG263" s="988"/>
      <c r="BH263" s="988"/>
      <c r="BI263" s="988"/>
      <c r="BJ263" s="988"/>
      <c r="BK263" s="988"/>
      <c r="BL263" s="988"/>
      <c r="BM263" s="988"/>
      <c r="BN263" s="988"/>
      <c r="BO263" s="988"/>
      <c r="BP263" s="988"/>
      <c r="BQ263" s="988"/>
      <c r="BR263" s="988"/>
      <c r="BS263" s="988"/>
      <c r="BT263" s="988"/>
      <c r="BU263" s="988"/>
    </row>
    <row r="264" spans="1:73" s="985" customFormat="1" ht="19.5" customHeight="1">
      <c r="A264" s="2310" t="s">
        <v>1393</v>
      </c>
      <c r="B264" s="2312" t="s">
        <v>1393</v>
      </c>
      <c r="C264" s="1000"/>
      <c r="D264" s="1129" t="s">
        <v>1394</v>
      </c>
      <c r="E264" s="1118"/>
      <c r="F264" s="1119"/>
      <c r="G264" s="1004"/>
      <c r="H264" s="1010"/>
      <c r="I264" s="2326">
        <f>SUM(I266:I269)</f>
        <v>0</v>
      </c>
      <c r="J264" s="2326">
        <f>SUM(J266:J269)</f>
        <v>0</v>
      </c>
      <c r="K264" s="2316">
        <f>I264+J264</f>
        <v>0</v>
      </c>
      <c r="L264" s="1153"/>
      <c r="M264" s="1153"/>
      <c r="N264" s="1153"/>
      <c r="O264" s="1153"/>
      <c r="P264" s="1153"/>
      <c r="Q264" s="1153"/>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988"/>
      <c r="BB264" s="988"/>
      <c r="BC264" s="988"/>
      <c r="BD264" s="988"/>
      <c r="BE264" s="988"/>
      <c r="BF264" s="988"/>
      <c r="BG264" s="988"/>
      <c r="BH264" s="988"/>
      <c r="BI264" s="988"/>
      <c r="BJ264" s="988"/>
      <c r="BK264" s="988"/>
      <c r="BL264" s="988"/>
      <c r="BM264" s="988"/>
      <c r="BN264" s="988"/>
      <c r="BO264" s="988"/>
      <c r="BP264" s="988"/>
      <c r="BQ264" s="988"/>
      <c r="BR264" s="988"/>
      <c r="BS264" s="988"/>
      <c r="BT264" s="988"/>
      <c r="BU264" s="988"/>
    </row>
    <row r="265" spans="1:73" s="988" customFormat="1" ht="13.5" customHeight="1">
      <c r="A265" s="2311"/>
      <c r="B265" s="2313"/>
      <c r="C265" s="1014"/>
      <c r="D265" s="1007" t="s">
        <v>1395</v>
      </c>
      <c r="E265" s="1026"/>
      <c r="F265" s="1026"/>
      <c r="G265" s="1026"/>
      <c r="H265" s="1025"/>
      <c r="I265" s="2326"/>
      <c r="J265" s="2326"/>
      <c r="K265" s="2316"/>
      <c r="L265" s="1153"/>
      <c r="M265" s="1153"/>
      <c r="N265" s="1153"/>
      <c r="O265" s="1153"/>
      <c r="P265" s="1153"/>
      <c r="Q265" s="1153"/>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row>
    <row r="266" spans="1:73" s="988" customFormat="1" ht="18" customHeight="1">
      <c r="A266" s="2311" t="s">
        <v>1396</v>
      </c>
      <c r="B266" s="2313" t="s">
        <v>1396</v>
      </c>
      <c r="C266" s="1018"/>
      <c r="E266" s="989" t="s">
        <v>1397</v>
      </c>
      <c r="H266" s="1042"/>
      <c r="I266" s="2314"/>
      <c r="J266" s="2314"/>
      <c r="K266" s="2316">
        <f>I266+J266</f>
        <v>0</v>
      </c>
      <c r="L266" s="1153"/>
      <c r="M266" s="1153"/>
      <c r="N266" s="1153"/>
      <c r="O266" s="1153"/>
      <c r="P266" s="1153"/>
      <c r="Q266" s="1153"/>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row>
    <row r="267" spans="1:73" s="988" customFormat="1" ht="13.5" customHeight="1">
      <c r="A267" s="2311"/>
      <c r="B267" s="2313"/>
      <c r="C267" s="1014"/>
      <c r="D267" s="1026"/>
      <c r="E267" s="1016" t="s">
        <v>1398</v>
      </c>
      <c r="F267" s="1026"/>
      <c r="G267" s="1026"/>
      <c r="H267" s="1025"/>
      <c r="I267" s="2315"/>
      <c r="J267" s="2315"/>
      <c r="K267" s="2316"/>
      <c r="L267" s="1153"/>
      <c r="M267" s="1153"/>
      <c r="N267" s="1153"/>
      <c r="O267" s="1153"/>
      <c r="P267" s="1153"/>
      <c r="Q267" s="1153"/>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row>
    <row r="268" spans="1:73" s="988" customFormat="1" ht="18.75" customHeight="1">
      <c r="A268" s="2311" t="s">
        <v>1399</v>
      </c>
      <c r="B268" s="2313" t="s">
        <v>1399</v>
      </c>
      <c r="C268" s="1018"/>
      <c r="E268" s="989" t="s">
        <v>1400</v>
      </c>
      <c r="H268" s="1042"/>
      <c r="I268" s="2314"/>
      <c r="J268" s="2314"/>
      <c r="K268" s="2316">
        <f>I268+J268</f>
        <v>0</v>
      </c>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row>
    <row r="269" spans="1:73" s="988" customFormat="1" ht="13.5" customHeight="1">
      <c r="A269" s="2311"/>
      <c r="B269" s="2313"/>
      <c r="C269" s="1014"/>
      <c r="D269" s="1007"/>
      <c r="E269" s="1016" t="s">
        <v>1401</v>
      </c>
      <c r="F269" s="1026"/>
      <c r="G269" s="1026"/>
      <c r="H269" s="1025"/>
      <c r="I269" s="2315"/>
      <c r="J269" s="2315"/>
      <c r="K269" s="2316"/>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row>
    <row r="270" spans="1:73" s="988" customFormat="1" ht="17.25" customHeight="1">
      <c r="A270" s="2310" t="s">
        <v>1402</v>
      </c>
      <c r="B270" s="2312" t="s">
        <v>1402</v>
      </c>
      <c r="C270" s="1018"/>
      <c r="D270" s="1001" t="s">
        <v>1403</v>
      </c>
      <c r="E270" s="1004"/>
      <c r="H270" s="1042"/>
      <c r="I270" s="2314"/>
      <c r="J270" s="2314"/>
      <c r="K270" s="2316">
        <f>I270+J270</f>
        <v>0</v>
      </c>
      <c r="L270" s="1153"/>
      <c r="M270" s="1153"/>
      <c r="N270" s="1153"/>
      <c r="O270" s="1153"/>
      <c r="P270" s="1153"/>
      <c r="Q270" s="1153"/>
      <c r="R270" s="1153"/>
      <c r="S270" s="1153"/>
      <c r="T270" s="1153"/>
      <c r="U270" s="1153"/>
      <c r="V270" s="1153"/>
      <c r="W270" s="1153"/>
      <c r="X270" s="1153"/>
      <c r="Y270" s="1153"/>
      <c r="Z270" s="1153"/>
      <c r="AA270" s="1153"/>
      <c r="AB270" s="1153"/>
      <c r="AC270" s="1153"/>
      <c r="AD270" s="1153"/>
      <c r="AE270" s="1153"/>
      <c r="AF270" s="1153"/>
      <c r="AG270" s="1153"/>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row>
    <row r="271" spans="1:73" s="988" customFormat="1" ht="13.5" customHeight="1">
      <c r="A271" s="2311"/>
      <c r="B271" s="2313"/>
      <c r="C271" s="1014"/>
      <c r="D271" s="1007" t="s">
        <v>1404</v>
      </c>
      <c r="E271" s="1026"/>
      <c r="F271" s="1026"/>
      <c r="G271" s="1026"/>
      <c r="H271" s="1025"/>
      <c r="I271" s="2315"/>
      <c r="J271" s="2315"/>
      <c r="K271" s="2316"/>
      <c r="L271" s="1153"/>
      <c r="M271" s="1153"/>
      <c r="N271" s="1153"/>
      <c r="O271" s="1153"/>
      <c r="P271" s="1153"/>
      <c r="Q271" s="1153"/>
      <c r="R271" s="1153"/>
      <c r="S271" s="1153"/>
      <c r="T271" s="1153"/>
      <c r="U271" s="1153"/>
      <c r="V271" s="1153"/>
      <c r="W271" s="1153"/>
      <c r="X271" s="1153"/>
      <c r="Y271" s="1153"/>
      <c r="Z271" s="1153"/>
      <c r="AA271" s="1153"/>
      <c r="AB271" s="1153"/>
      <c r="AC271" s="1153"/>
      <c r="AD271" s="1153"/>
      <c r="AE271" s="1153"/>
      <c r="AF271" s="1153"/>
      <c r="AG271" s="1153"/>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row>
    <row r="272" spans="1:73" s="988" customFormat="1" ht="20.25" customHeight="1">
      <c r="A272" s="2310" t="s">
        <v>1405</v>
      </c>
      <c r="B272" s="2312" t="s">
        <v>1405</v>
      </c>
      <c r="C272" s="1018"/>
      <c r="D272" s="1001" t="s">
        <v>1406</v>
      </c>
      <c r="H272" s="1042"/>
      <c r="I272" s="2314"/>
      <c r="J272" s="2314"/>
      <c r="K272" s="2316">
        <f>I272+J272</f>
        <v>0</v>
      </c>
      <c r="L272" s="1153"/>
      <c r="M272" s="1153"/>
      <c r="N272" s="1153"/>
      <c r="O272" s="1153"/>
      <c r="P272" s="1153"/>
      <c r="Q272" s="1153"/>
      <c r="R272" s="1153"/>
      <c r="S272" s="1153"/>
      <c r="T272" s="1153"/>
      <c r="U272" s="1153"/>
      <c r="V272" s="1153"/>
      <c r="W272" s="1153"/>
      <c r="X272" s="1153"/>
      <c r="Y272" s="1153"/>
      <c r="Z272" s="1153"/>
      <c r="AA272" s="1153"/>
      <c r="AB272" s="1153"/>
      <c r="AC272" s="1153"/>
      <c r="AD272" s="1153"/>
      <c r="AE272" s="1153"/>
      <c r="AF272" s="1153"/>
      <c r="AG272" s="1153"/>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row>
    <row r="273" spans="1:78" s="988" customFormat="1" ht="13.5" customHeight="1">
      <c r="A273" s="2311"/>
      <c r="B273" s="2313"/>
      <c r="C273" s="1014"/>
      <c r="D273" s="1007" t="s">
        <v>1407</v>
      </c>
      <c r="E273" s="1026"/>
      <c r="F273" s="1026"/>
      <c r="G273" s="1026"/>
      <c r="H273" s="1025"/>
      <c r="I273" s="2315"/>
      <c r="J273" s="2315"/>
      <c r="K273" s="2316"/>
      <c r="L273" s="1153"/>
      <c r="M273" s="1153"/>
      <c r="N273" s="1153"/>
      <c r="O273" s="1153"/>
      <c r="P273" s="1153"/>
      <c r="Q273" s="1153"/>
      <c r="R273" s="1153"/>
      <c r="S273" s="1153"/>
      <c r="T273" s="1153"/>
      <c r="U273" s="1153"/>
      <c r="V273" s="1153"/>
      <c r="W273" s="1153"/>
      <c r="X273" s="1153"/>
      <c r="Y273" s="1153"/>
      <c r="Z273" s="1153"/>
      <c r="AA273" s="1153"/>
      <c r="AB273" s="1153"/>
      <c r="AC273" s="1153"/>
      <c r="AD273" s="1153"/>
      <c r="AE273" s="1153"/>
      <c r="AF273" s="1153"/>
      <c r="AG273" s="1153"/>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row>
    <row r="274" spans="1:78" s="988" customFormat="1" ht="19.5" customHeight="1">
      <c r="A274" s="2310" t="s">
        <v>1408</v>
      </c>
      <c r="B274" s="2312" t="s">
        <v>1408</v>
      </c>
      <c r="C274" s="1018"/>
      <c r="D274" s="1001" t="s">
        <v>1409</v>
      </c>
      <c r="H274" s="1042"/>
      <c r="I274" s="2314"/>
      <c r="J274" s="2314"/>
      <c r="K274" s="2316">
        <f>I274+J274</f>
        <v>0</v>
      </c>
      <c r="L274" s="1153"/>
      <c r="M274" s="1153"/>
      <c r="N274" s="1153"/>
      <c r="O274" s="1153"/>
      <c r="P274" s="1153"/>
      <c r="Q274" s="1153"/>
      <c r="R274" s="1153"/>
      <c r="S274" s="1153"/>
      <c r="T274" s="1153"/>
      <c r="U274" s="1153"/>
      <c r="V274" s="1153"/>
      <c r="W274" s="1153"/>
      <c r="X274" s="1153"/>
      <c r="Y274" s="1153"/>
      <c r="Z274" s="1153"/>
      <c r="AA274" s="1153"/>
      <c r="AB274" s="1153"/>
      <c r="AC274" s="1153"/>
      <c r="AD274" s="1153"/>
      <c r="AE274" s="1153"/>
      <c r="AF274" s="1153"/>
      <c r="AG274" s="1153"/>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row>
    <row r="275" spans="1:78" s="988" customFormat="1" ht="13.5" customHeight="1">
      <c r="A275" s="2311"/>
      <c r="B275" s="2313"/>
      <c r="C275" s="1014"/>
      <c r="D275" s="1007" t="s">
        <v>1410</v>
      </c>
      <c r="E275" s="1026"/>
      <c r="F275" s="1026"/>
      <c r="G275" s="1026"/>
      <c r="H275" s="1025"/>
      <c r="I275" s="2315"/>
      <c r="J275" s="2315"/>
      <c r="K275" s="2316"/>
      <c r="L275" s="1153"/>
      <c r="M275" s="1153"/>
      <c r="N275" s="1153"/>
      <c r="O275" s="1153"/>
      <c r="P275" s="1153"/>
      <c r="Q275" s="1153"/>
      <c r="R275" s="1153"/>
      <c r="S275" s="1153"/>
      <c r="T275" s="1153"/>
      <c r="U275" s="1153"/>
      <c r="V275" s="1153"/>
      <c r="W275" s="1153"/>
      <c r="X275" s="1153"/>
      <c r="Y275" s="1153"/>
      <c r="Z275" s="1153"/>
      <c r="AA275" s="1153"/>
      <c r="AB275" s="1153"/>
      <c r="AC275" s="1153"/>
      <c r="AD275" s="1153"/>
      <c r="AE275" s="1153"/>
      <c r="AF275" s="1153"/>
      <c r="AG275" s="1153"/>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row>
    <row r="276" spans="1:78" s="988" customFormat="1" ht="18" customHeight="1">
      <c r="A276" s="2310" t="s">
        <v>1411</v>
      </c>
      <c r="B276" s="2312" t="s">
        <v>1411</v>
      </c>
      <c r="C276" s="1018"/>
      <c r="D276" s="1001" t="s">
        <v>1412</v>
      </c>
      <c r="H276" s="1042"/>
      <c r="I276" s="2314"/>
      <c r="J276" s="2314"/>
      <c r="K276" s="2316">
        <f>I276+J276</f>
        <v>0</v>
      </c>
      <c r="L276" s="1153"/>
      <c r="M276" s="1153"/>
      <c r="N276" s="1153"/>
      <c r="O276" s="1153"/>
      <c r="P276" s="1153"/>
      <c r="Q276" s="1153"/>
      <c r="R276" s="1153"/>
      <c r="S276" s="1153"/>
      <c r="T276" s="1153"/>
      <c r="U276" s="1153"/>
      <c r="V276" s="1153"/>
      <c r="W276" s="1153"/>
      <c r="X276" s="1153"/>
      <c r="Y276" s="1153"/>
      <c r="Z276" s="1153"/>
      <c r="AA276" s="1153"/>
      <c r="AB276" s="1153"/>
      <c r="AC276" s="1153"/>
      <c r="AD276" s="1153"/>
      <c r="AE276" s="1153"/>
      <c r="AF276" s="1153"/>
      <c r="AG276" s="1153"/>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row>
    <row r="277" spans="1:78" s="988" customFormat="1" ht="13.5" customHeight="1">
      <c r="A277" s="2311"/>
      <c r="B277" s="2313"/>
      <c r="C277" s="1014"/>
      <c r="D277" s="1007" t="s">
        <v>1413</v>
      </c>
      <c r="E277" s="1026"/>
      <c r="F277" s="1026"/>
      <c r="G277" s="1026"/>
      <c r="H277" s="1025"/>
      <c r="I277" s="2315"/>
      <c r="J277" s="2315"/>
      <c r="K277" s="2316"/>
      <c r="L277" s="1153"/>
      <c r="M277" s="1153"/>
      <c r="N277" s="1153"/>
      <c r="O277" s="1153"/>
      <c r="P277" s="1153"/>
      <c r="Q277" s="1153"/>
      <c r="R277" s="1153"/>
      <c r="S277" s="1153"/>
      <c r="T277" s="1153"/>
      <c r="U277" s="1153"/>
      <c r="V277" s="1153"/>
      <c r="W277" s="1153"/>
      <c r="X277" s="1153"/>
      <c r="Y277" s="1153"/>
      <c r="Z277" s="1153"/>
      <c r="AA277" s="1153"/>
      <c r="AB277" s="1153"/>
      <c r="AC277" s="1153"/>
      <c r="AD277" s="1153"/>
      <c r="AE277" s="1153"/>
      <c r="AF277" s="1153"/>
      <c r="AG277" s="1153"/>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row>
    <row r="278" spans="1:78" s="988" customFormat="1" ht="19.5" customHeight="1">
      <c r="A278" s="2310" t="s">
        <v>1414</v>
      </c>
      <c r="B278" s="2312" t="s">
        <v>1414</v>
      </c>
      <c r="C278" s="1018"/>
      <c r="D278" s="1001" t="s">
        <v>1415</v>
      </c>
      <c r="H278" s="1042"/>
      <c r="I278" s="2314"/>
      <c r="J278" s="2314"/>
      <c r="K278" s="2316">
        <f>I278+J278</f>
        <v>0</v>
      </c>
      <c r="L278" s="1153"/>
      <c r="M278" s="1153"/>
      <c r="N278" s="1153"/>
      <c r="O278" s="1153"/>
      <c r="P278" s="1153"/>
      <c r="Q278" s="1153"/>
      <c r="R278" s="1153"/>
      <c r="S278" s="1153"/>
      <c r="T278" s="1153"/>
      <c r="U278" s="1153"/>
      <c r="V278" s="1153"/>
      <c r="W278" s="1153"/>
      <c r="X278" s="1153"/>
      <c r="Y278" s="1153"/>
      <c r="Z278" s="1153"/>
      <c r="AA278" s="1153"/>
      <c r="AB278" s="1153"/>
      <c r="AC278" s="1153"/>
      <c r="AD278" s="1153"/>
      <c r="AE278" s="1153"/>
      <c r="AF278" s="1153"/>
      <c r="AG278" s="1153"/>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row>
    <row r="279" spans="1:78" s="988" customFormat="1" ht="13.5" customHeight="1">
      <c r="A279" s="2311"/>
      <c r="B279" s="2313"/>
      <c r="C279" s="1014"/>
      <c r="D279" s="1007" t="s">
        <v>1416</v>
      </c>
      <c r="E279" s="1026"/>
      <c r="F279" s="1026"/>
      <c r="G279" s="1026"/>
      <c r="H279" s="1025"/>
      <c r="I279" s="2315"/>
      <c r="J279" s="2315"/>
      <c r="K279" s="2316"/>
      <c r="L279" s="1153"/>
      <c r="M279" s="1153"/>
      <c r="N279" s="1153"/>
      <c r="O279" s="1153"/>
      <c r="P279" s="1153"/>
      <c r="Q279" s="1153"/>
      <c r="R279" s="1153"/>
      <c r="S279" s="1153"/>
      <c r="T279" s="1153"/>
      <c r="U279" s="1153"/>
      <c r="V279" s="1153"/>
      <c r="W279" s="1153"/>
      <c r="X279" s="1153"/>
      <c r="Y279" s="1153"/>
      <c r="Z279" s="1153"/>
      <c r="AA279" s="1153"/>
      <c r="AB279" s="1153"/>
      <c r="AC279" s="1153"/>
      <c r="AD279" s="1153"/>
      <c r="AE279" s="1153"/>
      <c r="AF279" s="1153"/>
      <c r="AG279" s="1153"/>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row>
    <row r="280" spans="1:78" s="988" customFormat="1" ht="18.75" customHeight="1">
      <c r="A280" s="2310" t="s">
        <v>1417</v>
      </c>
      <c r="B280" s="2312" t="s">
        <v>1417</v>
      </c>
      <c r="C280" s="1018"/>
      <c r="D280" s="1001" t="s">
        <v>1418</v>
      </c>
      <c r="H280" s="1042"/>
      <c r="I280" s="2314"/>
      <c r="J280" s="2314"/>
      <c r="K280" s="2316">
        <f>I280+J280</f>
        <v>0</v>
      </c>
      <c r="L280" s="1153"/>
      <c r="M280" s="1153"/>
      <c r="N280" s="1153"/>
      <c r="O280" s="1153"/>
      <c r="P280" s="1153"/>
      <c r="Q280" s="1153"/>
      <c r="R280" s="1153"/>
      <c r="S280" s="1153"/>
      <c r="T280" s="1153"/>
      <c r="U280" s="1153"/>
      <c r="V280" s="1153"/>
      <c r="W280" s="1153"/>
      <c r="X280" s="1153"/>
      <c r="Y280" s="1153"/>
      <c r="Z280" s="1153"/>
      <c r="AA280" s="1153"/>
      <c r="AB280" s="1153"/>
      <c r="AC280" s="1153"/>
      <c r="AD280" s="1153"/>
      <c r="AE280" s="1153"/>
      <c r="AF280" s="1153"/>
      <c r="AG280" s="1153"/>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row>
    <row r="281" spans="1:78" s="988" customFormat="1" ht="13.5" customHeight="1">
      <c r="A281" s="2298"/>
      <c r="B281" s="2297"/>
      <c r="C281" s="1018"/>
      <c r="D281" s="1004" t="s">
        <v>1419</v>
      </c>
      <c r="H281" s="1042"/>
      <c r="I281" s="2315"/>
      <c r="J281" s="2315"/>
      <c r="K281" s="2316"/>
      <c r="L281" s="1153"/>
      <c r="M281" s="1153"/>
      <c r="N281" s="1153"/>
      <c r="O281" s="1153"/>
      <c r="P281" s="1153"/>
      <c r="Q281" s="1153"/>
      <c r="R281" s="1153"/>
      <c r="S281" s="1153"/>
      <c r="T281" s="1153"/>
      <c r="U281" s="1153"/>
      <c r="V281" s="1153"/>
      <c r="W281" s="1153"/>
      <c r="X281" s="1153"/>
      <c r="Y281" s="1153"/>
      <c r="Z281" s="1153"/>
      <c r="AA281" s="1153"/>
      <c r="AB281" s="1153"/>
      <c r="AC281" s="1153"/>
      <c r="AD281" s="1153"/>
      <c r="AE281" s="1153"/>
      <c r="AF281" s="1153"/>
      <c r="AG281" s="1153"/>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row>
    <row r="282" spans="1:78" s="988" customFormat="1" ht="21.75" customHeight="1">
      <c r="A282" s="2311"/>
      <c r="B282" s="2313"/>
      <c r="C282" s="2331" t="s">
        <v>1420</v>
      </c>
      <c r="D282" s="2332"/>
      <c r="E282" s="2332"/>
      <c r="F282" s="2332"/>
      <c r="G282" s="2332"/>
      <c r="H282" s="2333"/>
      <c r="I282" s="2334">
        <f>I158+I202+I216+I252+I260+I262</f>
        <v>0</v>
      </c>
      <c r="J282" s="2334">
        <f>J158+J202+J216+J252+J260+J262</f>
        <v>0</v>
      </c>
      <c r="K282" s="2339">
        <f>I282+J282</f>
        <v>0</v>
      </c>
      <c r="L282" s="1153"/>
      <c r="M282" s="1153"/>
      <c r="N282" s="1153"/>
      <c r="O282" s="1153"/>
      <c r="P282" s="1153"/>
      <c r="Q282" s="1153"/>
      <c r="R282" s="1153"/>
      <c r="S282" s="1153"/>
      <c r="T282" s="1153"/>
      <c r="U282" s="1153"/>
      <c r="V282" s="1153"/>
      <c r="W282" s="1153"/>
      <c r="X282" s="1153"/>
      <c r="Y282" s="1153"/>
      <c r="Z282" s="1153"/>
      <c r="AA282" s="1153"/>
      <c r="AB282" s="1153"/>
      <c r="AC282" s="1153"/>
      <c r="AD282" s="1153"/>
      <c r="AE282" s="1153"/>
      <c r="AF282" s="1153"/>
      <c r="AG282" s="1153"/>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row>
    <row r="283" spans="1:78" s="988" customFormat="1" ht="20.25" customHeight="1">
      <c r="A283" s="2329"/>
      <c r="B283" s="2330"/>
      <c r="C283" s="2341" t="s">
        <v>1421</v>
      </c>
      <c r="D283" s="2342"/>
      <c r="E283" s="2342"/>
      <c r="F283" s="2342"/>
      <c r="G283" s="2342"/>
      <c r="H283" s="2343"/>
      <c r="I283" s="2335"/>
      <c r="J283" s="2335"/>
      <c r="K283" s="2340"/>
      <c r="L283" s="1153"/>
      <c r="M283" s="1153"/>
      <c r="N283" s="1153"/>
      <c r="O283" s="1153"/>
      <c r="P283" s="1153"/>
      <c r="Q283" s="1153"/>
      <c r="R283" s="1153"/>
      <c r="S283" s="1153"/>
      <c r="T283" s="1153"/>
      <c r="U283" s="1153"/>
      <c r="V283" s="1153"/>
      <c r="W283" s="1153"/>
      <c r="X283" s="1153"/>
      <c r="Y283" s="1153"/>
      <c r="Z283" s="1153"/>
      <c r="AA283" s="1153"/>
      <c r="AB283" s="1153"/>
      <c r="AC283" s="1153"/>
      <c r="AD283" s="1153"/>
      <c r="AE283" s="1153"/>
      <c r="AF283" s="1153"/>
      <c r="AG283" s="1153"/>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row>
    <row r="284" spans="1:78" s="1153" customFormat="1" ht="13.5" customHeight="1">
      <c r="A284" s="1149"/>
      <c r="B284" s="1150"/>
      <c r="C284" s="1148"/>
      <c r="D284" s="1148"/>
      <c r="E284" s="1148"/>
      <c r="F284" s="1148"/>
    </row>
    <row r="285" spans="1:78" s="1153" customFormat="1" ht="13.5" customHeight="1">
      <c r="A285" s="1149"/>
      <c r="B285" s="1150"/>
      <c r="C285" s="1148"/>
      <c r="D285" s="1148"/>
      <c r="E285" s="1148"/>
      <c r="F285" s="1160" t="s">
        <v>1422</v>
      </c>
    </row>
    <row r="286" spans="1:78" s="1153" customFormat="1" ht="11.25" customHeight="1">
      <c r="A286" s="1149"/>
      <c r="B286" s="1150"/>
      <c r="C286" s="1161"/>
      <c r="F286" s="1162" t="s">
        <v>1423</v>
      </c>
    </row>
    <row r="287" spans="1:78" s="1153" customFormat="1" ht="11.25" customHeight="1">
      <c r="A287" s="1149"/>
      <c r="B287" s="1150"/>
      <c r="F287" s="1162" t="s">
        <v>1424</v>
      </c>
    </row>
    <row r="288" spans="1:78" ht="11.25" customHeight="1">
      <c r="A288" s="1149"/>
      <c r="B288" s="1150"/>
      <c r="C288" s="1163"/>
      <c r="D288" s="1153"/>
      <c r="E288" s="1153"/>
      <c r="F288" s="1162" t="s">
        <v>1425</v>
      </c>
      <c r="G288" s="1153"/>
      <c r="H288" s="1153"/>
      <c r="I288" s="1153"/>
      <c r="J288" s="1153"/>
      <c r="K288" s="1153"/>
      <c r="L288" s="1153"/>
      <c r="M288" s="1153"/>
      <c r="N288" s="1153"/>
      <c r="O288" s="1153"/>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row>
    <row r="289" spans="1:78" ht="11.25" customHeight="1">
      <c r="A289" s="1149"/>
      <c r="B289" s="1150"/>
      <c r="F289" s="1162" t="s">
        <v>1426</v>
      </c>
      <c r="G289" s="1153"/>
      <c r="H289" s="1153"/>
      <c r="I289" s="1153"/>
      <c r="J289" s="1153"/>
      <c r="K289" s="1153"/>
      <c r="L289" s="1153"/>
      <c r="M289" s="1153"/>
      <c r="N289" s="1153"/>
      <c r="O289" s="1153"/>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row>
    <row r="290" spans="1:78" ht="11.25" customHeight="1">
      <c r="A290" s="1149"/>
      <c r="B290" s="1150"/>
      <c r="F290" s="1162"/>
      <c r="G290" s="1153"/>
      <c r="H290" s="1153"/>
      <c r="I290" s="1153"/>
      <c r="J290" s="1153"/>
      <c r="K290" s="1153"/>
      <c r="L290" s="1153"/>
      <c r="M290" s="1153"/>
      <c r="N290" s="1153"/>
      <c r="O290" s="115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row>
    <row r="291" spans="1:78" ht="19.5" customHeight="1">
      <c r="A291" s="1149"/>
      <c r="B291" s="1150"/>
      <c r="G291" s="1153"/>
      <c r="H291" s="1153"/>
      <c r="I291" s="2344" t="s">
        <v>835</v>
      </c>
      <c r="J291" s="2345"/>
      <c r="K291" s="2345"/>
      <c r="L291" s="1153"/>
      <c r="M291" s="1153"/>
      <c r="N291" s="1153"/>
      <c r="O291" s="1153"/>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row>
    <row r="292" spans="1:78" ht="19.5" customHeight="1">
      <c r="A292" s="1149"/>
      <c r="B292" s="1150"/>
      <c r="G292" s="1153"/>
      <c r="H292" s="1153"/>
      <c r="I292" s="2346" t="s">
        <v>838</v>
      </c>
      <c r="J292" s="2346"/>
      <c r="K292" s="2346"/>
      <c r="L292" s="1153"/>
      <c r="M292" s="1153"/>
      <c r="N292" s="1153"/>
      <c r="O292" s="1153"/>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row>
    <row r="293" spans="1:78" ht="23.25" customHeight="1">
      <c r="A293" s="1149"/>
      <c r="B293" s="1150"/>
      <c r="E293" s="2347" t="s">
        <v>839</v>
      </c>
      <c r="F293" s="2347"/>
      <c r="G293" s="2348" t="s">
        <v>400</v>
      </c>
      <c r="H293" s="2349"/>
      <c r="I293" s="2350" t="s">
        <v>840</v>
      </c>
      <c r="J293" s="2350"/>
      <c r="K293" s="2350"/>
      <c r="L293" s="1153"/>
      <c r="M293" s="1153"/>
      <c r="N293" s="1153"/>
      <c r="O293" s="1153"/>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row>
    <row r="294" spans="1:78" ht="23.25" customHeight="1">
      <c r="A294" s="1149"/>
      <c r="B294" s="1150"/>
      <c r="E294" s="1164"/>
      <c r="F294" s="1165" t="s">
        <v>841</v>
      </c>
      <c r="G294" s="2336" t="s">
        <v>403</v>
      </c>
      <c r="H294" s="2337"/>
      <c r="I294" s="2338" t="s">
        <v>212</v>
      </c>
      <c r="J294" s="2338"/>
      <c r="K294" s="2338"/>
      <c r="L294" s="1153"/>
      <c r="M294" s="1153"/>
      <c r="N294" s="1153"/>
      <c r="O294" s="1153"/>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row>
    <row r="295" spans="1:78" ht="23.25" customHeight="1">
      <c r="A295" s="1149"/>
      <c r="B295" s="1150"/>
      <c r="E295" s="1164"/>
      <c r="F295" s="1165"/>
      <c r="G295" s="1402"/>
      <c r="H295" s="1403"/>
      <c r="I295" s="1404"/>
      <c r="J295" s="1404"/>
      <c r="K295" s="1404"/>
      <c r="L295" s="1153"/>
      <c r="M295" s="1153"/>
      <c r="N295" s="1153"/>
      <c r="O295" s="1153"/>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row>
    <row r="296" spans="1:78" ht="23.25" customHeight="1">
      <c r="A296" s="1149"/>
      <c r="B296" s="1150"/>
      <c r="E296" s="1164"/>
      <c r="F296" s="1165"/>
      <c r="G296" s="1402"/>
      <c r="H296" s="1403"/>
      <c r="I296" s="1404"/>
      <c r="J296" s="1404"/>
      <c r="K296" s="1404"/>
      <c r="L296" s="1153"/>
      <c r="M296" s="1153"/>
      <c r="N296" s="1153"/>
      <c r="O296" s="1153"/>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row>
    <row r="297" spans="1:78" ht="23.25" customHeight="1">
      <c r="A297" s="1149"/>
      <c r="B297" s="1150"/>
      <c r="E297" s="1164"/>
      <c r="F297" s="1165"/>
      <c r="G297" s="1402"/>
      <c r="H297" s="1403"/>
      <c r="I297" s="1404"/>
      <c r="J297" s="1404"/>
      <c r="K297" s="1404"/>
      <c r="L297" s="1153"/>
      <c r="M297" s="1153"/>
      <c r="N297" s="1153"/>
      <c r="O297" s="1153"/>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row>
    <row r="298" spans="1:78" ht="23.25" customHeight="1">
      <c r="A298" s="1149"/>
      <c r="B298" s="1150"/>
      <c r="E298" s="1164"/>
      <c r="F298" s="1165"/>
      <c r="G298" s="1402"/>
      <c r="H298" s="1403"/>
      <c r="I298" s="1404"/>
      <c r="J298" s="1404"/>
      <c r="K298" s="1404"/>
      <c r="L298" s="1153"/>
      <c r="M298" s="1153"/>
      <c r="N298" s="1153"/>
      <c r="O298" s="1153"/>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row>
    <row r="299" spans="1:78" ht="23.25" customHeight="1">
      <c r="A299" s="1149"/>
      <c r="B299" s="1150"/>
      <c r="E299" s="1164"/>
      <c r="F299" s="1165"/>
      <c r="G299" s="1402"/>
      <c r="H299" s="1403"/>
      <c r="I299" s="1404"/>
      <c r="J299" s="1404"/>
      <c r="K299" s="1404"/>
      <c r="L299" s="1153"/>
      <c r="M299" s="1153"/>
      <c r="N299" s="1153"/>
      <c r="O299" s="1153"/>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row>
    <row r="300" spans="1:78" ht="23.25" customHeight="1">
      <c r="A300" s="1149"/>
      <c r="B300" s="1150"/>
      <c r="E300" s="1164"/>
      <c r="F300" s="1165"/>
      <c r="G300" s="1402"/>
      <c r="H300" s="1403"/>
      <c r="I300" s="1404"/>
      <c r="J300" s="1404"/>
      <c r="K300" s="1404"/>
      <c r="L300" s="1153"/>
      <c r="M300" s="1153"/>
      <c r="N300" s="1153"/>
      <c r="O300" s="1153"/>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row>
    <row r="301" spans="1:78" ht="23.25" customHeight="1">
      <c r="A301" s="1149"/>
      <c r="B301" s="1150"/>
      <c r="E301" s="1164"/>
      <c r="F301" s="1165"/>
      <c r="G301" s="1402"/>
      <c r="H301" s="1403"/>
      <c r="I301" s="1404"/>
      <c r="J301" s="1404"/>
      <c r="K301" s="1404"/>
      <c r="L301" s="1153"/>
      <c r="M301" s="1153"/>
      <c r="N301" s="1153"/>
      <c r="O301" s="1153"/>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row>
    <row r="302" spans="1:78" ht="23.25" customHeight="1">
      <c r="A302" s="1149"/>
      <c r="B302" s="1150"/>
      <c r="E302" s="1164"/>
      <c r="F302" s="1165"/>
      <c r="G302" s="1402"/>
      <c r="H302" s="1403"/>
      <c r="I302" s="1404"/>
      <c r="J302" s="1404"/>
      <c r="K302" s="1404"/>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row>
    <row r="303" spans="1:78" ht="23.25" customHeight="1">
      <c r="A303" s="1149"/>
      <c r="B303" s="1150"/>
      <c r="E303" s="1164"/>
      <c r="F303" s="1165"/>
      <c r="G303" s="1402"/>
      <c r="H303" s="1403"/>
      <c r="I303" s="1404"/>
      <c r="J303" s="1404"/>
      <c r="K303" s="1404"/>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row>
    <row r="304" spans="1:78" s="1168" customFormat="1" ht="13.5" customHeight="1">
      <c r="A304" s="1166"/>
      <c r="B304" s="1167"/>
      <c r="F304" s="1169"/>
      <c r="G304" s="1170"/>
      <c r="H304" s="1171"/>
      <c r="I304" s="2338"/>
      <c r="J304" s="2338"/>
      <c r="K304" s="2338"/>
      <c r="L304" s="1172"/>
      <c r="M304" s="1172"/>
      <c r="N304" s="1172"/>
      <c r="O304" s="1172"/>
      <c r="P304" s="1172"/>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row>
    <row r="305" spans="1:78" ht="13.5" customHeight="1">
      <c r="A305" s="1149"/>
      <c r="B305" s="1150"/>
      <c r="F305" s="1173"/>
      <c r="G305" s="1174"/>
      <c r="H305" s="1175"/>
      <c r="I305" s="1153"/>
      <c r="J305" s="1153"/>
      <c r="K305" s="1153"/>
      <c r="L305" s="1153"/>
      <c r="M305" s="1153"/>
      <c r="N305" s="1153"/>
      <c r="O305" s="1153"/>
      <c r="P305" s="1153"/>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row>
    <row r="306" spans="1:78" s="1153" customFormat="1" ht="13.5" customHeight="1">
      <c r="A306" s="1149"/>
      <c r="B306" s="1150"/>
      <c r="C306" s="1148"/>
      <c r="D306" s="1148"/>
      <c r="E306" s="1148"/>
      <c r="F306" s="1173"/>
      <c r="G306" s="1170"/>
      <c r="I306" s="1176"/>
    </row>
    <row r="307" spans="1:78" s="1153" customFormat="1" ht="13.5" customHeight="1">
      <c r="A307" s="1381" t="s">
        <v>1877</v>
      </c>
      <c r="B307" s="1178"/>
      <c r="C307" s="1173"/>
      <c r="D307" s="1173"/>
      <c r="E307" s="1173"/>
      <c r="F307" s="1173"/>
      <c r="G307" s="1179"/>
      <c r="H307" s="1179"/>
    </row>
    <row r="308" spans="1:78" s="1153" customFormat="1" ht="13.5" hidden="1" customHeight="1">
      <c r="A308" s="1177"/>
      <c r="B308" s="1178"/>
      <c r="C308" s="1173"/>
      <c r="D308" s="1173"/>
      <c r="E308" s="1173"/>
      <c r="F308" s="1173"/>
      <c r="G308" s="1179"/>
      <c r="H308" s="1179"/>
    </row>
    <row r="309" spans="1:78" s="1153" customFormat="1" ht="13.5" hidden="1" customHeight="1">
      <c r="A309" s="1177"/>
      <c r="B309" s="1178"/>
      <c r="C309" s="1173"/>
      <c r="D309" s="1173"/>
      <c r="E309" s="1173"/>
      <c r="F309" s="1173"/>
      <c r="G309" s="1179"/>
      <c r="H309" s="1179"/>
    </row>
    <row r="310" spans="1:78" s="1153" customFormat="1" ht="28.5" hidden="1">
      <c r="A310" s="1177"/>
      <c r="B310" s="1178"/>
      <c r="C310" s="1173"/>
      <c r="D310" s="1173"/>
      <c r="E310" s="1173"/>
      <c r="F310" s="1173"/>
      <c r="G310" s="1179"/>
      <c r="H310" s="1179"/>
      <c r="I310" s="1180"/>
    </row>
    <row r="311" spans="1:78" s="1153" customFormat="1" ht="13.5" hidden="1" customHeight="1">
      <c r="A311" s="1177"/>
      <c r="B311" s="1178"/>
      <c r="C311" s="1173"/>
      <c r="D311" s="1173"/>
      <c r="E311" s="1173"/>
      <c r="F311" s="1173"/>
      <c r="G311" s="1179"/>
      <c r="H311" s="1179"/>
      <c r="I311" s="1179"/>
      <c r="J311" s="1179"/>
      <c r="K311" s="1179"/>
    </row>
    <row r="312" spans="1:78" s="1153" customFormat="1" ht="13.5" hidden="1" customHeight="1">
      <c r="A312" s="1177"/>
      <c r="B312" s="1178"/>
      <c r="C312" s="1173"/>
      <c r="D312" s="1173"/>
      <c r="E312" s="1173"/>
      <c r="F312" s="1173"/>
      <c r="G312" s="1179"/>
      <c r="H312" s="1179"/>
      <c r="I312" s="1179"/>
      <c r="J312" s="1179"/>
      <c r="K312" s="1179"/>
    </row>
    <row r="313" spans="1:78" s="1153" customFormat="1" ht="13.5" hidden="1" customHeight="1">
      <c r="A313" s="1177"/>
      <c r="B313" s="1178"/>
      <c r="C313" s="1173"/>
      <c r="D313" s="1173"/>
      <c r="E313" s="1173"/>
      <c r="F313" s="1173"/>
      <c r="G313" s="1179"/>
      <c r="H313" s="1179"/>
      <c r="I313" s="1179"/>
      <c r="J313" s="1179"/>
      <c r="K313" s="1179"/>
    </row>
    <row r="314" spans="1:78" s="1153" customFormat="1" ht="13.5" hidden="1" customHeight="1">
      <c r="A314" s="1177"/>
      <c r="B314" s="1178"/>
      <c r="C314" s="1173"/>
      <c r="D314" s="1173"/>
      <c r="E314" s="1173"/>
      <c r="F314" s="1148"/>
      <c r="H314" s="1179"/>
      <c r="I314" s="1179"/>
      <c r="J314" s="1179"/>
      <c r="K314" s="1179"/>
    </row>
    <row r="315" spans="1:78" s="1153" customFormat="1" ht="13.5" hidden="1" customHeight="1">
      <c r="A315" s="1177"/>
      <c r="B315" s="1178"/>
      <c r="C315" s="1173"/>
      <c r="D315" s="1173"/>
      <c r="E315" s="1173"/>
      <c r="F315" s="1148"/>
      <c r="H315" s="1179"/>
      <c r="I315" s="1179"/>
      <c r="J315" s="1179"/>
      <c r="K315" s="1179"/>
    </row>
    <row r="316" spans="1:78" s="1153" customFormat="1" ht="13.5" hidden="1" customHeight="1">
      <c r="A316" s="1149"/>
      <c r="B316" s="1150"/>
      <c r="C316" s="1148"/>
      <c r="D316" s="1148"/>
      <c r="E316" s="1148"/>
      <c r="F316" s="1148"/>
    </row>
    <row r="317" spans="1:78" s="1153" customFormat="1" ht="13.5" hidden="1" customHeight="1">
      <c r="A317" s="1149"/>
      <c r="B317" s="1150"/>
      <c r="C317" s="1148"/>
      <c r="D317" s="1148"/>
      <c r="E317" s="1148"/>
      <c r="F317" s="1148"/>
    </row>
    <row r="318" spans="1:78" s="1153" customFormat="1" ht="13.5" hidden="1" customHeight="1">
      <c r="A318" s="1149"/>
      <c r="B318" s="1150"/>
      <c r="C318" s="1148"/>
      <c r="D318" s="1148"/>
      <c r="E318" s="1148"/>
      <c r="F318" s="1148"/>
    </row>
    <row r="319" spans="1:78" s="1153" customFormat="1" ht="13.5" hidden="1" customHeight="1">
      <c r="A319" s="1149"/>
      <c r="B319" s="1150"/>
      <c r="C319" s="1148"/>
      <c r="D319" s="1148"/>
      <c r="E319" s="1148"/>
      <c r="F319" s="1148"/>
    </row>
    <row r="320" spans="1:78" s="1153" customFormat="1" ht="13.5" hidden="1" customHeight="1">
      <c r="A320" s="1149"/>
      <c r="B320" s="1150"/>
      <c r="C320" s="1148"/>
      <c r="D320" s="1148"/>
      <c r="E320" s="1148"/>
      <c r="F320" s="1148"/>
    </row>
    <row r="321" spans="1:6" s="1153" customFormat="1" ht="13.5" hidden="1" customHeight="1">
      <c r="A321" s="1149"/>
      <c r="B321" s="1150"/>
      <c r="C321" s="1148"/>
      <c r="D321" s="1148"/>
      <c r="E321" s="1148"/>
      <c r="F321" s="1148"/>
    </row>
    <row r="322" spans="1:6" s="1153" customFormat="1" ht="13.5" hidden="1" customHeight="1">
      <c r="A322" s="1149"/>
      <c r="B322" s="1150"/>
      <c r="C322" s="1148"/>
      <c r="D322" s="1148"/>
      <c r="E322" s="1148"/>
      <c r="F322" s="1148"/>
    </row>
    <row r="323" spans="1:6" s="1153" customFormat="1" ht="13.5" hidden="1" customHeight="1">
      <c r="A323" s="1149"/>
      <c r="B323" s="1150"/>
      <c r="C323" s="1148"/>
      <c r="D323" s="1148"/>
      <c r="E323" s="1148"/>
      <c r="F323" s="1148"/>
    </row>
    <row r="324" spans="1:6" s="1153" customFormat="1" ht="13.5" hidden="1" customHeight="1">
      <c r="A324" s="1149"/>
      <c r="B324" s="1150"/>
      <c r="C324" s="1148"/>
      <c r="D324" s="1148"/>
      <c r="E324" s="1148"/>
      <c r="F324" s="1148"/>
    </row>
    <row r="325" spans="1:6" s="1153" customFormat="1" ht="13.5" hidden="1" customHeight="1">
      <c r="A325" s="1149"/>
      <c r="B325" s="1150"/>
      <c r="C325" s="1148"/>
      <c r="D325" s="1148"/>
      <c r="E325" s="1148"/>
      <c r="F325" s="1148"/>
    </row>
    <row r="326" spans="1:6" s="1153" customFormat="1" ht="13.5" hidden="1" customHeight="1">
      <c r="A326" s="1149"/>
      <c r="B326" s="1150"/>
      <c r="C326" s="1148"/>
      <c r="D326" s="1148"/>
      <c r="E326" s="1148"/>
      <c r="F326" s="1148"/>
    </row>
    <row r="327" spans="1:6" s="1153" customFormat="1" ht="13.5" hidden="1" customHeight="1">
      <c r="A327" s="1149"/>
      <c r="B327" s="1150"/>
      <c r="C327" s="1148"/>
      <c r="D327" s="1148"/>
      <c r="E327" s="1148"/>
      <c r="F327" s="1148"/>
    </row>
    <row r="328" spans="1:6" s="1153" customFormat="1" ht="13.5" hidden="1" customHeight="1">
      <c r="A328" s="1149"/>
      <c r="B328" s="1150"/>
      <c r="C328" s="1148"/>
      <c r="D328" s="1148"/>
      <c r="E328" s="1148"/>
      <c r="F328" s="1148"/>
    </row>
    <row r="329" spans="1:6" s="1153" customFormat="1" ht="13.5" hidden="1" customHeight="1">
      <c r="A329" s="1149"/>
      <c r="B329" s="1150"/>
      <c r="C329" s="1148"/>
      <c r="D329" s="1148"/>
      <c r="E329" s="1148"/>
      <c r="F329" s="1148"/>
    </row>
    <row r="330" spans="1:6" s="1153" customFormat="1" ht="13.5" hidden="1" customHeight="1">
      <c r="A330" s="1149"/>
      <c r="B330" s="1150"/>
      <c r="C330" s="1148"/>
      <c r="D330" s="1148"/>
      <c r="E330" s="1148"/>
      <c r="F330" s="1148"/>
    </row>
    <row r="331" spans="1:6" s="1153" customFormat="1" ht="13.5" hidden="1" customHeight="1">
      <c r="A331" s="1149"/>
      <c r="B331" s="1150"/>
      <c r="C331" s="1148"/>
      <c r="D331" s="1148"/>
      <c r="E331" s="1148"/>
      <c r="F331" s="1148"/>
    </row>
    <row r="332" spans="1:6" s="1153" customFormat="1" ht="13.5" hidden="1" customHeight="1">
      <c r="A332" s="1149"/>
      <c r="B332" s="1150"/>
      <c r="C332" s="1148"/>
      <c r="D332" s="1148"/>
      <c r="E332" s="1148"/>
      <c r="F332" s="1148"/>
    </row>
    <row r="333" spans="1:6" s="1153" customFormat="1" ht="13.5" hidden="1" customHeight="1">
      <c r="A333" s="1149"/>
      <c r="B333" s="1150"/>
      <c r="C333" s="1148"/>
      <c r="D333" s="1148"/>
      <c r="E333" s="1148"/>
      <c r="F333" s="1148"/>
    </row>
    <row r="334" spans="1:6" s="1153" customFormat="1" ht="13.5" hidden="1" customHeight="1">
      <c r="A334" s="1149"/>
      <c r="B334" s="1150"/>
      <c r="C334" s="1148"/>
      <c r="D334" s="1148"/>
      <c r="E334" s="1148"/>
      <c r="F334" s="1148"/>
    </row>
    <row r="335" spans="1:6" s="1153" customFormat="1" ht="13.5" hidden="1" customHeight="1">
      <c r="A335" s="1149"/>
      <c r="B335" s="1150"/>
      <c r="C335" s="1148"/>
      <c r="D335" s="1148"/>
      <c r="E335" s="1148"/>
      <c r="F335" s="1148"/>
    </row>
    <row r="336" spans="1:6" s="1153" customFormat="1" ht="13.5" hidden="1" customHeight="1">
      <c r="A336" s="1149"/>
      <c r="B336" s="1150"/>
      <c r="C336" s="1148"/>
      <c r="D336" s="1148"/>
      <c r="E336" s="1148"/>
      <c r="F336" s="1148"/>
    </row>
    <row r="337" spans="1:78" s="1153" customFormat="1" ht="13.5" hidden="1" customHeight="1">
      <c r="A337" s="1149"/>
      <c r="B337" s="1150"/>
      <c r="C337" s="1148"/>
      <c r="D337" s="1148"/>
      <c r="E337" s="1148"/>
      <c r="F337" s="1148"/>
    </row>
    <row r="338" spans="1:78" s="1153" customFormat="1" ht="13.5" hidden="1" customHeight="1">
      <c r="A338" s="1149"/>
      <c r="B338" s="1150"/>
      <c r="C338" s="1148"/>
      <c r="D338" s="1148"/>
      <c r="E338" s="1148"/>
      <c r="F338" s="1148"/>
    </row>
    <row r="339" spans="1:78" s="1153" customFormat="1" ht="13.5" hidden="1" customHeight="1">
      <c r="A339" s="1149"/>
      <c r="B339" s="1150"/>
      <c r="C339" s="1148"/>
      <c r="D339" s="1148"/>
      <c r="E339" s="1148"/>
      <c r="F339" s="1148"/>
    </row>
    <row r="340" spans="1:78" s="1153" customFormat="1" ht="13.5" hidden="1" customHeight="1">
      <c r="A340" s="1149"/>
      <c r="B340" s="1150"/>
      <c r="C340" s="1148"/>
      <c r="D340" s="1148"/>
      <c r="E340" s="1148"/>
      <c r="F340" s="1148"/>
    </row>
    <row r="341" spans="1:78" ht="13.5" hidden="1" customHeight="1">
      <c r="A341" s="1149"/>
      <c r="B341" s="1150"/>
      <c r="G341" s="1153"/>
      <c r="H341" s="1153"/>
      <c r="I341" s="1153"/>
      <c r="J341" s="1153"/>
      <c r="K341" s="1153"/>
      <c r="L341" s="1153"/>
      <c r="M341" s="1153"/>
      <c r="N341" s="1153"/>
      <c r="O341" s="1153"/>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row>
    <row r="342" spans="1:78" ht="13.5" hidden="1" customHeight="1">
      <c r="A342" s="1149"/>
      <c r="B342" s="1150"/>
      <c r="G342" s="1153"/>
      <c r="H342" s="1153"/>
      <c r="I342" s="1153"/>
      <c r="J342" s="1153"/>
      <c r="K342" s="1153"/>
      <c r="L342" s="1153"/>
      <c r="M342" s="1153"/>
      <c r="N342" s="1153"/>
      <c r="O342" s="1153"/>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row>
    <row r="343" spans="1:78" s="1153" customFormat="1" ht="13.5" hidden="1" customHeight="1">
      <c r="A343" s="1149"/>
      <c r="B343" s="1150"/>
      <c r="C343" s="1148"/>
      <c r="D343" s="1148"/>
      <c r="E343" s="1148"/>
      <c r="F343" s="1148"/>
    </row>
    <row r="344" spans="1:78" s="1153" customFormat="1" ht="13.5" hidden="1" customHeight="1">
      <c r="A344" s="1149"/>
      <c r="B344" s="1150"/>
      <c r="C344" s="1148"/>
      <c r="D344" s="1148"/>
      <c r="E344" s="1148"/>
      <c r="F344" s="1148"/>
    </row>
    <row r="345" spans="1:78" s="1153" customFormat="1" ht="13.5" hidden="1" customHeight="1">
      <c r="A345" s="1149"/>
      <c r="B345" s="1150"/>
      <c r="C345" s="1148"/>
      <c r="D345" s="1148"/>
      <c r="E345" s="1148"/>
      <c r="F345" s="1148"/>
    </row>
    <row r="346" spans="1:78" s="1153" customFormat="1" ht="13.5" hidden="1" customHeight="1">
      <c r="A346" s="1149"/>
      <c r="B346" s="1150"/>
      <c r="C346" s="1148"/>
      <c r="D346" s="1148"/>
      <c r="E346" s="1148"/>
      <c r="F346" s="1148"/>
    </row>
    <row r="347" spans="1:78" s="1153" customFormat="1" ht="13.5" hidden="1" customHeight="1">
      <c r="A347" s="1149"/>
      <c r="B347" s="1150"/>
      <c r="C347" s="1148"/>
      <c r="D347" s="1148"/>
      <c r="E347" s="1148"/>
      <c r="F347" s="1148"/>
    </row>
    <row r="348" spans="1:78" s="1153" customFormat="1" ht="13.5" hidden="1" customHeight="1">
      <c r="A348" s="1149"/>
      <c r="B348" s="1150"/>
      <c r="C348" s="1148"/>
      <c r="D348" s="1148"/>
      <c r="E348" s="1148"/>
      <c r="F348" s="1148"/>
    </row>
    <row r="349" spans="1:78" s="1153" customFormat="1" ht="13.5" hidden="1" customHeight="1">
      <c r="A349" s="1149"/>
      <c r="B349" s="1150"/>
      <c r="C349" s="1148"/>
      <c r="D349" s="1148"/>
      <c r="E349" s="1148"/>
      <c r="F349" s="1148"/>
    </row>
    <row r="350" spans="1:78" s="1153" customFormat="1" ht="13.5" hidden="1" customHeight="1">
      <c r="A350" s="1149"/>
      <c r="B350" s="1150"/>
      <c r="C350" s="1148"/>
      <c r="D350" s="1148"/>
      <c r="E350" s="1148"/>
      <c r="F350" s="1148"/>
    </row>
    <row r="351" spans="1:78" s="1153" customFormat="1" ht="13.5" hidden="1" customHeight="1">
      <c r="A351" s="1149"/>
      <c r="B351" s="1150"/>
      <c r="C351" s="1148"/>
      <c r="D351" s="1148"/>
      <c r="E351" s="1148"/>
      <c r="F351" s="1148"/>
    </row>
    <row r="352" spans="1:78" s="1153" customFormat="1" ht="13.5" hidden="1" customHeight="1">
      <c r="A352" s="1149"/>
      <c r="B352" s="1150"/>
      <c r="C352" s="1148"/>
      <c r="D352" s="1148"/>
      <c r="E352" s="1148"/>
      <c r="F352" s="1148"/>
    </row>
    <row r="353" spans="1:6" s="1153" customFormat="1" ht="13.5" hidden="1" customHeight="1">
      <c r="A353" s="1149"/>
      <c r="B353" s="1150"/>
      <c r="C353" s="1148"/>
      <c r="D353" s="1148"/>
      <c r="E353" s="1148"/>
      <c r="F353" s="1148"/>
    </row>
    <row r="354" spans="1:6" s="1153" customFormat="1" ht="13.5" hidden="1" customHeight="1">
      <c r="A354" s="1149"/>
      <c r="B354" s="1150"/>
      <c r="C354" s="1148"/>
      <c r="D354" s="1148"/>
      <c r="E354" s="1148"/>
      <c r="F354" s="1148"/>
    </row>
    <row r="355" spans="1:6" s="1153" customFormat="1" ht="13.5" hidden="1" customHeight="1">
      <c r="A355" s="1149"/>
      <c r="B355" s="1150"/>
      <c r="C355" s="1148"/>
      <c r="D355" s="1148"/>
      <c r="E355" s="1148"/>
      <c r="F355" s="1148"/>
    </row>
    <row r="356" spans="1:6" s="1153" customFormat="1" ht="13.5" hidden="1" customHeight="1">
      <c r="A356" s="1149"/>
      <c r="B356" s="1150"/>
      <c r="C356" s="1148"/>
      <c r="D356" s="1148"/>
      <c r="E356" s="1148"/>
      <c r="F356" s="1148"/>
    </row>
    <row r="357" spans="1:6" s="1153" customFormat="1" ht="13.5" hidden="1" customHeight="1">
      <c r="A357" s="1149"/>
      <c r="B357" s="1150"/>
      <c r="C357" s="1148"/>
      <c r="D357" s="1148"/>
      <c r="E357" s="1148"/>
      <c r="F357" s="1148"/>
    </row>
    <row r="358" spans="1:6" s="1153" customFormat="1" ht="13.5" hidden="1" customHeight="1">
      <c r="A358" s="1149"/>
      <c r="B358" s="1150"/>
      <c r="C358" s="1148"/>
      <c r="D358" s="1148"/>
      <c r="E358" s="1148"/>
      <c r="F358" s="1148"/>
    </row>
    <row r="359" spans="1:6" s="1153" customFormat="1" ht="13.5" hidden="1" customHeight="1">
      <c r="A359" s="1149"/>
      <c r="B359" s="1150"/>
      <c r="C359" s="1148"/>
      <c r="D359" s="1148"/>
      <c r="E359" s="1148"/>
      <c r="F359" s="1148"/>
    </row>
    <row r="360" spans="1:6" s="1153" customFormat="1" ht="13.5" hidden="1" customHeight="1">
      <c r="A360" s="1149"/>
      <c r="B360" s="1150"/>
      <c r="C360" s="1148"/>
      <c r="D360" s="1148"/>
      <c r="E360" s="1148"/>
      <c r="F360" s="1148"/>
    </row>
    <row r="361" spans="1:6" s="1153" customFormat="1" ht="13.5" hidden="1" customHeight="1">
      <c r="A361" s="1149"/>
      <c r="B361" s="1150"/>
      <c r="C361" s="1148"/>
      <c r="D361" s="1148"/>
      <c r="E361" s="1148"/>
      <c r="F361" s="1148"/>
    </row>
    <row r="362" spans="1:6" s="1153" customFormat="1" ht="13.5" hidden="1" customHeight="1">
      <c r="A362" s="1149"/>
      <c r="B362" s="1150"/>
      <c r="C362" s="1148"/>
      <c r="D362" s="1148"/>
      <c r="E362" s="1148"/>
      <c r="F362" s="1148"/>
    </row>
    <row r="363" spans="1:6" s="1153" customFormat="1" ht="13.5" hidden="1" customHeight="1">
      <c r="A363" s="1149"/>
      <c r="B363" s="1150"/>
      <c r="C363" s="1148"/>
      <c r="D363" s="1148"/>
      <c r="E363" s="1148"/>
      <c r="F363" s="1148"/>
    </row>
    <row r="364" spans="1:6" s="1153" customFormat="1" ht="13.5" hidden="1" customHeight="1">
      <c r="A364" s="1149"/>
      <c r="B364" s="1150"/>
      <c r="C364" s="1148"/>
      <c r="D364" s="1148"/>
      <c r="E364" s="1148"/>
      <c r="F364" s="1148"/>
    </row>
    <row r="365" spans="1:6" s="1153" customFormat="1" ht="13.5" hidden="1" customHeight="1">
      <c r="A365" s="1149"/>
      <c r="B365" s="1150"/>
      <c r="C365" s="1148"/>
      <c r="D365" s="1148"/>
      <c r="E365" s="1148"/>
      <c r="F365" s="1148"/>
    </row>
    <row r="366" spans="1:6" s="1153" customFormat="1" ht="13.5" hidden="1" customHeight="1">
      <c r="A366" s="1149"/>
      <c r="B366" s="1150"/>
      <c r="C366" s="1148"/>
      <c r="D366" s="1148"/>
      <c r="E366" s="1148"/>
      <c r="F366" s="1148"/>
    </row>
    <row r="367" spans="1:6" s="1153" customFormat="1" ht="13.5" hidden="1" customHeight="1">
      <c r="A367" s="1149"/>
      <c r="B367" s="1150"/>
      <c r="C367" s="1148"/>
      <c r="D367" s="1148"/>
      <c r="E367" s="1148"/>
      <c r="F367" s="1148"/>
    </row>
    <row r="368" spans="1:6" s="1153" customFormat="1" ht="13.5" hidden="1" customHeight="1">
      <c r="A368" s="1149"/>
      <c r="B368" s="1150"/>
      <c r="C368" s="1148"/>
      <c r="D368" s="1148"/>
      <c r="E368" s="1148"/>
      <c r="F368" s="1148"/>
    </row>
    <row r="369" spans="1:78" s="1153" customFormat="1" ht="13.5" hidden="1" customHeight="1">
      <c r="A369" s="1149"/>
      <c r="B369" s="1150"/>
      <c r="C369" s="1148"/>
      <c r="D369" s="1148"/>
      <c r="E369" s="1148"/>
      <c r="F369" s="1148"/>
    </row>
    <row r="370" spans="1:78" s="1153" customFormat="1" ht="13.5" hidden="1" customHeight="1">
      <c r="A370" s="1149"/>
      <c r="B370" s="1150"/>
      <c r="C370" s="1148"/>
      <c r="D370" s="1148"/>
      <c r="E370" s="1148"/>
      <c r="F370" s="1148"/>
    </row>
    <row r="371" spans="1:78" s="1153" customFormat="1" ht="13.5" hidden="1" customHeight="1">
      <c r="A371" s="1149"/>
      <c r="B371" s="1150"/>
      <c r="C371" s="1148"/>
      <c r="D371" s="1148"/>
      <c r="E371" s="1148"/>
      <c r="F371" s="1148"/>
    </row>
    <row r="372" spans="1:78" s="1153" customFormat="1" ht="13.5" hidden="1" customHeight="1">
      <c r="A372" s="1149"/>
      <c r="B372" s="1150"/>
      <c r="C372" s="1148"/>
      <c r="D372" s="1148"/>
      <c r="E372" s="1148"/>
      <c r="F372" s="1148"/>
    </row>
    <row r="373" spans="1:78" ht="13.5" hidden="1" customHeight="1">
      <c r="A373" s="1149"/>
      <c r="B373" s="1150"/>
      <c r="G373" s="1153"/>
      <c r="H373" s="1153"/>
      <c r="I373" s="1153"/>
      <c r="J373" s="1153"/>
      <c r="K373" s="1153"/>
      <c r="L373" s="1153"/>
      <c r="M373" s="1153"/>
      <c r="N373" s="1153"/>
      <c r="O373" s="1153"/>
      <c r="P373" s="1153"/>
      <c r="Q373" s="1153"/>
      <c r="R373" s="1153"/>
      <c r="S373" s="1153"/>
      <c r="T373" s="1153"/>
      <c r="U373" s="1153"/>
      <c r="V373" s="1153"/>
      <c r="W373" s="1153"/>
      <c r="X373" s="1153"/>
      <c r="Y373" s="1153"/>
      <c r="Z373" s="1153"/>
      <c r="AA373" s="1153"/>
      <c r="AB373" s="1153"/>
      <c r="AC373" s="1153"/>
      <c r="AD373" s="1153"/>
      <c r="AE373" s="1153"/>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row>
    <row r="374" spans="1:78" ht="13.5" hidden="1" customHeight="1">
      <c r="A374" s="1149"/>
      <c r="B374" s="1150"/>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row>
    <row r="375" spans="1:78" ht="13.5" hidden="1" customHeight="1">
      <c r="A375" s="1149"/>
      <c r="B375" s="1150"/>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row>
    <row r="376" spans="1:78" ht="13.5" hidden="1" customHeight="1">
      <c r="A376" s="1149"/>
      <c r="B376" s="1150"/>
      <c r="G376" s="1153"/>
      <c r="H376" s="1153"/>
      <c r="I376" s="1153"/>
      <c r="J376" s="1153"/>
      <c r="K376" s="1153"/>
      <c r="L376" s="1153"/>
      <c r="M376" s="1153"/>
      <c r="N376" s="1153"/>
      <c r="O376" s="1153"/>
      <c r="P376" s="1153"/>
      <c r="Q376" s="1153"/>
      <c r="R376" s="1153"/>
      <c r="S376" s="1153"/>
      <c r="T376" s="1153"/>
      <c r="U376" s="1153"/>
      <c r="V376" s="1153"/>
      <c r="W376" s="1153"/>
      <c r="X376" s="1153"/>
      <c r="Y376" s="1153"/>
      <c r="Z376" s="1153"/>
      <c r="AA376" s="1153"/>
      <c r="AB376" s="1153"/>
      <c r="AC376" s="1153"/>
      <c r="AD376" s="1153"/>
      <c r="AE376" s="1153"/>
      <c r="AF376" s="1153"/>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row>
    <row r="377" spans="1:78" s="1153" customFormat="1" ht="13.5" hidden="1" customHeight="1">
      <c r="A377" s="1149"/>
      <c r="B377" s="1150"/>
      <c r="C377" s="1148"/>
      <c r="D377" s="1148"/>
      <c r="E377" s="1148"/>
      <c r="F377" s="1148"/>
    </row>
    <row r="378" spans="1:78" s="1153" customFormat="1" ht="13.5" hidden="1" customHeight="1">
      <c r="A378" s="1149"/>
      <c r="B378" s="1150"/>
      <c r="C378" s="1148"/>
      <c r="D378" s="1148"/>
      <c r="E378" s="1148"/>
      <c r="F378" s="1148"/>
    </row>
    <row r="379" spans="1:78" s="1153" customFormat="1" ht="13.5" hidden="1" customHeight="1">
      <c r="A379" s="1149"/>
      <c r="B379" s="1150"/>
      <c r="C379" s="1148"/>
      <c r="D379" s="1148"/>
      <c r="E379" s="1148"/>
      <c r="F379" s="1148"/>
    </row>
    <row r="380" spans="1:78" s="1153" customFormat="1" ht="13.5" hidden="1" customHeight="1">
      <c r="A380" s="1149"/>
      <c r="B380" s="1150"/>
      <c r="C380" s="1148"/>
      <c r="D380" s="1148"/>
      <c r="E380" s="1148"/>
      <c r="F380" s="1148"/>
    </row>
    <row r="381" spans="1:78" s="1153" customFormat="1" ht="13.5" hidden="1" customHeight="1">
      <c r="A381" s="1149"/>
      <c r="B381" s="1150"/>
      <c r="C381" s="1148"/>
      <c r="D381" s="1148"/>
      <c r="E381" s="1148"/>
      <c r="F381" s="1148"/>
    </row>
    <row r="382" spans="1:78" s="1153" customFormat="1" ht="13.5" hidden="1" customHeight="1">
      <c r="A382" s="1149"/>
      <c r="B382" s="1150"/>
      <c r="C382" s="1148"/>
      <c r="D382" s="1148"/>
      <c r="E382" s="1148"/>
      <c r="F382" s="1148"/>
    </row>
    <row r="383" spans="1:78" ht="13.5" hidden="1" customHeight="1">
      <c r="A383" s="1149"/>
      <c r="B383" s="1150"/>
      <c r="G383" s="1153"/>
      <c r="H383" s="1153"/>
      <c r="I383" s="1153"/>
      <c r="J383" s="1153"/>
      <c r="K383" s="1153"/>
      <c r="L383" s="1153"/>
      <c r="M383" s="1153"/>
      <c r="N383" s="1153"/>
      <c r="O383" s="1153"/>
      <c r="P383" s="1153"/>
      <c r="Q383" s="1153"/>
      <c r="R383" s="1153"/>
      <c r="S383" s="1153"/>
      <c r="T383" s="1153"/>
      <c r="U383" s="1153"/>
      <c r="V383" s="1153"/>
      <c r="W383" s="1153"/>
      <c r="X383" s="1153"/>
      <c r="Y383" s="1153"/>
      <c r="Z383" s="1153"/>
      <c r="AA383" s="1153"/>
      <c r="AB383" s="1153"/>
      <c r="AC383" s="1153"/>
      <c r="AD383" s="1153"/>
      <c r="AE383" s="1153"/>
      <c r="AF383" s="1153"/>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row>
    <row r="384" spans="1:78" ht="13.5" hidden="1" customHeight="1">
      <c r="A384" s="1149"/>
      <c r="B384" s="1150"/>
      <c r="G384" s="1153"/>
      <c r="H384" s="1153"/>
      <c r="I384" s="1153"/>
      <c r="J384" s="1153"/>
      <c r="K384" s="1153"/>
      <c r="L384" s="1153"/>
      <c r="M384" s="1153"/>
      <c r="N384" s="1153"/>
      <c r="O384" s="1153"/>
      <c r="P384" s="1153"/>
      <c r="Q384" s="1153"/>
      <c r="R384" s="1153"/>
      <c r="S384" s="1153"/>
      <c r="T384" s="1153"/>
      <c r="U384" s="1153"/>
      <c r="V384" s="1153"/>
      <c r="W384" s="1153"/>
      <c r="X384" s="1153"/>
      <c r="Y384" s="1153"/>
      <c r="Z384" s="1153"/>
      <c r="AA384" s="1153"/>
      <c r="AB384" s="1153"/>
      <c r="AC384" s="1153"/>
      <c r="AD384" s="1153"/>
      <c r="AE384" s="1153"/>
      <c r="AF384" s="1153"/>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row>
    <row r="385" spans="1:78" ht="13.5" hidden="1" customHeight="1">
      <c r="A385" s="1149"/>
      <c r="B385" s="1150"/>
      <c r="G385" s="1153"/>
      <c r="H385" s="1153"/>
      <c r="I385" s="1153"/>
      <c r="J385" s="1153"/>
      <c r="K385" s="1153"/>
      <c r="L385" s="1153"/>
      <c r="M385" s="1153"/>
      <c r="N385" s="1153"/>
      <c r="O385" s="1153"/>
      <c r="P385" s="1153"/>
      <c r="Q385" s="1153"/>
      <c r="R385" s="1153"/>
      <c r="S385" s="1153"/>
      <c r="T385" s="1153"/>
      <c r="U385" s="1153"/>
      <c r="V385" s="1153"/>
      <c r="W385" s="1153"/>
      <c r="X385" s="1153"/>
      <c r="Y385" s="1153"/>
      <c r="Z385" s="1153"/>
      <c r="AA385" s="1153"/>
      <c r="AB385" s="1153"/>
      <c r="AC385" s="1153"/>
      <c r="AD385" s="1153"/>
      <c r="AE385" s="1153"/>
      <c r="AF385" s="1153"/>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row>
    <row r="386" spans="1:78" ht="13.5" hidden="1" customHeight="1">
      <c r="A386" s="1149"/>
      <c r="B386" s="1150"/>
      <c r="G386" s="1153"/>
      <c r="H386" s="1153"/>
      <c r="I386" s="1153"/>
      <c r="J386" s="1153"/>
      <c r="K386" s="1153"/>
      <c r="L386" s="1153"/>
      <c r="M386" s="1153"/>
      <c r="N386" s="1153"/>
      <c r="O386" s="1153"/>
      <c r="P386" s="1153"/>
      <c r="Q386" s="1153"/>
      <c r="R386" s="1153"/>
      <c r="S386" s="1153"/>
      <c r="T386" s="1153"/>
      <c r="U386" s="1153"/>
      <c r="V386" s="1153"/>
      <c r="W386" s="1153"/>
      <c r="X386" s="1153"/>
      <c r="Y386" s="1153"/>
      <c r="Z386" s="1153"/>
      <c r="AA386" s="1153"/>
      <c r="AB386" s="1153"/>
      <c r="AC386" s="1153"/>
      <c r="AD386" s="1153"/>
      <c r="AE386" s="1153"/>
      <c r="AF386" s="1153"/>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row>
    <row r="387" spans="1:78" s="1153" customFormat="1" ht="13.5" hidden="1" customHeight="1">
      <c r="A387" s="1149"/>
      <c r="B387" s="1150"/>
      <c r="C387" s="1148"/>
      <c r="D387" s="1148"/>
      <c r="E387" s="1148"/>
      <c r="F387" s="1148"/>
    </row>
    <row r="388" spans="1:78" s="1153" customFormat="1" ht="13.5" hidden="1" customHeight="1">
      <c r="A388" s="1149"/>
      <c r="B388" s="1150"/>
      <c r="C388" s="1148"/>
      <c r="D388" s="1148"/>
      <c r="E388" s="1148"/>
      <c r="F388" s="1148"/>
    </row>
    <row r="389" spans="1:78" s="1153" customFormat="1" ht="13.5" hidden="1" customHeight="1">
      <c r="A389" s="1149"/>
      <c r="B389" s="1150"/>
      <c r="C389" s="1148"/>
      <c r="D389" s="1148"/>
      <c r="E389" s="1148"/>
      <c r="F389" s="1148"/>
    </row>
    <row r="390" spans="1:78" s="1153" customFormat="1" ht="13.5" hidden="1" customHeight="1">
      <c r="A390" s="1149"/>
      <c r="B390" s="1150"/>
      <c r="C390" s="1148"/>
      <c r="D390" s="1148"/>
      <c r="E390" s="1148"/>
      <c r="F390" s="1148"/>
    </row>
    <row r="391" spans="1:78" s="1153" customFormat="1" ht="13.5" hidden="1" customHeight="1">
      <c r="A391" s="1149"/>
      <c r="B391" s="1150"/>
      <c r="C391" s="1148"/>
      <c r="D391" s="1148"/>
      <c r="E391" s="1148"/>
      <c r="F391" s="1148"/>
    </row>
    <row r="392" spans="1:78" s="1153" customFormat="1" ht="13.5" hidden="1" customHeight="1">
      <c r="A392" s="1149"/>
      <c r="B392" s="1150"/>
      <c r="C392" s="1148"/>
      <c r="D392" s="1148"/>
      <c r="E392" s="1148"/>
      <c r="F392" s="1148"/>
    </row>
    <row r="393" spans="1:78" s="1153" customFormat="1" ht="13.5" hidden="1" customHeight="1">
      <c r="A393" s="1149"/>
      <c r="B393" s="1150"/>
      <c r="C393" s="1148"/>
      <c r="D393" s="1148"/>
      <c r="E393" s="1148"/>
      <c r="F393" s="1148"/>
    </row>
    <row r="394" spans="1:78" s="1153" customFormat="1" ht="13.5" hidden="1" customHeight="1">
      <c r="A394" s="1149"/>
      <c r="B394" s="1150"/>
      <c r="C394" s="1148"/>
      <c r="D394" s="1148"/>
      <c r="E394" s="1148"/>
      <c r="F394" s="1148"/>
    </row>
    <row r="395" spans="1:78" s="1153" customFormat="1" ht="13.5" hidden="1" customHeight="1">
      <c r="A395" s="1149"/>
      <c r="B395" s="1150"/>
      <c r="C395" s="1148"/>
      <c r="D395" s="1148"/>
      <c r="E395" s="1148"/>
      <c r="F395" s="1148"/>
    </row>
    <row r="396" spans="1:78" s="1153" customFormat="1" ht="13.5" hidden="1" customHeight="1">
      <c r="A396" s="1149"/>
      <c r="B396" s="1150"/>
      <c r="C396" s="1148"/>
      <c r="D396" s="1148"/>
      <c r="E396" s="1148"/>
      <c r="F396" s="1148"/>
    </row>
    <row r="397" spans="1:78" s="1153" customFormat="1" ht="13.5" hidden="1" customHeight="1">
      <c r="A397" s="1149"/>
      <c r="B397" s="1150"/>
      <c r="C397" s="1148"/>
      <c r="D397" s="1148"/>
      <c r="E397" s="1148"/>
      <c r="F397" s="1148"/>
    </row>
    <row r="398" spans="1:78" s="1153" customFormat="1" ht="13.5" hidden="1" customHeight="1">
      <c r="A398" s="1149"/>
      <c r="B398" s="1150"/>
      <c r="C398" s="1148"/>
      <c r="D398" s="1148"/>
      <c r="E398" s="1148"/>
      <c r="F398" s="1148"/>
    </row>
    <row r="399" spans="1:78" s="1153" customFormat="1" ht="13.5" hidden="1" customHeight="1">
      <c r="A399" s="1149"/>
      <c r="B399" s="1150"/>
      <c r="C399" s="1148"/>
      <c r="D399" s="1148"/>
      <c r="E399" s="1148"/>
      <c r="F399" s="1148"/>
    </row>
    <row r="400" spans="1:78" s="1153" customFormat="1" ht="13.5" hidden="1" customHeight="1">
      <c r="A400" s="1149"/>
      <c r="B400" s="1150"/>
      <c r="C400" s="1148"/>
      <c r="D400" s="1148"/>
      <c r="E400" s="1148"/>
      <c r="F400" s="1148"/>
    </row>
    <row r="401" spans="1:78" s="1153" customFormat="1" ht="13.5" hidden="1" customHeight="1">
      <c r="A401" s="1149"/>
      <c r="B401" s="1150"/>
      <c r="C401" s="1148"/>
      <c r="D401" s="1148"/>
      <c r="E401" s="1148"/>
      <c r="F401" s="1148"/>
    </row>
    <row r="402" spans="1:78" s="1153" customFormat="1" ht="13.5" hidden="1" customHeight="1">
      <c r="A402" s="1149"/>
      <c r="B402" s="1150"/>
      <c r="C402" s="1148"/>
      <c r="D402" s="1148"/>
      <c r="E402" s="1148"/>
      <c r="F402" s="1148"/>
    </row>
    <row r="403" spans="1:78" s="1153" customFormat="1" ht="13.5" hidden="1" customHeight="1">
      <c r="A403" s="1149"/>
      <c r="B403" s="1150"/>
      <c r="C403" s="1148"/>
      <c r="D403" s="1148"/>
      <c r="E403" s="1148"/>
      <c r="F403" s="1148"/>
    </row>
    <row r="404" spans="1:78" s="1153" customFormat="1" ht="13.5" hidden="1" customHeight="1">
      <c r="A404" s="1149"/>
      <c r="B404" s="1150"/>
      <c r="C404" s="1148"/>
      <c r="D404" s="1148"/>
      <c r="E404" s="1148"/>
      <c r="F404" s="1148"/>
    </row>
    <row r="405" spans="1:78" ht="13.5" hidden="1" customHeight="1">
      <c r="A405" s="1149"/>
      <c r="B405" s="1150"/>
      <c r="G405" s="1153"/>
      <c r="H405" s="1153"/>
      <c r="I405" s="1153"/>
      <c r="J405" s="1153"/>
      <c r="K405" s="1153"/>
      <c r="L405" s="1153"/>
      <c r="M405" s="1153"/>
      <c r="N405" s="1153"/>
      <c r="O405" s="1153"/>
      <c r="P405" s="1153"/>
      <c r="Q405" s="1153"/>
      <c r="R405" s="1153"/>
      <c r="S405" s="1153"/>
      <c r="T405" s="1153"/>
      <c r="U405" s="1153"/>
      <c r="V405" s="1153"/>
      <c r="W405" s="1153"/>
      <c r="X405" s="1153"/>
      <c r="Y405" s="1153"/>
      <c r="Z405" s="1153"/>
      <c r="AA405" s="1153"/>
      <c r="AB405" s="1153"/>
      <c r="AC405" s="1153"/>
      <c r="AD405" s="1153"/>
      <c r="AE405" s="1153"/>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row>
    <row r="406" spans="1:78" ht="13.5" hidden="1" customHeight="1">
      <c r="A406" s="1149"/>
      <c r="B406" s="1150"/>
      <c r="G406" s="1153"/>
      <c r="H406" s="1153"/>
      <c r="I406" s="1153"/>
      <c r="J406" s="1153"/>
      <c r="K406" s="1153"/>
      <c r="L406" s="1153"/>
      <c r="M406" s="1153"/>
      <c r="N406" s="1153"/>
      <c r="O406" s="1153"/>
      <c r="P406" s="1153"/>
      <c r="Q406" s="1153"/>
      <c r="R406" s="1153"/>
      <c r="S406" s="1153"/>
      <c r="T406" s="1153"/>
      <c r="U406" s="1153"/>
      <c r="V406" s="1153"/>
      <c r="W406" s="1153"/>
      <c r="X406" s="1153"/>
      <c r="Y406" s="1153"/>
      <c r="Z406" s="1153"/>
      <c r="AA406" s="1153"/>
      <c r="AB406" s="1153"/>
      <c r="AC406" s="1153"/>
      <c r="AD406" s="1153"/>
      <c r="AE406" s="1153"/>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row>
    <row r="407" spans="1:78" ht="13.5" hidden="1" customHeight="1">
      <c r="A407" s="1149"/>
      <c r="B407" s="1150"/>
      <c r="G407" s="1153"/>
      <c r="H407" s="1153"/>
      <c r="I407" s="1153"/>
      <c r="J407" s="1153"/>
      <c r="K407" s="1153"/>
      <c r="L407" s="1153"/>
      <c r="M407" s="1153"/>
      <c r="N407" s="1153"/>
      <c r="O407" s="1153"/>
      <c r="P407" s="1153"/>
      <c r="Q407" s="1153"/>
      <c r="R407" s="1153"/>
      <c r="S407" s="1153"/>
      <c r="T407" s="1153"/>
      <c r="U407" s="1153"/>
      <c r="V407" s="1153"/>
      <c r="W407" s="1153"/>
      <c r="X407" s="1153"/>
      <c r="Y407" s="1153"/>
      <c r="Z407" s="1153"/>
      <c r="AA407" s="1153"/>
      <c r="AB407" s="1153"/>
      <c r="AC407" s="1153"/>
      <c r="AD407" s="1153"/>
      <c r="AE407" s="1153"/>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row>
    <row r="408" spans="1:78" s="1153" customFormat="1" ht="13.5" hidden="1" customHeight="1">
      <c r="A408" s="1149"/>
      <c r="B408" s="1150"/>
      <c r="C408" s="1148"/>
      <c r="D408" s="1148"/>
      <c r="E408" s="1148"/>
      <c r="F408" s="1148"/>
    </row>
    <row r="409" spans="1:78" s="1153" customFormat="1" ht="13.5" hidden="1" customHeight="1">
      <c r="A409" s="1149"/>
      <c r="B409" s="1150"/>
      <c r="C409" s="1148"/>
      <c r="D409" s="1148"/>
      <c r="E409" s="1148"/>
      <c r="F409" s="1148"/>
    </row>
    <row r="410" spans="1:78" s="1153" customFormat="1" ht="13.5" hidden="1" customHeight="1">
      <c r="A410" s="1149"/>
      <c r="B410" s="1150"/>
      <c r="C410" s="1148"/>
      <c r="D410" s="1148"/>
      <c r="E410" s="1148"/>
      <c r="F410" s="1148"/>
    </row>
    <row r="411" spans="1:78" ht="13.5" hidden="1" customHeight="1">
      <c r="A411" s="1149"/>
      <c r="B411" s="1150"/>
      <c r="G411" s="1153"/>
      <c r="H411" s="1153"/>
      <c r="I411" s="1153"/>
      <c r="J411" s="1153"/>
      <c r="K411" s="1153"/>
      <c r="L411" s="1153"/>
      <c r="M411" s="1153"/>
      <c r="N411" s="1153"/>
      <c r="O411" s="1153"/>
      <c r="P411" s="1153"/>
      <c r="Q411" s="1153"/>
      <c r="R411" s="1153"/>
      <c r="S411" s="1153"/>
      <c r="T411" s="1153"/>
      <c r="U411" s="1153"/>
      <c r="V411" s="1153"/>
      <c r="W411" s="1153"/>
      <c r="X411" s="1153"/>
      <c r="Y411" s="1153"/>
      <c r="Z411" s="1153"/>
      <c r="AA411" s="1153"/>
      <c r="AB411" s="1153"/>
      <c r="AC411" s="1153"/>
      <c r="AD411" s="1153"/>
      <c r="AE411" s="1153"/>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row>
    <row r="412" spans="1:78" ht="13.5" hidden="1" customHeight="1">
      <c r="A412" s="1149"/>
      <c r="B412" s="1150"/>
      <c r="G412" s="1153"/>
      <c r="H412" s="1153"/>
      <c r="I412" s="1153"/>
      <c r="J412" s="1153"/>
      <c r="K412" s="1153"/>
      <c r="L412" s="1153"/>
      <c r="M412" s="1153"/>
      <c r="N412" s="1153"/>
      <c r="O412" s="1153"/>
      <c r="P412" s="1153"/>
      <c r="Q412" s="1153"/>
      <c r="R412" s="1153"/>
      <c r="S412" s="1153"/>
      <c r="T412" s="1153"/>
      <c r="U412" s="1153"/>
      <c r="V412" s="1153"/>
      <c r="W412" s="1153"/>
      <c r="X412" s="1153"/>
      <c r="Y412" s="1153"/>
      <c r="Z412" s="1153"/>
      <c r="AA412" s="1153"/>
      <c r="AB412" s="1153"/>
      <c r="AC412" s="1153"/>
      <c r="AD412" s="1153"/>
      <c r="AE412" s="1153"/>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row>
    <row r="413" spans="1:78" ht="13.5" hidden="1" customHeight="1">
      <c r="A413" s="1149"/>
      <c r="B413" s="1150"/>
      <c r="G413" s="1153"/>
      <c r="H413" s="1153"/>
      <c r="I413" s="1153"/>
      <c r="J413" s="1153"/>
      <c r="K413" s="1153"/>
      <c r="L413" s="1153"/>
      <c r="M413" s="1153"/>
      <c r="N413" s="1153"/>
      <c r="O413" s="1153"/>
      <c r="P413" s="1153"/>
      <c r="Q413" s="1153"/>
      <c r="R413" s="1153"/>
      <c r="S413" s="1153"/>
      <c r="T413" s="1153"/>
      <c r="U413" s="1153"/>
      <c r="V413" s="1153"/>
      <c r="W413" s="1153"/>
      <c r="X413" s="1153"/>
      <c r="Y413" s="1153"/>
      <c r="Z413" s="1153"/>
      <c r="AA413" s="1153"/>
      <c r="AB413" s="1153"/>
      <c r="AC413" s="1153"/>
      <c r="AD413" s="1153"/>
      <c r="AE413" s="1153"/>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row>
    <row r="414" spans="1:78" ht="13.5" hidden="1" customHeight="1">
      <c r="A414" s="1149"/>
      <c r="B414" s="1150"/>
      <c r="G414" s="1153"/>
      <c r="H414" s="1153"/>
      <c r="I414" s="1153"/>
      <c r="J414" s="1153"/>
      <c r="K414" s="1153"/>
      <c r="L414" s="1153"/>
      <c r="M414" s="1153"/>
      <c r="N414" s="1153"/>
      <c r="O414" s="1153"/>
      <c r="P414" s="1153"/>
      <c r="Q414" s="1153"/>
      <c r="R414" s="1153"/>
      <c r="S414" s="1153"/>
      <c r="T414" s="1153"/>
      <c r="U414" s="1153"/>
      <c r="V414" s="1153"/>
      <c r="W414" s="1153"/>
      <c r="X414" s="1153"/>
      <c r="Y414" s="1153"/>
      <c r="Z414" s="1153"/>
      <c r="AA414" s="1153"/>
      <c r="AB414" s="1153"/>
      <c r="AC414" s="1153"/>
      <c r="AD414" s="1153"/>
      <c r="AE414" s="1153"/>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row>
    <row r="415" spans="1:78" ht="13.5" hidden="1" customHeight="1">
      <c r="A415" s="1149"/>
      <c r="B415" s="1150"/>
      <c r="G415" s="1153"/>
      <c r="H415" s="1153"/>
      <c r="I415" s="1153"/>
      <c r="J415" s="1153"/>
      <c r="K415" s="1153"/>
      <c r="L415" s="1153"/>
      <c r="M415" s="1153"/>
      <c r="N415" s="1153"/>
      <c r="O415" s="1153"/>
      <c r="P415" s="1153"/>
      <c r="Q415" s="1153"/>
      <c r="R415" s="1153"/>
      <c r="S415" s="1153"/>
      <c r="T415" s="1153"/>
      <c r="U415" s="1153"/>
      <c r="V415" s="1153"/>
      <c r="W415" s="1153"/>
      <c r="X415" s="1153"/>
      <c r="Y415" s="1153"/>
      <c r="Z415" s="1153"/>
      <c r="AA415" s="1153"/>
      <c r="AB415" s="1153"/>
      <c r="AC415" s="1153"/>
      <c r="AD415" s="1153"/>
      <c r="AE415" s="1153"/>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row>
    <row r="416" spans="1:78" ht="13.5" hidden="1" customHeight="1">
      <c r="A416" s="1149"/>
      <c r="B416" s="1150"/>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row>
    <row r="417" spans="1:78" ht="13.5" hidden="1" customHeight="1">
      <c r="A417" s="1149"/>
      <c r="B417" s="1150"/>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row>
    <row r="418" spans="1:78" ht="13.5" hidden="1" customHeight="1">
      <c r="A418" s="1149"/>
      <c r="B418" s="1150"/>
      <c r="G418" s="1153"/>
      <c r="H418" s="1153"/>
      <c r="I418" s="1153"/>
      <c r="J418" s="1153"/>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row>
    <row r="419" spans="1:78" ht="13.5" hidden="1" customHeight="1">
      <c r="A419" s="1149"/>
      <c r="B419" s="1150"/>
      <c r="G419" s="1153"/>
      <c r="H419" s="1153"/>
      <c r="I419" s="1153"/>
      <c r="J419" s="1153"/>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row>
    <row r="420" spans="1:78" ht="13.5" hidden="1" customHeight="1">
      <c r="A420" s="1149"/>
      <c r="B420" s="1150"/>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row>
    <row r="421" spans="1:78" ht="13.5" hidden="1" customHeight="1">
      <c r="A421" s="1149"/>
      <c r="B421" s="1150"/>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row>
    <row r="422" spans="1:78" ht="13.5" hidden="1" customHeight="1">
      <c r="A422" s="1149"/>
      <c r="B422" s="1150"/>
      <c r="G422" s="1153"/>
      <c r="H422" s="1153"/>
      <c r="I422" s="1153"/>
      <c r="J422" s="1153"/>
      <c r="K422" s="1153"/>
      <c r="L422" s="1153"/>
      <c r="M422" s="1153"/>
      <c r="N422" s="1153"/>
      <c r="O422" s="1153"/>
      <c r="P422" s="1153"/>
      <c r="Q422" s="1153"/>
      <c r="R422" s="1153"/>
      <c r="S422" s="1153"/>
      <c r="T422" s="1153"/>
      <c r="U422" s="1153"/>
      <c r="V422" s="1153"/>
      <c r="W422" s="1153"/>
      <c r="X422" s="1153"/>
      <c r="Y422" s="1153"/>
      <c r="Z422" s="1153"/>
      <c r="AA422" s="1153"/>
      <c r="AB422" s="1153"/>
      <c r="AC422" s="1153"/>
      <c r="AD422" s="1153"/>
      <c r="AE422" s="1153"/>
      <c r="AF422" s="1153"/>
      <c r="AG422" s="1153"/>
      <c r="AH422" s="1153"/>
      <c r="AI422" s="1153"/>
      <c r="AJ422" s="1153"/>
      <c r="AK422" s="1153"/>
      <c r="AL422" s="1153"/>
      <c r="AM422" s="1153"/>
      <c r="AN422" s="1153"/>
      <c r="AO422" s="1153"/>
      <c r="AP422" s="1153"/>
      <c r="AQ422" s="1153"/>
      <c r="AR422" s="1153"/>
      <c r="AS422" s="1153"/>
      <c r="AT422" s="1153"/>
      <c r="AU422" s="1153"/>
      <c r="AV422" s="1153"/>
      <c r="AW422" s="1153"/>
      <c r="AX422" s="1153"/>
      <c r="AY422" s="1153"/>
      <c r="AZ422" s="1153"/>
      <c r="BA422" s="1153"/>
      <c r="BB422" s="1153"/>
      <c r="BC422" s="1153"/>
      <c r="BD422" s="1153"/>
      <c r="BE422" s="1153"/>
      <c r="BF422" s="1153"/>
      <c r="BG422" s="1153"/>
      <c r="BH422" s="1153"/>
      <c r="BI422" s="1153"/>
      <c r="BJ422" s="1153"/>
      <c r="BK422" s="1153"/>
      <c r="BL422" s="1153"/>
      <c r="BM422" s="1153"/>
      <c r="BN422" s="1153"/>
      <c r="BO422" s="1153"/>
      <c r="BP422" s="1153"/>
      <c r="BQ422" s="1153"/>
      <c r="BR422" s="1153"/>
      <c r="BS422" s="1153"/>
      <c r="BT422" s="1153"/>
      <c r="BU422" s="1153"/>
      <c r="BV422" s="1153"/>
      <c r="BW422" s="1153"/>
      <c r="BX422" s="1153"/>
      <c r="BY422" s="1153"/>
      <c r="BZ422" s="1153"/>
    </row>
    <row r="423" spans="1:78" ht="13.5" hidden="1" customHeight="1">
      <c r="A423" s="1149"/>
      <c r="B423" s="1150"/>
      <c r="G423" s="1153"/>
      <c r="H423" s="1153"/>
      <c r="I423" s="1153"/>
      <c r="J423" s="1153"/>
      <c r="K423" s="1153"/>
      <c r="L423" s="1153"/>
      <c r="M423" s="1153"/>
      <c r="N423" s="1153"/>
      <c r="O423" s="1153"/>
      <c r="P423" s="1153"/>
      <c r="Q423" s="1153"/>
      <c r="R423" s="1153"/>
      <c r="S423" s="1153"/>
      <c r="T423" s="1153"/>
      <c r="U423" s="1153"/>
      <c r="V423" s="1153"/>
      <c r="W423" s="1153"/>
      <c r="X423" s="1153"/>
      <c r="Y423" s="1153"/>
      <c r="Z423" s="1153"/>
      <c r="AA423" s="1153"/>
      <c r="AB423" s="1153"/>
      <c r="AC423" s="1153"/>
      <c r="AD423" s="1153"/>
      <c r="AE423" s="1153"/>
      <c r="AF423" s="1153"/>
      <c r="AG423" s="1153"/>
      <c r="AH423" s="1153"/>
      <c r="AI423" s="1153"/>
      <c r="AJ423" s="1153"/>
      <c r="AK423" s="1153"/>
      <c r="AL423" s="1153"/>
      <c r="AM423" s="1153"/>
      <c r="AN423" s="1153"/>
      <c r="AO423" s="1153"/>
      <c r="AP423" s="1153"/>
      <c r="AQ423" s="1153"/>
      <c r="AR423" s="1153"/>
      <c r="AS423" s="1153"/>
      <c r="AT423" s="1153"/>
      <c r="AU423" s="1153"/>
      <c r="AV423" s="1153"/>
      <c r="AW423" s="1153"/>
      <c r="AX423" s="1153"/>
      <c r="AY423" s="1153"/>
      <c r="AZ423" s="1153"/>
      <c r="BA423" s="1153"/>
      <c r="BB423" s="1153"/>
      <c r="BC423" s="1153"/>
      <c r="BD423" s="1153"/>
      <c r="BE423" s="1153"/>
      <c r="BF423" s="1153"/>
      <c r="BG423" s="1153"/>
      <c r="BH423" s="1153"/>
      <c r="BI423" s="1153"/>
      <c r="BJ423" s="1153"/>
      <c r="BK423" s="1153"/>
      <c r="BL423" s="1153"/>
      <c r="BM423" s="1153"/>
      <c r="BN423" s="1153"/>
      <c r="BO423" s="1153"/>
      <c r="BP423" s="1153"/>
      <c r="BQ423" s="1153"/>
      <c r="BR423" s="1153"/>
      <c r="BS423" s="1153"/>
      <c r="BT423" s="1153"/>
      <c r="BU423" s="1153"/>
      <c r="BV423" s="1153"/>
      <c r="BW423" s="1153"/>
      <c r="BX423" s="1153"/>
      <c r="BY423" s="1153"/>
      <c r="BZ423" s="1153"/>
    </row>
    <row r="424" spans="1:78" ht="13.5" hidden="1" customHeight="1">
      <c r="A424" s="1149"/>
      <c r="B424" s="1150"/>
      <c r="G424" s="1153"/>
      <c r="H424" s="1153"/>
      <c r="I424" s="1153"/>
      <c r="J424" s="1153"/>
      <c r="K424" s="1153"/>
      <c r="L424" s="1153"/>
      <c r="M424" s="1153"/>
      <c r="N424" s="1153"/>
      <c r="O424" s="1153"/>
      <c r="P424" s="1153"/>
      <c r="Q424" s="1153"/>
      <c r="R424" s="1153"/>
      <c r="S424" s="1153"/>
      <c r="T424" s="1153"/>
      <c r="U424" s="1153"/>
      <c r="V424" s="1153"/>
      <c r="W424" s="1153"/>
      <c r="X424" s="1153"/>
      <c r="Y424" s="1153"/>
      <c r="Z424" s="1153"/>
      <c r="AA424" s="1153"/>
      <c r="AB424" s="1153"/>
      <c r="AC424" s="1153"/>
      <c r="AD424" s="1153"/>
      <c r="AE424" s="1153"/>
      <c r="AF424" s="1153"/>
      <c r="AG424" s="1153"/>
      <c r="AH424" s="1153"/>
      <c r="AI424" s="1153"/>
      <c r="AJ424" s="1153"/>
      <c r="AK424" s="1153"/>
      <c r="AL424" s="1153"/>
      <c r="AM424" s="1153"/>
      <c r="AN424" s="1153"/>
      <c r="AO424" s="1153"/>
      <c r="AP424" s="1153"/>
      <c r="AQ424" s="1153"/>
      <c r="AR424" s="1153"/>
      <c r="AS424" s="1153"/>
      <c r="AT424" s="1153"/>
      <c r="AU424" s="1153"/>
      <c r="AV424" s="1153"/>
      <c r="AW424" s="1153"/>
      <c r="AX424" s="1153"/>
      <c r="AY424" s="1153"/>
      <c r="AZ424" s="1153"/>
      <c r="BA424" s="1153"/>
      <c r="BB424" s="1153"/>
      <c r="BC424" s="1153"/>
      <c r="BD424" s="1153"/>
      <c r="BE424" s="1153"/>
      <c r="BF424" s="1153"/>
      <c r="BG424" s="1153"/>
      <c r="BH424" s="1153"/>
      <c r="BI424" s="1153"/>
      <c r="BJ424" s="1153"/>
      <c r="BK424" s="1153"/>
      <c r="BL424" s="1153"/>
      <c r="BM424" s="1153"/>
      <c r="BN424" s="1153"/>
      <c r="BO424" s="1153"/>
      <c r="BP424" s="1153"/>
      <c r="BQ424" s="1153"/>
      <c r="BR424" s="1153"/>
      <c r="BS424" s="1153"/>
      <c r="BT424" s="1153"/>
      <c r="BU424" s="1153"/>
      <c r="BV424" s="1153"/>
      <c r="BW424" s="1153"/>
      <c r="BX424" s="1153"/>
      <c r="BY424" s="1153"/>
      <c r="BZ424" s="1153"/>
    </row>
    <row r="425" spans="1:78" ht="13.5" hidden="1" customHeight="1">
      <c r="A425" s="1149"/>
      <c r="B425" s="1150"/>
      <c r="G425" s="1153"/>
      <c r="H425" s="1153"/>
      <c r="I425" s="1153"/>
      <c r="J425" s="1153"/>
      <c r="K425" s="1153"/>
      <c r="L425" s="1153"/>
      <c r="M425" s="1153"/>
      <c r="N425" s="1153"/>
      <c r="O425" s="1153"/>
      <c r="P425" s="1153"/>
      <c r="Q425" s="1153"/>
      <c r="R425" s="1153"/>
      <c r="S425" s="1153"/>
      <c r="T425" s="1153"/>
      <c r="U425" s="1153"/>
      <c r="V425" s="1153"/>
      <c r="W425" s="1153"/>
      <c r="X425" s="1153"/>
      <c r="Y425" s="1153"/>
      <c r="Z425" s="1153"/>
      <c r="AA425" s="1153"/>
      <c r="AB425" s="1153"/>
      <c r="AC425" s="1153"/>
      <c r="AD425" s="1153"/>
      <c r="AE425" s="1153"/>
      <c r="AF425" s="1153"/>
      <c r="AG425" s="1153"/>
      <c r="AH425" s="1153"/>
      <c r="AI425" s="1153"/>
      <c r="AJ425" s="1153"/>
      <c r="AK425" s="1153"/>
      <c r="AL425" s="1153"/>
      <c r="AM425" s="1153"/>
      <c r="AN425" s="1153"/>
      <c r="AO425" s="1153"/>
      <c r="AP425" s="1153"/>
      <c r="AQ425" s="1153"/>
      <c r="AR425" s="1153"/>
      <c r="AS425" s="1153"/>
      <c r="AT425" s="1153"/>
      <c r="AU425" s="1153"/>
      <c r="AV425" s="1153"/>
      <c r="AW425" s="1153"/>
      <c r="AX425" s="1153"/>
      <c r="AY425" s="1153"/>
      <c r="AZ425" s="1153"/>
      <c r="BA425" s="1153"/>
      <c r="BB425" s="1153"/>
      <c r="BC425" s="1153"/>
      <c r="BD425" s="1153"/>
      <c r="BE425" s="1153"/>
      <c r="BF425" s="1153"/>
      <c r="BG425" s="1153"/>
      <c r="BH425" s="1153"/>
      <c r="BI425" s="1153"/>
      <c r="BJ425" s="1153"/>
      <c r="BK425" s="1153"/>
      <c r="BL425" s="1153"/>
      <c r="BM425" s="1153"/>
      <c r="BN425" s="1153"/>
      <c r="BO425" s="1153"/>
      <c r="BP425" s="1153"/>
      <c r="BQ425" s="1153"/>
      <c r="BR425" s="1153"/>
      <c r="BS425" s="1153"/>
      <c r="BT425" s="1153"/>
      <c r="BU425" s="1153"/>
      <c r="BV425" s="1153"/>
      <c r="BW425" s="1153"/>
      <c r="BX425" s="1153"/>
      <c r="BY425" s="1153"/>
      <c r="BZ425" s="1153"/>
    </row>
    <row r="426" spans="1:78" ht="13.5" hidden="1" customHeight="1">
      <c r="A426" s="1149"/>
      <c r="B426" s="1150"/>
      <c r="G426" s="1153"/>
      <c r="H426" s="1153"/>
      <c r="I426" s="1153"/>
      <c r="J426" s="1153"/>
      <c r="K426" s="1153"/>
      <c r="L426" s="1153"/>
      <c r="M426" s="1153"/>
      <c r="N426" s="1153"/>
      <c r="O426" s="1153"/>
      <c r="P426" s="1153"/>
      <c r="Q426" s="1153"/>
      <c r="R426" s="1153"/>
      <c r="S426" s="1153"/>
      <c r="T426" s="1153"/>
      <c r="U426" s="1153"/>
      <c r="V426" s="1153"/>
      <c r="W426" s="1153"/>
      <c r="X426" s="1153"/>
      <c r="Y426" s="1153"/>
      <c r="Z426" s="1153"/>
      <c r="AA426" s="1153"/>
      <c r="AB426" s="1153"/>
      <c r="AC426" s="1153"/>
      <c r="AD426" s="1153"/>
      <c r="AE426" s="1153"/>
      <c r="AF426" s="1153"/>
      <c r="AG426" s="1153"/>
      <c r="AH426" s="1153"/>
      <c r="AI426" s="1153"/>
      <c r="AJ426" s="1153"/>
      <c r="AK426" s="1153"/>
      <c r="AL426" s="1153"/>
      <c r="AM426" s="1153"/>
      <c r="AN426" s="1153"/>
      <c r="AO426" s="1153"/>
      <c r="AP426" s="1153"/>
      <c r="AQ426" s="1153"/>
      <c r="AR426" s="1153"/>
      <c r="AS426" s="1153"/>
      <c r="AT426" s="1153"/>
      <c r="AU426" s="1153"/>
      <c r="AV426" s="1153"/>
      <c r="AW426" s="1153"/>
      <c r="AX426" s="1153"/>
      <c r="AY426" s="1153"/>
      <c r="AZ426" s="1153"/>
      <c r="BA426" s="1153"/>
      <c r="BB426" s="1153"/>
      <c r="BC426" s="1153"/>
      <c r="BD426" s="1153"/>
      <c r="BE426" s="1153"/>
      <c r="BF426" s="1153"/>
      <c r="BG426" s="1153"/>
      <c r="BH426" s="1153"/>
      <c r="BI426" s="1153"/>
      <c r="BJ426" s="1153"/>
      <c r="BK426" s="1153"/>
      <c r="BL426" s="1153"/>
      <c r="BM426" s="1153"/>
      <c r="BN426" s="1153"/>
      <c r="BO426" s="1153"/>
      <c r="BP426" s="1153"/>
      <c r="BQ426" s="1153"/>
      <c r="BR426" s="1153"/>
      <c r="BS426" s="1153"/>
      <c r="BT426" s="1153"/>
      <c r="BU426" s="1153"/>
      <c r="BV426" s="1153"/>
      <c r="BW426" s="1153"/>
      <c r="BX426" s="1153"/>
      <c r="BY426" s="1153"/>
      <c r="BZ426" s="1153"/>
    </row>
    <row r="427" spans="1:78" ht="13.5" hidden="1" customHeight="1">
      <c r="A427" s="1149"/>
      <c r="B427" s="1150"/>
      <c r="G427" s="1153"/>
      <c r="H427" s="1153"/>
      <c r="I427" s="1153"/>
      <c r="J427" s="1153"/>
      <c r="K427" s="1153"/>
      <c r="L427" s="1153"/>
      <c r="M427" s="1153"/>
      <c r="N427" s="1153"/>
      <c r="O427" s="1153"/>
      <c r="P427" s="1153"/>
      <c r="Q427" s="1153"/>
      <c r="R427" s="1153"/>
      <c r="S427" s="1153"/>
      <c r="T427" s="1153"/>
      <c r="U427" s="1153"/>
      <c r="V427" s="1153"/>
      <c r="W427" s="1153"/>
      <c r="X427" s="1153"/>
      <c r="Y427" s="1153"/>
      <c r="Z427" s="1153"/>
      <c r="AA427" s="1153"/>
      <c r="AB427" s="1153"/>
      <c r="AC427" s="1153"/>
      <c r="AD427" s="1153"/>
      <c r="AE427" s="1153"/>
      <c r="AF427" s="1153"/>
      <c r="AG427" s="1153"/>
      <c r="AH427" s="1153"/>
      <c r="AI427" s="1153"/>
      <c r="AJ427" s="1153"/>
      <c r="AK427" s="1153"/>
      <c r="AL427" s="1153"/>
      <c r="AM427" s="1153"/>
      <c r="AN427" s="1153"/>
      <c r="AO427" s="1153"/>
      <c r="AP427" s="1153"/>
      <c r="AQ427" s="1153"/>
      <c r="AR427" s="1153"/>
      <c r="AS427" s="1153"/>
      <c r="AT427" s="1153"/>
      <c r="AU427" s="1153"/>
      <c r="AV427" s="1153"/>
      <c r="AW427" s="1153"/>
      <c r="AX427" s="1153"/>
      <c r="AY427" s="1153"/>
      <c r="AZ427" s="1153"/>
      <c r="BA427" s="1153"/>
      <c r="BB427" s="1153"/>
      <c r="BC427" s="1153"/>
      <c r="BD427" s="1153"/>
      <c r="BE427" s="1153"/>
      <c r="BF427" s="1153"/>
      <c r="BG427" s="1153"/>
      <c r="BH427" s="1153"/>
      <c r="BI427" s="1153"/>
      <c r="BJ427" s="1153"/>
      <c r="BK427" s="1153"/>
      <c r="BL427" s="1153"/>
      <c r="BM427" s="1153"/>
      <c r="BN427" s="1153"/>
      <c r="BO427" s="1153"/>
      <c r="BP427" s="1153"/>
      <c r="BQ427" s="1153"/>
      <c r="BR427" s="1153"/>
      <c r="BS427" s="1153"/>
      <c r="BT427" s="1153"/>
      <c r="BU427" s="1153"/>
      <c r="BV427" s="1153"/>
      <c r="BW427" s="1153"/>
      <c r="BX427" s="1153"/>
      <c r="BY427" s="1153"/>
      <c r="BZ427" s="1153"/>
    </row>
    <row r="428" spans="1:78" ht="13.5" hidden="1" customHeight="1">
      <c r="A428" s="1149"/>
      <c r="B428" s="1150"/>
      <c r="G428" s="1153"/>
      <c r="H428" s="1153"/>
      <c r="I428" s="1153"/>
      <c r="J428" s="1153"/>
      <c r="K428" s="1153"/>
      <c r="L428" s="1153"/>
      <c r="M428" s="1153"/>
      <c r="N428" s="1153"/>
      <c r="O428" s="1153"/>
      <c r="P428" s="1153"/>
      <c r="Q428" s="1153"/>
      <c r="R428" s="1153"/>
      <c r="S428" s="1153"/>
      <c r="T428" s="1153"/>
      <c r="U428" s="1153"/>
      <c r="V428" s="1153"/>
      <c r="W428" s="1153"/>
      <c r="X428" s="1153"/>
      <c r="Y428" s="1153"/>
      <c r="Z428" s="1153"/>
      <c r="AA428" s="1153"/>
      <c r="AB428" s="1153"/>
      <c r="AC428" s="1153"/>
      <c r="AD428" s="1153"/>
      <c r="AE428" s="1153"/>
      <c r="AF428" s="1153"/>
      <c r="AG428" s="1153"/>
      <c r="AH428" s="1153"/>
      <c r="AI428" s="1153"/>
      <c r="AJ428" s="1153"/>
      <c r="AK428" s="1153"/>
      <c r="AL428" s="1153"/>
      <c r="AM428" s="1153"/>
      <c r="AN428" s="1153"/>
      <c r="AO428" s="1153"/>
      <c r="AP428" s="1153"/>
      <c r="AQ428" s="1153"/>
      <c r="AR428" s="1153"/>
      <c r="AS428" s="1153"/>
      <c r="AT428" s="1153"/>
      <c r="AU428" s="1153"/>
      <c r="AV428" s="1153"/>
      <c r="AW428" s="1153"/>
      <c r="AX428" s="1153"/>
      <c r="AY428" s="1153"/>
      <c r="AZ428" s="1153"/>
      <c r="BA428" s="1153"/>
      <c r="BB428" s="1153"/>
      <c r="BC428" s="1153"/>
      <c r="BD428" s="1153"/>
      <c r="BE428" s="1153"/>
      <c r="BF428" s="1153"/>
      <c r="BG428" s="1153"/>
      <c r="BH428" s="1153"/>
      <c r="BI428" s="1153"/>
      <c r="BJ428" s="1153"/>
      <c r="BK428" s="1153"/>
      <c r="BL428" s="1153"/>
      <c r="BM428" s="1153"/>
      <c r="BN428" s="1153"/>
      <c r="BO428" s="1153"/>
      <c r="BP428" s="1153"/>
      <c r="BQ428" s="1153"/>
      <c r="BR428" s="1153"/>
      <c r="BS428" s="1153"/>
      <c r="BT428" s="1153"/>
      <c r="BU428" s="1153"/>
      <c r="BV428" s="1153"/>
      <c r="BW428" s="1153"/>
      <c r="BX428" s="1153"/>
      <c r="BY428" s="1153"/>
      <c r="BZ428" s="1153"/>
    </row>
    <row r="429" spans="1:78" ht="13.5" hidden="1" customHeight="1">
      <c r="A429" s="1149"/>
      <c r="B429" s="1150"/>
      <c r="G429" s="1153"/>
      <c r="H429" s="1153"/>
      <c r="I429" s="1153"/>
      <c r="J429" s="1153"/>
      <c r="K429" s="1153"/>
      <c r="L429" s="1153"/>
      <c r="M429" s="1153"/>
      <c r="N429" s="1153"/>
      <c r="O429" s="1153"/>
      <c r="P429" s="1153"/>
      <c r="Q429" s="1153"/>
      <c r="R429" s="1153"/>
      <c r="S429" s="1153"/>
      <c r="T429" s="1153"/>
      <c r="U429" s="1153"/>
      <c r="V429" s="1153"/>
      <c r="W429" s="1153"/>
      <c r="X429" s="1153"/>
      <c r="Y429" s="1153"/>
      <c r="Z429" s="1153"/>
      <c r="AA429" s="1153"/>
      <c r="AB429" s="1153"/>
      <c r="AC429" s="1153"/>
      <c r="AD429" s="1153"/>
      <c r="AE429" s="1153"/>
      <c r="AF429" s="1153"/>
      <c r="AG429" s="1153"/>
      <c r="AH429" s="1153"/>
      <c r="AI429" s="1153"/>
      <c r="AJ429" s="1153"/>
      <c r="AK429" s="1153"/>
      <c r="AL429" s="1153"/>
      <c r="AM429" s="1153"/>
      <c r="AN429" s="1153"/>
      <c r="AO429" s="1153"/>
      <c r="AP429" s="1153"/>
      <c r="AQ429" s="1153"/>
      <c r="AR429" s="1153"/>
      <c r="AS429" s="1153"/>
      <c r="AT429" s="1153"/>
      <c r="AU429" s="1153"/>
      <c r="AV429" s="1153"/>
      <c r="AW429" s="1153"/>
      <c r="AX429" s="1153"/>
      <c r="AY429" s="1153"/>
      <c r="AZ429" s="1153"/>
      <c r="BA429" s="1153"/>
      <c r="BB429" s="1153"/>
      <c r="BC429" s="1153"/>
      <c r="BD429" s="1153"/>
      <c r="BE429" s="1153"/>
      <c r="BF429" s="1153"/>
      <c r="BG429" s="1153"/>
      <c r="BH429" s="1153"/>
      <c r="BI429" s="1153"/>
      <c r="BJ429" s="1153"/>
      <c r="BK429" s="1153"/>
      <c r="BL429" s="1153"/>
      <c r="BM429" s="1153"/>
      <c r="BN429" s="1153"/>
      <c r="BO429" s="1153"/>
      <c r="BP429" s="1153"/>
      <c r="BQ429" s="1153"/>
      <c r="BR429" s="1153"/>
      <c r="BS429" s="1153"/>
      <c r="BT429" s="1153"/>
      <c r="BU429" s="1153"/>
      <c r="BV429" s="1153"/>
      <c r="BW429" s="1153"/>
      <c r="BX429" s="1153"/>
      <c r="BY429" s="1153"/>
      <c r="BZ429" s="1153"/>
    </row>
    <row r="430" spans="1:78" ht="13.5" hidden="1" customHeight="1">
      <c r="A430" s="1149"/>
      <c r="B430" s="1150"/>
      <c r="G430" s="1153"/>
      <c r="H430" s="1153"/>
      <c r="I430" s="1153"/>
      <c r="J430" s="1153"/>
      <c r="K430" s="1153"/>
      <c r="L430" s="1153"/>
      <c r="M430" s="1153"/>
      <c r="N430" s="1153"/>
      <c r="O430" s="1153"/>
      <c r="P430" s="1153"/>
      <c r="Q430" s="1153"/>
      <c r="R430" s="1153"/>
      <c r="S430" s="1153"/>
      <c r="T430" s="1153"/>
      <c r="U430" s="1153"/>
      <c r="V430" s="1153"/>
      <c r="W430" s="1153"/>
      <c r="X430" s="1153"/>
      <c r="Y430" s="1153"/>
      <c r="Z430" s="1153"/>
      <c r="AA430" s="1153"/>
      <c r="AB430" s="1153"/>
      <c r="AC430" s="1153"/>
      <c r="AD430" s="1153"/>
      <c r="AE430" s="1153"/>
      <c r="AF430" s="1153"/>
      <c r="AG430" s="1153"/>
      <c r="AH430" s="1153"/>
      <c r="AI430" s="1153"/>
      <c r="AJ430" s="1153"/>
      <c r="AK430" s="1153"/>
      <c r="AL430" s="1153"/>
      <c r="AM430" s="1153"/>
      <c r="AN430" s="1153"/>
      <c r="AO430" s="1153"/>
      <c r="AP430" s="1153"/>
      <c r="AQ430" s="1153"/>
      <c r="AR430" s="1153"/>
      <c r="AS430" s="1153"/>
      <c r="AT430" s="1153"/>
      <c r="AU430" s="1153"/>
      <c r="AV430" s="1153"/>
      <c r="AW430" s="1153"/>
      <c r="AX430" s="1153"/>
      <c r="AY430" s="1153"/>
      <c r="AZ430" s="1153"/>
      <c r="BA430" s="1153"/>
      <c r="BB430" s="1153"/>
      <c r="BC430" s="1153"/>
      <c r="BD430" s="1153"/>
      <c r="BE430" s="1153"/>
      <c r="BF430" s="1153"/>
      <c r="BG430" s="1153"/>
      <c r="BH430" s="1153"/>
      <c r="BI430" s="1153"/>
      <c r="BJ430" s="1153"/>
      <c r="BK430" s="1153"/>
      <c r="BL430" s="1153"/>
      <c r="BM430" s="1153"/>
      <c r="BN430" s="1153"/>
      <c r="BO430" s="1153"/>
      <c r="BP430" s="1153"/>
      <c r="BQ430" s="1153"/>
      <c r="BR430" s="1153"/>
      <c r="BS430" s="1153"/>
      <c r="BT430" s="1153"/>
      <c r="BU430" s="1153"/>
      <c r="BV430" s="1153"/>
      <c r="BW430" s="1153"/>
      <c r="BX430" s="1153"/>
      <c r="BY430" s="1153"/>
      <c r="BZ430" s="1153"/>
    </row>
    <row r="431" spans="1:78" ht="13.5" hidden="1" customHeight="1">
      <c r="A431" s="1149"/>
      <c r="B431" s="1150"/>
      <c r="G431" s="1153"/>
      <c r="H431" s="1153"/>
      <c r="I431" s="1153"/>
      <c r="J431" s="1153"/>
      <c r="K431" s="1153"/>
      <c r="L431" s="1153"/>
      <c r="M431" s="1153"/>
      <c r="N431" s="1153"/>
      <c r="O431" s="1153"/>
      <c r="P431" s="1153"/>
      <c r="Q431" s="1153"/>
      <c r="R431" s="1153"/>
      <c r="S431" s="1153"/>
      <c r="T431" s="1153"/>
      <c r="U431" s="1153"/>
      <c r="V431" s="1153"/>
      <c r="W431" s="1153"/>
      <c r="X431" s="1153"/>
      <c r="Y431" s="1153"/>
      <c r="Z431" s="1153"/>
      <c r="AA431" s="1153"/>
      <c r="AB431" s="1153"/>
      <c r="AC431" s="1153"/>
      <c r="AD431" s="1153"/>
      <c r="AE431" s="1153"/>
      <c r="AF431" s="1153"/>
      <c r="AG431" s="1153"/>
      <c r="AH431" s="1153"/>
      <c r="AI431" s="1153"/>
      <c r="AJ431" s="1153"/>
      <c r="AK431" s="1153"/>
      <c r="AL431" s="1153"/>
      <c r="AM431" s="1153"/>
      <c r="AN431" s="1153"/>
      <c r="AO431" s="1153"/>
      <c r="AP431" s="1153"/>
      <c r="AQ431" s="1153"/>
      <c r="AR431" s="1153"/>
      <c r="AS431" s="1153"/>
      <c r="AT431" s="1153"/>
      <c r="AU431" s="1153"/>
      <c r="AV431" s="1153"/>
      <c r="AW431" s="1153"/>
      <c r="AX431" s="1153"/>
      <c r="AY431" s="1153"/>
      <c r="AZ431" s="1153"/>
      <c r="BA431" s="1153"/>
      <c r="BB431" s="1153"/>
      <c r="BC431" s="1153"/>
      <c r="BD431" s="1153"/>
      <c r="BE431" s="1153"/>
      <c r="BF431" s="1153"/>
      <c r="BG431" s="1153"/>
      <c r="BH431" s="1153"/>
      <c r="BI431" s="1153"/>
      <c r="BJ431" s="1153"/>
      <c r="BK431" s="1153"/>
      <c r="BL431" s="1153"/>
      <c r="BM431" s="1153"/>
      <c r="BN431" s="1153"/>
      <c r="BO431" s="1153"/>
      <c r="BP431" s="1153"/>
      <c r="BQ431" s="1153"/>
      <c r="BR431" s="1153"/>
      <c r="BS431" s="1153"/>
      <c r="BT431" s="1153"/>
      <c r="BU431" s="1153"/>
      <c r="BV431" s="1153"/>
      <c r="BW431" s="1153"/>
      <c r="BX431" s="1153"/>
      <c r="BY431" s="1153"/>
      <c r="BZ431" s="1153"/>
    </row>
    <row r="432" spans="1:78" ht="13.5" hidden="1" customHeight="1">
      <c r="A432" s="1149"/>
      <c r="B432" s="1150"/>
      <c r="G432" s="1153"/>
      <c r="H432" s="1153"/>
      <c r="I432" s="1153"/>
      <c r="J432" s="1153"/>
      <c r="K432" s="1153"/>
      <c r="L432" s="1153"/>
      <c r="M432" s="1153"/>
      <c r="N432" s="1153"/>
      <c r="O432" s="1153"/>
      <c r="P432" s="1153"/>
      <c r="Q432" s="1153"/>
      <c r="R432" s="1153"/>
      <c r="S432" s="1153"/>
      <c r="T432" s="1153"/>
      <c r="U432" s="1153"/>
      <c r="V432" s="1153"/>
      <c r="W432" s="1153"/>
      <c r="X432" s="1153"/>
      <c r="Y432" s="1153"/>
      <c r="Z432" s="1153"/>
      <c r="AA432" s="1153"/>
      <c r="AB432" s="1153"/>
      <c r="AC432" s="1153"/>
      <c r="AD432" s="1153"/>
      <c r="AE432" s="1153"/>
      <c r="AF432" s="1153"/>
      <c r="AG432" s="1153"/>
      <c r="AH432" s="1153"/>
      <c r="AI432" s="1153"/>
      <c r="AJ432" s="1153"/>
      <c r="AK432" s="1153"/>
      <c r="AL432" s="1153"/>
      <c r="AM432" s="1153"/>
      <c r="AN432" s="1153"/>
      <c r="AO432" s="1153"/>
      <c r="AP432" s="1153"/>
      <c r="AQ432" s="1153"/>
      <c r="AR432" s="1153"/>
      <c r="AS432" s="1153"/>
      <c r="AT432" s="1153"/>
      <c r="AU432" s="1153"/>
      <c r="AV432" s="1153"/>
      <c r="AW432" s="1153"/>
      <c r="AX432" s="1153"/>
      <c r="AY432" s="1153"/>
      <c r="AZ432" s="1153"/>
      <c r="BA432" s="1153"/>
      <c r="BB432" s="1153"/>
      <c r="BC432" s="1153"/>
      <c r="BD432" s="1153"/>
      <c r="BE432" s="1153"/>
      <c r="BF432" s="1153"/>
      <c r="BG432" s="1153"/>
      <c r="BH432" s="1153"/>
      <c r="BI432" s="1153"/>
      <c r="BJ432" s="1153"/>
      <c r="BK432" s="1153"/>
      <c r="BL432" s="1153"/>
      <c r="BM432" s="1153"/>
      <c r="BN432" s="1153"/>
      <c r="BO432" s="1153"/>
      <c r="BP432" s="1153"/>
      <c r="BQ432" s="1153"/>
      <c r="BR432" s="1153"/>
      <c r="BS432" s="1153"/>
      <c r="BT432" s="1153"/>
      <c r="BU432" s="1153"/>
      <c r="BV432" s="1153"/>
      <c r="BW432" s="1153"/>
      <c r="BX432" s="1153"/>
      <c r="BY432" s="1153"/>
      <c r="BZ432" s="1153"/>
    </row>
    <row r="433" spans="1:78" ht="13.5" hidden="1" customHeight="1">
      <c r="A433" s="1149"/>
      <c r="B433" s="1150"/>
      <c r="G433" s="1153"/>
      <c r="H433" s="1153"/>
      <c r="I433" s="1153"/>
      <c r="J433" s="1153"/>
      <c r="K433" s="1153"/>
      <c r="L433" s="1153"/>
      <c r="M433" s="1153"/>
      <c r="N433" s="1153"/>
      <c r="O433" s="1153"/>
      <c r="P433" s="1153"/>
      <c r="Q433" s="1153"/>
      <c r="R433" s="1153"/>
      <c r="S433" s="1153"/>
      <c r="T433" s="1153"/>
      <c r="U433" s="1153"/>
      <c r="V433" s="1153"/>
      <c r="W433" s="1153"/>
      <c r="X433" s="1153"/>
      <c r="Y433" s="1153"/>
      <c r="Z433" s="1153"/>
      <c r="AA433" s="1153"/>
      <c r="AB433" s="1153"/>
      <c r="AC433" s="1153"/>
      <c r="AD433" s="1153"/>
      <c r="AE433" s="1153"/>
      <c r="AF433" s="1153"/>
      <c r="AG433" s="1153"/>
      <c r="AH433" s="1153"/>
      <c r="AI433" s="1153"/>
      <c r="AJ433" s="1153"/>
      <c r="AK433" s="1153"/>
      <c r="AL433" s="1153"/>
      <c r="AM433" s="1153"/>
      <c r="AN433" s="1153"/>
      <c r="AO433" s="1153"/>
      <c r="AP433" s="1153"/>
      <c r="AQ433" s="1153"/>
      <c r="AR433" s="1153"/>
      <c r="AS433" s="1153"/>
      <c r="AT433" s="1153"/>
      <c r="AU433" s="1153"/>
      <c r="AV433" s="1153"/>
      <c r="AW433" s="1153"/>
      <c r="AX433" s="1153"/>
      <c r="AY433" s="1153"/>
      <c r="AZ433" s="1153"/>
      <c r="BA433" s="1153"/>
      <c r="BB433" s="1153"/>
      <c r="BC433" s="1153"/>
      <c r="BD433" s="1153"/>
      <c r="BE433" s="1153"/>
      <c r="BF433" s="1153"/>
      <c r="BG433" s="1153"/>
      <c r="BH433" s="1153"/>
      <c r="BI433" s="1153"/>
      <c r="BJ433" s="1153"/>
      <c r="BK433" s="1153"/>
      <c r="BL433" s="1153"/>
      <c r="BM433" s="1153"/>
      <c r="BN433" s="1153"/>
      <c r="BO433" s="1153"/>
      <c r="BP433" s="1153"/>
      <c r="BQ433" s="1153"/>
      <c r="BR433" s="1153"/>
      <c r="BS433" s="1153"/>
      <c r="BT433" s="1153"/>
      <c r="BU433" s="1153"/>
      <c r="BV433" s="1153"/>
      <c r="BW433" s="1153"/>
      <c r="BX433" s="1153"/>
      <c r="BY433" s="1153"/>
      <c r="BZ433" s="1153"/>
    </row>
    <row r="434" spans="1:78" ht="13.5" hidden="1" customHeight="1">
      <c r="A434" s="1149"/>
      <c r="B434" s="1150"/>
      <c r="G434" s="1153"/>
      <c r="H434" s="1153"/>
      <c r="I434" s="1153"/>
      <c r="J434" s="1153"/>
      <c r="K434" s="1153"/>
      <c r="L434" s="1153"/>
      <c r="M434" s="1153"/>
      <c r="N434" s="1153"/>
      <c r="O434" s="1153"/>
      <c r="P434" s="1153"/>
      <c r="Q434" s="1153"/>
      <c r="R434" s="1153"/>
      <c r="S434" s="1153"/>
      <c r="T434" s="1153"/>
      <c r="U434" s="1153"/>
      <c r="V434" s="1153"/>
      <c r="W434" s="1153"/>
      <c r="X434" s="1153"/>
      <c r="Y434" s="1153"/>
      <c r="Z434" s="1153"/>
      <c r="AA434" s="1153"/>
      <c r="AB434" s="1153"/>
      <c r="AC434" s="1153"/>
      <c r="AD434" s="1153"/>
      <c r="AE434" s="1153"/>
      <c r="AF434" s="1153"/>
      <c r="AG434" s="1153"/>
      <c r="AH434" s="1153"/>
      <c r="AI434" s="1153"/>
      <c r="AJ434" s="1153"/>
      <c r="AK434" s="1153"/>
      <c r="AL434" s="1153"/>
      <c r="AM434" s="1153"/>
      <c r="AN434" s="1153"/>
      <c r="AO434" s="1153"/>
      <c r="AP434" s="1153"/>
      <c r="AQ434" s="1153"/>
      <c r="AR434" s="1153"/>
      <c r="AS434" s="1153"/>
      <c r="AT434" s="1153"/>
      <c r="AU434" s="1153"/>
      <c r="AV434" s="1153"/>
      <c r="AW434" s="1153"/>
      <c r="AX434" s="1153"/>
      <c r="AY434" s="1153"/>
      <c r="AZ434" s="1153"/>
      <c r="BA434" s="1153"/>
      <c r="BB434" s="1153"/>
      <c r="BC434" s="1153"/>
      <c r="BD434" s="1153"/>
      <c r="BE434" s="1153"/>
      <c r="BF434" s="1153"/>
      <c r="BG434" s="1153"/>
      <c r="BH434" s="1153"/>
      <c r="BI434" s="1153"/>
      <c r="BJ434" s="1153"/>
      <c r="BK434" s="1153"/>
      <c r="BL434" s="1153"/>
      <c r="BM434" s="1153"/>
      <c r="BN434" s="1153"/>
      <c r="BO434" s="1153"/>
      <c r="BP434" s="1153"/>
      <c r="BQ434" s="1153"/>
      <c r="BR434" s="1153"/>
      <c r="BS434" s="1153"/>
      <c r="BT434" s="1153"/>
      <c r="BU434" s="1153"/>
      <c r="BV434" s="1153"/>
      <c r="BW434" s="1153"/>
      <c r="BX434" s="1153"/>
      <c r="BY434" s="1153"/>
      <c r="BZ434" s="1153"/>
    </row>
    <row r="435" spans="1:78" ht="13.5" hidden="1" customHeight="1">
      <c r="A435" s="1149"/>
      <c r="B435" s="1150"/>
      <c r="G435" s="1153"/>
      <c r="H435" s="1153"/>
      <c r="I435" s="1153"/>
      <c r="J435" s="1153"/>
      <c r="K435" s="1153"/>
      <c r="L435" s="1153"/>
      <c r="M435" s="1153"/>
      <c r="N435" s="1153"/>
      <c r="O435" s="1153"/>
      <c r="P435" s="1153"/>
      <c r="Q435" s="1153"/>
      <c r="R435" s="1153"/>
      <c r="S435" s="1153"/>
      <c r="T435" s="1153"/>
      <c r="U435" s="1153"/>
      <c r="V435" s="1153"/>
      <c r="W435" s="1153"/>
      <c r="X435" s="1153"/>
      <c r="Y435" s="1153"/>
      <c r="Z435" s="1153"/>
      <c r="AA435" s="1153"/>
      <c r="AB435" s="1153"/>
      <c r="AC435" s="1153"/>
      <c r="AD435" s="1153"/>
      <c r="AE435" s="1153"/>
      <c r="AF435" s="1153"/>
      <c r="AG435" s="1153"/>
      <c r="AH435" s="1153"/>
      <c r="AI435" s="1153"/>
      <c r="AJ435" s="1153"/>
      <c r="AK435" s="1153"/>
      <c r="AL435" s="1153"/>
      <c r="AM435" s="1153"/>
      <c r="AN435" s="1153"/>
      <c r="AO435" s="1153"/>
      <c r="AP435" s="1153"/>
      <c r="AQ435" s="1153"/>
      <c r="AR435" s="1153"/>
      <c r="AS435" s="1153"/>
      <c r="AT435" s="1153"/>
      <c r="AU435" s="1153"/>
      <c r="AV435" s="1153"/>
      <c r="AW435" s="1153"/>
      <c r="AX435" s="1153"/>
      <c r="AY435" s="1153"/>
      <c r="AZ435" s="1153"/>
      <c r="BA435" s="1153"/>
      <c r="BB435" s="1153"/>
      <c r="BC435" s="1153"/>
      <c r="BD435" s="1153"/>
      <c r="BE435" s="1153"/>
      <c r="BF435" s="1153"/>
      <c r="BG435" s="1153"/>
      <c r="BH435" s="1153"/>
      <c r="BI435" s="1153"/>
      <c r="BJ435" s="1153"/>
      <c r="BK435" s="1153"/>
      <c r="BL435" s="1153"/>
      <c r="BM435" s="1153"/>
      <c r="BN435" s="1153"/>
      <c r="BO435" s="1153"/>
      <c r="BP435" s="1153"/>
      <c r="BQ435" s="1153"/>
      <c r="BR435" s="1153"/>
      <c r="BS435" s="1153"/>
      <c r="BT435" s="1153"/>
      <c r="BU435" s="1153"/>
      <c r="BV435" s="1153"/>
      <c r="BW435" s="1153"/>
      <c r="BX435" s="1153"/>
      <c r="BY435" s="1153"/>
      <c r="BZ435" s="1153"/>
    </row>
    <row r="436" spans="1:78" ht="13.5" hidden="1" customHeight="1">
      <c r="A436" s="1149"/>
      <c r="B436" s="1150"/>
      <c r="G436" s="1153"/>
      <c r="H436" s="1153"/>
      <c r="I436" s="1153"/>
      <c r="J436" s="1153"/>
      <c r="K436" s="1153"/>
      <c r="L436" s="1153"/>
      <c r="M436" s="1153"/>
      <c r="N436" s="1153"/>
      <c r="O436" s="1153"/>
      <c r="P436" s="1153"/>
      <c r="Q436" s="1153"/>
      <c r="R436" s="1153"/>
      <c r="S436" s="1153"/>
      <c r="T436" s="1153"/>
      <c r="U436" s="1153"/>
      <c r="V436" s="1153"/>
      <c r="W436" s="1153"/>
      <c r="X436" s="1153"/>
      <c r="Y436" s="1153"/>
      <c r="Z436" s="1153"/>
      <c r="AA436" s="1153"/>
      <c r="AB436" s="1153"/>
      <c r="AC436" s="1153"/>
      <c r="AD436" s="1153"/>
      <c r="AE436" s="1153"/>
      <c r="AF436" s="1153"/>
      <c r="AG436" s="1153"/>
      <c r="AH436" s="1153"/>
      <c r="AI436" s="1153"/>
      <c r="AJ436" s="1153"/>
      <c r="AK436" s="1153"/>
      <c r="AL436" s="1153"/>
      <c r="AM436" s="1153"/>
      <c r="AN436" s="1153"/>
      <c r="AO436" s="1153"/>
      <c r="AP436" s="1153"/>
      <c r="AQ436" s="1153"/>
      <c r="AR436" s="1153"/>
      <c r="AS436" s="1153"/>
      <c r="AT436" s="1153"/>
      <c r="AU436" s="1153"/>
      <c r="AV436" s="1153"/>
      <c r="AW436" s="1153"/>
      <c r="AX436" s="1153"/>
      <c r="AY436" s="1153"/>
      <c r="AZ436" s="1153"/>
      <c r="BA436" s="1153"/>
      <c r="BB436" s="1153"/>
      <c r="BC436" s="1153"/>
      <c r="BD436" s="1153"/>
      <c r="BE436" s="1153"/>
      <c r="BF436" s="1153"/>
      <c r="BG436" s="1153"/>
      <c r="BH436" s="1153"/>
      <c r="BI436" s="1153"/>
      <c r="BJ436" s="1153"/>
      <c r="BK436" s="1153"/>
      <c r="BL436" s="1153"/>
      <c r="BM436" s="1153"/>
      <c r="BN436" s="1153"/>
      <c r="BO436" s="1153"/>
      <c r="BP436" s="1153"/>
      <c r="BQ436" s="1153"/>
      <c r="BR436" s="1153"/>
      <c r="BS436" s="1153"/>
      <c r="BT436" s="1153"/>
      <c r="BU436" s="1153"/>
      <c r="BV436" s="1153"/>
      <c r="BW436" s="1153"/>
      <c r="BX436" s="1153"/>
      <c r="BY436" s="1153"/>
      <c r="BZ436" s="1153"/>
    </row>
    <row r="437" spans="1:78" ht="13.5" hidden="1" customHeight="1">
      <c r="A437" s="1149"/>
      <c r="B437" s="1150"/>
      <c r="G437" s="1153"/>
      <c r="H437" s="1153"/>
      <c r="I437" s="1153"/>
      <c r="J437" s="1153"/>
      <c r="K437" s="1153"/>
      <c r="L437" s="1153"/>
      <c r="M437" s="1153"/>
      <c r="N437" s="1153"/>
      <c r="O437" s="1153"/>
      <c r="P437" s="1153"/>
      <c r="Q437" s="1153"/>
      <c r="R437" s="1153"/>
      <c r="S437" s="1153"/>
      <c r="T437" s="1153"/>
      <c r="U437" s="1153"/>
      <c r="V437" s="1153"/>
      <c r="W437" s="1153"/>
      <c r="X437" s="1153"/>
      <c r="Y437" s="1153"/>
      <c r="Z437" s="1153"/>
      <c r="AA437" s="1153"/>
      <c r="AB437" s="1153"/>
      <c r="AC437" s="1153"/>
      <c r="AD437" s="1153"/>
      <c r="AE437" s="1153"/>
      <c r="AF437" s="1153"/>
      <c r="AG437" s="1153"/>
      <c r="AH437" s="1153"/>
      <c r="AI437" s="1153"/>
      <c r="AJ437" s="1153"/>
      <c r="AK437" s="1153"/>
      <c r="AL437" s="1153"/>
      <c r="AM437" s="1153"/>
      <c r="AN437" s="1153"/>
      <c r="AO437" s="1153"/>
      <c r="AP437" s="1153"/>
      <c r="AQ437" s="1153"/>
      <c r="AR437" s="1153"/>
      <c r="AS437" s="1153"/>
      <c r="AT437" s="1153"/>
      <c r="AU437" s="1153"/>
      <c r="AV437" s="1153"/>
      <c r="AW437" s="1153"/>
      <c r="AX437" s="1153"/>
      <c r="AY437" s="1153"/>
      <c r="AZ437" s="1153"/>
      <c r="BA437" s="1153"/>
      <c r="BB437" s="1153"/>
      <c r="BC437" s="1153"/>
      <c r="BD437" s="1153"/>
      <c r="BE437" s="1153"/>
      <c r="BF437" s="1153"/>
      <c r="BG437" s="1153"/>
      <c r="BH437" s="1153"/>
      <c r="BI437" s="1153"/>
      <c r="BJ437" s="1153"/>
      <c r="BK437" s="1153"/>
      <c r="BL437" s="1153"/>
      <c r="BM437" s="1153"/>
      <c r="BN437" s="1153"/>
      <c r="BO437" s="1153"/>
      <c r="BP437" s="1153"/>
      <c r="BQ437" s="1153"/>
      <c r="BR437" s="1153"/>
      <c r="BS437" s="1153"/>
      <c r="BT437" s="1153"/>
      <c r="BU437" s="1153"/>
      <c r="BV437" s="1153"/>
      <c r="BW437" s="1153"/>
      <c r="BX437" s="1153"/>
      <c r="BY437" s="1153"/>
      <c r="BZ437" s="1153"/>
    </row>
    <row r="438" spans="1:78" ht="13.5" hidden="1" customHeight="1">
      <c r="A438" s="1149"/>
      <c r="B438" s="1150"/>
      <c r="G438" s="1153"/>
      <c r="H438" s="1153"/>
      <c r="I438" s="1153"/>
      <c r="J438" s="1153"/>
      <c r="K438" s="1153"/>
      <c r="L438" s="1153"/>
      <c r="M438" s="1153"/>
      <c r="N438" s="1153"/>
      <c r="O438" s="1153"/>
      <c r="P438" s="1153"/>
      <c r="Q438" s="1153"/>
      <c r="R438" s="1153"/>
      <c r="S438" s="1153"/>
      <c r="T438" s="1153"/>
      <c r="U438" s="1153"/>
      <c r="V438" s="1153"/>
      <c r="W438" s="1153"/>
      <c r="X438" s="1153"/>
      <c r="Y438" s="1153"/>
      <c r="Z438" s="1153"/>
      <c r="AA438" s="1153"/>
      <c r="AB438" s="1153"/>
      <c r="AC438" s="1153"/>
      <c r="AD438" s="1153"/>
      <c r="AE438" s="1153"/>
      <c r="AF438" s="1153"/>
      <c r="AG438" s="1153"/>
      <c r="AH438" s="1153"/>
      <c r="AI438" s="1153"/>
      <c r="AJ438" s="1153"/>
      <c r="AK438" s="1153"/>
      <c r="AL438" s="1153"/>
      <c r="AM438" s="1153"/>
      <c r="AN438" s="1153"/>
      <c r="AO438" s="1153"/>
      <c r="AP438" s="1153"/>
      <c r="AQ438" s="1153"/>
      <c r="AR438" s="1153"/>
      <c r="AS438" s="1153"/>
      <c r="AT438" s="1153"/>
      <c r="AU438" s="1153"/>
      <c r="AV438" s="1153"/>
      <c r="AW438" s="1153"/>
      <c r="AX438" s="1153"/>
      <c r="AY438" s="1153"/>
      <c r="AZ438" s="1153"/>
      <c r="BA438" s="1153"/>
      <c r="BB438" s="1153"/>
      <c r="BC438" s="1153"/>
      <c r="BD438" s="1153"/>
      <c r="BE438" s="1153"/>
      <c r="BF438" s="1153"/>
      <c r="BG438" s="1153"/>
      <c r="BH438" s="1153"/>
      <c r="BI438" s="1153"/>
      <c r="BJ438" s="1153"/>
      <c r="BK438" s="1153"/>
      <c r="BL438" s="1153"/>
      <c r="BM438" s="1153"/>
      <c r="BN438" s="1153"/>
      <c r="BO438" s="1153"/>
      <c r="BP438" s="1153"/>
      <c r="BQ438" s="1153"/>
      <c r="BR438" s="1153"/>
      <c r="BS438" s="1153"/>
      <c r="BT438" s="1153"/>
      <c r="BU438" s="1153"/>
      <c r="BV438" s="1153"/>
      <c r="BW438" s="1153"/>
      <c r="BX438" s="1153"/>
      <c r="BY438" s="1153"/>
      <c r="BZ438" s="1153"/>
    </row>
    <row r="439" spans="1:78" ht="13.5" hidden="1" customHeight="1">
      <c r="A439" s="1149"/>
      <c r="B439" s="1150"/>
      <c r="G439" s="1153"/>
      <c r="H439" s="1153"/>
      <c r="I439" s="1153"/>
      <c r="J439" s="1153"/>
      <c r="K439" s="1153"/>
      <c r="L439" s="1153"/>
      <c r="M439" s="1153"/>
      <c r="N439" s="1153"/>
      <c r="O439" s="1153"/>
      <c r="P439" s="1153"/>
      <c r="Q439" s="1153"/>
      <c r="R439" s="1153"/>
      <c r="S439" s="1153"/>
      <c r="T439" s="1153"/>
      <c r="U439" s="1153"/>
      <c r="V439" s="1153"/>
      <c r="W439" s="1153"/>
      <c r="X439" s="1153"/>
      <c r="Y439" s="1153"/>
      <c r="Z439" s="1153"/>
      <c r="AA439" s="1153"/>
      <c r="AB439" s="1153"/>
      <c r="AC439" s="1153"/>
      <c r="AD439" s="1153"/>
      <c r="AE439" s="1153"/>
      <c r="AF439" s="1153"/>
      <c r="AG439" s="1153"/>
      <c r="AH439" s="1153"/>
      <c r="AI439" s="1153"/>
      <c r="AJ439" s="1153"/>
      <c r="AK439" s="1153"/>
      <c r="AL439" s="1153"/>
      <c r="AM439" s="1153"/>
      <c r="AN439" s="1153"/>
      <c r="AO439" s="1153"/>
      <c r="AP439" s="1153"/>
      <c r="AQ439" s="1153"/>
      <c r="AR439" s="1153"/>
      <c r="AS439" s="1153"/>
      <c r="AT439" s="1153"/>
      <c r="AU439" s="1153"/>
      <c r="AV439" s="1153"/>
      <c r="AW439" s="1153"/>
      <c r="AX439" s="1153"/>
      <c r="AY439" s="1153"/>
      <c r="AZ439" s="1153"/>
      <c r="BA439" s="1153"/>
      <c r="BB439" s="1153"/>
      <c r="BC439" s="1153"/>
      <c r="BD439" s="1153"/>
      <c r="BE439" s="1153"/>
      <c r="BF439" s="1153"/>
      <c r="BG439" s="1153"/>
      <c r="BH439" s="1153"/>
      <c r="BI439" s="1153"/>
      <c r="BJ439" s="1153"/>
      <c r="BK439" s="1153"/>
      <c r="BL439" s="1153"/>
      <c r="BM439" s="1153"/>
      <c r="BN439" s="1153"/>
      <c r="BO439" s="1153"/>
      <c r="BP439" s="1153"/>
      <c r="BQ439" s="1153"/>
      <c r="BR439" s="1153"/>
      <c r="BS439" s="1153"/>
      <c r="BT439" s="1153"/>
      <c r="BU439" s="1153"/>
      <c r="BV439" s="1153"/>
      <c r="BW439" s="1153"/>
      <c r="BX439" s="1153"/>
      <c r="BY439" s="1153"/>
      <c r="BZ439" s="1153"/>
    </row>
    <row r="440" spans="1:78" ht="13.5" hidden="1" customHeight="1">
      <c r="A440" s="1149"/>
      <c r="B440" s="1150"/>
      <c r="G440" s="1153"/>
      <c r="H440" s="1153"/>
      <c r="I440" s="1153"/>
      <c r="J440" s="1153"/>
      <c r="K440" s="1153"/>
      <c r="L440" s="1153"/>
      <c r="M440" s="1153"/>
      <c r="N440" s="1153"/>
      <c r="O440" s="1153"/>
      <c r="P440" s="1153"/>
      <c r="Q440" s="1153"/>
      <c r="R440" s="1153"/>
      <c r="S440" s="1153"/>
      <c r="T440" s="1153"/>
      <c r="U440" s="1153"/>
      <c r="V440" s="1153"/>
      <c r="W440" s="1153"/>
      <c r="X440" s="1153"/>
      <c r="Y440" s="1153"/>
      <c r="Z440" s="1153"/>
      <c r="AA440" s="1153"/>
      <c r="AB440" s="1153"/>
      <c r="AC440" s="1153"/>
      <c r="AD440" s="1153"/>
      <c r="AE440" s="1153"/>
      <c r="AF440" s="1153"/>
      <c r="AG440" s="1153"/>
      <c r="AH440" s="1153"/>
      <c r="AI440" s="1153"/>
      <c r="AJ440" s="1153"/>
      <c r="AK440" s="1153"/>
      <c r="AL440" s="1153"/>
      <c r="AM440" s="1153"/>
      <c r="AN440" s="1153"/>
      <c r="AO440" s="1153"/>
      <c r="AP440" s="1153"/>
      <c r="AQ440" s="1153"/>
      <c r="AR440" s="1153"/>
      <c r="AS440" s="1153"/>
      <c r="AT440" s="1153"/>
      <c r="AU440" s="1153"/>
      <c r="AV440" s="1153"/>
      <c r="AW440" s="1153"/>
      <c r="AX440" s="1153"/>
      <c r="AY440" s="1153"/>
      <c r="AZ440" s="1153"/>
      <c r="BA440" s="1153"/>
      <c r="BB440" s="1153"/>
      <c r="BC440" s="1153"/>
      <c r="BD440" s="1153"/>
      <c r="BE440" s="1153"/>
      <c r="BF440" s="1153"/>
      <c r="BG440" s="1153"/>
      <c r="BH440" s="1153"/>
      <c r="BI440" s="1153"/>
      <c r="BJ440" s="1153"/>
      <c r="BK440" s="1153"/>
      <c r="BL440" s="1153"/>
      <c r="BM440" s="1153"/>
      <c r="BN440" s="1153"/>
      <c r="BO440" s="1153"/>
      <c r="BP440" s="1153"/>
      <c r="BQ440" s="1153"/>
      <c r="BR440" s="1153"/>
      <c r="BS440" s="1153"/>
      <c r="BT440" s="1153"/>
      <c r="BU440" s="1153"/>
      <c r="BV440" s="1153"/>
      <c r="BW440" s="1153"/>
      <c r="BX440" s="1153"/>
      <c r="BY440" s="1153"/>
      <c r="BZ440" s="1153"/>
    </row>
    <row r="441" spans="1:78" ht="13.5" hidden="1" customHeight="1">
      <c r="A441" s="1149"/>
      <c r="B441" s="1150"/>
      <c r="G441" s="1153"/>
      <c r="H441" s="1153"/>
      <c r="I441" s="1153"/>
      <c r="J441" s="1153"/>
      <c r="K441" s="1153"/>
      <c r="L441" s="1153"/>
      <c r="M441" s="1153"/>
      <c r="N441" s="1153"/>
      <c r="O441" s="1153"/>
      <c r="P441" s="1153"/>
      <c r="Q441" s="1153"/>
      <c r="R441" s="1153"/>
      <c r="S441" s="1153"/>
      <c r="T441" s="1153"/>
      <c r="U441" s="1153"/>
      <c r="V441" s="1153"/>
      <c r="W441" s="1153"/>
      <c r="X441" s="1153"/>
      <c r="Y441" s="1153"/>
      <c r="Z441" s="1153"/>
      <c r="AA441" s="1153"/>
      <c r="AB441" s="1153"/>
      <c r="AC441" s="1153"/>
      <c r="AD441" s="1153"/>
      <c r="AE441" s="1153"/>
      <c r="AF441" s="1153"/>
      <c r="AG441" s="1153"/>
      <c r="AH441" s="1153"/>
      <c r="AI441" s="1153"/>
      <c r="AJ441" s="1153"/>
      <c r="AK441" s="1153"/>
      <c r="AL441" s="1153"/>
      <c r="AM441" s="1153"/>
      <c r="AN441" s="1153"/>
      <c r="AO441" s="1153"/>
      <c r="AP441" s="1153"/>
      <c r="AQ441" s="1153"/>
      <c r="AR441" s="1153"/>
      <c r="AS441" s="1153"/>
      <c r="AT441" s="1153"/>
      <c r="AU441" s="1153"/>
      <c r="AV441" s="1153"/>
      <c r="AW441" s="1153"/>
      <c r="AX441" s="1153"/>
      <c r="AY441" s="1153"/>
      <c r="AZ441" s="1153"/>
      <c r="BA441" s="1153"/>
      <c r="BB441" s="1153"/>
      <c r="BC441" s="1153"/>
      <c r="BD441" s="1153"/>
      <c r="BE441" s="1153"/>
      <c r="BF441" s="1153"/>
      <c r="BG441" s="1153"/>
      <c r="BH441" s="1153"/>
      <c r="BI441" s="1153"/>
      <c r="BJ441" s="1153"/>
      <c r="BK441" s="1153"/>
      <c r="BL441" s="1153"/>
      <c r="BM441" s="1153"/>
      <c r="BN441" s="1153"/>
      <c r="BO441" s="1153"/>
      <c r="BP441" s="1153"/>
      <c r="BQ441" s="1153"/>
      <c r="BR441" s="1153"/>
      <c r="BS441" s="1153"/>
      <c r="BT441" s="1153"/>
      <c r="BU441" s="1153"/>
      <c r="BV441" s="1153"/>
      <c r="BW441" s="1153"/>
      <c r="BX441" s="1153"/>
      <c r="BY441" s="1153"/>
      <c r="BZ441" s="1153"/>
    </row>
    <row r="442" spans="1:78" ht="13.5" hidden="1" customHeight="1">
      <c r="A442" s="1149"/>
      <c r="B442" s="1150"/>
      <c r="G442" s="1153"/>
      <c r="H442" s="1153"/>
      <c r="I442" s="1153"/>
      <c r="J442" s="1153"/>
      <c r="K442" s="1153"/>
      <c r="L442" s="1153"/>
      <c r="M442" s="1153"/>
      <c r="N442" s="1153"/>
      <c r="O442" s="1153"/>
      <c r="P442" s="1153"/>
      <c r="Q442" s="1153"/>
      <c r="R442" s="1153"/>
      <c r="S442" s="1153"/>
      <c r="T442" s="1153"/>
      <c r="U442" s="1153"/>
      <c r="V442" s="1153"/>
      <c r="W442" s="1153"/>
      <c r="X442" s="1153"/>
      <c r="Y442" s="1153"/>
      <c r="Z442" s="1153"/>
      <c r="AA442" s="1153"/>
      <c r="AB442" s="1153"/>
      <c r="AC442" s="1153"/>
      <c r="AD442" s="1153"/>
      <c r="AE442" s="1153"/>
      <c r="AF442" s="1153"/>
      <c r="AG442" s="1153"/>
      <c r="AH442" s="1153"/>
      <c r="AI442" s="1153"/>
      <c r="AJ442" s="1153"/>
      <c r="AK442" s="1153"/>
      <c r="AL442" s="1153"/>
      <c r="AM442" s="1153"/>
      <c r="AN442" s="1153"/>
      <c r="AO442" s="1153"/>
      <c r="AP442" s="1153"/>
      <c r="AQ442" s="1153"/>
      <c r="AR442" s="1153"/>
      <c r="AS442" s="1153"/>
      <c r="AT442" s="1153"/>
      <c r="AU442" s="1153"/>
      <c r="AV442" s="1153"/>
      <c r="AW442" s="1153"/>
      <c r="AX442" s="1153"/>
      <c r="AY442" s="1153"/>
      <c r="AZ442" s="1153"/>
      <c r="BA442" s="1153"/>
      <c r="BB442" s="1153"/>
      <c r="BC442" s="1153"/>
      <c r="BD442" s="1153"/>
      <c r="BE442" s="1153"/>
      <c r="BF442" s="1153"/>
      <c r="BG442" s="1153"/>
      <c r="BH442" s="1153"/>
      <c r="BI442" s="1153"/>
      <c r="BJ442" s="1153"/>
      <c r="BK442" s="1153"/>
      <c r="BL442" s="1153"/>
      <c r="BM442" s="1153"/>
      <c r="BN442" s="1153"/>
      <c r="BO442" s="1153"/>
      <c r="BP442" s="1153"/>
      <c r="BQ442" s="1153"/>
      <c r="BR442" s="1153"/>
      <c r="BS442" s="1153"/>
      <c r="BT442" s="1153"/>
      <c r="BU442" s="1153"/>
      <c r="BV442" s="1153"/>
      <c r="BW442" s="1153"/>
      <c r="BX442" s="1153"/>
      <c r="BY442" s="1153"/>
      <c r="BZ442" s="1153"/>
    </row>
    <row r="443" spans="1:78" ht="13.5" hidden="1" customHeight="1">
      <c r="A443" s="1149"/>
      <c r="B443" s="1150"/>
      <c r="G443" s="1153"/>
      <c r="H443" s="1153"/>
      <c r="I443" s="1153"/>
      <c r="J443" s="1153"/>
      <c r="K443" s="1153"/>
      <c r="L443" s="1153"/>
      <c r="M443" s="1153"/>
      <c r="N443" s="1153"/>
      <c r="O443" s="1153"/>
      <c r="P443" s="1153"/>
      <c r="Q443" s="1153"/>
      <c r="R443" s="1153"/>
      <c r="S443" s="1153"/>
      <c r="T443" s="1153"/>
      <c r="U443" s="1153"/>
      <c r="V443" s="1153"/>
      <c r="W443" s="1153"/>
      <c r="X443" s="1153"/>
      <c r="Y443" s="1153"/>
      <c r="Z443" s="1153"/>
      <c r="AA443" s="1153"/>
      <c r="AB443" s="1153"/>
      <c r="AC443" s="1153"/>
      <c r="AD443" s="1153"/>
      <c r="AE443" s="1153"/>
      <c r="AF443" s="1153"/>
      <c r="AG443" s="1153"/>
      <c r="AH443" s="1153"/>
      <c r="AI443" s="1153"/>
      <c r="AJ443" s="1153"/>
      <c r="AK443" s="1153"/>
      <c r="AL443" s="1153"/>
      <c r="AM443" s="1153"/>
      <c r="AN443" s="1153"/>
      <c r="AO443" s="1153"/>
      <c r="AP443" s="1153"/>
      <c r="AQ443" s="1153"/>
      <c r="AR443" s="1153"/>
      <c r="AS443" s="1153"/>
      <c r="AT443" s="1153"/>
      <c r="AU443" s="1153"/>
      <c r="AV443" s="1153"/>
      <c r="AW443" s="1153"/>
      <c r="AX443" s="1153"/>
      <c r="AY443" s="1153"/>
      <c r="AZ443" s="1153"/>
      <c r="BA443" s="1153"/>
      <c r="BB443" s="1153"/>
      <c r="BC443" s="1153"/>
      <c r="BD443" s="1153"/>
      <c r="BE443" s="1153"/>
      <c r="BF443" s="1153"/>
      <c r="BG443" s="1153"/>
      <c r="BH443" s="1153"/>
      <c r="BI443" s="1153"/>
      <c r="BJ443" s="1153"/>
      <c r="BK443" s="1153"/>
      <c r="BL443" s="1153"/>
      <c r="BM443" s="1153"/>
      <c r="BN443" s="1153"/>
      <c r="BO443" s="1153"/>
      <c r="BP443" s="1153"/>
      <c r="BQ443" s="1153"/>
      <c r="BR443" s="1153"/>
      <c r="BS443" s="1153"/>
      <c r="BT443" s="1153"/>
      <c r="BU443" s="1153"/>
      <c r="BV443" s="1153"/>
      <c r="BW443" s="1153"/>
      <c r="BX443" s="1153"/>
      <c r="BY443" s="1153"/>
      <c r="BZ443" s="1153"/>
    </row>
    <row r="444" spans="1:78" ht="13.5" hidden="1" customHeight="1">
      <c r="A444" s="1149"/>
      <c r="B444" s="1150"/>
      <c r="G444" s="1153"/>
      <c r="H444" s="1153"/>
      <c r="I444" s="1153"/>
      <c r="J444" s="1153"/>
      <c r="K444" s="1153"/>
      <c r="L444" s="1153"/>
      <c r="M444" s="1153"/>
      <c r="N444" s="1153"/>
      <c r="O444" s="1153"/>
      <c r="P444" s="1153"/>
      <c r="Q444" s="1153"/>
      <c r="R444" s="1153"/>
      <c r="S444" s="1153"/>
      <c r="T444" s="1153"/>
      <c r="U444" s="1153"/>
      <c r="V444" s="1153"/>
      <c r="W444" s="1153"/>
      <c r="X444" s="1153"/>
      <c r="Y444" s="1153"/>
      <c r="Z444" s="1153"/>
      <c r="AA444" s="1153"/>
      <c r="AB444" s="1153"/>
      <c r="AC444" s="1153"/>
      <c r="AD444" s="1153"/>
      <c r="AE444" s="1153"/>
      <c r="AF444" s="1153"/>
      <c r="AG444" s="1153"/>
      <c r="AH444" s="1153"/>
      <c r="AI444" s="1153"/>
      <c r="AJ444" s="1153"/>
      <c r="AK444" s="1153"/>
      <c r="AL444" s="1153"/>
      <c r="AM444" s="1153"/>
      <c r="AN444" s="1153"/>
      <c r="AO444" s="1153"/>
      <c r="AP444" s="1153"/>
      <c r="AQ444" s="1153"/>
      <c r="AR444" s="1153"/>
      <c r="AS444" s="1153"/>
      <c r="AT444" s="1153"/>
      <c r="AU444" s="1153"/>
      <c r="AV444" s="1153"/>
      <c r="AW444" s="1153"/>
      <c r="AX444" s="1153"/>
      <c r="AY444" s="1153"/>
      <c r="AZ444" s="1153"/>
      <c r="BA444" s="1153"/>
      <c r="BB444" s="1153"/>
      <c r="BC444" s="1153"/>
      <c r="BD444" s="1153"/>
      <c r="BE444" s="1153"/>
      <c r="BF444" s="1153"/>
      <c r="BG444" s="1153"/>
      <c r="BH444" s="1153"/>
      <c r="BI444" s="1153"/>
      <c r="BJ444" s="1153"/>
      <c r="BK444" s="1153"/>
      <c r="BL444" s="1153"/>
      <c r="BM444" s="1153"/>
      <c r="BN444" s="1153"/>
      <c r="BO444" s="1153"/>
      <c r="BP444" s="1153"/>
      <c r="BQ444" s="1153"/>
      <c r="BR444" s="1153"/>
      <c r="BS444" s="1153"/>
      <c r="BT444" s="1153"/>
      <c r="BU444" s="1153"/>
      <c r="BV444" s="1153"/>
      <c r="BW444" s="1153"/>
      <c r="BX444" s="1153"/>
      <c r="BY444" s="1153"/>
      <c r="BZ444" s="1153"/>
    </row>
    <row r="445" spans="1:78" ht="13.5" hidden="1" customHeight="1">
      <c r="A445" s="1149"/>
      <c r="B445" s="1150"/>
      <c r="G445" s="1153"/>
      <c r="H445" s="1153"/>
      <c r="I445" s="1153"/>
      <c r="J445" s="1153"/>
      <c r="K445" s="1153"/>
      <c r="L445" s="1153"/>
      <c r="M445" s="1153"/>
      <c r="N445" s="1153"/>
      <c r="O445" s="1153"/>
      <c r="P445" s="1153"/>
      <c r="Q445" s="1153"/>
      <c r="R445" s="1153"/>
      <c r="S445" s="1153"/>
      <c r="T445" s="1153"/>
      <c r="U445" s="1153"/>
      <c r="V445" s="1153"/>
      <c r="W445" s="1153"/>
      <c r="X445" s="1153"/>
      <c r="Y445" s="1153"/>
      <c r="Z445" s="1153"/>
      <c r="AA445" s="1153"/>
      <c r="AB445" s="1153"/>
      <c r="AC445" s="1153"/>
      <c r="AD445" s="1153"/>
      <c r="AE445" s="1153"/>
      <c r="AF445" s="1153"/>
      <c r="AG445" s="1153"/>
      <c r="AH445" s="1153"/>
      <c r="AI445" s="1153"/>
      <c r="AJ445" s="1153"/>
      <c r="AK445" s="1153"/>
      <c r="AL445" s="1153"/>
      <c r="AM445" s="1153"/>
      <c r="AN445" s="1153"/>
      <c r="AO445" s="1153"/>
      <c r="AP445" s="1153"/>
      <c r="AQ445" s="1153"/>
      <c r="AR445" s="1153"/>
      <c r="AS445" s="1153"/>
      <c r="AT445" s="1153"/>
      <c r="AU445" s="1153"/>
      <c r="AV445" s="1153"/>
      <c r="AW445" s="1153"/>
      <c r="AX445" s="1153"/>
      <c r="AY445" s="1153"/>
      <c r="AZ445" s="1153"/>
      <c r="BA445" s="1153"/>
      <c r="BB445" s="1153"/>
      <c r="BC445" s="1153"/>
      <c r="BD445" s="1153"/>
      <c r="BE445" s="1153"/>
      <c r="BF445" s="1153"/>
      <c r="BG445" s="1153"/>
      <c r="BH445" s="1153"/>
      <c r="BI445" s="1153"/>
      <c r="BJ445" s="1153"/>
      <c r="BK445" s="1153"/>
      <c r="BL445" s="1153"/>
      <c r="BM445" s="1153"/>
      <c r="BN445" s="1153"/>
      <c r="BO445" s="1153"/>
      <c r="BP445" s="1153"/>
      <c r="BQ445" s="1153"/>
      <c r="BR445" s="1153"/>
      <c r="BS445" s="1153"/>
      <c r="BT445" s="1153"/>
      <c r="BU445" s="1153"/>
      <c r="BV445" s="1153"/>
      <c r="BW445" s="1153"/>
      <c r="BX445" s="1153"/>
      <c r="BY445" s="1153"/>
      <c r="BZ445" s="1153"/>
    </row>
    <row r="446" spans="1:78" ht="13.5" hidden="1" customHeight="1">
      <c r="A446" s="1149"/>
      <c r="B446" s="1150"/>
      <c r="G446" s="1153"/>
      <c r="H446" s="1153"/>
      <c r="I446" s="1153"/>
      <c r="J446" s="1153"/>
      <c r="K446" s="1153"/>
      <c r="L446" s="1153"/>
      <c r="M446" s="1153"/>
      <c r="N446" s="1153"/>
      <c r="O446" s="1153"/>
      <c r="P446" s="1153"/>
      <c r="Q446" s="1153"/>
      <c r="R446" s="1153"/>
      <c r="S446" s="1153"/>
      <c r="T446" s="1153"/>
      <c r="U446" s="1153"/>
      <c r="V446" s="1153"/>
      <c r="W446" s="1153"/>
      <c r="X446" s="1153"/>
      <c r="Y446" s="1153"/>
      <c r="Z446" s="1153"/>
      <c r="AA446" s="1153"/>
      <c r="AB446" s="1153"/>
      <c r="AC446" s="1153"/>
      <c r="AD446" s="1153"/>
      <c r="AE446" s="1153"/>
      <c r="AF446" s="1153"/>
      <c r="AG446" s="1153"/>
      <c r="AH446" s="1153"/>
      <c r="AI446" s="1153"/>
      <c r="AJ446" s="1153"/>
      <c r="AK446" s="1153"/>
      <c r="AL446" s="1153"/>
      <c r="AM446" s="1153"/>
      <c r="AN446" s="1153"/>
      <c r="AO446" s="1153"/>
      <c r="AP446" s="1153"/>
      <c r="AQ446" s="1153"/>
      <c r="AR446" s="1153"/>
      <c r="AS446" s="1153"/>
      <c r="AT446" s="1153"/>
      <c r="AU446" s="1153"/>
      <c r="AV446" s="1153"/>
      <c r="AW446" s="1153"/>
      <c r="AX446" s="1153"/>
      <c r="AY446" s="1153"/>
      <c r="AZ446" s="1153"/>
      <c r="BA446" s="1153"/>
      <c r="BB446" s="1153"/>
      <c r="BC446" s="1153"/>
      <c r="BD446" s="1153"/>
      <c r="BE446" s="1153"/>
      <c r="BF446" s="1153"/>
      <c r="BG446" s="1153"/>
      <c r="BH446" s="1153"/>
      <c r="BI446" s="1153"/>
      <c r="BJ446" s="1153"/>
      <c r="BK446" s="1153"/>
      <c r="BL446" s="1153"/>
      <c r="BM446" s="1153"/>
      <c r="BN446" s="1153"/>
      <c r="BO446" s="1153"/>
      <c r="BP446" s="1153"/>
      <c r="BQ446" s="1153"/>
      <c r="BR446" s="1153"/>
      <c r="BS446" s="1153"/>
      <c r="BT446" s="1153"/>
      <c r="BU446" s="1153"/>
      <c r="BV446" s="1153"/>
      <c r="BW446" s="1153"/>
      <c r="BX446" s="1153"/>
      <c r="BY446" s="1153"/>
      <c r="BZ446" s="1153"/>
    </row>
    <row r="447" spans="1:78" ht="13.5" hidden="1" customHeight="1">
      <c r="A447" s="1149"/>
      <c r="B447" s="1150"/>
      <c r="G447" s="1153"/>
      <c r="H447" s="1153"/>
      <c r="I447" s="1153"/>
      <c r="J447" s="1153"/>
      <c r="K447" s="1153"/>
      <c r="L447" s="1153"/>
      <c r="M447" s="1153"/>
      <c r="N447" s="1153"/>
      <c r="O447" s="1153"/>
      <c r="P447" s="1153"/>
      <c r="Q447" s="1153"/>
      <c r="R447" s="1153"/>
      <c r="S447" s="1153"/>
      <c r="T447" s="1153"/>
      <c r="U447" s="1153"/>
      <c r="V447" s="1153"/>
      <c r="W447" s="1153"/>
      <c r="X447" s="1153"/>
      <c r="Y447" s="1153"/>
      <c r="Z447" s="1153"/>
      <c r="AA447" s="1153"/>
      <c r="AB447" s="1153"/>
      <c r="AC447" s="1153"/>
      <c r="AD447" s="1153"/>
      <c r="AE447" s="1153"/>
      <c r="AF447" s="1153"/>
      <c r="AG447" s="1153"/>
      <c r="AH447" s="1153"/>
      <c r="AI447" s="1153"/>
      <c r="AJ447" s="1153"/>
      <c r="AK447" s="1153"/>
      <c r="AL447" s="1153"/>
      <c r="AM447" s="1153"/>
      <c r="AN447" s="1153"/>
      <c r="AO447" s="1153"/>
      <c r="AP447" s="1153"/>
      <c r="AQ447" s="1153"/>
      <c r="AR447" s="1153"/>
      <c r="AS447" s="1153"/>
      <c r="AT447" s="1153"/>
      <c r="AU447" s="1153"/>
      <c r="AV447" s="1153"/>
      <c r="AW447" s="1153"/>
      <c r="AX447" s="1153"/>
      <c r="AY447" s="1153"/>
      <c r="AZ447" s="1153"/>
      <c r="BA447" s="1153"/>
      <c r="BB447" s="1153"/>
      <c r="BC447" s="1153"/>
      <c r="BD447" s="1153"/>
      <c r="BE447" s="1153"/>
      <c r="BF447" s="1153"/>
      <c r="BG447" s="1153"/>
      <c r="BH447" s="1153"/>
      <c r="BI447" s="1153"/>
      <c r="BJ447" s="1153"/>
      <c r="BK447" s="1153"/>
      <c r="BL447" s="1153"/>
      <c r="BM447" s="1153"/>
      <c r="BN447" s="1153"/>
      <c r="BO447" s="1153"/>
      <c r="BP447" s="1153"/>
      <c r="BQ447" s="1153"/>
      <c r="BR447" s="1153"/>
      <c r="BS447" s="1153"/>
      <c r="BT447" s="1153"/>
      <c r="BU447" s="1153"/>
      <c r="BV447" s="1153"/>
      <c r="BW447" s="1153"/>
      <c r="BX447" s="1153"/>
      <c r="BY447" s="1153"/>
      <c r="BZ447" s="1153"/>
    </row>
    <row r="448" spans="1:78" ht="13.5" hidden="1" customHeight="1">
      <c r="A448" s="1149"/>
      <c r="B448" s="1150"/>
      <c r="G448" s="1153"/>
      <c r="H448" s="1153"/>
      <c r="I448" s="1153"/>
      <c r="J448" s="1153"/>
      <c r="K448" s="1153"/>
      <c r="L448" s="1153"/>
      <c r="M448" s="1153"/>
      <c r="N448" s="1153"/>
      <c r="O448" s="1153"/>
      <c r="P448" s="1153"/>
      <c r="Q448" s="1153"/>
      <c r="R448" s="1153"/>
      <c r="S448" s="1153"/>
      <c r="T448" s="1153"/>
      <c r="U448" s="1153"/>
      <c r="V448" s="1153"/>
      <c r="W448" s="1153"/>
      <c r="X448" s="1153"/>
      <c r="Y448" s="1153"/>
      <c r="Z448" s="1153"/>
      <c r="AA448" s="1153"/>
      <c r="AB448" s="1153"/>
      <c r="AC448" s="1153"/>
      <c r="AD448" s="1153"/>
      <c r="AE448" s="1153"/>
      <c r="AF448" s="1153"/>
      <c r="AG448" s="1153"/>
      <c r="AH448" s="1153"/>
      <c r="AI448" s="1153"/>
      <c r="AJ448" s="1153"/>
      <c r="AK448" s="1153"/>
      <c r="AL448" s="1153"/>
      <c r="AM448" s="1153"/>
      <c r="AN448" s="1153"/>
      <c r="AO448" s="1153"/>
      <c r="AP448" s="1153"/>
      <c r="AQ448" s="1153"/>
      <c r="AR448" s="1153"/>
      <c r="AS448" s="1153"/>
      <c r="AT448" s="1153"/>
      <c r="AU448" s="1153"/>
      <c r="AV448" s="1153"/>
      <c r="AW448" s="1153"/>
      <c r="AX448" s="1153"/>
      <c r="AY448" s="1153"/>
      <c r="AZ448" s="1153"/>
      <c r="BA448" s="1153"/>
      <c r="BB448" s="1153"/>
      <c r="BC448" s="1153"/>
      <c r="BD448" s="1153"/>
      <c r="BE448" s="1153"/>
      <c r="BF448" s="1153"/>
      <c r="BG448" s="1153"/>
      <c r="BH448" s="1153"/>
      <c r="BI448" s="1153"/>
      <c r="BJ448" s="1153"/>
      <c r="BK448" s="1153"/>
      <c r="BL448" s="1153"/>
      <c r="BM448" s="1153"/>
      <c r="BN448" s="1153"/>
      <c r="BO448" s="1153"/>
      <c r="BP448" s="1153"/>
      <c r="BQ448" s="1153"/>
      <c r="BR448" s="1153"/>
      <c r="BS448" s="1153"/>
      <c r="BT448" s="1153"/>
      <c r="BU448" s="1153"/>
      <c r="BV448" s="1153"/>
      <c r="BW448" s="1153"/>
      <c r="BX448" s="1153"/>
      <c r="BY448" s="1153"/>
      <c r="BZ448" s="1153"/>
    </row>
    <row r="449" spans="1:78" ht="13.5" hidden="1" customHeight="1">
      <c r="A449" s="1149"/>
      <c r="B449" s="1150"/>
      <c r="G449" s="1153"/>
      <c r="H449" s="1153"/>
      <c r="I449" s="1153"/>
      <c r="J449" s="1153"/>
      <c r="K449" s="1153"/>
      <c r="L449" s="1153"/>
      <c r="M449" s="1153"/>
      <c r="N449" s="1153"/>
      <c r="O449" s="1153"/>
      <c r="P449" s="1153"/>
      <c r="Q449" s="1153"/>
      <c r="R449" s="1153"/>
      <c r="S449" s="1153"/>
      <c r="T449" s="1153"/>
      <c r="U449" s="1153"/>
      <c r="V449" s="1153"/>
      <c r="W449" s="1153"/>
      <c r="X449" s="1153"/>
      <c r="Y449" s="1153"/>
      <c r="Z449" s="1153"/>
      <c r="AA449" s="1153"/>
      <c r="AB449" s="1153"/>
      <c r="AC449" s="1153"/>
      <c r="AD449" s="1153"/>
      <c r="AE449" s="1153"/>
      <c r="AF449" s="1153"/>
      <c r="AG449" s="1153"/>
      <c r="AH449" s="1153"/>
      <c r="AI449" s="1153"/>
      <c r="AJ449" s="1153"/>
      <c r="AK449" s="1153"/>
      <c r="AL449" s="1153"/>
      <c r="AM449" s="1153"/>
      <c r="AN449" s="1153"/>
      <c r="AO449" s="1153"/>
      <c r="AP449" s="1153"/>
      <c r="AQ449" s="1153"/>
      <c r="AR449" s="1153"/>
      <c r="AS449" s="1153"/>
      <c r="AT449" s="1153"/>
      <c r="AU449" s="1153"/>
      <c r="AV449" s="1153"/>
      <c r="AW449" s="1153"/>
      <c r="AX449" s="1153"/>
      <c r="AY449" s="1153"/>
      <c r="AZ449" s="1153"/>
      <c r="BA449" s="1153"/>
      <c r="BB449" s="1153"/>
      <c r="BC449" s="1153"/>
      <c r="BD449" s="1153"/>
      <c r="BE449" s="1153"/>
      <c r="BF449" s="1153"/>
      <c r="BG449" s="1153"/>
      <c r="BH449" s="1153"/>
      <c r="BI449" s="1153"/>
      <c r="BJ449" s="1153"/>
      <c r="BK449" s="1153"/>
      <c r="BL449" s="1153"/>
      <c r="BM449" s="1153"/>
      <c r="BN449" s="1153"/>
      <c r="BO449" s="1153"/>
      <c r="BP449" s="1153"/>
      <c r="BQ449" s="1153"/>
      <c r="BR449" s="1153"/>
      <c r="BS449" s="1153"/>
      <c r="BT449" s="1153"/>
      <c r="BU449" s="1153"/>
      <c r="BV449" s="1153"/>
      <c r="BW449" s="1153"/>
      <c r="BX449" s="1153"/>
      <c r="BY449" s="1153"/>
      <c r="BZ449" s="1153"/>
    </row>
    <row r="450" spans="1:78" ht="13.5" hidden="1" customHeight="1">
      <c r="A450" s="1149"/>
      <c r="B450" s="1150"/>
      <c r="H450" s="1153"/>
      <c r="I450" s="1153"/>
      <c r="J450" s="1153"/>
      <c r="K450" s="1153"/>
      <c r="L450" s="1153"/>
      <c r="M450" s="1153"/>
      <c r="N450" s="1153"/>
      <c r="O450" s="1153"/>
      <c r="P450" s="1153"/>
      <c r="Q450" s="1153"/>
      <c r="R450" s="1153"/>
      <c r="S450" s="1153"/>
      <c r="T450" s="1153"/>
      <c r="U450" s="1153"/>
      <c r="V450" s="1153"/>
      <c r="W450" s="1153"/>
      <c r="X450" s="1153"/>
      <c r="Y450" s="1153"/>
      <c r="Z450" s="1153"/>
      <c r="AA450" s="1153"/>
      <c r="AB450" s="1153"/>
      <c r="AC450" s="1153"/>
      <c r="AD450" s="1153"/>
      <c r="AE450" s="1153"/>
      <c r="AF450" s="1153"/>
      <c r="AG450" s="1153"/>
      <c r="AH450" s="1153"/>
      <c r="AI450" s="1153"/>
      <c r="AJ450" s="1153"/>
      <c r="AK450" s="1153"/>
      <c r="AL450" s="1153"/>
      <c r="AM450" s="1153"/>
      <c r="AN450" s="1153"/>
      <c r="AO450" s="1153"/>
      <c r="AP450" s="1153"/>
      <c r="AQ450" s="1153"/>
      <c r="AR450" s="1153"/>
      <c r="AS450" s="1153"/>
      <c r="AT450" s="1153"/>
      <c r="AU450" s="1153"/>
      <c r="AV450" s="1153"/>
      <c r="AW450" s="1153"/>
      <c r="AX450" s="1153"/>
      <c r="AY450" s="1153"/>
      <c r="AZ450" s="1153"/>
      <c r="BA450" s="1153"/>
      <c r="BB450" s="1153"/>
      <c r="BC450" s="1153"/>
      <c r="BD450" s="1153"/>
      <c r="BE450" s="1153"/>
      <c r="BF450" s="1153"/>
      <c r="BG450" s="1153"/>
      <c r="BH450" s="1153"/>
      <c r="BI450" s="1153"/>
      <c r="BJ450" s="1153"/>
      <c r="BK450" s="1153"/>
      <c r="BL450" s="1153"/>
      <c r="BM450" s="1153"/>
      <c r="BN450" s="1153"/>
      <c r="BO450" s="1153"/>
      <c r="BP450" s="1153"/>
      <c r="BQ450" s="1153"/>
      <c r="BR450" s="1153"/>
      <c r="BS450" s="1153"/>
      <c r="BT450" s="1153"/>
      <c r="BU450" s="1153"/>
      <c r="BV450" s="1153"/>
      <c r="BW450" s="1153"/>
      <c r="BX450" s="1153"/>
      <c r="BY450" s="1153"/>
      <c r="BZ450" s="1153"/>
    </row>
    <row r="451" spans="1:78" ht="13.5" hidden="1" customHeight="1">
      <c r="A451" s="1149"/>
      <c r="B451" s="1150"/>
      <c r="H451" s="1153"/>
      <c r="I451" s="1153"/>
      <c r="J451" s="1153"/>
      <c r="K451" s="1153"/>
      <c r="L451" s="1153"/>
      <c r="M451" s="1153"/>
      <c r="N451" s="1153"/>
      <c r="O451" s="1153"/>
      <c r="P451" s="1153"/>
      <c r="Q451" s="1153"/>
      <c r="R451" s="1153"/>
      <c r="S451" s="1153"/>
      <c r="T451" s="1153"/>
      <c r="U451" s="1153"/>
      <c r="V451" s="1153"/>
      <c r="W451" s="1153"/>
      <c r="X451" s="1153"/>
      <c r="Y451" s="1153"/>
      <c r="Z451" s="1153"/>
      <c r="AA451" s="1153"/>
      <c r="AB451" s="1153"/>
      <c r="AC451" s="1153"/>
      <c r="AD451" s="1153"/>
      <c r="AE451" s="1153"/>
      <c r="AF451" s="1153"/>
      <c r="AG451" s="1153"/>
      <c r="AH451" s="1153"/>
      <c r="AI451" s="1153"/>
      <c r="AJ451" s="1153"/>
      <c r="AK451" s="1153"/>
      <c r="AL451" s="1153"/>
      <c r="AM451" s="1153"/>
      <c r="AN451" s="1153"/>
      <c r="AO451" s="1153"/>
      <c r="AP451" s="1153"/>
      <c r="AQ451" s="1153"/>
      <c r="AR451" s="1153"/>
      <c r="AS451" s="1153"/>
      <c r="AT451" s="1153"/>
      <c r="AU451" s="1153"/>
      <c r="AV451" s="1153"/>
      <c r="AW451" s="1153"/>
      <c r="AX451" s="1153"/>
      <c r="AY451" s="1153"/>
      <c r="AZ451" s="1153"/>
      <c r="BA451" s="1153"/>
      <c r="BB451" s="1153"/>
      <c r="BC451" s="1153"/>
      <c r="BD451" s="1153"/>
      <c r="BE451" s="1153"/>
      <c r="BF451" s="1153"/>
      <c r="BG451" s="1153"/>
      <c r="BH451" s="1153"/>
      <c r="BI451" s="1153"/>
      <c r="BJ451" s="1153"/>
      <c r="BK451" s="1153"/>
      <c r="BL451" s="1153"/>
      <c r="BM451" s="1153"/>
      <c r="BN451" s="1153"/>
      <c r="BO451" s="1153"/>
      <c r="BP451" s="1153"/>
      <c r="BQ451" s="1153"/>
      <c r="BR451" s="1153"/>
      <c r="BS451" s="1153"/>
      <c r="BT451" s="1153"/>
      <c r="BU451" s="1153"/>
      <c r="BV451" s="1153"/>
      <c r="BW451" s="1153"/>
      <c r="BX451" s="1153"/>
      <c r="BY451" s="1153"/>
      <c r="BZ451" s="1153"/>
    </row>
  </sheetData>
  <sheetProtection password="C5F7" sheet="1" objects="1" scenarios="1" formatCells="0"/>
  <mergeCells count="842">
    <mergeCell ref="G294:H294"/>
    <mergeCell ref="I294:K294"/>
    <mergeCell ref="I304:K304"/>
    <mergeCell ref="K282:K283"/>
    <mergeCell ref="C283:H283"/>
    <mergeCell ref="I291:K291"/>
    <mergeCell ref="I292:K292"/>
    <mergeCell ref="E293:F293"/>
    <mergeCell ref="G293:H293"/>
    <mergeCell ref="I293:K293"/>
    <mergeCell ref="A280:A281"/>
    <mergeCell ref="B280:B281"/>
    <mergeCell ref="I280:I281"/>
    <mergeCell ref="J280:J281"/>
    <mergeCell ref="K280:K281"/>
    <mergeCell ref="A282:A283"/>
    <mergeCell ref="B282:B283"/>
    <mergeCell ref="C282:H282"/>
    <mergeCell ref="I282:I283"/>
    <mergeCell ref="J282:J283"/>
    <mergeCell ref="A276:A277"/>
    <mergeCell ref="B276:B277"/>
    <mergeCell ref="I276:I277"/>
    <mergeCell ref="J276:J277"/>
    <mergeCell ref="K276:K277"/>
    <mergeCell ref="A278:A279"/>
    <mergeCell ref="B278:B279"/>
    <mergeCell ref="I278:I279"/>
    <mergeCell ref="J278:J279"/>
    <mergeCell ref="K278:K279"/>
    <mergeCell ref="A272:A273"/>
    <mergeCell ref="B272:B273"/>
    <mergeCell ref="I272:I273"/>
    <mergeCell ref="J272:J273"/>
    <mergeCell ref="K272:K273"/>
    <mergeCell ref="A274:A275"/>
    <mergeCell ref="B274:B275"/>
    <mergeCell ref="I274:I275"/>
    <mergeCell ref="J274:J275"/>
    <mergeCell ref="K274:K275"/>
    <mergeCell ref="A268:A269"/>
    <mergeCell ref="B268:B269"/>
    <mergeCell ref="I268:I269"/>
    <mergeCell ref="J268:J269"/>
    <mergeCell ref="K268:K269"/>
    <mergeCell ref="A270:A271"/>
    <mergeCell ref="B270:B271"/>
    <mergeCell ref="I270:I271"/>
    <mergeCell ref="J270:J271"/>
    <mergeCell ref="K270:K271"/>
    <mergeCell ref="A264:A265"/>
    <mergeCell ref="B264:B265"/>
    <mergeCell ref="I264:I265"/>
    <mergeCell ref="J264:J265"/>
    <mergeCell ref="K264:K265"/>
    <mergeCell ref="A266:A267"/>
    <mergeCell ref="B266:B267"/>
    <mergeCell ref="I266:I267"/>
    <mergeCell ref="J266:J267"/>
    <mergeCell ref="K266:K267"/>
    <mergeCell ref="A260:A261"/>
    <mergeCell ref="B260:B261"/>
    <mergeCell ref="I260:I261"/>
    <mergeCell ref="J260:J261"/>
    <mergeCell ref="K260:K261"/>
    <mergeCell ref="A262:A263"/>
    <mergeCell ref="B262:B263"/>
    <mergeCell ref="I262:I263"/>
    <mergeCell ref="J262:J263"/>
    <mergeCell ref="K262:K263"/>
    <mergeCell ref="A256:A257"/>
    <mergeCell ref="B256:B257"/>
    <mergeCell ref="I256:I257"/>
    <mergeCell ref="J256:J257"/>
    <mergeCell ref="K256:K257"/>
    <mergeCell ref="A258:A259"/>
    <mergeCell ref="B258:B259"/>
    <mergeCell ref="I258:I259"/>
    <mergeCell ref="J258:J259"/>
    <mergeCell ref="K258:K259"/>
    <mergeCell ref="A252:A253"/>
    <mergeCell ref="B252:B253"/>
    <mergeCell ref="I252:I253"/>
    <mergeCell ref="J252:J253"/>
    <mergeCell ref="K252:K253"/>
    <mergeCell ref="A254:A255"/>
    <mergeCell ref="B254:B255"/>
    <mergeCell ref="I254:I255"/>
    <mergeCell ref="J254:J255"/>
    <mergeCell ref="K254:K255"/>
    <mergeCell ref="A248:A249"/>
    <mergeCell ref="B248:B249"/>
    <mergeCell ref="I248:I249"/>
    <mergeCell ref="J248:J249"/>
    <mergeCell ref="K248:K249"/>
    <mergeCell ref="A250:A251"/>
    <mergeCell ref="B250:B251"/>
    <mergeCell ref="I250:I251"/>
    <mergeCell ref="J250:J251"/>
    <mergeCell ref="K250:K251"/>
    <mergeCell ref="A244:A245"/>
    <mergeCell ref="B244:B245"/>
    <mergeCell ref="I244:I245"/>
    <mergeCell ref="J244:J245"/>
    <mergeCell ref="K244:K245"/>
    <mergeCell ref="A246:A247"/>
    <mergeCell ref="B246:B247"/>
    <mergeCell ref="I246:I247"/>
    <mergeCell ref="J246:J247"/>
    <mergeCell ref="K246:K247"/>
    <mergeCell ref="A240:A241"/>
    <mergeCell ref="B240:B241"/>
    <mergeCell ref="I240:I241"/>
    <mergeCell ref="J240:J241"/>
    <mergeCell ref="K240:K241"/>
    <mergeCell ref="A242:A243"/>
    <mergeCell ref="B242:B243"/>
    <mergeCell ref="I242:I243"/>
    <mergeCell ref="J242:J243"/>
    <mergeCell ref="K242:K243"/>
    <mergeCell ref="A236:A237"/>
    <mergeCell ref="B236:B237"/>
    <mergeCell ref="I236:I237"/>
    <mergeCell ref="J236:J237"/>
    <mergeCell ref="K236:K237"/>
    <mergeCell ref="A238:A239"/>
    <mergeCell ref="B238:B239"/>
    <mergeCell ref="I238:I239"/>
    <mergeCell ref="J238:J239"/>
    <mergeCell ref="K238:K239"/>
    <mergeCell ref="A232:A233"/>
    <mergeCell ref="B232:B233"/>
    <mergeCell ref="I232:I233"/>
    <mergeCell ref="J232:J233"/>
    <mergeCell ref="K232:K233"/>
    <mergeCell ref="A234:A235"/>
    <mergeCell ref="B234:B235"/>
    <mergeCell ref="I234:I235"/>
    <mergeCell ref="J234:J235"/>
    <mergeCell ref="K234:K235"/>
    <mergeCell ref="A228:A229"/>
    <mergeCell ref="B228:B229"/>
    <mergeCell ref="I228:I229"/>
    <mergeCell ref="J228:J229"/>
    <mergeCell ref="K228:K229"/>
    <mergeCell ref="A230:A231"/>
    <mergeCell ref="B230:B231"/>
    <mergeCell ref="I230:I231"/>
    <mergeCell ref="J230:J231"/>
    <mergeCell ref="K230:K231"/>
    <mergeCell ref="A224:A225"/>
    <mergeCell ref="B224:B225"/>
    <mergeCell ref="I224:I225"/>
    <mergeCell ref="J224:J225"/>
    <mergeCell ref="K224:K225"/>
    <mergeCell ref="A226:A227"/>
    <mergeCell ref="B226:B227"/>
    <mergeCell ref="I226:I227"/>
    <mergeCell ref="J226:J227"/>
    <mergeCell ref="K226:K227"/>
    <mergeCell ref="A220:A221"/>
    <mergeCell ref="B220:B221"/>
    <mergeCell ref="I220:I221"/>
    <mergeCell ref="J220:J221"/>
    <mergeCell ref="K220:K221"/>
    <mergeCell ref="A222:A223"/>
    <mergeCell ref="B222:B223"/>
    <mergeCell ref="I222:I223"/>
    <mergeCell ref="J222:J223"/>
    <mergeCell ref="K222:K223"/>
    <mergeCell ref="A216:A217"/>
    <mergeCell ref="B216:B217"/>
    <mergeCell ref="I216:I217"/>
    <mergeCell ref="J216:J217"/>
    <mergeCell ref="K216:K217"/>
    <mergeCell ref="A218:A219"/>
    <mergeCell ref="B218:B219"/>
    <mergeCell ref="I218:I219"/>
    <mergeCell ref="J218:J219"/>
    <mergeCell ref="K218:K219"/>
    <mergeCell ref="A212:A213"/>
    <mergeCell ref="B212:B213"/>
    <mergeCell ref="I212:I213"/>
    <mergeCell ref="J212:J213"/>
    <mergeCell ref="K212:K213"/>
    <mergeCell ref="A214:A215"/>
    <mergeCell ref="B214:B215"/>
    <mergeCell ref="I214:I215"/>
    <mergeCell ref="J214:J215"/>
    <mergeCell ref="K214:K215"/>
    <mergeCell ref="A208:A209"/>
    <mergeCell ref="B208:B209"/>
    <mergeCell ref="I208:I209"/>
    <mergeCell ref="J208:J209"/>
    <mergeCell ref="K208:K209"/>
    <mergeCell ref="A210:A211"/>
    <mergeCell ref="B210:B211"/>
    <mergeCell ref="I210:I211"/>
    <mergeCell ref="J210:J211"/>
    <mergeCell ref="K210:K211"/>
    <mergeCell ref="A204:A205"/>
    <mergeCell ref="B204:B205"/>
    <mergeCell ref="I204:I205"/>
    <mergeCell ref="J204:J205"/>
    <mergeCell ref="K204:K205"/>
    <mergeCell ref="A206:A207"/>
    <mergeCell ref="B206:B207"/>
    <mergeCell ref="I206:I207"/>
    <mergeCell ref="J206:J207"/>
    <mergeCell ref="K206:K207"/>
    <mergeCell ref="A200:A201"/>
    <mergeCell ref="B200:B201"/>
    <mergeCell ref="I200:I201"/>
    <mergeCell ref="J200:J201"/>
    <mergeCell ref="K200:K201"/>
    <mergeCell ref="A202:A203"/>
    <mergeCell ref="B202:B203"/>
    <mergeCell ref="I202:I203"/>
    <mergeCell ref="J202:J203"/>
    <mergeCell ref="K202:K203"/>
    <mergeCell ref="A196:A197"/>
    <mergeCell ref="B196:B197"/>
    <mergeCell ref="I196:I197"/>
    <mergeCell ref="J196:J197"/>
    <mergeCell ref="K196:K197"/>
    <mergeCell ref="A198:A199"/>
    <mergeCell ref="B198:B199"/>
    <mergeCell ref="I198:I199"/>
    <mergeCell ref="J198:J199"/>
    <mergeCell ref="K198:K199"/>
    <mergeCell ref="A192:A193"/>
    <mergeCell ref="B192:B193"/>
    <mergeCell ref="I192:I193"/>
    <mergeCell ref="J192:J193"/>
    <mergeCell ref="K192:K193"/>
    <mergeCell ref="A194:A195"/>
    <mergeCell ref="B194:B195"/>
    <mergeCell ref="I194:I195"/>
    <mergeCell ref="J194:J195"/>
    <mergeCell ref="K194:K195"/>
    <mergeCell ref="A188:A189"/>
    <mergeCell ref="B188:B189"/>
    <mergeCell ref="I188:I189"/>
    <mergeCell ref="J188:J189"/>
    <mergeCell ref="K188:K189"/>
    <mergeCell ref="A190:A191"/>
    <mergeCell ref="B190:B191"/>
    <mergeCell ref="I190:I191"/>
    <mergeCell ref="J190:J191"/>
    <mergeCell ref="K190:K191"/>
    <mergeCell ref="A186:A187"/>
    <mergeCell ref="B186:B187"/>
    <mergeCell ref="I186:I187"/>
    <mergeCell ref="J186:J187"/>
    <mergeCell ref="K186:K187"/>
    <mergeCell ref="C187:E187"/>
    <mergeCell ref="A182:A183"/>
    <mergeCell ref="B182:B183"/>
    <mergeCell ref="I182:I183"/>
    <mergeCell ref="J182:J183"/>
    <mergeCell ref="K182:K183"/>
    <mergeCell ref="A184:A185"/>
    <mergeCell ref="B184:B185"/>
    <mergeCell ref="I184:I185"/>
    <mergeCell ref="J184:J185"/>
    <mergeCell ref="K184:K185"/>
    <mergeCell ref="A178:A179"/>
    <mergeCell ref="B178:B179"/>
    <mergeCell ref="I178:I179"/>
    <mergeCell ref="J178:J179"/>
    <mergeCell ref="K178:K179"/>
    <mergeCell ref="A180:A181"/>
    <mergeCell ref="B180:B181"/>
    <mergeCell ref="I180:I181"/>
    <mergeCell ref="J180:J181"/>
    <mergeCell ref="K180:K181"/>
    <mergeCell ref="A174:A175"/>
    <mergeCell ref="B174:B175"/>
    <mergeCell ref="I174:I175"/>
    <mergeCell ref="J174:J175"/>
    <mergeCell ref="K174:K175"/>
    <mergeCell ref="A176:A177"/>
    <mergeCell ref="B176:B177"/>
    <mergeCell ref="I176:I177"/>
    <mergeCell ref="J176:J177"/>
    <mergeCell ref="K176:K177"/>
    <mergeCell ref="A170:A171"/>
    <mergeCell ref="B170:B171"/>
    <mergeCell ref="I170:I171"/>
    <mergeCell ref="J170:J171"/>
    <mergeCell ref="K170:K171"/>
    <mergeCell ref="A172:A173"/>
    <mergeCell ref="B172:B173"/>
    <mergeCell ref="I172:I173"/>
    <mergeCell ref="J172:J173"/>
    <mergeCell ref="K172:K173"/>
    <mergeCell ref="A166:A167"/>
    <mergeCell ref="B166:B167"/>
    <mergeCell ref="I166:I167"/>
    <mergeCell ref="J166:J167"/>
    <mergeCell ref="K166:K167"/>
    <mergeCell ref="A168:A169"/>
    <mergeCell ref="B168:B169"/>
    <mergeCell ref="I168:I169"/>
    <mergeCell ref="J168:J169"/>
    <mergeCell ref="K168:K169"/>
    <mergeCell ref="A162:A163"/>
    <mergeCell ref="B162:B163"/>
    <mergeCell ref="I162:I163"/>
    <mergeCell ref="J162:J163"/>
    <mergeCell ref="K162:K163"/>
    <mergeCell ref="A164:A165"/>
    <mergeCell ref="B164:B165"/>
    <mergeCell ref="I164:I165"/>
    <mergeCell ref="J164:J165"/>
    <mergeCell ref="K164:K165"/>
    <mergeCell ref="K158:K159"/>
    <mergeCell ref="A160:A161"/>
    <mergeCell ref="B160:B161"/>
    <mergeCell ref="I160:I161"/>
    <mergeCell ref="J160:J161"/>
    <mergeCell ref="K160:K161"/>
    <mergeCell ref="C156:H156"/>
    <mergeCell ref="C157:H157"/>
    <mergeCell ref="A158:A159"/>
    <mergeCell ref="B158:B159"/>
    <mergeCell ref="I158:I159"/>
    <mergeCell ref="J158:J159"/>
    <mergeCell ref="K150:K151"/>
    <mergeCell ref="A152:A153"/>
    <mergeCell ref="B152:B153"/>
    <mergeCell ref="C152:F152"/>
    <mergeCell ref="G152:G153"/>
    <mergeCell ref="H152:H153"/>
    <mergeCell ref="I152:I153"/>
    <mergeCell ref="J152:J153"/>
    <mergeCell ref="K152:K153"/>
    <mergeCell ref="C153:F153"/>
    <mergeCell ref="A150:A151"/>
    <mergeCell ref="B150:B151"/>
    <mergeCell ref="G150:G151"/>
    <mergeCell ref="H150:H151"/>
    <mergeCell ref="I150:I151"/>
    <mergeCell ref="J150:J151"/>
    <mergeCell ref="K146:K147"/>
    <mergeCell ref="A148:A149"/>
    <mergeCell ref="B148:B149"/>
    <mergeCell ref="G148:G149"/>
    <mergeCell ref="H148:H149"/>
    <mergeCell ref="I148:I149"/>
    <mergeCell ref="J148:J149"/>
    <mergeCell ref="K148:K149"/>
    <mergeCell ref="A146:A147"/>
    <mergeCell ref="B146:B147"/>
    <mergeCell ref="G146:G147"/>
    <mergeCell ref="H146:H147"/>
    <mergeCell ref="I146:I147"/>
    <mergeCell ref="J146:J147"/>
    <mergeCell ref="K142:K143"/>
    <mergeCell ref="A144:A145"/>
    <mergeCell ref="B144:B145"/>
    <mergeCell ref="G144:G145"/>
    <mergeCell ref="H144:H145"/>
    <mergeCell ref="I144:I145"/>
    <mergeCell ref="J144:J145"/>
    <mergeCell ref="K144:K145"/>
    <mergeCell ref="A142:A143"/>
    <mergeCell ref="B142:B143"/>
    <mergeCell ref="G142:G143"/>
    <mergeCell ref="H142:H143"/>
    <mergeCell ref="I142:I143"/>
    <mergeCell ref="J142:J143"/>
    <mergeCell ref="K138:K139"/>
    <mergeCell ref="A140:A141"/>
    <mergeCell ref="B140:B141"/>
    <mergeCell ref="G140:G141"/>
    <mergeCell ref="H140:H141"/>
    <mergeCell ref="I140:I141"/>
    <mergeCell ref="J140:J141"/>
    <mergeCell ref="K140:K141"/>
    <mergeCell ref="A138:A139"/>
    <mergeCell ref="B138:B139"/>
    <mergeCell ref="G138:G139"/>
    <mergeCell ref="H138:H139"/>
    <mergeCell ref="I138:I139"/>
    <mergeCell ref="J138:J139"/>
    <mergeCell ref="K134:K135"/>
    <mergeCell ref="A136:A137"/>
    <mergeCell ref="B136:B137"/>
    <mergeCell ref="G136:G137"/>
    <mergeCell ref="H136:H137"/>
    <mergeCell ref="I136:I137"/>
    <mergeCell ref="J136:J137"/>
    <mergeCell ref="K136:K137"/>
    <mergeCell ref="A134:A135"/>
    <mergeCell ref="B134:B135"/>
    <mergeCell ref="G134:G135"/>
    <mergeCell ref="H134:H135"/>
    <mergeCell ref="I134:I135"/>
    <mergeCell ref="J134:J135"/>
    <mergeCell ref="K130:K131"/>
    <mergeCell ref="A132:A133"/>
    <mergeCell ref="B132:B133"/>
    <mergeCell ref="G132:G133"/>
    <mergeCell ref="H132:H133"/>
    <mergeCell ref="I132:I133"/>
    <mergeCell ref="J132:J133"/>
    <mergeCell ref="K132:K133"/>
    <mergeCell ref="A130:A131"/>
    <mergeCell ref="B130:B131"/>
    <mergeCell ref="G130:G131"/>
    <mergeCell ref="H130:H131"/>
    <mergeCell ref="I130:I131"/>
    <mergeCell ref="J130:J131"/>
    <mergeCell ref="K126:K127"/>
    <mergeCell ref="A128:A129"/>
    <mergeCell ref="B128:B129"/>
    <mergeCell ref="G128:G129"/>
    <mergeCell ref="H128:H129"/>
    <mergeCell ref="I128:I129"/>
    <mergeCell ref="J128:J129"/>
    <mergeCell ref="K128:K129"/>
    <mergeCell ref="A126:A127"/>
    <mergeCell ref="B126:B127"/>
    <mergeCell ref="G126:G127"/>
    <mergeCell ref="H126:H127"/>
    <mergeCell ref="I126:I127"/>
    <mergeCell ref="J126:J127"/>
    <mergeCell ref="K122:K123"/>
    <mergeCell ref="A124:A125"/>
    <mergeCell ref="B124:B125"/>
    <mergeCell ref="G124:G125"/>
    <mergeCell ref="H124:H125"/>
    <mergeCell ref="I124:I125"/>
    <mergeCell ref="J124:J125"/>
    <mergeCell ref="K124:K125"/>
    <mergeCell ref="A122:A123"/>
    <mergeCell ref="B122:B123"/>
    <mergeCell ref="G122:G123"/>
    <mergeCell ref="H122:H123"/>
    <mergeCell ref="I122:I123"/>
    <mergeCell ref="J122:J123"/>
    <mergeCell ref="K118:K119"/>
    <mergeCell ref="A120:A121"/>
    <mergeCell ref="B120:B121"/>
    <mergeCell ref="G120:G121"/>
    <mergeCell ref="H120:H121"/>
    <mergeCell ref="I120:I121"/>
    <mergeCell ref="J120:J121"/>
    <mergeCell ref="K120:K121"/>
    <mergeCell ref="A118:A119"/>
    <mergeCell ref="B118:B119"/>
    <mergeCell ref="G118:G119"/>
    <mergeCell ref="H118:H119"/>
    <mergeCell ref="I118:I119"/>
    <mergeCell ref="J118:J119"/>
    <mergeCell ref="K114:K115"/>
    <mergeCell ref="A116:A117"/>
    <mergeCell ref="B116:B117"/>
    <mergeCell ref="G116:G117"/>
    <mergeCell ref="H116:H117"/>
    <mergeCell ref="I116:I117"/>
    <mergeCell ref="J116:J117"/>
    <mergeCell ref="K116:K117"/>
    <mergeCell ref="A114:A115"/>
    <mergeCell ref="B114:B115"/>
    <mergeCell ref="G114:G115"/>
    <mergeCell ref="H114:H115"/>
    <mergeCell ref="I114:I115"/>
    <mergeCell ref="J114:J115"/>
    <mergeCell ref="K110:K111"/>
    <mergeCell ref="A112:A113"/>
    <mergeCell ref="B112:B113"/>
    <mergeCell ref="G112:G113"/>
    <mergeCell ref="H112:H113"/>
    <mergeCell ref="I112:I113"/>
    <mergeCell ref="J112:J113"/>
    <mergeCell ref="K112:K113"/>
    <mergeCell ref="A110:A111"/>
    <mergeCell ref="B110:B111"/>
    <mergeCell ref="G110:G111"/>
    <mergeCell ref="H110:H111"/>
    <mergeCell ref="I110:I111"/>
    <mergeCell ref="J110:J111"/>
    <mergeCell ref="K106:K107"/>
    <mergeCell ref="A108:A109"/>
    <mergeCell ref="B108:B109"/>
    <mergeCell ref="G108:G109"/>
    <mergeCell ref="H108:H109"/>
    <mergeCell ref="I108:I109"/>
    <mergeCell ref="J108:J109"/>
    <mergeCell ref="K108:K109"/>
    <mergeCell ref="A106:A107"/>
    <mergeCell ref="B106:B107"/>
    <mergeCell ref="G106:G107"/>
    <mergeCell ref="H106:H107"/>
    <mergeCell ref="I106:I107"/>
    <mergeCell ref="J106:J107"/>
    <mergeCell ref="K102:K103"/>
    <mergeCell ref="A104:A105"/>
    <mergeCell ref="B104:B105"/>
    <mergeCell ref="G104:G105"/>
    <mergeCell ref="H104:H105"/>
    <mergeCell ref="I104:I105"/>
    <mergeCell ref="J104:J105"/>
    <mergeCell ref="K104:K105"/>
    <mergeCell ref="A102:A103"/>
    <mergeCell ref="B102:B103"/>
    <mergeCell ref="G102:G103"/>
    <mergeCell ref="H102:H103"/>
    <mergeCell ref="I102:I103"/>
    <mergeCell ref="J102:J103"/>
    <mergeCell ref="K98:K99"/>
    <mergeCell ref="A100:A101"/>
    <mergeCell ref="B100:B101"/>
    <mergeCell ref="G100:G101"/>
    <mergeCell ref="H100:H101"/>
    <mergeCell ref="I100:I101"/>
    <mergeCell ref="J100:J101"/>
    <mergeCell ref="K100:K101"/>
    <mergeCell ref="A98:A99"/>
    <mergeCell ref="B98:B99"/>
    <mergeCell ref="G98:G99"/>
    <mergeCell ref="H98:H99"/>
    <mergeCell ref="I98:I99"/>
    <mergeCell ref="J98:J99"/>
    <mergeCell ref="K94:K95"/>
    <mergeCell ref="A96:A97"/>
    <mergeCell ref="B96:B97"/>
    <mergeCell ref="G96:G97"/>
    <mergeCell ref="H96:H97"/>
    <mergeCell ref="I96:I97"/>
    <mergeCell ref="J96:J97"/>
    <mergeCell ref="K96:K97"/>
    <mergeCell ref="A94:A95"/>
    <mergeCell ref="B94:B95"/>
    <mergeCell ref="G94:G95"/>
    <mergeCell ref="H94:H95"/>
    <mergeCell ref="I94:I95"/>
    <mergeCell ref="J94:J95"/>
    <mergeCell ref="K90:K91"/>
    <mergeCell ref="A92:A93"/>
    <mergeCell ref="B92:B93"/>
    <mergeCell ref="G92:G93"/>
    <mergeCell ref="H92:H93"/>
    <mergeCell ref="I92:I93"/>
    <mergeCell ref="J92:J93"/>
    <mergeCell ref="K92:K93"/>
    <mergeCell ref="A90:A91"/>
    <mergeCell ref="B90:B91"/>
    <mergeCell ref="G90:G91"/>
    <mergeCell ref="H90:H91"/>
    <mergeCell ref="I90:I91"/>
    <mergeCell ref="J90:J91"/>
    <mergeCell ref="K86:K87"/>
    <mergeCell ref="A88:A89"/>
    <mergeCell ref="B88:B89"/>
    <mergeCell ref="G88:G89"/>
    <mergeCell ref="H88:H89"/>
    <mergeCell ref="I88:I89"/>
    <mergeCell ref="J88:J89"/>
    <mergeCell ref="K88:K89"/>
    <mergeCell ref="A86:A87"/>
    <mergeCell ref="B86:B87"/>
    <mergeCell ref="G86:G87"/>
    <mergeCell ref="H86:H87"/>
    <mergeCell ref="I86:I87"/>
    <mergeCell ref="J86:J87"/>
    <mergeCell ref="K82:K83"/>
    <mergeCell ref="A84:A85"/>
    <mergeCell ref="B84:B85"/>
    <mergeCell ref="G84:G85"/>
    <mergeCell ref="H84:H85"/>
    <mergeCell ref="I84:I85"/>
    <mergeCell ref="J84:J85"/>
    <mergeCell ref="K84:K85"/>
    <mergeCell ref="A82:A83"/>
    <mergeCell ref="B82:B83"/>
    <mergeCell ref="G82:G83"/>
    <mergeCell ref="H82:H83"/>
    <mergeCell ref="I82:I83"/>
    <mergeCell ref="J82:J83"/>
    <mergeCell ref="K78:K79"/>
    <mergeCell ref="A80:A81"/>
    <mergeCell ref="B80:B81"/>
    <mergeCell ref="G80:G81"/>
    <mergeCell ref="H80:H81"/>
    <mergeCell ref="I80:I81"/>
    <mergeCell ref="J80:J81"/>
    <mergeCell ref="K80:K81"/>
    <mergeCell ref="A78:A79"/>
    <mergeCell ref="B78:B79"/>
    <mergeCell ref="G78:G79"/>
    <mergeCell ref="H78:H79"/>
    <mergeCell ref="I78:I79"/>
    <mergeCell ref="J78:J79"/>
    <mergeCell ref="K74:K75"/>
    <mergeCell ref="A76:A77"/>
    <mergeCell ref="B76:B77"/>
    <mergeCell ref="G76:G77"/>
    <mergeCell ref="H76:H77"/>
    <mergeCell ref="I76:I77"/>
    <mergeCell ref="J76:J77"/>
    <mergeCell ref="K76:K77"/>
    <mergeCell ref="A74:A75"/>
    <mergeCell ref="B74:B75"/>
    <mergeCell ref="G74:G75"/>
    <mergeCell ref="H74:H75"/>
    <mergeCell ref="I74:I75"/>
    <mergeCell ref="J74:J75"/>
    <mergeCell ref="K70:K71"/>
    <mergeCell ref="A72:A73"/>
    <mergeCell ref="B72:B73"/>
    <mergeCell ref="G72:G73"/>
    <mergeCell ref="H72:H73"/>
    <mergeCell ref="I72:I73"/>
    <mergeCell ref="J72:J73"/>
    <mergeCell ref="K72:K73"/>
    <mergeCell ref="A70:A71"/>
    <mergeCell ref="B70:B71"/>
    <mergeCell ref="G70:G71"/>
    <mergeCell ref="H70:H71"/>
    <mergeCell ref="I70:I71"/>
    <mergeCell ref="J70:J71"/>
    <mergeCell ref="K66:K67"/>
    <mergeCell ref="A68:A69"/>
    <mergeCell ref="B68:B69"/>
    <mergeCell ref="G68:G69"/>
    <mergeCell ref="H68:H69"/>
    <mergeCell ref="I68:I69"/>
    <mergeCell ref="J68:J69"/>
    <mergeCell ref="K68:K69"/>
    <mergeCell ref="A66:A67"/>
    <mergeCell ref="B66:B67"/>
    <mergeCell ref="G66:G67"/>
    <mergeCell ref="H66:H67"/>
    <mergeCell ref="I66:I67"/>
    <mergeCell ref="J66:J67"/>
    <mergeCell ref="K62:K63"/>
    <mergeCell ref="A64:A65"/>
    <mergeCell ref="B64:B65"/>
    <mergeCell ref="G64:G65"/>
    <mergeCell ref="H64:H65"/>
    <mergeCell ref="I64:I65"/>
    <mergeCell ref="J64:J65"/>
    <mergeCell ref="K64:K65"/>
    <mergeCell ref="A62:A63"/>
    <mergeCell ref="B62:B63"/>
    <mergeCell ref="G62:G63"/>
    <mergeCell ref="H62:H63"/>
    <mergeCell ref="I62:I63"/>
    <mergeCell ref="J62:J63"/>
    <mergeCell ref="K58:K59"/>
    <mergeCell ref="A60:A61"/>
    <mergeCell ref="B60:B61"/>
    <mergeCell ref="G60:G61"/>
    <mergeCell ref="H60:H61"/>
    <mergeCell ref="I60:I61"/>
    <mergeCell ref="J60:J61"/>
    <mergeCell ref="K60:K61"/>
    <mergeCell ref="A58:A59"/>
    <mergeCell ref="B58:B59"/>
    <mergeCell ref="G58:G59"/>
    <mergeCell ref="H58:H59"/>
    <mergeCell ref="I58:I59"/>
    <mergeCell ref="J58:J59"/>
    <mergeCell ref="K54:K55"/>
    <mergeCell ref="A56:A57"/>
    <mergeCell ref="B56:B57"/>
    <mergeCell ref="G56:G57"/>
    <mergeCell ref="H56:H57"/>
    <mergeCell ref="I56:I57"/>
    <mergeCell ref="J56:J57"/>
    <mergeCell ref="K56:K57"/>
    <mergeCell ref="A54:A55"/>
    <mergeCell ref="B54:B55"/>
    <mergeCell ref="G54:G55"/>
    <mergeCell ref="H54:H55"/>
    <mergeCell ref="I54:I55"/>
    <mergeCell ref="J54:J55"/>
    <mergeCell ref="K50:K51"/>
    <mergeCell ref="A52:A53"/>
    <mergeCell ref="B52:B53"/>
    <mergeCell ref="G52:G53"/>
    <mergeCell ref="H52:H53"/>
    <mergeCell ref="I52:I53"/>
    <mergeCell ref="J52:J53"/>
    <mergeCell ref="K52:K53"/>
    <mergeCell ref="A50:A51"/>
    <mergeCell ref="B50:B51"/>
    <mergeCell ref="G50:G51"/>
    <mergeCell ref="H50:H51"/>
    <mergeCell ref="I50:I51"/>
    <mergeCell ref="J50:J51"/>
    <mergeCell ref="K46:K47"/>
    <mergeCell ref="A48:A49"/>
    <mergeCell ref="B48:B49"/>
    <mergeCell ref="G48:G49"/>
    <mergeCell ref="H48:H49"/>
    <mergeCell ref="I48:I49"/>
    <mergeCell ref="J48:J49"/>
    <mergeCell ref="K48:K49"/>
    <mergeCell ref="A46:A47"/>
    <mergeCell ref="B46:B47"/>
    <mergeCell ref="G46:G47"/>
    <mergeCell ref="H46:H47"/>
    <mergeCell ref="I46:I47"/>
    <mergeCell ref="J46:J47"/>
    <mergeCell ref="K42:K43"/>
    <mergeCell ref="A44:A45"/>
    <mergeCell ref="B44:B45"/>
    <mergeCell ref="G44:G45"/>
    <mergeCell ref="H44:H45"/>
    <mergeCell ref="I44:I45"/>
    <mergeCell ref="J44:J45"/>
    <mergeCell ref="K44:K45"/>
    <mergeCell ref="A42:A43"/>
    <mergeCell ref="B42:B43"/>
    <mergeCell ref="G42:G43"/>
    <mergeCell ref="H42:H43"/>
    <mergeCell ref="I42:I43"/>
    <mergeCell ref="J42:J43"/>
    <mergeCell ref="K38:K39"/>
    <mergeCell ref="A40:A41"/>
    <mergeCell ref="B40:B41"/>
    <mergeCell ref="G40:G41"/>
    <mergeCell ref="H40:H41"/>
    <mergeCell ref="I40:I41"/>
    <mergeCell ref="J40:J41"/>
    <mergeCell ref="K40:K41"/>
    <mergeCell ref="A38:A39"/>
    <mergeCell ref="B38:B39"/>
    <mergeCell ref="G38:G39"/>
    <mergeCell ref="H38:H39"/>
    <mergeCell ref="I38:I39"/>
    <mergeCell ref="J38:J39"/>
    <mergeCell ref="K34:K35"/>
    <mergeCell ref="A36:A37"/>
    <mergeCell ref="B36:B37"/>
    <mergeCell ref="G36:G37"/>
    <mergeCell ref="H36:H37"/>
    <mergeCell ref="I36:I37"/>
    <mergeCell ref="J36:J37"/>
    <mergeCell ref="K36:K37"/>
    <mergeCell ref="A34:A35"/>
    <mergeCell ref="B34:B35"/>
    <mergeCell ref="G34:G35"/>
    <mergeCell ref="H34:H35"/>
    <mergeCell ref="I34:I35"/>
    <mergeCell ref="J34:J35"/>
    <mergeCell ref="K30:K31"/>
    <mergeCell ref="A32:A33"/>
    <mergeCell ref="B32:B33"/>
    <mergeCell ref="G32:G33"/>
    <mergeCell ref="H32:H33"/>
    <mergeCell ref="I32:I33"/>
    <mergeCell ref="J32:J33"/>
    <mergeCell ref="K32:K33"/>
    <mergeCell ref="A30:A31"/>
    <mergeCell ref="B30:B31"/>
    <mergeCell ref="G30:G31"/>
    <mergeCell ref="H30:H31"/>
    <mergeCell ref="I30:I31"/>
    <mergeCell ref="J30:J31"/>
    <mergeCell ref="K26:K27"/>
    <mergeCell ref="A28:A29"/>
    <mergeCell ref="B28:B29"/>
    <mergeCell ref="G28:G29"/>
    <mergeCell ref="H28:H29"/>
    <mergeCell ref="I28:I29"/>
    <mergeCell ref="J28:J29"/>
    <mergeCell ref="K28:K29"/>
    <mergeCell ref="A26:A27"/>
    <mergeCell ref="B26:B27"/>
    <mergeCell ref="G26:G27"/>
    <mergeCell ref="H26:H27"/>
    <mergeCell ref="I26:I27"/>
    <mergeCell ref="J26:J27"/>
    <mergeCell ref="K22:K23"/>
    <mergeCell ref="A24:A25"/>
    <mergeCell ref="B24:B25"/>
    <mergeCell ref="G24:G25"/>
    <mergeCell ref="H24:H25"/>
    <mergeCell ref="I24:I25"/>
    <mergeCell ref="J24:J25"/>
    <mergeCell ref="K24:K25"/>
    <mergeCell ref="A22:A23"/>
    <mergeCell ref="B22:B23"/>
    <mergeCell ref="G22:G23"/>
    <mergeCell ref="H22:H23"/>
    <mergeCell ref="I22:I23"/>
    <mergeCell ref="J22:J23"/>
    <mergeCell ref="A16:A17"/>
    <mergeCell ref="B16:B17"/>
    <mergeCell ref="G16:G17"/>
    <mergeCell ref="H16:H17"/>
    <mergeCell ref="I16:I17"/>
    <mergeCell ref="J16:J17"/>
    <mergeCell ref="K16:K17"/>
    <mergeCell ref="K18:K19"/>
    <mergeCell ref="A20:A21"/>
    <mergeCell ref="B20:B21"/>
    <mergeCell ref="G20:G21"/>
    <mergeCell ref="H20:H21"/>
    <mergeCell ref="I20:I21"/>
    <mergeCell ref="J20:J21"/>
    <mergeCell ref="K20:K21"/>
    <mergeCell ref="A18:A19"/>
    <mergeCell ref="B18:B19"/>
    <mergeCell ref="G18:G19"/>
    <mergeCell ref="H18:H19"/>
    <mergeCell ref="I18:I19"/>
    <mergeCell ref="J18:J19"/>
    <mergeCell ref="C13:F13"/>
    <mergeCell ref="A14:A15"/>
    <mergeCell ref="B14:B15"/>
    <mergeCell ref="C14:F14"/>
    <mergeCell ref="G14:G15"/>
    <mergeCell ref="H14:H15"/>
    <mergeCell ref="H9:H10"/>
    <mergeCell ref="I9:K9"/>
    <mergeCell ref="I10:K10"/>
    <mergeCell ref="A11:A12"/>
    <mergeCell ref="B11:B12"/>
    <mergeCell ref="C11:F12"/>
    <mergeCell ref="G11:G12"/>
    <mergeCell ref="H11:H12"/>
    <mergeCell ref="I14:I15"/>
    <mergeCell ref="J14:J15"/>
    <mergeCell ref="K14:K15"/>
    <mergeCell ref="C7:F7"/>
    <mergeCell ref="C8:G8"/>
    <mergeCell ref="A9:A10"/>
    <mergeCell ref="B9:B10"/>
    <mergeCell ref="C9:F10"/>
    <mergeCell ref="G9:G10"/>
    <mergeCell ref="J1:K1"/>
    <mergeCell ref="C2:K2"/>
    <mergeCell ref="C3:K3"/>
    <mergeCell ref="C4:K4"/>
    <mergeCell ref="C5:F5"/>
    <mergeCell ref="C6:F6"/>
  </mergeCells>
  <dataValidations count="1">
    <dataValidation type="decimal" allowBlank="1" showInputMessage="1" showErrorMessage="1" sqref="H16:H17 H16:J19 H24:J31 H34:J37 H42:J47 H50:J61 H66:J71 H74:J95 H100:J115 H118:J123 H126:J143 H146:J151 I160:J161 I166:J179 I182:J195 I198:J201 I206:J209 I212:J215 I220:J231 I234:J245 I248:J251 I254:J261 I266:J281">
      <formula1>-1E+21</formula1>
      <formula2>1E+21</formula2>
    </dataValidation>
  </dataValidations>
  <pageMargins left="0.27559055118110237" right="0.19685039370078741" top="0.47" bottom="0.43" header="0.25" footer="0.2"/>
  <pageSetup paperSize="9" scale="73" orientation="portrait" r:id="rId1"/>
  <headerFooter alignWithMargins="0">
    <oddFooter>&amp;C&amp;"Anlongvill Khek,Regular"&amp;9˜Ñ¡¥˜½ &amp;P</oddFooter>
  </headerFooter>
  <rowBreaks count="1" manualBreakCount="1">
    <brk id="173"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AH213"/>
  <sheetViews>
    <sheetView showGridLines="0" topLeftCell="A13" workbookViewId="0">
      <selection activeCell="K18" sqref="K18:L23"/>
    </sheetView>
  </sheetViews>
  <sheetFormatPr defaultColWidth="9.140625" defaultRowHeight="12.75" zeroHeight="1"/>
  <cols>
    <col min="1" max="1" width="0.85546875" style="183" customWidth="1"/>
    <col min="2" max="2" width="3.42578125" style="183" customWidth="1"/>
    <col min="3" max="3" width="6.140625" style="183" customWidth="1"/>
    <col min="4" max="4" width="3.5703125" style="183" hidden="1" customWidth="1"/>
    <col min="5" max="5" width="5.85546875" style="183" customWidth="1"/>
    <col min="6" max="6" width="0.5703125" style="183" hidden="1" customWidth="1"/>
    <col min="7" max="7" width="6.28515625" style="183" hidden="1" customWidth="1"/>
    <col min="8" max="8" width="1.28515625" style="183" hidden="1" customWidth="1"/>
    <col min="9" max="9" width="50" style="183" customWidth="1"/>
    <col min="10" max="10" width="9.140625" style="183" hidden="1" customWidth="1"/>
    <col min="11" max="11" width="17.140625" style="183" customWidth="1"/>
    <col min="12" max="12" width="17.7109375" style="183" customWidth="1"/>
    <col min="13" max="13" width="19.42578125" style="183" customWidth="1"/>
    <col min="14" max="14" width="9.140625" style="183" customWidth="1"/>
    <col min="15" max="16384" width="9.140625" style="183"/>
  </cols>
  <sheetData>
    <row r="1" spans="1:34" s="191" customFormat="1" ht="25.5">
      <c r="A1" s="1187"/>
      <c r="B1" s="1187"/>
      <c r="C1" s="1187"/>
      <c r="D1" s="1187"/>
      <c r="E1" s="1187"/>
      <c r="F1" s="1187"/>
      <c r="G1" s="1187"/>
      <c r="H1" s="1187"/>
      <c r="I1" s="1187"/>
      <c r="J1" s="1187"/>
      <c r="K1" s="1187"/>
      <c r="N1" s="183"/>
      <c r="O1" s="183"/>
      <c r="P1" s="183"/>
      <c r="Q1" s="183"/>
      <c r="R1" s="183"/>
      <c r="S1" s="183"/>
      <c r="T1" s="183"/>
      <c r="U1" s="183"/>
      <c r="V1" s="183"/>
      <c r="W1" s="183"/>
      <c r="X1" s="183"/>
      <c r="Y1" s="183"/>
      <c r="Z1" s="183"/>
      <c r="AA1" s="183"/>
      <c r="AB1" s="183"/>
      <c r="AC1" s="183"/>
      <c r="AD1" s="183"/>
      <c r="AE1" s="183"/>
      <c r="AF1" s="183"/>
      <c r="AG1" s="183"/>
      <c r="AH1" s="183"/>
    </row>
    <row r="2" spans="1:34" s="191" customFormat="1" ht="33">
      <c r="A2" s="2367" t="s">
        <v>1427</v>
      </c>
      <c r="B2" s="2367"/>
      <c r="C2" s="2367"/>
      <c r="D2" s="2367"/>
      <c r="E2" s="2367"/>
      <c r="F2" s="2367"/>
      <c r="G2" s="2367"/>
      <c r="H2" s="2367"/>
      <c r="I2" s="2367"/>
      <c r="J2" s="2367"/>
      <c r="K2" s="2367"/>
      <c r="L2" s="2367"/>
      <c r="M2" s="2367"/>
      <c r="N2" s="183"/>
      <c r="O2" s="183"/>
      <c r="P2" s="183"/>
      <c r="Q2" s="183"/>
      <c r="R2" s="183"/>
      <c r="S2" s="183"/>
      <c r="T2" s="183"/>
      <c r="U2" s="183"/>
      <c r="V2" s="183"/>
      <c r="W2" s="183"/>
      <c r="X2" s="183"/>
      <c r="Y2" s="183"/>
      <c r="Z2" s="183"/>
      <c r="AA2" s="183"/>
      <c r="AB2" s="183"/>
      <c r="AC2" s="183"/>
      <c r="AD2" s="183"/>
      <c r="AE2" s="183"/>
      <c r="AF2" s="183"/>
      <c r="AG2" s="183"/>
      <c r="AH2" s="183"/>
    </row>
    <row r="3" spans="1:34" s="191" customFormat="1" ht="20.25">
      <c r="A3" s="2368" t="s">
        <v>1428</v>
      </c>
      <c r="B3" s="2368"/>
      <c r="C3" s="2368"/>
      <c r="D3" s="2368"/>
      <c r="E3" s="2368"/>
      <c r="F3" s="2368"/>
      <c r="G3" s="2368"/>
      <c r="H3" s="2368"/>
      <c r="I3" s="2368"/>
      <c r="J3" s="2368"/>
      <c r="K3" s="2368"/>
      <c r="L3" s="2368"/>
      <c r="M3" s="2368"/>
      <c r="N3" s="183"/>
      <c r="O3" s="183"/>
      <c r="P3" s="183"/>
      <c r="Q3" s="183"/>
      <c r="R3" s="183"/>
      <c r="S3" s="183"/>
      <c r="T3" s="183"/>
      <c r="U3" s="183"/>
      <c r="V3" s="183"/>
      <c r="W3" s="183"/>
      <c r="X3" s="183"/>
      <c r="Y3" s="183"/>
      <c r="Z3" s="183"/>
      <c r="AA3" s="183"/>
      <c r="AB3" s="183"/>
      <c r="AC3" s="183"/>
      <c r="AD3" s="183"/>
      <c r="AE3" s="183"/>
      <c r="AF3" s="183"/>
      <c r="AG3" s="183"/>
      <c r="AH3" s="183"/>
    </row>
    <row r="4" spans="1:34" ht="27.75">
      <c r="A4" s="2369" t="s">
        <v>1429</v>
      </c>
      <c r="B4" s="2369"/>
      <c r="C4" s="2369"/>
      <c r="D4" s="2369"/>
      <c r="E4" s="2369"/>
      <c r="F4" s="2369"/>
      <c r="G4" s="2369"/>
      <c r="H4" s="2369"/>
      <c r="I4" s="2369"/>
      <c r="J4" s="2369"/>
      <c r="K4" s="2369"/>
      <c r="L4" s="2369"/>
      <c r="M4" s="2369"/>
    </row>
    <row r="5" spans="1:34" ht="28.5">
      <c r="B5" s="852" t="s">
        <v>1430</v>
      </c>
      <c r="C5" s="852"/>
      <c r="D5" s="852"/>
      <c r="E5" s="852"/>
      <c r="F5" s="852"/>
      <c r="G5" s="852"/>
      <c r="H5" s="852"/>
      <c r="I5" s="776"/>
      <c r="J5" s="852"/>
      <c r="K5" s="852"/>
      <c r="L5" s="852"/>
      <c r="M5" s="1188" t="s">
        <v>1431</v>
      </c>
    </row>
    <row r="6" spans="1:34" ht="15">
      <c r="B6" s="776" t="s">
        <v>1432</v>
      </c>
      <c r="C6" s="776"/>
      <c r="D6" s="776"/>
      <c r="E6" s="776"/>
      <c r="F6" s="776"/>
      <c r="G6" s="776"/>
      <c r="H6" s="776"/>
      <c r="J6" s="776"/>
      <c r="K6" s="776"/>
      <c r="L6" s="776"/>
      <c r="M6" s="776"/>
    </row>
    <row r="7" spans="1:34">
      <c r="A7" s="853"/>
      <c r="B7" s="853"/>
      <c r="C7" s="853"/>
      <c r="D7" s="853"/>
      <c r="E7" s="853"/>
      <c r="F7" s="853"/>
      <c r="G7" s="853"/>
      <c r="H7" s="853"/>
      <c r="I7" s="853"/>
      <c r="J7" s="853"/>
      <c r="K7" s="853"/>
      <c r="L7" s="853"/>
      <c r="M7" s="853"/>
    </row>
    <row r="8" spans="1:34" ht="29.25">
      <c r="B8" s="2370" t="s">
        <v>1433</v>
      </c>
      <c r="C8" s="2371"/>
      <c r="D8" s="2371"/>
      <c r="E8" s="2371"/>
      <c r="F8" s="2371"/>
      <c r="G8" s="2371"/>
      <c r="H8" s="2371"/>
      <c r="I8" s="2371"/>
      <c r="J8" s="854"/>
      <c r="K8" s="854"/>
      <c r="L8" s="2372" t="s">
        <v>1434</v>
      </c>
      <c r="M8" s="2372"/>
    </row>
    <row r="9" spans="1:34" ht="24.75">
      <c r="A9" s="855"/>
      <c r="B9" s="855"/>
      <c r="C9" s="855"/>
      <c r="D9" s="855"/>
      <c r="E9" s="855"/>
      <c r="F9" s="855"/>
      <c r="G9" s="855"/>
      <c r="H9" s="855"/>
      <c r="I9" s="855"/>
      <c r="J9" s="855"/>
      <c r="K9" s="855"/>
      <c r="L9" s="855"/>
      <c r="M9" s="855"/>
    </row>
    <row r="10" spans="1:34" customFormat="1" ht="15">
      <c r="A10" s="684"/>
      <c r="B10" s="2373"/>
      <c r="C10" s="2374"/>
      <c r="D10" s="2374"/>
      <c r="E10" s="2374"/>
      <c r="F10" s="2374"/>
      <c r="G10" s="2374"/>
      <c r="H10" s="2374"/>
      <c r="I10" s="2374"/>
      <c r="J10" s="728"/>
      <c r="K10" s="2379" t="s">
        <v>959</v>
      </c>
      <c r="L10" s="2381" t="s">
        <v>1435</v>
      </c>
      <c r="M10" s="2379" t="s">
        <v>961</v>
      </c>
      <c r="N10" s="183"/>
      <c r="O10" s="183"/>
      <c r="P10" s="183"/>
      <c r="Q10" s="183"/>
      <c r="R10" s="183"/>
      <c r="S10" s="183"/>
      <c r="T10" s="183"/>
      <c r="U10" s="183"/>
      <c r="V10" s="183"/>
      <c r="W10" s="183"/>
      <c r="X10" s="183"/>
      <c r="Y10" s="183"/>
      <c r="Z10" s="183"/>
      <c r="AA10" s="183"/>
      <c r="AB10" s="183"/>
      <c r="AC10" s="183"/>
      <c r="AD10" s="183"/>
      <c r="AE10" s="183"/>
      <c r="AF10" s="183"/>
      <c r="AG10" s="183"/>
      <c r="AH10" s="183"/>
    </row>
    <row r="11" spans="1:34" customFormat="1" ht="36.75" customHeight="1">
      <c r="A11" s="684"/>
      <c r="B11" s="2375"/>
      <c r="C11" s="2376"/>
      <c r="D11" s="2376"/>
      <c r="E11" s="2376"/>
      <c r="F11" s="2376"/>
      <c r="G11" s="2376"/>
      <c r="H11" s="2376"/>
      <c r="I11" s="2376"/>
      <c r="J11" s="729"/>
      <c r="K11" s="2380"/>
      <c r="L11" s="2382"/>
      <c r="M11" s="2380"/>
      <c r="N11" s="183"/>
      <c r="O11" s="183"/>
      <c r="P11" s="183"/>
      <c r="Q11" s="183"/>
      <c r="R11" s="183"/>
      <c r="S11" s="183"/>
      <c r="T11" s="183"/>
      <c r="U11" s="183"/>
      <c r="V11" s="183"/>
      <c r="W11" s="183"/>
      <c r="X11" s="183"/>
      <c r="Y11" s="183"/>
      <c r="Z11" s="183"/>
      <c r="AA11" s="183"/>
      <c r="AB11" s="183"/>
      <c r="AC11" s="183"/>
      <c r="AD11" s="183"/>
      <c r="AE11" s="183"/>
      <c r="AF11" s="183"/>
      <c r="AG11" s="183"/>
      <c r="AH11" s="183"/>
    </row>
    <row r="12" spans="1:34" customFormat="1" ht="15">
      <c r="A12" s="684"/>
      <c r="B12" s="2375"/>
      <c r="C12" s="2376"/>
      <c r="D12" s="2376"/>
      <c r="E12" s="2376"/>
      <c r="F12" s="2376"/>
      <c r="G12" s="2376"/>
      <c r="H12" s="2376"/>
      <c r="I12" s="2376"/>
      <c r="J12" s="729"/>
      <c r="K12" s="2383" t="s">
        <v>1436</v>
      </c>
      <c r="L12" s="2385" t="s">
        <v>1437</v>
      </c>
      <c r="M12" s="2387" t="s">
        <v>1438</v>
      </c>
      <c r="N12" s="183"/>
      <c r="O12" s="183"/>
      <c r="P12" s="183"/>
      <c r="Q12" s="183"/>
      <c r="R12" s="183"/>
      <c r="S12" s="183"/>
      <c r="T12" s="183"/>
      <c r="U12" s="183"/>
      <c r="V12" s="183"/>
      <c r="W12" s="183"/>
      <c r="X12" s="183"/>
      <c r="Y12" s="183"/>
      <c r="Z12" s="183"/>
      <c r="AA12" s="183"/>
      <c r="AB12" s="183"/>
      <c r="AC12" s="183"/>
      <c r="AD12" s="183"/>
      <c r="AE12" s="183"/>
      <c r="AF12" s="183"/>
      <c r="AG12" s="183"/>
      <c r="AH12" s="183"/>
    </row>
    <row r="13" spans="1:34" customFormat="1" ht="15">
      <c r="A13" s="684"/>
      <c r="B13" s="2377"/>
      <c r="C13" s="2378"/>
      <c r="D13" s="2378"/>
      <c r="E13" s="2378"/>
      <c r="F13" s="2378"/>
      <c r="G13" s="2378"/>
      <c r="H13" s="2378"/>
      <c r="I13" s="2378"/>
      <c r="J13" s="730"/>
      <c r="K13" s="2384"/>
      <c r="L13" s="2386"/>
      <c r="M13" s="2388"/>
      <c r="N13" s="183"/>
      <c r="O13" s="183"/>
      <c r="P13" s="183"/>
      <c r="Q13" s="183"/>
      <c r="R13" s="183"/>
      <c r="S13" s="183"/>
      <c r="T13" s="183"/>
      <c r="U13" s="183"/>
      <c r="V13" s="183"/>
      <c r="W13" s="183"/>
      <c r="X13" s="183"/>
      <c r="Y13" s="183"/>
      <c r="Z13" s="183"/>
      <c r="AA13" s="183"/>
      <c r="AB13" s="183"/>
      <c r="AC13" s="183"/>
      <c r="AD13" s="183"/>
      <c r="AE13" s="183"/>
      <c r="AF13" s="183"/>
      <c r="AG13" s="183"/>
      <c r="AH13" s="183"/>
    </row>
    <row r="14" spans="1:34" customFormat="1" ht="25.5">
      <c r="A14" s="685"/>
      <c r="B14" s="686" t="s">
        <v>380</v>
      </c>
      <c r="C14" s="2359" t="s">
        <v>1439</v>
      </c>
      <c r="D14" s="2359"/>
      <c r="E14" s="2359"/>
      <c r="F14" s="2359"/>
      <c r="G14" s="2359"/>
      <c r="H14" s="2359"/>
      <c r="I14" s="2359"/>
      <c r="J14" s="2360"/>
      <c r="K14" s="2361">
        <f>+K16+K24+K36+K48</f>
        <v>0</v>
      </c>
      <c r="L14" s="2361">
        <f>+L16+L24+L36+L48</f>
        <v>0</v>
      </c>
      <c r="M14" s="2363">
        <f>+K14+L14</f>
        <v>0</v>
      </c>
      <c r="N14" s="183"/>
      <c r="O14" s="183"/>
      <c r="P14" s="183"/>
      <c r="Q14" s="183"/>
      <c r="R14" s="183"/>
      <c r="S14" s="183"/>
      <c r="T14" s="183"/>
      <c r="U14" s="183"/>
      <c r="V14" s="183"/>
      <c r="W14" s="183"/>
      <c r="X14" s="183"/>
      <c r="Y14" s="183"/>
      <c r="Z14" s="183"/>
      <c r="AA14" s="183"/>
      <c r="AB14" s="183"/>
      <c r="AC14" s="183"/>
      <c r="AD14" s="183"/>
      <c r="AE14" s="183"/>
      <c r="AF14" s="183"/>
      <c r="AG14" s="183"/>
      <c r="AH14" s="183"/>
    </row>
    <row r="15" spans="1:34" customFormat="1" ht="15">
      <c r="A15" s="685"/>
      <c r="B15" s="687" t="s">
        <v>380</v>
      </c>
      <c r="C15" s="2365" t="s">
        <v>1440</v>
      </c>
      <c r="D15" s="2365"/>
      <c r="E15" s="2365"/>
      <c r="F15" s="2365"/>
      <c r="G15" s="2365"/>
      <c r="H15" s="2365"/>
      <c r="I15" s="2365"/>
      <c r="J15" s="2366"/>
      <c r="K15" s="2362"/>
      <c r="L15" s="2362"/>
      <c r="M15" s="2364"/>
      <c r="N15" s="183"/>
      <c r="O15" s="183"/>
      <c r="P15" s="183"/>
      <c r="Q15" s="183"/>
      <c r="R15" s="183"/>
      <c r="S15" s="183"/>
      <c r="T15" s="183"/>
      <c r="U15" s="183"/>
      <c r="V15" s="183"/>
      <c r="W15" s="183"/>
      <c r="X15" s="183"/>
      <c r="Y15" s="183"/>
      <c r="Z15" s="183"/>
      <c r="AA15" s="183"/>
      <c r="AB15" s="183"/>
      <c r="AC15" s="183"/>
      <c r="AD15" s="183"/>
      <c r="AE15" s="183"/>
      <c r="AF15" s="183"/>
      <c r="AG15" s="183"/>
      <c r="AH15" s="183"/>
    </row>
    <row r="16" spans="1:34" customFormat="1" ht="24.75">
      <c r="A16" s="688"/>
      <c r="B16" s="731"/>
      <c r="C16" s="748" t="s">
        <v>1441</v>
      </c>
      <c r="D16" s="1184"/>
      <c r="E16" s="2351" t="s">
        <v>1442</v>
      </c>
      <c r="F16" s="2351"/>
      <c r="G16" s="2351"/>
      <c r="H16" s="2351"/>
      <c r="I16" s="2351"/>
      <c r="J16" s="2352"/>
      <c r="K16" s="2358">
        <f>SUM(K18:K23)</f>
        <v>0</v>
      </c>
      <c r="L16" s="2358">
        <f>SUM(L18:L23)</f>
        <v>0</v>
      </c>
      <c r="M16" s="2354">
        <f>+K16+L16</f>
        <v>0</v>
      </c>
      <c r="N16" s="183"/>
      <c r="O16" s="183"/>
      <c r="P16" s="183"/>
      <c r="Q16" s="183"/>
      <c r="R16" s="183"/>
      <c r="S16" s="183"/>
      <c r="T16" s="183"/>
      <c r="U16" s="183"/>
      <c r="V16" s="183"/>
      <c r="W16" s="183"/>
      <c r="X16" s="183"/>
      <c r="Y16" s="183"/>
      <c r="Z16" s="183"/>
      <c r="AA16" s="183"/>
      <c r="AB16" s="183"/>
      <c r="AC16" s="183"/>
      <c r="AD16" s="183"/>
      <c r="AE16" s="183"/>
      <c r="AF16" s="183"/>
      <c r="AG16" s="183"/>
      <c r="AH16" s="183"/>
    </row>
    <row r="17" spans="1:34" customFormat="1" ht="15">
      <c r="A17" s="688"/>
      <c r="B17" s="735"/>
      <c r="C17" s="1185">
        <v>1.1000000000000001</v>
      </c>
      <c r="D17" s="1186"/>
      <c r="E17" s="2356" t="s">
        <v>1443</v>
      </c>
      <c r="F17" s="2356"/>
      <c r="G17" s="2356"/>
      <c r="H17" s="2356"/>
      <c r="I17" s="2356"/>
      <c r="J17" s="2357"/>
      <c r="K17" s="2358"/>
      <c r="L17" s="2358"/>
      <c r="M17" s="2355"/>
      <c r="N17" s="183"/>
      <c r="O17" s="183"/>
      <c r="P17" s="183"/>
      <c r="Q17" s="183"/>
      <c r="R17" s="183"/>
      <c r="S17" s="183"/>
      <c r="T17" s="183"/>
      <c r="U17" s="183"/>
      <c r="V17" s="183"/>
      <c r="W17" s="183"/>
      <c r="X17" s="183"/>
      <c r="Y17" s="183"/>
      <c r="Z17" s="183"/>
      <c r="AA17" s="183"/>
      <c r="AB17" s="183"/>
      <c r="AC17" s="183"/>
      <c r="AD17" s="183"/>
      <c r="AE17" s="183"/>
      <c r="AF17" s="183"/>
      <c r="AG17" s="183"/>
      <c r="AH17" s="183"/>
    </row>
    <row r="18" spans="1:34" customFormat="1" ht="24.75">
      <c r="A18" s="688"/>
      <c r="B18" s="731"/>
      <c r="C18" s="732"/>
      <c r="D18" s="732"/>
      <c r="E18" s="748" t="s">
        <v>1444</v>
      </c>
      <c r="F18" s="747"/>
      <c r="G18" s="2351" t="s">
        <v>1445</v>
      </c>
      <c r="H18" s="2351"/>
      <c r="I18" s="2351"/>
      <c r="J18" s="2352"/>
      <c r="K18" s="2353"/>
      <c r="L18" s="2353"/>
      <c r="M18" s="2354">
        <f>+K18+L18</f>
        <v>0</v>
      </c>
      <c r="N18" s="183"/>
      <c r="O18" s="183"/>
      <c r="P18" s="183"/>
      <c r="Q18" s="183"/>
      <c r="R18" s="183"/>
      <c r="S18" s="183"/>
      <c r="T18" s="183"/>
      <c r="U18" s="183"/>
      <c r="V18" s="183"/>
      <c r="W18" s="183"/>
      <c r="X18" s="183"/>
      <c r="Y18" s="183"/>
      <c r="Z18" s="183"/>
      <c r="AA18" s="183"/>
      <c r="AB18" s="183"/>
      <c r="AC18" s="183"/>
      <c r="AD18" s="183"/>
      <c r="AE18" s="183"/>
      <c r="AF18" s="183"/>
      <c r="AG18" s="183"/>
      <c r="AH18" s="183"/>
    </row>
    <row r="19" spans="1:34" customFormat="1" ht="15">
      <c r="A19" s="688"/>
      <c r="B19" s="735"/>
      <c r="C19" s="736"/>
      <c r="D19" s="736"/>
      <c r="E19" s="740" t="s">
        <v>1446</v>
      </c>
      <c r="F19" s="740"/>
      <c r="G19" s="2356" t="s">
        <v>1447</v>
      </c>
      <c r="H19" s="2356"/>
      <c r="I19" s="2356"/>
      <c r="J19" s="2357"/>
      <c r="K19" s="2353"/>
      <c r="L19" s="2353"/>
      <c r="M19" s="2355"/>
      <c r="N19" s="183"/>
      <c r="O19" s="183"/>
      <c r="P19" s="183"/>
      <c r="Q19" s="183"/>
      <c r="R19" s="183"/>
      <c r="S19" s="183"/>
      <c r="T19" s="183"/>
      <c r="U19" s="183"/>
      <c r="V19" s="183"/>
      <c r="W19" s="183"/>
      <c r="X19" s="183"/>
      <c r="Y19" s="183"/>
      <c r="Z19" s="183"/>
      <c r="AA19" s="183"/>
      <c r="AB19" s="183"/>
      <c r="AC19" s="183"/>
      <c r="AD19" s="183"/>
      <c r="AE19" s="183"/>
      <c r="AF19" s="183"/>
      <c r="AG19" s="183"/>
      <c r="AH19" s="183"/>
    </row>
    <row r="20" spans="1:34" customFormat="1" ht="24.75">
      <c r="A20" s="688"/>
      <c r="B20" s="731"/>
      <c r="C20" s="732"/>
      <c r="D20" s="732"/>
      <c r="E20" s="748" t="s">
        <v>1448</v>
      </c>
      <c r="F20" s="747"/>
      <c r="G20" s="2351" t="s">
        <v>1449</v>
      </c>
      <c r="H20" s="2351"/>
      <c r="I20" s="2351"/>
      <c r="J20" s="2352"/>
      <c r="K20" s="2353"/>
      <c r="L20" s="2353"/>
      <c r="M20" s="2354">
        <f>+K20+L20</f>
        <v>0</v>
      </c>
      <c r="N20" s="183"/>
      <c r="O20" s="183"/>
      <c r="P20" s="183"/>
      <c r="Q20" s="183"/>
      <c r="R20" s="183"/>
      <c r="S20" s="183"/>
      <c r="T20" s="183"/>
      <c r="U20" s="183"/>
      <c r="V20" s="183"/>
      <c r="W20" s="183"/>
      <c r="X20" s="183"/>
      <c r="Y20" s="183"/>
      <c r="Z20" s="183"/>
      <c r="AA20" s="183"/>
      <c r="AB20" s="183"/>
      <c r="AC20" s="183"/>
      <c r="AD20" s="183"/>
      <c r="AE20" s="183"/>
      <c r="AF20" s="183"/>
      <c r="AG20" s="183"/>
      <c r="AH20" s="183"/>
    </row>
    <row r="21" spans="1:34" customFormat="1" ht="15">
      <c r="A21" s="688"/>
      <c r="B21" s="735"/>
      <c r="C21" s="736"/>
      <c r="D21" s="736"/>
      <c r="E21" s="740" t="s">
        <v>1450</v>
      </c>
      <c r="F21" s="740"/>
      <c r="G21" s="2356" t="s">
        <v>1451</v>
      </c>
      <c r="H21" s="2356"/>
      <c r="I21" s="2356"/>
      <c r="J21" s="2357"/>
      <c r="K21" s="2353"/>
      <c r="L21" s="2353"/>
      <c r="M21" s="2355"/>
      <c r="N21" s="183"/>
      <c r="O21" s="183"/>
      <c r="P21" s="183"/>
      <c r="Q21" s="183"/>
      <c r="R21" s="183"/>
      <c r="S21" s="183"/>
      <c r="T21" s="183"/>
      <c r="U21" s="183"/>
      <c r="V21" s="183"/>
      <c r="W21" s="183"/>
      <c r="X21" s="183"/>
      <c r="Y21" s="183"/>
      <c r="Z21" s="183"/>
      <c r="AA21" s="183"/>
      <c r="AB21" s="183"/>
      <c r="AC21" s="183"/>
      <c r="AD21" s="183"/>
      <c r="AE21" s="183"/>
      <c r="AF21" s="183"/>
      <c r="AG21" s="183"/>
      <c r="AH21" s="183"/>
    </row>
    <row r="22" spans="1:34" customFormat="1" ht="24.75">
      <c r="A22" s="688"/>
      <c r="B22" s="731"/>
      <c r="C22" s="732"/>
      <c r="D22" s="732"/>
      <c r="E22" s="748" t="s">
        <v>1452</v>
      </c>
      <c r="F22" s="839"/>
      <c r="G22" s="2351" t="s">
        <v>1453</v>
      </c>
      <c r="H22" s="2351"/>
      <c r="I22" s="2351"/>
      <c r="J22" s="2352"/>
      <c r="K22" s="2389"/>
      <c r="L22" s="2389"/>
      <c r="M22" s="2354">
        <f>+K22+L22</f>
        <v>0</v>
      </c>
      <c r="N22" s="183"/>
      <c r="O22" s="183"/>
      <c r="P22" s="183"/>
      <c r="Q22" s="183"/>
      <c r="R22" s="183"/>
      <c r="S22" s="183"/>
      <c r="T22" s="183"/>
      <c r="U22" s="183"/>
      <c r="V22" s="183"/>
      <c r="W22" s="183"/>
      <c r="X22" s="183"/>
      <c r="Y22" s="183"/>
      <c r="Z22" s="183"/>
      <c r="AA22" s="183"/>
      <c r="AB22" s="183"/>
      <c r="AC22" s="183"/>
      <c r="AD22" s="183"/>
      <c r="AE22" s="183"/>
      <c r="AF22" s="183"/>
      <c r="AG22" s="183"/>
      <c r="AH22" s="183"/>
    </row>
    <row r="23" spans="1:34" customFormat="1" ht="15">
      <c r="A23" s="688"/>
      <c r="B23" s="735"/>
      <c r="C23" s="736"/>
      <c r="D23" s="736"/>
      <c r="E23" s="740" t="s">
        <v>1454</v>
      </c>
      <c r="F23" s="740"/>
      <c r="G23" s="2356" t="s">
        <v>1455</v>
      </c>
      <c r="H23" s="2356"/>
      <c r="I23" s="2356"/>
      <c r="J23" s="2357"/>
      <c r="K23" s="2389"/>
      <c r="L23" s="2389"/>
      <c r="M23" s="2355"/>
      <c r="N23" s="183"/>
      <c r="O23" s="183"/>
      <c r="P23" s="183"/>
      <c r="Q23" s="183"/>
      <c r="R23" s="183"/>
      <c r="S23" s="183"/>
      <c r="T23" s="183"/>
      <c r="U23" s="183"/>
      <c r="V23" s="183"/>
      <c r="W23" s="183"/>
      <c r="X23" s="183"/>
      <c r="Y23" s="183"/>
      <c r="Z23" s="183"/>
      <c r="AA23" s="183"/>
      <c r="AB23" s="183"/>
      <c r="AC23" s="183"/>
      <c r="AD23" s="183"/>
      <c r="AE23" s="183"/>
      <c r="AF23" s="183"/>
      <c r="AG23" s="183"/>
      <c r="AH23" s="183"/>
    </row>
    <row r="24" spans="1:34" customFormat="1" ht="24.75">
      <c r="A24" s="688"/>
      <c r="B24" s="731"/>
      <c r="C24" s="748" t="s">
        <v>1456</v>
      </c>
      <c r="D24" s="1182"/>
      <c r="E24" s="2351" t="s">
        <v>1457</v>
      </c>
      <c r="F24" s="2351"/>
      <c r="G24" s="2351"/>
      <c r="H24" s="2351"/>
      <c r="I24" s="2351"/>
      <c r="J24" s="2352"/>
      <c r="K24" s="2358">
        <f>K26+K28+K30</f>
        <v>0</v>
      </c>
      <c r="L24" s="2358">
        <f>L26+L28+L30</f>
        <v>0</v>
      </c>
      <c r="M24" s="2354">
        <f>K24+L24</f>
        <v>0</v>
      </c>
      <c r="N24" s="183"/>
      <c r="O24" s="183"/>
      <c r="P24" s="183"/>
      <c r="Q24" s="183"/>
      <c r="R24" s="183"/>
      <c r="S24" s="183"/>
      <c r="T24" s="183"/>
      <c r="U24" s="183"/>
      <c r="V24" s="183"/>
      <c r="W24" s="183"/>
      <c r="X24" s="183"/>
      <c r="Y24" s="183"/>
      <c r="Z24" s="183"/>
      <c r="AA24" s="183"/>
      <c r="AB24" s="183"/>
      <c r="AC24" s="183"/>
      <c r="AD24" s="183"/>
      <c r="AE24" s="183"/>
      <c r="AF24" s="183"/>
      <c r="AG24" s="183"/>
      <c r="AH24" s="183"/>
    </row>
    <row r="25" spans="1:34" customFormat="1" ht="15">
      <c r="A25" s="688"/>
      <c r="B25" s="735"/>
      <c r="C25" s="835">
        <v>1.2</v>
      </c>
      <c r="D25" s="1183"/>
      <c r="E25" s="2356" t="s">
        <v>1458</v>
      </c>
      <c r="F25" s="2356"/>
      <c r="G25" s="2356"/>
      <c r="H25" s="2356"/>
      <c r="I25" s="2356"/>
      <c r="J25" s="2357"/>
      <c r="K25" s="2358"/>
      <c r="L25" s="2358"/>
      <c r="M25" s="2355"/>
      <c r="N25" s="183"/>
      <c r="O25" s="183"/>
      <c r="P25" s="183"/>
      <c r="Q25" s="183"/>
      <c r="R25" s="183"/>
      <c r="S25" s="183"/>
      <c r="T25" s="183"/>
      <c r="U25" s="183"/>
      <c r="V25" s="183"/>
      <c r="W25" s="183"/>
      <c r="X25" s="183"/>
      <c r="Y25" s="183"/>
      <c r="Z25" s="183"/>
      <c r="AA25" s="183"/>
      <c r="AB25" s="183"/>
      <c r="AC25" s="183"/>
      <c r="AD25" s="183"/>
      <c r="AE25" s="183"/>
      <c r="AF25" s="183"/>
      <c r="AG25" s="183"/>
      <c r="AH25" s="183"/>
    </row>
    <row r="26" spans="1:34" customFormat="1" ht="24.75">
      <c r="A26" s="688"/>
      <c r="B26" s="731"/>
      <c r="C26" s="732"/>
      <c r="D26" s="732"/>
      <c r="E26" s="748" t="s">
        <v>1459</v>
      </c>
      <c r="F26" s="747"/>
      <c r="G26" s="747"/>
      <c r="H26" s="747"/>
      <c r="I26" s="748" t="s">
        <v>1460</v>
      </c>
      <c r="J26" s="689"/>
      <c r="K26" s="2353"/>
      <c r="L26" s="2353"/>
      <c r="M26" s="2354">
        <f>+K26+L26</f>
        <v>0</v>
      </c>
      <c r="N26" s="183"/>
      <c r="O26" s="183"/>
      <c r="P26" s="183"/>
      <c r="Q26" s="183"/>
      <c r="R26" s="183"/>
      <c r="S26" s="183"/>
      <c r="T26" s="183"/>
      <c r="U26" s="183"/>
      <c r="V26" s="183"/>
      <c r="W26" s="183"/>
      <c r="X26" s="183"/>
      <c r="Y26" s="183"/>
      <c r="Z26" s="183"/>
      <c r="AA26" s="183"/>
      <c r="AB26" s="183"/>
      <c r="AC26" s="183"/>
      <c r="AD26" s="183"/>
      <c r="AE26" s="183"/>
      <c r="AF26" s="183"/>
      <c r="AG26" s="183"/>
      <c r="AH26" s="183"/>
    </row>
    <row r="27" spans="1:34" customFormat="1" ht="15">
      <c r="A27" s="688"/>
      <c r="B27" s="735"/>
      <c r="C27" s="736"/>
      <c r="D27" s="736"/>
      <c r="E27" s="740" t="s">
        <v>1461</v>
      </c>
      <c r="F27" s="740"/>
      <c r="G27" s="740"/>
      <c r="H27" s="740"/>
      <c r="I27" s="740" t="s">
        <v>1462</v>
      </c>
      <c r="J27" s="690"/>
      <c r="K27" s="2353"/>
      <c r="L27" s="2353"/>
      <c r="M27" s="2355"/>
      <c r="N27" s="183"/>
      <c r="O27" s="183"/>
      <c r="P27" s="183"/>
      <c r="Q27" s="183"/>
      <c r="R27" s="183"/>
      <c r="S27" s="183"/>
      <c r="T27" s="183"/>
      <c r="U27" s="183"/>
      <c r="V27" s="183"/>
      <c r="W27" s="183"/>
      <c r="X27" s="183"/>
      <c r="Y27" s="183"/>
      <c r="Z27" s="183"/>
      <c r="AA27" s="183"/>
      <c r="AB27" s="183"/>
      <c r="AC27" s="183"/>
      <c r="AD27" s="183"/>
      <c r="AE27" s="183"/>
      <c r="AF27" s="183"/>
      <c r="AG27" s="183"/>
      <c r="AH27" s="183"/>
    </row>
    <row r="28" spans="1:34" customFormat="1" ht="24.75">
      <c r="A28" s="688"/>
      <c r="B28" s="731"/>
      <c r="C28" s="732"/>
      <c r="D28" s="732"/>
      <c r="E28" s="748" t="s">
        <v>1463</v>
      </c>
      <c r="F28" s="747"/>
      <c r="G28" s="747"/>
      <c r="H28" s="747"/>
      <c r="I28" s="748" t="s">
        <v>1464</v>
      </c>
      <c r="J28" s="691"/>
      <c r="K28" s="2353"/>
      <c r="L28" s="2353"/>
      <c r="M28" s="2354">
        <f>+K28+L28</f>
        <v>0</v>
      </c>
      <c r="N28" s="183"/>
      <c r="O28" s="183"/>
      <c r="P28" s="183"/>
      <c r="Q28" s="183"/>
      <c r="R28" s="183"/>
      <c r="S28" s="183"/>
      <c r="T28" s="183"/>
      <c r="U28" s="183"/>
      <c r="V28" s="183"/>
      <c r="W28" s="183"/>
      <c r="X28" s="183"/>
      <c r="Y28" s="183"/>
      <c r="Z28" s="183"/>
      <c r="AA28" s="183"/>
      <c r="AB28" s="183"/>
      <c r="AC28" s="183"/>
      <c r="AD28" s="183"/>
      <c r="AE28" s="183"/>
      <c r="AF28" s="183"/>
      <c r="AG28" s="183"/>
      <c r="AH28" s="183"/>
    </row>
    <row r="29" spans="1:34" customFormat="1" ht="15">
      <c r="A29" s="688"/>
      <c r="B29" s="735"/>
      <c r="C29" s="736"/>
      <c r="D29" s="736"/>
      <c r="E29" s="740" t="s">
        <v>1465</v>
      </c>
      <c r="F29" s="740"/>
      <c r="G29" s="740"/>
      <c r="H29" s="740"/>
      <c r="I29" s="740" t="s">
        <v>1466</v>
      </c>
      <c r="J29" s="690"/>
      <c r="K29" s="2353"/>
      <c r="L29" s="2353"/>
      <c r="M29" s="2355"/>
      <c r="N29" s="183"/>
      <c r="O29" s="183"/>
      <c r="P29" s="183"/>
      <c r="Q29" s="183"/>
      <c r="R29" s="183"/>
      <c r="S29" s="183"/>
      <c r="T29" s="183"/>
      <c r="U29" s="183"/>
      <c r="V29" s="183"/>
      <c r="W29" s="183"/>
      <c r="X29" s="183"/>
      <c r="Y29" s="183"/>
      <c r="Z29" s="183"/>
      <c r="AA29" s="183"/>
      <c r="AB29" s="183"/>
      <c r="AC29" s="183"/>
      <c r="AD29" s="183"/>
      <c r="AE29" s="183"/>
      <c r="AF29" s="183"/>
      <c r="AG29" s="183"/>
      <c r="AH29" s="183"/>
    </row>
    <row r="30" spans="1:34" customFormat="1" ht="24.75">
      <c r="A30" s="688"/>
      <c r="B30" s="731"/>
      <c r="C30" s="732"/>
      <c r="D30" s="732"/>
      <c r="E30" s="748" t="s">
        <v>1467</v>
      </c>
      <c r="F30" s="747"/>
      <c r="G30" s="747"/>
      <c r="H30" s="747"/>
      <c r="I30" s="748" t="s">
        <v>1468</v>
      </c>
      <c r="J30" s="691"/>
      <c r="K30" s="2353"/>
      <c r="L30" s="2353"/>
      <c r="M30" s="2354">
        <f>+K30+L30</f>
        <v>0</v>
      </c>
      <c r="N30" s="183"/>
      <c r="O30" s="183"/>
      <c r="P30" s="183"/>
      <c r="Q30" s="183"/>
      <c r="R30" s="183"/>
      <c r="S30" s="183"/>
      <c r="T30" s="183"/>
      <c r="U30" s="183"/>
      <c r="V30" s="183"/>
      <c r="W30" s="183"/>
      <c r="X30" s="183"/>
      <c r="Y30" s="183"/>
      <c r="Z30" s="183"/>
      <c r="AA30" s="183"/>
      <c r="AB30" s="183"/>
      <c r="AC30" s="183"/>
      <c r="AD30" s="183"/>
      <c r="AE30" s="183"/>
      <c r="AF30" s="183"/>
      <c r="AG30" s="183"/>
      <c r="AH30" s="183"/>
    </row>
    <row r="31" spans="1:34" customFormat="1" ht="15">
      <c r="A31" s="688"/>
      <c r="B31" s="735"/>
      <c r="C31" s="736"/>
      <c r="D31" s="736"/>
      <c r="E31" s="739" t="s">
        <v>1469</v>
      </c>
      <c r="F31" s="758"/>
      <c r="G31" s="758"/>
      <c r="H31" s="758"/>
      <c r="I31" s="758" t="s">
        <v>1470</v>
      </c>
      <c r="J31" s="692"/>
      <c r="K31" s="2353"/>
      <c r="L31" s="2353"/>
      <c r="M31" s="2355"/>
      <c r="N31" s="183"/>
      <c r="O31" s="183"/>
      <c r="P31" s="183"/>
      <c r="Q31" s="183"/>
      <c r="R31" s="183"/>
      <c r="S31" s="183"/>
      <c r="T31" s="183"/>
      <c r="U31" s="183"/>
      <c r="V31" s="183"/>
      <c r="W31" s="183"/>
      <c r="X31" s="183"/>
      <c r="Y31" s="183"/>
      <c r="Z31" s="183"/>
      <c r="AA31" s="183"/>
      <c r="AB31" s="183"/>
      <c r="AC31" s="183"/>
      <c r="AD31" s="183"/>
      <c r="AE31" s="183"/>
      <c r="AF31" s="183"/>
      <c r="AG31" s="183"/>
      <c r="AH31" s="183"/>
    </row>
    <row r="32" spans="1:34" customFormat="1" ht="24.75">
      <c r="A32" s="688"/>
      <c r="B32" s="731"/>
      <c r="C32" s="732"/>
      <c r="D32" s="732"/>
      <c r="E32" s="748" t="s">
        <v>1471</v>
      </c>
      <c r="F32" s="747"/>
      <c r="G32" s="747"/>
      <c r="H32" s="747"/>
      <c r="I32" s="748" t="s">
        <v>1472</v>
      </c>
      <c r="J32" s="691"/>
      <c r="K32" s="2353"/>
      <c r="L32" s="2353"/>
      <c r="M32" s="2354">
        <f>+K32+L32</f>
        <v>0</v>
      </c>
      <c r="N32" s="183"/>
      <c r="O32" s="183"/>
      <c r="P32" s="183"/>
      <c r="Q32" s="183"/>
      <c r="R32" s="183"/>
      <c r="S32" s="183"/>
      <c r="T32" s="183"/>
      <c r="U32" s="183"/>
      <c r="V32" s="183"/>
      <c r="W32" s="183"/>
      <c r="X32" s="183"/>
      <c r="Y32" s="183"/>
      <c r="Z32" s="183"/>
      <c r="AA32" s="183"/>
      <c r="AB32" s="183"/>
      <c r="AC32" s="183"/>
      <c r="AD32" s="183"/>
      <c r="AE32" s="183"/>
      <c r="AF32" s="183"/>
      <c r="AG32" s="183"/>
      <c r="AH32" s="183"/>
    </row>
    <row r="33" spans="1:34" customFormat="1" ht="15">
      <c r="A33" s="688"/>
      <c r="B33" s="735"/>
      <c r="C33" s="736"/>
      <c r="D33" s="736"/>
      <c r="E33" s="759" t="s">
        <v>1473</v>
      </c>
      <c r="F33" s="760"/>
      <c r="G33" s="760"/>
      <c r="H33" s="760"/>
      <c r="I33" s="760" t="s">
        <v>1474</v>
      </c>
      <c r="J33" s="693"/>
      <c r="K33" s="2353"/>
      <c r="L33" s="2353"/>
      <c r="M33" s="2355"/>
      <c r="N33" s="183"/>
      <c r="O33" s="183"/>
      <c r="P33" s="183"/>
      <c r="Q33" s="183"/>
      <c r="R33" s="183"/>
      <c r="S33" s="183"/>
      <c r="T33" s="183"/>
      <c r="U33" s="183"/>
      <c r="V33" s="183"/>
      <c r="W33" s="183"/>
      <c r="X33" s="183"/>
      <c r="Y33" s="183"/>
      <c r="Z33" s="183"/>
      <c r="AA33" s="183"/>
      <c r="AB33" s="183"/>
      <c r="AC33" s="183"/>
      <c r="AD33" s="183"/>
      <c r="AE33" s="183"/>
      <c r="AF33" s="183"/>
      <c r="AG33" s="183"/>
      <c r="AH33" s="183"/>
    </row>
    <row r="34" spans="1:34" customFormat="1" ht="24.75">
      <c r="A34" s="688"/>
      <c r="B34" s="731"/>
      <c r="C34" s="732"/>
      <c r="D34" s="732"/>
      <c r="E34" s="748" t="s">
        <v>1475</v>
      </c>
      <c r="F34" s="747"/>
      <c r="G34" s="747"/>
      <c r="H34" s="747"/>
      <c r="I34" s="748" t="s">
        <v>1476</v>
      </c>
      <c r="J34" s="691"/>
      <c r="K34" s="2353"/>
      <c r="L34" s="2353"/>
      <c r="M34" s="2354">
        <f>+K34+L34</f>
        <v>0</v>
      </c>
      <c r="N34" s="183"/>
      <c r="O34" s="183"/>
      <c r="P34" s="183"/>
      <c r="Q34" s="183"/>
      <c r="R34" s="183"/>
      <c r="S34" s="183"/>
      <c r="T34" s="183"/>
      <c r="U34" s="183"/>
      <c r="V34" s="183"/>
      <c r="W34" s="183"/>
      <c r="X34" s="183"/>
      <c r="Y34" s="183"/>
      <c r="Z34" s="183"/>
      <c r="AA34" s="183"/>
      <c r="AB34" s="183"/>
      <c r="AC34" s="183"/>
      <c r="AD34" s="183"/>
      <c r="AE34" s="183"/>
      <c r="AF34" s="183"/>
      <c r="AG34" s="183"/>
      <c r="AH34" s="183"/>
    </row>
    <row r="35" spans="1:34" customFormat="1" ht="15">
      <c r="A35" s="688"/>
      <c r="B35" s="735"/>
      <c r="C35" s="736"/>
      <c r="D35" s="736"/>
      <c r="E35" s="740" t="s">
        <v>1477</v>
      </c>
      <c r="F35" s="740"/>
      <c r="G35" s="740"/>
      <c r="H35" s="740"/>
      <c r="I35" s="740" t="s">
        <v>1478</v>
      </c>
      <c r="J35" s="690"/>
      <c r="K35" s="2353"/>
      <c r="L35" s="2353"/>
      <c r="M35" s="2355"/>
      <c r="N35" s="183"/>
      <c r="O35" s="183"/>
      <c r="P35" s="183"/>
      <c r="Q35" s="183"/>
      <c r="R35" s="183"/>
      <c r="S35" s="183"/>
      <c r="T35" s="183"/>
      <c r="U35" s="183"/>
      <c r="V35" s="183"/>
      <c r="W35" s="183"/>
      <c r="X35" s="183"/>
      <c r="Y35" s="183"/>
      <c r="Z35" s="183"/>
      <c r="AA35" s="183"/>
      <c r="AB35" s="183"/>
      <c r="AC35" s="183"/>
      <c r="AD35" s="183"/>
      <c r="AE35" s="183"/>
      <c r="AF35" s="183"/>
      <c r="AG35" s="183"/>
      <c r="AH35" s="183"/>
    </row>
    <row r="36" spans="1:34" customFormat="1" ht="24.75">
      <c r="A36" s="688"/>
      <c r="B36" s="731"/>
      <c r="C36" s="733" t="s">
        <v>1479</v>
      </c>
      <c r="D36" s="732"/>
      <c r="E36" s="2390" t="s">
        <v>1480</v>
      </c>
      <c r="F36" s="2390"/>
      <c r="G36" s="2390"/>
      <c r="H36" s="2390"/>
      <c r="I36" s="2390"/>
      <c r="J36" s="2391"/>
      <c r="K36" s="2358">
        <f>SUM(K38:K47)</f>
        <v>0</v>
      </c>
      <c r="L36" s="2358">
        <f>SUM(L38:L47)</f>
        <v>0</v>
      </c>
      <c r="M36" s="2354">
        <f>+K36+L36</f>
        <v>0</v>
      </c>
      <c r="N36" s="183"/>
      <c r="O36" s="183"/>
      <c r="P36" s="183"/>
      <c r="Q36" s="183"/>
      <c r="R36" s="183"/>
      <c r="S36" s="183"/>
      <c r="T36" s="183"/>
      <c r="U36" s="183"/>
      <c r="V36" s="183"/>
      <c r="W36" s="183"/>
      <c r="X36" s="183"/>
      <c r="Y36" s="183"/>
      <c r="Z36" s="183"/>
      <c r="AA36" s="183"/>
      <c r="AB36" s="183"/>
      <c r="AC36" s="183"/>
      <c r="AD36" s="183"/>
      <c r="AE36" s="183"/>
      <c r="AF36" s="183"/>
      <c r="AG36" s="183"/>
      <c r="AH36" s="183"/>
    </row>
    <row r="37" spans="1:34" customFormat="1" ht="15">
      <c r="A37" s="688"/>
      <c r="B37" s="735"/>
      <c r="C37" s="836">
        <v>1.3</v>
      </c>
      <c r="D37" s="736"/>
      <c r="E37" s="2356" t="s">
        <v>1481</v>
      </c>
      <c r="F37" s="2356"/>
      <c r="G37" s="2356"/>
      <c r="H37" s="2356"/>
      <c r="I37" s="2356"/>
      <c r="J37" s="2357"/>
      <c r="K37" s="2358"/>
      <c r="L37" s="2358"/>
      <c r="M37" s="2355"/>
      <c r="N37" s="183"/>
      <c r="O37" s="183"/>
      <c r="P37" s="183"/>
      <c r="Q37" s="183"/>
      <c r="R37" s="183"/>
      <c r="S37" s="183"/>
      <c r="T37" s="183"/>
      <c r="U37" s="183"/>
      <c r="V37" s="183"/>
      <c r="W37" s="183"/>
      <c r="X37" s="183"/>
      <c r="Y37" s="183"/>
      <c r="Z37" s="183"/>
      <c r="AA37" s="183"/>
      <c r="AB37" s="183"/>
      <c r="AC37" s="183"/>
      <c r="AD37" s="183"/>
      <c r="AE37" s="183"/>
      <c r="AF37" s="183"/>
      <c r="AG37" s="183"/>
      <c r="AH37" s="183"/>
    </row>
    <row r="38" spans="1:34" customFormat="1" ht="24.75">
      <c r="A38" s="688"/>
      <c r="B38" s="749"/>
      <c r="C38" s="732"/>
      <c r="D38" s="732"/>
      <c r="E38" s="748" t="s">
        <v>1482</v>
      </c>
      <c r="F38" s="738"/>
      <c r="G38" s="738"/>
      <c r="H38" s="2390" t="s">
        <v>1483</v>
      </c>
      <c r="I38" s="2390"/>
      <c r="J38" s="2392"/>
      <c r="K38" s="2353"/>
      <c r="L38" s="2353"/>
      <c r="M38" s="2354">
        <f>+K38+L38</f>
        <v>0</v>
      </c>
      <c r="N38" s="183"/>
      <c r="O38" s="183"/>
      <c r="P38" s="183"/>
      <c r="Q38" s="183"/>
      <c r="R38" s="183"/>
      <c r="S38" s="183"/>
      <c r="T38" s="183"/>
      <c r="U38" s="183"/>
      <c r="V38" s="183"/>
      <c r="W38" s="183"/>
      <c r="X38" s="183"/>
      <c r="Y38" s="183"/>
      <c r="Z38" s="183"/>
      <c r="AA38" s="183"/>
      <c r="AB38" s="183"/>
      <c r="AC38" s="183"/>
      <c r="AD38" s="183"/>
      <c r="AE38" s="183"/>
      <c r="AF38" s="183"/>
      <c r="AG38" s="183"/>
      <c r="AH38" s="183"/>
    </row>
    <row r="39" spans="1:34" customFormat="1" ht="15">
      <c r="A39" s="688"/>
      <c r="B39" s="736"/>
      <c r="C39" s="736"/>
      <c r="D39" s="736"/>
      <c r="E39" s="739" t="s">
        <v>980</v>
      </c>
      <c r="F39" s="739"/>
      <c r="G39" s="739"/>
      <c r="H39" s="2356" t="s">
        <v>1484</v>
      </c>
      <c r="I39" s="2356"/>
      <c r="J39" s="2357"/>
      <c r="K39" s="2353"/>
      <c r="L39" s="2353"/>
      <c r="M39" s="2355"/>
      <c r="N39" s="183"/>
      <c r="O39" s="183"/>
      <c r="P39" s="183"/>
      <c r="Q39" s="183"/>
      <c r="R39" s="183"/>
      <c r="S39" s="183"/>
      <c r="T39" s="183"/>
      <c r="U39" s="183"/>
      <c r="V39" s="183"/>
      <c r="W39" s="183"/>
      <c r="X39" s="183"/>
      <c r="Y39" s="183"/>
      <c r="Z39" s="183"/>
      <c r="AA39" s="183"/>
      <c r="AB39" s="183"/>
      <c r="AC39" s="183"/>
      <c r="AD39" s="183"/>
      <c r="AE39" s="183"/>
      <c r="AF39" s="183"/>
      <c r="AG39" s="183"/>
      <c r="AH39" s="183"/>
    </row>
    <row r="40" spans="1:34" customFormat="1" ht="24.75">
      <c r="A40" s="688"/>
      <c r="B40" s="731"/>
      <c r="C40" s="732"/>
      <c r="D40" s="732"/>
      <c r="E40" s="748" t="s">
        <v>1485</v>
      </c>
      <c r="F40" s="738"/>
      <c r="G40" s="738"/>
      <c r="H40" s="2390" t="s">
        <v>1486</v>
      </c>
      <c r="I40" s="2390"/>
      <c r="J40" s="2392"/>
      <c r="K40" s="2353"/>
      <c r="L40" s="2353"/>
      <c r="M40" s="2354">
        <f>+K40+L40</f>
        <v>0</v>
      </c>
      <c r="N40" s="183"/>
      <c r="O40" s="183"/>
      <c r="P40" s="183"/>
      <c r="Q40" s="183"/>
      <c r="R40" s="183"/>
      <c r="S40" s="183"/>
      <c r="T40" s="183"/>
      <c r="U40" s="183"/>
      <c r="V40" s="183"/>
      <c r="W40" s="183"/>
      <c r="X40" s="183"/>
      <c r="Y40" s="183"/>
      <c r="Z40" s="183"/>
      <c r="AA40" s="183"/>
      <c r="AB40" s="183"/>
      <c r="AC40" s="183"/>
      <c r="AD40" s="183"/>
      <c r="AE40" s="183"/>
      <c r="AF40" s="183"/>
      <c r="AG40" s="183"/>
      <c r="AH40" s="183"/>
    </row>
    <row r="41" spans="1:34" customFormat="1" ht="15">
      <c r="A41" s="688"/>
      <c r="B41" s="735"/>
      <c r="C41" s="736"/>
      <c r="D41" s="736"/>
      <c r="E41" s="739" t="s">
        <v>996</v>
      </c>
      <c r="F41" s="739"/>
      <c r="G41" s="739"/>
      <c r="H41" s="2356" t="s">
        <v>1487</v>
      </c>
      <c r="I41" s="2356"/>
      <c r="J41" s="2357"/>
      <c r="K41" s="2353"/>
      <c r="L41" s="2353"/>
      <c r="M41" s="2355"/>
      <c r="N41" s="183"/>
      <c r="O41" s="183"/>
      <c r="P41" s="183"/>
      <c r="Q41" s="183"/>
      <c r="R41" s="183"/>
      <c r="S41" s="183"/>
      <c r="T41" s="183"/>
      <c r="U41" s="183"/>
      <c r="V41" s="183"/>
      <c r="W41" s="183"/>
      <c r="X41" s="183"/>
      <c r="Y41" s="183"/>
      <c r="Z41" s="183"/>
      <c r="AA41" s="183"/>
      <c r="AB41" s="183"/>
      <c r="AC41" s="183"/>
      <c r="AD41" s="183"/>
      <c r="AE41" s="183"/>
      <c r="AF41" s="183"/>
      <c r="AG41" s="183"/>
      <c r="AH41" s="183"/>
    </row>
    <row r="42" spans="1:34" customFormat="1" ht="24.75">
      <c r="A42" s="688"/>
      <c r="B42" s="731"/>
      <c r="C42" s="732"/>
      <c r="D42" s="732"/>
      <c r="E42" s="748" t="s">
        <v>1488</v>
      </c>
      <c r="F42" s="738"/>
      <c r="G42" s="738"/>
      <c r="H42" s="2390" t="s">
        <v>1489</v>
      </c>
      <c r="I42" s="2390"/>
      <c r="J42" s="2392"/>
      <c r="K42" s="2353"/>
      <c r="L42" s="2353"/>
      <c r="M42" s="2354">
        <f>+K42+L42</f>
        <v>0</v>
      </c>
      <c r="N42" s="183"/>
      <c r="O42" s="183"/>
      <c r="P42" s="183"/>
      <c r="Q42" s="183"/>
      <c r="R42" s="183"/>
      <c r="S42" s="183"/>
      <c r="T42" s="183"/>
      <c r="U42" s="183"/>
      <c r="V42" s="183"/>
      <c r="W42" s="183"/>
      <c r="X42" s="183"/>
      <c r="Y42" s="183"/>
      <c r="Z42" s="183"/>
      <c r="AA42" s="183"/>
      <c r="AB42" s="183"/>
      <c r="AC42" s="183"/>
      <c r="AD42" s="183"/>
      <c r="AE42" s="183"/>
      <c r="AF42" s="183"/>
      <c r="AG42" s="183"/>
      <c r="AH42" s="183"/>
    </row>
    <row r="43" spans="1:34" customFormat="1" ht="15">
      <c r="A43" s="688"/>
      <c r="B43" s="735"/>
      <c r="C43" s="736"/>
      <c r="D43" s="736"/>
      <c r="E43" s="739" t="s">
        <v>1490</v>
      </c>
      <c r="F43" s="739"/>
      <c r="G43" s="739"/>
      <c r="H43" s="2356" t="s">
        <v>1491</v>
      </c>
      <c r="I43" s="2356"/>
      <c r="J43" s="2357"/>
      <c r="K43" s="2353"/>
      <c r="L43" s="2353"/>
      <c r="M43" s="2355"/>
      <c r="N43" s="183"/>
      <c r="O43" s="183"/>
      <c r="P43" s="183"/>
      <c r="Q43" s="183"/>
      <c r="R43" s="183"/>
      <c r="S43" s="183"/>
      <c r="T43" s="183"/>
      <c r="U43" s="183"/>
      <c r="V43" s="183"/>
      <c r="W43" s="183"/>
      <c r="X43" s="183"/>
      <c r="Y43" s="183"/>
      <c r="Z43" s="183"/>
      <c r="AA43" s="183"/>
      <c r="AB43" s="183"/>
      <c r="AC43" s="183"/>
      <c r="AD43" s="183"/>
      <c r="AE43" s="183"/>
      <c r="AF43" s="183"/>
      <c r="AG43" s="183"/>
      <c r="AH43" s="183"/>
    </row>
    <row r="44" spans="1:34" customFormat="1" ht="24.75">
      <c r="A44" s="688"/>
      <c r="B44" s="731"/>
      <c r="C44" s="732"/>
      <c r="D44" s="732"/>
      <c r="E44" s="748" t="s">
        <v>1492</v>
      </c>
      <c r="F44" s="738"/>
      <c r="G44" s="738"/>
      <c r="H44" s="2390" t="s">
        <v>1493</v>
      </c>
      <c r="I44" s="2390"/>
      <c r="J44" s="2392"/>
      <c r="K44" s="2353"/>
      <c r="L44" s="2353"/>
      <c r="M44" s="2354">
        <f>+K44+L44</f>
        <v>0</v>
      </c>
      <c r="N44" s="183"/>
      <c r="O44" s="183"/>
      <c r="P44" s="183"/>
      <c r="Q44" s="183"/>
      <c r="R44" s="183"/>
      <c r="S44" s="183"/>
      <c r="T44" s="183"/>
      <c r="U44" s="183"/>
      <c r="V44" s="183"/>
      <c r="W44" s="183"/>
      <c r="X44" s="183"/>
      <c r="Y44" s="183"/>
      <c r="Z44" s="183"/>
      <c r="AA44" s="183"/>
      <c r="AB44" s="183"/>
      <c r="AC44" s="183"/>
      <c r="AD44" s="183"/>
      <c r="AE44" s="183"/>
      <c r="AF44" s="183"/>
      <c r="AG44" s="183"/>
      <c r="AH44" s="183"/>
    </row>
    <row r="45" spans="1:34" customFormat="1" ht="15">
      <c r="A45" s="688"/>
      <c r="B45" s="735"/>
      <c r="C45" s="736"/>
      <c r="D45" s="736"/>
      <c r="E45" s="739" t="s">
        <v>1494</v>
      </c>
      <c r="F45" s="739"/>
      <c r="G45" s="739"/>
      <c r="H45" s="2356" t="s">
        <v>1495</v>
      </c>
      <c r="I45" s="2356"/>
      <c r="J45" s="2357"/>
      <c r="K45" s="2353"/>
      <c r="L45" s="2353"/>
      <c r="M45" s="2355"/>
      <c r="N45" s="183"/>
      <c r="O45" s="183"/>
      <c r="P45" s="183"/>
      <c r="Q45" s="183"/>
      <c r="R45" s="183"/>
      <c r="S45" s="183"/>
      <c r="T45" s="183"/>
      <c r="U45" s="183"/>
      <c r="V45" s="183"/>
      <c r="W45" s="183"/>
      <c r="X45" s="183"/>
      <c r="Y45" s="183"/>
      <c r="Z45" s="183"/>
      <c r="AA45" s="183"/>
      <c r="AB45" s="183"/>
      <c r="AC45" s="183"/>
      <c r="AD45" s="183"/>
      <c r="AE45" s="183"/>
      <c r="AF45" s="183"/>
      <c r="AG45" s="183"/>
      <c r="AH45" s="183"/>
    </row>
    <row r="46" spans="1:34" customFormat="1" ht="24.75">
      <c r="A46" s="688"/>
      <c r="B46" s="731"/>
      <c r="C46" s="732"/>
      <c r="D46" s="732"/>
      <c r="E46" s="748" t="s">
        <v>1496</v>
      </c>
      <c r="F46" s="738"/>
      <c r="G46" s="738"/>
      <c r="H46" s="2390" t="s">
        <v>1497</v>
      </c>
      <c r="I46" s="2390"/>
      <c r="J46" s="2392"/>
      <c r="K46" s="2353"/>
      <c r="L46" s="2353"/>
      <c r="M46" s="2354">
        <f>+K46+L46</f>
        <v>0</v>
      </c>
      <c r="N46" s="183"/>
      <c r="O46" s="183"/>
      <c r="P46" s="183"/>
      <c r="Q46" s="183"/>
      <c r="R46" s="183"/>
      <c r="S46" s="183"/>
      <c r="T46" s="183"/>
      <c r="U46" s="183"/>
      <c r="V46" s="183"/>
      <c r="W46" s="183"/>
      <c r="X46" s="183"/>
      <c r="Y46" s="183"/>
      <c r="Z46" s="183"/>
      <c r="AA46" s="183"/>
      <c r="AB46" s="183"/>
      <c r="AC46" s="183"/>
      <c r="AD46" s="183"/>
      <c r="AE46" s="183"/>
      <c r="AF46" s="183"/>
      <c r="AG46" s="183"/>
      <c r="AH46" s="183"/>
    </row>
    <row r="47" spans="1:34" customFormat="1" ht="15">
      <c r="A47" s="688"/>
      <c r="B47" s="735"/>
      <c r="C47" s="736"/>
      <c r="D47" s="736"/>
      <c r="E47" s="739" t="s">
        <v>1498</v>
      </c>
      <c r="F47" s="739"/>
      <c r="G47" s="739"/>
      <c r="H47" s="2356" t="s">
        <v>1499</v>
      </c>
      <c r="I47" s="2356"/>
      <c r="J47" s="2357"/>
      <c r="K47" s="2353"/>
      <c r="L47" s="2353"/>
      <c r="M47" s="2355"/>
      <c r="N47" s="183"/>
      <c r="O47" s="183"/>
      <c r="P47" s="183"/>
      <c r="Q47" s="183"/>
      <c r="R47" s="183"/>
      <c r="S47" s="183"/>
      <c r="T47" s="183"/>
      <c r="U47" s="183"/>
      <c r="V47" s="183"/>
      <c r="W47" s="183"/>
      <c r="X47" s="183"/>
      <c r="Y47" s="183"/>
      <c r="Z47" s="183"/>
      <c r="AA47" s="183"/>
      <c r="AB47" s="183"/>
      <c r="AC47" s="183"/>
      <c r="AD47" s="183"/>
      <c r="AE47" s="183"/>
      <c r="AF47" s="183"/>
      <c r="AG47" s="183"/>
      <c r="AH47" s="183"/>
    </row>
    <row r="48" spans="1:34" customFormat="1" ht="24.75">
      <c r="A48" s="688"/>
      <c r="B48" s="749"/>
      <c r="C48" s="733" t="s">
        <v>1500</v>
      </c>
      <c r="D48" s="732"/>
      <c r="E48" s="2390" t="s">
        <v>1501</v>
      </c>
      <c r="F48" s="2390"/>
      <c r="G48" s="2390"/>
      <c r="H48" s="2390"/>
      <c r="I48" s="2390"/>
      <c r="J48" s="2392"/>
      <c r="K48" s="2353"/>
      <c r="L48" s="2353"/>
      <c r="M48" s="2354">
        <f>+K48+L48</f>
        <v>0</v>
      </c>
      <c r="N48" s="183"/>
      <c r="O48" s="183"/>
      <c r="P48" s="183"/>
      <c r="Q48" s="183"/>
      <c r="R48" s="183"/>
      <c r="S48" s="183"/>
      <c r="T48" s="183"/>
      <c r="U48" s="183"/>
      <c r="V48" s="183"/>
      <c r="W48" s="183"/>
      <c r="X48" s="183"/>
      <c r="Y48" s="183"/>
      <c r="Z48" s="183"/>
      <c r="AA48" s="183"/>
      <c r="AB48" s="183"/>
      <c r="AC48" s="183"/>
      <c r="AD48" s="183"/>
      <c r="AE48" s="183"/>
      <c r="AF48" s="183"/>
      <c r="AG48" s="183"/>
      <c r="AH48" s="183"/>
    </row>
    <row r="49" spans="1:34" customFormat="1" ht="15">
      <c r="A49" s="688"/>
      <c r="B49" s="736"/>
      <c r="C49" s="836">
        <v>1.4</v>
      </c>
      <c r="D49" s="736"/>
      <c r="E49" s="2356" t="s">
        <v>1502</v>
      </c>
      <c r="F49" s="2356"/>
      <c r="G49" s="2356"/>
      <c r="H49" s="2356"/>
      <c r="I49" s="2356"/>
      <c r="J49" s="2357"/>
      <c r="K49" s="2353"/>
      <c r="L49" s="2353"/>
      <c r="M49" s="2355"/>
      <c r="N49" s="183"/>
      <c r="O49" s="183"/>
      <c r="P49" s="183"/>
      <c r="Q49" s="183"/>
      <c r="R49" s="183"/>
      <c r="S49" s="183"/>
      <c r="T49" s="183"/>
      <c r="U49" s="183"/>
      <c r="V49" s="183"/>
      <c r="W49" s="183"/>
      <c r="X49" s="183"/>
      <c r="Y49" s="183"/>
      <c r="Z49" s="183"/>
      <c r="AA49" s="183"/>
      <c r="AB49" s="183"/>
      <c r="AC49" s="183"/>
      <c r="AD49" s="183"/>
      <c r="AE49" s="183"/>
      <c r="AF49" s="183"/>
      <c r="AG49" s="183"/>
      <c r="AH49" s="183"/>
    </row>
    <row r="50" spans="1:34" customFormat="1" ht="15">
      <c r="A50" s="694"/>
      <c r="B50" s="695"/>
      <c r="C50" s="695"/>
      <c r="D50" s="695"/>
      <c r="E50" s="696"/>
      <c r="F50" s="696"/>
      <c r="G50" s="696"/>
      <c r="H50" s="696"/>
      <c r="I50" s="696"/>
      <c r="J50" s="696"/>
      <c r="K50" s="831"/>
      <c r="L50" s="831"/>
      <c r="M50" s="833"/>
      <c r="N50" s="183"/>
      <c r="O50" s="183"/>
      <c r="P50" s="183"/>
      <c r="Q50" s="183"/>
      <c r="R50" s="183"/>
      <c r="S50" s="183"/>
      <c r="T50" s="183"/>
      <c r="U50" s="183"/>
      <c r="V50" s="183"/>
      <c r="W50" s="183"/>
      <c r="X50" s="183"/>
      <c r="Y50" s="183"/>
      <c r="Z50" s="183"/>
      <c r="AA50" s="183"/>
      <c r="AB50" s="183"/>
      <c r="AC50" s="183"/>
      <c r="AD50" s="183"/>
      <c r="AE50" s="183"/>
      <c r="AF50" s="183"/>
      <c r="AG50" s="183"/>
      <c r="AH50" s="183"/>
    </row>
    <row r="51" spans="1:34" customFormat="1" ht="25.5">
      <c r="A51" s="697"/>
      <c r="B51" s="698" t="s">
        <v>388</v>
      </c>
      <c r="C51" s="699" t="s">
        <v>1503</v>
      </c>
      <c r="D51" s="700"/>
      <c r="E51" s="700"/>
      <c r="F51" s="700"/>
      <c r="G51" s="700"/>
      <c r="H51" s="700"/>
      <c r="I51" s="700"/>
      <c r="J51" s="701"/>
      <c r="K51" s="2393">
        <f>+K53+K67+K79</f>
        <v>0</v>
      </c>
      <c r="L51" s="2393">
        <f>+L53+L67+L79</f>
        <v>0</v>
      </c>
      <c r="M51" s="2393">
        <f>+K51+L51</f>
        <v>0</v>
      </c>
      <c r="N51" s="183"/>
      <c r="O51" s="1368"/>
      <c r="P51" s="183"/>
      <c r="Q51" s="183"/>
      <c r="R51" s="183"/>
      <c r="S51" s="183"/>
      <c r="T51" s="183"/>
      <c r="U51" s="183"/>
      <c r="V51" s="183"/>
      <c r="W51" s="183"/>
      <c r="X51" s="183"/>
      <c r="Y51" s="183"/>
      <c r="Z51" s="183"/>
      <c r="AA51" s="183"/>
      <c r="AB51" s="183"/>
      <c r="AC51" s="183"/>
      <c r="AD51" s="183"/>
      <c r="AE51" s="183"/>
      <c r="AF51" s="183"/>
      <c r="AG51" s="183"/>
      <c r="AH51" s="183"/>
    </row>
    <row r="52" spans="1:34" customFormat="1" ht="15">
      <c r="A52" s="697"/>
      <c r="B52" s="702" t="s">
        <v>388</v>
      </c>
      <c r="C52" s="703" t="s">
        <v>1504</v>
      </c>
      <c r="D52" s="704"/>
      <c r="E52" s="704"/>
      <c r="F52" s="704"/>
      <c r="G52" s="704"/>
      <c r="H52" s="704"/>
      <c r="I52" s="704"/>
      <c r="J52" s="705"/>
      <c r="K52" s="2393"/>
      <c r="L52" s="2393"/>
      <c r="M52" s="2393"/>
      <c r="N52" s="183"/>
      <c r="O52" s="183"/>
      <c r="P52" s="183"/>
      <c r="Q52" s="183"/>
      <c r="R52" s="183"/>
      <c r="S52" s="183"/>
      <c r="T52" s="183"/>
      <c r="U52" s="183"/>
      <c r="V52" s="183"/>
      <c r="W52" s="183"/>
      <c r="X52" s="183"/>
      <c r="Y52" s="183"/>
      <c r="Z52" s="183"/>
      <c r="AA52" s="183"/>
      <c r="AB52" s="183"/>
      <c r="AC52" s="183"/>
      <c r="AD52" s="183"/>
      <c r="AE52" s="183"/>
      <c r="AF52" s="183"/>
      <c r="AG52" s="183"/>
      <c r="AH52" s="183"/>
    </row>
    <row r="53" spans="1:34" customFormat="1" ht="24.75">
      <c r="A53" s="688"/>
      <c r="B53" s="731"/>
      <c r="C53" s="733" t="s">
        <v>1505</v>
      </c>
      <c r="D53" s="1182"/>
      <c r="E53" s="2351" t="s">
        <v>1442</v>
      </c>
      <c r="F53" s="2351"/>
      <c r="G53" s="2351"/>
      <c r="H53" s="2351"/>
      <c r="I53" s="2351"/>
      <c r="J53" s="2394"/>
      <c r="K53" s="2358">
        <f>SUM(K55:K64)</f>
        <v>0</v>
      </c>
      <c r="L53" s="2358">
        <f>SUM(L55:L64)</f>
        <v>0</v>
      </c>
      <c r="M53" s="2358">
        <f>+K53+L53</f>
        <v>0</v>
      </c>
      <c r="N53" s="183"/>
      <c r="O53" s="183"/>
      <c r="P53" s="183"/>
      <c r="Q53" s="183"/>
      <c r="R53" s="183"/>
      <c r="S53" s="183"/>
      <c r="T53" s="183"/>
      <c r="U53" s="183"/>
      <c r="V53" s="183"/>
      <c r="W53" s="183"/>
      <c r="X53" s="183"/>
      <c r="Y53" s="183"/>
      <c r="Z53" s="183"/>
      <c r="AA53" s="183"/>
      <c r="AB53" s="183"/>
      <c r="AC53" s="183"/>
      <c r="AD53" s="183"/>
      <c r="AE53" s="183"/>
      <c r="AF53" s="183"/>
      <c r="AG53" s="183"/>
      <c r="AH53" s="183"/>
    </row>
    <row r="54" spans="1:34" customFormat="1" ht="15">
      <c r="A54" s="688"/>
      <c r="B54" s="735"/>
      <c r="C54" s="835">
        <v>2.1</v>
      </c>
      <c r="D54" s="1183"/>
      <c r="E54" s="2356" t="s">
        <v>1443</v>
      </c>
      <c r="F54" s="2356"/>
      <c r="G54" s="2356"/>
      <c r="H54" s="2356"/>
      <c r="I54" s="2356"/>
      <c r="J54" s="2357"/>
      <c r="K54" s="2358"/>
      <c r="L54" s="2358"/>
      <c r="M54" s="2358"/>
      <c r="N54" s="183"/>
      <c r="O54" s="183"/>
      <c r="P54" s="183"/>
      <c r="Q54" s="183"/>
      <c r="R54" s="183"/>
      <c r="S54" s="183"/>
      <c r="T54" s="183"/>
      <c r="U54" s="183"/>
      <c r="V54" s="183"/>
      <c r="W54" s="183"/>
      <c r="X54" s="183"/>
      <c r="Y54" s="183"/>
      <c r="Z54" s="183"/>
      <c r="AA54" s="183"/>
      <c r="AB54" s="183"/>
      <c r="AC54" s="183"/>
      <c r="AD54" s="183"/>
      <c r="AE54" s="183"/>
      <c r="AF54" s="183"/>
      <c r="AG54" s="183"/>
      <c r="AH54" s="183"/>
    </row>
    <row r="55" spans="1:34" customFormat="1" ht="24.75">
      <c r="A55" s="688"/>
      <c r="B55" s="731"/>
      <c r="C55" s="732"/>
      <c r="D55" s="732"/>
      <c r="E55" s="733" t="s">
        <v>1506</v>
      </c>
      <c r="F55" s="734"/>
      <c r="G55" s="734"/>
      <c r="H55" s="734"/>
      <c r="I55" s="733" t="s">
        <v>1507</v>
      </c>
      <c r="J55" s="706"/>
      <c r="K55" s="2353"/>
      <c r="L55" s="2353"/>
      <c r="M55" s="2358">
        <f>+K55+L55</f>
        <v>0</v>
      </c>
      <c r="N55" s="183"/>
      <c r="O55" s="183"/>
      <c r="P55" s="183"/>
      <c r="Q55" s="183"/>
      <c r="R55" s="183"/>
      <c r="S55" s="183"/>
      <c r="T55" s="183"/>
      <c r="U55" s="183"/>
      <c r="V55" s="183"/>
      <c r="W55" s="183"/>
      <c r="X55" s="183"/>
      <c r="Y55" s="183"/>
      <c r="Z55" s="183"/>
      <c r="AA55" s="183"/>
      <c r="AB55" s="183"/>
      <c r="AC55" s="183"/>
      <c r="AD55" s="183"/>
      <c r="AE55" s="183"/>
      <c r="AF55" s="183"/>
      <c r="AG55" s="183"/>
      <c r="AH55" s="183"/>
    </row>
    <row r="56" spans="1:34" customFormat="1" ht="15">
      <c r="A56" s="688"/>
      <c r="B56" s="735"/>
      <c r="C56" s="736"/>
      <c r="D56" s="736"/>
      <c r="E56" s="737" t="s">
        <v>1067</v>
      </c>
      <c r="F56" s="737"/>
      <c r="G56" s="737"/>
      <c r="H56" s="737"/>
      <c r="I56" s="737" t="s">
        <v>1508</v>
      </c>
      <c r="J56" s="706"/>
      <c r="K56" s="2353"/>
      <c r="L56" s="2353"/>
      <c r="M56" s="2358"/>
      <c r="N56" s="183"/>
      <c r="O56" s="183"/>
      <c r="P56" s="183"/>
      <c r="Q56" s="183"/>
      <c r="R56" s="183"/>
      <c r="S56" s="183"/>
      <c r="T56" s="183"/>
      <c r="U56" s="183"/>
      <c r="V56" s="183"/>
      <c r="W56" s="183"/>
      <c r="X56" s="183"/>
      <c r="Y56" s="183"/>
      <c r="Z56" s="183"/>
      <c r="AA56" s="183"/>
      <c r="AB56" s="183"/>
      <c r="AC56" s="183"/>
      <c r="AD56" s="183"/>
      <c r="AE56" s="183"/>
      <c r="AF56" s="183"/>
      <c r="AG56" s="183"/>
      <c r="AH56" s="183"/>
    </row>
    <row r="57" spans="1:34" customFormat="1" ht="24.75">
      <c r="A57" s="688"/>
      <c r="B57" s="731"/>
      <c r="C57" s="732"/>
      <c r="D57" s="732"/>
      <c r="E57" s="733" t="s">
        <v>1509</v>
      </c>
      <c r="F57" s="738"/>
      <c r="G57" s="733" t="s">
        <v>1510</v>
      </c>
      <c r="H57" s="733"/>
      <c r="I57" s="733" t="s">
        <v>1511</v>
      </c>
      <c r="J57" s="707"/>
      <c r="K57" s="2353"/>
      <c r="L57" s="2353"/>
      <c r="M57" s="2358">
        <f>+K57+L57</f>
        <v>0</v>
      </c>
      <c r="N57" s="183"/>
      <c r="O57" s="183"/>
      <c r="P57" s="183"/>
      <c r="Q57" s="183"/>
      <c r="R57" s="183"/>
      <c r="S57" s="183"/>
      <c r="T57" s="183"/>
      <c r="U57" s="183"/>
      <c r="V57" s="183"/>
      <c r="W57" s="183"/>
      <c r="X57" s="183"/>
      <c r="Y57" s="183"/>
      <c r="Z57" s="183"/>
      <c r="AA57" s="183"/>
      <c r="AB57" s="183"/>
      <c r="AC57" s="183"/>
      <c r="AD57" s="183"/>
      <c r="AE57" s="183"/>
      <c r="AF57" s="183"/>
      <c r="AG57" s="183"/>
      <c r="AH57" s="183"/>
    </row>
    <row r="58" spans="1:34" customFormat="1" ht="15">
      <c r="A58" s="688"/>
      <c r="B58" s="735"/>
      <c r="C58" s="736"/>
      <c r="D58" s="736"/>
      <c r="E58" s="739" t="s">
        <v>1071</v>
      </c>
      <c r="F58" s="739"/>
      <c r="G58" s="740" t="s">
        <v>1512</v>
      </c>
      <c r="H58" s="740"/>
      <c r="I58" s="740" t="s">
        <v>1512</v>
      </c>
      <c r="J58" s="690"/>
      <c r="K58" s="2353"/>
      <c r="L58" s="2353"/>
      <c r="M58" s="2358"/>
      <c r="N58" s="183"/>
      <c r="O58" s="183"/>
      <c r="P58" s="183"/>
      <c r="Q58" s="183"/>
      <c r="R58" s="183"/>
      <c r="S58" s="183"/>
      <c r="T58" s="183"/>
      <c r="U58" s="183"/>
      <c r="V58" s="183"/>
      <c r="W58" s="183"/>
      <c r="X58" s="183"/>
      <c r="Y58" s="183"/>
      <c r="Z58" s="183"/>
      <c r="AA58" s="183"/>
      <c r="AB58" s="183"/>
      <c r="AC58" s="183"/>
      <c r="AD58" s="183"/>
      <c r="AE58" s="183"/>
      <c r="AF58" s="183"/>
      <c r="AG58" s="183"/>
      <c r="AH58" s="183"/>
    </row>
    <row r="59" spans="1:34" customFormat="1" ht="24.75">
      <c r="A59" s="688"/>
      <c r="B59" s="731"/>
      <c r="C59" s="741"/>
      <c r="D59" s="741"/>
      <c r="E59" s="733" t="s">
        <v>1513</v>
      </c>
      <c r="F59" s="742"/>
      <c r="G59" s="742"/>
      <c r="H59" s="742"/>
      <c r="I59" s="743" t="s">
        <v>1514</v>
      </c>
      <c r="J59" s="708"/>
      <c r="K59" s="2353"/>
      <c r="L59" s="2353"/>
      <c r="M59" s="2358">
        <f>+K59+L59</f>
        <v>0</v>
      </c>
      <c r="N59" s="183"/>
      <c r="O59" s="183"/>
      <c r="P59" s="183"/>
      <c r="Q59" s="183"/>
      <c r="R59" s="183"/>
      <c r="S59" s="183"/>
      <c r="T59" s="183"/>
      <c r="U59" s="183"/>
      <c r="V59" s="183"/>
      <c r="W59" s="183"/>
      <c r="X59" s="183"/>
      <c r="Y59" s="183"/>
      <c r="Z59" s="183"/>
      <c r="AA59" s="183"/>
      <c r="AB59" s="183"/>
      <c r="AC59" s="183"/>
      <c r="AD59" s="183"/>
      <c r="AE59" s="183"/>
      <c r="AF59" s="183"/>
      <c r="AG59" s="183"/>
      <c r="AH59" s="183"/>
    </row>
    <row r="60" spans="1:34" customFormat="1" ht="24.75">
      <c r="A60" s="688"/>
      <c r="B60" s="744"/>
      <c r="C60" s="745"/>
      <c r="D60" s="745"/>
      <c r="E60" s="739" t="s">
        <v>1075</v>
      </c>
      <c r="F60" s="746"/>
      <c r="G60" s="746"/>
      <c r="H60" s="746"/>
      <c r="I60" s="740" t="s">
        <v>1515</v>
      </c>
      <c r="J60" s="709"/>
      <c r="K60" s="2353"/>
      <c r="L60" s="2353"/>
      <c r="M60" s="2358"/>
      <c r="N60" s="183"/>
      <c r="O60" s="183"/>
      <c r="P60" s="183"/>
      <c r="Q60" s="183"/>
      <c r="R60" s="183"/>
      <c r="S60" s="183"/>
      <c r="T60" s="183"/>
      <c r="U60" s="183"/>
      <c r="V60" s="183"/>
      <c r="W60" s="183"/>
      <c r="X60" s="183"/>
      <c r="Y60" s="183"/>
      <c r="Z60" s="183"/>
      <c r="AA60" s="183"/>
      <c r="AB60" s="183"/>
      <c r="AC60" s="183"/>
      <c r="AD60" s="183"/>
      <c r="AE60" s="183"/>
      <c r="AF60" s="183"/>
      <c r="AG60" s="183"/>
      <c r="AH60" s="183"/>
    </row>
    <row r="61" spans="1:34" customFormat="1" ht="24.75">
      <c r="A61" s="688"/>
      <c r="B61" s="731"/>
      <c r="C61" s="732"/>
      <c r="D61" s="732"/>
      <c r="E61" s="733" t="s">
        <v>1516</v>
      </c>
      <c r="F61" s="738"/>
      <c r="G61" s="733" t="s">
        <v>1517</v>
      </c>
      <c r="H61" s="733"/>
      <c r="I61" s="733" t="s">
        <v>1517</v>
      </c>
      <c r="J61" s="707"/>
      <c r="K61" s="2353"/>
      <c r="L61" s="2353"/>
      <c r="M61" s="2358">
        <f>+K61+L61</f>
        <v>0</v>
      </c>
      <c r="N61" s="183"/>
      <c r="O61" s="183"/>
      <c r="P61" s="183"/>
      <c r="Q61" s="183"/>
      <c r="R61" s="183"/>
      <c r="S61" s="183"/>
      <c r="T61" s="183"/>
      <c r="U61" s="183"/>
      <c r="V61" s="183"/>
      <c r="W61" s="183"/>
      <c r="X61" s="183"/>
      <c r="Y61" s="183"/>
      <c r="Z61" s="183"/>
      <c r="AA61" s="183"/>
      <c r="AB61" s="183"/>
      <c r="AC61" s="183"/>
      <c r="AD61" s="183"/>
      <c r="AE61" s="183"/>
      <c r="AF61" s="183"/>
      <c r="AG61" s="183"/>
      <c r="AH61" s="183"/>
    </row>
    <row r="62" spans="1:34" customFormat="1" ht="15">
      <c r="A62" s="688"/>
      <c r="B62" s="735"/>
      <c r="C62" s="736"/>
      <c r="D62" s="736"/>
      <c r="E62" s="739" t="s">
        <v>1518</v>
      </c>
      <c r="F62" s="739"/>
      <c r="G62" s="740" t="s">
        <v>1519</v>
      </c>
      <c r="H62" s="740"/>
      <c r="I62" s="740" t="s">
        <v>1520</v>
      </c>
      <c r="J62" s="690"/>
      <c r="K62" s="2353"/>
      <c r="L62" s="2353"/>
      <c r="M62" s="2358"/>
      <c r="N62" s="183"/>
      <c r="O62" s="183"/>
      <c r="P62" s="183"/>
      <c r="Q62" s="183"/>
      <c r="R62" s="183"/>
      <c r="S62" s="183"/>
      <c r="T62" s="183"/>
      <c r="U62" s="183"/>
      <c r="V62" s="183"/>
      <c r="W62" s="183"/>
      <c r="X62" s="183"/>
      <c r="Y62" s="183"/>
      <c r="Z62" s="183"/>
      <c r="AA62" s="183"/>
      <c r="AB62" s="183"/>
      <c r="AC62" s="183"/>
      <c r="AD62" s="183"/>
      <c r="AE62" s="183"/>
      <c r="AF62" s="183"/>
      <c r="AG62" s="183"/>
      <c r="AH62" s="183"/>
    </row>
    <row r="63" spans="1:34" customFormat="1" ht="24.75">
      <c r="A63" s="688"/>
      <c r="B63" s="731"/>
      <c r="C63" s="732"/>
      <c r="D63" s="732"/>
      <c r="E63" s="733" t="s">
        <v>1521</v>
      </c>
      <c r="F63" s="738"/>
      <c r="G63" s="733" t="s">
        <v>1522</v>
      </c>
      <c r="H63" s="733"/>
      <c r="I63" s="733" t="s">
        <v>1522</v>
      </c>
      <c r="J63" s="707"/>
      <c r="K63" s="2353"/>
      <c r="L63" s="2353"/>
      <c r="M63" s="2358">
        <f>+K63+L63</f>
        <v>0</v>
      </c>
      <c r="N63" s="183"/>
      <c r="O63" s="183"/>
      <c r="P63" s="183"/>
      <c r="Q63" s="183"/>
      <c r="R63" s="183"/>
      <c r="S63" s="183"/>
      <c r="T63" s="183"/>
      <c r="U63" s="183"/>
      <c r="V63" s="183"/>
      <c r="W63" s="183"/>
      <c r="X63" s="183"/>
      <c r="Y63" s="183"/>
      <c r="Z63" s="183"/>
      <c r="AA63" s="183"/>
      <c r="AB63" s="183"/>
      <c r="AC63" s="183"/>
      <c r="AD63" s="183"/>
      <c r="AE63" s="183"/>
      <c r="AF63" s="183"/>
      <c r="AG63" s="183"/>
      <c r="AH63" s="183"/>
    </row>
    <row r="64" spans="1:34" customFormat="1" ht="15">
      <c r="A64" s="688"/>
      <c r="B64" s="735"/>
      <c r="C64" s="736"/>
      <c r="D64" s="736"/>
      <c r="E64" s="739" t="s">
        <v>1523</v>
      </c>
      <c r="F64" s="739"/>
      <c r="G64" s="740" t="s">
        <v>1524</v>
      </c>
      <c r="H64" s="740"/>
      <c r="I64" s="740" t="s">
        <v>1525</v>
      </c>
      <c r="J64" s="690"/>
      <c r="K64" s="2353"/>
      <c r="L64" s="2353"/>
      <c r="M64" s="2358"/>
      <c r="N64" s="183"/>
      <c r="O64" s="183"/>
      <c r="P64" s="183"/>
      <c r="Q64" s="183"/>
      <c r="R64" s="183"/>
      <c r="S64" s="183"/>
      <c r="T64" s="183"/>
      <c r="U64" s="183"/>
      <c r="V64" s="183"/>
      <c r="W64" s="183"/>
      <c r="X64" s="183"/>
      <c r="Y64" s="183"/>
      <c r="Z64" s="183"/>
      <c r="AA64" s="183"/>
      <c r="AB64" s="183"/>
      <c r="AC64" s="183"/>
      <c r="AD64" s="183"/>
      <c r="AE64" s="183"/>
      <c r="AF64" s="183"/>
      <c r="AG64" s="183"/>
      <c r="AH64" s="183"/>
    </row>
    <row r="65" spans="1:34" customFormat="1" ht="24.75">
      <c r="A65" s="688"/>
      <c r="B65" s="731"/>
      <c r="C65" s="732"/>
      <c r="D65" s="732"/>
      <c r="E65" s="733" t="s">
        <v>1526</v>
      </c>
      <c r="F65" s="747"/>
      <c r="G65" s="748" t="s">
        <v>1527</v>
      </c>
      <c r="H65" s="748"/>
      <c r="I65" s="733" t="s">
        <v>1528</v>
      </c>
      <c r="J65" s="710"/>
      <c r="K65" s="2353"/>
      <c r="L65" s="2353"/>
      <c r="M65" s="2358">
        <f>+K65+L65</f>
        <v>0</v>
      </c>
      <c r="N65" s="183"/>
      <c r="O65" s="183"/>
      <c r="P65" s="183"/>
      <c r="Q65" s="183"/>
      <c r="R65" s="183"/>
      <c r="S65" s="183"/>
      <c r="T65" s="183"/>
      <c r="U65" s="183"/>
      <c r="V65" s="183"/>
      <c r="W65" s="183"/>
      <c r="X65" s="183"/>
      <c r="Y65" s="183"/>
      <c r="Z65" s="183"/>
      <c r="AA65" s="183"/>
      <c r="AB65" s="183"/>
      <c r="AC65" s="183"/>
      <c r="AD65" s="183"/>
      <c r="AE65" s="183"/>
      <c r="AF65" s="183"/>
      <c r="AG65" s="183"/>
      <c r="AH65" s="183"/>
    </row>
    <row r="66" spans="1:34" customFormat="1" ht="15">
      <c r="A66" s="688"/>
      <c r="B66" s="735"/>
      <c r="C66" s="736"/>
      <c r="D66" s="736"/>
      <c r="E66" s="739" t="s">
        <v>1529</v>
      </c>
      <c r="F66" s="740"/>
      <c r="G66" s="740" t="s">
        <v>1530</v>
      </c>
      <c r="H66" s="740"/>
      <c r="I66" s="740" t="s">
        <v>1531</v>
      </c>
      <c r="J66" s="690"/>
      <c r="K66" s="2353"/>
      <c r="L66" s="2353"/>
      <c r="M66" s="2358"/>
      <c r="N66" s="183"/>
      <c r="O66" s="183"/>
      <c r="P66" s="183"/>
      <c r="Q66" s="183"/>
      <c r="R66" s="183"/>
      <c r="S66" s="183"/>
      <c r="T66" s="183"/>
      <c r="U66" s="183"/>
      <c r="V66" s="183"/>
      <c r="W66" s="183"/>
      <c r="X66" s="183"/>
      <c r="Y66" s="183"/>
      <c r="Z66" s="183"/>
      <c r="AA66" s="183"/>
      <c r="AB66" s="183"/>
      <c r="AC66" s="183"/>
      <c r="AD66" s="183"/>
      <c r="AE66" s="183"/>
      <c r="AF66" s="183"/>
      <c r="AG66" s="183"/>
      <c r="AH66" s="183"/>
    </row>
    <row r="67" spans="1:34" customFormat="1" ht="24.75">
      <c r="A67" s="688"/>
      <c r="B67" s="749"/>
      <c r="C67" s="733" t="s">
        <v>1532</v>
      </c>
      <c r="D67" s="1182"/>
      <c r="E67" s="2351" t="s">
        <v>1533</v>
      </c>
      <c r="F67" s="2351"/>
      <c r="G67" s="2351"/>
      <c r="H67" s="2351"/>
      <c r="I67" s="2351"/>
      <c r="J67" s="2394"/>
      <c r="K67" s="2358">
        <f>SUM(K69:K76)</f>
        <v>0</v>
      </c>
      <c r="L67" s="2354">
        <f>SUM(L69:L76)</f>
        <v>0</v>
      </c>
      <c r="M67" s="2358">
        <f>+K67+L67</f>
        <v>0</v>
      </c>
      <c r="N67" s="183"/>
      <c r="O67" s="183"/>
      <c r="P67" s="183"/>
      <c r="Q67" s="183"/>
      <c r="R67" s="183"/>
      <c r="S67" s="183"/>
      <c r="T67" s="183"/>
      <c r="U67" s="183"/>
      <c r="V67" s="183"/>
      <c r="W67" s="183"/>
      <c r="X67" s="183"/>
      <c r="Y67" s="183"/>
      <c r="Z67" s="183"/>
      <c r="AA67" s="183"/>
      <c r="AB67" s="183"/>
      <c r="AC67" s="183"/>
      <c r="AD67" s="183"/>
      <c r="AE67" s="183"/>
      <c r="AF67" s="183"/>
      <c r="AG67" s="183"/>
      <c r="AH67" s="183"/>
    </row>
    <row r="68" spans="1:34" customFormat="1" ht="15">
      <c r="A68" s="688"/>
      <c r="B68" s="735"/>
      <c r="C68" s="836">
        <v>2.2000000000000002</v>
      </c>
      <c r="D68" s="736"/>
      <c r="E68" s="2395" t="s">
        <v>1534</v>
      </c>
      <c r="F68" s="2395"/>
      <c r="G68" s="2395"/>
      <c r="H68" s="2395"/>
      <c r="I68" s="2395"/>
      <c r="J68" s="2396"/>
      <c r="K68" s="2358"/>
      <c r="L68" s="2355"/>
      <c r="M68" s="2358"/>
      <c r="N68" s="183"/>
      <c r="O68" s="183"/>
      <c r="P68" s="183"/>
      <c r="Q68" s="183"/>
      <c r="R68" s="183"/>
      <c r="S68" s="183"/>
      <c r="T68" s="183"/>
      <c r="U68" s="183"/>
      <c r="V68" s="183"/>
      <c r="W68" s="183"/>
      <c r="X68" s="183"/>
      <c r="Y68" s="183"/>
      <c r="Z68" s="183"/>
      <c r="AA68" s="183"/>
      <c r="AB68" s="183"/>
      <c r="AC68" s="183"/>
      <c r="AD68" s="183"/>
      <c r="AE68" s="183"/>
      <c r="AF68" s="183"/>
      <c r="AG68" s="183"/>
      <c r="AH68" s="183"/>
    </row>
    <row r="69" spans="1:34" customFormat="1" ht="24.75">
      <c r="A69" s="688"/>
      <c r="B69" s="749"/>
      <c r="C69" s="732"/>
      <c r="D69" s="732"/>
      <c r="E69" s="733" t="s">
        <v>1535</v>
      </c>
      <c r="F69" s="747"/>
      <c r="G69" s="2351" t="s">
        <v>1536</v>
      </c>
      <c r="H69" s="2351"/>
      <c r="I69" s="2351"/>
      <c r="J69" s="2352"/>
      <c r="K69" s="2353"/>
      <c r="L69" s="2353"/>
      <c r="M69" s="2358">
        <f>+K69+L69</f>
        <v>0</v>
      </c>
      <c r="N69" s="183"/>
      <c r="O69" s="183"/>
      <c r="P69" s="183"/>
      <c r="Q69" s="183"/>
      <c r="R69" s="183"/>
      <c r="S69" s="183"/>
      <c r="T69" s="183"/>
      <c r="U69" s="183"/>
      <c r="V69" s="183"/>
      <c r="W69" s="183"/>
      <c r="X69" s="183"/>
      <c r="Y69" s="183"/>
      <c r="Z69" s="183"/>
      <c r="AA69" s="183"/>
      <c r="AB69" s="183"/>
      <c r="AC69" s="183"/>
      <c r="AD69" s="183"/>
      <c r="AE69" s="183"/>
      <c r="AF69" s="183"/>
      <c r="AG69" s="183"/>
      <c r="AH69" s="183"/>
    </row>
    <row r="70" spans="1:34" customFormat="1" ht="15">
      <c r="A70" s="688"/>
      <c r="B70" s="735"/>
      <c r="C70" s="736"/>
      <c r="D70" s="736"/>
      <c r="E70" s="739" t="s">
        <v>1083</v>
      </c>
      <c r="F70" s="739"/>
      <c r="G70" s="2356" t="s">
        <v>1537</v>
      </c>
      <c r="H70" s="2356"/>
      <c r="I70" s="2356"/>
      <c r="J70" s="2357"/>
      <c r="K70" s="2353"/>
      <c r="L70" s="2353"/>
      <c r="M70" s="2358"/>
      <c r="N70" s="183"/>
      <c r="O70" s="183"/>
      <c r="P70" s="183"/>
      <c r="Q70" s="183"/>
      <c r="R70" s="183"/>
      <c r="S70" s="183"/>
      <c r="T70" s="183"/>
      <c r="U70" s="183"/>
      <c r="V70" s="183"/>
      <c r="W70" s="183"/>
      <c r="X70" s="183"/>
      <c r="Y70" s="183"/>
      <c r="Z70" s="183"/>
      <c r="AA70" s="183"/>
      <c r="AB70" s="183"/>
      <c r="AC70" s="183"/>
      <c r="AD70" s="183"/>
      <c r="AE70" s="183"/>
      <c r="AF70" s="183"/>
      <c r="AG70" s="183"/>
      <c r="AH70" s="183"/>
    </row>
    <row r="71" spans="1:34" customFormat="1" ht="24.75">
      <c r="A71" s="688"/>
      <c r="B71" s="731"/>
      <c r="C71" s="732"/>
      <c r="D71" s="732"/>
      <c r="E71" s="733" t="s">
        <v>1538</v>
      </c>
      <c r="F71" s="747"/>
      <c r="G71" s="2351" t="s">
        <v>1539</v>
      </c>
      <c r="H71" s="2351"/>
      <c r="I71" s="2351"/>
      <c r="J71" s="2352"/>
      <c r="K71" s="2353"/>
      <c r="L71" s="2353"/>
      <c r="M71" s="2358">
        <f>+K71+L71</f>
        <v>0</v>
      </c>
      <c r="N71" s="183"/>
      <c r="O71" s="183"/>
      <c r="P71" s="183"/>
      <c r="Q71" s="183"/>
      <c r="R71" s="183"/>
      <c r="S71" s="183"/>
      <c r="T71" s="183"/>
      <c r="U71" s="183"/>
      <c r="V71" s="183"/>
      <c r="W71" s="183"/>
      <c r="X71" s="183"/>
      <c r="Y71" s="183"/>
      <c r="Z71" s="183"/>
      <c r="AA71" s="183"/>
      <c r="AB71" s="183"/>
      <c r="AC71" s="183"/>
      <c r="AD71" s="183"/>
      <c r="AE71" s="183"/>
      <c r="AF71" s="183"/>
      <c r="AG71" s="183"/>
      <c r="AH71" s="183"/>
    </row>
    <row r="72" spans="1:34" customFormat="1" ht="15">
      <c r="A72" s="688"/>
      <c r="B72" s="735"/>
      <c r="C72" s="736"/>
      <c r="D72" s="736"/>
      <c r="E72" s="739" t="s">
        <v>1087</v>
      </c>
      <c r="F72" s="739"/>
      <c r="G72" s="2356" t="s">
        <v>1540</v>
      </c>
      <c r="H72" s="2356"/>
      <c r="I72" s="2356"/>
      <c r="J72" s="2357"/>
      <c r="K72" s="2353"/>
      <c r="L72" s="2353"/>
      <c r="M72" s="2358"/>
      <c r="N72" s="183"/>
      <c r="O72" s="183"/>
      <c r="P72" s="183"/>
      <c r="Q72" s="183"/>
      <c r="R72" s="183"/>
      <c r="S72" s="183"/>
      <c r="T72" s="183"/>
      <c r="U72" s="183"/>
      <c r="V72" s="183"/>
      <c r="W72" s="183"/>
      <c r="X72" s="183"/>
      <c r="Y72" s="183"/>
      <c r="Z72" s="183"/>
      <c r="AA72" s="183"/>
      <c r="AB72" s="183"/>
      <c r="AC72" s="183"/>
      <c r="AD72" s="183"/>
      <c r="AE72" s="183"/>
      <c r="AF72" s="183"/>
      <c r="AG72" s="183"/>
      <c r="AH72" s="183"/>
    </row>
    <row r="73" spans="1:34" customFormat="1" ht="24.75">
      <c r="A73" s="688"/>
      <c r="B73" s="731"/>
      <c r="C73" s="732"/>
      <c r="D73" s="732"/>
      <c r="E73" s="733" t="s">
        <v>1541</v>
      </c>
      <c r="F73" s="747"/>
      <c r="G73" s="2351" t="s">
        <v>1542</v>
      </c>
      <c r="H73" s="2351"/>
      <c r="I73" s="2351"/>
      <c r="J73" s="2352"/>
      <c r="K73" s="2353"/>
      <c r="L73" s="2353"/>
      <c r="M73" s="2358">
        <f>+K73+L73</f>
        <v>0</v>
      </c>
      <c r="N73" s="183"/>
      <c r="O73" s="183"/>
      <c r="P73" s="183"/>
      <c r="Q73" s="183"/>
      <c r="R73" s="183"/>
      <c r="S73" s="183"/>
      <c r="T73" s="183"/>
      <c r="U73" s="183"/>
      <c r="V73" s="183"/>
      <c r="W73" s="183"/>
      <c r="X73" s="183"/>
      <c r="Y73" s="183"/>
      <c r="Z73" s="183"/>
      <c r="AA73" s="183"/>
      <c r="AB73" s="183"/>
      <c r="AC73" s="183"/>
      <c r="AD73" s="183"/>
      <c r="AE73" s="183"/>
      <c r="AF73" s="183"/>
      <c r="AG73" s="183"/>
      <c r="AH73" s="183"/>
    </row>
    <row r="74" spans="1:34" customFormat="1" ht="15">
      <c r="A74" s="688"/>
      <c r="B74" s="735"/>
      <c r="C74" s="736"/>
      <c r="D74" s="736"/>
      <c r="E74" s="739" t="s">
        <v>1091</v>
      </c>
      <c r="F74" s="736"/>
      <c r="G74" s="2356" t="s">
        <v>1543</v>
      </c>
      <c r="H74" s="2356"/>
      <c r="I74" s="2356"/>
      <c r="J74" s="2357"/>
      <c r="K74" s="2353"/>
      <c r="L74" s="2353"/>
      <c r="M74" s="2358"/>
      <c r="N74" s="183"/>
      <c r="O74" s="183"/>
      <c r="P74" s="183"/>
      <c r="Q74" s="183"/>
      <c r="R74" s="183"/>
      <c r="S74" s="183"/>
      <c r="T74" s="183"/>
      <c r="U74" s="183"/>
      <c r="V74" s="183"/>
      <c r="W74" s="183"/>
      <c r="X74" s="183"/>
      <c r="Y74" s="183"/>
      <c r="Z74" s="183"/>
      <c r="AA74" s="183"/>
      <c r="AB74" s="183"/>
      <c r="AC74" s="183"/>
      <c r="AD74" s="183"/>
      <c r="AE74" s="183"/>
      <c r="AF74" s="183"/>
      <c r="AG74" s="183"/>
      <c r="AH74" s="183"/>
    </row>
    <row r="75" spans="1:34" customFormat="1" ht="50.25" customHeight="1">
      <c r="A75" s="688"/>
      <c r="B75" s="731"/>
      <c r="C75" s="738"/>
      <c r="D75" s="738"/>
      <c r="E75" s="750" t="s">
        <v>1544</v>
      </c>
      <c r="F75" s="747"/>
      <c r="G75" s="751"/>
      <c r="H75" s="751"/>
      <c r="I75" s="751" t="s">
        <v>1545</v>
      </c>
      <c r="J75" s="752"/>
      <c r="K75" s="2397"/>
      <c r="L75" s="2397"/>
      <c r="M75" s="2358">
        <f>+K75+L75</f>
        <v>0</v>
      </c>
      <c r="N75" s="183"/>
      <c r="O75" s="183"/>
      <c r="P75" s="183"/>
      <c r="Q75" s="183"/>
      <c r="R75" s="183"/>
      <c r="S75" s="183"/>
      <c r="T75" s="183"/>
      <c r="U75" s="183"/>
      <c r="V75" s="183"/>
      <c r="W75" s="183"/>
      <c r="X75" s="183"/>
      <c r="Y75" s="183"/>
      <c r="Z75" s="183"/>
      <c r="AA75" s="183"/>
      <c r="AB75" s="183"/>
      <c r="AC75" s="183"/>
      <c r="AD75" s="183"/>
      <c r="AE75" s="183"/>
      <c r="AF75" s="183"/>
      <c r="AG75" s="183"/>
      <c r="AH75" s="183"/>
    </row>
    <row r="76" spans="1:34" customFormat="1" ht="27" customHeight="1">
      <c r="A76" s="688"/>
      <c r="B76" s="735"/>
      <c r="C76" s="739"/>
      <c r="D76" s="739"/>
      <c r="E76" s="753" t="s">
        <v>1095</v>
      </c>
      <c r="F76" s="740"/>
      <c r="G76" s="754" t="s">
        <v>1546</v>
      </c>
      <c r="H76" s="755"/>
      <c r="I76" s="755" t="s">
        <v>1546</v>
      </c>
      <c r="J76" s="756"/>
      <c r="K76" s="2398"/>
      <c r="L76" s="2398"/>
      <c r="M76" s="2358"/>
      <c r="N76" s="183"/>
      <c r="O76" s="183"/>
      <c r="P76" s="183"/>
      <c r="Q76" s="183"/>
      <c r="R76" s="183"/>
      <c r="S76" s="183"/>
      <c r="T76" s="183"/>
      <c r="U76" s="183"/>
      <c r="V76" s="183"/>
      <c r="W76" s="183"/>
      <c r="X76" s="183"/>
      <c r="Y76" s="183"/>
      <c r="Z76" s="183"/>
      <c r="AA76" s="183"/>
      <c r="AB76" s="183"/>
      <c r="AC76" s="183"/>
      <c r="AD76" s="183"/>
      <c r="AE76" s="183"/>
      <c r="AF76" s="183"/>
      <c r="AG76" s="183"/>
      <c r="AH76" s="183"/>
    </row>
    <row r="77" spans="1:34" customFormat="1" ht="24.75">
      <c r="A77" s="688"/>
      <c r="B77" s="731"/>
      <c r="C77" s="738"/>
      <c r="D77" s="738"/>
      <c r="E77" s="750" t="s">
        <v>1547</v>
      </c>
      <c r="F77" s="747"/>
      <c r="G77" s="2390" t="s">
        <v>1548</v>
      </c>
      <c r="H77" s="2390"/>
      <c r="I77" s="2390"/>
      <c r="J77" s="752"/>
      <c r="K77" s="2353"/>
      <c r="L77" s="2353"/>
      <c r="M77" s="2358">
        <f>+K77+L77</f>
        <v>0</v>
      </c>
      <c r="N77" s="183"/>
      <c r="O77" s="183"/>
      <c r="P77" s="183"/>
      <c r="Q77" s="183"/>
      <c r="R77" s="183"/>
      <c r="S77" s="183"/>
      <c r="T77" s="183"/>
      <c r="U77" s="183"/>
      <c r="V77" s="183"/>
      <c r="W77" s="183"/>
      <c r="X77" s="183"/>
      <c r="Y77" s="183"/>
      <c r="Z77" s="183"/>
      <c r="AA77" s="183"/>
      <c r="AB77" s="183"/>
      <c r="AC77" s="183"/>
      <c r="AD77" s="183"/>
      <c r="AE77" s="183"/>
      <c r="AF77" s="183"/>
      <c r="AG77" s="183"/>
      <c r="AH77" s="183"/>
    </row>
    <row r="78" spans="1:34" customFormat="1" ht="15">
      <c r="A78" s="688"/>
      <c r="B78" s="735"/>
      <c r="C78" s="739"/>
      <c r="D78" s="739"/>
      <c r="E78" s="740" t="s">
        <v>1099</v>
      </c>
      <c r="F78" s="740"/>
      <c r="G78" s="2356" t="s">
        <v>1549</v>
      </c>
      <c r="H78" s="2356"/>
      <c r="I78" s="2356"/>
      <c r="J78" s="757"/>
      <c r="K78" s="2353"/>
      <c r="L78" s="2353"/>
      <c r="M78" s="2358"/>
      <c r="N78" s="183"/>
      <c r="O78" s="183"/>
      <c r="P78" s="183"/>
      <c r="Q78" s="183"/>
      <c r="R78" s="183"/>
      <c r="S78" s="183"/>
      <c r="T78" s="183"/>
      <c r="U78" s="183"/>
      <c r="V78" s="183"/>
      <c r="W78" s="183"/>
      <c r="X78" s="183"/>
      <c r="Y78" s="183"/>
      <c r="Z78" s="183"/>
      <c r="AA78" s="183"/>
      <c r="AB78" s="183"/>
      <c r="AC78" s="183"/>
      <c r="AD78" s="183"/>
      <c r="AE78" s="183"/>
      <c r="AF78" s="183"/>
      <c r="AG78" s="183"/>
      <c r="AH78" s="183"/>
    </row>
    <row r="79" spans="1:34" customFormat="1" ht="24.75">
      <c r="A79" s="688"/>
      <c r="B79" s="731"/>
      <c r="C79" s="733" t="s">
        <v>1550</v>
      </c>
      <c r="D79" s="747"/>
      <c r="E79" s="2390" t="s">
        <v>1551</v>
      </c>
      <c r="F79" s="2390"/>
      <c r="G79" s="2390"/>
      <c r="H79" s="2390"/>
      <c r="I79" s="2390"/>
      <c r="J79" s="2391"/>
      <c r="K79" s="2353"/>
      <c r="L79" s="2353"/>
      <c r="M79" s="2358">
        <f>+K79+L79</f>
        <v>0</v>
      </c>
      <c r="N79" s="183"/>
      <c r="O79" s="183"/>
      <c r="P79" s="183"/>
      <c r="Q79" s="183"/>
      <c r="R79" s="183"/>
      <c r="S79" s="183"/>
      <c r="T79" s="183"/>
      <c r="U79" s="183"/>
      <c r="V79" s="183"/>
      <c r="W79" s="183"/>
      <c r="X79" s="183"/>
      <c r="Y79" s="183"/>
      <c r="Z79" s="183"/>
      <c r="AA79" s="183"/>
      <c r="AB79" s="183"/>
      <c r="AC79" s="183"/>
      <c r="AD79" s="183"/>
      <c r="AE79" s="183"/>
      <c r="AF79" s="183"/>
      <c r="AG79" s="183"/>
      <c r="AH79" s="183"/>
    </row>
    <row r="80" spans="1:34" customFormat="1" ht="15">
      <c r="A80" s="688"/>
      <c r="B80" s="735"/>
      <c r="C80" s="835">
        <v>2.2999999999999998</v>
      </c>
      <c r="D80" s="740"/>
      <c r="E80" s="2356" t="s">
        <v>1552</v>
      </c>
      <c r="F80" s="2356"/>
      <c r="G80" s="2356"/>
      <c r="H80" s="2356"/>
      <c r="I80" s="2356"/>
      <c r="J80" s="2357"/>
      <c r="K80" s="2353"/>
      <c r="L80" s="2353"/>
      <c r="M80" s="2358"/>
      <c r="N80" s="183"/>
      <c r="O80" s="183"/>
      <c r="P80" s="183"/>
      <c r="Q80" s="183"/>
      <c r="R80" s="183"/>
      <c r="S80" s="183"/>
      <c r="T80" s="183"/>
      <c r="U80" s="183"/>
      <c r="V80" s="183"/>
      <c r="W80" s="183"/>
      <c r="X80" s="183"/>
      <c r="Y80" s="183"/>
      <c r="Z80" s="183"/>
      <c r="AA80" s="183"/>
      <c r="AB80" s="183"/>
      <c r="AC80" s="183"/>
      <c r="AD80" s="183"/>
      <c r="AE80" s="183"/>
      <c r="AF80" s="183"/>
      <c r="AG80" s="183"/>
      <c r="AH80" s="183"/>
    </row>
    <row r="81" spans="1:34" customFormat="1" ht="25.5">
      <c r="A81" s="697"/>
      <c r="B81" s="686" t="s">
        <v>539</v>
      </c>
      <c r="C81" s="2399" t="s">
        <v>1553</v>
      </c>
      <c r="D81" s="2399"/>
      <c r="E81" s="2399"/>
      <c r="F81" s="2399"/>
      <c r="G81" s="2399"/>
      <c r="H81" s="2399"/>
      <c r="I81" s="2399"/>
      <c r="J81" s="2400"/>
      <c r="K81" s="2393">
        <f>K14-K51</f>
        <v>0</v>
      </c>
      <c r="L81" s="2393">
        <f>L14-L51</f>
        <v>0</v>
      </c>
      <c r="M81" s="2393">
        <f>+K81+L81</f>
        <v>0</v>
      </c>
      <c r="N81" s="183"/>
      <c r="O81" s="1368"/>
      <c r="P81" s="183"/>
      <c r="Q81" s="183"/>
      <c r="R81" s="183"/>
      <c r="S81" s="183"/>
      <c r="T81" s="183"/>
      <c r="U81" s="183"/>
      <c r="V81" s="183"/>
      <c r="W81" s="183"/>
      <c r="X81" s="183"/>
      <c r="Y81" s="183"/>
      <c r="Z81" s="183"/>
      <c r="AA81" s="183"/>
      <c r="AB81" s="183"/>
      <c r="AC81" s="183"/>
      <c r="AD81" s="183"/>
      <c r="AE81" s="183"/>
      <c r="AF81" s="183"/>
      <c r="AG81" s="183"/>
      <c r="AH81" s="183"/>
    </row>
    <row r="82" spans="1:34" customFormat="1" ht="15">
      <c r="A82" s="697"/>
      <c r="B82" s="711" t="s">
        <v>539</v>
      </c>
      <c r="C82" s="2401" t="s">
        <v>1554</v>
      </c>
      <c r="D82" s="2401"/>
      <c r="E82" s="2401"/>
      <c r="F82" s="2401"/>
      <c r="G82" s="2401"/>
      <c r="H82" s="2401"/>
      <c r="I82" s="2401"/>
      <c r="J82" s="2402"/>
      <c r="K82" s="2393"/>
      <c r="L82" s="2393"/>
      <c r="M82" s="2393"/>
      <c r="N82" s="183"/>
      <c r="O82" s="183"/>
      <c r="P82" s="183"/>
      <c r="Q82" s="183"/>
      <c r="R82" s="183"/>
      <c r="S82" s="183"/>
      <c r="T82" s="183"/>
      <c r="U82" s="183"/>
      <c r="V82" s="183"/>
      <c r="W82" s="183"/>
      <c r="X82" s="183"/>
      <c r="Y82" s="183"/>
      <c r="Z82" s="183"/>
      <c r="AA82" s="183"/>
      <c r="AB82" s="183"/>
      <c r="AC82" s="183"/>
      <c r="AD82" s="183"/>
      <c r="AE82" s="183"/>
      <c r="AF82" s="183"/>
      <c r="AG82" s="183"/>
      <c r="AH82" s="183"/>
    </row>
    <row r="83" spans="1:34" customFormat="1" ht="25.5">
      <c r="A83" s="697"/>
      <c r="B83" s="686" t="s">
        <v>566</v>
      </c>
      <c r="C83" s="2399" t="s">
        <v>1555</v>
      </c>
      <c r="D83" s="2399"/>
      <c r="E83" s="2399"/>
      <c r="F83" s="2399"/>
      <c r="G83" s="2399"/>
      <c r="H83" s="2399"/>
      <c r="I83" s="2399"/>
      <c r="J83" s="2400"/>
      <c r="K83" s="2393">
        <f>K85+K91+K106+K112</f>
        <v>0</v>
      </c>
      <c r="L83" s="2393">
        <f>L85+L91+L106+L112</f>
        <v>0</v>
      </c>
      <c r="M83" s="2393">
        <f>+L83+K83</f>
        <v>0</v>
      </c>
      <c r="N83" s="183"/>
      <c r="O83" s="1368"/>
      <c r="P83" s="183"/>
      <c r="Q83" s="183"/>
      <c r="R83" s="183"/>
      <c r="S83" s="183"/>
      <c r="T83" s="183"/>
      <c r="U83" s="183"/>
      <c r="V83" s="183"/>
      <c r="W83" s="183"/>
      <c r="X83" s="183"/>
      <c r="Y83" s="183"/>
      <c r="Z83" s="183"/>
      <c r="AA83" s="183"/>
      <c r="AB83" s="183"/>
      <c r="AC83" s="183"/>
      <c r="AD83" s="183"/>
      <c r="AE83" s="183"/>
      <c r="AF83" s="183"/>
      <c r="AG83" s="183"/>
      <c r="AH83" s="183"/>
    </row>
    <row r="84" spans="1:34" customFormat="1" ht="15">
      <c r="A84" s="697"/>
      <c r="B84" s="712" t="s">
        <v>566</v>
      </c>
      <c r="C84" s="2401" t="s">
        <v>1556</v>
      </c>
      <c r="D84" s="2401"/>
      <c r="E84" s="2401"/>
      <c r="F84" s="2401"/>
      <c r="G84" s="2401"/>
      <c r="H84" s="2401"/>
      <c r="I84" s="2401"/>
      <c r="J84" s="2402"/>
      <c r="K84" s="2393"/>
      <c r="L84" s="2393"/>
      <c r="M84" s="2393"/>
      <c r="N84" s="183"/>
      <c r="O84" s="183"/>
      <c r="P84" s="183"/>
      <c r="Q84" s="183"/>
      <c r="R84" s="183"/>
      <c r="S84" s="183"/>
      <c r="T84" s="183"/>
      <c r="U84" s="183"/>
      <c r="V84" s="183"/>
      <c r="W84" s="183"/>
      <c r="X84" s="183"/>
      <c r="Y84" s="183"/>
      <c r="Z84" s="183"/>
      <c r="AA84" s="183"/>
      <c r="AB84" s="183"/>
      <c r="AC84" s="183"/>
      <c r="AD84" s="183"/>
      <c r="AE84" s="183"/>
      <c r="AF84" s="183"/>
      <c r="AG84" s="183"/>
      <c r="AH84" s="183"/>
    </row>
    <row r="85" spans="1:34" customFormat="1" ht="24.75">
      <c r="A85" s="688"/>
      <c r="B85" s="749"/>
      <c r="C85" s="733" t="s">
        <v>1557</v>
      </c>
      <c r="D85" s="747"/>
      <c r="E85" s="2351" t="s">
        <v>1558</v>
      </c>
      <c r="F85" s="2351"/>
      <c r="G85" s="2351"/>
      <c r="H85" s="2351"/>
      <c r="I85" s="2351"/>
      <c r="J85" s="2352"/>
      <c r="K85" s="2403">
        <f>K87+K89</f>
        <v>0</v>
      </c>
      <c r="L85" s="2403">
        <f>L87+L89</f>
        <v>0</v>
      </c>
      <c r="M85" s="2358">
        <f>+K85+L85</f>
        <v>0</v>
      </c>
      <c r="N85" s="183"/>
      <c r="O85" s="183"/>
      <c r="P85" s="183"/>
      <c r="Q85" s="183"/>
      <c r="R85" s="183"/>
      <c r="S85" s="183"/>
      <c r="T85" s="183"/>
      <c r="U85" s="183"/>
      <c r="V85" s="183"/>
      <c r="W85" s="183"/>
      <c r="X85" s="183"/>
      <c r="Y85" s="183"/>
      <c r="Z85" s="183"/>
      <c r="AA85" s="183"/>
      <c r="AB85" s="183"/>
      <c r="AC85" s="183"/>
      <c r="AD85" s="183"/>
      <c r="AE85" s="183"/>
      <c r="AF85" s="183"/>
      <c r="AG85" s="183"/>
      <c r="AH85" s="183"/>
    </row>
    <row r="86" spans="1:34" customFormat="1" ht="15">
      <c r="A86" s="688"/>
      <c r="B86" s="735"/>
      <c r="C86" s="739"/>
      <c r="D86" s="739"/>
      <c r="E86" s="2356" t="s">
        <v>1559</v>
      </c>
      <c r="F86" s="2356"/>
      <c r="G86" s="2356"/>
      <c r="H86" s="2356"/>
      <c r="I86" s="2356"/>
      <c r="J86" s="2357"/>
      <c r="K86" s="2403"/>
      <c r="L86" s="2403"/>
      <c r="M86" s="2358"/>
      <c r="N86" s="183"/>
      <c r="O86" s="183"/>
      <c r="P86" s="183"/>
      <c r="Q86" s="183"/>
      <c r="R86" s="183"/>
      <c r="S86" s="183"/>
      <c r="T86" s="183"/>
      <c r="U86" s="183"/>
      <c r="V86" s="183"/>
      <c r="W86" s="183"/>
      <c r="X86" s="183"/>
      <c r="Y86" s="183"/>
      <c r="Z86" s="183"/>
      <c r="AA86" s="183"/>
      <c r="AB86" s="183"/>
      <c r="AC86" s="183"/>
      <c r="AD86" s="183"/>
      <c r="AE86" s="183"/>
      <c r="AF86" s="183"/>
      <c r="AG86" s="183"/>
      <c r="AH86" s="183"/>
    </row>
    <row r="87" spans="1:34" customFormat="1" ht="24.75">
      <c r="A87" s="688"/>
      <c r="B87" s="749"/>
      <c r="C87" s="738"/>
      <c r="D87" s="738"/>
      <c r="E87" s="733" t="s">
        <v>1560</v>
      </c>
      <c r="F87" s="738"/>
      <c r="G87" s="2390" t="s">
        <v>1561</v>
      </c>
      <c r="H87" s="2390"/>
      <c r="I87" s="2390"/>
      <c r="J87" s="2392"/>
      <c r="K87" s="2353"/>
      <c r="L87" s="2353"/>
      <c r="M87" s="2358">
        <f>K87+L87</f>
        <v>0</v>
      </c>
      <c r="N87" s="183"/>
      <c r="O87" s="183"/>
      <c r="P87" s="183"/>
      <c r="Q87" s="183"/>
      <c r="R87" s="183"/>
      <c r="S87" s="183"/>
      <c r="T87" s="183"/>
      <c r="U87" s="183"/>
      <c r="V87" s="183"/>
      <c r="W87" s="183"/>
      <c r="X87" s="183"/>
      <c r="Y87" s="183"/>
      <c r="Z87" s="183"/>
      <c r="AA87" s="183"/>
      <c r="AB87" s="183"/>
      <c r="AC87" s="183"/>
      <c r="AD87" s="183"/>
      <c r="AE87" s="183"/>
      <c r="AF87" s="183"/>
      <c r="AG87" s="183"/>
      <c r="AH87" s="183"/>
    </row>
    <row r="88" spans="1:34" customFormat="1" ht="15">
      <c r="A88" s="688"/>
      <c r="B88" s="735"/>
      <c r="C88" s="739"/>
      <c r="D88" s="739"/>
      <c r="E88" s="739" t="s">
        <v>1562</v>
      </c>
      <c r="F88" s="739"/>
      <c r="G88" s="2356" t="s">
        <v>1563</v>
      </c>
      <c r="H88" s="2356"/>
      <c r="I88" s="2356"/>
      <c r="J88" s="2357"/>
      <c r="K88" s="2353"/>
      <c r="L88" s="2353"/>
      <c r="M88" s="2358"/>
      <c r="N88" s="183"/>
      <c r="O88" s="183"/>
      <c r="P88" s="183"/>
      <c r="Q88" s="183"/>
      <c r="R88" s="183"/>
      <c r="S88" s="183"/>
      <c r="T88" s="183"/>
      <c r="U88" s="183"/>
      <c r="V88" s="183"/>
      <c r="W88" s="183"/>
      <c r="X88" s="183"/>
      <c r="Y88" s="183"/>
      <c r="Z88" s="183"/>
      <c r="AA88" s="183"/>
      <c r="AB88" s="183"/>
      <c r="AC88" s="183"/>
      <c r="AD88" s="183"/>
      <c r="AE88" s="183"/>
      <c r="AF88" s="183"/>
      <c r="AG88" s="183"/>
      <c r="AH88" s="183"/>
    </row>
    <row r="89" spans="1:34" customFormat="1" ht="24.75">
      <c r="A89" s="688"/>
      <c r="B89" s="731"/>
      <c r="C89" s="738"/>
      <c r="D89" s="738"/>
      <c r="E89" s="733" t="s">
        <v>1564</v>
      </c>
      <c r="F89" s="738"/>
      <c r="G89" s="2390" t="s">
        <v>1565</v>
      </c>
      <c r="H89" s="2390"/>
      <c r="I89" s="2390"/>
      <c r="J89" s="2392"/>
      <c r="K89" s="2353"/>
      <c r="L89" s="2353"/>
      <c r="M89" s="2358">
        <f>K89+L89</f>
        <v>0</v>
      </c>
      <c r="N89" s="183"/>
      <c r="O89" s="183"/>
      <c r="P89" s="183"/>
      <c r="Q89" s="183"/>
      <c r="R89" s="183"/>
      <c r="S89" s="183"/>
      <c r="T89" s="183"/>
      <c r="U89" s="183"/>
      <c r="V89" s="183"/>
      <c r="W89" s="183"/>
      <c r="X89" s="183"/>
      <c r="Y89" s="183"/>
      <c r="Z89" s="183"/>
      <c r="AA89" s="183"/>
      <c r="AB89" s="183"/>
      <c r="AC89" s="183"/>
      <c r="AD89" s="183"/>
      <c r="AE89" s="183"/>
      <c r="AF89" s="183"/>
      <c r="AG89" s="183"/>
      <c r="AH89" s="183"/>
    </row>
    <row r="90" spans="1:34" customFormat="1" ht="15">
      <c r="A90" s="688"/>
      <c r="B90" s="735"/>
      <c r="C90" s="739"/>
      <c r="D90" s="739"/>
      <c r="E90" s="739" t="s">
        <v>1566</v>
      </c>
      <c r="F90" s="739"/>
      <c r="G90" s="2356" t="s">
        <v>1567</v>
      </c>
      <c r="H90" s="2356"/>
      <c r="I90" s="2356"/>
      <c r="J90" s="2357"/>
      <c r="K90" s="2353"/>
      <c r="L90" s="2353"/>
      <c r="M90" s="2358"/>
      <c r="N90" s="183"/>
      <c r="O90" s="183"/>
      <c r="P90" s="183"/>
      <c r="Q90" s="183"/>
      <c r="R90" s="183"/>
      <c r="S90" s="183"/>
      <c r="T90" s="183"/>
      <c r="U90" s="183"/>
      <c r="V90" s="183"/>
      <c r="W90" s="183"/>
      <c r="X90" s="183"/>
      <c r="Y90" s="183"/>
      <c r="Z90" s="183"/>
      <c r="AA90" s="183"/>
      <c r="AB90" s="183"/>
      <c r="AC90" s="183"/>
      <c r="AD90" s="183"/>
      <c r="AE90" s="183"/>
      <c r="AF90" s="183"/>
      <c r="AG90" s="183"/>
      <c r="AH90" s="183"/>
    </row>
    <row r="91" spans="1:34" customFormat="1" ht="24.75">
      <c r="A91" s="688"/>
      <c r="B91" s="749"/>
      <c r="C91" s="733" t="s">
        <v>1568</v>
      </c>
      <c r="D91" s="738"/>
      <c r="E91" s="2390" t="s">
        <v>1569</v>
      </c>
      <c r="F91" s="2390"/>
      <c r="G91" s="2390"/>
      <c r="H91" s="2390"/>
      <c r="I91" s="2390"/>
      <c r="J91" s="2392"/>
      <c r="K91" s="2358">
        <f>+K93+K100+K102+K104</f>
        <v>0</v>
      </c>
      <c r="L91" s="2358">
        <f>+L93+L100+L102+L104</f>
        <v>0</v>
      </c>
      <c r="M91" s="2358">
        <f>+K91+L91</f>
        <v>0</v>
      </c>
      <c r="N91" s="183"/>
      <c r="O91" s="183"/>
      <c r="P91" s="183"/>
      <c r="Q91" s="183"/>
      <c r="R91" s="183"/>
      <c r="S91" s="183"/>
      <c r="T91" s="183"/>
      <c r="U91" s="183"/>
      <c r="V91" s="183"/>
      <c r="W91" s="183"/>
      <c r="X91" s="183"/>
      <c r="Y91" s="183"/>
      <c r="Z91" s="183"/>
      <c r="AA91" s="183"/>
      <c r="AB91" s="183"/>
      <c r="AC91" s="183"/>
      <c r="AD91" s="183"/>
      <c r="AE91" s="183"/>
      <c r="AF91" s="183"/>
      <c r="AG91" s="183"/>
      <c r="AH91" s="183"/>
    </row>
    <row r="92" spans="1:34" customFormat="1" ht="15">
      <c r="A92" s="688"/>
      <c r="B92" s="735"/>
      <c r="C92" s="836">
        <v>4.2</v>
      </c>
      <c r="D92" s="739"/>
      <c r="E92" s="2404" t="s">
        <v>1570</v>
      </c>
      <c r="F92" s="2404"/>
      <c r="G92" s="2404"/>
      <c r="H92" s="2404"/>
      <c r="I92" s="2404"/>
      <c r="J92" s="2405"/>
      <c r="K92" s="2358"/>
      <c r="L92" s="2358"/>
      <c r="M92" s="2358"/>
      <c r="N92" s="183"/>
      <c r="O92" s="183"/>
      <c r="P92" s="183"/>
      <c r="Q92" s="183"/>
      <c r="R92" s="183"/>
      <c r="S92" s="183"/>
      <c r="T92" s="183"/>
      <c r="U92" s="183"/>
      <c r="V92" s="183"/>
      <c r="W92" s="183"/>
      <c r="X92" s="183"/>
      <c r="Y92" s="183"/>
      <c r="Z92" s="183"/>
      <c r="AA92" s="183"/>
      <c r="AB92" s="183"/>
      <c r="AC92" s="183"/>
      <c r="AD92" s="183"/>
      <c r="AE92" s="183"/>
      <c r="AF92" s="183"/>
      <c r="AG92" s="183"/>
      <c r="AH92" s="183"/>
    </row>
    <row r="93" spans="1:34" customFormat="1" ht="24.75">
      <c r="A93" s="688"/>
      <c r="B93" s="731"/>
      <c r="C93" s="738"/>
      <c r="D93" s="738"/>
      <c r="E93" s="733" t="s">
        <v>1571</v>
      </c>
      <c r="F93" s="738"/>
      <c r="G93" s="2390" t="s">
        <v>1572</v>
      </c>
      <c r="H93" s="2390"/>
      <c r="I93" s="2390"/>
      <c r="J93" s="2392"/>
      <c r="K93" s="2406">
        <f>K95-K97</f>
        <v>0</v>
      </c>
      <c r="L93" s="2406">
        <f>L95-L97</f>
        <v>0</v>
      </c>
      <c r="M93" s="2358">
        <f>K93+L93</f>
        <v>0</v>
      </c>
      <c r="N93" s="183"/>
      <c r="O93" s="183"/>
      <c r="P93" s="183"/>
      <c r="Q93" s="183"/>
      <c r="R93" s="183"/>
      <c r="S93" s="183"/>
      <c r="T93" s="183"/>
      <c r="U93" s="183"/>
      <c r="V93" s="183"/>
      <c r="W93" s="183"/>
      <c r="X93" s="183"/>
      <c r="Y93" s="183"/>
      <c r="Z93" s="183"/>
      <c r="AA93" s="183"/>
      <c r="AB93" s="183"/>
      <c r="AC93" s="183"/>
      <c r="AD93" s="183"/>
      <c r="AE93" s="183"/>
      <c r="AF93" s="183"/>
      <c r="AG93" s="183"/>
      <c r="AH93" s="183"/>
    </row>
    <row r="94" spans="1:34" customFormat="1" ht="15">
      <c r="A94" s="688"/>
      <c r="B94" s="735"/>
      <c r="C94" s="739"/>
      <c r="D94" s="739"/>
      <c r="E94" s="739" t="s">
        <v>1573</v>
      </c>
      <c r="F94" s="739"/>
      <c r="G94" s="2356" t="s">
        <v>1574</v>
      </c>
      <c r="H94" s="2356"/>
      <c r="I94" s="2356"/>
      <c r="J94" s="2357"/>
      <c r="K94" s="2406"/>
      <c r="L94" s="2406"/>
      <c r="M94" s="2358"/>
      <c r="N94" s="183"/>
      <c r="O94" s="183"/>
      <c r="P94" s="183"/>
      <c r="Q94" s="183"/>
      <c r="R94" s="183"/>
      <c r="S94" s="183"/>
      <c r="T94" s="183"/>
      <c r="U94" s="183"/>
      <c r="V94" s="183"/>
      <c r="W94" s="183"/>
      <c r="X94" s="183"/>
      <c r="Y94" s="183"/>
      <c r="Z94" s="183"/>
      <c r="AA94" s="183"/>
      <c r="AB94" s="183"/>
      <c r="AC94" s="183"/>
      <c r="AD94" s="183"/>
      <c r="AE94" s="183"/>
      <c r="AF94" s="183"/>
      <c r="AG94" s="183"/>
      <c r="AH94" s="183"/>
    </row>
    <row r="95" spans="1:34" customFormat="1" ht="23.25" customHeight="1">
      <c r="A95" s="688"/>
      <c r="B95" s="731"/>
      <c r="C95" s="738"/>
      <c r="D95" s="738"/>
      <c r="E95" s="738"/>
      <c r="F95" s="738"/>
      <c r="G95" s="2390" t="s">
        <v>1575</v>
      </c>
      <c r="H95" s="2407"/>
      <c r="I95" s="2407"/>
      <c r="J95" s="2408"/>
      <c r="K95" s="2353"/>
      <c r="L95" s="2353"/>
      <c r="M95" s="2358">
        <f t="shared" ref="M95" si="0">K95+L95</f>
        <v>0</v>
      </c>
      <c r="N95" s="183"/>
      <c r="O95" s="183"/>
      <c r="P95" s="183"/>
      <c r="Q95" s="183"/>
      <c r="R95" s="183"/>
      <c r="S95" s="183"/>
      <c r="T95" s="183"/>
      <c r="U95" s="183"/>
      <c r="V95" s="183"/>
      <c r="W95" s="183"/>
      <c r="X95" s="183"/>
      <c r="Y95" s="183"/>
      <c r="Z95" s="183"/>
      <c r="AA95" s="183"/>
      <c r="AB95" s="183"/>
      <c r="AC95" s="183"/>
      <c r="AD95" s="183"/>
      <c r="AE95" s="183"/>
      <c r="AF95" s="183"/>
      <c r="AG95" s="183"/>
      <c r="AH95" s="183"/>
    </row>
    <row r="96" spans="1:34" customFormat="1" ht="15">
      <c r="A96" s="688"/>
      <c r="B96" s="735"/>
      <c r="C96" s="739"/>
      <c r="D96" s="739"/>
      <c r="E96" s="739"/>
      <c r="F96" s="739"/>
      <c r="G96" s="2356" t="s">
        <v>1576</v>
      </c>
      <c r="H96" s="2409"/>
      <c r="I96" s="2409"/>
      <c r="J96" s="2410"/>
      <c r="K96" s="2353"/>
      <c r="L96" s="2353"/>
      <c r="M96" s="2358"/>
      <c r="N96" s="183"/>
      <c r="O96" s="183"/>
      <c r="P96" s="183"/>
      <c r="Q96" s="183"/>
      <c r="R96" s="183"/>
      <c r="S96" s="183"/>
      <c r="T96" s="183"/>
      <c r="U96" s="183"/>
      <c r="V96" s="183"/>
      <c r="W96" s="183"/>
      <c r="X96" s="183"/>
      <c r="Y96" s="183"/>
      <c r="Z96" s="183"/>
      <c r="AA96" s="183"/>
      <c r="AB96" s="183"/>
      <c r="AC96" s="183"/>
      <c r="AD96" s="183"/>
      <c r="AE96" s="183"/>
      <c r="AF96" s="183"/>
      <c r="AG96" s="183"/>
      <c r="AH96" s="183"/>
    </row>
    <row r="97" spans="1:34" customFormat="1" ht="24" customHeight="1">
      <c r="A97" s="688"/>
      <c r="B97" s="731"/>
      <c r="C97" s="738"/>
      <c r="D97" s="738"/>
      <c r="E97" s="738"/>
      <c r="F97" s="738"/>
      <c r="G97" s="2390" t="s">
        <v>1577</v>
      </c>
      <c r="H97" s="2407"/>
      <c r="I97" s="2407"/>
      <c r="J97" s="2408"/>
      <c r="K97" s="2353"/>
      <c r="L97" s="2353"/>
      <c r="M97" s="2358">
        <f t="shared" ref="M97" si="1">K97+L97</f>
        <v>0</v>
      </c>
      <c r="N97" s="183"/>
      <c r="O97" s="183"/>
      <c r="P97" s="183"/>
      <c r="Q97" s="183"/>
      <c r="R97" s="183"/>
      <c r="S97" s="183"/>
      <c r="T97" s="183"/>
      <c r="U97" s="183"/>
      <c r="V97" s="183"/>
      <c r="W97" s="183"/>
      <c r="X97" s="183"/>
      <c r="Y97" s="183"/>
      <c r="Z97" s="183"/>
      <c r="AA97" s="183"/>
      <c r="AB97" s="183"/>
      <c r="AC97" s="183"/>
      <c r="AD97" s="183"/>
      <c r="AE97" s="183"/>
      <c r="AF97" s="183"/>
      <c r="AG97" s="183"/>
      <c r="AH97" s="183"/>
    </row>
    <row r="98" spans="1:34" customFormat="1" ht="15">
      <c r="A98" s="688"/>
      <c r="B98" s="735"/>
      <c r="C98" s="739"/>
      <c r="D98" s="739"/>
      <c r="E98" s="739"/>
      <c r="F98" s="739"/>
      <c r="G98" s="2356" t="s">
        <v>1578</v>
      </c>
      <c r="H98" s="2409"/>
      <c r="I98" s="2409"/>
      <c r="J98" s="2410"/>
      <c r="K98" s="2353"/>
      <c r="L98" s="2353"/>
      <c r="M98" s="2358"/>
      <c r="N98" s="183"/>
      <c r="O98" s="183"/>
      <c r="P98" s="183"/>
      <c r="Q98" s="183"/>
      <c r="R98" s="183"/>
      <c r="S98" s="183"/>
      <c r="T98" s="183"/>
      <c r="U98" s="183"/>
      <c r="V98" s="183"/>
      <c r="W98" s="183"/>
      <c r="X98" s="183"/>
      <c r="Y98" s="183"/>
      <c r="Z98" s="183"/>
      <c r="AA98" s="183"/>
      <c r="AB98" s="183"/>
      <c r="AC98" s="183"/>
      <c r="AD98" s="183"/>
      <c r="AE98" s="183"/>
      <c r="AF98" s="183"/>
      <c r="AG98" s="183"/>
      <c r="AH98" s="183"/>
    </row>
    <row r="99" spans="1:34" customFormat="1" ht="15">
      <c r="A99" s="694"/>
      <c r="B99" s="695"/>
      <c r="C99" s="713"/>
      <c r="D99" s="713"/>
      <c r="E99" s="713"/>
      <c r="F99" s="713"/>
      <c r="G99" s="714"/>
      <c r="H99" s="715"/>
      <c r="I99" s="715"/>
      <c r="J99" s="715"/>
      <c r="K99" s="831"/>
      <c r="L99" s="831"/>
      <c r="M99" s="833"/>
      <c r="N99" s="183"/>
      <c r="O99" s="183"/>
      <c r="P99" s="183"/>
      <c r="Q99" s="183"/>
      <c r="R99" s="183"/>
      <c r="S99" s="183"/>
      <c r="T99" s="183"/>
      <c r="U99" s="183"/>
      <c r="V99" s="183"/>
      <c r="W99" s="183"/>
      <c r="X99" s="183"/>
      <c r="Y99" s="183"/>
      <c r="Z99" s="183"/>
      <c r="AA99" s="183"/>
      <c r="AB99" s="183"/>
      <c r="AC99" s="183"/>
      <c r="AD99" s="183"/>
      <c r="AE99" s="183"/>
      <c r="AF99" s="183"/>
      <c r="AG99" s="183"/>
      <c r="AH99" s="183"/>
    </row>
    <row r="100" spans="1:34" customFormat="1" ht="24.75">
      <c r="A100" s="688"/>
      <c r="B100" s="761"/>
      <c r="C100" s="762"/>
      <c r="D100" s="762"/>
      <c r="E100" s="763" t="s">
        <v>1579</v>
      </c>
      <c r="F100" s="762"/>
      <c r="G100" s="2411" t="s">
        <v>1580</v>
      </c>
      <c r="H100" s="2411"/>
      <c r="I100" s="2411"/>
      <c r="J100" s="2412"/>
      <c r="K100" s="2353"/>
      <c r="L100" s="2353"/>
      <c r="M100" s="2358">
        <f>+K100+L100</f>
        <v>0</v>
      </c>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row>
    <row r="101" spans="1:34" customFormat="1" ht="15">
      <c r="A101" s="688"/>
      <c r="B101" s="735"/>
      <c r="C101" s="739"/>
      <c r="D101" s="739"/>
      <c r="E101" s="739" t="s">
        <v>1581</v>
      </c>
      <c r="F101" s="739"/>
      <c r="G101" s="2356" t="s">
        <v>1582</v>
      </c>
      <c r="H101" s="2356"/>
      <c r="I101" s="2356"/>
      <c r="J101" s="2357"/>
      <c r="K101" s="2353"/>
      <c r="L101" s="2353"/>
      <c r="M101" s="2358"/>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row>
    <row r="102" spans="1:34" customFormat="1" ht="24.75">
      <c r="A102" s="688"/>
      <c r="B102" s="749"/>
      <c r="C102" s="738"/>
      <c r="D102" s="738"/>
      <c r="E102" s="733" t="s">
        <v>1583</v>
      </c>
      <c r="F102" s="747"/>
      <c r="G102" s="2351" t="s">
        <v>1584</v>
      </c>
      <c r="H102" s="2351"/>
      <c r="I102" s="2351"/>
      <c r="J102" s="2352"/>
      <c r="K102" s="2353"/>
      <c r="L102" s="2353"/>
      <c r="M102" s="2358">
        <f>+K102+L102</f>
        <v>0</v>
      </c>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row>
    <row r="103" spans="1:34" customFormat="1" ht="15">
      <c r="A103" s="688"/>
      <c r="B103" s="735"/>
      <c r="C103" s="739"/>
      <c r="D103" s="739"/>
      <c r="E103" s="739" t="s">
        <v>1585</v>
      </c>
      <c r="F103" s="739"/>
      <c r="G103" s="2413" t="s">
        <v>1586</v>
      </c>
      <c r="H103" s="2413"/>
      <c r="I103" s="2413"/>
      <c r="J103" s="2414"/>
      <c r="K103" s="2353"/>
      <c r="L103" s="2353"/>
      <c r="M103" s="2358"/>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row>
    <row r="104" spans="1:34" customFormat="1" ht="24.75">
      <c r="A104" s="688"/>
      <c r="B104" s="731"/>
      <c r="C104" s="738"/>
      <c r="D104" s="738"/>
      <c r="E104" s="733" t="s">
        <v>1587</v>
      </c>
      <c r="F104" s="747"/>
      <c r="G104" s="2351" t="s">
        <v>1588</v>
      </c>
      <c r="H104" s="2351"/>
      <c r="I104" s="2351"/>
      <c r="J104" s="2352"/>
      <c r="K104" s="2353"/>
      <c r="L104" s="2353"/>
      <c r="M104" s="2358">
        <f>+K104+L104</f>
        <v>0</v>
      </c>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row>
    <row r="105" spans="1:34" customFormat="1" ht="15">
      <c r="A105" s="688"/>
      <c r="B105" s="735"/>
      <c r="C105" s="739"/>
      <c r="D105" s="739"/>
      <c r="E105" s="739" t="s">
        <v>1589</v>
      </c>
      <c r="F105" s="739"/>
      <c r="G105" s="2413" t="s">
        <v>1590</v>
      </c>
      <c r="H105" s="2413"/>
      <c r="I105" s="2413"/>
      <c r="J105" s="2414"/>
      <c r="K105" s="2353"/>
      <c r="L105" s="2353"/>
      <c r="M105" s="2358"/>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row>
    <row r="106" spans="1:34" customFormat="1" ht="24.75">
      <c r="A106" s="688"/>
      <c r="B106" s="749"/>
      <c r="C106" s="733" t="s">
        <v>1591</v>
      </c>
      <c r="D106" s="839"/>
      <c r="E106" s="2351" t="s">
        <v>1592</v>
      </c>
      <c r="F106" s="2351"/>
      <c r="G106" s="2351"/>
      <c r="H106" s="2351"/>
      <c r="I106" s="2351"/>
      <c r="J106" s="2352"/>
      <c r="K106" s="2415">
        <f>K108-K110</f>
        <v>0</v>
      </c>
      <c r="L106" s="2415">
        <f>L108-L110</f>
        <v>0</v>
      </c>
      <c r="M106" s="2358">
        <f>+K106+L106</f>
        <v>0</v>
      </c>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row>
    <row r="107" spans="1:34" customFormat="1" ht="15">
      <c r="A107" s="688"/>
      <c r="B107" s="735"/>
      <c r="C107" s="836">
        <v>4.3</v>
      </c>
      <c r="D107" s="739"/>
      <c r="E107" s="2356" t="s">
        <v>1593</v>
      </c>
      <c r="F107" s="2356"/>
      <c r="G107" s="2356"/>
      <c r="H107" s="2356"/>
      <c r="I107" s="2356"/>
      <c r="J107" s="2357"/>
      <c r="K107" s="2415"/>
      <c r="L107" s="2415"/>
      <c r="M107" s="2358"/>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row>
    <row r="108" spans="1:34" customFormat="1" ht="24.75">
      <c r="A108" s="688"/>
      <c r="B108" s="764"/>
      <c r="C108" s="747"/>
      <c r="D108" s="747"/>
      <c r="E108" s="733" t="s">
        <v>1594</v>
      </c>
      <c r="F108" s="747"/>
      <c r="G108" s="2351" t="s">
        <v>1595</v>
      </c>
      <c r="H108" s="2351"/>
      <c r="I108" s="2351"/>
      <c r="J108" s="2352"/>
      <c r="K108" s="2353"/>
      <c r="L108" s="2353"/>
      <c r="M108" s="2358">
        <f>+K108+L108</f>
        <v>0</v>
      </c>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row>
    <row r="109" spans="1:34" customFormat="1" ht="15">
      <c r="A109" s="688"/>
      <c r="B109" s="765"/>
      <c r="C109" s="740"/>
      <c r="D109" s="740"/>
      <c r="E109" s="740" t="s">
        <v>1596</v>
      </c>
      <c r="F109" s="740"/>
      <c r="G109" s="2416" t="s">
        <v>1597</v>
      </c>
      <c r="H109" s="2416"/>
      <c r="I109" s="2416"/>
      <c r="J109" s="2417"/>
      <c r="K109" s="2353"/>
      <c r="L109" s="2353"/>
      <c r="M109" s="2358"/>
      <c r="N109" s="183"/>
      <c r="O109" s="1369"/>
      <c r="P109" s="183"/>
      <c r="Q109" s="183"/>
      <c r="R109" s="183"/>
      <c r="S109" s="183"/>
      <c r="T109" s="183"/>
      <c r="U109" s="183"/>
      <c r="V109" s="183"/>
      <c r="W109" s="183"/>
      <c r="X109" s="183"/>
      <c r="Y109" s="183"/>
      <c r="Z109" s="183"/>
      <c r="AA109" s="183"/>
      <c r="AB109" s="183"/>
      <c r="AC109" s="183"/>
      <c r="AD109" s="183"/>
      <c r="AE109" s="183"/>
      <c r="AF109" s="183"/>
      <c r="AG109" s="183"/>
      <c r="AH109" s="183"/>
    </row>
    <row r="110" spans="1:34" customFormat="1" ht="24.75">
      <c r="A110" s="688"/>
      <c r="B110" s="749"/>
      <c r="C110" s="738"/>
      <c r="D110" s="738"/>
      <c r="E110" s="733" t="s">
        <v>1598</v>
      </c>
      <c r="F110" s="747"/>
      <c r="G110" s="2351" t="s">
        <v>1599</v>
      </c>
      <c r="H110" s="2351"/>
      <c r="I110" s="2351"/>
      <c r="J110" s="2352"/>
      <c r="K110" s="2353"/>
      <c r="L110" s="2353"/>
      <c r="M110" s="2358">
        <f>+K110+L110</f>
        <v>0</v>
      </c>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row>
    <row r="111" spans="1:34" customFormat="1" ht="15">
      <c r="A111" s="688"/>
      <c r="B111" s="736"/>
      <c r="C111" s="739"/>
      <c r="D111" s="739"/>
      <c r="E111" s="739" t="s">
        <v>1600</v>
      </c>
      <c r="F111" s="739"/>
      <c r="G111" s="2356" t="s">
        <v>1601</v>
      </c>
      <c r="H111" s="2356"/>
      <c r="I111" s="2356"/>
      <c r="J111" s="2357"/>
      <c r="K111" s="2353"/>
      <c r="L111" s="2353"/>
      <c r="M111" s="2358"/>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row>
    <row r="112" spans="1:34" customFormat="1" ht="24.75">
      <c r="A112" s="688"/>
      <c r="B112" s="731"/>
      <c r="C112" s="733" t="s">
        <v>1602</v>
      </c>
      <c r="D112" s="825"/>
      <c r="E112" s="2351" t="s">
        <v>1603</v>
      </c>
      <c r="F112" s="2351"/>
      <c r="G112" s="2351"/>
      <c r="H112" s="2351"/>
      <c r="I112" s="2351"/>
      <c r="J112" s="2352"/>
      <c r="K112" s="2389"/>
      <c r="L112" s="2389"/>
      <c r="M112" s="2358">
        <f>+K112+L112</f>
        <v>0</v>
      </c>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row>
    <row r="113" spans="1:34" customFormat="1" ht="15">
      <c r="A113" s="688"/>
      <c r="B113" s="735"/>
      <c r="C113" s="835">
        <v>4.4000000000000004</v>
      </c>
      <c r="D113" s="740"/>
      <c r="E113" s="2356" t="s">
        <v>1604</v>
      </c>
      <c r="F113" s="2356"/>
      <c r="G113" s="2356"/>
      <c r="H113" s="2356"/>
      <c r="I113" s="2356"/>
      <c r="J113" s="2357"/>
      <c r="K113" s="2389"/>
      <c r="L113" s="2389"/>
      <c r="M113" s="2358"/>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row>
    <row r="114" spans="1:34" customFormat="1" ht="24.75">
      <c r="A114" s="688"/>
      <c r="B114" s="749"/>
      <c r="C114" s="738"/>
      <c r="D114" s="738"/>
      <c r="E114" s="733" t="s">
        <v>1605</v>
      </c>
      <c r="F114" s="747"/>
      <c r="G114" s="2351" t="s">
        <v>1606</v>
      </c>
      <c r="H114" s="2351"/>
      <c r="I114" s="2351"/>
      <c r="J114" s="2352"/>
      <c r="K114" s="2353"/>
      <c r="L114" s="2353"/>
      <c r="M114" s="2358">
        <f>+K114+L114</f>
        <v>0</v>
      </c>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row>
    <row r="115" spans="1:34" customFormat="1" ht="15">
      <c r="A115" s="688"/>
      <c r="B115" s="736"/>
      <c r="C115" s="739"/>
      <c r="D115" s="739"/>
      <c r="E115" s="739" t="s">
        <v>1607</v>
      </c>
      <c r="F115" s="739"/>
      <c r="G115" s="2416" t="s">
        <v>1608</v>
      </c>
      <c r="H115" s="2416"/>
      <c r="I115" s="2416"/>
      <c r="J115" s="2417"/>
      <c r="K115" s="2353"/>
      <c r="L115" s="2353"/>
      <c r="M115" s="2358"/>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row>
    <row r="116" spans="1:34" customFormat="1" ht="25.5">
      <c r="A116" s="697"/>
      <c r="B116" s="686" t="s">
        <v>576</v>
      </c>
      <c r="C116" s="2418" t="s">
        <v>1609</v>
      </c>
      <c r="D116" s="2418"/>
      <c r="E116" s="2418"/>
      <c r="F116" s="2418"/>
      <c r="G116" s="2418"/>
      <c r="H116" s="2418"/>
      <c r="I116" s="2418"/>
      <c r="J116" s="2419"/>
      <c r="K116" s="2393">
        <f>+K81+K83</f>
        <v>0</v>
      </c>
      <c r="L116" s="2393">
        <f>+L81+L83</f>
        <v>0</v>
      </c>
      <c r="M116" s="2393">
        <f>+K116+L116</f>
        <v>0</v>
      </c>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row>
    <row r="117" spans="1:34" customFormat="1" ht="15">
      <c r="A117" s="697"/>
      <c r="B117" s="716" t="s">
        <v>1610</v>
      </c>
      <c r="C117" s="2420" t="s">
        <v>1611</v>
      </c>
      <c r="D117" s="2420"/>
      <c r="E117" s="2420"/>
      <c r="F117" s="2420"/>
      <c r="G117" s="2420"/>
      <c r="H117" s="2420"/>
      <c r="I117" s="2420"/>
      <c r="J117" s="2421"/>
      <c r="K117" s="2393"/>
      <c r="L117" s="2393"/>
      <c r="M117" s="239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row>
    <row r="118" spans="1:34" customFormat="1" ht="25.5">
      <c r="A118" s="697"/>
      <c r="B118" s="686" t="s">
        <v>587</v>
      </c>
      <c r="C118" s="2418" t="s">
        <v>1612</v>
      </c>
      <c r="D118" s="2418"/>
      <c r="E118" s="2418"/>
      <c r="F118" s="2418"/>
      <c r="G118" s="2418"/>
      <c r="H118" s="2418"/>
      <c r="I118" s="2418"/>
      <c r="J118" s="2419"/>
      <c r="K118" s="2393">
        <f>+K120+K122+K124+K126+K134+K136+K138+K140</f>
        <v>0</v>
      </c>
      <c r="L118" s="2393">
        <f>+L120+L122+L124+L126+L134+L136+L138+L140</f>
        <v>0</v>
      </c>
      <c r="M118" s="2393">
        <f>+K118+L118</f>
        <v>0</v>
      </c>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row>
    <row r="119" spans="1:34" customFormat="1" ht="15">
      <c r="A119" s="697"/>
      <c r="B119" s="716" t="s">
        <v>587</v>
      </c>
      <c r="C119" s="2420" t="s">
        <v>1613</v>
      </c>
      <c r="D119" s="2420"/>
      <c r="E119" s="2420"/>
      <c r="F119" s="2420"/>
      <c r="G119" s="2420"/>
      <c r="H119" s="2420"/>
      <c r="I119" s="2420"/>
      <c r="J119" s="2421"/>
      <c r="K119" s="2393"/>
      <c r="L119" s="2393"/>
      <c r="M119" s="2393"/>
      <c r="N119" s="183"/>
      <c r="O119" s="183"/>
      <c r="P119" s="183"/>
      <c r="Q119" s="183"/>
      <c r="R119" s="183"/>
      <c r="S119" s="183"/>
      <c r="T119" s="183"/>
      <c r="U119" s="183"/>
      <c r="V119" s="183"/>
      <c r="W119" s="183"/>
      <c r="X119" s="183"/>
      <c r="Y119" s="183"/>
      <c r="Z119" s="183"/>
      <c r="AA119" s="183"/>
      <c r="AB119" s="183"/>
      <c r="AC119" s="183"/>
      <c r="AD119" s="183"/>
      <c r="AE119" s="183"/>
      <c r="AF119" s="183"/>
      <c r="AG119" s="183"/>
      <c r="AH119" s="183"/>
    </row>
    <row r="120" spans="1:34" customFormat="1" ht="24.75">
      <c r="A120" s="688"/>
      <c r="B120" s="749"/>
      <c r="C120" s="733" t="s">
        <v>1614</v>
      </c>
      <c r="D120" s="747"/>
      <c r="E120" s="2351" t="s">
        <v>1615</v>
      </c>
      <c r="F120" s="2351"/>
      <c r="G120" s="2351"/>
      <c r="H120" s="2351"/>
      <c r="I120" s="2351"/>
      <c r="J120" s="2352"/>
      <c r="K120" s="2353"/>
      <c r="L120" s="2353"/>
      <c r="M120" s="2358">
        <f>+K120+L120</f>
        <v>0</v>
      </c>
      <c r="N120" s="183"/>
      <c r="O120" s="183"/>
      <c r="P120" s="183"/>
      <c r="Q120" s="183"/>
      <c r="R120" s="183"/>
      <c r="S120" s="183"/>
      <c r="T120" s="183"/>
      <c r="U120" s="183"/>
      <c r="V120" s="183"/>
      <c r="W120" s="183"/>
      <c r="X120" s="183"/>
      <c r="Y120" s="183"/>
      <c r="Z120" s="183"/>
      <c r="AA120" s="183"/>
      <c r="AB120" s="183"/>
      <c r="AC120" s="183"/>
      <c r="AD120" s="183"/>
      <c r="AE120" s="183"/>
      <c r="AF120" s="183"/>
      <c r="AG120" s="183"/>
      <c r="AH120" s="183"/>
    </row>
    <row r="121" spans="1:34" customFormat="1" ht="15">
      <c r="A121" s="688"/>
      <c r="B121" s="736"/>
      <c r="C121" s="836">
        <v>6.1</v>
      </c>
      <c r="D121" s="739"/>
      <c r="E121" s="2416" t="s">
        <v>1616</v>
      </c>
      <c r="F121" s="2416"/>
      <c r="G121" s="2416"/>
      <c r="H121" s="2416"/>
      <c r="I121" s="2416"/>
      <c r="J121" s="2417"/>
      <c r="K121" s="2353"/>
      <c r="L121" s="2353"/>
      <c r="M121" s="2358"/>
      <c r="N121" s="183"/>
      <c r="O121" s="183"/>
      <c r="P121" s="183"/>
      <c r="Q121" s="183"/>
      <c r="R121" s="183"/>
      <c r="S121" s="183"/>
      <c r="T121" s="183"/>
      <c r="U121" s="183"/>
      <c r="V121" s="183"/>
      <c r="W121" s="183"/>
      <c r="X121" s="183"/>
      <c r="Y121" s="183"/>
      <c r="Z121" s="183"/>
      <c r="AA121" s="183"/>
      <c r="AB121" s="183"/>
      <c r="AC121" s="183"/>
      <c r="AD121" s="183"/>
      <c r="AE121" s="183"/>
      <c r="AF121" s="183"/>
      <c r="AG121" s="183"/>
      <c r="AH121" s="183"/>
    </row>
    <row r="122" spans="1:34" customFormat="1" ht="24.75">
      <c r="A122" s="688"/>
      <c r="B122" s="749"/>
      <c r="C122" s="733" t="s">
        <v>1617</v>
      </c>
      <c r="D122" s="747"/>
      <c r="E122" s="2351" t="s">
        <v>1618</v>
      </c>
      <c r="F122" s="2351"/>
      <c r="G122" s="2351"/>
      <c r="H122" s="2351"/>
      <c r="I122" s="2351"/>
      <c r="J122" s="2352"/>
      <c r="K122" s="2353"/>
      <c r="L122" s="2353"/>
      <c r="M122" s="2358">
        <f>+K122+L122</f>
        <v>0</v>
      </c>
      <c r="N122" s="183"/>
      <c r="O122" s="183"/>
      <c r="P122" s="183"/>
      <c r="Q122" s="183"/>
      <c r="R122" s="183"/>
      <c r="S122" s="183"/>
      <c r="T122" s="183"/>
      <c r="U122" s="183"/>
      <c r="V122" s="183"/>
      <c r="W122" s="183"/>
      <c r="X122" s="183"/>
      <c r="Y122" s="183"/>
      <c r="Z122" s="183"/>
      <c r="AA122" s="183"/>
      <c r="AB122" s="183"/>
      <c r="AC122" s="183"/>
      <c r="AD122" s="183"/>
      <c r="AE122" s="183"/>
      <c r="AF122" s="183"/>
      <c r="AG122" s="183"/>
      <c r="AH122" s="183"/>
    </row>
    <row r="123" spans="1:34" customFormat="1" ht="15">
      <c r="A123" s="688"/>
      <c r="B123" s="736"/>
      <c r="C123" s="836">
        <v>6.2</v>
      </c>
      <c r="D123" s="739"/>
      <c r="E123" s="2416" t="s">
        <v>1619</v>
      </c>
      <c r="F123" s="2416"/>
      <c r="G123" s="2416"/>
      <c r="H123" s="2416"/>
      <c r="I123" s="2416"/>
      <c r="J123" s="2417"/>
      <c r="K123" s="2353"/>
      <c r="L123" s="2353"/>
      <c r="M123" s="2358"/>
      <c r="N123" s="183"/>
      <c r="O123" s="183"/>
      <c r="P123" s="183"/>
      <c r="Q123" s="183"/>
      <c r="R123" s="183"/>
      <c r="S123" s="183"/>
      <c r="T123" s="183"/>
      <c r="U123" s="183"/>
      <c r="V123" s="183"/>
      <c r="W123" s="183"/>
      <c r="X123" s="183"/>
      <c r="Y123" s="183"/>
      <c r="Z123" s="183"/>
      <c r="AA123" s="183"/>
      <c r="AB123" s="183"/>
      <c r="AC123" s="183"/>
      <c r="AD123" s="183"/>
      <c r="AE123" s="183"/>
      <c r="AF123" s="183"/>
      <c r="AG123" s="183"/>
      <c r="AH123" s="183"/>
    </row>
    <row r="124" spans="1:34" customFormat="1" ht="24.75">
      <c r="A124" s="688"/>
      <c r="B124" s="749"/>
      <c r="C124" s="733" t="s">
        <v>1620</v>
      </c>
      <c r="D124" s="747"/>
      <c r="E124" s="2351" t="s">
        <v>1621</v>
      </c>
      <c r="F124" s="2351"/>
      <c r="G124" s="2351"/>
      <c r="H124" s="2351"/>
      <c r="I124" s="2351"/>
      <c r="J124" s="2352"/>
      <c r="K124" s="2353"/>
      <c r="L124" s="2353"/>
      <c r="M124" s="2358">
        <f>+K124+L124</f>
        <v>0</v>
      </c>
      <c r="N124" s="183"/>
      <c r="O124" s="183"/>
      <c r="P124" s="183"/>
      <c r="Q124" s="183"/>
      <c r="R124" s="183"/>
      <c r="S124" s="183"/>
      <c r="T124" s="183"/>
      <c r="U124" s="183"/>
      <c r="V124" s="183"/>
      <c r="W124" s="183"/>
      <c r="X124" s="183"/>
      <c r="Y124" s="183"/>
      <c r="Z124" s="183"/>
      <c r="AA124" s="183"/>
      <c r="AB124" s="183"/>
      <c r="AC124" s="183"/>
      <c r="AD124" s="183"/>
      <c r="AE124" s="183"/>
      <c r="AF124" s="183"/>
      <c r="AG124" s="183"/>
      <c r="AH124" s="183"/>
    </row>
    <row r="125" spans="1:34" customFormat="1" ht="15">
      <c r="A125" s="688"/>
      <c r="B125" s="736"/>
      <c r="C125" s="836">
        <v>6.3</v>
      </c>
      <c r="D125" s="739"/>
      <c r="E125" s="2416" t="s">
        <v>1622</v>
      </c>
      <c r="F125" s="2416"/>
      <c r="G125" s="2416"/>
      <c r="H125" s="2416"/>
      <c r="I125" s="2416"/>
      <c r="J125" s="2417"/>
      <c r="K125" s="2353"/>
      <c r="L125" s="2353"/>
      <c r="M125" s="2358"/>
      <c r="N125" s="183"/>
      <c r="O125" s="183"/>
      <c r="P125" s="183"/>
      <c r="Q125" s="183"/>
      <c r="R125" s="183"/>
      <c r="S125" s="183"/>
      <c r="T125" s="183"/>
      <c r="U125" s="183"/>
      <c r="V125" s="183"/>
      <c r="W125" s="183"/>
      <c r="X125" s="183"/>
      <c r="Y125" s="183"/>
      <c r="Z125" s="183"/>
      <c r="AA125" s="183"/>
      <c r="AB125" s="183"/>
      <c r="AC125" s="183"/>
      <c r="AD125" s="183"/>
      <c r="AE125" s="183"/>
      <c r="AF125" s="183"/>
      <c r="AG125" s="183"/>
      <c r="AH125" s="183"/>
    </row>
    <row r="126" spans="1:34" customFormat="1" ht="24.75">
      <c r="A126" s="1181"/>
      <c r="B126" s="731"/>
      <c r="C126" s="733" t="s">
        <v>1623</v>
      </c>
      <c r="D126" s="839"/>
      <c r="E126" s="2351" t="s">
        <v>1624</v>
      </c>
      <c r="F126" s="2422"/>
      <c r="G126" s="2422"/>
      <c r="H126" s="2422"/>
      <c r="I126" s="2422"/>
      <c r="J126" s="2423"/>
      <c r="K126" s="2358">
        <f>K128+K130</f>
        <v>0</v>
      </c>
      <c r="L126" s="2358">
        <f>L128+L130</f>
        <v>0</v>
      </c>
      <c r="M126" s="2358">
        <f>+K126+L126</f>
        <v>0</v>
      </c>
      <c r="N126" s="183"/>
      <c r="O126" s="183"/>
      <c r="P126" s="183"/>
      <c r="Q126" s="183"/>
      <c r="R126" s="183"/>
      <c r="S126" s="183"/>
      <c r="T126" s="183"/>
      <c r="U126" s="183"/>
      <c r="V126" s="183"/>
      <c r="W126" s="183"/>
      <c r="X126" s="183"/>
      <c r="Y126" s="183"/>
      <c r="Z126" s="183"/>
      <c r="AA126" s="183"/>
      <c r="AB126" s="183"/>
      <c r="AC126" s="183"/>
      <c r="AD126" s="183"/>
      <c r="AE126" s="183"/>
      <c r="AF126" s="183"/>
      <c r="AG126" s="183"/>
      <c r="AH126" s="183"/>
    </row>
    <row r="127" spans="1:34" customFormat="1" ht="15">
      <c r="A127" s="1181"/>
      <c r="B127" s="735"/>
      <c r="C127" s="835">
        <v>6.4</v>
      </c>
      <c r="D127" s="740"/>
      <c r="E127" s="2356" t="s">
        <v>1625</v>
      </c>
      <c r="F127" s="2356"/>
      <c r="G127" s="2356"/>
      <c r="H127" s="2356"/>
      <c r="I127" s="2356"/>
      <c r="J127" s="2357"/>
      <c r="K127" s="2358"/>
      <c r="L127" s="2358"/>
      <c r="M127" s="2358"/>
      <c r="N127" s="183"/>
      <c r="O127" s="183"/>
      <c r="P127" s="183"/>
      <c r="Q127" s="183"/>
      <c r="R127" s="183"/>
      <c r="S127" s="183"/>
      <c r="T127" s="183"/>
      <c r="U127" s="183"/>
      <c r="V127" s="183"/>
      <c r="W127" s="183"/>
      <c r="X127" s="183"/>
      <c r="Y127" s="183"/>
      <c r="Z127" s="183"/>
      <c r="AA127" s="183"/>
      <c r="AB127" s="183"/>
      <c r="AC127" s="183"/>
      <c r="AD127" s="183"/>
      <c r="AE127" s="183"/>
      <c r="AF127" s="183"/>
      <c r="AG127" s="183"/>
      <c r="AH127" s="183"/>
    </row>
    <row r="128" spans="1:34" customFormat="1" ht="22.5" customHeight="1">
      <c r="A128" s="688"/>
      <c r="B128" s="731"/>
      <c r="C128" s="738"/>
      <c r="D128" s="738"/>
      <c r="E128" s="2426" t="s">
        <v>1626</v>
      </c>
      <c r="F128" s="2427"/>
      <c r="G128" s="2427"/>
      <c r="H128" s="2427"/>
      <c r="I128" s="2427"/>
      <c r="J128" s="2428"/>
      <c r="K128" s="2353"/>
      <c r="L128" s="2353"/>
      <c r="M128" s="2358">
        <f>+K128+L128</f>
        <v>0</v>
      </c>
      <c r="N128" s="183"/>
      <c r="O128" s="183"/>
      <c r="P128" s="183"/>
      <c r="Q128" s="183"/>
      <c r="R128" s="183"/>
      <c r="S128" s="183"/>
      <c r="T128" s="183"/>
      <c r="U128" s="183"/>
      <c r="V128" s="183"/>
      <c r="W128" s="183"/>
      <c r="X128" s="183"/>
      <c r="Y128" s="183"/>
      <c r="Z128" s="183"/>
      <c r="AA128" s="183"/>
      <c r="AB128" s="183"/>
      <c r="AC128" s="183"/>
      <c r="AD128" s="183"/>
      <c r="AE128" s="183"/>
      <c r="AF128" s="183"/>
      <c r="AG128" s="183"/>
      <c r="AH128" s="183"/>
    </row>
    <row r="129" spans="1:34" customFormat="1" ht="15">
      <c r="A129" s="688"/>
      <c r="B129" s="735"/>
      <c r="C129" s="739"/>
      <c r="D129" s="739"/>
      <c r="E129" s="2356" t="s">
        <v>1627</v>
      </c>
      <c r="F129" s="2356"/>
      <c r="G129" s="2356"/>
      <c r="H129" s="2356"/>
      <c r="I129" s="2356"/>
      <c r="J129" s="2357"/>
      <c r="K129" s="2353"/>
      <c r="L129" s="2353"/>
      <c r="M129" s="2358"/>
      <c r="N129" s="183"/>
      <c r="O129" s="183"/>
      <c r="P129" s="183"/>
      <c r="Q129" s="183"/>
      <c r="R129" s="183"/>
      <c r="S129" s="183"/>
      <c r="T129" s="183"/>
      <c r="U129" s="183"/>
      <c r="V129" s="183"/>
      <c r="W129" s="183"/>
      <c r="X129" s="183"/>
      <c r="Y129" s="183"/>
      <c r="Z129" s="183"/>
      <c r="AA129" s="183"/>
      <c r="AB129" s="183"/>
      <c r="AC129" s="183"/>
      <c r="AD129" s="183"/>
      <c r="AE129" s="183"/>
      <c r="AF129" s="183"/>
      <c r="AG129" s="183"/>
      <c r="AH129" s="183"/>
    </row>
    <row r="130" spans="1:34" customFormat="1" ht="26.25" customHeight="1">
      <c r="A130" s="688"/>
      <c r="B130" s="731"/>
      <c r="C130" s="738"/>
      <c r="D130" s="738"/>
      <c r="E130" s="2351" t="s">
        <v>1628</v>
      </c>
      <c r="F130" s="2422"/>
      <c r="G130" s="2422"/>
      <c r="H130" s="2422"/>
      <c r="I130" s="2422"/>
      <c r="J130" s="2423"/>
      <c r="K130" s="2353"/>
      <c r="L130" s="2353"/>
      <c r="M130" s="2358">
        <f>+K130+L130</f>
        <v>0</v>
      </c>
      <c r="N130" s="183"/>
      <c r="O130" s="183"/>
      <c r="P130" s="183"/>
      <c r="Q130" s="183"/>
      <c r="R130" s="183"/>
      <c r="S130" s="183"/>
      <c r="T130" s="183"/>
      <c r="U130" s="183"/>
      <c r="V130" s="183"/>
      <c r="W130" s="183"/>
      <c r="X130" s="183"/>
      <c r="Y130" s="183"/>
      <c r="Z130" s="183"/>
      <c r="AA130" s="183"/>
      <c r="AB130" s="183"/>
      <c r="AC130" s="183"/>
      <c r="AD130" s="183"/>
      <c r="AE130" s="183"/>
      <c r="AF130" s="183"/>
      <c r="AG130" s="183"/>
      <c r="AH130" s="183"/>
    </row>
    <row r="131" spans="1:34" customFormat="1" ht="15">
      <c r="A131" s="688"/>
      <c r="B131" s="735"/>
      <c r="C131" s="739"/>
      <c r="D131" s="739"/>
      <c r="E131" s="2356" t="s">
        <v>1629</v>
      </c>
      <c r="F131" s="2424"/>
      <c r="G131" s="2424"/>
      <c r="H131" s="2424"/>
      <c r="I131" s="2424"/>
      <c r="J131" s="2425"/>
      <c r="K131" s="2353"/>
      <c r="L131" s="2353"/>
      <c r="M131" s="2358"/>
      <c r="N131" s="183"/>
      <c r="O131" s="183"/>
      <c r="P131" s="183"/>
      <c r="Q131" s="183"/>
      <c r="R131" s="183"/>
      <c r="S131" s="183"/>
      <c r="T131" s="183"/>
      <c r="U131" s="183"/>
      <c r="V131" s="183"/>
      <c r="W131" s="183"/>
      <c r="X131" s="183"/>
      <c r="Y131" s="183"/>
      <c r="Z131" s="183"/>
      <c r="AA131" s="183"/>
      <c r="AB131" s="183"/>
      <c r="AC131" s="183"/>
      <c r="AD131" s="183"/>
      <c r="AE131" s="183"/>
      <c r="AF131" s="183"/>
      <c r="AG131" s="183"/>
      <c r="AH131" s="183"/>
    </row>
    <row r="132" spans="1:34" customFormat="1" ht="24.75">
      <c r="A132" s="688"/>
      <c r="B132" s="766"/>
      <c r="C132" s="767"/>
      <c r="D132" s="767"/>
      <c r="E132" s="768" t="s">
        <v>1630</v>
      </c>
      <c r="F132" s="767"/>
      <c r="G132" s="767"/>
      <c r="H132" s="767"/>
      <c r="I132" s="767"/>
      <c r="J132" s="769"/>
      <c r="K132" s="2353"/>
      <c r="L132" s="2353"/>
      <c r="M132" s="2358">
        <f>+K132+L132</f>
        <v>0</v>
      </c>
      <c r="N132" s="183"/>
      <c r="O132" s="183"/>
      <c r="P132" s="183"/>
      <c r="Q132" s="183"/>
      <c r="R132" s="183"/>
      <c r="S132" s="183"/>
      <c r="T132" s="183"/>
      <c r="U132" s="183"/>
      <c r="V132" s="183"/>
      <c r="W132" s="183"/>
      <c r="X132" s="183"/>
      <c r="Y132" s="183"/>
      <c r="Z132" s="183"/>
      <c r="AA132" s="183"/>
      <c r="AB132" s="183"/>
      <c r="AC132" s="183"/>
      <c r="AD132" s="183"/>
      <c r="AE132" s="183"/>
      <c r="AF132" s="183"/>
      <c r="AG132" s="183"/>
      <c r="AH132" s="183"/>
    </row>
    <row r="133" spans="1:34" customFormat="1" ht="15">
      <c r="A133" s="688"/>
      <c r="B133" s="770"/>
      <c r="C133" s="771"/>
      <c r="D133" s="771"/>
      <c r="E133" s="771" t="s">
        <v>1631</v>
      </c>
      <c r="F133" s="771"/>
      <c r="G133" s="771"/>
      <c r="H133" s="771"/>
      <c r="I133" s="771"/>
      <c r="J133" s="772"/>
      <c r="K133" s="2353"/>
      <c r="L133" s="2353"/>
      <c r="M133" s="2358"/>
      <c r="N133" s="183"/>
      <c r="O133" s="183"/>
      <c r="P133" s="183"/>
      <c r="Q133" s="183"/>
      <c r="R133" s="183"/>
      <c r="S133" s="183"/>
      <c r="T133" s="183"/>
      <c r="U133" s="183"/>
      <c r="V133" s="183"/>
      <c r="W133" s="183"/>
      <c r="X133" s="183"/>
      <c r="Y133" s="183"/>
      <c r="Z133" s="183"/>
      <c r="AA133" s="183"/>
      <c r="AB133" s="183"/>
      <c r="AC133" s="183"/>
      <c r="AD133" s="183"/>
      <c r="AE133" s="183"/>
      <c r="AF133" s="183"/>
      <c r="AG133" s="183"/>
      <c r="AH133" s="183"/>
    </row>
    <row r="134" spans="1:34" customFormat="1" ht="24.75">
      <c r="A134" s="688"/>
      <c r="B134" s="764"/>
      <c r="C134" s="733" t="s">
        <v>1632</v>
      </c>
      <c r="D134" s="747"/>
      <c r="E134" s="2351" t="s">
        <v>1633</v>
      </c>
      <c r="F134" s="2351"/>
      <c r="G134" s="2351"/>
      <c r="H134" s="2351"/>
      <c r="I134" s="2351"/>
      <c r="J134" s="2394"/>
      <c r="K134" s="2353"/>
      <c r="L134" s="2353"/>
      <c r="M134" s="2358">
        <f>+K134+L134</f>
        <v>0</v>
      </c>
      <c r="N134" s="183"/>
      <c r="O134" s="183"/>
      <c r="P134" s="183"/>
      <c r="Q134" s="183"/>
      <c r="R134" s="183"/>
      <c r="S134" s="183"/>
      <c r="T134" s="183"/>
      <c r="U134" s="183"/>
      <c r="V134" s="183"/>
      <c r="W134" s="183"/>
      <c r="X134" s="183"/>
      <c r="Y134" s="183"/>
      <c r="Z134" s="183"/>
      <c r="AA134" s="183"/>
      <c r="AB134" s="183"/>
      <c r="AC134" s="183"/>
      <c r="AD134" s="183"/>
      <c r="AE134" s="183"/>
      <c r="AF134" s="183"/>
      <c r="AG134" s="183"/>
      <c r="AH134" s="183"/>
    </row>
    <row r="135" spans="1:34" customFormat="1" ht="15">
      <c r="A135" s="688"/>
      <c r="B135" s="765"/>
      <c r="C135" s="835">
        <v>6.5</v>
      </c>
      <c r="D135" s="740"/>
      <c r="E135" s="2413" t="s">
        <v>1634</v>
      </c>
      <c r="F135" s="2413"/>
      <c r="G135" s="2413"/>
      <c r="H135" s="2413"/>
      <c r="I135" s="2413"/>
      <c r="J135" s="2414"/>
      <c r="K135" s="2353"/>
      <c r="L135" s="2353"/>
      <c r="M135" s="2358"/>
      <c r="N135" s="183"/>
      <c r="O135" s="183"/>
      <c r="P135" s="183"/>
      <c r="Q135" s="183"/>
      <c r="R135" s="183"/>
      <c r="S135" s="183"/>
      <c r="T135" s="183"/>
      <c r="U135" s="183"/>
      <c r="V135" s="183"/>
      <c r="W135" s="183"/>
      <c r="X135" s="183"/>
      <c r="Y135" s="183"/>
      <c r="Z135" s="183"/>
      <c r="AA135" s="183"/>
      <c r="AB135" s="183"/>
      <c r="AC135" s="183"/>
      <c r="AD135" s="183"/>
      <c r="AE135" s="183"/>
      <c r="AF135" s="183"/>
      <c r="AG135" s="183"/>
      <c r="AH135" s="183"/>
    </row>
    <row r="136" spans="1:34" customFormat="1" ht="24.75">
      <c r="A136" s="688"/>
      <c r="B136" s="731"/>
      <c r="C136" s="733" t="s">
        <v>1635</v>
      </c>
      <c r="D136" s="747"/>
      <c r="E136" s="2351" t="s">
        <v>1636</v>
      </c>
      <c r="F136" s="2351"/>
      <c r="G136" s="2351"/>
      <c r="H136" s="2351"/>
      <c r="I136" s="2351"/>
      <c r="J136" s="2352"/>
      <c r="K136" s="2353"/>
      <c r="L136" s="2353"/>
      <c r="M136" s="2358">
        <f>+K136+L136</f>
        <v>0</v>
      </c>
      <c r="N136" s="183"/>
      <c r="O136" s="183"/>
      <c r="P136" s="183"/>
      <c r="Q136" s="183"/>
      <c r="R136" s="183"/>
      <c r="S136" s="183"/>
      <c r="T136" s="183"/>
      <c r="U136" s="183"/>
      <c r="V136" s="183"/>
      <c r="W136" s="183"/>
      <c r="X136" s="183"/>
      <c r="Y136" s="183"/>
      <c r="Z136" s="183"/>
      <c r="AA136" s="183"/>
      <c r="AB136" s="183"/>
      <c r="AC136" s="183"/>
      <c r="AD136" s="183"/>
      <c r="AE136" s="183"/>
      <c r="AF136" s="183"/>
      <c r="AG136" s="183"/>
      <c r="AH136" s="183"/>
    </row>
    <row r="137" spans="1:34" customFormat="1" ht="15">
      <c r="A137" s="688"/>
      <c r="B137" s="735"/>
      <c r="C137" s="835">
        <v>6.6</v>
      </c>
      <c r="D137" s="740"/>
      <c r="E137" s="2356" t="s">
        <v>1637</v>
      </c>
      <c r="F137" s="2356"/>
      <c r="G137" s="2356"/>
      <c r="H137" s="2356"/>
      <c r="I137" s="2356"/>
      <c r="J137" s="2357"/>
      <c r="K137" s="2353"/>
      <c r="L137" s="2353"/>
      <c r="M137" s="2358"/>
      <c r="N137" s="183"/>
      <c r="O137" s="183"/>
      <c r="P137" s="183"/>
      <c r="Q137" s="183"/>
      <c r="R137" s="183"/>
      <c r="S137" s="183"/>
      <c r="T137" s="183"/>
      <c r="U137" s="183"/>
      <c r="V137" s="183"/>
      <c r="W137" s="183"/>
      <c r="X137" s="183"/>
      <c r="Y137" s="183"/>
      <c r="Z137" s="183"/>
      <c r="AA137" s="183"/>
      <c r="AB137" s="183"/>
      <c r="AC137" s="183"/>
      <c r="AD137" s="183"/>
      <c r="AE137" s="183"/>
      <c r="AF137" s="183"/>
      <c r="AG137" s="183"/>
      <c r="AH137" s="183"/>
    </row>
    <row r="138" spans="1:34" customFormat="1" ht="24.75">
      <c r="A138" s="688"/>
      <c r="B138" s="731"/>
      <c r="C138" s="733" t="s">
        <v>1638</v>
      </c>
      <c r="D138" s="747"/>
      <c r="E138" s="2351" t="s">
        <v>1639</v>
      </c>
      <c r="F138" s="2351"/>
      <c r="G138" s="2351"/>
      <c r="H138" s="2351"/>
      <c r="I138" s="2351"/>
      <c r="J138" s="2352"/>
      <c r="K138" s="2353"/>
      <c r="L138" s="2353"/>
      <c r="M138" s="2358">
        <f>+K138+L138</f>
        <v>0</v>
      </c>
      <c r="N138" s="183"/>
      <c r="O138" s="183"/>
      <c r="P138" s="183"/>
      <c r="Q138" s="183"/>
      <c r="R138" s="183"/>
      <c r="S138" s="183"/>
      <c r="T138" s="183"/>
      <c r="U138" s="183"/>
      <c r="V138" s="183"/>
      <c r="W138" s="183"/>
      <c r="X138" s="183"/>
      <c r="Y138" s="183"/>
      <c r="Z138" s="183"/>
      <c r="AA138" s="183"/>
      <c r="AB138" s="183"/>
      <c r="AC138" s="183"/>
      <c r="AD138" s="183"/>
      <c r="AE138" s="183"/>
      <c r="AF138" s="183"/>
      <c r="AG138" s="183"/>
      <c r="AH138" s="183"/>
    </row>
    <row r="139" spans="1:34" customFormat="1" ht="15">
      <c r="A139" s="688"/>
      <c r="B139" s="735"/>
      <c r="C139" s="835">
        <v>6.7</v>
      </c>
      <c r="D139" s="740"/>
      <c r="E139" s="2356" t="s">
        <v>1640</v>
      </c>
      <c r="F139" s="2356"/>
      <c r="G139" s="2356"/>
      <c r="H139" s="2356"/>
      <c r="I139" s="2356"/>
      <c r="J139" s="2357"/>
      <c r="K139" s="2353"/>
      <c r="L139" s="2353"/>
      <c r="M139" s="2358"/>
      <c r="N139" s="183"/>
      <c r="O139" s="183"/>
      <c r="P139" s="183"/>
      <c r="Q139" s="183"/>
      <c r="R139" s="183"/>
      <c r="S139" s="183"/>
      <c r="T139" s="183"/>
      <c r="U139" s="183"/>
      <c r="V139" s="183"/>
      <c r="W139" s="183"/>
      <c r="X139" s="183"/>
      <c r="Y139" s="183"/>
      <c r="Z139" s="183"/>
      <c r="AA139" s="183"/>
      <c r="AB139" s="183"/>
      <c r="AC139" s="183"/>
      <c r="AD139" s="183"/>
      <c r="AE139" s="183"/>
      <c r="AF139" s="183"/>
      <c r="AG139" s="183"/>
      <c r="AH139" s="183"/>
    </row>
    <row r="140" spans="1:34" customFormat="1" ht="24.75">
      <c r="A140" s="688"/>
      <c r="B140" s="749"/>
      <c r="C140" s="733" t="s">
        <v>1641</v>
      </c>
      <c r="D140" s="839"/>
      <c r="E140" s="2351" t="s">
        <v>1642</v>
      </c>
      <c r="F140" s="2351"/>
      <c r="G140" s="2351"/>
      <c r="H140" s="2351"/>
      <c r="I140" s="2351"/>
      <c r="J140" s="2352"/>
      <c r="K140" s="2358">
        <f>SUM(K142:K145)</f>
        <v>0</v>
      </c>
      <c r="L140" s="2358">
        <f>SUM(L142:L145)</f>
        <v>0</v>
      </c>
      <c r="M140" s="2358">
        <f>+K140+L140</f>
        <v>0</v>
      </c>
      <c r="N140" s="183"/>
      <c r="O140" s="183"/>
      <c r="P140" s="183"/>
      <c r="Q140" s="183"/>
      <c r="R140" s="183"/>
      <c r="S140" s="183"/>
      <c r="T140" s="183"/>
      <c r="U140" s="183"/>
      <c r="V140" s="183"/>
      <c r="W140" s="183"/>
      <c r="X140" s="183"/>
      <c r="Y140" s="183"/>
      <c r="Z140" s="183"/>
      <c r="AA140" s="183"/>
      <c r="AB140" s="183"/>
      <c r="AC140" s="183"/>
      <c r="AD140" s="183"/>
      <c r="AE140" s="183"/>
      <c r="AF140" s="183"/>
      <c r="AG140" s="183"/>
      <c r="AH140" s="183"/>
    </row>
    <row r="141" spans="1:34" customFormat="1" ht="15">
      <c r="A141" s="688"/>
      <c r="B141" s="735"/>
      <c r="C141" s="836">
        <v>6.8</v>
      </c>
      <c r="D141" s="739"/>
      <c r="E141" s="2395" t="s">
        <v>1643</v>
      </c>
      <c r="F141" s="2395"/>
      <c r="G141" s="2395"/>
      <c r="H141" s="2395"/>
      <c r="I141" s="2395"/>
      <c r="J141" s="2396"/>
      <c r="K141" s="2358"/>
      <c r="L141" s="2358"/>
      <c r="M141" s="2358"/>
      <c r="N141" s="183"/>
      <c r="O141" s="183"/>
      <c r="P141" s="183"/>
      <c r="Q141" s="183"/>
      <c r="R141" s="183"/>
      <c r="S141" s="183"/>
      <c r="T141" s="183"/>
      <c r="U141" s="183"/>
      <c r="V141" s="183"/>
      <c r="W141" s="183"/>
      <c r="X141" s="183"/>
      <c r="Y141" s="183"/>
      <c r="Z141" s="183"/>
      <c r="AA141" s="183"/>
      <c r="AB141" s="183"/>
      <c r="AC141" s="183"/>
      <c r="AD141" s="183"/>
      <c r="AE141" s="183"/>
      <c r="AF141" s="183"/>
      <c r="AG141" s="183"/>
      <c r="AH141" s="183"/>
    </row>
    <row r="142" spans="1:34" customFormat="1" ht="24.75">
      <c r="A142" s="688"/>
      <c r="B142" s="731"/>
      <c r="C142" s="738"/>
      <c r="D142" s="738"/>
      <c r="E142" s="733" t="s">
        <v>1644</v>
      </c>
      <c r="F142" s="747"/>
      <c r="G142" s="2351" t="s">
        <v>1645</v>
      </c>
      <c r="H142" s="2351"/>
      <c r="I142" s="2351"/>
      <c r="J142" s="2352"/>
      <c r="K142" s="2353"/>
      <c r="L142" s="2353"/>
      <c r="M142" s="2358">
        <f>+K142+L142</f>
        <v>0</v>
      </c>
      <c r="N142" s="183"/>
      <c r="O142" s="183"/>
      <c r="P142" s="183"/>
      <c r="Q142" s="183"/>
      <c r="R142" s="183"/>
      <c r="S142" s="183"/>
      <c r="T142" s="183"/>
      <c r="U142" s="183"/>
      <c r="V142" s="183"/>
      <c r="W142" s="183"/>
      <c r="X142" s="183"/>
      <c r="Y142" s="183"/>
      <c r="Z142" s="183"/>
      <c r="AA142" s="183"/>
      <c r="AB142" s="183"/>
      <c r="AC142" s="183"/>
      <c r="AD142" s="183"/>
      <c r="AE142" s="183"/>
      <c r="AF142" s="183"/>
      <c r="AG142" s="183"/>
      <c r="AH142" s="183"/>
    </row>
    <row r="143" spans="1:34" customFormat="1" ht="15">
      <c r="A143" s="688"/>
      <c r="B143" s="735"/>
      <c r="C143" s="739"/>
      <c r="D143" s="739"/>
      <c r="E143" s="740" t="s">
        <v>1646</v>
      </c>
      <c r="F143" s="740"/>
      <c r="G143" s="2356" t="s">
        <v>1647</v>
      </c>
      <c r="H143" s="2356"/>
      <c r="I143" s="2356"/>
      <c r="J143" s="2357"/>
      <c r="K143" s="2353"/>
      <c r="L143" s="2353"/>
      <c r="M143" s="2358"/>
      <c r="N143" s="183"/>
      <c r="O143" s="183"/>
      <c r="P143" s="1368"/>
      <c r="Q143" s="183"/>
      <c r="R143" s="183"/>
      <c r="S143" s="183"/>
      <c r="T143" s="183"/>
      <c r="U143" s="183"/>
      <c r="V143" s="183"/>
      <c r="W143" s="183"/>
      <c r="X143" s="183"/>
      <c r="Y143" s="183"/>
      <c r="Z143" s="183"/>
      <c r="AA143" s="183"/>
      <c r="AB143" s="183"/>
      <c r="AC143" s="183"/>
      <c r="AD143" s="183"/>
      <c r="AE143" s="183"/>
      <c r="AF143" s="183"/>
      <c r="AG143" s="183"/>
      <c r="AH143" s="183"/>
    </row>
    <row r="144" spans="1:34" customFormat="1" ht="24.75">
      <c r="A144" s="688"/>
      <c r="B144" s="731"/>
      <c r="C144" s="738"/>
      <c r="D144" s="738"/>
      <c r="E144" s="733" t="s">
        <v>1648</v>
      </c>
      <c r="F144" s="747"/>
      <c r="G144" s="2351" t="s">
        <v>1649</v>
      </c>
      <c r="H144" s="2351"/>
      <c r="I144" s="2351"/>
      <c r="J144" s="2352"/>
      <c r="K144" s="2353"/>
      <c r="L144" s="2353"/>
      <c r="M144" s="2358">
        <f>+K144+L144</f>
        <v>0</v>
      </c>
      <c r="N144" s="183"/>
      <c r="O144" s="183"/>
      <c r="P144" s="183"/>
      <c r="Q144" s="183"/>
      <c r="R144" s="183"/>
      <c r="S144" s="183"/>
      <c r="T144" s="183"/>
      <c r="U144" s="183"/>
      <c r="V144" s="183"/>
      <c r="W144" s="183"/>
      <c r="X144" s="183"/>
      <c r="Y144" s="183"/>
      <c r="Z144" s="183"/>
      <c r="AA144" s="183"/>
      <c r="AB144" s="183"/>
      <c r="AC144" s="183"/>
      <c r="AD144" s="183"/>
      <c r="AE144" s="183"/>
      <c r="AF144" s="183"/>
      <c r="AG144" s="183"/>
      <c r="AH144" s="183"/>
    </row>
    <row r="145" spans="1:34" customFormat="1" ht="15">
      <c r="A145" s="688"/>
      <c r="B145" s="735"/>
      <c r="C145" s="739"/>
      <c r="D145" s="739"/>
      <c r="E145" s="740" t="s">
        <v>1650</v>
      </c>
      <c r="F145" s="740"/>
      <c r="G145" s="2356" t="s">
        <v>1651</v>
      </c>
      <c r="H145" s="2356"/>
      <c r="I145" s="2356"/>
      <c r="J145" s="2357"/>
      <c r="K145" s="2353"/>
      <c r="L145" s="2353"/>
      <c r="M145" s="2358"/>
      <c r="N145" s="183"/>
      <c r="O145" s="183"/>
      <c r="P145" s="1368"/>
      <c r="Q145" s="183"/>
      <c r="R145" s="183"/>
      <c r="S145" s="183"/>
      <c r="T145" s="183"/>
      <c r="U145" s="183"/>
      <c r="V145" s="183"/>
      <c r="W145" s="183"/>
      <c r="X145" s="183"/>
      <c r="Y145" s="183"/>
      <c r="Z145" s="183"/>
      <c r="AA145" s="183"/>
      <c r="AB145" s="183"/>
      <c r="AC145" s="183"/>
      <c r="AD145" s="183"/>
      <c r="AE145" s="183"/>
      <c r="AF145" s="183"/>
      <c r="AG145" s="183"/>
      <c r="AH145" s="183"/>
    </row>
    <row r="146" spans="1:34" customFormat="1" ht="25.5">
      <c r="A146" s="697"/>
      <c r="B146" s="686" t="s">
        <v>595</v>
      </c>
      <c r="C146" s="2418" t="s">
        <v>1652</v>
      </c>
      <c r="D146" s="2418"/>
      <c r="E146" s="2418"/>
      <c r="F146" s="2418"/>
      <c r="G146" s="2418"/>
      <c r="H146" s="2418"/>
      <c r="I146" s="2418"/>
      <c r="J146" s="2419"/>
      <c r="K146" s="2393">
        <f>K116-K118</f>
        <v>0</v>
      </c>
      <c r="L146" s="2393">
        <f>L116-L118</f>
        <v>0</v>
      </c>
      <c r="M146" s="2393">
        <f>+K146+L146</f>
        <v>0</v>
      </c>
      <c r="N146" s="183"/>
      <c r="O146" s="183"/>
      <c r="P146" s="183"/>
      <c r="Q146" s="183"/>
      <c r="R146" s="183"/>
      <c r="S146" s="183"/>
      <c r="T146" s="183"/>
      <c r="U146" s="183"/>
      <c r="V146" s="183"/>
      <c r="W146" s="183"/>
      <c r="X146" s="183"/>
      <c r="Y146" s="183"/>
      <c r="Z146" s="183"/>
      <c r="AA146" s="183"/>
      <c r="AB146" s="183"/>
      <c r="AC146" s="183"/>
      <c r="AD146" s="183"/>
      <c r="AE146" s="183"/>
      <c r="AF146" s="183"/>
      <c r="AG146" s="183"/>
      <c r="AH146" s="183"/>
    </row>
    <row r="147" spans="1:34" customFormat="1" ht="15">
      <c r="A147" s="697"/>
      <c r="B147" s="717" t="s">
        <v>595</v>
      </c>
      <c r="C147" s="2420" t="s">
        <v>1653</v>
      </c>
      <c r="D147" s="2420"/>
      <c r="E147" s="2420"/>
      <c r="F147" s="2420"/>
      <c r="G147" s="2420"/>
      <c r="H147" s="2420"/>
      <c r="I147" s="2420"/>
      <c r="J147" s="2421"/>
      <c r="K147" s="2393"/>
      <c r="L147" s="2393"/>
      <c r="M147" s="2393"/>
      <c r="N147" s="183"/>
      <c r="O147" s="183"/>
      <c r="P147" s="183"/>
      <c r="Q147" s="183"/>
      <c r="R147" s="183"/>
      <c r="S147" s="183"/>
      <c r="T147" s="183"/>
      <c r="U147" s="183"/>
      <c r="V147" s="183"/>
      <c r="W147" s="183"/>
      <c r="X147" s="183"/>
      <c r="Y147" s="183"/>
      <c r="Z147" s="183"/>
      <c r="AA147" s="183"/>
      <c r="AB147" s="183"/>
      <c r="AC147" s="183"/>
      <c r="AD147" s="183"/>
      <c r="AE147" s="183"/>
      <c r="AF147" s="183"/>
      <c r="AG147" s="183"/>
      <c r="AH147" s="183"/>
    </row>
    <row r="148" spans="1:34" customFormat="1" ht="25.5">
      <c r="A148" s="697"/>
      <c r="B148" s="686" t="s">
        <v>1230</v>
      </c>
      <c r="C148" s="2418" t="s">
        <v>1654</v>
      </c>
      <c r="D148" s="2418"/>
      <c r="E148" s="2418"/>
      <c r="F148" s="2418"/>
      <c r="G148" s="2418"/>
      <c r="H148" s="2418"/>
      <c r="I148" s="2418"/>
      <c r="J148" s="2419"/>
      <c r="K148" s="2393">
        <f>K151+K153+K155+K157+K159</f>
        <v>0</v>
      </c>
      <c r="L148" s="2393">
        <f>L151+L153+L155+L157+L159</f>
        <v>0</v>
      </c>
      <c r="M148" s="2393">
        <f>+K148+L148</f>
        <v>0</v>
      </c>
      <c r="N148" s="183"/>
      <c r="O148" s="183"/>
      <c r="P148" s="183"/>
      <c r="Q148" s="183"/>
      <c r="R148" s="183"/>
      <c r="S148" s="183"/>
      <c r="T148" s="183"/>
      <c r="U148" s="183"/>
      <c r="V148" s="183"/>
      <c r="W148" s="183"/>
      <c r="X148" s="183"/>
      <c r="Y148" s="183"/>
      <c r="Z148" s="183"/>
      <c r="AA148" s="183"/>
      <c r="AB148" s="183"/>
      <c r="AC148" s="183"/>
      <c r="AD148" s="183"/>
      <c r="AE148" s="183"/>
      <c r="AF148" s="183"/>
      <c r="AG148" s="183"/>
      <c r="AH148" s="183"/>
    </row>
    <row r="149" spans="1:34" customFormat="1" ht="15">
      <c r="A149" s="697"/>
      <c r="B149" s="717" t="s">
        <v>1230</v>
      </c>
      <c r="C149" s="2420" t="s">
        <v>1655</v>
      </c>
      <c r="D149" s="2420"/>
      <c r="E149" s="2420"/>
      <c r="F149" s="2420"/>
      <c r="G149" s="2420"/>
      <c r="H149" s="2420"/>
      <c r="I149" s="2420"/>
      <c r="J149" s="2421"/>
      <c r="K149" s="2393"/>
      <c r="L149" s="2393"/>
      <c r="M149" s="2393"/>
      <c r="N149" s="183"/>
      <c r="O149" s="183"/>
      <c r="P149" s="183"/>
      <c r="Q149" s="183"/>
      <c r="R149" s="183"/>
      <c r="S149" s="183"/>
      <c r="T149" s="183"/>
      <c r="U149" s="183"/>
      <c r="V149" s="183"/>
      <c r="W149" s="183"/>
      <c r="X149" s="183"/>
      <c r="Y149" s="183"/>
      <c r="Z149" s="183"/>
      <c r="AA149" s="183"/>
      <c r="AB149" s="183"/>
      <c r="AC149" s="183"/>
      <c r="AD149" s="183"/>
      <c r="AE149" s="183"/>
      <c r="AF149" s="183"/>
      <c r="AG149" s="183"/>
      <c r="AH149" s="183"/>
    </row>
    <row r="150" spans="1:34" customFormat="1" ht="15">
      <c r="A150" s="718"/>
      <c r="B150" s="719"/>
      <c r="C150" s="720"/>
      <c r="D150" s="720"/>
      <c r="E150" s="720"/>
      <c r="F150" s="720"/>
      <c r="G150" s="720"/>
      <c r="H150" s="720"/>
      <c r="I150" s="720"/>
      <c r="J150" s="720"/>
      <c r="K150" s="832"/>
      <c r="L150" s="832"/>
      <c r="M150" s="834"/>
      <c r="N150" s="183"/>
      <c r="O150" s="183"/>
      <c r="P150" s="183"/>
      <c r="Q150" s="183"/>
      <c r="R150" s="183"/>
      <c r="S150" s="183"/>
      <c r="T150" s="183"/>
      <c r="U150" s="183"/>
      <c r="V150" s="183"/>
      <c r="W150" s="183"/>
      <c r="X150" s="183"/>
      <c r="Y150" s="183"/>
      <c r="Z150" s="183"/>
      <c r="AA150" s="183"/>
      <c r="AB150" s="183"/>
      <c r="AC150" s="183"/>
      <c r="AD150" s="183"/>
      <c r="AE150" s="183"/>
      <c r="AF150" s="183"/>
      <c r="AG150" s="183"/>
      <c r="AH150" s="183"/>
    </row>
    <row r="151" spans="1:34" customFormat="1" ht="24.75">
      <c r="A151" s="688"/>
      <c r="B151" s="731"/>
      <c r="C151" s="733" t="s">
        <v>1656</v>
      </c>
      <c r="D151" s="747"/>
      <c r="E151" s="2351" t="s">
        <v>1657</v>
      </c>
      <c r="F151" s="2351"/>
      <c r="G151" s="2351"/>
      <c r="H151" s="2351"/>
      <c r="I151" s="2351"/>
      <c r="J151" s="2352"/>
      <c r="K151" s="2398"/>
      <c r="L151" s="2398"/>
      <c r="M151" s="2355">
        <f>K151+L151</f>
        <v>0</v>
      </c>
      <c r="N151" s="183"/>
      <c r="O151" s="183"/>
      <c r="P151" s="183"/>
      <c r="Q151" s="183"/>
      <c r="R151" s="183"/>
      <c r="S151" s="183"/>
      <c r="T151" s="183"/>
      <c r="U151" s="183"/>
      <c r="V151" s="183"/>
      <c r="W151" s="183"/>
      <c r="X151" s="183"/>
      <c r="Y151" s="183"/>
      <c r="Z151" s="183"/>
      <c r="AA151" s="183"/>
      <c r="AB151" s="183"/>
      <c r="AC151" s="183"/>
      <c r="AD151" s="183"/>
      <c r="AE151" s="183"/>
      <c r="AF151" s="183"/>
      <c r="AG151" s="183"/>
      <c r="AH151" s="183"/>
    </row>
    <row r="152" spans="1:34" customFormat="1" ht="15">
      <c r="A152" s="688"/>
      <c r="B152" s="735"/>
      <c r="C152" s="835">
        <v>8.1</v>
      </c>
      <c r="D152" s="740"/>
      <c r="E152" s="2356" t="s">
        <v>1658</v>
      </c>
      <c r="F152" s="2356"/>
      <c r="G152" s="2356"/>
      <c r="H152" s="2356"/>
      <c r="I152" s="2356"/>
      <c r="J152" s="2357"/>
      <c r="K152" s="2353"/>
      <c r="L152" s="2353"/>
      <c r="M152" s="2358"/>
      <c r="N152" s="183"/>
      <c r="O152" s="183"/>
      <c r="P152" s="183"/>
      <c r="Q152" s="183"/>
      <c r="R152" s="183"/>
      <c r="S152" s="183"/>
      <c r="T152" s="183"/>
      <c r="U152" s="183"/>
      <c r="V152" s="183"/>
      <c r="W152" s="183"/>
      <c r="X152" s="183"/>
      <c r="Y152" s="183"/>
      <c r="Z152" s="183"/>
      <c r="AA152" s="183"/>
      <c r="AB152" s="183"/>
      <c r="AC152" s="183"/>
      <c r="AD152" s="183"/>
      <c r="AE152" s="183"/>
      <c r="AF152" s="183"/>
      <c r="AG152" s="183"/>
      <c r="AH152" s="183"/>
    </row>
    <row r="153" spans="1:34" customFormat="1" ht="24.75">
      <c r="A153" s="688"/>
      <c r="B153" s="731"/>
      <c r="C153" s="733" t="s">
        <v>1659</v>
      </c>
      <c r="D153" s="747"/>
      <c r="E153" s="2351" t="s">
        <v>1660</v>
      </c>
      <c r="F153" s="2351"/>
      <c r="G153" s="2351"/>
      <c r="H153" s="2351"/>
      <c r="I153" s="2351"/>
      <c r="J153" s="2352"/>
      <c r="K153" s="2353"/>
      <c r="L153" s="2353"/>
      <c r="M153" s="2355">
        <f t="shared" ref="M153" si="2">K153+L153</f>
        <v>0</v>
      </c>
      <c r="N153" s="183"/>
      <c r="O153" s="183"/>
      <c r="P153" s="183"/>
      <c r="Q153" s="183"/>
      <c r="R153" s="183"/>
      <c r="S153" s="183"/>
      <c r="T153" s="183"/>
      <c r="U153" s="183"/>
      <c r="V153" s="183"/>
      <c r="W153" s="183"/>
      <c r="X153" s="183"/>
      <c r="Y153" s="183"/>
      <c r="Z153" s="183"/>
      <c r="AA153" s="183"/>
      <c r="AB153" s="183"/>
      <c r="AC153" s="183"/>
      <c r="AD153" s="183"/>
      <c r="AE153" s="183"/>
      <c r="AF153" s="183"/>
      <c r="AG153" s="183"/>
      <c r="AH153" s="183"/>
    </row>
    <row r="154" spans="1:34" customFormat="1" ht="15">
      <c r="A154" s="688"/>
      <c r="B154" s="735"/>
      <c r="C154" s="835">
        <v>8.1999999999999993</v>
      </c>
      <c r="D154" s="740"/>
      <c r="E154" s="2356" t="s">
        <v>1661</v>
      </c>
      <c r="F154" s="2356"/>
      <c r="G154" s="2356"/>
      <c r="H154" s="2356"/>
      <c r="I154" s="2356"/>
      <c r="J154" s="2357"/>
      <c r="K154" s="2353"/>
      <c r="L154" s="2353"/>
      <c r="M154" s="2358"/>
      <c r="N154" s="183"/>
      <c r="O154" s="183"/>
      <c r="P154" s="183"/>
      <c r="Q154" s="183"/>
      <c r="R154" s="183"/>
      <c r="S154" s="183"/>
      <c r="T154" s="183"/>
      <c r="U154" s="183"/>
      <c r="V154" s="183"/>
      <c r="W154" s="183"/>
      <c r="X154" s="183"/>
      <c r="Y154" s="183"/>
      <c r="Z154" s="183"/>
      <c r="AA154" s="183"/>
      <c r="AB154" s="183"/>
      <c r="AC154" s="183"/>
      <c r="AD154" s="183"/>
      <c r="AE154" s="183"/>
      <c r="AF154" s="183"/>
      <c r="AG154" s="183"/>
      <c r="AH154" s="183"/>
    </row>
    <row r="155" spans="1:34" customFormat="1" ht="24.75">
      <c r="A155" s="688"/>
      <c r="B155" s="749"/>
      <c r="C155" s="733" t="s">
        <v>1662</v>
      </c>
      <c r="D155" s="747"/>
      <c r="E155" s="2351" t="s">
        <v>1663</v>
      </c>
      <c r="F155" s="2351"/>
      <c r="G155" s="2351"/>
      <c r="H155" s="2351"/>
      <c r="I155" s="2351"/>
      <c r="J155" s="2352"/>
      <c r="K155" s="2353"/>
      <c r="L155" s="2353"/>
      <c r="M155" s="2355">
        <f t="shared" ref="M155" si="3">K155+L155</f>
        <v>0</v>
      </c>
      <c r="N155" s="183"/>
      <c r="O155" s="183"/>
      <c r="P155" s="183"/>
      <c r="Q155" s="183"/>
      <c r="R155" s="183"/>
      <c r="S155" s="183"/>
      <c r="T155" s="183"/>
      <c r="U155" s="183"/>
      <c r="V155" s="183"/>
      <c r="W155" s="183"/>
      <c r="X155" s="183"/>
      <c r="Y155" s="183"/>
      <c r="Z155" s="183"/>
      <c r="AA155" s="183"/>
      <c r="AB155" s="183"/>
      <c r="AC155" s="183"/>
      <c r="AD155" s="183"/>
      <c r="AE155" s="183"/>
      <c r="AF155" s="183"/>
      <c r="AG155" s="183"/>
      <c r="AH155" s="183"/>
    </row>
    <row r="156" spans="1:34" customFormat="1" ht="15">
      <c r="A156" s="688"/>
      <c r="B156" s="735"/>
      <c r="C156" s="836">
        <v>8.3000000000000007</v>
      </c>
      <c r="D156" s="739"/>
      <c r="E156" s="2356" t="s">
        <v>1664</v>
      </c>
      <c r="F156" s="2356"/>
      <c r="G156" s="2356"/>
      <c r="H156" s="2356"/>
      <c r="I156" s="2356"/>
      <c r="J156" s="2357"/>
      <c r="K156" s="2353"/>
      <c r="L156" s="2353"/>
      <c r="M156" s="2358"/>
      <c r="N156" s="183"/>
      <c r="O156" s="183"/>
      <c r="P156" s="183"/>
      <c r="Q156" s="183"/>
      <c r="R156" s="183"/>
      <c r="S156" s="183"/>
      <c r="T156" s="183"/>
      <c r="U156" s="183"/>
      <c r="V156" s="183"/>
      <c r="W156" s="183"/>
      <c r="X156" s="183"/>
      <c r="Y156" s="183"/>
      <c r="Z156" s="183"/>
      <c r="AA156" s="183"/>
      <c r="AB156" s="183"/>
      <c r="AC156" s="183"/>
      <c r="AD156" s="183"/>
      <c r="AE156" s="183"/>
      <c r="AF156" s="183"/>
      <c r="AG156" s="183"/>
      <c r="AH156" s="183"/>
    </row>
    <row r="157" spans="1:34" customFormat="1" ht="24.75">
      <c r="A157" s="688"/>
      <c r="B157" s="731"/>
      <c r="C157" s="733" t="s">
        <v>1665</v>
      </c>
      <c r="D157" s="747"/>
      <c r="E157" s="2351" t="s">
        <v>1666</v>
      </c>
      <c r="F157" s="2351"/>
      <c r="G157" s="2351"/>
      <c r="H157" s="2351"/>
      <c r="I157" s="2351"/>
      <c r="J157" s="2352"/>
      <c r="K157" s="2353"/>
      <c r="L157" s="2353"/>
      <c r="M157" s="2355">
        <f t="shared" ref="M157" si="4">K157+L157</f>
        <v>0</v>
      </c>
      <c r="N157" s="183"/>
      <c r="O157" s="183"/>
      <c r="P157" s="183"/>
      <c r="Q157" s="183"/>
      <c r="R157" s="183"/>
      <c r="S157" s="183"/>
      <c r="T157" s="183"/>
      <c r="U157" s="183"/>
      <c r="V157" s="183"/>
      <c r="W157" s="183"/>
      <c r="X157" s="183"/>
      <c r="Y157" s="183"/>
      <c r="Z157" s="183"/>
      <c r="AA157" s="183"/>
      <c r="AB157" s="183"/>
      <c r="AC157" s="183"/>
      <c r="AD157" s="183"/>
      <c r="AE157" s="183"/>
      <c r="AF157" s="183"/>
      <c r="AG157" s="183"/>
      <c r="AH157" s="183"/>
    </row>
    <row r="158" spans="1:34" customFormat="1" ht="15">
      <c r="A158" s="688"/>
      <c r="B158" s="773"/>
      <c r="C158" s="835">
        <v>8.4</v>
      </c>
      <c r="D158" s="740"/>
      <c r="E158" s="2356" t="s">
        <v>1667</v>
      </c>
      <c r="F158" s="2356"/>
      <c r="G158" s="2356"/>
      <c r="H158" s="2356"/>
      <c r="I158" s="2356"/>
      <c r="J158" s="2357"/>
      <c r="K158" s="2353"/>
      <c r="L158" s="2353"/>
      <c r="M158" s="2358"/>
      <c r="N158" s="183"/>
      <c r="O158" s="183"/>
      <c r="P158" s="183"/>
      <c r="Q158" s="183"/>
      <c r="R158" s="183"/>
      <c r="S158" s="183"/>
      <c r="T158" s="183"/>
      <c r="U158" s="183"/>
      <c r="V158" s="183"/>
      <c r="W158" s="183"/>
      <c r="X158" s="183"/>
      <c r="Y158" s="183"/>
      <c r="Z158" s="183"/>
      <c r="AA158" s="183"/>
      <c r="AB158" s="183"/>
      <c r="AC158" s="183"/>
      <c r="AD158" s="183"/>
      <c r="AE158" s="183"/>
      <c r="AF158" s="183"/>
      <c r="AG158" s="183"/>
      <c r="AH158" s="183"/>
    </row>
    <row r="159" spans="1:34" customFormat="1" ht="24.75">
      <c r="A159" s="688"/>
      <c r="B159" s="774"/>
      <c r="C159" s="733" t="s">
        <v>1668</v>
      </c>
      <c r="D159" s="747"/>
      <c r="E159" s="2351" t="s">
        <v>1669</v>
      </c>
      <c r="F159" s="2351"/>
      <c r="G159" s="2351"/>
      <c r="H159" s="2351"/>
      <c r="I159" s="2351"/>
      <c r="J159" s="2352"/>
      <c r="K159" s="2353"/>
      <c r="L159" s="2353"/>
      <c r="M159" s="2355">
        <f t="shared" ref="M159" si="5">K159+L159</f>
        <v>0</v>
      </c>
      <c r="N159" s="183"/>
      <c r="O159" s="183"/>
      <c r="P159" s="183"/>
      <c r="Q159" s="183"/>
      <c r="R159" s="183"/>
      <c r="S159" s="183"/>
      <c r="T159" s="183"/>
      <c r="U159" s="183"/>
      <c r="V159" s="183"/>
      <c r="W159" s="183"/>
      <c r="X159" s="183"/>
      <c r="Y159" s="183"/>
      <c r="Z159" s="183"/>
      <c r="AA159" s="183"/>
      <c r="AB159" s="183"/>
      <c r="AC159" s="183"/>
      <c r="AD159" s="183"/>
      <c r="AE159" s="183"/>
      <c r="AF159" s="183"/>
      <c r="AG159" s="183"/>
      <c r="AH159" s="183"/>
    </row>
    <row r="160" spans="1:34" customFormat="1" ht="15">
      <c r="A160" s="688"/>
      <c r="B160" s="773"/>
      <c r="C160" s="835">
        <v>8.5</v>
      </c>
      <c r="D160" s="740"/>
      <c r="E160" s="2356" t="s">
        <v>1670</v>
      </c>
      <c r="F160" s="2356"/>
      <c r="G160" s="2356"/>
      <c r="H160" s="2356"/>
      <c r="I160" s="2356"/>
      <c r="J160" s="2357"/>
      <c r="K160" s="2353"/>
      <c r="L160" s="2353"/>
      <c r="M160" s="2358"/>
      <c r="N160" s="183"/>
      <c r="O160" s="183"/>
      <c r="P160" s="183"/>
      <c r="Q160" s="183"/>
      <c r="R160" s="183"/>
      <c r="S160" s="183"/>
      <c r="T160" s="183"/>
      <c r="U160" s="183"/>
      <c r="V160" s="183"/>
      <c r="W160" s="183"/>
      <c r="X160" s="183"/>
      <c r="Y160" s="183"/>
      <c r="Z160" s="183"/>
      <c r="AA160" s="183"/>
      <c r="AB160" s="183"/>
      <c r="AC160" s="183"/>
      <c r="AD160" s="183"/>
      <c r="AE160" s="183"/>
      <c r="AF160" s="183"/>
      <c r="AG160" s="183"/>
      <c r="AH160" s="183"/>
    </row>
    <row r="161" spans="1:34" customFormat="1" ht="23.25" customHeight="1">
      <c r="A161" s="697"/>
      <c r="B161" s="2429" t="s">
        <v>1671</v>
      </c>
      <c r="C161" s="2430"/>
      <c r="D161" s="2430"/>
      <c r="E161" s="2430"/>
      <c r="F161" s="2430"/>
      <c r="G161" s="2430"/>
      <c r="H161" s="2430"/>
      <c r="I161" s="2430"/>
      <c r="J161" s="2431"/>
      <c r="K161" s="2389"/>
      <c r="L161" s="2389"/>
      <c r="M161" s="2432">
        <f>K161+L161</f>
        <v>0</v>
      </c>
      <c r="N161" s="183"/>
      <c r="O161" s="183"/>
      <c r="P161" s="183"/>
      <c r="Q161" s="183"/>
      <c r="R161" s="183"/>
      <c r="S161" s="183"/>
      <c r="T161" s="183"/>
      <c r="U161" s="183"/>
      <c r="V161" s="183"/>
      <c r="W161" s="183"/>
      <c r="X161" s="183"/>
      <c r="Y161" s="183"/>
      <c r="Z161" s="183"/>
      <c r="AA161" s="183"/>
      <c r="AB161" s="183"/>
      <c r="AC161" s="183"/>
      <c r="AD161" s="183"/>
      <c r="AE161" s="183"/>
      <c r="AF161" s="183"/>
      <c r="AG161" s="183"/>
      <c r="AH161" s="183"/>
    </row>
    <row r="162" spans="1:34" customFormat="1" ht="15">
      <c r="A162" s="697"/>
      <c r="B162" s="2433" t="s">
        <v>1672</v>
      </c>
      <c r="C162" s="2434"/>
      <c r="D162" s="2434"/>
      <c r="E162" s="2434"/>
      <c r="F162" s="2434"/>
      <c r="G162" s="2434"/>
      <c r="H162" s="2434"/>
      <c r="I162" s="2434"/>
      <c r="J162" s="2435"/>
      <c r="K162" s="2389"/>
      <c r="L162" s="2389"/>
      <c r="M162" s="2432"/>
      <c r="N162" s="183"/>
      <c r="O162" s="183"/>
      <c r="P162" s="183"/>
      <c r="Q162" s="183"/>
      <c r="R162" s="183"/>
      <c r="S162" s="183"/>
      <c r="T162" s="183"/>
      <c r="U162" s="183"/>
      <c r="V162" s="183"/>
      <c r="W162" s="183"/>
      <c r="X162" s="183"/>
      <c r="Y162" s="183"/>
      <c r="Z162" s="183"/>
      <c r="AA162" s="183"/>
      <c r="AB162" s="183"/>
      <c r="AC162" s="183"/>
      <c r="AD162" s="183"/>
      <c r="AE162" s="183"/>
      <c r="AF162" s="183"/>
      <c r="AG162" s="183"/>
      <c r="AH162" s="183"/>
    </row>
    <row r="163" spans="1:34" customFormat="1" ht="24" customHeight="1">
      <c r="A163" s="697"/>
      <c r="B163" s="2429" t="s">
        <v>1673</v>
      </c>
      <c r="C163" s="2430"/>
      <c r="D163" s="2430"/>
      <c r="E163" s="2430"/>
      <c r="F163" s="2430"/>
      <c r="G163" s="2430"/>
      <c r="H163" s="2430"/>
      <c r="I163" s="2430"/>
      <c r="J163" s="2431"/>
      <c r="K163" s="2389"/>
      <c r="L163" s="2389"/>
      <c r="M163" s="2432">
        <f>K163+L163</f>
        <v>0</v>
      </c>
      <c r="N163" s="183"/>
      <c r="O163" s="183"/>
      <c r="P163" s="183"/>
      <c r="Q163" s="183"/>
      <c r="R163" s="183"/>
      <c r="S163" s="183"/>
      <c r="T163" s="183"/>
      <c r="U163" s="183"/>
      <c r="V163" s="183"/>
      <c r="W163" s="183"/>
      <c r="X163" s="183"/>
      <c r="Y163" s="183"/>
      <c r="Z163" s="183"/>
      <c r="AA163" s="183"/>
      <c r="AB163" s="183"/>
      <c r="AC163" s="183"/>
      <c r="AD163" s="183"/>
      <c r="AE163" s="183"/>
      <c r="AF163" s="183"/>
      <c r="AG163" s="183"/>
      <c r="AH163" s="183"/>
    </row>
    <row r="164" spans="1:34" customFormat="1" ht="15">
      <c r="A164" s="697"/>
      <c r="B164" s="2436" t="s">
        <v>1674</v>
      </c>
      <c r="C164" s="2420"/>
      <c r="D164" s="2420"/>
      <c r="E164" s="2420"/>
      <c r="F164" s="2420"/>
      <c r="G164" s="2420"/>
      <c r="H164" s="2420"/>
      <c r="I164" s="2420"/>
      <c r="J164" s="2421"/>
      <c r="K164" s="2389"/>
      <c r="L164" s="2389"/>
      <c r="M164" s="2432"/>
      <c r="N164" s="183"/>
      <c r="O164" s="183"/>
      <c r="P164" s="183"/>
      <c r="Q164" s="183"/>
      <c r="R164" s="183"/>
      <c r="S164" s="183"/>
      <c r="T164" s="183"/>
      <c r="U164" s="183"/>
      <c r="V164" s="183"/>
      <c r="W164" s="183"/>
      <c r="X164" s="183"/>
      <c r="Y164" s="183"/>
      <c r="Z164" s="183"/>
      <c r="AA164" s="183"/>
      <c r="AB164" s="183"/>
      <c r="AC164" s="183"/>
      <c r="AD164" s="183"/>
      <c r="AE164" s="183"/>
      <c r="AF164" s="183"/>
      <c r="AG164" s="183"/>
      <c r="AH164" s="183"/>
    </row>
    <row r="165" spans="1:34" customFormat="1" ht="25.5">
      <c r="A165" s="697"/>
      <c r="B165" s="2437" t="s">
        <v>1675</v>
      </c>
      <c r="C165" s="2438"/>
      <c r="D165" s="2438"/>
      <c r="E165" s="2438"/>
      <c r="F165" s="2438"/>
      <c r="G165" s="2438"/>
      <c r="H165" s="2438"/>
      <c r="I165" s="2438"/>
      <c r="J165" s="2439"/>
      <c r="K165" s="2432">
        <f>+K146+K148+K161+K163</f>
        <v>0</v>
      </c>
      <c r="L165" s="2432">
        <f>+L146+L148+L161+L163</f>
        <v>0</v>
      </c>
      <c r="M165" s="2432">
        <f>+M146+M148+M161+M163</f>
        <v>0</v>
      </c>
      <c r="N165" s="183"/>
      <c r="O165" s="183"/>
      <c r="P165" s="183"/>
      <c r="Q165" s="183"/>
      <c r="R165" s="183"/>
      <c r="S165" s="183"/>
      <c r="T165" s="183"/>
      <c r="U165" s="183"/>
      <c r="V165" s="183"/>
      <c r="W165" s="183"/>
      <c r="X165" s="183"/>
      <c r="Y165" s="183"/>
      <c r="Z165" s="183"/>
      <c r="AA165" s="183"/>
      <c r="AB165" s="183"/>
      <c r="AC165" s="183"/>
      <c r="AD165" s="183"/>
      <c r="AE165" s="183"/>
      <c r="AF165" s="183"/>
      <c r="AG165" s="183"/>
      <c r="AH165" s="183"/>
    </row>
    <row r="166" spans="1:34" customFormat="1" ht="15">
      <c r="A166" s="697"/>
      <c r="B166" s="2440" t="s">
        <v>1676</v>
      </c>
      <c r="C166" s="2441"/>
      <c r="D166" s="2441"/>
      <c r="E166" s="2441"/>
      <c r="F166" s="2441"/>
      <c r="G166" s="2441"/>
      <c r="H166" s="2441"/>
      <c r="I166" s="2441"/>
      <c r="J166" s="2442"/>
      <c r="K166" s="2432"/>
      <c r="L166" s="2432"/>
      <c r="M166" s="2432"/>
      <c r="N166" s="183"/>
      <c r="O166" s="183"/>
      <c r="P166" s="183"/>
      <c r="Q166" s="183"/>
      <c r="R166" s="183"/>
      <c r="S166" s="183"/>
      <c r="T166" s="183"/>
      <c r="U166" s="183"/>
      <c r="V166" s="183"/>
      <c r="W166" s="183"/>
      <c r="X166" s="183"/>
      <c r="Y166" s="183"/>
      <c r="Z166" s="183"/>
      <c r="AA166" s="183"/>
      <c r="AB166" s="183"/>
      <c r="AC166" s="183"/>
      <c r="AD166" s="183"/>
      <c r="AE166" s="183"/>
      <c r="AF166" s="183"/>
      <c r="AG166" s="183"/>
      <c r="AH166" s="183"/>
    </row>
    <row r="167" spans="1:34" customFormat="1" ht="25.5">
      <c r="A167" s="688"/>
      <c r="B167" s="2429" t="s">
        <v>1677</v>
      </c>
      <c r="C167" s="2418"/>
      <c r="D167" s="2418"/>
      <c r="E167" s="2418"/>
      <c r="F167" s="2418"/>
      <c r="G167" s="2418"/>
      <c r="H167" s="2418"/>
      <c r="I167" s="2418"/>
      <c r="J167" s="2419"/>
      <c r="K167" s="2432">
        <f>K169-K171+K173</f>
        <v>0</v>
      </c>
      <c r="L167" s="2432">
        <f>L169-L171+L173</f>
        <v>0</v>
      </c>
      <c r="M167" s="2432">
        <f>K167+L167</f>
        <v>0</v>
      </c>
      <c r="N167" s="183"/>
      <c r="O167" s="183"/>
      <c r="P167" s="183"/>
      <c r="Q167" s="183"/>
      <c r="R167" s="183"/>
      <c r="S167" s="183"/>
      <c r="T167" s="183"/>
      <c r="U167" s="183"/>
      <c r="V167" s="183"/>
      <c r="W167" s="183"/>
      <c r="X167" s="183"/>
      <c r="Y167" s="183"/>
      <c r="Z167" s="183"/>
      <c r="AA167" s="183"/>
      <c r="AB167" s="183"/>
      <c r="AC167" s="183"/>
      <c r="AD167" s="183"/>
      <c r="AE167" s="183"/>
      <c r="AF167" s="183"/>
      <c r="AG167" s="183"/>
      <c r="AH167" s="183"/>
    </row>
    <row r="168" spans="1:34" customFormat="1" ht="15">
      <c r="A168" s="688"/>
      <c r="B168" s="2436" t="s">
        <v>1678</v>
      </c>
      <c r="C168" s="2420"/>
      <c r="D168" s="2420"/>
      <c r="E168" s="2420"/>
      <c r="F168" s="2420"/>
      <c r="G168" s="2420"/>
      <c r="H168" s="2420"/>
      <c r="I168" s="2420"/>
      <c r="J168" s="2421"/>
      <c r="K168" s="2432"/>
      <c r="L168" s="2432"/>
      <c r="M168" s="2432"/>
      <c r="N168" s="183"/>
      <c r="O168" s="183"/>
      <c r="P168" s="183"/>
      <c r="Q168" s="183"/>
      <c r="R168" s="183"/>
      <c r="S168" s="183"/>
      <c r="T168" s="183"/>
      <c r="U168" s="183"/>
      <c r="V168" s="183"/>
      <c r="W168" s="183"/>
      <c r="X168" s="183"/>
      <c r="Y168" s="183"/>
      <c r="Z168" s="183"/>
      <c r="AA168" s="183"/>
      <c r="AB168" s="183"/>
      <c r="AC168" s="183"/>
      <c r="AD168" s="183"/>
      <c r="AE168" s="183"/>
      <c r="AF168" s="183"/>
      <c r="AG168" s="183"/>
      <c r="AH168" s="183"/>
    </row>
    <row r="169" spans="1:34" customFormat="1" ht="24.75">
      <c r="A169" s="688"/>
      <c r="B169" s="774"/>
      <c r="C169" s="733" t="s">
        <v>1679</v>
      </c>
      <c r="D169" s="747">
        <v>12.1</v>
      </c>
      <c r="E169" s="2351" t="s">
        <v>1680</v>
      </c>
      <c r="F169" s="2351"/>
      <c r="G169" s="2351"/>
      <c r="H169" s="2351"/>
      <c r="I169" s="2351"/>
      <c r="J169" s="2352"/>
      <c r="K169" s="2353"/>
      <c r="L169" s="2353"/>
      <c r="M169" s="2358">
        <f>K169+L169</f>
        <v>0</v>
      </c>
      <c r="N169" s="183"/>
      <c r="O169" s="183"/>
      <c r="P169" s="183"/>
      <c r="Q169" s="183"/>
      <c r="R169" s="183"/>
      <c r="S169" s="183"/>
      <c r="T169" s="183"/>
      <c r="U169" s="183"/>
      <c r="V169" s="183"/>
      <c r="W169" s="183"/>
      <c r="X169" s="183"/>
      <c r="Y169" s="183"/>
      <c r="Z169" s="183"/>
      <c r="AA169" s="183"/>
      <c r="AB169" s="183"/>
      <c r="AC169" s="183"/>
      <c r="AD169" s="183"/>
      <c r="AE169" s="183"/>
      <c r="AF169" s="183"/>
      <c r="AG169" s="183"/>
      <c r="AH169" s="183"/>
    </row>
    <row r="170" spans="1:34" customFormat="1" ht="15">
      <c r="A170" s="688"/>
      <c r="B170" s="773"/>
      <c r="C170" s="836">
        <v>12.1</v>
      </c>
      <c r="D170" s="740"/>
      <c r="E170" s="740" t="s">
        <v>1681</v>
      </c>
      <c r="F170" s="740" t="s">
        <v>1681</v>
      </c>
      <c r="G170" s="740"/>
      <c r="H170" s="740"/>
      <c r="I170" s="740"/>
      <c r="J170" s="775"/>
      <c r="K170" s="2353"/>
      <c r="L170" s="2353"/>
      <c r="M170" s="2358"/>
      <c r="N170" s="183"/>
      <c r="O170" s="183"/>
      <c r="P170" s="183"/>
      <c r="Q170" s="183"/>
      <c r="R170" s="183"/>
      <c r="S170" s="183"/>
      <c r="T170" s="183"/>
      <c r="U170" s="183"/>
      <c r="V170" s="183"/>
      <c r="W170" s="183"/>
      <c r="X170" s="183"/>
      <c r="Y170" s="183"/>
      <c r="Z170" s="183"/>
      <c r="AA170" s="183"/>
      <c r="AB170" s="183"/>
      <c r="AC170" s="183"/>
      <c r="AD170" s="183"/>
      <c r="AE170" s="183"/>
      <c r="AF170" s="183"/>
      <c r="AG170" s="183"/>
      <c r="AH170" s="183"/>
    </row>
    <row r="171" spans="1:34" customFormat="1" ht="24.75">
      <c r="A171" s="688"/>
      <c r="B171" s="774"/>
      <c r="C171" s="733" t="s">
        <v>1682</v>
      </c>
      <c r="D171" s="747">
        <v>12.2</v>
      </c>
      <c r="E171" s="2351" t="s">
        <v>1683</v>
      </c>
      <c r="F171" s="2351"/>
      <c r="G171" s="2351"/>
      <c r="H171" s="2351"/>
      <c r="I171" s="2351"/>
      <c r="J171" s="2394"/>
      <c r="K171" s="2353"/>
      <c r="L171" s="2353"/>
      <c r="M171" s="2358">
        <f t="shared" ref="M171" si="6">K171+L171</f>
        <v>0</v>
      </c>
      <c r="N171" s="183"/>
      <c r="O171" s="183"/>
      <c r="P171" s="183"/>
      <c r="Q171" s="183"/>
      <c r="R171" s="183"/>
      <c r="S171" s="183"/>
      <c r="T171" s="183"/>
      <c r="U171" s="183"/>
      <c r="V171" s="183"/>
      <c r="W171" s="183"/>
      <c r="X171" s="183"/>
      <c r="Y171" s="183"/>
      <c r="Z171" s="183"/>
      <c r="AA171" s="183"/>
      <c r="AB171" s="183"/>
      <c r="AC171" s="183"/>
      <c r="AD171" s="183"/>
      <c r="AE171" s="183"/>
      <c r="AF171" s="183"/>
      <c r="AG171" s="183"/>
      <c r="AH171" s="183"/>
    </row>
    <row r="172" spans="1:34" customFormat="1" ht="15">
      <c r="A172" s="688"/>
      <c r="B172" s="773"/>
      <c r="C172" s="836">
        <v>12.2</v>
      </c>
      <c r="D172" s="740"/>
      <c r="E172" s="740" t="s">
        <v>1684</v>
      </c>
      <c r="F172" s="740" t="s">
        <v>1684</v>
      </c>
      <c r="G172" s="740"/>
      <c r="H172" s="740"/>
      <c r="I172" s="740"/>
      <c r="J172" s="775"/>
      <c r="K172" s="2353"/>
      <c r="L172" s="2353"/>
      <c r="M172" s="2358"/>
      <c r="N172" s="183"/>
      <c r="O172" s="183"/>
      <c r="P172" s="183"/>
      <c r="Q172" s="183"/>
      <c r="R172" s="183"/>
      <c r="S172" s="183"/>
      <c r="T172" s="183"/>
      <c r="U172" s="183"/>
      <c r="V172" s="183"/>
      <c r="W172" s="183"/>
      <c r="X172" s="183"/>
      <c r="Y172" s="183"/>
      <c r="Z172" s="183"/>
      <c r="AA172" s="183"/>
      <c r="AB172" s="183"/>
      <c r="AC172" s="183"/>
      <c r="AD172" s="183"/>
      <c r="AE172" s="183"/>
      <c r="AF172" s="183"/>
      <c r="AG172" s="183"/>
      <c r="AH172" s="183"/>
    </row>
    <row r="173" spans="1:34" customFormat="1" ht="24.75">
      <c r="A173" s="688"/>
      <c r="B173" s="774"/>
      <c r="C173" s="733" t="s">
        <v>1685</v>
      </c>
      <c r="D173" s="747">
        <v>12.3</v>
      </c>
      <c r="E173" s="2351" t="s">
        <v>1686</v>
      </c>
      <c r="F173" s="2351"/>
      <c r="G173" s="2351"/>
      <c r="H173" s="2351"/>
      <c r="I173" s="2351"/>
      <c r="J173" s="2394"/>
      <c r="K173" s="2353"/>
      <c r="L173" s="2353"/>
      <c r="M173" s="2358">
        <f t="shared" ref="M173" si="7">K173+L173</f>
        <v>0</v>
      </c>
      <c r="N173" s="183"/>
      <c r="O173" s="183"/>
      <c r="P173" s="183"/>
      <c r="Q173" s="183"/>
      <c r="R173" s="183"/>
      <c r="S173" s="183"/>
      <c r="T173" s="183"/>
      <c r="U173" s="183"/>
      <c r="V173" s="183"/>
      <c r="W173" s="183"/>
      <c r="X173" s="183"/>
      <c r="Y173" s="183"/>
      <c r="Z173" s="183"/>
      <c r="AA173" s="183"/>
      <c r="AB173" s="183"/>
      <c r="AC173" s="183"/>
      <c r="AD173" s="183"/>
      <c r="AE173" s="183"/>
      <c r="AF173" s="183"/>
      <c r="AG173" s="183"/>
      <c r="AH173" s="183"/>
    </row>
    <row r="174" spans="1:34" customFormat="1" ht="15">
      <c r="A174" s="688"/>
      <c r="B174" s="773"/>
      <c r="C174" s="836">
        <v>12.3</v>
      </c>
      <c r="D174" s="740"/>
      <c r="E174" s="740" t="s">
        <v>1687</v>
      </c>
      <c r="F174" s="740" t="s">
        <v>1688</v>
      </c>
      <c r="G174" s="740"/>
      <c r="H174" s="740"/>
      <c r="I174" s="740"/>
      <c r="J174" s="775"/>
      <c r="K174" s="2353"/>
      <c r="L174" s="2353"/>
      <c r="M174" s="2358"/>
      <c r="N174" s="183"/>
      <c r="O174" s="183"/>
      <c r="P174" s="183"/>
      <c r="Q174" s="183"/>
      <c r="R174" s="183"/>
      <c r="S174" s="183"/>
      <c r="T174" s="183"/>
      <c r="U174" s="183"/>
      <c r="V174" s="183"/>
      <c r="W174" s="183"/>
      <c r="X174" s="183"/>
      <c r="Y174" s="183"/>
      <c r="Z174" s="183"/>
      <c r="AA174" s="183"/>
      <c r="AB174" s="183"/>
      <c r="AC174" s="183"/>
      <c r="AD174" s="183"/>
      <c r="AE174" s="183"/>
      <c r="AF174" s="183"/>
      <c r="AG174" s="183"/>
      <c r="AH174" s="183"/>
    </row>
    <row r="175" spans="1:34" customFormat="1" ht="25.5">
      <c r="A175" s="697"/>
      <c r="B175" s="2429" t="s">
        <v>1689</v>
      </c>
      <c r="C175" s="2418"/>
      <c r="D175" s="2418"/>
      <c r="E175" s="2418"/>
      <c r="F175" s="2418"/>
      <c r="G175" s="2418"/>
      <c r="H175" s="2418"/>
      <c r="I175" s="2418"/>
      <c r="J175" s="2443"/>
      <c r="K175" s="2432">
        <f>K165+K167</f>
        <v>0</v>
      </c>
      <c r="L175" s="2432">
        <f>L165+L167</f>
        <v>0</v>
      </c>
      <c r="M175" s="2432">
        <f>K175+L175</f>
        <v>0</v>
      </c>
      <c r="N175" s="183"/>
      <c r="O175" s="183"/>
      <c r="P175" s="183"/>
      <c r="Q175" s="183"/>
      <c r="R175" s="183"/>
      <c r="S175" s="183"/>
      <c r="T175" s="183"/>
      <c r="U175" s="183"/>
      <c r="V175" s="183"/>
      <c r="W175" s="183"/>
      <c r="X175" s="183"/>
      <c r="Y175" s="183"/>
      <c r="Z175" s="183"/>
      <c r="AA175" s="183"/>
      <c r="AB175" s="183"/>
      <c r="AC175" s="183"/>
      <c r="AD175" s="183"/>
      <c r="AE175" s="183"/>
      <c r="AF175" s="183"/>
      <c r="AG175" s="183"/>
      <c r="AH175" s="183"/>
    </row>
    <row r="176" spans="1:34" customFormat="1" ht="15">
      <c r="A176" s="697"/>
      <c r="B176" s="2436" t="s">
        <v>1690</v>
      </c>
      <c r="C176" s="2420"/>
      <c r="D176" s="2420"/>
      <c r="E176" s="2420"/>
      <c r="F176" s="2420"/>
      <c r="G176" s="2420"/>
      <c r="H176" s="2420"/>
      <c r="I176" s="2420"/>
      <c r="J176" s="2421"/>
      <c r="K176" s="2432"/>
      <c r="L176" s="2432"/>
      <c r="M176" s="2432"/>
      <c r="N176" s="183"/>
      <c r="O176" s="183"/>
      <c r="P176" s="183"/>
      <c r="Q176" s="183"/>
      <c r="R176" s="183"/>
      <c r="S176" s="183"/>
      <c r="T176" s="183"/>
      <c r="U176" s="183"/>
      <c r="V176" s="183"/>
      <c r="W176" s="183"/>
      <c r="X176" s="183"/>
      <c r="Y176" s="183"/>
      <c r="Z176" s="183"/>
      <c r="AA176" s="183"/>
      <c r="AB176" s="183"/>
      <c r="AC176" s="183"/>
      <c r="AD176" s="183"/>
      <c r="AE176" s="183"/>
      <c r="AF176" s="183"/>
      <c r="AG176" s="183"/>
      <c r="AH176" s="183"/>
    </row>
    <row r="177" spans="1:34" customFormat="1" ht="24.75">
      <c r="A177" s="688"/>
      <c r="B177" s="774"/>
      <c r="C177" s="733" t="s">
        <v>1691</v>
      </c>
      <c r="D177" s="747">
        <v>13.1</v>
      </c>
      <c r="E177" s="2351" t="s">
        <v>1692</v>
      </c>
      <c r="F177" s="2351"/>
      <c r="G177" s="2351"/>
      <c r="H177" s="2351"/>
      <c r="I177" s="2351"/>
      <c r="J177" s="2352"/>
      <c r="K177" s="2353"/>
      <c r="L177" s="2353"/>
      <c r="M177" s="2358">
        <f>K177+L177</f>
        <v>0</v>
      </c>
      <c r="N177" s="183"/>
      <c r="O177" s="183"/>
      <c r="P177" s="183"/>
      <c r="Q177" s="183"/>
      <c r="R177" s="183"/>
      <c r="S177" s="183"/>
      <c r="T177" s="183"/>
      <c r="U177" s="183"/>
      <c r="V177" s="183"/>
      <c r="W177" s="183"/>
      <c r="X177" s="183"/>
      <c r="Y177" s="183"/>
      <c r="Z177" s="183"/>
      <c r="AA177" s="183"/>
      <c r="AB177" s="183"/>
      <c r="AC177" s="183"/>
      <c r="AD177" s="183"/>
      <c r="AE177" s="183"/>
      <c r="AF177" s="183"/>
      <c r="AG177" s="183"/>
      <c r="AH177" s="183"/>
    </row>
    <row r="178" spans="1:34" customFormat="1" ht="15">
      <c r="A178" s="688"/>
      <c r="B178" s="774"/>
      <c r="C178" s="837">
        <v>13.1</v>
      </c>
      <c r="D178" s="747"/>
      <c r="E178" s="2444" t="s">
        <v>1693</v>
      </c>
      <c r="F178" s="2444"/>
      <c r="G178" s="2444"/>
      <c r="H178" s="2444"/>
      <c r="I178" s="2444"/>
      <c r="J178" s="2445"/>
      <c r="K178" s="2353"/>
      <c r="L178" s="2353"/>
      <c r="M178" s="2358"/>
      <c r="N178" s="183"/>
      <c r="O178" s="183"/>
      <c r="P178" s="183"/>
      <c r="Q178" s="183"/>
      <c r="R178" s="183"/>
      <c r="S178" s="183"/>
      <c r="T178" s="183"/>
      <c r="U178" s="183"/>
      <c r="V178" s="183"/>
      <c r="W178" s="183"/>
      <c r="X178" s="183"/>
      <c r="Y178" s="183"/>
      <c r="Z178" s="183"/>
      <c r="AA178" s="183"/>
      <c r="AB178" s="183"/>
      <c r="AC178" s="183"/>
      <c r="AD178" s="183"/>
      <c r="AE178" s="183"/>
      <c r="AF178" s="183"/>
      <c r="AG178" s="183"/>
      <c r="AH178" s="183"/>
    </row>
    <row r="179" spans="1:34" customFormat="1" ht="25.5">
      <c r="A179" s="721"/>
      <c r="B179" s="2446" t="s">
        <v>1694</v>
      </c>
      <c r="C179" s="2447"/>
      <c r="D179" s="2447"/>
      <c r="E179" s="2447"/>
      <c r="F179" s="2447"/>
      <c r="G179" s="2447"/>
      <c r="H179" s="2447"/>
      <c r="I179" s="2447"/>
      <c r="J179" s="2448"/>
      <c r="K179" s="2432">
        <f>K175-K177</f>
        <v>0</v>
      </c>
      <c r="L179" s="2432">
        <f>L175-L177</f>
        <v>0</v>
      </c>
      <c r="M179" s="2432">
        <f>K179+L179</f>
        <v>0</v>
      </c>
      <c r="N179" s="183"/>
      <c r="O179" s="183"/>
      <c r="P179" s="183"/>
      <c r="Q179" s="183"/>
      <c r="R179" s="183"/>
      <c r="S179" s="183"/>
      <c r="T179" s="183"/>
      <c r="U179" s="183"/>
      <c r="V179" s="183"/>
      <c r="W179" s="183"/>
      <c r="X179" s="183"/>
      <c r="Y179" s="183"/>
      <c r="Z179" s="183"/>
      <c r="AA179" s="183"/>
      <c r="AB179" s="183"/>
      <c r="AC179" s="183"/>
      <c r="AD179" s="183"/>
      <c r="AE179" s="183"/>
      <c r="AF179" s="183"/>
      <c r="AG179" s="183"/>
      <c r="AH179" s="183"/>
    </row>
    <row r="180" spans="1:34" customFormat="1" ht="15">
      <c r="A180" s="721"/>
      <c r="B180" s="2436" t="s">
        <v>1695</v>
      </c>
      <c r="C180" s="2420"/>
      <c r="D180" s="2420"/>
      <c r="E180" s="2420"/>
      <c r="F180" s="2420"/>
      <c r="G180" s="2420"/>
      <c r="H180" s="2420"/>
      <c r="I180" s="2420"/>
      <c r="J180" s="2421"/>
      <c r="K180" s="2432"/>
      <c r="L180" s="2432"/>
      <c r="M180" s="2432"/>
      <c r="N180" s="183"/>
      <c r="O180" s="183"/>
      <c r="P180" s="183"/>
      <c r="Q180" s="183"/>
      <c r="R180" s="183"/>
      <c r="S180" s="183"/>
      <c r="T180" s="183"/>
      <c r="U180" s="183"/>
      <c r="V180" s="183"/>
      <c r="W180" s="183"/>
      <c r="X180" s="183"/>
      <c r="Y180" s="183"/>
      <c r="Z180" s="183"/>
      <c r="AA180" s="183"/>
      <c r="AB180" s="183"/>
      <c r="AC180" s="183"/>
      <c r="AD180" s="183"/>
      <c r="AE180" s="183"/>
      <c r="AF180" s="183"/>
      <c r="AG180" s="183"/>
      <c r="AH180" s="183"/>
    </row>
    <row r="181" spans="1:34" customFormat="1" ht="25.5">
      <c r="A181" s="721"/>
      <c r="B181" s="2429" t="s">
        <v>1696</v>
      </c>
      <c r="C181" s="2418"/>
      <c r="D181" s="2418"/>
      <c r="E181" s="2418"/>
      <c r="F181" s="2418"/>
      <c r="G181" s="2418"/>
      <c r="H181" s="2418"/>
      <c r="I181" s="2418"/>
      <c r="J181" s="2419"/>
      <c r="K181" s="2389"/>
      <c r="L181" s="2389"/>
      <c r="M181" s="2432">
        <f>K181+L181</f>
        <v>0</v>
      </c>
      <c r="N181" s="183"/>
      <c r="O181" s="183"/>
      <c r="P181" s="183"/>
      <c r="Q181" s="183"/>
      <c r="R181" s="183"/>
      <c r="S181" s="183"/>
      <c r="T181" s="183"/>
      <c r="U181" s="183"/>
      <c r="V181" s="183"/>
      <c r="W181" s="183"/>
      <c r="X181" s="183"/>
      <c r="Y181" s="183"/>
      <c r="Z181" s="183"/>
      <c r="AA181" s="183"/>
      <c r="AB181" s="183"/>
      <c r="AC181" s="183"/>
      <c r="AD181" s="183"/>
      <c r="AE181" s="183"/>
      <c r="AF181" s="183"/>
      <c r="AG181" s="183"/>
      <c r="AH181" s="183"/>
    </row>
    <row r="182" spans="1:34" customFormat="1" ht="15">
      <c r="A182" s="721"/>
      <c r="B182" s="2449" t="s">
        <v>1697</v>
      </c>
      <c r="C182" s="2450"/>
      <c r="D182" s="2450"/>
      <c r="E182" s="2450"/>
      <c r="F182" s="2450"/>
      <c r="G182" s="2450"/>
      <c r="H182" s="2450"/>
      <c r="I182" s="2450"/>
      <c r="J182" s="2451"/>
      <c r="K182" s="2389"/>
      <c r="L182" s="2389"/>
      <c r="M182" s="2432"/>
      <c r="N182" s="183"/>
      <c r="O182" s="183"/>
      <c r="P182" s="183"/>
      <c r="Q182" s="183"/>
      <c r="R182" s="183"/>
      <c r="S182" s="183"/>
      <c r="T182" s="183"/>
      <c r="U182" s="183"/>
      <c r="V182" s="183"/>
      <c r="W182" s="183"/>
      <c r="X182" s="183"/>
      <c r="Y182" s="183"/>
      <c r="Z182" s="183"/>
      <c r="AA182" s="183"/>
      <c r="AB182" s="183"/>
      <c r="AC182" s="183"/>
      <c r="AD182" s="183"/>
      <c r="AE182" s="183"/>
      <c r="AF182" s="183"/>
      <c r="AG182" s="183"/>
      <c r="AH182" s="183"/>
    </row>
    <row r="183" spans="1:34" customFormat="1" ht="25.5">
      <c r="A183" s="721"/>
      <c r="B183" s="2429" t="s">
        <v>1698</v>
      </c>
      <c r="C183" s="2418"/>
      <c r="D183" s="2418"/>
      <c r="E183" s="2418"/>
      <c r="F183" s="2418"/>
      <c r="G183" s="2418"/>
      <c r="H183" s="2418"/>
      <c r="I183" s="2418"/>
      <c r="J183" s="2419"/>
      <c r="K183" s="2389"/>
      <c r="L183" s="2389"/>
      <c r="M183" s="2432">
        <f t="shared" ref="M183" si="8">K183+L183</f>
        <v>0</v>
      </c>
      <c r="N183" s="183"/>
      <c r="O183" s="183"/>
      <c r="P183" s="183"/>
      <c r="Q183" s="183"/>
      <c r="R183" s="183"/>
      <c r="S183" s="183"/>
      <c r="T183" s="183"/>
      <c r="U183" s="183"/>
      <c r="V183" s="183"/>
      <c r="W183" s="183"/>
      <c r="X183" s="183"/>
      <c r="Y183" s="183"/>
      <c r="Z183" s="183"/>
      <c r="AA183" s="183"/>
      <c r="AB183" s="183"/>
      <c r="AC183" s="183"/>
      <c r="AD183" s="183"/>
      <c r="AE183" s="183"/>
      <c r="AF183" s="183"/>
      <c r="AG183" s="183"/>
      <c r="AH183" s="183"/>
    </row>
    <row r="184" spans="1:34" customFormat="1" ht="15">
      <c r="A184" s="721"/>
      <c r="B184" s="2452" t="s">
        <v>1699</v>
      </c>
      <c r="C184" s="2453"/>
      <c r="D184" s="2453"/>
      <c r="E184" s="2453"/>
      <c r="F184" s="2453"/>
      <c r="G184" s="2453"/>
      <c r="H184" s="2453"/>
      <c r="I184" s="2453"/>
      <c r="J184" s="2454"/>
      <c r="K184" s="2389"/>
      <c r="L184" s="2389"/>
      <c r="M184" s="2432"/>
      <c r="N184" s="183"/>
      <c r="O184" s="183"/>
      <c r="P184" s="183"/>
      <c r="Q184" s="183"/>
      <c r="R184" s="183"/>
      <c r="S184" s="183"/>
      <c r="T184" s="183"/>
      <c r="U184" s="183"/>
      <c r="V184" s="183"/>
      <c r="W184" s="183"/>
      <c r="X184" s="183"/>
      <c r="Y184" s="183"/>
      <c r="Z184" s="183"/>
      <c r="AA184" s="183"/>
      <c r="AB184" s="183"/>
      <c r="AC184" s="183"/>
      <c r="AD184" s="183"/>
      <c r="AE184" s="183"/>
      <c r="AF184" s="183"/>
      <c r="AG184" s="183"/>
      <c r="AH184" s="183"/>
    </row>
    <row r="185" spans="1:34" customFormat="1" ht="25.5">
      <c r="A185" s="721"/>
      <c r="B185" s="2429" t="s">
        <v>1700</v>
      </c>
      <c r="C185" s="2418"/>
      <c r="D185" s="2418"/>
      <c r="E185" s="2418"/>
      <c r="F185" s="2418"/>
      <c r="G185" s="2418"/>
      <c r="H185" s="2418"/>
      <c r="I185" s="2418"/>
      <c r="J185" s="2419"/>
      <c r="K185" s="2455"/>
      <c r="L185" s="2455"/>
      <c r="M185" s="2432">
        <f t="shared" ref="M185" si="9">K185+L185</f>
        <v>0</v>
      </c>
      <c r="N185" s="183"/>
      <c r="O185" s="183"/>
      <c r="P185" s="183"/>
      <c r="Q185" s="183"/>
      <c r="R185" s="183"/>
      <c r="S185" s="183"/>
      <c r="T185" s="183"/>
      <c r="U185" s="183"/>
      <c r="V185" s="183"/>
      <c r="W185" s="183"/>
      <c r="X185" s="183"/>
      <c r="Y185" s="183"/>
      <c r="Z185" s="183"/>
      <c r="AA185" s="183"/>
      <c r="AB185" s="183"/>
      <c r="AC185" s="183"/>
      <c r="AD185" s="183"/>
      <c r="AE185" s="183"/>
      <c r="AF185" s="183"/>
      <c r="AG185" s="183"/>
      <c r="AH185" s="183"/>
    </row>
    <row r="186" spans="1:34" customFormat="1" ht="15">
      <c r="A186" s="721"/>
      <c r="B186" s="2452" t="s">
        <v>1701</v>
      </c>
      <c r="C186" s="2453"/>
      <c r="D186" s="2453"/>
      <c r="E186" s="2453"/>
      <c r="F186" s="2453"/>
      <c r="G186" s="2453"/>
      <c r="H186" s="2453"/>
      <c r="I186" s="2453"/>
      <c r="J186" s="2454"/>
      <c r="K186" s="2455"/>
      <c r="L186" s="2455"/>
      <c r="M186" s="2432"/>
      <c r="N186" s="183"/>
      <c r="O186" s="183"/>
      <c r="P186" s="183"/>
      <c r="Q186" s="183"/>
      <c r="R186" s="183"/>
      <c r="S186" s="183"/>
      <c r="T186" s="183"/>
      <c r="U186" s="183"/>
      <c r="V186" s="183"/>
      <c r="W186" s="183"/>
      <c r="X186" s="183"/>
      <c r="Y186" s="183"/>
      <c r="Z186" s="183"/>
      <c r="AA186" s="183"/>
      <c r="AB186" s="183"/>
      <c r="AC186" s="183"/>
      <c r="AD186" s="183"/>
      <c r="AE186" s="183"/>
      <c r="AF186" s="183"/>
      <c r="AG186" s="183"/>
      <c r="AH186" s="183"/>
    </row>
    <row r="187" spans="1:34" customFormat="1" ht="25.5">
      <c r="A187" s="721"/>
      <c r="B187" s="2429" t="s">
        <v>1702</v>
      </c>
      <c r="C187" s="2418"/>
      <c r="D187" s="2418"/>
      <c r="E187" s="2418"/>
      <c r="F187" s="2418"/>
      <c r="G187" s="2418"/>
      <c r="H187" s="2418"/>
      <c r="I187" s="2418"/>
      <c r="J187" s="2419"/>
      <c r="K187" s="2389"/>
      <c r="L187" s="2389"/>
      <c r="M187" s="2432">
        <f t="shared" ref="M187:M189" si="10">K187+L187</f>
        <v>0</v>
      </c>
      <c r="N187" s="183"/>
      <c r="O187" s="183"/>
      <c r="P187" s="183"/>
      <c r="Q187" s="183"/>
      <c r="R187" s="183"/>
      <c r="S187" s="183"/>
      <c r="T187" s="183"/>
      <c r="U187" s="183"/>
      <c r="V187" s="183"/>
      <c r="W187" s="183"/>
      <c r="X187" s="183"/>
      <c r="Y187" s="183"/>
      <c r="Z187" s="183"/>
      <c r="AA187" s="183"/>
      <c r="AB187" s="183"/>
      <c r="AC187" s="183"/>
      <c r="AD187" s="183"/>
      <c r="AE187" s="183"/>
      <c r="AF187" s="183"/>
      <c r="AG187" s="183"/>
      <c r="AH187" s="183"/>
    </row>
    <row r="188" spans="1:34" customFormat="1" ht="15">
      <c r="A188" s="721"/>
      <c r="B188" s="2436" t="s">
        <v>1703</v>
      </c>
      <c r="C188" s="2420"/>
      <c r="D188" s="2420"/>
      <c r="E188" s="2420"/>
      <c r="F188" s="2420"/>
      <c r="G188" s="2420"/>
      <c r="H188" s="2420"/>
      <c r="I188" s="2420"/>
      <c r="J188" s="2421"/>
      <c r="K188" s="2389"/>
      <c r="L188" s="2389"/>
      <c r="M188" s="2432"/>
      <c r="N188" s="183"/>
      <c r="O188" s="183"/>
      <c r="P188" s="183"/>
      <c r="Q188" s="183"/>
      <c r="R188" s="183"/>
      <c r="S188" s="183"/>
      <c r="T188" s="183"/>
      <c r="U188" s="183"/>
      <c r="V188" s="183"/>
      <c r="W188" s="183"/>
      <c r="X188" s="183"/>
      <c r="Y188" s="183"/>
      <c r="Z188" s="183"/>
      <c r="AA188" s="183"/>
      <c r="AB188" s="183"/>
      <c r="AC188" s="183"/>
      <c r="AD188" s="183"/>
      <c r="AE188" s="183"/>
      <c r="AF188" s="183"/>
      <c r="AG188" s="183"/>
      <c r="AH188" s="183"/>
    </row>
    <row r="189" spans="1:34" customFormat="1" ht="25.5">
      <c r="A189" s="721"/>
      <c r="B189" s="2429" t="s">
        <v>1704</v>
      </c>
      <c r="C189" s="2418"/>
      <c r="D189" s="2418"/>
      <c r="E189" s="2418"/>
      <c r="F189" s="2418"/>
      <c r="G189" s="2418"/>
      <c r="H189" s="2418"/>
      <c r="I189" s="2418"/>
      <c r="J189" s="2419"/>
      <c r="K189" s="2432">
        <f>K179+K181-K183-K185-K187</f>
        <v>0</v>
      </c>
      <c r="L189" s="2432">
        <f>L179+L181-L183-L185-L187</f>
        <v>0</v>
      </c>
      <c r="M189" s="2432">
        <f t="shared" si="10"/>
        <v>0</v>
      </c>
      <c r="N189" s="183"/>
      <c r="O189" s="183"/>
      <c r="P189" s="183"/>
      <c r="Q189" s="183"/>
      <c r="R189" s="183"/>
      <c r="S189" s="183"/>
      <c r="T189" s="183"/>
      <c r="U189" s="183"/>
      <c r="V189" s="183"/>
      <c r="W189" s="183"/>
      <c r="X189" s="183"/>
      <c r="Y189" s="183"/>
      <c r="Z189" s="183"/>
      <c r="AA189" s="183"/>
      <c r="AB189" s="183"/>
      <c r="AC189" s="183"/>
      <c r="AD189" s="183"/>
      <c r="AE189" s="183"/>
      <c r="AF189" s="183"/>
      <c r="AG189" s="183"/>
      <c r="AH189" s="183"/>
    </row>
    <row r="190" spans="1:34" customFormat="1" ht="15">
      <c r="A190" s="721"/>
      <c r="B190" s="2462" t="s">
        <v>1705</v>
      </c>
      <c r="C190" s="2463"/>
      <c r="D190" s="2463"/>
      <c r="E190" s="2463"/>
      <c r="F190" s="2463"/>
      <c r="G190" s="2463"/>
      <c r="H190" s="2463"/>
      <c r="I190" s="2463"/>
      <c r="J190" s="2464"/>
      <c r="K190" s="2461"/>
      <c r="L190" s="2461"/>
      <c r="M190" s="2432"/>
      <c r="N190" s="183"/>
      <c r="O190" s="183"/>
      <c r="P190" s="183"/>
      <c r="Q190" s="183"/>
      <c r="R190" s="183"/>
      <c r="S190" s="183"/>
      <c r="T190" s="183"/>
      <c r="U190" s="183"/>
      <c r="V190" s="183"/>
      <c r="W190" s="183"/>
      <c r="X190" s="183"/>
      <c r="Y190" s="183"/>
      <c r="Z190" s="183"/>
      <c r="AA190" s="183"/>
      <c r="AB190" s="183"/>
      <c r="AC190" s="183"/>
      <c r="AD190" s="183"/>
      <c r="AE190" s="183"/>
      <c r="AF190" s="183"/>
      <c r="AG190" s="183"/>
      <c r="AH190" s="183"/>
    </row>
    <row r="191" spans="1:34" ht="25.5">
      <c r="B191" s="2456" t="s">
        <v>1706</v>
      </c>
      <c r="C191" s="2456"/>
      <c r="D191" s="2456"/>
      <c r="E191" s="2456"/>
      <c r="F191" s="2456"/>
      <c r="G191" s="2456"/>
      <c r="H191" s="2456"/>
      <c r="I191" s="2456"/>
      <c r="J191" s="2456"/>
      <c r="K191" s="2456"/>
      <c r="L191" s="2456"/>
      <c r="M191" s="2456"/>
    </row>
    <row r="192" spans="1:34" ht="23.25" customHeight="1">
      <c r="A192" s="2457" t="s">
        <v>1707</v>
      </c>
      <c r="B192" s="2457"/>
      <c r="C192" s="2457"/>
      <c r="D192" s="2457"/>
      <c r="E192" s="2457"/>
      <c r="F192" s="2457"/>
      <c r="G192" s="2457"/>
      <c r="H192" s="2457"/>
      <c r="I192" s="2457"/>
      <c r="J192" s="2457"/>
      <c r="K192" s="2457"/>
      <c r="L192" s="2457"/>
      <c r="M192" s="2457"/>
    </row>
    <row r="193" spans="1:13" ht="30">
      <c r="A193" s="2458" t="s">
        <v>1708</v>
      </c>
      <c r="B193" s="2458"/>
      <c r="C193" s="2458"/>
      <c r="D193" s="2458"/>
      <c r="E193" s="2458"/>
      <c r="F193" s="2458"/>
      <c r="G193" s="2458"/>
      <c r="H193" s="2458"/>
      <c r="I193" s="2458"/>
      <c r="J193" s="2458"/>
      <c r="K193" s="2458"/>
      <c r="L193" s="2458"/>
      <c r="M193" s="2458"/>
    </row>
    <row r="194" spans="1:13" ht="30">
      <c r="A194" s="856"/>
      <c r="B194" s="857"/>
      <c r="C194" s="857"/>
      <c r="D194" s="857"/>
      <c r="E194" s="857"/>
      <c r="F194" s="857"/>
      <c r="G194" s="857"/>
      <c r="H194" s="857"/>
      <c r="I194" s="857"/>
      <c r="J194" s="857"/>
      <c r="K194" s="858" t="s">
        <v>1709</v>
      </c>
      <c r="L194" s="857"/>
      <c r="M194" s="857"/>
    </row>
    <row r="195" spans="1:13" ht="15.75">
      <c r="A195" s="859" t="s">
        <v>1710</v>
      </c>
      <c r="B195" s="859"/>
      <c r="C195" s="859"/>
      <c r="D195" s="859"/>
      <c r="E195" s="859"/>
      <c r="F195" s="859"/>
      <c r="G195" s="859"/>
      <c r="H195" s="859"/>
      <c r="I195" s="859"/>
      <c r="J195" s="859"/>
      <c r="K195" s="860"/>
      <c r="L195" s="859"/>
      <c r="M195" s="859"/>
    </row>
    <row r="196" spans="1:13" ht="15.75">
      <c r="A196" s="859"/>
      <c r="B196" s="859"/>
      <c r="C196" s="859"/>
      <c r="D196" s="859"/>
      <c r="E196" s="859"/>
      <c r="F196" s="859"/>
      <c r="G196" s="859"/>
      <c r="H196" s="859"/>
      <c r="I196" s="859"/>
      <c r="J196" s="859"/>
      <c r="K196" s="860"/>
      <c r="L196" s="859"/>
      <c r="M196" s="859"/>
    </row>
    <row r="197" spans="1:13" ht="28.5">
      <c r="A197" s="861"/>
      <c r="B197" s="861"/>
      <c r="C197" s="862"/>
      <c r="D197" s="862"/>
      <c r="E197" s="863" t="s">
        <v>839</v>
      </c>
      <c r="F197" s="862"/>
      <c r="G197" s="862"/>
      <c r="H197" s="862"/>
      <c r="I197" s="864"/>
      <c r="J197" s="862"/>
      <c r="K197" s="865" t="s">
        <v>400</v>
      </c>
      <c r="L197" s="2459" t="s">
        <v>840</v>
      </c>
      <c r="M197" s="2459"/>
    </row>
    <row r="198" spans="1:13">
      <c r="A198" s="343"/>
      <c r="B198" s="343"/>
      <c r="C198" s="866"/>
      <c r="D198" s="866"/>
      <c r="E198" s="343" t="s">
        <v>1711</v>
      </c>
      <c r="F198" s="867"/>
      <c r="G198" s="867"/>
      <c r="H198" s="867"/>
      <c r="I198" s="868"/>
      <c r="J198" s="867"/>
      <c r="K198" s="869" t="s">
        <v>403</v>
      </c>
      <c r="L198" s="2460" t="s">
        <v>404</v>
      </c>
      <c r="M198" s="2460"/>
    </row>
    <row r="199" spans="1:13">
      <c r="A199" s="343"/>
      <c r="B199" s="343"/>
      <c r="C199" s="1405"/>
      <c r="D199" s="1405"/>
      <c r="E199" s="343"/>
      <c r="F199" s="867"/>
      <c r="G199" s="867"/>
      <c r="H199" s="867"/>
      <c r="I199" s="868"/>
      <c r="J199" s="867"/>
      <c r="K199" s="869"/>
      <c r="L199" s="1405"/>
      <c r="M199" s="1405"/>
    </row>
    <row r="200" spans="1:13">
      <c r="A200" s="343"/>
      <c r="B200" s="343"/>
      <c r="C200" s="1405"/>
      <c r="D200" s="1405"/>
      <c r="E200" s="343"/>
      <c r="F200" s="867"/>
      <c r="G200" s="867"/>
      <c r="H200" s="867"/>
      <c r="I200" s="868"/>
      <c r="J200" s="867"/>
      <c r="K200" s="869"/>
      <c r="L200" s="1405"/>
      <c r="M200" s="1405"/>
    </row>
    <row r="201" spans="1:13">
      <c r="A201" s="343"/>
      <c r="B201" s="343"/>
      <c r="C201" s="1405"/>
      <c r="D201" s="1405"/>
      <c r="E201" s="343"/>
      <c r="F201" s="867"/>
      <c r="G201" s="867"/>
      <c r="H201" s="867"/>
      <c r="I201" s="868"/>
      <c r="J201" s="867"/>
      <c r="K201" s="869"/>
      <c r="L201" s="1405"/>
      <c r="M201" s="1405"/>
    </row>
    <row r="202" spans="1:13">
      <c r="A202" s="343"/>
      <c r="B202" s="343"/>
      <c r="C202" s="1405"/>
      <c r="D202" s="1405"/>
      <c r="E202" s="343"/>
      <c r="F202" s="867"/>
      <c r="G202" s="867"/>
      <c r="H202" s="867"/>
      <c r="I202" s="868"/>
      <c r="J202" s="867"/>
      <c r="K202" s="869"/>
      <c r="L202" s="1405"/>
      <c r="M202" s="1405"/>
    </row>
    <row r="203" spans="1:13">
      <c r="A203" s="343"/>
      <c r="B203" s="343"/>
      <c r="C203" s="1405"/>
      <c r="D203" s="1405"/>
      <c r="E203" s="343"/>
      <c r="F203" s="867"/>
      <c r="G203" s="867"/>
      <c r="H203" s="867"/>
      <c r="I203" s="868"/>
      <c r="J203" s="867"/>
      <c r="K203" s="869"/>
      <c r="L203" s="1405"/>
      <c r="M203" s="1405"/>
    </row>
    <row r="204" spans="1:13">
      <c r="A204" s="343"/>
      <c r="B204" s="343"/>
      <c r="C204" s="1405"/>
      <c r="D204" s="1405"/>
      <c r="E204" s="343"/>
      <c r="F204" s="867"/>
      <c r="G204" s="867"/>
      <c r="H204" s="867"/>
      <c r="I204" s="868"/>
      <c r="J204" s="867"/>
      <c r="K204" s="869"/>
      <c r="L204" s="1405"/>
      <c r="M204" s="1405"/>
    </row>
    <row r="205" spans="1:13">
      <c r="A205" s="343"/>
      <c r="B205" s="343"/>
      <c r="C205" s="1405"/>
      <c r="D205" s="1405"/>
      <c r="E205" s="343"/>
      <c r="F205" s="867"/>
      <c r="G205" s="867"/>
      <c r="H205" s="867"/>
      <c r="I205" s="868"/>
      <c r="J205" s="867"/>
      <c r="K205" s="869"/>
      <c r="L205" s="1405"/>
      <c r="M205" s="1405"/>
    </row>
    <row r="206" spans="1:13" ht="15">
      <c r="A206" s="870"/>
    </row>
    <row r="207" spans="1:13"/>
    <row r="208" spans="1:13"/>
    <row r="209" spans="3:3"/>
    <row r="210" spans="3:3"/>
    <row r="211" spans="3:3"/>
    <row r="212" spans="3:3"/>
    <row r="213" spans="3:3">
      <c r="C213" s="183" t="s">
        <v>1877</v>
      </c>
    </row>
  </sheetData>
  <sheetProtection password="C5F7" sheet="1" objects="1" scenarios="1" formatCells="0"/>
  <mergeCells count="421">
    <mergeCell ref="B191:M191"/>
    <mergeCell ref="A192:M192"/>
    <mergeCell ref="A193:M193"/>
    <mergeCell ref="L197:M197"/>
    <mergeCell ref="L198:M198"/>
    <mergeCell ref="B187:J187"/>
    <mergeCell ref="K187:K188"/>
    <mergeCell ref="L187:L188"/>
    <mergeCell ref="M187:M188"/>
    <mergeCell ref="B188:J188"/>
    <mergeCell ref="B189:J189"/>
    <mergeCell ref="K189:K190"/>
    <mergeCell ref="L189:L190"/>
    <mergeCell ref="M189:M190"/>
    <mergeCell ref="B190:J190"/>
    <mergeCell ref="B183:J183"/>
    <mergeCell ref="K183:K184"/>
    <mergeCell ref="L183:L184"/>
    <mergeCell ref="M183:M184"/>
    <mergeCell ref="B184:J184"/>
    <mergeCell ref="B185:J185"/>
    <mergeCell ref="K185:K186"/>
    <mergeCell ref="L185:L186"/>
    <mergeCell ref="M185:M186"/>
    <mergeCell ref="B186:J186"/>
    <mergeCell ref="B179:J179"/>
    <mergeCell ref="K179:K180"/>
    <mergeCell ref="L179:L180"/>
    <mergeCell ref="M179:M180"/>
    <mergeCell ref="B180:J180"/>
    <mergeCell ref="B181:J181"/>
    <mergeCell ref="K181:K182"/>
    <mergeCell ref="L181:L182"/>
    <mergeCell ref="M181:M182"/>
    <mergeCell ref="B182:J182"/>
    <mergeCell ref="B175:J175"/>
    <mergeCell ref="K175:K176"/>
    <mergeCell ref="L175:L176"/>
    <mergeCell ref="M175:M176"/>
    <mergeCell ref="B176:J176"/>
    <mergeCell ref="E177:J177"/>
    <mergeCell ref="K177:K178"/>
    <mergeCell ref="L177:L178"/>
    <mergeCell ref="M177:M178"/>
    <mergeCell ref="E178:J178"/>
    <mergeCell ref="E171:J171"/>
    <mergeCell ref="K171:K172"/>
    <mergeCell ref="L171:L172"/>
    <mergeCell ref="M171:M172"/>
    <mergeCell ref="E173:J173"/>
    <mergeCell ref="K173:K174"/>
    <mergeCell ref="L173:L174"/>
    <mergeCell ref="M173:M174"/>
    <mergeCell ref="B167:J167"/>
    <mergeCell ref="K167:K168"/>
    <mergeCell ref="L167:L168"/>
    <mergeCell ref="M167:M168"/>
    <mergeCell ref="B168:J168"/>
    <mergeCell ref="E169:J169"/>
    <mergeCell ref="K169:K170"/>
    <mergeCell ref="L169:L170"/>
    <mergeCell ref="M169:M170"/>
    <mergeCell ref="B163:J163"/>
    <mergeCell ref="K163:K164"/>
    <mergeCell ref="L163:L164"/>
    <mergeCell ref="M163:M164"/>
    <mergeCell ref="B164:J164"/>
    <mergeCell ref="B165:J165"/>
    <mergeCell ref="K165:K166"/>
    <mergeCell ref="L165:L166"/>
    <mergeCell ref="M165:M166"/>
    <mergeCell ref="B166:J166"/>
    <mergeCell ref="E159:J159"/>
    <mergeCell ref="K159:K160"/>
    <mergeCell ref="L159:L160"/>
    <mergeCell ref="M159:M160"/>
    <mergeCell ref="E160:J160"/>
    <mergeCell ref="B161:J161"/>
    <mergeCell ref="K161:K162"/>
    <mergeCell ref="L161:L162"/>
    <mergeCell ref="M161:M162"/>
    <mergeCell ref="B162:J162"/>
    <mergeCell ref="E155:J155"/>
    <mergeCell ref="K155:K156"/>
    <mergeCell ref="L155:L156"/>
    <mergeCell ref="M155:M156"/>
    <mergeCell ref="E156:J156"/>
    <mergeCell ref="E157:J157"/>
    <mergeCell ref="K157:K158"/>
    <mergeCell ref="L157:L158"/>
    <mergeCell ref="M157:M158"/>
    <mergeCell ref="E158:J158"/>
    <mergeCell ref="E151:J151"/>
    <mergeCell ref="K151:K152"/>
    <mergeCell ref="L151:L152"/>
    <mergeCell ref="M151:M152"/>
    <mergeCell ref="E152:J152"/>
    <mergeCell ref="E153:J153"/>
    <mergeCell ref="K153:K154"/>
    <mergeCell ref="L153:L154"/>
    <mergeCell ref="M153:M154"/>
    <mergeCell ref="E154:J154"/>
    <mergeCell ref="C146:J146"/>
    <mergeCell ref="K146:K147"/>
    <mergeCell ref="L146:L147"/>
    <mergeCell ref="M146:M147"/>
    <mergeCell ref="C147:J147"/>
    <mergeCell ref="C148:J148"/>
    <mergeCell ref="K148:K149"/>
    <mergeCell ref="L148:L149"/>
    <mergeCell ref="M148:M149"/>
    <mergeCell ref="C149:J149"/>
    <mergeCell ref="G142:J142"/>
    <mergeCell ref="K142:K143"/>
    <mergeCell ref="L142:L143"/>
    <mergeCell ref="M142:M143"/>
    <mergeCell ref="G143:J143"/>
    <mergeCell ref="G144:J144"/>
    <mergeCell ref="K144:K145"/>
    <mergeCell ref="L144:L145"/>
    <mergeCell ref="M144:M145"/>
    <mergeCell ref="G145:J145"/>
    <mergeCell ref="E138:J138"/>
    <mergeCell ref="K138:K139"/>
    <mergeCell ref="L138:L139"/>
    <mergeCell ref="M138:M139"/>
    <mergeCell ref="E139:J139"/>
    <mergeCell ref="E140:J140"/>
    <mergeCell ref="K140:K141"/>
    <mergeCell ref="L140:L141"/>
    <mergeCell ref="M140:M141"/>
    <mergeCell ref="E141:J141"/>
    <mergeCell ref="E134:J134"/>
    <mergeCell ref="K134:K135"/>
    <mergeCell ref="L134:L135"/>
    <mergeCell ref="M134:M135"/>
    <mergeCell ref="E135:J135"/>
    <mergeCell ref="E136:J136"/>
    <mergeCell ref="K136:K137"/>
    <mergeCell ref="L136:L137"/>
    <mergeCell ref="M136:M137"/>
    <mergeCell ref="E137:J137"/>
    <mergeCell ref="K132:K133"/>
    <mergeCell ref="L132:L133"/>
    <mergeCell ref="M132:M133"/>
    <mergeCell ref="E126:J126"/>
    <mergeCell ref="K126:K127"/>
    <mergeCell ref="L126:L127"/>
    <mergeCell ref="M126:M127"/>
    <mergeCell ref="E127:J127"/>
    <mergeCell ref="E128:J128"/>
    <mergeCell ref="K128:K129"/>
    <mergeCell ref="L128:L129"/>
    <mergeCell ref="M128:M129"/>
    <mergeCell ref="E129:J129"/>
    <mergeCell ref="E124:J124"/>
    <mergeCell ref="K124:K125"/>
    <mergeCell ref="L124:L125"/>
    <mergeCell ref="M124:M125"/>
    <mergeCell ref="E125:J125"/>
    <mergeCell ref="E130:J130"/>
    <mergeCell ref="K130:K131"/>
    <mergeCell ref="L130:L131"/>
    <mergeCell ref="M130:M131"/>
    <mergeCell ref="E131:J131"/>
    <mergeCell ref="E120:J120"/>
    <mergeCell ref="K120:K121"/>
    <mergeCell ref="L120:L121"/>
    <mergeCell ref="M120:M121"/>
    <mergeCell ref="E121:J121"/>
    <mergeCell ref="E122:J122"/>
    <mergeCell ref="K122:K123"/>
    <mergeCell ref="L122:L123"/>
    <mergeCell ref="M122:M123"/>
    <mergeCell ref="E123:J123"/>
    <mergeCell ref="C116:J116"/>
    <mergeCell ref="K116:K117"/>
    <mergeCell ref="L116:L117"/>
    <mergeCell ref="M116:M117"/>
    <mergeCell ref="C117:J117"/>
    <mergeCell ref="C118:J118"/>
    <mergeCell ref="K118:K119"/>
    <mergeCell ref="L118:L119"/>
    <mergeCell ref="M118:M119"/>
    <mergeCell ref="C119:J119"/>
    <mergeCell ref="E112:J112"/>
    <mergeCell ref="K112:K113"/>
    <mergeCell ref="L112:L113"/>
    <mergeCell ref="M112:M113"/>
    <mergeCell ref="E113:J113"/>
    <mergeCell ref="G114:J114"/>
    <mergeCell ref="K114:K115"/>
    <mergeCell ref="L114:L115"/>
    <mergeCell ref="M114:M115"/>
    <mergeCell ref="G115:J115"/>
    <mergeCell ref="G108:J108"/>
    <mergeCell ref="K108:K109"/>
    <mergeCell ref="L108:L109"/>
    <mergeCell ref="M108:M109"/>
    <mergeCell ref="G109:J109"/>
    <mergeCell ref="G110:J110"/>
    <mergeCell ref="K110:K111"/>
    <mergeCell ref="L110:L111"/>
    <mergeCell ref="M110:M111"/>
    <mergeCell ref="G111:J111"/>
    <mergeCell ref="G104:J104"/>
    <mergeCell ref="K104:K105"/>
    <mergeCell ref="L104:L105"/>
    <mergeCell ref="M104:M105"/>
    <mergeCell ref="G105:J105"/>
    <mergeCell ref="E106:J106"/>
    <mergeCell ref="K106:K107"/>
    <mergeCell ref="L106:L107"/>
    <mergeCell ref="M106:M107"/>
    <mergeCell ref="E107:J107"/>
    <mergeCell ref="G100:J100"/>
    <mergeCell ref="K100:K101"/>
    <mergeCell ref="L100:L101"/>
    <mergeCell ref="M100:M101"/>
    <mergeCell ref="G101:J101"/>
    <mergeCell ref="G102:J102"/>
    <mergeCell ref="K102:K103"/>
    <mergeCell ref="L102:L103"/>
    <mergeCell ref="M102:M103"/>
    <mergeCell ref="G103:J103"/>
    <mergeCell ref="G95:J95"/>
    <mergeCell ref="K95:K96"/>
    <mergeCell ref="L95:L96"/>
    <mergeCell ref="M95:M96"/>
    <mergeCell ref="G96:J96"/>
    <mergeCell ref="G97:J97"/>
    <mergeCell ref="K97:K98"/>
    <mergeCell ref="L97:L98"/>
    <mergeCell ref="M97:M98"/>
    <mergeCell ref="G98:J98"/>
    <mergeCell ref="E91:J91"/>
    <mergeCell ref="K91:K92"/>
    <mergeCell ref="L91:L92"/>
    <mergeCell ref="M91:M92"/>
    <mergeCell ref="E92:J92"/>
    <mergeCell ref="G93:J93"/>
    <mergeCell ref="K93:K94"/>
    <mergeCell ref="L93:L94"/>
    <mergeCell ref="M93:M94"/>
    <mergeCell ref="G94:J94"/>
    <mergeCell ref="G87:J87"/>
    <mergeCell ref="K87:K88"/>
    <mergeCell ref="L87:L88"/>
    <mergeCell ref="M87:M88"/>
    <mergeCell ref="G88:J88"/>
    <mergeCell ref="G89:J89"/>
    <mergeCell ref="K89:K90"/>
    <mergeCell ref="L89:L90"/>
    <mergeCell ref="M89:M90"/>
    <mergeCell ref="G90:J90"/>
    <mergeCell ref="C83:J83"/>
    <mergeCell ref="K83:K84"/>
    <mergeCell ref="L83:L84"/>
    <mergeCell ref="M83:M84"/>
    <mergeCell ref="C84:J84"/>
    <mergeCell ref="E85:J85"/>
    <mergeCell ref="K85:K86"/>
    <mergeCell ref="L85:L86"/>
    <mergeCell ref="M85:M86"/>
    <mergeCell ref="E86:J86"/>
    <mergeCell ref="E79:J79"/>
    <mergeCell ref="K79:K80"/>
    <mergeCell ref="L79:L80"/>
    <mergeCell ref="M79:M80"/>
    <mergeCell ref="E80:J80"/>
    <mergeCell ref="C81:J81"/>
    <mergeCell ref="K81:K82"/>
    <mergeCell ref="L81:L82"/>
    <mergeCell ref="M81:M82"/>
    <mergeCell ref="C82:J82"/>
    <mergeCell ref="G73:J73"/>
    <mergeCell ref="K73:K74"/>
    <mergeCell ref="L73:L74"/>
    <mergeCell ref="M73:M74"/>
    <mergeCell ref="G74:J74"/>
    <mergeCell ref="G77:I77"/>
    <mergeCell ref="K77:K78"/>
    <mergeCell ref="L77:L78"/>
    <mergeCell ref="M77:M78"/>
    <mergeCell ref="G78:I78"/>
    <mergeCell ref="K75:K76"/>
    <mergeCell ref="L75:L76"/>
    <mergeCell ref="M75:M76"/>
    <mergeCell ref="G69:J69"/>
    <mergeCell ref="K69:K70"/>
    <mergeCell ref="L69:L70"/>
    <mergeCell ref="M69:M70"/>
    <mergeCell ref="G70:J70"/>
    <mergeCell ref="G71:J71"/>
    <mergeCell ref="K71:K72"/>
    <mergeCell ref="L71:L72"/>
    <mergeCell ref="M71:M72"/>
    <mergeCell ref="G72:J72"/>
    <mergeCell ref="K65:K66"/>
    <mergeCell ref="L65:L66"/>
    <mergeCell ref="M65:M66"/>
    <mergeCell ref="E67:J67"/>
    <mergeCell ref="K67:K68"/>
    <mergeCell ref="L67:L68"/>
    <mergeCell ref="M67:M68"/>
    <mergeCell ref="E68:J68"/>
    <mergeCell ref="K61:K62"/>
    <mergeCell ref="L61:L62"/>
    <mergeCell ref="M61:M62"/>
    <mergeCell ref="K63:K64"/>
    <mergeCell ref="L63:L64"/>
    <mergeCell ref="M63:M64"/>
    <mergeCell ref="K57:K58"/>
    <mergeCell ref="L57:L58"/>
    <mergeCell ref="M57:M58"/>
    <mergeCell ref="K59:K60"/>
    <mergeCell ref="L59:L60"/>
    <mergeCell ref="M59:M60"/>
    <mergeCell ref="E53:J53"/>
    <mergeCell ref="K53:K54"/>
    <mergeCell ref="L53:L54"/>
    <mergeCell ref="M53:M54"/>
    <mergeCell ref="E54:J54"/>
    <mergeCell ref="K55:K56"/>
    <mergeCell ref="L55:L56"/>
    <mergeCell ref="M55:M56"/>
    <mergeCell ref="E48:J48"/>
    <mergeCell ref="K48:K49"/>
    <mergeCell ref="L48:L49"/>
    <mergeCell ref="M48:M49"/>
    <mergeCell ref="E49:J49"/>
    <mergeCell ref="K51:K52"/>
    <mergeCell ref="L51:L52"/>
    <mergeCell ref="M51:M52"/>
    <mergeCell ref="H44:J44"/>
    <mergeCell ref="K44:K45"/>
    <mergeCell ref="L44:L45"/>
    <mergeCell ref="M44:M45"/>
    <mergeCell ref="H45:J45"/>
    <mergeCell ref="H46:J46"/>
    <mergeCell ref="K46:K47"/>
    <mergeCell ref="L46:L47"/>
    <mergeCell ref="M46:M47"/>
    <mergeCell ref="H47:J47"/>
    <mergeCell ref="H40:J40"/>
    <mergeCell ref="K40:K41"/>
    <mergeCell ref="L40:L41"/>
    <mergeCell ref="M40:M41"/>
    <mergeCell ref="H41:J41"/>
    <mergeCell ref="H42:J42"/>
    <mergeCell ref="K42:K43"/>
    <mergeCell ref="L42:L43"/>
    <mergeCell ref="M42:M43"/>
    <mergeCell ref="H43:J43"/>
    <mergeCell ref="E36:J36"/>
    <mergeCell ref="K36:K37"/>
    <mergeCell ref="L36:L37"/>
    <mergeCell ref="M36:M37"/>
    <mergeCell ref="E37:J37"/>
    <mergeCell ref="H38:J38"/>
    <mergeCell ref="K38:K39"/>
    <mergeCell ref="L38:L39"/>
    <mergeCell ref="M38:M39"/>
    <mergeCell ref="H39:J39"/>
    <mergeCell ref="K32:K33"/>
    <mergeCell ref="L32:L33"/>
    <mergeCell ref="M32:M33"/>
    <mergeCell ref="K34:K35"/>
    <mergeCell ref="L34:L35"/>
    <mergeCell ref="M34:M35"/>
    <mergeCell ref="K28:K29"/>
    <mergeCell ref="L28:L29"/>
    <mergeCell ref="M28:M29"/>
    <mergeCell ref="K30:K31"/>
    <mergeCell ref="L30:L31"/>
    <mergeCell ref="M30:M31"/>
    <mergeCell ref="K26:K27"/>
    <mergeCell ref="L26:L27"/>
    <mergeCell ref="M26:M27"/>
    <mergeCell ref="G20:J20"/>
    <mergeCell ref="K20:K21"/>
    <mergeCell ref="L20:L21"/>
    <mergeCell ref="M20:M21"/>
    <mergeCell ref="G21:J21"/>
    <mergeCell ref="G22:J22"/>
    <mergeCell ref="K22:K23"/>
    <mergeCell ref="L22:L23"/>
    <mergeCell ref="M22:M23"/>
    <mergeCell ref="G23:J23"/>
    <mergeCell ref="A2:M2"/>
    <mergeCell ref="A3:M3"/>
    <mergeCell ref="A4:M4"/>
    <mergeCell ref="B8:I8"/>
    <mergeCell ref="L8:M8"/>
    <mergeCell ref="B10:I13"/>
    <mergeCell ref="K10:K11"/>
    <mergeCell ref="L10:L11"/>
    <mergeCell ref="M10:M11"/>
    <mergeCell ref="K12:K13"/>
    <mergeCell ref="L12:L13"/>
    <mergeCell ref="M12:M13"/>
    <mergeCell ref="C14:J14"/>
    <mergeCell ref="K14:K15"/>
    <mergeCell ref="L14:L15"/>
    <mergeCell ref="M14:M15"/>
    <mergeCell ref="C15:J15"/>
    <mergeCell ref="E16:J16"/>
    <mergeCell ref="K16:K17"/>
    <mergeCell ref="L16:L17"/>
    <mergeCell ref="M16:M17"/>
    <mergeCell ref="E17:J17"/>
    <mergeCell ref="G18:J18"/>
    <mergeCell ref="K18:K19"/>
    <mergeCell ref="L18:L19"/>
    <mergeCell ref="M18:M19"/>
    <mergeCell ref="G19:J19"/>
    <mergeCell ref="E24:J24"/>
    <mergeCell ref="K24:K25"/>
    <mergeCell ref="L24:L25"/>
    <mergeCell ref="M24:M25"/>
    <mergeCell ref="E25:J25"/>
  </mergeCells>
  <dataValidations count="2">
    <dataValidation type="decimal" operator="greaterThanOrEqual" allowBlank="1" showInputMessage="1" showErrorMessage="1" errorTitle="Validation Rule" error="Allow only number" sqref="K85:L86 K93:L94 K106:L107">
      <formula1>0</formula1>
    </dataValidation>
    <dataValidation type="decimal" allowBlank="1" showInputMessage="1" showErrorMessage="1" errorTitle="Validation Rule" error="Allow only number" sqref="K18:L23 K26:L35 K38:L49 K55:L66 K69:L80 K87:L90 K95:L105 K108:L115 K120:L125 K128:L139 K142:L145 K151:L164 K169:L174 K177:L178 K181:L188">
      <formula1>-1E+21</formula1>
      <formula2>1E+21</formula2>
    </dataValidation>
  </dataValidations>
  <pageMargins left="0.7" right="0.7" top="0.75" bottom="0.75" header="0.3" footer="0.3"/>
  <pageSetup paperSize="9" scale="7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sheetPr>
  <dimension ref="A1:AN94"/>
  <sheetViews>
    <sheetView showGridLines="0" topLeftCell="A10" workbookViewId="0">
      <selection activeCell="B12" sqref="B12:C19"/>
    </sheetView>
  </sheetViews>
  <sheetFormatPr defaultColWidth="9.140625" defaultRowHeight="12.75" zeroHeight="1"/>
  <cols>
    <col min="1" max="1" width="70.42578125" style="183" customWidth="1"/>
    <col min="2" max="2" width="18.5703125" style="183" customWidth="1"/>
    <col min="3" max="3" width="25.28515625" style="872" customWidth="1"/>
    <col min="4" max="4" width="22.140625" style="872" customWidth="1"/>
    <col min="5" max="5" width="9.140625" style="183" customWidth="1"/>
    <col min="6" max="16384" width="9.140625" style="183"/>
  </cols>
  <sheetData>
    <row r="1" spans="1:40" s="191" customFormat="1" ht="18" customHeight="1">
      <c r="C1" s="2469" t="s">
        <v>1712</v>
      </c>
      <c r="D1" s="2469"/>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3"/>
    </row>
    <row r="2" spans="1:40" s="191" customFormat="1" ht="36.75">
      <c r="A2" s="2470" t="s">
        <v>1713</v>
      </c>
      <c r="B2" s="2470"/>
      <c r="C2" s="2470"/>
      <c r="D2" s="2470"/>
      <c r="E2" s="183"/>
      <c r="F2" s="183"/>
      <c r="G2" s="183"/>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row>
    <row r="3" spans="1:40" s="191" customFormat="1" ht="20.25">
      <c r="A3" s="2471" t="s">
        <v>1714</v>
      </c>
      <c r="B3" s="2471"/>
      <c r="C3" s="2471"/>
      <c r="D3" s="2471"/>
      <c r="E3" s="183"/>
      <c r="F3" s="183"/>
      <c r="G3" s="183"/>
      <c r="H3" s="183"/>
      <c r="I3" s="183"/>
      <c r="J3" s="183"/>
      <c r="K3" s="183"/>
      <c r="L3" s="183"/>
      <c r="M3" s="183"/>
      <c r="N3" s="183"/>
      <c r="O3" s="183"/>
      <c r="P3" s="183"/>
      <c r="Q3" s="183"/>
      <c r="R3" s="183"/>
      <c r="S3" s="183"/>
      <c r="T3" s="183"/>
      <c r="U3" s="183"/>
      <c r="V3" s="183"/>
      <c r="W3" s="183"/>
      <c r="X3" s="183"/>
      <c r="Y3" s="183"/>
      <c r="Z3" s="183"/>
      <c r="AA3" s="183"/>
      <c r="AB3" s="183"/>
      <c r="AC3" s="183"/>
      <c r="AD3" s="183"/>
      <c r="AE3" s="183"/>
      <c r="AF3" s="183"/>
      <c r="AG3" s="183"/>
      <c r="AH3" s="183"/>
      <c r="AI3" s="183"/>
      <c r="AJ3" s="183"/>
      <c r="AK3" s="183"/>
      <c r="AL3" s="183"/>
      <c r="AM3" s="183"/>
      <c r="AN3" s="183"/>
    </row>
    <row r="4" spans="1:40" ht="24" customHeight="1">
      <c r="A4" s="2472" t="s">
        <v>1715</v>
      </c>
      <c r="B4" s="2472"/>
      <c r="C4" s="2472"/>
      <c r="D4" s="2472"/>
    </row>
    <row r="5" spans="1:40" ht="25.5" customHeight="1">
      <c r="A5" s="781" t="s">
        <v>1430</v>
      </c>
      <c r="B5" s="871"/>
    </row>
    <row r="6" spans="1:40" ht="18" customHeight="1">
      <c r="A6" s="782" t="s">
        <v>1432</v>
      </c>
      <c r="B6" s="873"/>
      <c r="C6" s="874"/>
      <c r="D6" s="874"/>
    </row>
    <row r="7" spans="1:40" ht="29.25" customHeight="1">
      <c r="A7" s="783" t="s">
        <v>1716</v>
      </c>
      <c r="C7" s="2473" t="s">
        <v>1717</v>
      </c>
      <c r="D7" s="2474"/>
    </row>
    <row r="8" spans="1:40" customFormat="1" ht="25.5">
      <c r="A8" s="777"/>
      <c r="B8" s="778" t="s">
        <v>1856</v>
      </c>
      <c r="C8" s="779" t="s">
        <v>1857</v>
      </c>
      <c r="D8" s="780" t="s">
        <v>1858</v>
      </c>
      <c r="E8" s="183"/>
      <c r="F8" s="183"/>
      <c r="G8" s="183"/>
      <c r="H8" s="183"/>
      <c r="I8" s="183"/>
      <c r="J8" s="183"/>
      <c r="K8" s="183"/>
      <c r="L8" s="183"/>
      <c r="M8" s="183"/>
      <c r="N8" s="183"/>
      <c r="O8" s="183"/>
      <c r="P8" s="183"/>
      <c r="Q8" s="183"/>
      <c r="R8" s="183"/>
      <c r="S8" s="183"/>
      <c r="T8" s="183"/>
      <c r="U8" s="183"/>
      <c r="V8" s="183"/>
      <c r="W8" s="183"/>
      <c r="X8" s="183"/>
      <c r="Y8" s="183"/>
      <c r="Z8" s="183"/>
      <c r="AA8" s="183"/>
      <c r="AB8" s="183"/>
      <c r="AC8" s="183"/>
      <c r="AD8" s="183"/>
      <c r="AE8" s="183"/>
      <c r="AF8" s="183"/>
      <c r="AG8" s="183"/>
      <c r="AH8" s="183"/>
      <c r="AI8" s="183"/>
      <c r="AJ8" s="183"/>
      <c r="AK8" s="183"/>
      <c r="AL8" s="183"/>
      <c r="AM8" s="183"/>
      <c r="AN8" s="183"/>
    </row>
    <row r="9" spans="1:40" customFormat="1" ht="31.5">
      <c r="A9" s="1370"/>
      <c r="B9" s="1371" t="s">
        <v>484</v>
      </c>
      <c r="C9" s="1372" t="s">
        <v>1860</v>
      </c>
      <c r="D9" s="1373" t="s">
        <v>1859</v>
      </c>
      <c r="E9" s="183"/>
      <c r="F9" s="183"/>
      <c r="G9" s="183"/>
      <c r="H9" s="183"/>
      <c r="I9" s="183"/>
      <c r="J9" s="183"/>
      <c r="K9" s="183"/>
      <c r="L9" s="183"/>
      <c r="M9" s="183"/>
      <c r="N9" s="183"/>
      <c r="O9" s="183"/>
      <c r="P9" s="183"/>
      <c r="Q9" s="183"/>
      <c r="R9" s="183"/>
      <c r="S9" s="183"/>
      <c r="T9" s="183"/>
      <c r="U9" s="183"/>
      <c r="V9" s="183"/>
      <c r="W9" s="183"/>
      <c r="X9" s="183"/>
      <c r="Y9" s="183"/>
      <c r="Z9" s="183"/>
      <c r="AA9" s="183"/>
      <c r="AB9" s="183"/>
      <c r="AC9" s="183"/>
      <c r="AD9" s="183"/>
      <c r="AE9" s="183"/>
      <c r="AF9" s="183"/>
      <c r="AG9" s="183"/>
      <c r="AH9" s="183"/>
      <c r="AI9" s="183"/>
      <c r="AJ9" s="183"/>
      <c r="AK9" s="183"/>
      <c r="AL9" s="183"/>
      <c r="AM9" s="183"/>
      <c r="AN9" s="183"/>
    </row>
    <row r="10" spans="1:40" s="723" customFormat="1" ht="30" customHeight="1">
      <c r="A10" s="722" t="s">
        <v>1718</v>
      </c>
      <c r="B10" s="2475">
        <f>+B12+B14+B16</f>
        <v>0</v>
      </c>
      <c r="C10" s="2477">
        <f>SUM(C12:C17)</f>
        <v>0</v>
      </c>
      <c r="D10" s="2477">
        <f>+B10+C10</f>
        <v>0</v>
      </c>
      <c r="E10" s="1367"/>
      <c r="F10" s="1367"/>
      <c r="G10" s="1367"/>
      <c r="H10" s="1367"/>
      <c r="I10" s="1367"/>
      <c r="J10" s="1367"/>
      <c r="K10" s="1367"/>
      <c r="L10" s="1367"/>
      <c r="M10" s="1367"/>
      <c r="N10" s="1367"/>
      <c r="O10" s="1367"/>
      <c r="P10" s="1367"/>
      <c r="Q10" s="1367"/>
      <c r="R10" s="1367"/>
      <c r="S10" s="1367"/>
      <c r="T10" s="1367"/>
      <c r="U10" s="1367"/>
      <c r="V10" s="1367"/>
      <c r="W10" s="1367"/>
      <c r="X10" s="1367"/>
      <c r="Y10" s="1367"/>
      <c r="Z10" s="1367"/>
      <c r="AA10" s="1367"/>
      <c r="AB10" s="1367"/>
      <c r="AC10" s="1367"/>
      <c r="AD10" s="1367"/>
      <c r="AE10" s="1367"/>
      <c r="AF10" s="1367"/>
      <c r="AG10" s="1367"/>
      <c r="AH10" s="1367"/>
      <c r="AI10" s="1367"/>
      <c r="AJ10" s="1367"/>
      <c r="AK10" s="1367"/>
      <c r="AL10" s="1367"/>
      <c r="AM10" s="1367"/>
      <c r="AN10" s="1367"/>
    </row>
    <row r="11" spans="1:40" customFormat="1" ht="15" customHeight="1">
      <c r="A11" s="724" t="s">
        <v>1719</v>
      </c>
      <c r="B11" s="2476"/>
      <c r="C11" s="2478"/>
      <c r="D11" s="2478"/>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row>
    <row r="12" spans="1:40" s="723" customFormat="1" ht="30" customHeight="1">
      <c r="A12" s="784" t="s">
        <v>1720</v>
      </c>
      <c r="B12" s="2465"/>
      <c r="C12" s="2467"/>
      <c r="D12" s="816">
        <f>SUM(B12:C13)</f>
        <v>0</v>
      </c>
      <c r="E12" s="1367"/>
      <c r="F12" s="1367"/>
      <c r="G12" s="1367"/>
      <c r="H12" s="1367"/>
      <c r="I12" s="1367"/>
      <c r="J12" s="1367"/>
      <c r="K12" s="1367"/>
      <c r="L12" s="1367"/>
      <c r="M12" s="1367"/>
      <c r="N12" s="1367"/>
      <c r="O12" s="1367"/>
      <c r="P12" s="1367"/>
      <c r="Q12" s="1367"/>
      <c r="R12" s="1367"/>
      <c r="S12" s="1367"/>
      <c r="T12" s="1367"/>
      <c r="U12" s="1367"/>
      <c r="V12" s="1367"/>
      <c r="W12" s="1367"/>
      <c r="X12" s="1367"/>
      <c r="Y12" s="1367"/>
      <c r="Z12" s="1367"/>
      <c r="AA12" s="1367"/>
      <c r="AB12" s="1367"/>
      <c r="AC12" s="1367"/>
      <c r="AD12" s="1367"/>
      <c r="AE12" s="1367"/>
      <c r="AF12" s="1367"/>
      <c r="AG12" s="1367"/>
      <c r="AH12" s="1367"/>
      <c r="AI12" s="1367"/>
      <c r="AJ12" s="1367"/>
      <c r="AK12" s="1367"/>
      <c r="AL12" s="1367"/>
      <c r="AM12" s="1367"/>
      <c r="AN12" s="1367"/>
    </row>
    <row r="13" spans="1:40" customFormat="1" ht="15" customHeight="1">
      <c r="A13" s="785" t="s">
        <v>1721</v>
      </c>
      <c r="B13" s="2466"/>
      <c r="C13" s="2468"/>
      <c r="D13" s="817"/>
      <c r="E13" s="183"/>
      <c r="F13" s="183"/>
      <c r="G13" s="183"/>
      <c r="H13" s="183"/>
      <c r="I13" s="183"/>
      <c r="J13" s="183"/>
      <c r="K13" s="183"/>
      <c r="L13" s="183"/>
      <c r="M13" s="183"/>
      <c r="N13" s="183"/>
      <c r="O13" s="183"/>
      <c r="P13" s="183"/>
      <c r="Q13" s="183"/>
      <c r="R13" s="183"/>
      <c r="S13" s="183"/>
      <c r="T13" s="183"/>
      <c r="U13" s="183"/>
      <c r="V13" s="183"/>
      <c r="W13" s="183"/>
      <c r="X13" s="183"/>
      <c r="Y13" s="183"/>
      <c r="Z13" s="183"/>
      <c r="AA13" s="183"/>
      <c r="AB13" s="183"/>
      <c r="AC13" s="183"/>
      <c r="AD13" s="183"/>
      <c r="AE13" s="183"/>
      <c r="AF13" s="183"/>
      <c r="AG13" s="183"/>
      <c r="AH13" s="183"/>
      <c r="AI13" s="183"/>
      <c r="AJ13" s="183"/>
      <c r="AK13" s="183"/>
      <c r="AL13" s="183"/>
      <c r="AM13" s="183"/>
      <c r="AN13" s="183"/>
    </row>
    <row r="14" spans="1:40" s="723" customFormat="1" ht="30" customHeight="1">
      <c r="A14" s="786" t="s">
        <v>1722</v>
      </c>
      <c r="B14" s="2465"/>
      <c r="C14" s="2467"/>
      <c r="D14" s="816">
        <f t="shared" ref="D14" si="0">SUM(B14:C15)</f>
        <v>0</v>
      </c>
      <c r="E14" s="1367"/>
      <c r="F14" s="1367"/>
      <c r="G14" s="1367"/>
      <c r="H14" s="1367"/>
      <c r="I14" s="1367"/>
      <c r="J14" s="1367"/>
      <c r="K14" s="1367"/>
      <c r="L14" s="1367"/>
      <c r="M14" s="1367"/>
      <c r="N14" s="1367"/>
      <c r="O14" s="1367"/>
      <c r="P14" s="1367"/>
      <c r="Q14" s="1367"/>
      <c r="R14" s="1367"/>
      <c r="S14" s="1367"/>
      <c r="T14" s="1367"/>
      <c r="U14" s="1367"/>
      <c r="V14" s="1367"/>
      <c r="W14" s="1367"/>
      <c r="X14" s="1367"/>
      <c r="Y14" s="1367"/>
      <c r="Z14" s="1367"/>
      <c r="AA14" s="1367"/>
      <c r="AB14" s="1367"/>
      <c r="AC14" s="1367"/>
      <c r="AD14" s="1367"/>
      <c r="AE14" s="1367"/>
      <c r="AF14" s="1367"/>
      <c r="AG14" s="1367"/>
      <c r="AH14" s="1367"/>
      <c r="AI14" s="1367"/>
      <c r="AJ14" s="1367"/>
      <c r="AK14" s="1367"/>
      <c r="AL14" s="1367"/>
      <c r="AM14" s="1367"/>
      <c r="AN14" s="1367"/>
    </row>
    <row r="15" spans="1:40" customFormat="1" ht="15" customHeight="1">
      <c r="A15" s="785" t="s">
        <v>1723</v>
      </c>
      <c r="B15" s="2466"/>
      <c r="C15" s="2468"/>
      <c r="D15" s="817"/>
      <c r="E15" s="183"/>
      <c r="F15" s="183"/>
      <c r="G15" s="183"/>
      <c r="H15" s="183"/>
      <c r="I15" s="183"/>
      <c r="J15" s="183"/>
      <c r="K15" s="183"/>
      <c r="L15" s="183"/>
      <c r="M15" s="183"/>
      <c r="N15" s="183"/>
      <c r="O15" s="183"/>
      <c r="P15" s="183"/>
      <c r="Q15" s="183"/>
      <c r="R15" s="183"/>
      <c r="S15" s="183"/>
      <c r="T15" s="183"/>
      <c r="U15" s="183"/>
      <c r="V15" s="183"/>
      <c r="W15" s="183"/>
      <c r="X15" s="183"/>
      <c r="Y15" s="183"/>
      <c r="Z15" s="183"/>
      <c r="AA15" s="183"/>
      <c r="AB15" s="183"/>
      <c r="AC15" s="183"/>
      <c r="AD15" s="183"/>
      <c r="AE15" s="183"/>
      <c r="AF15" s="183"/>
      <c r="AG15" s="183"/>
      <c r="AH15" s="183"/>
      <c r="AI15" s="183"/>
      <c r="AJ15" s="183"/>
      <c r="AK15" s="183"/>
      <c r="AL15" s="183"/>
      <c r="AM15" s="183"/>
      <c r="AN15" s="183"/>
    </row>
    <row r="16" spans="1:40" s="723" customFormat="1" ht="30" customHeight="1">
      <c r="A16" s="787" t="s">
        <v>1724</v>
      </c>
      <c r="B16" s="2465"/>
      <c r="C16" s="2467"/>
      <c r="D16" s="816">
        <f t="shared" ref="D16" si="1">SUM(B16:C17)</f>
        <v>0</v>
      </c>
      <c r="E16" s="1367"/>
      <c r="F16" s="1367"/>
      <c r="G16" s="1367"/>
      <c r="H16" s="1367"/>
      <c r="I16" s="1367"/>
      <c r="J16" s="1367"/>
      <c r="K16" s="1367"/>
      <c r="L16" s="1367"/>
      <c r="M16" s="1367"/>
      <c r="N16" s="1367"/>
      <c r="O16" s="1367"/>
      <c r="P16" s="1367"/>
      <c r="Q16" s="1367"/>
      <c r="R16" s="1367"/>
      <c r="S16" s="1367"/>
      <c r="T16" s="1367"/>
      <c r="U16" s="1367"/>
      <c r="V16" s="1367"/>
      <c r="W16" s="1367"/>
      <c r="X16" s="1367"/>
      <c r="Y16" s="1367"/>
      <c r="Z16" s="1367"/>
      <c r="AA16" s="1367"/>
      <c r="AB16" s="1367"/>
      <c r="AC16" s="1367"/>
      <c r="AD16" s="1367"/>
      <c r="AE16" s="1367"/>
      <c r="AF16" s="1367"/>
      <c r="AG16" s="1367"/>
      <c r="AH16" s="1367"/>
      <c r="AI16" s="1367"/>
      <c r="AJ16" s="1367"/>
      <c r="AK16" s="1367"/>
      <c r="AL16" s="1367"/>
      <c r="AM16" s="1367"/>
      <c r="AN16" s="1367"/>
    </row>
    <row r="17" spans="1:40" customFormat="1" ht="15" customHeight="1">
      <c r="A17" s="785" t="s">
        <v>1725</v>
      </c>
      <c r="B17" s="2466"/>
      <c r="C17" s="2468"/>
      <c r="D17" s="817"/>
      <c r="E17" s="183"/>
      <c r="F17" s="872"/>
      <c r="G17" s="183"/>
      <c r="H17" s="183"/>
      <c r="I17" s="183"/>
      <c r="J17" s="183"/>
      <c r="K17" s="183"/>
      <c r="L17" s="183"/>
      <c r="M17" s="183"/>
      <c r="N17" s="183"/>
      <c r="O17" s="183"/>
      <c r="P17" s="183"/>
      <c r="Q17" s="183"/>
      <c r="R17" s="183"/>
      <c r="S17" s="183"/>
      <c r="T17" s="183"/>
      <c r="U17" s="183"/>
      <c r="V17" s="183"/>
      <c r="W17" s="183"/>
      <c r="X17" s="183"/>
      <c r="Y17" s="183"/>
      <c r="Z17" s="183"/>
      <c r="AA17" s="183"/>
      <c r="AB17" s="183"/>
      <c r="AC17" s="183"/>
      <c r="AD17" s="183"/>
      <c r="AE17" s="183"/>
      <c r="AF17" s="183"/>
      <c r="AG17" s="183"/>
      <c r="AH17" s="183"/>
      <c r="AI17" s="183"/>
      <c r="AJ17" s="183"/>
      <c r="AK17" s="183"/>
      <c r="AL17" s="183"/>
      <c r="AM17" s="183"/>
      <c r="AN17" s="183"/>
    </row>
    <row r="18" spans="1:40" s="723" customFormat="1" ht="30" customHeight="1">
      <c r="A18" s="788" t="s">
        <v>1726</v>
      </c>
      <c r="B18" s="2465"/>
      <c r="C18" s="2467"/>
      <c r="D18" s="2479">
        <f>SUM(B18:C19)</f>
        <v>0</v>
      </c>
      <c r="E18" s="1367"/>
      <c r="F18" s="1367"/>
      <c r="G18" s="1367"/>
      <c r="H18" s="1367"/>
      <c r="I18" s="1367"/>
      <c r="J18" s="1367"/>
      <c r="K18" s="1367"/>
      <c r="L18" s="1367"/>
      <c r="M18" s="1367"/>
      <c r="N18" s="1367"/>
      <c r="O18" s="1367"/>
      <c r="P18" s="1367"/>
      <c r="Q18" s="1367"/>
      <c r="R18" s="1367"/>
      <c r="S18" s="1367"/>
      <c r="T18" s="1367"/>
      <c r="U18" s="1367"/>
      <c r="V18" s="1367"/>
      <c r="W18" s="1367"/>
      <c r="X18" s="1367"/>
      <c r="Y18" s="1367"/>
      <c r="Z18" s="1367"/>
      <c r="AA18" s="1367"/>
      <c r="AB18" s="1367"/>
      <c r="AC18" s="1367"/>
      <c r="AD18" s="1367"/>
      <c r="AE18" s="1367"/>
      <c r="AF18" s="1367"/>
      <c r="AG18" s="1367"/>
      <c r="AH18" s="1367"/>
      <c r="AI18" s="1367"/>
      <c r="AJ18" s="1367"/>
      <c r="AK18" s="1367"/>
      <c r="AL18" s="1367"/>
      <c r="AM18" s="1367"/>
      <c r="AN18" s="1367"/>
    </row>
    <row r="19" spans="1:40" customFormat="1" ht="15" customHeight="1">
      <c r="A19" s="785" t="s">
        <v>1727</v>
      </c>
      <c r="B19" s="2466"/>
      <c r="C19" s="2468"/>
      <c r="D19" s="2480"/>
      <c r="E19" s="183"/>
      <c r="F19" s="183"/>
      <c r="G19" s="183"/>
      <c r="H19" s="183"/>
      <c r="I19" s="183"/>
      <c r="J19" s="183"/>
      <c r="K19" s="183"/>
      <c r="L19" s="183"/>
      <c r="M19" s="183"/>
      <c r="N19" s="183"/>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row>
    <row r="20" spans="1:40" s="723" customFormat="1" ht="30" customHeight="1">
      <c r="A20" s="722" t="s">
        <v>1728</v>
      </c>
      <c r="B20" s="2475">
        <f>+B22+B24+B26</f>
        <v>0</v>
      </c>
      <c r="C20" s="2477">
        <f>SUM(C22:C27)</f>
        <v>0</v>
      </c>
      <c r="D20" s="2477">
        <f>+B20+C20</f>
        <v>0</v>
      </c>
      <c r="E20" s="1367"/>
      <c r="F20" s="1367"/>
      <c r="G20" s="1367"/>
      <c r="H20" s="1367"/>
      <c r="I20" s="1367"/>
      <c r="J20" s="1367"/>
      <c r="K20" s="1367"/>
      <c r="L20" s="1367"/>
      <c r="M20" s="1367"/>
      <c r="N20" s="1367"/>
      <c r="O20" s="1367"/>
      <c r="P20" s="1367"/>
      <c r="Q20" s="1367"/>
      <c r="R20" s="1367"/>
      <c r="S20" s="1367"/>
      <c r="T20" s="1367"/>
      <c r="U20" s="1367"/>
      <c r="V20" s="1367"/>
      <c r="W20" s="1367"/>
      <c r="X20" s="1367"/>
      <c r="Y20" s="1367"/>
      <c r="Z20" s="1367"/>
      <c r="AA20" s="1367"/>
      <c r="AB20" s="1367"/>
      <c r="AC20" s="1367"/>
      <c r="AD20" s="1367"/>
      <c r="AE20" s="1367"/>
      <c r="AF20" s="1367"/>
      <c r="AG20" s="1367"/>
      <c r="AH20" s="1367"/>
      <c r="AI20" s="1367"/>
      <c r="AJ20" s="1367"/>
      <c r="AK20" s="1367"/>
      <c r="AL20" s="1367"/>
      <c r="AM20" s="1367"/>
      <c r="AN20" s="1367"/>
    </row>
    <row r="21" spans="1:40" customFormat="1" ht="15" customHeight="1">
      <c r="A21" s="724" t="s">
        <v>1729</v>
      </c>
      <c r="B21" s="2476"/>
      <c r="C21" s="2478"/>
      <c r="D21" s="2478"/>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row>
    <row r="22" spans="1:40" s="723" customFormat="1" ht="30" customHeight="1">
      <c r="A22" s="784" t="s">
        <v>1730</v>
      </c>
      <c r="B22" s="2465"/>
      <c r="C22" s="2467"/>
      <c r="D22" s="2479">
        <f>SUM(B22:C23)</f>
        <v>0</v>
      </c>
      <c r="E22" s="1367"/>
      <c r="F22" s="1367"/>
      <c r="G22" s="1367"/>
      <c r="H22" s="1367"/>
      <c r="I22" s="1367"/>
      <c r="J22" s="1367"/>
      <c r="K22" s="1367"/>
      <c r="L22" s="1367"/>
      <c r="M22" s="1367"/>
      <c r="N22" s="1367"/>
      <c r="O22" s="1367"/>
      <c r="P22" s="1367"/>
      <c r="Q22" s="1367"/>
      <c r="R22" s="1367"/>
      <c r="S22" s="1367"/>
      <c r="T22" s="1367"/>
      <c r="U22" s="1367"/>
      <c r="V22" s="1367"/>
      <c r="W22" s="1367"/>
      <c r="X22" s="1367"/>
      <c r="Y22" s="1367"/>
      <c r="Z22" s="1367"/>
      <c r="AA22" s="1367"/>
      <c r="AB22" s="1367"/>
      <c r="AC22" s="1367"/>
      <c r="AD22" s="1367"/>
      <c r="AE22" s="1367"/>
      <c r="AF22" s="1367"/>
      <c r="AG22" s="1367"/>
      <c r="AH22" s="1367"/>
      <c r="AI22" s="1367"/>
      <c r="AJ22" s="1367"/>
      <c r="AK22" s="1367"/>
      <c r="AL22" s="1367"/>
      <c r="AM22" s="1367"/>
      <c r="AN22" s="1367"/>
    </row>
    <row r="23" spans="1:40" customFormat="1" ht="15" customHeight="1">
      <c r="A23" s="785" t="s">
        <v>1731</v>
      </c>
      <c r="B23" s="2466"/>
      <c r="C23" s="2468"/>
      <c r="D23" s="2480"/>
      <c r="E23" s="183"/>
      <c r="F23" s="183"/>
      <c r="G23" s="183"/>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row>
    <row r="24" spans="1:40" s="723" customFormat="1" ht="30" customHeight="1">
      <c r="A24" s="784" t="s">
        <v>1732</v>
      </c>
      <c r="B24" s="2465"/>
      <c r="C24" s="2467"/>
      <c r="D24" s="2479">
        <f>SUM(B24:C25)</f>
        <v>0</v>
      </c>
      <c r="E24" s="1367"/>
      <c r="F24" s="1367"/>
      <c r="G24" s="1367"/>
      <c r="H24" s="1367"/>
      <c r="I24" s="1367"/>
      <c r="J24" s="1367"/>
      <c r="K24" s="1367"/>
      <c r="L24" s="1367"/>
      <c r="M24" s="1367"/>
      <c r="N24" s="1367"/>
      <c r="O24" s="1367"/>
      <c r="P24" s="1367"/>
      <c r="Q24" s="1367"/>
      <c r="R24" s="1367"/>
      <c r="S24" s="1367"/>
      <c r="T24" s="1367"/>
      <c r="U24" s="1367"/>
      <c r="V24" s="1367"/>
      <c r="W24" s="1367"/>
      <c r="X24" s="1367"/>
      <c r="Y24" s="1367"/>
      <c r="Z24" s="1367"/>
      <c r="AA24" s="1367"/>
      <c r="AB24" s="1367"/>
      <c r="AC24" s="1367"/>
      <c r="AD24" s="1367"/>
      <c r="AE24" s="1367"/>
      <c r="AF24" s="1367"/>
      <c r="AG24" s="1367"/>
      <c r="AH24" s="1367"/>
      <c r="AI24" s="1367"/>
      <c r="AJ24" s="1367"/>
      <c r="AK24" s="1367"/>
      <c r="AL24" s="1367"/>
      <c r="AM24" s="1367"/>
      <c r="AN24" s="1367"/>
    </row>
    <row r="25" spans="1:40" customFormat="1" ht="15" customHeight="1">
      <c r="A25" s="785" t="s">
        <v>1733</v>
      </c>
      <c r="B25" s="2466"/>
      <c r="C25" s="2468"/>
      <c r="D25" s="2480"/>
      <c r="E25" s="183"/>
      <c r="F25" s="183"/>
      <c r="G25" s="183"/>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row>
    <row r="26" spans="1:40" s="723" customFormat="1" ht="28.5" customHeight="1">
      <c r="A26" s="784" t="s">
        <v>1734</v>
      </c>
      <c r="B26" s="2485">
        <f>SUM(B28:B43)</f>
        <v>0</v>
      </c>
      <c r="C26" s="2487">
        <f>SUM(C28:C43)</f>
        <v>0</v>
      </c>
      <c r="D26" s="2479">
        <f>SUM(B26:C27)</f>
        <v>0</v>
      </c>
      <c r="E26" s="1367"/>
      <c r="F26" s="1367"/>
      <c r="G26" s="1367"/>
      <c r="H26" s="1367"/>
      <c r="I26" s="1367"/>
      <c r="J26" s="1367"/>
      <c r="K26" s="1367"/>
      <c r="L26" s="1367"/>
      <c r="M26" s="1367"/>
      <c r="N26" s="1367"/>
      <c r="O26" s="1367"/>
      <c r="P26" s="1367"/>
      <c r="Q26" s="1367"/>
      <c r="R26" s="1367"/>
      <c r="S26" s="1367"/>
      <c r="T26" s="1367"/>
      <c r="U26" s="1367"/>
      <c r="V26" s="1367"/>
      <c r="W26" s="1367"/>
      <c r="X26" s="1367"/>
      <c r="Y26" s="1367"/>
      <c r="Z26" s="1367"/>
      <c r="AA26" s="1367"/>
      <c r="AB26" s="1367"/>
      <c r="AC26" s="1367"/>
      <c r="AD26" s="1367"/>
      <c r="AE26" s="1367"/>
      <c r="AF26" s="1367"/>
      <c r="AG26" s="1367"/>
      <c r="AH26" s="1367"/>
      <c r="AI26" s="1367"/>
      <c r="AJ26" s="1367"/>
      <c r="AK26" s="1367"/>
      <c r="AL26" s="1367"/>
      <c r="AM26" s="1367"/>
      <c r="AN26" s="1367"/>
    </row>
    <row r="27" spans="1:40" customFormat="1" ht="15" customHeight="1">
      <c r="A27" s="785" t="s">
        <v>1735</v>
      </c>
      <c r="B27" s="2486"/>
      <c r="C27" s="2486"/>
      <c r="D27" s="2480"/>
      <c r="E27" s="183"/>
      <c r="F27" s="183"/>
      <c r="G27" s="183"/>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3"/>
    </row>
    <row r="28" spans="1:40" s="723" customFormat="1" ht="24.75" customHeight="1">
      <c r="A28" s="784" t="s">
        <v>1736</v>
      </c>
      <c r="B28" s="2481"/>
      <c r="C28" s="2481"/>
      <c r="D28" s="2483">
        <f>SUM(B28:C29)</f>
        <v>0</v>
      </c>
      <c r="E28" s="1367"/>
      <c r="F28" s="1367"/>
      <c r="G28" s="1367"/>
      <c r="H28" s="1367"/>
      <c r="I28" s="1367"/>
      <c r="J28" s="1367"/>
      <c r="K28" s="1367"/>
      <c r="L28" s="1367"/>
      <c r="M28" s="1367"/>
      <c r="N28" s="1367"/>
      <c r="O28" s="1367"/>
      <c r="P28" s="1367"/>
      <c r="Q28" s="1367"/>
      <c r="R28" s="1367"/>
      <c r="S28" s="1367"/>
      <c r="T28" s="1367"/>
      <c r="U28" s="1367"/>
      <c r="V28" s="1367"/>
      <c r="W28" s="1367"/>
      <c r="X28" s="1367"/>
      <c r="Y28" s="1367"/>
      <c r="Z28" s="1367"/>
      <c r="AA28" s="1367"/>
      <c r="AB28" s="1367"/>
      <c r="AC28" s="1367"/>
      <c r="AD28" s="1367"/>
      <c r="AE28" s="1367"/>
      <c r="AF28" s="1367"/>
      <c r="AG28" s="1367"/>
      <c r="AH28" s="1367"/>
      <c r="AI28" s="1367"/>
      <c r="AJ28" s="1367"/>
      <c r="AK28" s="1367"/>
      <c r="AL28" s="1367"/>
      <c r="AM28" s="1367"/>
      <c r="AN28" s="1367"/>
    </row>
    <row r="29" spans="1:40" customFormat="1" ht="15" customHeight="1">
      <c r="A29" s="785" t="s">
        <v>1737</v>
      </c>
      <c r="B29" s="2482"/>
      <c r="C29" s="2482"/>
      <c r="D29" s="2484"/>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3"/>
    </row>
    <row r="30" spans="1:40" s="723" customFormat="1" ht="29.25" customHeight="1">
      <c r="A30" s="784" t="s">
        <v>1738</v>
      </c>
      <c r="B30" s="2481"/>
      <c r="C30" s="2481"/>
      <c r="D30" s="2483">
        <f t="shared" ref="D30" si="2">SUM(B30:C31)</f>
        <v>0</v>
      </c>
      <c r="E30" s="1367"/>
      <c r="F30" s="2488"/>
      <c r="G30" s="1367"/>
      <c r="H30" s="1367"/>
      <c r="I30" s="1367"/>
      <c r="J30" s="1367"/>
      <c r="K30" s="1367"/>
      <c r="L30" s="1367"/>
      <c r="M30" s="1367"/>
      <c r="N30" s="1367"/>
      <c r="O30" s="1367"/>
      <c r="P30" s="1367"/>
      <c r="Q30" s="1367"/>
      <c r="R30" s="1367"/>
      <c r="S30" s="1367"/>
      <c r="T30" s="1367"/>
      <c r="U30" s="1367"/>
      <c r="V30" s="1367"/>
      <c r="W30" s="1367"/>
      <c r="X30" s="1367"/>
      <c r="Y30" s="1367"/>
      <c r="Z30" s="1367"/>
      <c r="AA30" s="1367"/>
      <c r="AB30" s="1367"/>
      <c r="AC30" s="1367"/>
      <c r="AD30" s="1367"/>
      <c r="AE30" s="1367"/>
      <c r="AF30" s="1367"/>
      <c r="AG30" s="1367"/>
      <c r="AH30" s="1367"/>
      <c r="AI30" s="1367"/>
      <c r="AJ30" s="1367"/>
      <c r="AK30" s="1367"/>
      <c r="AL30" s="1367"/>
      <c r="AM30" s="1367"/>
      <c r="AN30" s="1367"/>
    </row>
    <row r="31" spans="1:40" customFormat="1" ht="15" customHeight="1">
      <c r="A31" s="785" t="s">
        <v>1739</v>
      </c>
      <c r="B31" s="2482"/>
      <c r="C31" s="2482"/>
      <c r="D31" s="2484"/>
      <c r="E31" s="183"/>
      <c r="F31" s="2488"/>
      <c r="G31" s="183"/>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row>
    <row r="32" spans="1:40" customFormat="1" ht="29.25" customHeight="1">
      <c r="A32" s="784" t="s">
        <v>1740</v>
      </c>
      <c r="B32" s="2481"/>
      <c r="C32" s="2481"/>
      <c r="D32" s="2483">
        <f t="shared" ref="D32" si="3">SUM(B32:C33)</f>
        <v>0</v>
      </c>
      <c r="E32" s="183"/>
      <c r="F32" s="183"/>
      <c r="G32" s="183"/>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row>
    <row r="33" spans="1:40" customFormat="1" ht="15" customHeight="1">
      <c r="A33" s="785" t="s">
        <v>1741</v>
      </c>
      <c r="B33" s="2482"/>
      <c r="C33" s="2482"/>
      <c r="D33" s="2484"/>
      <c r="E33" s="183"/>
      <c r="F33" s="183"/>
      <c r="G33" s="183"/>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row>
    <row r="34" spans="1:40" customFormat="1" ht="24.75">
      <c r="A34" s="784" t="s">
        <v>1742</v>
      </c>
      <c r="B34" s="2481"/>
      <c r="C34" s="2481"/>
      <c r="D34" s="2483">
        <f t="shared" ref="D34" si="4">SUM(B34:C35)</f>
        <v>0</v>
      </c>
      <c r="E34" s="183"/>
      <c r="F34" s="183"/>
      <c r="G34" s="183"/>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row>
    <row r="35" spans="1:40" customFormat="1" ht="14.25" customHeight="1">
      <c r="A35" s="785" t="s">
        <v>1743</v>
      </c>
      <c r="B35" s="2482"/>
      <c r="C35" s="2482"/>
      <c r="D35" s="2484"/>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row>
    <row r="36" spans="1:40" customFormat="1" ht="24.75">
      <c r="A36" s="784" t="s">
        <v>1744</v>
      </c>
      <c r="B36" s="2481"/>
      <c r="C36" s="2481"/>
      <c r="D36" s="2483">
        <f t="shared" ref="D36" si="5">SUM(B36:C37)</f>
        <v>0</v>
      </c>
      <c r="E36" s="183"/>
      <c r="F36" s="183"/>
      <c r="G36" s="183"/>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row>
    <row r="37" spans="1:40" customFormat="1" ht="14.25" customHeight="1">
      <c r="A37" s="785" t="s">
        <v>1745</v>
      </c>
      <c r="B37" s="2482"/>
      <c r="C37" s="2482"/>
      <c r="D37" s="2484"/>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3"/>
    </row>
    <row r="38" spans="1:40" s="723" customFormat="1" ht="30">
      <c r="A38" s="784" t="s">
        <v>1746</v>
      </c>
      <c r="B38" s="2481"/>
      <c r="C38" s="2481"/>
      <c r="D38" s="823">
        <f t="shared" ref="D38" si="6">SUM(B38:C39)</f>
        <v>0</v>
      </c>
      <c r="E38" s="1367"/>
      <c r="F38" s="1367"/>
      <c r="G38" s="1367"/>
      <c r="H38" s="1367"/>
      <c r="I38" s="1367"/>
      <c r="J38" s="1367"/>
      <c r="K38" s="1367"/>
      <c r="L38" s="1367"/>
      <c r="M38" s="1367"/>
      <c r="N38" s="1367"/>
      <c r="O38" s="1367"/>
      <c r="P38" s="1367"/>
      <c r="Q38" s="1367"/>
      <c r="R38" s="1367"/>
      <c r="S38" s="1367"/>
      <c r="T38" s="1367"/>
      <c r="U38" s="1367"/>
      <c r="V38" s="1367"/>
      <c r="W38" s="1367"/>
      <c r="X38" s="1367"/>
      <c r="Y38" s="1367"/>
      <c r="Z38" s="1367"/>
      <c r="AA38" s="1367"/>
      <c r="AB38" s="1367"/>
      <c r="AC38" s="1367"/>
      <c r="AD38" s="1367"/>
      <c r="AE38" s="1367"/>
      <c r="AF38" s="1367"/>
      <c r="AG38" s="1367"/>
      <c r="AH38" s="1367"/>
      <c r="AI38" s="1367"/>
      <c r="AJ38" s="1367"/>
      <c r="AK38" s="1367"/>
      <c r="AL38" s="1367"/>
      <c r="AM38" s="1367"/>
      <c r="AN38" s="1367"/>
    </row>
    <row r="39" spans="1:40" customFormat="1" ht="14.25" customHeight="1">
      <c r="A39" s="785" t="s">
        <v>1747</v>
      </c>
      <c r="B39" s="2482"/>
      <c r="C39" s="2482"/>
      <c r="D39" s="817"/>
      <c r="E39" s="183"/>
      <c r="F39" s="183"/>
      <c r="G39" s="183"/>
      <c r="H39" s="183"/>
      <c r="I39" s="183"/>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3"/>
    </row>
    <row r="40" spans="1:40" customFormat="1" ht="24.75">
      <c r="A40" s="784" t="s">
        <v>1748</v>
      </c>
      <c r="B40" s="2481"/>
      <c r="C40" s="2481"/>
      <c r="D40" s="2483">
        <f t="shared" ref="D40" si="7">SUM(B40:C41)</f>
        <v>0</v>
      </c>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3"/>
    </row>
    <row r="41" spans="1:40" customFormat="1" ht="14.25" customHeight="1">
      <c r="A41" s="785" t="s">
        <v>1749</v>
      </c>
      <c r="B41" s="2482"/>
      <c r="C41" s="2482"/>
      <c r="D41" s="2484"/>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3"/>
    </row>
    <row r="42" spans="1:40" s="723" customFormat="1" ht="30">
      <c r="A42" s="784" t="s">
        <v>1750</v>
      </c>
      <c r="B42" s="2481"/>
      <c r="C42" s="2481"/>
      <c r="D42" s="2483">
        <f t="shared" ref="D42" si="8">SUM(B42:C43)</f>
        <v>0</v>
      </c>
      <c r="E42" s="1367"/>
      <c r="F42" s="1367"/>
      <c r="G42" s="1367"/>
      <c r="H42" s="1367"/>
      <c r="I42" s="1367"/>
      <c r="J42" s="1367"/>
      <c r="K42" s="1367"/>
      <c r="L42" s="1367"/>
      <c r="M42" s="1367"/>
      <c r="N42" s="1367"/>
      <c r="O42" s="1367"/>
      <c r="P42" s="1367"/>
      <c r="Q42" s="1367"/>
      <c r="R42" s="1367"/>
      <c r="S42" s="1367"/>
      <c r="T42" s="1367"/>
      <c r="U42" s="1367"/>
      <c r="V42" s="1367"/>
      <c r="W42" s="1367"/>
      <c r="X42" s="1367"/>
      <c r="Y42" s="1367"/>
      <c r="Z42" s="1367"/>
      <c r="AA42" s="1367"/>
      <c r="AB42" s="1367"/>
      <c r="AC42" s="1367"/>
      <c r="AD42" s="1367"/>
      <c r="AE42" s="1367"/>
      <c r="AF42" s="1367"/>
      <c r="AG42" s="1367"/>
      <c r="AH42" s="1367"/>
      <c r="AI42" s="1367"/>
      <c r="AJ42" s="1367"/>
      <c r="AK42" s="1367"/>
      <c r="AL42" s="1367"/>
      <c r="AM42" s="1367"/>
      <c r="AN42" s="1367"/>
    </row>
    <row r="43" spans="1:40" customFormat="1" ht="14.25" customHeight="1">
      <c r="A43" s="785" t="s">
        <v>1751</v>
      </c>
      <c r="B43" s="2482"/>
      <c r="C43" s="2482"/>
      <c r="D43" s="2484"/>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3"/>
    </row>
    <row r="44" spans="1:40" s="723" customFormat="1" ht="30">
      <c r="A44" s="722" t="s">
        <v>1752</v>
      </c>
      <c r="B44" s="2475">
        <f>+B46+B52</f>
        <v>0</v>
      </c>
      <c r="C44" s="2477">
        <f>+C46+C52</f>
        <v>0</v>
      </c>
      <c r="D44" s="2477">
        <f>+B44+C44</f>
        <v>0</v>
      </c>
      <c r="E44" s="1367"/>
      <c r="F44" s="1367"/>
      <c r="G44" s="1367"/>
      <c r="H44" s="1367"/>
      <c r="I44" s="1367"/>
      <c r="J44" s="1367"/>
      <c r="K44" s="1367"/>
      <c r="L44" s="1367"/>
      <c r="M44" s="1367"/>
      <c r="N44" s="1367"/>
      <c r="O44" s="1367"/>
      <c r="P44" s="1367"/>
      <c r="Q44" s="1367"/>
      <c r="R44" s="1367"/>
      <c r="S44" s="1367"/>
      <c r="T44" s="1367"/>
      <c r="U44" s="1367"/>
      <c r="V44" s="1367"/>
      <c r="W44" s="1367"/>
      <c r="X44" s="1367"/>
      <c r="Y44" s="1367"/>
      <c r="Z44" s="1367"/>
      <c r="AA44" s="1367"/>
      <c r="AB44" s="1367"/>
      <c r="AC44" s="1367"/>
      <c r="AD44" s="1367"/>
      <c r="AE44" s="1367"/>
      <c r="AF44" s="1367"/>
      <c r="AG44" s="1367"/>
      <c r="AH44" s="1367"/>
      <c r="AI44" s="1367"/>
      <c r="AJ44" s="1367"/>
      <c r="AK44" s="1367"/>
      <c r="AL44" s="1367"/>
      <c r="AM44" s="1367"/>
      <c r="AN44" s="1367"/>
    </row>
    <row r="45" spans="1:40" customFormat="1" ht="15">
      <c r="A45" s="725" t="s">
        <v>1753</v>
      </c>
      <c r="B45" s="2476"/>
      <c r="C45" s="2478"/>
      <c r="D45" s="2478"/>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row>
    <row r="46" spans="1:40" s="723" customFormat="1" ht="30">
      <c r="A46" s="784" t="s">
        <v>1754</v>
      </c>
      <c r="B46" s="2485">
        <f>SUM(B48:B51)</f>
        <v>0</v>
      </c>
      <c r="C46" s="2485">
        <f>SUM(C48:C51)</f>
        <v>0</v>
      </c>
      <c r="D46" s="2479">
        <f>SUM(B46:C47)</f>
        <v>0</v>
      </c>
      <c r="E46" s="1367"/>
      <c r="F46" s="1367"/>
      <c r="G46" s="1367"/>
      <c r="H46" s="1367"/>
      <c r="I46" s="1367"/>
      <c r="J46" s="1367"/>
      <c r="K46" s="1367"/>
      <c r="L46" s="1367"/>
      <c r="M46" s="1367"/>
      <c r="N46" s="1367"/>
      <c r="O46" s="1367"/>
      <c r="P46" s="1367"/>
      <c r="Q46" s="1367"/>
      <c r="R46" s="1367"/>
      <c r="S46" s="1367"/>
      <c r="T46" s="1367"/>
      <c r="U46" s="1367"/>
      <c r="V46" s="1367"/>
      <c r="W46" s="1367"/>
      <c r="X46" s="1367"/>
      <c r="Y46" s="1367"/>
      <c r="Z46" s="1367"/>
      <c r="AA46" s="1367"/>
      <c r="AB46" s="1367"/>
      <c r="AC46" s="1367"/>
      <c r="AD46" s="1367"/>
      <c r="AE46" s="1367"/>
      <c r="AF46" s="1367"/>
      <c r="AG46" s="1367"/>
      <c r="AH46" s="1367"/>
      <c r="AI46" s="1367"/>
      <c r="AJ46" s="1367"/>
      <c r="AK46" s="1367"/>
      <c r="AL46" s="1367"/>
      <c r="AM46" s="1367"/>
      <c r="AN46" s="1367"/>
    </row>
    <row r="47" spans="1:40" customFormat="1" ht="14.25" customHeight="1">
      <c r="A47" s="785" t="s">
        <v>1755</v>
      </c>
      <c r="B47" s="2486"/>
      <c r="C47" s="2486"/>
      <c r="D47" s="2480"/>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row>
    <row r="48" spans="1:40" s="723" customFormat="1" ht="30">
      <c r="A48" s="784" t="s">
        <v>1756</v>
      </c>
      <c r="B48" s="2481"/>
      <c r="C48" s="2481"/>
      <c r="D48" s="2479">
        <f t="shared" ref="D48" si="9">SUM(B48:C49)</f>
        <v>0</v>
      </c>
      <c r="E48" s="1367"/>
      <c r="F48" s="1367"/>
      <c r="G48" s="1367"/>
      <c r="H48" s="1367"/>
      <c r="I48" s="1367"/>
      <c r="J48" s="1367"/>
      <c r="K48" s="1367"/>
      <c r="L48" s="1367"/>
      <c r="M48" s="1367"/>
      <c r="N48" s="1367"/>
      <c r="O48" s="1367"/>
      <c r="P48" s="1367"/>
      <c r="Q48" s="1367"/>
      <c r="R48" s="1367"/>
      <c r="S48" s="1367"/>
      <c r="T48" s="1367"/>
      <c r="U48" s="1367"/>
      <c r="V48" s="1367"/>
      <c r="W48" s="1367"/>
      <c r="X48" s="1367"/>
      <c r="Y48" s="1367"/>
      <c r="Z48" s="1367"/>
      <c r="AA48" s="1367"/>
      <c r="AB48" s="1367"/>
      <c r="AC48" s="1367"/>
      <c r="AD48" s="1367"/>
      <c r="AE48" s="1367"/>
      <c r="AF48" s="1367"/>
      <c r="AG48" s="1367"/>
      <c r="AH48" s="1367"/>
      <c r="AI48" s="1367"/>
      <c r="AJ48" s="1367"/>
      <c r="AK48" s="1367"/>
      <c r="AL48" s="1367"/>
      <c r="AM48" s="1367"/>
      <c r="AN48" s="1367"/>
    </row>
    <row r="49" spans="1:40" customFormat="1" ht="14.25" customHeight="1">
      <c r="A49" s="785" t="s">
        <v>1757</v>
      </c>
      <c r="B49" s="2482"/>
      <c r="C49" s="2482"/>
      <c r="D49" s="2480"/>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row>
    <row r="50" spans="1:40" s="723" customFormat="1" ht="30">
      <c r="A50" s="784" t="s">
        <v>1758</v>
      </c>
      <c r="B50" s="2481"/>
      <c r="C50" s="2481"/>
      <c r="D50" s="2479">
        <f t="shared" ref="D50" si="10">SUM(B50:C51)</f>
        <v>0</v>
      </c>
      <c r="E50" s="1367"/>
      <c r="F50" s="1367"/>
      <c r="G50" s="1367"/>
      <c r="H50" s="1367"/>
      <c r="I50" s="1367"/>
      <c r="J50" s="1367"/>
      <c r="K50" s="1367"/>
      <c r="L50" s="1367"/>
      <c r="M50" s="1367"/>
      <c r="N50" s="1367"/>
      <c r="O50" s="1367"/>
      <c r="P50" s="1367"/>
      <c r="Q50" s="1367"/>
      <c r="R50" s="1367"/>
      <c r="S50" s="1367"/>
      <c r="T50" s="1367"/>
      <c r="U50" s="1367"/>
      <c r="V50" s="1367"/>
      <c r="W50" s="1367"/>
      <c r="X50" s="1367"/>
      <c r="Y50" s="1367"/>
      <c r="Z50" s="1367"/>
      <c r="AA50" s="1367"/>
      <c r="AB50" s="1367"/>
      <c r="AC50" s="1367"/>
      <c r="AD50" s="1367"/>
      <c r="AE50" s="1367"/>
      <c r="AF50" s="1367"/>
      <c r="AG50" s="1367"/>
      <c r="AH50" s="1367"/>
      <c r="AI50" s="1367"/>
      <c r="AJ50" s="1367"/>
      <c r="AK50" s="1367"/>
      <c r="AL50" s="1367"/>
      <c r="AM50" s="1367"/>
      <c r="AN50" s="1367"/>
    </row>
    <row r="51" spans="1:40" customFormat="1" ht="14.25" customHeight="1">
      <c r="A51" s="785" t="s">
        <v>1759</v>
      </c>
      <c r="B51" s="2482"/>
      <c r="C51" s="2482"/>
      <c r="D51" s="2480"/>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3"/>
    </row>
    <row r="52" spans="1:40" s="723" customFormat="1" ht="30">
      <c r="A52" s="784" t="s">
        <v>1760</v>
      </c>
      <c r="B52" s="2487">
        <f>B54+B56</f>
        <v>0</v>
      </c>
      <c r="C52" s="2487">
        <f>C54+C56</f>
        <v>0</v>
      </c>
      <c r="D52" s="2479">
        <f t="shared" ref="D52" si="11">SUM(B52:C53)</f>
        <v>0</v>
      </c>
      <c r="E52" s="1367"/>
      <c r="F52" s="1367"/>
      <c r="G52" s="1367"/>
      <c r="H52" s="1367"/>
      <c r="I52" s="1367"/>
      <c r="J52" s="1367"/>
      <c r="K52" s="1367"/>
      <c r="L52" s="1367"/>
      <c r="M52" s="1367"/>
      <c r="N52" s="1367"/>
      <c r="O52" s="1367"/>
      <c r="P52" s="1367"/>
      <c r="Q52" s="1367"/>
      <c r="R52" s="1367"/>
      <c r="S52" s="1367"/>
      <c r="T52" s="1367"/>
      <c r="U52" s="1367"/>
      <c r="V52" s="1367"/>
      <c r="W52" s="1367"/>
      <c r="X52" s="1367"/>
      <c r="Y52" s="1367"/>
      <c r="Z52" s="1367"/>
      <c r="AA52" s="1367"/>
      <c r="AB52" s="1367"/>
      <c r="AC52" s="1367"/>
      <c r="AD52" s="1367"/>
      <c r="AE52" s="1367"/>
      <c r="AF52" s="1367"/>
      <c r="AG52" s="1367"/>
      <c r="AH52" s="1367"/>
      <c r="AI52" s="1367"/>
      <c r="AJ52" s="1367"/>
      <c r="AK52" s="1367"/>
      <c r="AL52" s="1367"/>
      <c r="AM52" s="1367"/>
      <c r="AN52" s="1367"/>
    </row>
    <row r="53" spans="1:40" customFormat="1" ht="14.25" customHeight="1">
      <c r="A53" s="785" t="s">
        <v>1761</v>
      </c>
      <c r="B53" s="2489"/>
      <c r="C53" s="2489"/>
      <c r="D53" s="2480"/>
      <c r="E53" s="183"/>
      <c r="F53" s="183"/>
      <c r="G53" s="183"/>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c r="AG53" s="183"/>
      <c r="AH53" s="183"/>
      <c r="AI53" s="183"/>
      <c r="AJ53" s="183"/>
      <c r="AK53" s="183"/>
      <c r="AL53" s="183"/>
      <c r="AM53" s="183"/>
      <c r="AN53" s="183"/>
    </row>
    <row r="54" spans="1:40" s="723" customFormat="1" ht="30">
      <c r="A54" s="784" t="s">
        <v>1762</v>
      </c>
      <c r="B54" s="2481"/>
      <c r="C54" s="2481"/>
      <c r="D54" s="2479">
        <f t="shared" ref="D54" si="12">SUM(B54:C55)</f>
        <v>0</v>
      </c>
      <c r="E54" s="1367"/>
      <c r="F54" s="1367"/>
      <c r="G54" s="1367"/>
      <c r="H54" s="1367"/>
      <c r="I54" s="1367"/>
      <c r="J54" s="1367"/>
      <c r="K54" s="1367"/>
      <c r="L54" s="1367"/>
      <c r="M54" s="1367"/>
      <c r="N54" s="1367"/>
      <c r="O54" s="1367"/>
      <c r="P54" s="1367"/>
      <c r="Q54" s="1367"/>
      <c r="R54" s="1367"/>
      <c r="S54" s="1367"/>
      <c r="T54" s="1367"/>
      <c r="U54" s="1367"/>
      <c r="V54" s="1367"/>
      <c r="W54" s="1367"/>
      <c r="X54" s="1367"/>
      <c r="Y54" s="1367"/>
      <c r="Z54" s="1367"/>
      <c r="AA54" s="1367"/>
      <c r="AB54" s="1367"/>
      <c r="AC54" s="1367"/>
      <c r="AD54" s="1367"/>
      <c r="AE54" s="1367"/>
      <c r="AF54" s="1367"/>
      <c r="AG54" s="1367"/>
      <c r="AH54" s="1367"/>
      <c r="AI54" s="1367"/>
      <c r="AJ54" s="1367"/>
      <c r="AK54" s="1367"/>
      <c r="AL54" s="1367"/>
      <c r="AM54" s="1367"/>
      <c r="AN54" s="1367"/>
    </row>
    <row r="55" spans="1:40" customFormat="1" ht="14.25" customHeight="1">
      <c r="A55" s="785" t="s">
        <v>1757</v>
      </c>
      <c r="B55" s="2482"/>
      <c r="C55" s="2482"/>
      <c r="D55" s="2480"/>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183"/>
      <c r="AK55" s="183"/>
      <c r="AL55" s="183"/>
      <c r="AM55" s="183"/>
      <c r="AN55" s="183"/>
    </row>
    <row r="56" spans="1:40" s="723" customFormat="1" ht="30">
      <c r="A56" s="784" t="s">
        <v>1763</v>
      </c>
      <c r="B56" s="2481"/>
      <c r="C56" s="2481"/>
      <c r="D56" s="2479">
        <f t="shared" ref="D56:D58" si="13">SUM(B56:C57)</f>
        <v>0</v>
      </c>
      <c r="E56" s="1367"/>
      <c r="F56" s="1367"/>
      <c r="G56" s="1367"/>
      <c r="H56" s="1367"/>
      <c r="I56" s="1367"/>
      <c r="J56" s="1367"/>
      <c r="K56" s="1367"/>
      <c r="L56" s="1367"/>
      <c r="M56" s="1367"/>
      <c r="N56" s="1367"/>
      <c r="O56" s="1367"/>
      <c r="P56" s="1367"/>
      <c r="Q56" s="1367"/>
      <c r="R56" s="1367"/>
      <c r="S56" s="1367"/>
      <c r="T56" s="1367"/>
      <c r="U56" s="1367"/>
      <c r="V56" s="1367"/>
      <c r="W56" s="1367"/>
      <c r="X56" s="1367"/>
      <c r="Y56" s="1367"/>
      <c r="Z56" s="1367"/>
      <c r="AA56" s="1367"/>
      <c r="AB56" s="1367"/>
      <c r="AC56" s="1367"/>
      <c r="AD56" s="1367"/>
      <c r="AE56" s="1367"/>
      <c r="AF56" s="1367"/>
      <c r="AG56" s="1367"/>
      <c r="AH56" s="1367"/>
      <c r="AI56" s="1367"/>
      <c r="AJ56" s="1367"/>
      <c r="AK56" s="1367"/>
      <c r="AL56" s="1367"/>
      <c r="AM56" s="1367"/>
      <c r="AN56" s="1367"/>
    </row>
    <row r="57" spans="1:40" customFormat="1" ht="14.25" customHeight="1">
      <c r="A57" s="785" t="s">
        <v>1764</v>
      </c>
      <c r="B57" s="2482"/>
      <c r="C57" s="2482"/>
      <c r="D57" s="2480"/>
      <c r="E57" s="183"/>
      <c r="F57" s="183"/>
      <c r="G57" s="183"/>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183"/>
      <c r="AK57" s="183"/>
      <c r="AL57" s="183"/>
      <c r="AM57" s="183"/>
      <c r="AN57" s="183"/>
    </row>
    <row r="58" spans="1:40" s="723" customFormat="1" ht="30">
      <c r="A58" s="722" t="s">
        <v>1765</v>
      </c>
      <c r="B58" s="2475">
        <f>+B62+B64+B66</f>
        <v>0</v>
      </c>
      <c r="C58" s="2477">
        <f>SUM(C62:C67)</f>
        <v>0</v>
      </c>
      <c r="D58" s="2490">
        <f t="shared" si="13"/>
        <v>0</v>
      </c>
      <c r="E58" s="1367"/>
      <c r="F58" s="1367"/>
      <c r="G58" s="1367"/>
      <c r="H58" s="1367"/>
      <c r="I58" s="1367"/>
      <c r="J58" s="1367"/>
      <c r="K58" s="1367"/>
      <c r="L58" s="1367"/>
      <c r="M58" s="1367"/>
      <c r="N58" s="1367"/>
      <c r="O58" s="1367"/>
      <c r="P58" s="1367"/>
      <c r="Q58" s="1367"/>
      <c r="R58" s="1367"/>
      <c r="S58" s="1367"/>
      <c r="T58" s="1367"/>
      <c r="U58" s="1367"/>
      <c r="V58" s="1367"/>
      <c r="W58" s="1367"/>
      <c r="X58" s="1367"/>
      <c r="Y58" s="1367"/>
      <c r="Z58" s="1367"/>
      <c r="AA58" s="1367"/>
      <c r="AB58" s="1367"/>
      <c r="AC58" s="1367"/>
      <c r="AD58" s="1367"/>
      <c r="AE58" s="1367"/>
      <c r="AF58" s="1367"/>
      <c r="AG58" s="1367"/>
      <c r="AH58" s="1367"/>
      <c r="AI58" s="1367"/>
      <c r="AJ58" s="1367"/>
      <c r="AK58" s="1367"/>
      <c r="AL58" s="1367"/>
      <c r="AM58" s="1367"/>
      <c r="AN58" s="1367"/>
    </row>
    <row r="59" spans="1:40" customFormat="1" ht="15" customHeight="1">
      <c r="A59" s="726" t="s">
        <v>1766</v>
      </c>
      <c r="B59" s="2476"/>
      <c r="C59" s="2478"/>
      <c r="D59" s="2491"/>
      <c r="E59" s="183"/>
      <c r="F59" s="183"/>
      <c r="G59" s="183"/>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c r="AG59" s="183"/>
      <c r="AH59" s="183"/>
      <c r="AI59" s="183"/>
      <c r="AJ59" s="183"/>
      <c r="AK59" s="183"/>
      <c r="AL59" s="183"/>
      <c r="AM59" s="183"/>
      <c r="AN59" s="183"/>
    </row>
    <row r="60" spans="1:40" s="723" customFormat="1" ht="30">
      <c r="A60" s="784" t="s">
        <v>1767</v>
      </c>
      <c r="B60" s="2481"/>
      <c r="C60" s="2481"/>
      <c r="D60" s="2483">
        <f>SUM(B60:C61)</f>
        <v>0</v>
      </c>
      <c r="E60" s="1367"/>
      <c r="F60" s="1367"/>
      <c r="G60" s="1367"/>
      <c r="H60" s="1367"/>
      <c r="I60" s="1367"/>
      <c r="J60" s="1367"/>
      <c r="K60" s="1367"/>
      <c r="L60" s="1367"/>
      <c r="M60" s="1367"/>
      <c r="N60" s="1367"/>
      <c r="O60" s="1367"/>
      <c r="P60" s="1367"/>
      <c r="Q60" s="1367"/>
      <c r="R60" s="1367"/>
      <c r="S60" s="1367"/>
      <c r="T60" s="1367"/>
      <c r="U60" s="1367"/>
      <c r="V60" s="1367"/>
      <c r="W60" s="1367"/>
      <c r="X60" s="1367"/>
      <c r="Y60" s="1367"/>
      <c r="Z60" s="1367"/>
      <c r="AA60" s="1367"/>
      <c r="AB60" s="1367"/>
      <c r="AC60" s="1367"/>
      <c r="AD60" s="1367"/>
      <c r="AE60" s="1367"/>
      <c r="AF60" s="1367"/>
      <c r="AG60" s="1367"/>
      <c r="AH60" s="1367"/>
      <c r="AI60" s="1367"/>
      <c r="AJ60" s="1367"/>
      <c r="AK60" s="1367"/>
      <c r="AL60" s="1367"/>
      <c r="AM60" s="1367"/>
      <c r="AN60" s="1367"/>
    </row>
    <row r="61" spans="1:40" customFormat="1" ht="14.25" customHeight="1">
      <c r="A61" s="785" t="s">
        <v>1768</v>
      </c>
      <c r="B61" s="2482"/>
      <c r="C61" s="2482"/>
      <c r="D61" s="2484"/>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c r="AG61" s="183"/>
      <c r="AH61" s="183"/>
      <c r="AI61" s="183"/>
      <c r="AJ61" s="183"/>
      <c r="AK61" s="183"/>
      <c r="AL61" s="183"/>
      <c r="AM61" s="183"/>
      <c r="AN61" s="183"/>
    </row>
    <row r="62" spans="1:40" customFormat="1" ht="24.75">
      <c r="A62" s="784" t="s">
        <v>1769</v>
      </c>
      <c r="B62" s="2481"/>
      <c r="C62" s="2481"/>
      <c r="D62" s="2483">
        <f t="shared" ref="D62" si="14">SUM(B62:C63)</f>
        <v>0</v>
      </c>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183"/>
      <c r="AK62" s="183"/>
      <c r="AL62" s="183"/>
      <c r="AM62" s="183"/>
      <c r="AN62" s="183"/>
    </row>
    <row r="63" spans="1:40" customFormat="1" ht="14.25" customHeight="1">
      <c r="A63" s="785" t="s">
        <v>1770</v>
      </c>
      <c r="B63" s="2482"/>
      <c r="C63" s="2482"/>
      <c r="D63" s="2484"/>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183"/>
      <c r="AK63" s="183"/>
      <c r="AL63" s="183"/>
      <c r="AM63" s="183"/>
      <c r="AN63" s="183"/>
    </row>
    <row r="64" spans="1:40" customFormat="1" ht="24.75">
      <c r="A64" s="784" t="s">
        <v>1771</v>
      </c>
      <c r="B64" s="2481"/>
      <c r="C64" s="2481"/>
      <c r="D64" s="2483">
        <f t="shared" ref="D64" si="15">SUM(B64:C65)</f>
        <v>0</v>
      </c>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183"/>
      <c r="AK64" s="183"/>
      <c r="AL64" s="183"/>
      <c r="AM64" s="183"/>
      <c r="AN64" s="183"/>
    </row>
    <row r="65" spans="1:40" customFormat="1" ht="14.25" customHeight="1">
      <c r="A65" s="785" t="s">
        <v>1772</v>
      </c>
      <c r="B65" s="2482"/>
      <c r="C65" s="2482"/>
      <c r="D65" s="2484"/>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c r="AG65" s="183"/>
      <c r="AH65" s="183"/>
      <c r="AI65" s="183"/>
      <c r="AJ65" s="183"/>
      <c r="AK65" s="183"/>
      <c r="AL65" s="183"/>
      <c r="AM65" s="183"/>
      <c r="AN65" s="183"/>
    </row>
    <row r="66" spans="1:40" customFormat="1" ht="24.75">
      <c r="A66" s="784" t="s">
        <v>1773</v>
      </c>
      <c r="B66" s="2481"/>
      <c r="C66" s="2481"/>
      <c r="D66" s="2483">
        <f t="shared" ref="D66:D68" si="16">SUM(B66:C67)</f>
        <v>0</v>
      </c>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row>
    <row r="67" spans="1:40" customFormat="1" ht="14.25" customHeight="1">
      <c r="A67" s="785" t="s">
        <v>1774</v>
      </c>
      <c r="B67" s="2482"/>
      <c r="C67" s="2482"/>
      <c r="D67" s="2484"/>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183"/>
      <c r="AK67" s="183"/>
      <c r="AL67" s="183"/>
      <c r="AM67" s="183"/>
      <c r="AN67" s="183"/>
    </row>
    <row r="68" spans="1:40" s="723" customFormat="1" ht="30">
      <c r="A68" s="722" t="s">
        <v>1775</v>
      </c>
      <c r="B68" s="2492">
        <f>SUM(B70:B77)</f>
        <v>0</v>
      </c>
      <c r="C68" s="2492">
        <f>SUM(C70:C77)</f>
        <v>0</v>
      </c>
      <c r="D68" s="2493">
        <f t="shared" si="16"/>
        <v>0</v>
      </c>
      <c r="E68" s="1367"/>
      <c r="F68" s="1367"/>
      <c r="G68" s="1367"/>
      <c r="H68" s="1367"/>
      <c r="I68" s="1367"/>
      <c r="J68" s="1367"/>
      <c r="K68" s="1367"/>
      <c r="L68" s="1367"/>
      <c r="M68" s="1367"/>
      <c r="N68" s="1367"/>
      <c r="O68" s="1367"/>
      <c r="P68" s="1367"/>
      <c r="Q68" s="1367"/>
      <c r="R68" s="1367"/>
      <c r="S68" s="1367"/>
      <c r="T68" s="1367"/>
      <c r="U68" s="1367"/>
      <c r="V68" s="1367"/>
      <c r="W68" s="1367"/>
      <c r="X68" s="1367"/>
      <c r="Y68" s="1367"/>
      <c r="Z68" s="1367"/>
      <c r="AA68" s="1367"/>
      <c r="AB68" s="1367"/>
      <c r="AC68" s="1367"/>
      <c r="AD68" s="1367"/>
      <c r="AE68" s="1367"/>
      <c r="AF68" s="1367"/>
      <c r="AG68" s="1367"/>
      <c r="AH68" s="1367"/>
      <c r="AI68" s="1367"/>
      <c r="AJ68" s="1367"/>
      <c r="AK68" s="1367"/>
      <c r="AL68" s="1367"/>
      <c r="AM68" s="1367"/>
      <c r="AN68" s="1367"/>
    </row>
    <row r="69" spans="1:40" customFormat="1" ht="15" customHeight="1">
      <c r="A69" s="724" t="s">
        <v>1776</v>
      </c>
      <c r="B69" s="2476"/>
      <c r="C69" s="2476"/>
      <c r="D69" s="2494"/>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row>
    <row r="70" spans="1:40" customFormat="1" ht="24.75">
      <c r="A70" s="784" t="s">
        <v>1777</v>
      </c>
      <c r="B70" s="2481"/>
      <c r="C70" s="2481"/>
      <c r="D70" s="2483">
        <f>SUM(B70:C71)</f>
        <v>0</v>
      </c>
      <c r="E70" s="183"/>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row>
    <row r="71" spans="1:40" customFormat="1" ht="14.25" customHeight="1">
      <c r="A71" s="785" t="s">
        <v>1778</v>
      </c>
      <c r="B71" s="2482"/>
      <c r="C71" s="2482"/>
      <c r="D71" s="2484"/>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row>
    <row r="72" spans="1:40" customFormat="1" ht="24.75">
      <c r="A72" s="784" t="s">
        <v>1779</v>
      </c>
      <c r="B72" s="2481"/>
      <c r="C72" s="2481"/>
      <c r="D72" s="2483">
        <f t="shared" ref="D72" si="17">SUM(B72:C73)</f>
        <v>0</v>
      </c>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row>
    <row r="73" spans="1:40" customFormat="1" ht="14.25" customHeight="1">
      <c r="A73" s="785" t="s">
        <v>1780</v>
      </c>
      <c r="B73" s="2482"/>
      <c r="C73" s="2482"/>
      <c r="D73" s="2484"/>
      <c r="E73" s="183"/>
      <c r="F73" s="183"/>
      <c r="G73" s="183"/>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row>
    <row r="74" spans="1:40" s="723" customFormat="1" ht="30">
      <c r="A74" s="789" t="s">
        <v>1781</v>
      </c>
      <c r="B74" s="2481"/>
      <c r="C74" s="2481"/>
      <c r="D74" s="2483">
        <f t="shared" ref="D74" si="18">SUM(B74:C75)</f>
        <v>0</v>
      </c>
      <c r="E74" s="1367"/>
      <c r="F74" s="1367"/>
      <c r="G74" s="1367"/>
      <c r="H74" s="1367"/>
      <c r="I74" s="1367"/>
      <c r="J74" s="1367"/>
      <c r="K74" s="1367"/>
      <c r="L74" s="1367"/>
      <c r="M74" s="1367"/>
      <c r="N74" s="1367"/>
      <c r="O74" s="1367"/>
      <c r="P74" s="1367"/>
      <c r="Q74" s="1367"/>
      <c r="R74" s="1367"/>
      <c r="S74" s="1367"/>
      <c r="T74" s="1367"/>
      <c r="U74" s="1367"/>
      <c r="V74" s="1367"/>
      <c r="W74" s="1367"/>
      <c r="X74" s="1367"/>
      <c r="Y74" s="1367"/>
      <c r="Z74" s="1367"/>
      <c r="AA74" s="1367"/>
      <c r="AB74" s="1367"/>
      <c r="AC74" s="1367"/>
      <c r="AD74" s="1367"/>
      <c r="AE74" s="1367"/>
      <c r="AF74" s="1367"/>
      <c r="AG74" s="1367"/>
      <c r="AH74" s="1367"/>
      <c r="AI74" s="1367"/>
      <c r="AJ74" s="1367"/>
      <c r="AK74" s="1367"/>
      <c r="AL74" s="1367"/>
      <c r="AM74" s="1367"/>
      <c r="AN74" s="1367"/>
    </row>
    <row r="75" spans="1:40" customFormat="1" ht="14.25" customHeight="1">
      <c r="A75" s="785" t="s">
        <v>1782</v>
      </c>
      <c r="B75" s="2482"/>
      <c r="C75" s="2482"/>
      <c r="D75" s="2484"/>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183"/>
      <c r="AK75" s="183"/>
      <c r="AL75" s="183"/>
      <c r="AM75" s="183"/>
      <c r="AN75" s="183"/>
    </row>
    <row r="76" spans="1:40" s="723" customFormat="1" ht="30">
      <c r="A76" s="789" t="s">
        <v>1783</v>
      </c>
      <c r="B76" s="2487">
        <f>SUM(B78:B83)</f>
        <v>0</v>
      </c>
      <c r="C76" s="2487">
        <f>SUM(C78:C83)</f>
        <v>0</v>
      </c>
      <c r="D76" s="2483">
        <f t="shared" ref="D76" si="19">SUM(B76:C77)</f>
        <v>0</v>
      </c>
      <c r="E76" s="1367"/>
      <c r="F76" s="1367"/>
      <c r="G76" s="1367"/>
      <c r="H76" s="1367"/>
      <c r="I76" s="1367"/>
      <c r="J76" s="1367"/>
      <c r="K76" s="1367"/>
      <c r="L76" s="1367"/>
      <c r="M76" s="1367"/>
      <c r="N76" s="1367"/>
      <c r="O76" s="1367"/>
      <c r="P76" s="1367"/>
      <c r="Q76" s="1367"/>
      <c r="R76" s="1367"/>
      <c r="S76" s="1367"/>
      <c r="T76" s="1367"/>
      <c r="U76" s="1367"/>
      <c r="V76" s="1367"/>
      <c r="W76" s="1367"/>
      <c r="X76" s="1367"/>
      <c r="Y76" s="1367"/>
      <c r="Z76" s="1367"/>
      <c r="AA76" s="1367"/>
      <c r="AB76" s="1367"/>
      <c r="AC76" s="1367"/>
      <c r="AD76" s="1367"/>
      <c r="AE76" s="1367"/>
      <c r="AF76" s="1367"/>
      <c r="AG76" s="1367"/>
      <c r="AH76" s="1367"/>
      <c r="AI76" s="1367"/>
      <c r="AJ76" s="1367"/>
      <c r="AK76" s="1367"/>
      <c r="AL76" s="1367"/>
      <c r="AM76" s="1367"/>
      <c r="AN76" s="1367"/>
    </row>
    <row r="77" spans="1:40" customFormat="1" ht="14.25" customHeight="1">
      <c r="A77" s="785" t="s">
        <v>1784</v>
      </c>
      <c r="B77" s="2489"/>
      <c r="C77" s="2489"/>
      <c r="D77" s="2484"/>
      <c r="E77" s="183"/>
      <c r="F77" s="183"/>
      <c r="G77" s="183"/>
      <c r="H77" s="183"/>
      <c r="I77" s="183"/>
      <c r="J77" s="183"/>
      <c r="K77" s="183"/>
      <c r="L77" s="183"/>
      <c r="M77" s="183"/>
      <c r="N77" s="183"/>
      <c r="O77" s="183"/>
      <c r="P77" s="183"/>
      <c r="Q77" s="183"/>
      <c r="R77" s="183"/>
      <c r="S77" s="183"/>
      <c r="T77" s="183"/>
      <c r="U77" s="183"/>
      <c r="V77" s="183"/>
      <c r="W77" s="183"/>
      <c r="X77" s="183"/>
      <c r="Y77" s="183"/>
      <c r="Z77" s="183"/>
      <c r="AA77" s="183"/>
      <c r="AB77" s="183"/>
      <c r="AC77" s="183"/>
      <c r="AD77" s="183"/>
      <c r="AE77" s="183"/>
      <c r="AF77" s="183"/>
      <c r="AG77" s="183"/>
      <c r="AH77" s="183"/>
      <c r="AI77" s="183"/>
      <c r="AJ77" s="183"/>
      <c r="AK77" s="183"/>
      <c r="AL77" s="183"/>
      <c r="AM77" s="183"/>
      <c r="AN77" s="183"/>
    </row>
    <row r="78" spans="1:40" s="723" customFormat="1" ht="30">
      <c r="A78" s="784" t="s">
        <v>1785</v>
      </c>
      <c r="B78" s="2481"/>
      <c r="C78" s="2481"/>
      <c r="D78" s="2483">
        <f t="shared" ref="D78" si="20">SUM(B78:C79)</f>
        <v>0</v>
      </c>
      <c r="E78" s="1367"/>
      <c r="F78" s="1367"/>
      <c r="G78" s="1367"/>
      <c r="H78" s="1367"/>
      <c r="I78" s="1367"/>
      <c r="J78" s="1367"/>
      <c r="K78" s="1367"/>
      <c r="L78" s="1367"/>
      <c r="M78" s="1367"/>
      <c r="N78" s="1367"/>
      <c r="O78" s="1367"/>
      <c r="P78" s="1367"/>
      <c r="Q78" s="1367"/>
      <c r="R78" s="1367"/>
      <c r="S78" s="1367"/>
      <c r="T78" s="1367"/>
      <c r="U78" s="1367"/>
      <c r="V78" s="1367"/>
      <c r="W78" s="1367"/>
      <c r="X78" s="1367"/>
      <c r="Y78" s="1367"/>
      <c r="Z78" s="1367"/>
      <c r="AA78" s="1367"/>
      <c r="AB78" s="1367"/>
      <c r="AC78" s="1367"/>
      <c r="AD78" s="1367"/>
      <c r="AE78" s="1367"/>
      <c r="AF78" s="1367"/>
      <c r="AG78" s="1367"/>
      <c r="AH78" s="1367"/>
      <c r="AI78" s="1367"/>
      <c r="AJ78" s="1367"/>
      <c r="AK78" s="1367"/>
      <c r="AL78" s="1367"/>
      <c r="AM78" s="1367"/>
      <c r="AN78" s="1367"/>
    </row>
    <row r="79" spans="1:40" customFormat="1" ht="14.25" customHeight="1">
      <c r="A79" s="785" t="s">
        <v>1786</v>
      </c>
      <c r="B79" s="2482"/>
      <c r="C79" s="2482"/>
      <c r="D79" s="2484"/>
      <c r="E79" s="183"/>
      <c r="F79" s="183"/>
      <c r="G79" s="183"/>
      <c r="H79" s="183"/>
      <c r="I79" s="183"/>
      <c r="J79" s="183"/>
      <c r="K79" s="183"/>
      <c r="L79" s="183"/>
      <c r="M79" s="183"/>
      <c r="N79" s="183"/>
      <c r="O79" s="183"/>
      <c r="P79" s="183"/>
      <c r="Q79" s="183"/>
      <c r="R79" s="183"/>
      <c r="S79" s="183"/>
      <c r="T79" s="183"/>
      <c r="U79" s="183"/>
      <c r="V79" s="183"/>
      <c r="W79" s="183"/>
      <c r="X79" s="183"/>
      <c r="Y79" s="183"/>
      <c r="Z79" s="183"/>
      <c r="AA79" s="183"/>
      <c r="AB79" s="183"/>
      <c r="AC79" s="183"/>
      <c r="AD79" s="183"/>
      <c r="AE79" s="183"/>
      <c r="AF79" s="183"/>
      <c r="AG79" s="183"/>
      <c r="AH79" s="183"/>
      <c r="AI79" s="183"/>
      <c r="AJ79" s="183"/>
      <c r="AK79" s="183"/>
      <c r="AL79" s="183"/>
      <c r="AM79" s="183"/>
      <c r="AN79" s="183"/>
    </row>
    <row r="80" spans="1:40" s="723" customFormat="1" ht="30">
      <c r="A80" s="784" t="s">
        <v>1787</v>
      </c>
      <c r="B80" s="2481"/>
      <c r="C80" s="2481"/>
      <c r="D80" s="2483">
        <f t="shared" ref="D80" si="21">SUM(B80:C81)</f>
        <v>0</v>
      </c>
      <c r="E80" s="1367"/>
      <c r="F80" s="1367"/>
      <c r="G80" s="1367"/>
      <c r="H80" s="1367"/>
      <c r="I80" s="1367"/>
      <c r="J80" s="1367"/>
      <c r="K80" s="1367"/>
      <c r="L80" s="1367"/>
      <c r="M80" s="1367"/>
      <c r="N80" s="1367"/>
      <c r="O80" s="1367"/>
      <c r="P80" s="1367"/>
      <c r="Q80" s="1367"/>
      <c r="R80" s="1367"/>
      <c r="S80" s="1367"/>
      <c r="T80" s="1367"/>
      <c r="U80" s="1367"/>
      <c r="V80" s="1367"/>
      <c r="W80" s="1367"/>
      <c r="X80" s="1367"/>
      <c r="Y80" s="1367"/>
      <c r="Z80" s="1367"/>
      <c r="AA80" s="1367"/>
      <c r="AB80" s="1367"/>
      <c r="AC80" s="1367"/>
      <c r="AD80" s="1367"/>
      <c r="AE80" s="1367"/>
      <c r="AF80" s="1367"/>
      <c r="AG80" s="1367"/>
      <c r="AH80" s="1367"/>
      <c r="AI80" s="1367"/>
      <c r="AJ80" s="1367"/>
      <c r="AK80" s="1367"/>
      <c r="AL80" s="1367"/>
      <c r="AM80" s="1367"/>
      <c r="AN80" s="1367"/>
    </row>
    <row r="81" spans="1:40" customFormat="1" ht="14.25" customHeight="1">
      <c r="A81" s="785" t="s">
        <v>1788</v>
      </c>
      <c r="B81" s="2482"/>
      <c r="C81" s="2482"/>
      <c r="D81" s="2484"/>
      <c r="E81" s="183"/>
      <c r="F81" s="183"/>
      <c r="G81" s="183"/>
      <c r="H81" s="183"/>
      <c r="I81" s="183"/>
      <c r="J81" s="183"/>
      <c r="K81" s="183"/>
      <c r="L81" s="183"/>
      <c r="M81" s="183"/>
      <c r="N81" s="183"/>
      <c r="O81" s="183"/>
      <c r="P81" s="183"/>
      <c r="Q81" s="183"/>
      <c r="R81" s="183"/>
      <c r="S81" s="183"/>
      <c r="T81" s="183"/>
      <c r="U81" s="183"/>
      <c r="V81" s="183"/>
      <c r="W81" s="183"/>
      <c r="X81" s="183"/>
      <c r="Y81" s="183"/>
      <c r="Z81" s="183"/>
      <c r="AA81" s="183"/>
      <c r="AB81" s="183"/>
      <c r="AC81" s="183"/>
      <c r="AD81" s="183"/>
      <c r="AE81" s="183"/>
      <c r="AF81" s="183"/>
      <c r="AG81" s="183"/>
      <c r="AH81" s="183"/>
      <c r="AI81" s="183"/>
      <c r="AJ81" s="183"/>
      <c r="AK81" s="183"/>
      <c r="AL81" s="183"/>
      <c r="AM81" s="183"/>
      <c r="AN81" s="183"/>
    </row>
    <row r="82" spans="1:40" s="723" customFormat="1" ht="30">
      <c r="A82" s="784" t="s">
        <v>1789</v>
      </c>
      <c r="B82" s="2481"/>
      <c r="C82" s="2481"/>
      <c r="D82" s="2483">
        <f t="shared" ref="D82" si="22">SUM(B82:C83)</f>
        <v>0</v>
      </c>
      <c r="E82" s="1367"/>
      <c r="F82" s="1367"/>
      <c r="G82" s="1367"/>
      <c r="H82" s="1367"/>
      <c r="I82" s="1367"/>
      <c r="J82" s="1367"/>
      <c r="K82" s="1367"/>
      <c r="L82" s="1367"/>
      <c r="M82" s="1367"/>
      <c r="N82" s="1367"/>
      <c r="O82" s="1367"/>
      <c r="P82" s="1367"/>
      <c r="Q82" s="1367"/>
      <c r="R82" s="1367"/>
      <c r="S82" s="1367"/>
      <c r="T82" s="1367"/>
      <c r="U82" s="1367"/>
      <c r="V82" s="1367"/>
      <c r="W82" s="1367"/>
      <c r="X82" s="1367"/>
      <c r="Y82" s="1367"/>
      <c r="Z82" s="1367"/>
      <c r="AA82" s="1367"/>
      <c r="AB82" s="1367"/>
      <c r="AC82" s="1367"/>
      <c r="AD82" s="1367"/>
      <c r="AE82" s="1367"/>
      <c r="AF82" s="1367"/>
      <c r="AG82" s="1367"/>
      <c r="AH82" s="1367"/>
      <c r="AI82" s="1367"/>
      <c r="AJ82" s="1367"/>
      <c r="AK82" s="1367"/>
      <c r="AL82" s="1367"/>
      <c r="AM82" s="1367"/>
      <c r="AN82" s="1367"/>
    </row>
    <row r="83" spans="1:40" customFormat="1" ht="14.25" customHeight="1">
      <c r="A83" s="790" t="s">
        <v>1790</v>
      </c>
      <c r="B83" s="2482"/>
      <c r="C83" s="2482"/>
      <c r="D83" s="2484"/>
      <c r="E83" s="183"/>
      <c r="F83" s="183"/>
      <c r="G83" s="183"/>
      <c r="H83" s="183"/>
      <c r="I83" s="183"/>
      <c r="J83" s="183"/>
      <c r="K83" s="183"/>
      <c r="L83" s="183"/>
      <c r="M83" s="183"/>
      <c r="N83" s="183"/>
      <c r="O83" s="183"/>
      <c r="P83" s="183"/>
      <c r="Q83" s="183"/>
      <c r="R83" s="183"/>
      <c r="S83" s="183"/>
      <c r="T83" s="183"/>
      <c r="U83" s="183"/>
      <c r="V83" s="183"/>
      <c r="W83" s="183"/>
      <c r="X83" s="183"/>
      <c r="Y83" s="183"/>
      <c r="Z83" s="183"/>
      <c r="AA83" s="183"/>
      <c r="AB83" s="183"/>
      <c r="AC83" s="183"/>
      <c r="AD83" s="183"/>
      <c r="AE83" s="183"/>
      <c r="AF83" s="183"/>
      <c r="AG83" s="183"/>
      <c r="AH83" s="183"/>
      <c r="AI83" s="183"/>
      <c r="AJ83" s="183"/>
      <c r="AK83" s="183"/>
      <c r="AL83" s="183"/>
      <c r="AM83" s="183"/>
      <c r="AN83" s="183"/>
    </row>
    <row r="84" spans="1:40">
      <c r="A84" s="183" t="s">
        <v>1791</v>
      </c>
      <c r="B84" s="875"/>
      <c r="C84" s="876"/>
      <c r="D84" s="876"/>
    </row>
    <row r="85" spans="1:40" ht="25.5">
      <c r="A85" s="877"/>
      <c r="B85" s="878"/>
      <c r="C85" s="2495" t="s">
        <v>1792</v>
      </c>
      <c r="D85" s="2495"/>
    </row>
    <row r="86" spans="1:40" ht="25.5">
      <c r="A86" s="877"/>
      <c r="B86" s="878"/>
      <c r="C86" s="2496" t="s">
        <v>843</v>
      </c>
      <c r="D86" s="2497"/>
    </row>
    <row r="87" spans="1:40" ht="28.5">
      <c r="A87" s="879" t="s">
        <v>839</v>
      </c>
      <c r="B87" s="880" t="s">
        <v>400</v>
      </c>
      <c r="C87" s="2498" t="s">
        <v>1793</v>
      </c>
      <c r="D87" s="2498"/>
    </row>
    <row r="88" spans="1:40" ht="14.25">
      <c r="A88" s="881" t="s">
        <v>1794</v>
      </c>
      <c r="B88" s="882" t="s">
        <v>403</v>
      </c>
      <c r="C88" s="2496" t="s">
        <v>404</v>
      </c>
      <c r="D88" s="2496"/>
    </row>
    <row r="89" spans="1:40" ht="28.5">
      <c r="A89" s="879"/>
      <c r="B89" s="878"/>
      <c r="C89" s="883"/>
      <c r="D89" s="883"/>
    </row>
    <row r="90" spans="1:40"/>
    <row r="91" spans="1:40"/>
    <row r="92" spans="1:40"/>
    <row r="93" spans="1:40"/>
    <row r="94" spans="1:40">
      <c r="A94" s="183" t="s">
        <v>1877</v>
      </c>
    </row>
  </sheetData>
  <sheetProtection password="C5F7" sheet="1" objects="1" scenarios="1" formatCells="0"/>
  <mergeCells count="117">
    <mergeCell ref="C85:D85"/>
    <mergeCell ref="C86:D86"/>
    <mergeCell ref="C87:D87"/>
    <mergeCell ref="C88:D88"/>
    <mergeCell ref="B80:B81"/>
    <mergeCell ref="C80:C81"/>
    <mergeCell ref="D80:D81"/>
    <mergeCell ref="B82:B83"/>
    <mergeCell ref="C82:C83"/>
    <mergeCell ref="D82:D83"/>
    <mergeCell ref="B76:B77"/>
    <mergeCell ref="C76:C77"/>
    <mergeCell ref="D76:D77"/>
    <mergeCell ref="B78:B79"/>
    <mergeCell ref="C78:C79"/>
    <mergeCell ref="D78:D79"/>
    <mergeCell ref="B72:B73"/>
    <mergeCell ref="C72:C73"/>
    <mergeCell ref="D72:D73"/>
    <mergeCell ref="B74:B75"/>
    <mergeCell ref="C74:C75"/>
    <mergeCell ref="D74:D75"/>
    <mergeCell ref="B68:B69"/>
    <mergeCell ref="C68:C69"/>
    <mergeCell ref="D68:D69"/>
    <mergeCell ref="B70:B71"/>
    <mergeCell ref="C70:C71"/>
    <mergeCell ref="D70:D71"/>
    <mergeCell ref="B64:B65"/>
    <mergeCell ref="C64:C65"/>
    <mergeCell ref="D64:D65"/>
    <mergeCell ref="B66:B67"/>
    <mergeCell ref="C66:C67"/>
    <mergeCell ref="D66:D67"/>
    <mergeCell ref="B60:B61"/>
    <mergeCell ref="C60:C61"/>
    <mergeCell ref="D60:D61"/>
    <mergeCell ref="B62:B63"/>
    <mergeCell ref="C62:C63"/>
    <mergeCell ref="D62:D63"/>
    <mergeCell ref="B56:B57"/>
    <mergeCell ref="C56:C57"/>
    <mergeCell ref="D56:D57"/>
    <mergeCell ref="B58:B59"/>
    <mergeCell ref="C58:C59"/>
    <mergeCell ref="D58:D59"/>
    <mergeCell ref="B52:B53"/>
    <mergeCell ref="C52:C53"/>
    <mergeCell ref="D52:D53"/>
    <mergeCell ref="B54:B55"/>
    <mergeCell ref="C54:C55"/>
    <mergeCell ref="D54:D55"/>
    <mergeCell ref="B48:B49"/>
    <mergeCell ref="C48:C49"/>
    <mergeCell ref="D48:D49"/>
    <mergeCell ref="B50:B51"/>
    <mergeCell ref="C50:C51"/>
    <mergeCell ref="D50:D51"/>
    <mergeCell ref="B44:B45"/>
    <mergeCell ref="C44:C45"/>
    <mergeCell ref="D44:D45"/>
    <mergeCell ref="B46:B47"/>
    <mergeCell ref="C46:C47"/>
    <mergeCell ref="D46:D47"/>
    <mergeCell ref="B40:B41"/>
    <mergeCell ref="C40:C41"/>
    <mergeCell ref="D40:D41"/>
    <mergeCell ref="B42:B43"/>
    <mergeCell ref="C42:C43"/>
    <mergeCell ref="D42:D43"/>
    <mergeCell ref="B36:B37"/>
    <mergeCell ref="C36:C37"/>
    <mergeCell ref="D36:D37"/>
    <mergeCell ref="B38:B39"/>
    <mergeCell ref="C38:C39"/>
    <mergeCell ref="F30:F31"/>
    <mergeCell ref="B32:B33"/>
    <mergeCell ref="C32:C33"/>
    <mergeCell ref="D32:D33"/>
    <mergeCell ref="B34:B35"/>
    <mergeCell ref="C34:C35"/>
    <mergeCell ref="D34:D35"/>
    <mergeCell ref="B28:B29"/>
    <mergeCell ref="C28:C29"/>
    <mergeCell ref="D28:D29"/>
    <mergeCell ref="B30:B31"/>
    <mergeCell ref="C30:C31"/>
    <mergeCell ref="D30:D31"/>
    <mergeCell ref="B24:B25"/>
    <mergeCell ref="C24:C25"/>
    <mergeCell ref="D24:D25"/>
    <mergeCell ref="B26:B27"/>
    <mergeCell ref="C26:C27"/>
    <mergeCell ref="D26:D27"/>
    <mergeCell ref="B20:B21"/>
    <mergeCell ref="C20:C21"/>
    <mergeCell ref="D20:D21"/>
    <mergeCell ref="B22:B23"/>
    <mergeCell ref="C22:C23"/>
    <mergeCell ref="D22:D23"/>
    <mergeCell ref="B16:B17"/>
    <mergeCell ref="C16:C17"/>
    <mergeCell ref="B18:B19"/>
    <mergeCell ref="C18:C19"/>
    <mergeCell ref="D18:D19"/>
    <mergeCell ref="B12:B13"/>
    <mergeCell ref="C12:C13"/>
    <mergeCell ref="B14:B15"/>
    <mergeCell ref="C14:C15"/>
    <mergeCell ref="C1:D1"/>
    <mergeCell ref="A2:D2"/>
    <mergeCell ref="A3:D3"/>
    <mergeCell ref="A4:D4"/>
    <mergeCell ref="C7:D7"/>
    <mergeCell ref="B10:B11"/>
    <mergeCell ref="C10:C11"/>
    <mergeCell ref="D10:D11"/>
  </mergeCells>
  <dataValidations count="2">
    <dataValidation type="decimal" operator="greaterThanOrEqual" allowBlank="1" showInputMessage="1" showErrorMessage="1" errorTitle="Validation Rule" error="Allow only number" sqref="B26:C27 B52:C53 B46:C47 B76:C77">
      <formula1>0</formula1>
    </dataValidation>
    <dataValidation type="decimal" allowBlank="1" showInputMessage="1" showErrorMessage="1" errorTitle="Validation Rule" error="Allow only number" sqref="B12:C19 B22:C25 B28:C43 B48:C51 B54:C57 B60:C67 B70:C75 B78:C83">
      <formula1>-1E+21</formula1>
      <formula2>1E+21</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M91"/>
  <sheetViews>
    <sheetView showGridLines="0" topLeftCell="A1048576" workbookViewId="0">
      <selection activeCell="J24" sqref="J24:J25"/>
    </sheetView>
  </sheetViews>
  <sheetFormatPr defaultColWidth="0" defaultRowHeight="12.75" zeroHeight="1"/>
  <cols>
    <col min="1" max="1" width="5.42578125" style="183" customWidth="1"/>
    <col min="2" max="2" width="3.7109375" style="183" customWidth="1"/>
    <col min="3" max="3" width="2.42578125" style="183" customWidth="1"/>
    <col min="4" max="4" width="11.42578125" style="183" customWidth="1"/>
    <col min="5" max="5" width="7.7109375" style="183" customWidth="1"/>
    <col min="6" max="6" width="11.42578125" style="183" customWidth="1"/>
    <col min="7" max="7" width="16.42578125" style="183" customWidth="1"/>
    <col min="8" max="8" width="28.140625" style="183" customWidth="1"/>
    <col min="9" max="9" width="21" style="183" customWidth="1"/>
    <col min="10" max="10" width="26.42578125" style="183" customWidth="1"/>
    <col min="11" max="11" width="6.28515625" style="183" customWidth="1"/>
    <col min="12" max="12" width="25" style="183" customWidth="1"/>
    <col min="13" max="13" width="6.42578125" style="183" customWidth="1"/>
    <col min="14" max="16384" width="0" style="183" hidden="1"/>
  </cols>
  <sheetData>
    <row r="1" spans="1:13" s="191" customFormat="1">
      <c r="L1" s="2500" t="s">
        <v>862</v>
      </c>
      <c r="M1" s="2500"/>
    </row>
    <row r="2" spans="1:13" s="1189" customFormat="1" ht="33" customHeight="1">
      <c r="A2" s="2501" t="s">
        <v>745</v>
      </c>
      <c r="B2" s="2501"/>
      <c r="C2" s="2501"/>
      <c r="D2" s="2501"/>
      <c r="E2" s="2501"/>
      <c r="F2" s="2501"/>
      <c r="G2" s="2501"/>
      <c r="H2" s="2501"/>
      <c r="I2" s="2501"/>
      <c r="J2" s="2501"/>
      <c r="K2" s="2501"/>
      <c r="L2" s="2501"/>
      <c r="M2" s="2501"/>
    </row>
    <row r="3" spans="1:13" s="1189" customFormat="1" ht="33" customHeight="1">
      <c r="A3" s="2501" t="s">
        <v>746</v>
      </c>
      <c r="B3" s="2501"/>
      <c r="C3" s="2501"/>
      <c r="D3" s="2501"/>
      <c r="E3" s="2501"/>
      <c r="F3" s="2501"/>
      <c r="G3" s="2501"/>
      <c r="H3" s="2501"/>
      <c r="I3" s="2501"/>
      <c r="J3" s="2501"/>
      <c r="K3" s="2501"/>
      <c r="L3" s="2501"/>
      <c r="M3" s="2501"/>
    </row>
    <row r="4" spans="1:13" ht="23.25">
      <c r="A4" s="2502" t="s">
        <v>747</v>
      </c>
      <c r="B4" s="2502"/>
      <c r="C4" s="2502"/>
      <c r="D4" s="2502"/>
      <c r="E4" s="2502"/>
      <c r="F4" s="2502"/>
      <c r="G4" s="2502"/>
      <c r="H4" s="2502"/>
      <c r="I4" s="2502"/>
      <c r="J4" s="2502"/>
      <c r="K4" s="2502"/>
      <c r="L4" s="2502"/>
      <c r="M4" s="2502"/>
    </row>
    <row r="5" spans="1:13" ht="23.25">
      <c r="A5" s="2502" t="s">
        <v>360</v>
      </c>
      <c r="B5" s="2502"/>
      <c r="C5" s="2502"/>
      <c r="D5" s="2502"/>
      <c r="E5" s="2502"/>
      <c r="F5" s="2502"/>
      <c r="G5" s="2502"/>
      <c r="H5" s="2502"/>
      <c r="I5" s="2502"/>
      <c r="J5" s="2502"/>
      <c r="K5" s="2502"/>
      <c r="L5" s="2502"/>
      <c r="M5" s="2502"/>
    </row>
    <row r="6" spans="1:13"/>
    <row r="7" spans="1:13" ht="23.25">
      <c r="A7" s="884" t="s">
        <v>748</v>
      </c>
      <c r="B7" s="884"/>
      <c r="C7" s="884"/>
      <c r="D7" s="885"/>
      <c r="E7" s="563" t="s">
        <v>749</v>
      </c>
      <c r="G7" s="564"/>
      <c r="H7" s="564"/>
      <c r="I7" s="564"/>
      <c r="J7" s="564"/>
      <c r="K7" s="564"/>
      <c r="L7" s="564"/>
      <c r="M7" s="564"/>
    </row>
    <row r="8" spans="1:13" ht="23.25">
      <c r="A8" s="884" t="s">
        <v>750</v>
      </c>
      <c r="B8" s="884"/>
      <c r="C8" s="884"/>
      <c r="D8" s="886"/>
      <c r="E8" s="563" t="s">
        <v>749</v>
      </c>
      <c r="G8" s="564"/>
      <c r="H8" s="564"/>
      <c r="I8" s="564"/>
      <c r="J8" s="884" t="s">
        <v>751</v>
      </c>
      <c r="K8" s="885"/>
      <c r="L8" s="1338">
        <v>4000</v>
      </c>
      <c r="M8" s="564"/>
    </row>
    <row r="9" spans="1:13" ht="23.25">
      <c r="A9" s="564"/>
      <c r="B9" s="564"/>
      <c r="C9" s="564"/>
      <c r="D9" s="564"/>
      <c r="E9" s="564"/>
      <c r="F9" s="564"/>
      <c r="G9" s="564"/>
      <c r="H9" s="564"/>
      <c r="I9" s="564"/>
      <c r="J9" s="564"/>
      <c r="K9" s="564"/>
      <c r="L9" s="564"/>
      <c r="M9" s="564"/>
    </row>
    <row r="10" spans="1:13" ht="23.25">
      <c r="A10" s="564"/>
      <c r="B10" s="564"/>
      <c r="C10" s="564"/>
      <c r="D10" s="564"/>
      <c r="E10" s="564"/>
      <c r="F10" s="564"/>
      <c r="G10" s="564"/>
      <c r="H10" s="564"/>
      <c r="I10" s="564"/>
      <c r="J10" s="887" t="s">
        <v>752</v>
      </c>
      <c r="K10" s="885"/>
      <c r="L10" s="887" t="s">
        <v>753</v>
      </c>
      <c r="M10" s="885"/>
    </row>
    <row r="11" spans="1:13" ht="23.25">
      <c r="A11" s="564"/>
      <c r="B11" s="564"/>
      <c r="C11" s="564"/>
      <c r="D11" s="564"/>
      <c r="E11" s="564"/>
      <c r="F11" s="564"/>
      <c r="G11" s="564"/>
      <c r="H11" s="564"/>
      <c r="I11" s="564"/>
      <c r="J11" s="888" t="s">
        <v>754</v>
      </c>
      <c r="K11" s="885"/>
      <c r="L11" s="888" t="s">
        <v>755</v>
      </c>
      <c r="M11" s="885"/>
    </row>
    <row r="12" spans="1:13" customFormat="1" ht="23.25">
      <c r="A12" s="146"/>
      <c r="B12" s="146"/>
      <c r="C12" s="146"/>
      <c r="D12" s="146"/>
      <c r="E12" s="146"/>
      <c r="F12" s="146"/>
      <c r="G12" s="146"/>
      <c r="H12" s="146"/>
      <c r="I12" s="146"/>
      <c r="J12" s="145"/>
      <c r="K12" s="146"/>
      <c r="L12" s="145"/>
      <c r="M12" s="146"/>
    </row>
    <row r="13" spans="1:13" s="150" customFormat="1" ht="21">
      <c r="A13" s="148" t="s">
        <v>756</v>
      </c>
      <c r="B13" s="148"/>
      <c r="C13" s="148"/>
      <c r="D13" s="149"/>
      <c r="E13" s="148"/>
      <c r="G13" s="149"/>
      <c r="H13" s="149" t="s">
        <v>757</v>
      </c>
      <c r="I13" s="149"/>
      <c r="J13" s="149"/>
      <c r="K13" s="149"/>
      <c r="L13" s="149"/>
      <c r="M13" s="149"/>
    </row>
    <row r="14" spans="1:13" s="150" customFormat="1" ht="11.25" customHeight="1">
      <c r="A14" s="149"/>
      <c r="B14" s="149"/>
      <c r="C14" s="149"/>
      <c r="D14" s="149"/>
      <c r="E14" s="149"/>
      <c r="F14" s="149"/>
      <c r="G14" s="149"/>
      <c r="H14" s="149"/>
      <c r="I14" s="149"/>
      <c r="J14" s="149"/>
      <c r="K14" s="149"/>
      <c r="L14" s="149"/>
      <c r="M14" s="149"/>
    </row>
    <row r="15" spans="1:13" s="150" customFormat="1" ht="21">
      <c r="A15" s="148" t="s">
        <v>758</v>
      </c>
      <c r="B15" s="148"/>
      <c r="C15" s="148"/>
      <c r="E15" s="149"/>
      <c r="F15" s="149"/>
      <c r="G15" s="149"/>
      <c r="H15" s="149"/>
      <c r="I15" s="149"/>
      <c r="J15" s="149"/>
      <c r="K15" s="149"/>
      <c r="L15" s="149"/>
      <c r="M15" s="149"/>
    </row>
    <row r="16" spans="1:13" s="150" customFormat="1" ht="16.5" customHeight="1">
      <c r="A16" s="149"/>
      <c r="B16" s="149"/>
      <c r="C16" s="149"/>
      <c r="D16" s="149"/>
      <c r="E16" s="149"/>
      <c r="F16" s="149"/>
      <c r="G16" s="149"/>
      <c r="H16" s="149"/>
      <c r="I16" s="149"/>
      <c r="J16" s="149"/>
      <c r="K16" s="149"/>
      <c r="L16" s="149"/>
      <c r="M16" s="149"/>
    </row>
    <row r="17" spans="1:13" s="150" customFormat="1" ht="21">
      <c r="A17" s="149"/>
      <c r="B17" s="151" t="s">
        <v>759</v>
      </c>
      <c r="C17" s="152" t="s">
        <v>760</v>
      </c>
      <c r="E17" s="149"/>
      <c r="F17" s="149"/>
      <c r="G17" s="149"/>
      <c r="H17" s="149"/>
      <c r="I17" s="149"/>
      <c r="J17" s="1339"/>
      <c r="K17" s="1340"/>
      <c r="L17" s="1341">
        <f>J17*$L$8/1000</f>
        <v>0</v>
      </c>
      <c r="M17" s="149"/>
    </row>
    <row r="18" spans="1:13" s="150" customFormat="1" ht="21">
      <c r="A18" s="151"/>
      <c r="B18" s="151" t="s">
        <v>759</v>
      </c>
      <c r="C18" s="147" t="s">
        <v>761</v>
      </c>
      <c r="E18" s="149"/>
      <c r="F18" s="149"/>
      <c r="G18" s="149"/>
      <c r="H18" s="149"/>
      <c r="I18" s="149"/>
      <c r="J18" s="1339"/>
      <c r="K18" s="1340"/>
      <c r="L18" s="1341">
        <f t="shared" ref="L18:L20" si="0">J18*$L$8/1000</f>
        <v>0</v>
      </c>
      <c r="M18" s="149"/>
    </row>
    <row r="19" spans="1:13" s="150" customFormat="1" ht="21">
      <c r="A19" s="151"/>
      <c r="B19" s="151" t="s">
        <v>759</v>
      </c>
      <c r="C19" s="153" t="s">
        <v>762</v>
      </c>
      <c r="E19" s="149"/>
      <c r="F19" s="149"/>
      <c r="G19" s="149"/>
      <c r="H19" s="149"/>
      <c r="I19" s="149"/>
      <c r="J19" s="1339"/>
      <c r="K19" s="1340"/>
      <c r="L19" s="1341">
        <f t="shared" si="0"/>
        <v>0</v>
      </c>
      <c r="M19" s="149"/>
    </row>
    <row r="20" spans="1:13" s="150" customFormat="1" ht="21">
      <c r="A20" s="151"/>
      <c r="B20" s="151" t="s">
        <v>759</v>
      </c>
      <c r="C20" s="147" t="s">
        <v>763</v>
      </c>
      <c r="E20" s="149"/>
      <c r="F20" s="149"/>
      <c r="G20" s="149"/>
      <c r="H20" s="149"/>
      <c r="I20" s="149"/>
      <c r="J20" s="1339"/>
      <c r="K20" s="1340"/>
      <c r="L20" s="1341">
        <f t="shared" si="0"/>
        <v>0</v>
      </c>
      <c r="M20" s="149"/>
    </row>
    <row r="21" spans="1:13" s="150" customFormat="1" ht="16.5" customHeight="1">
      <c r="A21" s="151"/>
      <c r="B21" s="151"/>
      <c r="C21" s="149"/>
      <c r="E21" s="149"/>
      <c r="F21" s="149"/>
      <c r="G21" s="149"/>
      <c r="H21" s="149"/>
      <c r="I21" s="149"/>
      <c r="J21" s="1340"/>
      <c r="K21" s="1340"/>
      <c r="L21" s="1340"/>
      <c r="M21" s="149"/>
    </row>
    <row r="22" spans="1:13" s="150" customFormat="1" ht="24" customHeight="1">
      <c r="A22" s="151"/>
      <c r="B22" s="151" t="s">
        <v>759</v>
      </c>
      <c r="C22" s="147" t="s">
        <v>764</v>
      </c>
      <c r="E22" s="149"/>
      <c r="F22" s="149"/>
      <c r="G22" s="149"/>
      <c r="H22" s="149"/>
      <c r="I22" s="149"/>
      <c r="J22" s="1340"/>
      <c r="K22" s="1340"/>
      <c r="L22" s="1340"/>
      <c r="M22" s="149"/>
    </row>
    <row r="23" spans="1:13" s="150" customFormat="1" ht="24" customHeight="1">
      <c r="A23" s="149"/>
      <c r="B23" s="149"/>
      <c r="C23" s="150" t="s">
        <v>765</v>
      </c>
      <c r="D23" s="147"/>
      <c r="E23" s="149"/>
      <c r="F23" s="149"/>
      <c r="G23" s="149"/>
      <c r="H23" s="149"/>
      <c r="I23" s="149"/>
      <c r="J23" s="1340"/>
      <c r="K23" s="1340"/>
      <c r="L23" s="1340"/>
      <c r="M23" s="149"/>
    </row>
    <row r="24" spans="1:13" s="150" customFormat="1" ht="24" customHeight="1">
      <c r="A24" s="149"/>
      <c r="B24" s="149"/>
      <c r="D24" s="149" t="s">
        <v>766</v>
      </c>
      <c r="E24" s="149"/>
      <c r="F24" s="149"/>
      <c r="G24" s="149"/>
      <c r="H24" s="149"/>
      <c r="I24" s="149"/>
      <c r="J24" s="1339"/>
      <c r="K24" s="1340"/>
      <c r="L24" s="1341">
        <f t="shared" ref="L24:L25" si="1">J24*$L$8/1000</f>
        <v>0</v>
      </c>
      <c r="M24" s="149"/>
    </row>
    <row r="25" spans="1:13" s="150" customFormat="1" ht="24" customHeight="1">
      <c r="A25" s="149"/>
      <c r="B25" s="149"/>
      <c r="D25" s="149" t="s">
        <v>767</v>
      </c>
      <c r="E25" s="149"/>
      <c r="F25" s="149"/>
      <c r="G25" s="149"/>
      <c r="H25" s="149"/>
      <c r="I25" s="149"/>
      <c r="J25" s="1342"/>
      <c r="K25" s="1340"/>
      <c r="L25" s="1341">
        <f t="shared" si="1"/>
        <v>0</v>
      </c>
      <c r="M25" s="149"/>
    </row>
    <row r="26" spans="1:13" s="150" customFormat="1" ht="16.5" customHeight="1" thickBot="1">
      <c r="A26" s="149"/>
      <c r="B26" s="149"/>
      <c r="C26" s="149"/>
      <c r="D26" s="149"/>
      <c r="E26" s="149"/>
      <c r="F26" s="149"/>
      <c r="G26" s="149"/>
      <c r="H26" s="149"/>
      <c r="I26" s="149"/>
      <c r="J26" s="1340"/>
      <c r="K26" s="1340"/>
      <c r="L26" s="1340"/>
      <c r="M26" s="149"/>
    </row>
    <row r="27" spans="1:13" s="150" customFormat="1" ht="21.75" thickBot="1">
      <c r="A27" s="149"/>
      <c r="B27" s="149"/>
      <c r="C27" s="149"/>
      <c r="D27" s="149"/>
      <c r="F27" s="149"/>
      <c r="G27" s="149"/>
      <c r="H27" s="148" t="s">
        <v>768</v>
      </c>
      <c r="J27" s="1343">
        <f>J17+J18+J20+J24+J25+J19</f>
        <v>0</v>
      </c>
      <c r="K27" s="1340"/>
      <c r="L27" s="1344">
        <f>L17+L18+L20+L24+L25+L19</f>
        <v>0</v>
      </c>
      <c r="M27" s="149"/>
    </row>
    <row r="28" spans="1:13" s="150" customFormat="1" ht="24" customHeight="1">
      <c r="A28" s="149"/>
      <c r="B28" s="151" t="s">
        <v>759</v>
      </c>
      <c r="C28" s="148" t="s">
        <v>769</v>
      </c>
      <c r="D28" s="149"/>
      <c r="F28" s="149"/>
      <c r="G28" s="149"/>
      <c r="H28" s="149"/>
      <c r="I28" s="149"/>
      <c r="J28" s="149"/>
      <c r="K28" s="149"/>
      <c r="L28" s="149"/>
      <c r="M28" s="149"/>
    </row>
    <row r="29" spans="1:13" s="150" customFormat="1" ht="24" customHeight="1">
      <c r="A29" s="149"/>
      <c r="B29" s="149"/>
      <c r="C29" s="149" t="s">
        <v>770</v>
      </c>
      <c r="D29" s="149"/>
      <c r="F29" s="149"/>
      <c r="G29" s="149"/>
      <c r="H29" s="149"/>
      <c r="I29" s="149"/>
      <c r="J29" s="1345" t="e">
        <f>J20/J27*100</f>
        <v>#DIV/0!</v>
      </c>
      <c r="K29" s="1346" t="s">
        <v>771</v>
      </c>
      <c r="L29" s="1347" t="e">
        <f>L20/L27*100</f>
        <v>#DIV/0!</v>
      </c>
      <c r="M29" s="147" t="s">
        <v>771</v>
      </c>
    </row>
    <row r="30" spans="1:13" s="150" customFormat="1" ht="21">
      <c r="A30" s="149"/>
      <c r="B30" s="149"/>
      <c r="C30" s="149"/>
      <c r="D30" s="149"/>
      <c r="E30" s="149"/>
      <c r="F30" s="149"/>
      <c r="G30" s="149"/>
      <c r="H30" s="149"/>
      <c r="I30" s="149"/>
      <c r="J30" s="149"/>
      <c r="K30" s="149"/>
      <c r="L30" s="149"/>
      <c r="M30" s="149"/>
    </row>
    <row r="31" spans="1:13" s="150" customFormat="1" ht="21">
      <c r="A31" s="148" t="s">
        <v>772</v>
      </c>
      <c r="B31" s="149"/>
      <c r="C31" s="149"/>
      <c r="E31" s="149"/>
      <c r="F31" s="149"/>
      <c r="G31" s="149"/>
      <c r="H31" s="149"/>
      <c r="I31" s="149"/>
      <c r="J31" s="149"/>
      <c r="K31" s="149"/>
      <c r="L31" s="149"/>
      <c r="M31" s="149"/>
    </row>
    <row r="32" spans="1:13" s="150" customFormat="1" ht="16.5" customHeight="1">
      <c r="A32" s="149"/>
      <c r="B32" s="149"/>
      <c r="C32" s="149"/>
      <c r="D32" s="149"/>
      <c r="E32" s="149"/>
      <c r="F32" s="149"/>
      <c r="G32" s="149"/>
      <c r="H32" s="149"/>
      <c r="I32" s="149"/>
      <c r="J32" s="149"/>
      <c r="K32" s="149"/>
      <c r="L32" s="149"/>
      <c r="M32" s="149"/>
    </row>
    <row r="33" spans="1:13" s="150" customFormat="1" ht="21">
      <c r="A33" s="149"/>
      <c r="B33" s="151" t="s">
        <v>759</v>
      </c>
      <c r="C33" s="147" t="s">
        <v>773</v>
      </c>
      <c r="E33" s="147"/>
      <c r="F33" s="149"/>
      <c r="G33" s="149"/>
      <c r="H33" s="149"/>
      <c r="I33" s="149"/>
      <c r="J33" s="1339"/>
      <c r="K33" s="149"/>
      <c r="L33" s="1349">
        <f>J33*$L$8/1000</f>
        <v>0</v>
      </c>
      <c r="M33" s="149"/>
    </row>
    <row r="34" spans="1:13" s="150" customFormat="1" ht="21">
      <c r="A34" s="151"/>
      <c r="B34" s="151" t="s">
        <v>759</v>
      </c>
      <c r="C34" s="147" t="s">
        <v>774</v>
      </c>
      <c r="E34" s="147"/>
      <c r="F34" s="149"/>
      <c r="G34" s="149"/>
      <c r="H34" s="149"/>
      <c r="I34" s="149"/>
      <c r="J34" s="1339"/>
      <c r="K34" s="149"/>
      <c r="L34" s="1349">
        <f t="shared" ref="L34:L35" si="2">J34*$L$8/1000</f>
        <v>0</v>
      </c>
      <c r="M34" s="149"/>
    </row>
    <row r="35" spans="1:13" s="150" customFormat="1" ht="21">
      <c r="A35" s="151"/>
      <c r="B35" s="151" t="s">
        <v>759</v>
      </c>
      <c r="C35" s="147" t="s">
        <v>775</v>
      </c>
      <c r="E35" s="147"/>
      <c r="F35" s="149"/>
      <c r="G35" s="149"/>
      <c r="H35" s="149"/>
      <c r="I35" s="149"/>
      <c r="J35" s="1339"/>
      <c r="K35" s="149"/>
      <c r="L35" s="1349">
        <f t="shared" si="2"/>
        <v>0</v>
      </c>
      <c r="M35" s="149"/>
    </row>
    <row r="36" spans="1:13" s="150" customFormat="1" ht="21">
      <c r="A36" s="151"/>
      <c r="B36" s="151" t="s">
        <v>759</v>
      </c>
      <c r="C36" s="147" t="s">
        <v>776</v>
      </c>
      <c r="E36" s="147"/>
      <c r="F36" s="149"/>
      <c r="G36" s="149"/>
      <c r="H36" s="149"/>
      <c r="I36" s="149"/>
      <c r="J36" s="1348">
        <f>SUM(J37:J39)</f>
        <v>0</v>
      </c>
      <c r="K36" s="149"/>
      <c r="L36" s="1350">
        <f>SUM(L37:L39)</f>
        <v>0</v>
      </c>
      <c r="M36" s="149"/>
    </row>
    <row r="37" spans="1:13" s="150" customFormat="1" ht="21">
      <c r="A37" s="151"/>
      <c r="B37" s="151"/>
      <c r="C37" s="151"/>
      <c r="D37" s="149" t="s">
        <v>777</v>
      </c>
      <c r="E37" s="149"/>
      <c r="F37" s="149"/>
      <c r="G37" s="149"/>
      <c r="H37" s="149"/>
      <c r="I37" s="149"/>
      <c r="J37" s="1339"/>
      <c r="K37" s="149"/>
      <c r="L37" s="1349">
        <f t="shared" ref="L37:L41" si="3">J37*$L$8/1000</f>
        <v>0</v>
      </c>
      <c r="M37" s="149"/>
    </row>
    <row r="38" spans="1:13" s="150" customFormat="1" ht="21">
      <c r="A38" s="151"/>
      <c r="B38" s="151"/>
      <c r="C38" s="151"/>
      <c r="D38" s="149" t="s">
        <v>778</v>
      </c>
      <c r="E38" s="149"/>
      <c r="F38" s="149"/>
      <c r="G38" s="149"/>
      <c r="H38" s="149"/>
      <c r="I38" s="149"/>
      <c r="J38" s="1339"/>
      <c r="K38" s="149"/>
      <c r="L38" s="1349">
        <f t="shared" si="3"/>
        <v>0</v>
      </c>
      <c r="M38" s="149"/>
    </row>
    <row r="39" spans="1:13" s="150" customFormat="1" ht="21">
      <c r="A39" s="151"/>
      <c r="B39" s="151"/>
      <c r="C39" s="151"/>
      <c r="D39" s="149" t="s">
        <v>779</v>
      </c>
      <c r="E39" s="149"/>
      <c r="F39" s="149"/>
      <c r="G39" s="149"/>
      <c r="H39" s="149"/>
      <c r="I39" s="149"/>
      <c r="J39" s="1339"/>
      <c r="K39" s="149"/>
      <c r="L39" s="1349">
        <f t="shared" si="3"/>
        <v>0</v>
      </c>
      <c r="M39" s="154"/>
    </row>
    <row r="40" spans="1:13" s="150" customFormat="1" ht="21">
      <c r="A40" s="151"/>
      <c r="B40" s="151"/>
      <c r="C40" s="151"/>
      <c r="D40" s="149" t="s">
        <v>780</v>
      </c>
      <c r="E40" s="149"/>
      <c r="F40" s="149"/>
      <c r="G40" s="149"/>
      <c r="H40" s="149"/>
      <c r="I40" s="149"/>
      <c r="J40" s="1314"/>
      <c r="K40" s="149"/>
      <c r="L40" s="1315"/>
      <c r="M40" s="149"/>
    </row>
    <row r="41" spans="1:13" s="150" customFormat="1" ht="21">
      <c r="A41" s="151"/>
      <c r="B41" s="151" t="s">
        <v>759</v>
      </c>
      <c r="C41" s="151"/>
      <c r="D41" s="147" t="s">
        <v>781</v>
      </c>
      <c r="E41" s="149"/>
      <c r="F41" s="149"/>
      <c r="G41" s="149"/>
      <c r="H41" s="149"/>
      <c r="I41" s="149"/>
      <c r="J41" s="1339"/>
      <c r="K41" s="149"/>
      <c r="L41" s="1341">
        <f t="shared" si="3"/>
        <v>0</v>
      </c>
      <c r="M41" s="149"/>
    </row>
    <row r="42" spans="1:13" s="150" customFormat="1" ht="24" customHeight="1">
      <c r="B42" s="155"/>
      <c r="C42" s="155"/>
      <c r="D42" s="155" t="s">
        <v>782</v>
      </c>
      <c r="E42" s="149"/>
      <c r="F42" s="149"/>
      <c r="G42" s="149"/>
      <c r="H42" s="149"/>
      <c r="I42" s="149"/>
      <c r="J42" s="1340"/>
      <c r="K42" s="149"/>
      <c r="L42" s="1340"/>
      <c r="M42" s="149"/>
    </row>
    <row r="43" spans="1:13" s="150" customFormat="1" ht="20.25" customHeight="1" thickBot="1">
      <c r="A43" s="149"/>
      <c r="B43" s="149"/>
      <c r="C43" s="149"/>
      <c r="D43" s="149" t="s">
        <v>783</v>
      </c>
      <c r="E43" s="149"/>
      <c r="F43" s="149"/>
      <c r="G43" s="149"/>
      <c r="H43" s="149"/>
      <c r="I43" s="149"/>
      <c r="J43" s="1340"/>
      <c r="K43" s="149"/>
      <c r="L43" s="1340"/>
      <c r="M43" s="149"/>
    </row>
    <row r="44" spans="1:13" s="150" customFormat="1" ht="24" customHeight="1" thickBot="1">
      <c r="A44" s="149"/>
      <c r="B44" s="149"/>
      <c r="C44" s="149"/>
      <c r="D44" s="149"/>
      <c r="F44" s="149"/>
      <c r="G44" s="149"/>
      <c r="H44" s="149"/>
      <c r="I44" s="148" t="s">
        <v>784</v>
      </c>
      <c r="J44" s="1343">
        <f>SUM(J33,J34,J36,J35,J41)</f>
        <v>0</v>
      </c>
      <c r="K44" s="149"/>
      <c r="L44" s="1344">
        <f>L33+L34+L35+L36+L41</f>
        <v>0</v>
      </c>
      <c r="M44" s="149"/>
    </row>
    <row r="45" spans="1:13" s="150" customFormat="1" ht="21.75" thickBot="1">
      <c r="A45" s="149"/>
      <c r="B45" s="149"/>
      <c r="C45" s="149"/>
      <c r="D45" s="149"/>
      <c r="E45" s="149"/>
      <c r="F45" s="149"/>
      <c r="G45" s="149"/>
      <c r="H45" s="149"/>
      <c r="I45" s="149"/>
      <c r="J45" s="1340"/>
      <c r="K45" s="149"/>
      <c r="L45" s="1340"/>
      <c r="M45" s="149"/>
    </row>
    <row r="46" spans="1:13" s="150" customFormat="1" ht="22.5" thickTop="1" thickBot="1">
      <c r="A46" s="152" t="s">
        <v>785</v>
      </c>
      <c r="B46" s="149"/>
      <c r="D46" s="156"/>
      <c r="E46" s="149"/>
      <c r="F46" s="149"/>
      <c r="G46" s="149"/>
      <c r="H46" s="149"/>
      <c r="I46" s="149"/>
      <c r="J46" s="1351">
        <f>J27-J44</f>
        <v>0</v>
      </c>
      <c r="K46" s="149"/>
      <c r="L46" s="1352">
        <f>L27-L44</f>
        <v>0</v>
      </c>
      <c r="M46" s="149"/>
    </row>
    <row r="47" spans="1:13" s="150" customFormat="1" ht="41.25" customHeight="1" thickTop="1">
      <c r="A47" s="149"/>
      <c r="B47" s="149"/>
      <c r="C47" s="149"/>
      <c r="D47" s="149"/>
      <c r="E47" s="149"/>
      <c r="F47" s="149"/>
      <c r="G47" s="149"/>
      <c r="H47" s="149"/>
      <c r="I47" s="149"/>
      <c r="J47" s="149"/>
      <c r="K47" s="149"/>
      <c r="L47" s="149"/>
      <c r="M47" s="149"/>
    </row>
    <row r="48" spans="1:13" s="150" customFormat="1" ht="21">
      <c r="A48" s="148" t="s">
        <v>786</v>
      </c>
      <c r="B48" s="148"/>
      <c r="C48" s="148"/>
      <c r="D48" s="149"/>
      <c r="E48" s="149"/>
      <c r="F48" s="148"/>
      <c r="G48" s="149"/>
      <c r="H48" s="149"/>
      <c r="I48" s="149"/>
      <c r="J48" s="149"/>
      <c r="K48" s="149"/>
      <c r="L48" s="149"/>
      <c r="M48" s="149"/>
    </row>
    <row r="49" spans="1:13" s="150" customFormat="1" ht="21">
      <c r="A49" s="149"/>
      <c r="B49" s="149"/>
      <c r="C49" s="149"/>
      <c r="D49" s="149"/>
      <c r="E49" s="149"/>
      <c r="F49" s="149"/>
      <c r="G49" s="149"/>
      <c r="H49" s="149"/>
      <c r="I49" s="149"/>
      <c r="J49" s="149"/>
      <c r="K49" s="149"/>
      <c r="L49" s="149"/>
      <c r="M49" s="149"/>
    </row>
    <row r="50" spans="1:13" s="150" customFormat="1" ht="21">
      <c r="A50" s="148" t="s">
        <v>787</v>
      </c>
      <c r="B50" s="149"/>
      <c r="C50" s="149"/>
      <c r="E50" s="149"/>
      <c r="F50" s="149"/>
      <c r="G50" s="149"/>
      <c r="H50" s="149"/>
      <c r="I50" s="149"/>
      <c r="J50" s="149"/>
      <c r="K50" s="149"/>
      <c r="L50" s="149"/>
      <c r="M50" s="149"/>
    </row>
    <row r="51" spans="1:13" s="150" customFormat="1" ht="21">
      <c r="A51" s="149"/>
      <c r="B51" s="149"/>
      <c r="C51" s="149"/>
      <c r="D51" s="149"/>
      <c r="E51" s="149"/>
      <c r="F51" s="149"/>
      <c r="G51" s="149"/>
      <c r="H51" s="149"/>
      <c r="I51" s="149"/>
      <c r="J51" s="149"/>
      <c r="K51" s="149"/>
      <c r="L51" s="149"/>
      <c r="M51" s="149"/>
    </row>
    <row r="52" spans="1:13" s="158" customFormat="1" ht="24" customHeight="1">
      <c r="A52" s="155"/>
      <c r="B52" s="157" t="s">
        <v>759</v>
      </c>
      <c r="C52" s="152" t="s">
        <v>788</v>
      </c>
      <c r="E52" s="155"/>
      <c r="F52" s="155"/>
      <c r="H52" s="155"/>
      <c r="I52" s="155"/>
      <c r="J52" s="565"/>
      <c r="K52" s="155"/>
      <c r="L52" s="824">
        <f t="shared" ref="L52" si="4">J52*$L$8/1000</f>
        <v>0</v>
      </c>
      <c r="M52" s="155"/>
    </row>
    <row r="53" spans="1:13" s="158" customFormat="1" ht="24" customHeight="1">
      <c r="A53" s="155"/>
      <c r="B53" s="155"/>
      <c r="C53" s="155" t="s">
        <v>789</v>
      </c>
      <c r="D53" s="152"/>
      <c r="E53" s="155"/>
      <c r="F53" s="155"/>
      <c r="G53" s="155"/>
      <c r="H53" s="155"/>
      <c r="I53" s="155"/>
      <c r="J53" s="159"/>
      <c r="K53" s="155"/>
      <c r="L53" s="159"/>
      <c r="M53" s="155"/>
    </row>
    <row r="54" spans="1:13" s="158" customFormat="1" ht="24" customHeight="1">
      <c r="B54" s="157" t="s">
        <v>759</v>
      </c>
      <c r="C54" s="152" t="s">
        <v>790</v>
      </c>
      <c r="E54" s="155"/>
      <c r="F54" s="155"/>
      <c r="G54" s="155"/>
      <c r="H54" s="155"/>
      <c r="I54" s="155"/>
      <c r="J54" s="1339"/>
      <c r="K54" s="1353"/>
      <c r="L54" s="1341">
        <f t="shared" ref="L54" si="5">J54*$L$8/1000</f>
        <v>0</v>
      </c>
      <c r="M54" s="155"/>
    </row>
    <row r="55" spans="1:13" s="158" customFormat="1" ht="24" customHeight="1">
      <c r="A55" s="157"/>
      <c r="B55" s="157"/>
      <c r="C55" s="160" t="s">
        <v>791</v>
      </c>
      <c r="D55" s="152"/>
      <c r="E55" s="155"/>
      <c r="F55" s="155"/>
      <c r="G55" s="155"/>
      <c r="H55" s="155"/>
      <c r="I55" s="155"/>
      <c r="J55" s="1353"/>
      <c r="K55" s="1353"/>
      <c r="L55" s="1353"/>
      <c r="M55" s="155"/>
    </row>
    <row r="56" spans="1:13" s="158" customFormat="1" ht="24" customHeight="1">
      <c r="B56" s="157" t="s">
        <v>759</v>
      </c>
      <c r="C56" s="152" t="s">
        <v>792</v>
      </c>
      <c r="E56" s="155"/>
      <c r="F56" s="155"/>
      <c r="G56" s="155"/>
      <c r="H56" s="155"/>
      <c r="I56" s="155"/>
      <c r="J56" s="1339"/>
      <c r="K56" s="1353"/>
      <c r="L56" s="1341">
        <f t="shared" ref="L56" si="6">J56*$L$8/1000</f>
        <v>0</v>
      </c>
      <c r="M56" s="155"/>
    </row>
    <row r="57" spans="1:13" s="158" customFormat="1" ht="24" customHeight="1">
      <c r="A57" s="157"/>
      <c r="B57" s="157"/>
      <c r="C57" s="160" t="s">
        <v>793</v>
      </c>
      <c r="D57" s="152"/>
      <c r="E57" s="155"/>
      <c r="F57" s="155"/>
      <c r="G57" s="155"/>
      <c r="H57" s="155"/>
      <c r="I57" s="155"/>
      <c r="J57" s="1354"/>
      <c r="K57" s="1353"/>
      <c r="L57" s="1354"/>
      <c r="M57" s="155"/>
    </row>
    <row r="58" spans="1:13" s="158" customFormat="1" ht="24" customHeight="1">
      <c r="B58" s="157" t="s">
        <v>759</v>
      </c>
      <c r="C58" s="152" t="s">
        <v>794</v>
      </c>
      <c r="E58" s="155"/>
      <c r="F58" s="155"/>
      <c r="G58" s="155"/>
      <c r="H58" s="155"/>
      <c r="I58" s="155"/>
      <c r="J58" s="1339"/>
      <c r="K58" s="1353"/>
      <c r="L58" s="1341">
        <f t="shared" ref="L58" si="7">J58*$L$8/1000</f>
        <v>0</v>
      </c>
      <c r="M58" s="155"/>
    </row>
    <row r="59" spans="1:13" s="158" customFormat="1" ht="24" customHeight="1">
      <c r="A59" s="157"/>
      <c r="B59" s="157"/>
      <c r="C59" s="160" t="s">
        <v>795</v>
      </c>
      <c r="D59" s="152"/>
      <c r="E59" s="155"/>
      <c r="F59" s="155"/>
      <c r="G59" s="155"/>
      <c r="H59" s="155"/>
      <c r="I59" s="155"/>
      <c r="J59" s="1353"/>
      <c r="K59" s="1353"/>
      <c r="L59" s="1353"/>
      <c r="M59" s="155"/>
    </row>
    <row r="60" spans="1:13" s="158" customFormat="1" ht="24" customHeight="1">
      <c r="B60" s="157" t="s">
        <v>759</v>
      </c>
      <c r="C60" s="152" t="s">
        <v>796</v>
      </c>
      <c r="E60" s="155"/>
      <c r="F60" s="155"/>
      <c r="G60" s="155"/>
      <c r="H60" s="155"/>
      <c r="I60" s="155"/>
      <c r="J60" s="1353"/>
      <c r="K60" s="1353"/>
      <c r="L60" s="1353"/>
      <c r="M60" s="155"/>
    </row>
    <row r="61" spans="1:13" s="158" customFormat="1" ht="24" customHeight="1">
      <c r="A61" s="155"/>
      <c r="B61" s="155"/>
      <c r="C61" s="155" t="s">
        <v>797</v>
      </c>
      <c r="D61" s="152"/>
      <c r="E61" s="155"/>
      <c r="F61" s="155"/>
      <c r="G61" s="155"/>
      <c r="H61" s="155"/>
      <c r="I61" s="155"/>
      <c r="J61" s="1353"/>
      <c r="K61" s="1353"/>
      <c r="L61" s="1353"/>
      <c r="M61" s="155"/>
    </row>
    <row r="62" spans="1:13" s="158" customFormat="1" ht="24" customHeight="1">
      <c r="A62" s="155"/>
      <c r="B62" s="155"/>
      <c r="C62" s="155"/>
      <c r="D62" s="149" t="s">
        <v>766</v>
      </c>
      <c r="E62" s="155"/>
      <c r="F62" s="155"/>
      <c r="G62" s="155"/>
      <c r="H62" s="155"/>
      <c r="I62" s="155"/>
      <c r="J62" s="1339"/>
      <c r="K62" s="1353"/>
      <c r="L62" s="1341">
        <f t="shared" ref="L62:L63" si="8">J62*$L$8/1000</f>
        <v>0</v>
      </c>
      <c r="M62" s="155"/>
    </row>
    <row r="63" spans="1:13" s="158" customFormat="1" ht="24" customHeight="1">
      <c r="A63" s="155"/>
      <c r="B63" s="155"/>
      <c r="C63" s="155"/>
      <c r="D63" s="149" t="s">
        <v>767</v>
      </c>
      <c r="E63" s="155"/>
      <c r="F63" s="155"/>
      <c r="G63" s="155"/>
      <c r="H63" s="155"/>
      <c r="I63" s="155"/>
      <c r="J63" s="1339"/>
      <c r="K63" s="1353"/>
      <c r="L63" s="1341">
        <f t="shared" si="8"/>
        <v>0</v>
      </c>
      <c r="M63" s="155"/>
    </row>
    <row r="64" spans="1:13" s="150" customFormat="1" ht="21.75" thickBot="1">
      <c r="A64" s="149"/>
      <c r="B64" s="149"/>
      <c r="C64" s="149"/>
      <c r="D64" s="149"/>
      <c r="E64" s="149"/>
      <c r="F64" s="149"/>
      <c r="G64" s="149"/>
      <c r="H64" s="149"/>
      <c r="I64" s="149"/>
      <c r="J64" s="1340"/>
      <c r="K64" s="1340"/>
      <c r="L64" s="1340"/>
      <c r="M64" s="149"/>
    </row>
    <row r="65" spans="1:13" s="150" customFormat="1" ht="21.75" thickBot="1">
      <c r="A65" s="149"/>
      <c r="B65" s="149"/>
      <c r="C65" s="149"/>
      <c r="D65" s="149"/>
      <c r="F65" s="149"/>
      <c r="G65" s="149"/>
      <c r="H65" s="149"/>
      <c r="I65" s="148" t="s">
        <v>798</v>
      </c>
      <c r="J65" s="1343">
        <f>J52+J54+J56+J58+J62+J63</f>
        <v>0</v>
      </c>
      <c r="K65" s="1340"/>
      <c r="L65" s="1344">
        <f>L52+L54+L56+L58+L62+L63</f>
        <v>0</v>
      </c>
      <c r="M65" s="149"/>
    </row>
    <row r="66" spans="1:13" s="150" customFormat="1" ht="21">
      <c r="A66" s="149"/>
      <c r="B66" s="149"/>
      <c r="C66" s="149"/>
      <c r="D66" s="149"/>
      <c r="E66" s="149"/>
      <c r="F66" s="149"/>
      <c r="G66" s="149"/>
      <c r="H66" s="149"/>
      <c r="I66" s="149"/>
      <c r="J66" s="1340"/>
      <c r="K66" s="1340"/>
      <c r="L66" s="1340"/>
      <c r="M66" s="149"/>
    </row>
    <row r="67" spans="1:13" s="150" customFormat="1" ht="21">
      <c r="A67" s="149"/>
      <c r="B67" s="157" t="s">
        <v>759</v>
      </c>
      <c r="C67" s="148" t="s">
        <v>799</v>
      </c>
      <c r="D67" s="149"/>
      <c r="F67" s="149"/>
      <c r="G67" s="149"/>
      <c r="H67" s="149"/>
      <c r="I67" s="149"/>
      <c r="J67" s="1345" t="e">
        <f>J58/J46*100</f>
        <v>#DIV/0!</v>
      </c>
      <c r="K67" s="1346" t="s">
        <v>771</v>
      </c>
      <c r="L67" s="1347" t="e">
        <f>L58/L46*100</f>
        <v>#DIV/0!</v>
      </c>
      <c r="M67" s="147" t="s">
        <v>771</v>
      </c>
    </row>
    <row r="68" spans="1:13" s="150" customFormat="1" ht="21">
      <c r="A68" s="149"/>
      <c r="B68" s="149"/>
      <c r="C68" s="149" t="s">
        <v>800</v>
      </c>
      <c r="D68" s="149"/>
      <c r="F68" s="149"/>
      <c r="G68" s="149"/>
      <c r="H68" s="149"/>
      <c r="I68" s="149"/>
      <c r="J68" s="149"/>
      <c r="L68" s="149"/>
    </row>
    <row r="69" spans="1:13" s="150" customFormat="1" ht="21">
      <c r="A69" s="149"/>
      <c r="B69" s="149"/>
      <c r="C69" s="149"/>
      <c r="D69" s="149"/>
      <c r="E69" s="149"/>
      <c r="F69" s="149"/>
      <c r="G69" s="149"/>
      <c r="H69" s="149"/>
      <c r="I69" s="149"/>
      <c r="J69" s="149"/>
      <c r="K69" s="149"/>
      <c r="L69" s="149"/>
      <c r="M69" s="149"/>
    </row>
    <row r="70" spans="1:13" s="150" customFormat="1" ht="21">
      <c r="A70" s="148" t="s">
        <v>801</v>
      </c>
      <c r="B70" s="149"/>
      <c r="C70" s="149"/>
      <c r="E70" s="149"/>
      <c r="F70" s="149"/>
      <c r="G70" s="149"/>
      <c r="H70" s="149"/>
      <c r="I70" s="149"/>
      <c r="J70" s="149"/>
      <c r="K70" s="149"/>
      <c r="L70" s="149"/>
      <c r="M70" s="149"/>
    </row>
    <row r="71" spans="1:13" s="150" customFormat="1" ht="21">
      <c r="A71" s="149"/>
      <c r="B71" s="149"/>
      <c r="C71" s="149"/>
      <c r="D71" s="149"/>
      <c r="E71" s="149"/>
      <c r="F71" s="149"/>
      <c r="G71" s="149"/>
      <c r="H71" s="149"/>
      <c r="I71" s="149"/>
      <c r="J71" s="149"/>
      <c r="K71" s="149"/>
      <c r="L71" s="149"/>
      <c r="M71" s="149"/>
    </row>
    <row r="72" spans="1:13" s="150" customFormat="1" ht="21">
      <c r="A72" s="149"/>
      <c r="B72" s="151" t="s">
        <v>759</v>
      </c>
      <c r="C72" s="147" t="s">
        <v>802</v>
      </c>
      <c r="E72" s="149"/>
      <c r="F72" s="149"/>
      <c r="G72" s="149"/>
      <c r="H72" s="149"/>
      <c r="I72" s="149"/>
      <c r="J72" s="1339"/>
      <c r="K72" s="1340"/>
      <c r="L72" s="1341">
        <f t="shared" ref="L72:L73" si="9">J72*$L$8/1000</f>
        <v>0</v>
      </c>
      <c r="M72" s="149"/>
    </row>
    <row r="73" spans="1:13" s="150" customFormat="1" ht="21">
      <c r="B73" s="151" t="s">
        <v>759</v>
      </c>
      <c r="C73" s="147" t="s">
        <v>803</v>
      </c>
      <c r="E73" s="149"/>
      <c r="F73" s="149"/>
      <c r="G73" s="149"/>
      <c r="H73" s="149"/>
      <c r="I73" s="149"/>
      <c r="J73" s="1339"/>
      <c r="K73" s="1340"/>
      <c r="L73" s="1341">
        <f t="shared" si="9"/>
        <v>0</v>
      </c>
      <c r="M73" s="149"/>
    </row>
    <row r="74" spans="1:13" s="150" customFormat="1" ht="21.75" thickBot="1">
      <c r="A74" s="149"/>
      <c r="B74" s="149"/>
      <c r="C74" s="149"/>
      <c r="D74" s="149"/>
      <c r="E74" s="149"/>
      <c r="F74" s="149"/>
      <c r="G74" s="149"/>
      <c r="H74" s="149"/>
      <c r="I74" s="149"/>
      <c r="J74" s="1340"/>
      <c r="K74" s="1340"/>
      <c r="L74" s="1340"/>
      <c r="M74" s="149"/>
    </row>
    <row r="75" spans="1:13" s="150" customFormat="1" ht="21.75" thickBot="1">
      <c r="A75" s="149"/>
      <c r="B75" s="149"/>
      <c r="C75" s="149"/>
      <c r="D75" s="149"/>
      <c r="F75" s="149"/>
      <c r="G75" s="149"/>
      <c r="H75" s="149"/>
      <c r="I75" s="148" t="s">
        <v>804</v>
      </c>
      <c r="J75" s="1355">
        <f>J72+J73</f>
        <v>0</v>
      </c>
      <c r="K75" s="1340"/>
      <c r="L75" s="1356">
        <f>L72+L73</f>
        <v>0</v>
      </c>
      <c r="M75" s="149"/>
    </row>
    <row r="76" spans="1:13" s="150" customFormat="1" ht="21.75" thickBot="1">
      <c r="A76" s="149"/>
      <c r="B76" s="149"/>
      <c r="C76" s="149"/>
      <c r="D76" s="149"/>
      <c r="E76" s="149"/>
      <c r="F76" s="149"/>
      <c r="G76" s="149"/>
      <c r="H76" s="149"/>
      <c r="I76" s="149"/>
      <c r="J76" s="1340"/>
      <c r="K76" s="1340"/>
      <c r="L76" s="1340"/>
      <c r="M76" s="149"/>
    </row>
    <row r="77" spans="1:13" s="150" customFormat="1" ht="22.5" thickTop="1" thickBot="1">
      <c r="A77" s="148" t="s">
        <v>805</v>
      </c>
      <c r="B77" s="149"/>
      <c r="E77" s="149"/>
      <c r="F77" s="149"/>
      <c r="G77" s="149"/>
      <c r="H77" s="149"/>
      <c r="I77" s="149"/>
      <c r="J77" s="1351">
        <f>J65-J75</f>
        <v>0</v>
      </c>
      <c r="K77" s="1340"/>
      <c r="L77" s="1352">
        <f>L65-L75</f>
        <v>0</v>
      </c>
      <c r="M77" s="149"/>
    </row>
    <row r="78" spans="1:13" s="150" customFormat="1" ht="21.75" thickTop="1">
      <c r="A78" s="149"/>
      <c r="B78" s="149"/>
      <c r="C78" s="149"/>
      <c r="D78" s="149"/>
      <c r="E78" s="149"/>
      <c r="F78" s="149"/>
      <c r="G78" s="149"/>
      <c r="H78" s="149"/>
      <c r="I78" s="149"/>
      <c r="J78" s="1340"/>
      <c r="K78" s="1340"/>
      <c r="L78" s="1340"/>
      <c r="M78" s="149"/>
    </row>
    <row r="79" spans="1:13" s="150" customFormat="1" ht="21">
      <c r="A79" s="149"/>
      <c r="B79" s="151" t="s">
        <v>759</v>
      </c>
      <c r="C79" s="148" t="s">
        <v>806</v>
      </c>
      <c r="D79" s="149"/>
      <c r="F79" s="149"/>
      <c r="G79" s="149"/>
      <c r="H79" s="149"/>
      <c r="I79" s="149"/>
      <c r="J79" s="1357" t="e">
        <f>J77/J46*100</f>
        <v>#DIV/0!</v>
      </c>
      <c r="K79" s="1346" t="s">
        <v>771</v>
      </c>
      <c r="L79" s="1358" t="e">
        <f>L77/L46*100</f>
        <v>#DIV/0!</v>
      </c>
      <c r="M79" s="147" t="s">
        <v>771</v>
      </c>
    </row>
    <row r="80" spans="1:13" s="150" customFormat="1" ht="21">
      <c r="A80" s="149"/>
      <c r="B80" s="149"/>
      <c r="C80" s="149" t="s">
        <v>807</v>
      </c>
      <c r="D80" s="149"/>
      <c r="F80" s="149"/>
      <c r="G80" s="149"/>
      <c r="H80" s="149"/>
      <c r="I80" s="149"/>
      <c r="J80" s="1340"/>
      <c r="K80" s="1359"/>
      <c r="L80" s="1340"/>
    </row>
    <row r="81" spans="1:13" s="150" customFormat="1" ht="21.75" thickBot="1">
      <c r="A81" s="149"/>
      <c r="B81" s="149"/>
      <c r="C81" s="149"/>
      <c r="D81" s="149"/>
      <c r="E81" s="149"/>
      <c r="F81" s="149"/>
      <c r="G81" s="149"/>
      <c r="H81" s="149"/>
      <c r="I81" s="149"/>
      <c r="J81" s="1340"/>
      <c r="K81" s="1340"/>
      <c r="L81" s="1340"/>
      <c r="M81" s="149"/>
    </row>
    <row r="82" spans="1:13" s="150" customFormat="1" ht="22.5" thickTop="1" thickBot="1">
      <c r="A82" s="161" t="s">
        <v>808</v>
      </c>
      <c r="B82" s="161"/>
      <c r="C82" s="161"/>
      <c r="D82" s="149"/>
      <c r="E82" s="149"/>
      <c r="F82" s="149"/>
      <c r="G82" s="149"/>
      <c r="H82" s="149"/>
      <c r="I82" s="149"/>
      <c r="J82" s="1360">
        <f>J46+J77</f>
        <v>0</v>
      </c>
      <c r="K82" s="1340"/>
      <c r="L82" s="1361">
        <f>L46+L77</f>
        <v>0</v>
      </c>
      <c r="M82" s="149"/>
    </row>
    <row r="83" spans="1:13" s="150" customFormat="1" ht="21.75" thickTop="1">
      <c r="A83" s="149"/>
      <c r="B83" s="149"/>
      <c r="C83" s="149"/>
      <c r="D83" s="149"/>
      <c r="E83" s="149"/>
      <c r="F83" s="149"/>
      <c r="G83" s="149"/>
      <c r="H83" s="149"/>
      <c r="I83" s="149"/>
      <c r="J83" s="149"/>
      <c r="K83" s="149"/>
      <c r="L83" s="149"/>
      <c r="M83" s="149"/>
    </row>
    <row r="84" spans="1:13" s="829" customFormat="1" ht="21">
      <c r="A84" s="826"/>
      <c r="B84" s="826"/>
      <c r="C84" s="826"/>
      <c r="D84" s="826"/>
      <c r="E84" s="826"/>
      <c r="F84" s="826"/>
      <c r="G84" s="826"/>
      <c r="H84" s="826"/>
      <c r="I84" s="826"/>
      <c r="J84" s="826"/>
      <c r="K84" s="826"/>
      <c r="L84" s="826"/>
      <c r="M84" s="826"/>
    </row>
    <row r="85" spans="1:13" s="829" customFormat="1" ht="21">
      <c r="A85" s="826"/>
      <c r="B85" s="826"/>
      <c r="C85" s="826"/>
      <c r="D85" s="826"/>
      <c r="E85" s="826"/>
      <c r="F85" s="826"/>
      <c r="G85" s="826"/>
      <c r="H85" s="826"/>
      <c r="I85" s="826"/>
      <c r="J85" s="826"/>
      <c r="K85" s="2503" t="s">
        <v>809</v>
      </c>
      <c r="L85" s="2503"/>
      <c r="M85" s="826"/>
    </row>
    <row r="86" spans="1:13" s="829" customFormat="1" ht="24" customHeight="1">
      <c r="A86" s="827"/>
      <c r="B86" s="827"/>
      <c r="C86" s="827"/>
      <c r="D86" s="827"/>
      <c r="E86" s="828"/>
      <c r="F86" s="827"/>
      <c r="G86" s="827"/>
      <c r="H86" s="827"/>
      <c r="I86" s="827"/>
      <c r="J86" s="828"/>
      <c r="K86" s="829" t="s">
        <v>810</v>
      </c>
      <c r="M86" s="826"/>
    </row>
    <row r="87" spans="1:13" s="829" customFormat="1" ht="21">
      <c r="A87" s="827"/>
      <c r="B87" s="827"/>
      <c r="C87" s="2499" t="s">
        <v>469</v>
      </c>
      <c r="D87" s="2499"/>
      <c r="E87" s="2499"/>
      <c r="F87" s="827"/>
      <c r="G87" s="827"/>
      <c r="H87" s="827"/>
      <c r="I87" s="827"/>
      <c r="J87" s="827"/>
      <c r="K87" s="2499" t="s">
        <v>399</v>
      </c>
      <c r="L87" s="2499"/>
      <c r="M87" s="826"/>
    </row>
    <row r="88" spans="1:13" s="829" customFormat="1" ht="24" customHeight="1">
      <c r="A88" s="826"/>
      <c r="B88" s="826"/>
      <c r="C88" s="826" t="s">
        <v>811</v>
      </c>
      <c r="D88" s="826"/>
      <c r="E88" s="826"/>
      <c r="F88" s="826"/>
      <c r="G88" s="826"/>
      <c r="H88" s="826"/>
      <c r="I88" s="826"/>
      <c r="J88" s="826"/>
      <c r="K88" s="2499" t="s">
        <v>402</v>
      </c>
      <c r="L88" s="2499"/>
      <c r="M88" s="826"/>
    </row>
    <row r="89" spans="1:13" s="829" customFormat="1" ht="60" customHeight="1">
      <c r="A89" s="826"/>
      <c r="B89" s="826"/>
      <c r="C89" s="830"/>
      <c r="D89" s="830"/>
      <c r="E89" s="830"/>
      <c r="H89" s="826"/>
      <c r="I89" s="826"/>
      <c r="K89" s="830"/>
      <c r="L89" s="830"/>
      <c r="M89" s="826"/>
    </row>
    <row r="90" spans="1:13" s="829" customFormat="1" ht="21">
      <c r="A90" s="826"/>
      <c r="B90" s="826"/>
      <c r="C90" s="826"/>
      <c r="D90" s="826"/>
      <c r="E90" s="826"/>
      <c r="F90" s="826"/>
      <c r="G90" s="826"/>
      <c r="H90" s="826"/>
      <c r="I90" s="826"/>
      <c r="J90" s="826"/>
      <c r="K90" s="826"/>
      <c r="L90" s="826"/>
      <c r="M90" s="826"/>
    </row>
    <row r="91" spans="1:13" s="829" customFormat="1" ht="21">
      <c r="A91" s="826"/>
      <c r="B91" s="826"/>
      <c r="C91" s="826"/>
      <c r="D91" s="826"/>
      <c r="E91" s="826"/>
      <c r="F91" s="826"/>
      <c r="G91" s="826"/>
      <c r="H91" s="826"/>
      <c r="I91" s="826"/>
      <c r="J91" s="826"/>
      <c r="K91" s="826"/>
      <c r="L91" s="826"/>
      <c r="M91" s="826"/>
    </row>
  </sheetData>
  <sheetProtection password="D9F7" sheet="1" objects="1" scenarios="1"/>
  <mergeCells count="9">
    <mergeCell ref="C87:E87"/>
    <mergeCell ref="K87:L87"/>
    <mergeCell ref="K88:L88"/>
    <mergeCell ref="L1:M1"/>
    <mergeCell ref="A2:M2"/>
    <mergeCell ref="A3:M3"/>
    <mergeCell ref="A4:M4"/>
    <mergeCell ref="A5:M5"/>
    <mergeCell ref="K85:L85"/>
  </mergeCells>
  <dataValidations xWindow="871" yWindow="417" count="3">
    <dataValidation type="decimal" operator="greaterThanOrEqual" allowBlank="1" showErrorMessage="1" errorTitle="Validation Rule" error="Allow only number" promptTitle="Validation Rule" prompt="Allow only number" sqref="J17:J20">
      <formula1>0</formula1>
    </dataValidation>
    <dataValidation type="decimal" operator="greaterThanOrEqual" allowBlank="1" showInputMessage="1" showErrorMessage="1" errorTitle="Validation Rule" error="Allow only number" sqref="J72:J73 J24:J25 L62:L63 L72:L73 L17:L20 J52 L24:L25 J54 J33:J41 J56 L52 J58 L54 L56 J62:J63 L58 L33:L41">
      <formula1>0</formula1>
    </dataValidation>
    <dataValidation type="decimal" operator="greaterThanOrEqual" allowBlank="1" showInputMessage="1" showErrorMessage="1" sqref="L8">
      <formula1>0</formula1>
    </dataValidation>
  </dataValidations>
  <pageMargins left="0.7" right="0.7" top="0.75" bottom="0.75" header="0.3" footer="0.3"/>
  <pageSetup scale="55"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theme="0"/>
  </sheetPr>
  <dimension ref="A1:J398"/>
  <sheetViews>
    <sheetView showGridLines="0" topLeftCell="A34" zoomScale="115" zoomScaleNormal="115" workbookViewId="0">
      <selection activeCell="F40" sqref="F40:F45"/>
    </sheetView>
  </sheetViews>
  <sheetFormatPr defaultColWidth="0" defaultRowHeight="12.75" zeroHeight="1"/>
  <cols>
    <col min="1" max="1" width="3.5703125" customWidth="1"/>
    <col min="2" max="2" width="4" customWidth="1"/>
    <col min="3" max="3" width="4.140625" customWidth="1"/>
    <col min="4" max="4" width="17.42578125" customWidth="1"/>
    <col min="5" max="5" width="46.85546875" customWidth="1"/>
    <col min="6" max="6" width="16.28515625" customWidth="1"/>
    <col min="7" max="7" width="10.28515625" style="4" customWidth="1"/>
    <col min="8" max="8" width="10.85546875" customWidth="1"/>
    <col min="9" max="9" width="13" customWidth="1"/>
    <col min="10" max="10" width="9.140625" customWidth="1"/>
  </cols>
  <sheetData>
    <row r="1" spans="1:10" s="191" customFormat="1" ht="26.25" customHeight="1">
      <c r="A1" s="2529" t="s">
        <v>666</v>
      </c>
      <c r="B1" s="2529"/>
      <c r="C1" s="2529"/>
      <c r="D1" s="2529"/>
      <c r="E1" s="2529"/>
      <c r="F1" s="2529"/>
      <c r="G1" s="2529"/>
      <c r="H1" s="2529"/>
      <c r="I1" s="2529"/>
    </row>
    <row r="2" spans="1:10" s="191" customFormat="1" ht="15" customHeight="1">
      <c r="A2" s="2530" t="s">
        <v>667</v>
      </c>
      <c r="B2" s="2530"/>
      <c r="C2" s="2530"/>
      <c r="D2" s="2531"/>
      <c r="E2" s="2531"/>
      <c r="F2" s="2531"/>
      <c r="G2" s="2531"/>
      <c r="H2" s="2531"/>
      <c r="I2" s="2531"/>
      <c r="J2" s="1190"/>
    </row>
    <row r="3" spans="1:10" s="183" customFormat="1" ht="20.25" customHeight="1">
      <c r="A3" s="2514" t="s">
        <v>658</v>
      </c>
      <c r="B3" s="2514"/>
      <c r="C3" s="2514"/>
      <c r="D3" s="2514"/>
      <c r="E3" s="2514"/>
      <c r="F3" s="2514"/>
      <c r="G3" s="2514"/>
      <c r="H3" s="2514"/>
      <c r="I3" s="2514"/>
      <c r="J3" s="889"/>
    </row>
    <row r="4" spans="1:10" s="183" customFormat="1" ht="17.25" customHeight="1">
      <c r="A4" s="2514" t="s">
        <v>360</v>
      </c>
      <c r="B4" s="2514"/>
      <c r="C4" s="2514"/>
      <c r="D4" s="2514"/>
      <c r="E4" s="2514"/>
      <c r="F4" s="2514"/>
      <c r="G4" s="2514"/>
      <c r="H4" s="2514"/>
      <c r="I4" s="2514"/>
      <c r="J4" s="889"/>
    </row>
    <row r="5" spans="1:10" s="183" customFormat="1" ht="18.75" customHeight="1">
      <c r="A5" s="2515" t="s">
        <v>659</v>
      </c>
      <c r="B5" s="2515"/>
      <c r="C5" s="2515"/>
      <c r="D5" s="2515"/>
      <c r="E5" s="269"/>
      <c r="F5" s="269"/>
      <c r="G5" s="269"/>
      <c r="H5" s="1191" t="s">
        <v>861</v>
      </c>
      <c r="I5" s="1192"/>
      <c r="J5" s="889"/>
    </row>
    <row r="6" spans="1:10" s="895" customFormat="1" ht="16.5" customHeight="1">
      <c r="A6" s="300" t="s">
        <v>362</v>
      </c>
      <c r="B6" s="300"/>
      <c r="C6" s="300"/>
      <c r="D6" s="301"/>
      <c r="E6" s="302"/>
      <c r="F6" s="302"/>
      <c r="G6" s="891"/>
      <c r="H6" s="892"/>
      <c r="I6" s="893"/>
      <c r="J6" s="894"/>
    </row>
    <row r="7" spans="1:10" s="303" customFormat="1" ht="17.25" customHeight="1" thickBot="1">
      <c r="A7" s="2522" t="s">
        <v>668</v>
      </c>
      <c r="B7" s="2522"/>
      <c r="C7" s="2522"/>
      <c r="G7" s="896" t="s">
        <v>660</v>
      </c>
      <c r="H7" s="206" t="s">
        <v>661</v>
      </c>
      <c r="I7" s="897" t="s">
        <v>431</v>
      </c>
      <c r="J7" s="898"/>
    </row>
    <row r="8" spans="1:10" s="183" customFormat="1" ht="15.75" customHeight="1" thickBot="1">
      <c r="A8" s="2523" t="s">
        <v>669</v>
      </c>
      <c r="B8" s="2523"/>
      <c r="C8" s="2523"/>
      <c r="D8" s="901">
        <v>10000</v>
      </c>
      <c r="G8" s="899" t="s">
        <v>662</v>
      </c>
      <c r="H8" s="900">
        <v>4000</v>
      </c>
      <c r="I8" s="268" t="s">
        <v>433</v>
      </c>
      <c r="J8" s="889"/>
    </row>
    <row r="9" spans="1:10" ht="3.75" customHeight="1" thickBot="1">
      <c r="A9" s="65"/>
      <c r="B9" s="65"/>
      <c r="C9" s="65"/>
      <c r="D9" s="71"/>
      <c r="E9" s="71"/>
      <c r="F9" s="71"/>
      <c r="G9" s="72"/>
      <c r="H9" s="73"/>
      <c r="I9" s="74"/>
      <c r="J9" s="64"/>
    </row>
    <row r="10" spans="1:10" ht="39" customHeight="1" thickTop="1" thickBot="1">
      <c r="A10" s="2519" t="s">
        <v>696</v>
      </c>
      <c r="B10" s="2520"/>
      <c r="C10" s="2520"/>
      <c r="D10" s="2521"/>
      <c r="E10" s="2521"/>
      <c r="F10" s="297" t="s">
        <v>926</v>
      </c>
      <c r="G10" s="297" t="s">
        <v>697</v>
      </c>
      <c r="H10" s="298" t="s">
        <v>698</v>
      </c>
      <c r="I10" s="299" t="s">
        <v>699</v>
      </c>
      <c r="J10" s="64"/>
    </row>
    <row r="11" spans="1:10" s="67" customFormat="1" ht="34.5" customHeight="1">
      <c r="A11" s="75" t="s">
        <v>700</v>
      </c>
      <c r="B11" s="2516" t="s">
        <v>670</v>
      </c>
      <c r="C11" s="2516"/>
      <c r="D11" s="2517"/>
      <c r="E11" s="2518"/>
      <c r="F11" s="270"/>
      <c r="G11" s="76"/>
      <c r="H11" s="77"/>
      <c r="I11" s="78"/>
      <c r="J11" s="66"/>
    </row>
    <row r="12" spans="1:10" s="67" customFormat="1" ht="34.5" customHeight="1">
      <c r="A12" s="319"/>
      <c r="B12" s="320" t="s">
        <v>380</v>
      </c>
      <c r="C12" s="2509" t="s">
        <v>671</v>
      </c>
      <c r="D12" s="2509"/>
      <c r="E12" s="2510"/>
      <c r="F12" s="1576">
        <f>SUM(F13:F17)</f>
        <v>0</v>
      </c>
      <c r="G12" s="322"/>
      <c r="H12" s="322">
        <f>SUM(H13:H17)</f>
        <v>0</v>
      </c>
      <c r="I12" s="323">
        <f>SUM(I13:I17)</f>
        <v>0</v>
      </c>
      <c r="J12" s="66"/>
    </row>
    <row r="13" spans="1:10" s="67" customFormat="1" ht="20.25" customHeight="1">
      <c r="A13" s="292"/>
      <c r="B13" s="286"/>
      <c r="C13" s="286" t="s">
        <v>382</v>
      </c>
      <c r="D13" s="2507" t="s">
        <v>672</v>
      </c>
      <c r="E13" s="2508"/>
      <c r="F13" s="1577"/>
      <c r="G13" s="325">
        <v>0</v>
      </c>
      <c r="H13" s="327">
        <f>F13*G13</f>
        <v>0</v>
      </c>
      <c r="I13" s="328">
        <f>(H13*$H$8)/1000000</f>
        <v>0</v>
      </c>
      <c r="J13" s="66"/>
    </row>
    <row r="14" spans="1:10" s="67" customFormat="1" ht="18" customHeight="1">
      <c r="A14" s="292"/>
      <c r="B14" s="286"/>
      <c r="C14" s="286" t="s">
        <v>384</v>
      </c>
      <c r="D14" s="2507" t="s">
        <v>673</v>
      </c>
      <c r="E14" s="2508"/>
      <c r="F14" s="1577"/>
      <c r="G14" s="325">
        <v>0</v>
      </c>
      <c r="H14" s="327">
        <f t="shared" ref="H14:H23" si="0">F14*G14</f>
        <v>0</v>
      </c>
      <c r="I14" s="328">
        <f t="shared" ref="I14:I25" si="1">(H14*$H$8)/1000000</f>
        <v>0</v>
      </c>
      <c r="J14" s="66"/>
    </row>
    <row r="15" spans="1:10" s="67" customFormat="1" ht="21.75" customHeight="1">
      <c r="A15" s="292"/>
      <c r="B15" s="286"/>
      <c r="C15" s="286" t="s">
        <v>385</v>
      </c>
      <c r="D15" s="2507" t="s">
        <v>674</v>
      </c>
      <c r="E15" s="2508"/>
      <c r="F15" s="1577"/>
      <c r="G15" s="325">
        <v>0</v>
      </c>
      <c r="H15" s="327">
        <f t="shared" si="0"/>
        <v>0</v>
      </c>
      <c r="I15" s="328">
        <f t="shared" si="1"/>
        <v>0</v>
      </c>
      <c r="J15" s="66"/>
    </row>
    <row r="16" spans="1:10" s="67" customFormat="1" ht="35.25" customHeight="1">
      <c r="A16" s="292"/>
      <c r="B16" s="286"/>
      <c r="C16" s="286" t="s">
        <v>386</v>
      </c>
      <c r="D16" s="2507" t="s">
        <v>182</v>
      </c>
      <c r="E16" s="2508"/>
      <c r="F16" s="1577"/>
      <c r="G16" s="325">
        <v>0</v>
      </c>
      <c r="H16" s="327">
        <f t="shared" si="0"/>
        <v>0</v>
      </c>
      <c r="I16" s="328">
        <f t="shared" si="1"/>
        <v>0</v>
      </c>
      <c r="J16" s="66"/>
    </row>
    <row r="17" spans="1:10" s="67" customFormat="1" ht="33.75" customHeight="1">
      <c r="A17" s="292"/>
      <c r="B17" s="286"/>
      <c r="C17" s="286" t="s">
        <v>387</v>
      </c>
      <c r="D17" s="2507" t="s">
        <v>183</v>
      </c>
      <c r="E17" s="2508"/>
      <c r="F17" s="1577"/>
      <c r="G17" s="325">
        <v>0</v>
      </c>
      <c r="H17" s="327">
        <f t="shared" si="0"/>
        <v>0</v>
      </c>
      <c r="I17" s="328">
        <f t="shared" si="1"/>
        <v>0</v>
      </c>
      <c r="J17" s="66"/>
    </row>
    <row r="18" spans="1:10" s="67" customFormat="1" ht="33.75" customHeight="1">
      <c r="A18" s="324"/>
      <c r="B18" s="326" t="s">
        <v>388</v>
      </c>
      <c r="C18" s="2511" t="s">
        <v>675</v>
      </c>
      <c r="D18" s="2511"/>
      <c r="E18" s="2512"/>
      <c r="F18" s="1578">
        <f>SUM(F19:F20)</f>
        <v>0</v>
      </c>
      <c r="G18" s="325"/>
      <c r="H18" s="327">
        <f>SUM(H19:H20)</f>
        <v>0</v>
      </c>
      <c r="I18" s="328">
        <f>SUM(I19:I20)</f>
        <v>0</v>
      </c>
      <c r="J18" s="66"/>
    </row>
    <row r="19" spans="1:10" s="67" customFormat="1" ht="35.25" customHeight="1">
      <c r="A19" s="79"/>
      <c r="B19" s="286"/>
      <c r="C19" s="286" t="s">
        <v>390</v>
      </c>
      <c r="D19" s="2507" t="s">
        <v>184</v>
      </c>
      <c r="E19" s="2508"/>
      <c r="F19" s="1577"/>
      <c r="G19" s="325">
        <v>0.2</v>
      </c>
      <c r="H19" s="327">
        <f t="shared" si="0"/>
        <v>0</v>
      </c>
      <c r="I19" s="328">
        <f t="shared" si="1"/>
        <v>0</v>
      </c>
      <c r="J19" s="66"/>
    </row>
    <row r="20" spans="1:10" s="67" customFormat="1" ht="33.75" customHeight="1">
      <c r="A20" s="79"/>
      <c r="B20" s="286"/>
      <c r="C20" s="286" t="s">
        <v>391</v>
      </c>
      <c r="D20" s="2507" t="s">
        <v>185</v>
      </c>
      <c r="E20" s="2508"/>
      <c r="F20" s="1577"/>
      <c r="G20" s="325">
        <v>0.2</v>
      </c>
      <c r="H20" s="327">
        <f t="shared" si="0"/>
        <v>0</v>
      </c>
      <c r="I20" s="328">
        <f t="shared" si="1"/>
        <v>0</v>
      </c>
      <c r="J20" s="66"/>
    </row>
    <row r="21" spans="1:10" s="67" customFormat="1" ht="33.75" customHeight="1">
      <c r="A21" s="324"/>
      <c r="B21" s="326" t="s">
        <v>539</v>
      </c>
      <c r="C21" s="2511" t="s">
        <v>676</v>
      </c>
      <c r="D21" s="2511"/>
      <c r="E21" s="2512"/>
      <c r="F21" s="1578">
        <f>SUM(F22:F23)</f>
        <v>0</v>
      </c>
      <c r="G21" s="325"/>
      <c r="H21" s="327">
        <f>SUM(H22:H23)</f>
        <v>0</v>
      </c>
      <c r="I21" s="328">
        <f>SUM(I22:I23)</f>
        <v>0</v>
      </c>
      <c r="J21" s="66"/>
    </row>
    <row r="22" spans="1:10" s="67" customFormat="1" ht="35.25" customHeight="1">
      <c r="A22" s="79"/>
      <c r="B22" s="286"/>
      <c r="C22" s="286" t="s">
        <v>541</v>
      </c>
      <c r="D22" s="2507" t="s">
        <v>186</v>
      </c>
      <c r="E22" s="2508"/>
      <c r="F22" s="1577"/>
      <c r="G22" s="325">
        <v>0.5</v>
      </c>
      <c r="H22" s="327">
        <f t="shared" si="0"/>
        <v>0</v>
      </c>
      <c r="I22" s="328">
        <f t="shared" si="1"/>
        <v>0</v>
      </c>
      <c r="J22" s="66"/>
    </row>
    <row r="23" spans="1:10" s="67" customFormat="1" ht="33.75" customHeight="1">
      <c r="A23" s="79"/>
      <c r="B23" s="286"/>
      <c r="C23" s="286" t="s">
        <v>543</v>
      </c>
      <c r="D23" s="2507" t="s">
        <v>187</v>
      </c>
      <c r="E23" s="2508"/>
      <c r="F23" s="1577"/>
      <c r="G23" s="325">
        <v>0.5</v>
      </c>
      <c r="H23" s="327">
        <f t="shared" si="0"/>
        <v>0</v>
      </c>
      <c r="I23" s="328">
        <f t="shared" si="1"/>
        <v>0</v>
      </c>
      <c r="J23" s="66"/>
    </row>
    <row r="24" spans="1:10" s="67" customFormat="1" ht="33.75" customHeight="1">
      <c r="A24" s="324"/>
      <c r="B24" s="326" t="s">
        <v>566</v>
      </c>
      <c r="C24" s="2511" t="s">
        <v>677</v>
      </c>
      <c r="D24" s="2511"/>
      <c r="E24" s="2512"/>
      <c r="F24" s="1578">
        <f>SUM(F25)</f>
        <v>0</v>
      </c>
      <c r="G24" s="325"/>
      <c r="H24" s="327">
        <f>SUM(H25)</f>
        <v>0</v>
      </c>
      <c r="I24" s="328">
        <f>SUM(I25)</f>
        <v>0</v>
      </c>
      <c r="J24" s="66"/>
    </row>
    <row r="25" spans="1:10" s="67" customFormat="1" ht="24" customHeight="1">
      <c r="A25" s="329"/>
      <c r="B25" s="330"/>
      <c r="C25" s="330" t="s">
        <v>573</v>
      </c>
      <c r="D25" s="2526" t="s">
        <v>678</v>
      </c>
      <c r="E25" s="2527"/>
      <c r="F25" s="1579"/>
      <c r="G25" s="331">
        <v>1</v>
      </c>
      <c r="H25" s="327">
        <f>F25*G25</f>
        <v>0</v>
      </c>
      <c r="I25" s="328">
        <f t="shared" si="1"/>
        <v>0</v>
      </c>
      <c r="J25" s="66"/>
    </row>
    <row r="26" spans="1:10" s="81" customFormat="1" ht="18" customHeight="1">
      <c r="A26" s="2504" t="s">
        <v>701</v>
      </c>
      <c r="B26" s="2505"/>
      <c r="C26" s="2505"/>
      <c r="D26" s="2505"/>
      <c r="E26" s="2506"/>
      <c r="F26" s="1580">
        <f>SUM(F12,F18,F21,F24)</f>
        <v>0</v>
      </c>
      <c r="G26" s="80"/>
      <c r="H26" s="277">
        <f>SUM(H12,H18,H21,H24)</f>
        <v>0</v>
      </c>
      <c r="I26" s="278">
        <f>SUM(I12,I18,I21,I24)</f>
        <v>0</v>
      </c>
      <c r="J26" s="68"/>
    </row>
    <row r="27" spans="1:10" s="67" customFormat="1" ht="33.75" customHeight="1">
      <c r="A27" s="82" t="s">
        <v>702</v>
      </c>
      <c r="B27" s="2524" t="s">
        <v>679</v>
      </c>
      <c r="C27" s="2524"/>
      <c r="D27" s="2524"/>
      <c r="E27" s="2525"/>
      <c r="F27" s="1581"/>
      <c r="G27" s="83"/>
      <c r="H27" s="279"/>
      <c r="I27" s="280"/>
      <c r="J27" s="66"/>
    </row>
    <row r="28" spans="1:10" s="67" customFormat="1" ht="34.5" customHeight="1">
      <c r="A28" s="319"/>
      <c r="B28" s="320" t="s">
        <v>380</v>
      </c>
      <c r="C28" s="2509" t="s">
        <v>680</v>
      </c>
      <c r="D28" s="2509"/>
      <c r="E28" s="2510"/>
      <c r="F28" s="1576">
        <f>SUM(F29:F30)</f>
        <v>0</v>
      </c>
      <c r="G28" s="321"/>
      <c r="H28" s="322">
        <f>SUM(H29:H30)</f>
        <v>0</v>
      </c>
      <c r="I28" s="323">
        <f>SUM(I29:I30)</f>
        <v>0</v>
      </c>
      <c r="J28" s="66"/>
    </row>
    <row r="29" spans="1:10" s="67" customFormat="1" ht="96" customHeight="1">
      <c r="A29" s="288"/>
      <c r="B29" s="285"/>
      <c r="C29" s="289" t="s">
        <v>382</v>
      </c>
      <c r="D29" s="2507" t="s">
        <v>681</v>
      </c>
      <c r="E29" s="2513"/>
      <c r="F29" s="1582"/>
      <c r="G29" s="321">
        <v>0</v>
      </c>
      <c r="H29" s="327">
        <f t="shared" ref="H29:H45" si="2">F29*G29</f>
        <v>0</v>
      </c>
      <c r="I29" s="328">
        <f>(H29*$H$8)/1000000</f>
        <v>0</v>
      </c>
      <c r="J29" s="66"/>
    </row>
    <row r="30" spans="1:10" s="67" customFormat="1" ht="34.5" customHeight="1">
      <c r="A30" s="290"/>
      <c r="B30" s="287"/>
      <c r="C30" s="291" t="s">
        <v>384</v>
      </c>
      <c r="D30" s="2507" t="s">
        <v>682</v>
      </c>
      <c r="E30" s="2508"/>
      <c r="F30" s="1577"/>
      <c r="G30" s="325">
        <v>0</v>
      </c>
      <c r="H30" s="327">
        <f t="shared" si="2"/>
        <v>0</v>
      </c>
      <c r="I30" s="328">
        <f>(H30*$H$8)/1000000</f>
        <v>0</v>
      </c>
      <c r="J30" s="66"/>
    </row>
    <row r="31" spans="1:10" s="67" customFormat="1" ht="33.75" customHeight="1">
      <c r="A31" s="324"/>
      <c r="B31" s="326" t="s">
        <v>388</v>
      </c>
      <c r="C31" s="2511" t="s">
        <v>683</v>
      </c>
      <c r="D31" s="2511"/>
      <c r="E31" s="2512"/>
      <c r="F31" s="1578">
        <f>SUM(F32:F33)</f>
        <v>2344</v>
      </c>
      <c r="G31" s="325"/>
      <c r="H31" s="327">
        <f>SUM(H32:H33)</f>
        <v>468.80000000000007</v>
      </c>
      <c r="I31" s="328">
        <f>SUM(I32:I33)</f>
        <v>1.8752000000000002</v>
      </c>
      <c r="J31" s="66"/>
    </row>
    <row r="32" spans="1:10" s="67" customFormat="1" ht="71.25" customHeight="1">
      <c r="A32" s="292"/>
      <c r="B32" s="286"/>
      <c r="C32" s="286" t="s">
        <v>390</v>
      </c>
      <c r="D32" s="2507" t="s">
        <v>193</v>
      </c>
      <c r="E32" s="2508"/>
      <c r="F32" s="1577">
        <v>23</v>
      </c>
      <c r="G32" s="325">
        <v>0.2</v>
      </c>
      <c r="H32" s="327">
        <f t="shared" si="2"/>
        <v>4.6000000000000005</v>
      </c>
      <c r="I32" s="328">
        <f>(H32*$H$8)/1000000</f>
        <v>1.8400000000000003E-2</v>
      </c>
      <c r="J32" s="66"/>
    </row>
    <row r="33" spans="1:10" s="67" customFormat="1" ht="24.75" customHeight="1">
      <c r="A33" s="292"/>
      <c r="B33" s="286"/>
      <c r="C33" s="286" t="s">
        <v>391</v>
      </c>
      <c r="D33" s="2507" t="s">
        <v>684</v>
      </c>
      <c r="E33" s="2508"/>
      <c r="F33" s="1577">
        <v>2321</v>
      </c>
      <c r="G33" s="325">
        <v>0.2</v>
      </c>
      <c r="H33" s="327">
        <f t="shared" si="2"/>
        <v>464.20000000000005</v>
      </c>
      <c r="I33" s="328">
        <f>(H33*$H$8)/1000000</f>
        <v>1.8568000000000002</v>
      </c>
      <c r="J33" s="66"/>
    </row>
    <row r="34" spans="1:10" s="67" customFormat="1" ht="33.75" customHeight="1">
      <c r="A34" s="324"/>
      <c r="B34" s="326" t="s">
        <v>539</v>
      </c>
      <c r="C34" s="2511" t="s">
        <v>685</v>
      </c>
      <c r="D34" s="2511"/>
      <c r="E34" s="2512"/>
      <c r="F34" s="1583">
        <f>SUM(F35:F38)</f>
        <v>0</v>
      </c>
      <c r="G34" s="332"/>
      <c r="H34" s="333">
        <f>SUM(H35:H38)</f>
        <v>0</v>
      </c>
      <c r="I34" s="334">
        <f>SUM(I35:I38)</f>
        <v>0</v>
      </c>
      <c r="J34" s="66"/>
    </row>
    <row r="35" spans="1:10" s="67" customFormat="1" ht="53.25" customHeight="1">
      <c r="A35" s="292"/>
      <c r="B35" s="286"/>
      <c r="C35" s="286" t="s">
        <v>541</v>
      </c>
      <c r="D35" s="2507" t="s">
        <v>188</v>
      </c>
      <c r="E35" s="2508"/>
      <c r="F35" s="1577"/>
      <c r="G35" s="325">
        <v>0.5</v>
      </c>
      <c r="H35" s="327">
        <f t="shared" si="2"/>
        <v>0</v>
      </c>
      <c r="I35" s="328">
        <f>(H35*$H$8)/1000000</f>
        <v>0</v>
      </c>
      <c r="J35" s="66"/>
    </row>
    <row r="36" spans="1:10" s="67" customFormat="1" ht="53.25" customHeight="1">
      <c r="A36" s="292"/>
      <c r="B36" s="286"/>
      <c r="C36" s="286" t="s">
        <v>543</v>
      </c>
      <c r="D36" s="2507" t="s">
        <v>686</v>
      </c>
      <c r="E36" s="2508"/>
      <c r="F36" s="1577"/>
      <c r="G36" s="325">
        <v>0.5</v>
      </c>
      <c r="H36" s="327">
        <f t="shared" si="2"/>
        <v>0</v>
      </c>
      <c r="I36" s="328">
        <f>(H36*$H$8)/1000000</f>
        <v>0</v>
      </c>
      <c r="J36" s="66"/>
    </row>
    <row r="37" spans="1:10" s="67" customFormat="1" ht="58.5" customHeight="1">
      <c r="A37" s="292"/>
      <c r="B37" s="286"/>
      <c r="C37" s="286" t="s">
        <v>560</v>
      </c>
      <c r="D37" s="2507" t="s">
        <v>189</v>
      </c>
      <c r="E37" s="2508"/>
      <c r="F37" s="1577"/>
      <c r="G37" s="325">
        <v>0.5</v>
      </c>
      <c r="H37" s="327">
        <f t="shared" si="2"/>
        <v>0</v>
      </c>
      <c r="I37" s="328">
        <f>(H37*$H$8)/1000000</f>
        <v>0</v>
      </c>
      <c r="J37" s="66"/>
    </row>
    <row r="38" spans="1:10" s="67" customFormat="1" ht="21.75" customHeight="1">
      <c r="A38" s="292"/>
      <c r="B38" s="286"/>
      <c r="C38" s="286" t="s">
        <v>562</v>
      </c>
      <c r="D38" s="2507" t="s">
        <v>687</v>
      </c>
      <c r="E38" s="2508"/>
      <c r="F38" s="1577"/>
      <c r="G38" s="325">
        <v>0.5</v>
      </c>
      <c r="H38" s="327">
        <f t="shared" si="2"/>
        <v>0</v>
      </c>
      <c r="I38" s="328">
        <f>(H38*$H$8)/1000000</f>
        <v>0</v>
      </c>
      <c r="J38" s="66"/>
    </row>
    <row r="39" spans="1:10" s="67" customFormat="1" ht="33.75" customHeight="1">
      <c r="A39" s="324"/>
      <c r="B39" s="326" t="s">
        <v>566</v>
      </c>
      <c r="C39" s="2511" t="s">
        <v>688</v>
      </c>
      <c r="D39" s="2511"/>
      <c r="E39" s="2512"/>
      <c r="F39" s="1578">
        <f>SUM(F40:F45)</f>
        <v>0</v>
      </c>
      <c r="G39" s="325"/>
      <c r="H39" s="327">
        <f>SUM(H40:H45)</f>
        <v>0</v>
      </c>
      <c r="I39" s="328">
        <f>SUM(I40:I45)</f>
        <v>0</v>
      </c>
      <c r="J39" s="66"/>
    </row>
    <row r="40" spans="1:10" s="67" customFormat="1" ht="35.25" customHeight="1">
      <c r="A40" s="293"/>
      <c r="B40" s="294"/>
      <c r="C40" s="294" t="s">
        <v>573</v>
      </c>
      <c r="D40" s="2507" t="s">
        <v>190</v>
      </c>
      <c r="E40" s="2508"/>
      <c r="F40" s="1577"/>
      <c r="G40" s="325">
        <v>1</v>
      </c>
      <c r="H40" s="327">
        <f t="shared" si="2"/>
        <v>0</v>
      </c>
      <c r="I40" s="328">
        <f t="shared" ref="I40:I45" si="3">(H40*$H$8)/1000000</f>
        <v>0</v>
      </c>
      <c r="J40" s="66"/>
    </row>
    <row r="41" spans="1:10" s="67" customFormat="1" ht="16.5" customHeight="1">
      <c r="A41" s="293"/>
      <c r="B41" s="294"/>
      <c r="C41" s="294" t="s">
        <v>574</v>
      </c>
      <c r="D41" s="2507" t="s">
        <v>689</v>
      </c>
      <c r="E41" s="2508"/>
      <c r="F41" s="1577"/>
      <c r="G41" s="325">
        <v>1</v>
      </c>
      <c r="H41" s="327">
        <f t="shared" si="2"/>
        <v>0</v>
      </c>
      <c r="I41" s="328">
        <f t="shared" si="3"/>
        <v>0</v>
      </c>
      <c r="J41" s="66"/>
    </row>
    <row r="42" spans="1:10" s="67" customFormat="1" ht="56.25" customHeight="1">
      <c r="A42" s="293"/>
      <c r="B42" s="294"/>
      <c r="C42" s="294" t="s">
        <v>690</v>
      </c>
      <c r="D42" s="2507" t="s">
        <v>191</v>
      </c>
      <c r="E42" s="2508"/>
      <c r="F42" s="1577"/>
      <c r="G42" s="325">
        <v>1</v>
      </c>
      <c r="H42" s="327">
        <f t="shared" si="2"/>
        <v>0</v>
      </c>
      <c r="I42" s="328">
        <f t="shared" si="3"/>
        <v>0</v>
      </c>
      <c r="J42" s="66"/>
    </row>
    <row r="43" spans="1:10" s="67" customFormat="1" ht="17.25" customHeight="1">
      <c r="A43" s="293"/>
      <c r="B43" s="294"/>
      <c r="C43" s="294" t="s">
        <v>691</v>
      </c>
      <c r="D43" s="2507" t="s">
        <v>692</v>
      </c>
      <c r="E43" s="2508"/>
      <c r="F43" s="1577"/>
      <c r="G43" s="325">
        <v>1</v>
      </c>
      <c r="H43" s="327">
        <f t="shared" si="2"/>
        <v>0</v>
      </c>
      <c r="I43" s="328">
        <f t="shared" si="3"/>
        <v>0</v>
      </c>
      <c r="J43" s="66"/>
    </row>
    <row r="44" spans="1:10" s="67" customFormat="1" ht="54.75" customHeight="1">
      <c r="A44" s="293"/>
      <c r="B44" s="294"/>
      <c r="C44" s="294" t="s">
        <v>693</v>
      </c>
      <c r="D44" s="2507" t="s">
        <v>192</v>
      </c>
      <c r="E44" s="2508"/>
      <c r="F44" s="1577"/>
      <c r="G44" s="325">
        <v>1</v>
      </c>
      <c r="H44" s="327">
        <f t="shared" si="2"/>
        <v>0</v>
      </c>
      <c r="I44" s="328">
        <f t="shared" si="3"/>
        <v>0</v>
      </c>
      <c r="J44" s="66"/>
    </row>
    <row r="45" spans="1:10" s="67" customFormat="1" ht="20.25" customHeight="1">
      <c r="A45" s="295"/>
      <c r="B45" s="296"/>
      <c r="C45" s="296" t="s">
        <v>694</v>
      </c>
      <c r="D45" s="2536" t="s">
        <v>695</v>
      </c>
      <c r="E45" s="2537"/>
      <c r="F45" s="1579"/>
      <c r="G45" s="331">
        <v>1</v>
      </c>
      <c r="H45" s="327">
        <f t="shared" si="2"/>
        <v>0</v>
      </c>
      <c r="I45" s="328">
        <f t="shared" si="3"/>
        <v>0</v>
      </c>
      <c r="J45" s="66"/>
    </row>
    <row r="46" spans="1:10" s="67" customFormat="1" ht="18" customHeight="1" thickBot="1">
      <c r="A46" s="2534" t="s">
        <v>703</v>
      </c>
      <c r="B46" s="2535"/>
      <c r="C46" s="2535"/>
      <c r="D46" s="2535"/>
      <c r="E46" s="2535"/>
      <c r="F46" s="281">
        <f>SUM(F28,F31,F34,F39)</f>
        <v>2344</v>
      </c>
      <c r="G46" s="84"/>
      <c r="H46" s="281">
        <f>SUM(H28,H31,H34,H39)</f>
        <v>468.80000000000007</v>
      </c>
      <c r="I46" s="282">
        <f>SUM(I28,I31,I34,I39)</f>
        <v>1.8752000000000002</v>
      </c>
      <c r="J46" s="66"/>
    </row>
    <row r="47" spans="1:10" s="1" customFormat="1" ht="36" customHeight="1">
      <c r="A47" s="2540" t="s">
        <v>704</v>
      </c>
      <c r="B47" s="2541"/>
      <c r="C47" s="2541"/>
      <c r="D47" s="2541"/>
      <c r="E47" s="2541"/>
      <c r="F47" s="2541"/>
      <c r="G47" s="2542"/>
      <c r="H47" s="283">
        <f>H26+H46</f>
        <v>468.80000000000007</v>
      </c>
      <c r="I47" s="284">
        <f>I26+I46</f>
        <v>1.8752000000000002</v>
      </c>
      <c r="J47" s="85"/>
    </row>
    <row r="48" spans="1:10" s="1" customFormat="1" ht="24.75" customHeight="1" thickBot="1">
      <c r="A48" s="2543" t="s">
        <v>0</v>
      </c>
      <c r="B48" s="2544"/>
      <c r="C48" s="2544"/>
      <c r="D48" s="2544"/>
      <c r="E48" s="2544"/>
      <c r="F48" s="2544"/>
      <c r="G48" s="2545"/>
      <c r="H48" s="1362">
        <f>($D$8*1000000)/($H$8*H47)</f>
        <v>5332.7645051194531</v>
      </c>
      <c r="I48" s="1363">
        <f>$D$8/I47</f>
        <v>5332.7645051194531</v>
      </c>
    </row>
    <row r="49" spans="1:9" ht="6" customHeight="1" thickTop="1">
      <c r="G49" s="86"/>
      <c r="H49" s="6"/>
      <c r="I49" s="6"/>
    </row>
    <row r="50" spans="1:9" s="183" customFormat="1" ht="16.5" customHeight="1">
      <c r="A50" s="2533" t="s">
        <v>663</v>
      </c>
      <c r="B50" s="2533"/>
      <c r="C50" s="2533"/>
      <c r="D50" s="2533"/>
      <c r="E50" s="2533"/>
      <c r="F50" s="1398"/>
      <c r="G50" s="902"/>
      <c r="H50" s="903"/>
      <c r="I50" s="904"/>
    </row>
    <row r="51" spans="1:9" s="183" customFormat="1">
      <c r="A51" s="2538" t="s">
        <v>397</v>
      </c>
      <c r="B51" s="2538"/>
      <c r="C51" s="2538"/>
      <c r="D51" s="2538"/>
      <c r="E51" s="2538"/>
      <c r="F51" s="1392"/>
      <c r="G51" s="902"/>
      <c r="H51" s="903"/>
      <c r="I51" s="904"/>
    </row>
    <row r="52" spans="1:9" s="183" customFormat="1" ht="19.5" customHeight="1">
      <c r="A52" s="2539"/>
      <c r="B52" s="2539"/>
      <c r="C52" s="2539"/>
      <c r="D52" s="2539"/>
      <c r="E52" s="1393"/>
      <c r="F52" s="1393"/>
      <c r="G52" s="2532" t="s">
        <v>664</v>
      </c>
      <c r="H52" s="2532"/>
      <c r="I52" s="2532"/>
    </row>
    <row r="53" spans="1:9" s="183" customFormat="1">
      <c r="G53" s="2528" t="s">
        <v>665</v>
      </c>
      <c r="H53" s="2528"/>
      <c r="I53" s="2528"/>
    </row>
    <row r="54" spans="1:9" s="183" customFormat="1" ht="19.5" customHeight="1">
      <c r="A54" s="1455" t="s">
        <v>399</v>
      </c>
      <c r="B54" s="1455"/>
      <c r="C54" s="1455"/>
      <c r="D54" s="1455"/>
      <c r="E54" s="1394" t="s">
        <v>400</v>
      </c>
      <c r="F54" s="1396"/>
      <c r="G54" s="2532" t="s">
        <v>469</v>
      </c>
      <c r="H54" s="2532"/>
      <c r="I54" s="2532"/>
    </row>
    <row r="55" spans="1:9" s="183" customFormat="1">
      <c r="A55" s="1456" t="s">
        <v>1975</v>
      </c>
      <c r="B55" s="1456"/>
      <c r="C55" s="1456"/>
      <c r="D55" s="1456"/>
      <c r="E55" s="1395" t="s">
        <v>403</v>
      </c>
      <c r="F55" s="1397"/>
      <c r="G55" s="2528" t="s">
        <v>404</v>
      </c>
      <c r="H55" s="2528"/>
      <c r="I55" s="2528"/>
    </row>
    <row r="56" spans="1:9" s="183" customFormat="1">
      <c r="A56" s="1456"/>
      <c r="B56" s="1456"/>
      <c r="C56" s="1456"/>
      <c r="D56" s="1456"/>
      <c r="E56" s="1406"/>
      <c r="F56" s="1397"/>
      <c r="G56" s="1406"/>
      <c r="H56" s="1406"/>
      <c r="I56" s="1406"/>
    </row>
    <row r="57" spans="1:9" s="183" customFormat="1">
      <c r="A57" s="1456"/>
      <c r="B57" s="1456"/>
      <c r="C57" s="1456"/>
      <c r="D57" s="1456"/>
      <c r="E57" s="1406"/>
      <c r="F57" s="1397"/>
      <c r="G57" s="1406"/>
      <c r="H57" s="1406"/>
      <c r="I57" s="1406"/>
    </row>
    <row r="58" spans="1:9" s="183" customFormat="1">
      <c r="A58" s="1456"/>
      <c r="B58" s="1456"/>
      <c r="C58" s="1456"/>
      <c r="D58" s="1456"/>
      <c r="E58" s="1406"/>
      <c r="F58" s="1397"/>
      <c r="G58" s="1406"/>
      <c r="H58" s="1406"/>
      <c r="I58" s="1406"/>
    </row>
    <row r="59" spans="1:9" s="183" customFormat="1">
      <c r="A59" s="1456"/>
      <c r="B59" s="1456"/>
      <c r="C59" s="1456"/>
      <c r="D59" s="1456"/>
      <c r="E59" s="1406"/>
      <c r="F59" s="1397"/>
      <c r="G59" s="1406"/>
      <c r="H59" s="1406"/>
      <c r="I59" s="1406"/>
    </row>
    <row r="60" spans="1:9" s="183" customFormat="1">
      <c r="G60" s="905"/>
      <c r="H60" s="904"/>
      <c r="I60" s="904"/>
    </row>
    <row r="61" spans="1:9" s="183" customFormat="1">
      <c r="G61" s="905"/>
      <c r="H61" s="904"/>
      <c r="I61" s="904"/>
    </row>
    <row r="62" spans="1:9" s="183" customFormat="1">
      <c r="G62" s="905"/>
      <c r="H62" s="904"/>
      <c r="I62" s="904"/>
    </row>
    <row r="63" spans="1:9" s="183" customFormat="1">
      <c r="G63" s="905"/>
      <c r="H63" s="904"/>
      <c r="I63" s="904"/>
    </row>
    <row r="64" spans="1:9" s="183" customFormat="1">
      <c r="A64" s="183" t="s">
        <v>1877</v>
      </c>
      <c r="G64" s="905"/>
      <c r="H64" s="904"/>
      <c r="I64" s="904"/>
    </row>
    <row r="65" spans="7:9" hidden="1">
      <c r="G65" s="86"/>
      <c r="H65" s="6"/>
      <c r="I65" s="6"/>
    </row>
    <row r="66" spans="7:9" hidden="1">
      <c r="G66" s="86"/>
      <c r="H66" s="6"/>
      <c r="I66" s="6"/>
    </row>
    <row r="67" spans="7:9" hidden="1">
      <c r="G67" s="86"/>
      <c r="H67" s="6"/>
      <c r="I67" s="6"/>
    </row>
    <row r="68" spans="7:9" hidden="1">
      <c r="G68" s="86"/>
      <c r="H68" s="6"/>
      <c r="I68" s="6"/>
    </row>
    <row r="69" spans="7:9" hidden="1">
      <c r="G69" s="86"/>
      <c r="H69" s="6"/>
      <c r="I69" s="6"/>
    </row>
    <row r="70" spans="7:9" hidden="1">
      <c r="G70" s="86"/>
      <c r="H70" s="6"/>
      <c r="I70" s="6"/>
    </row>
    <row r="71" spans="7:9" hidden="1">
      <c r="G71" s="86"/>
      <c r="H71" s="6"/>
      <c r="I71" s="6"/>
    </row>
    <row r="72" spans="7:9" hidden="1">
      <c r="G72" s="86"/>
      <c r="H72" s="6"/>
      <c r="I72" s="6"/>
    </row>
    <row r="73" spans="7:9" hidden="1">
      <c r="G73" s="86"/>
      <c r="H73" s="6"/>
      <c r="I73" s="6"/>
    </row>
    <row r="74" spans="7:9" hidden="1">
      <c r="G74" s="86"/>
      <c r="H74" s="6"/>
      <c r="I74" s="6"/>
    </row>
    <row r="75" spans="7:9" hidden="1">
      <c r="G75" s="86"/>
      <c r="H75" s="6"/>
      <c r="I75" s="6"/>
    </row>
    <row r="76" spans="7:9" hidden="1">
      <c r="G76" s="86"/>
      <c r="H76" s="6"/>
      <c r="I76" s="6"/>
    </row>
    <row r="77" spans="7:9" hidden="1">
      <c r="G77" s="86"/>
      <c r="H77" s="6"/>
      <c r="I77" s="6"/>
    </row>
    <row r="78" spans="7:9" hidden="1">
      <c r="G78" s="86"/>
      <c r="H78" s="6"/>
      <c r="I78" s="6"/>
    </row>
    <row r="79" spans="7:9" hidden="1">
      <c r="G79" s="86"/>
      <c r="H79" s="6"/>
      <c r="I79" s="6"/>
    </row>
    <row r="80" spans="7:9" hidden="1">
      <c r="G80" s="86"/>
      <c r="H80" s="6"/>
      <c r="I80" s="6"/>
    </row>
    <row r="81" spans="7:9" hidden="1">
      <c r="G81" s="86"/>
      <c r="H81" s="6"/>
      <c r="I81" s="6"/>
    </row>
    <row r="82" spans="7:9" hidden="1">
      <c r="G82" s="86"/>
      <c r="H82" s="6"/>
      <c r="I82" s="6"/>
    </row>
    <row r="83" spans="7:9" hidden="1">
      <c r="G83" s="86"/>
      <c r="H83" s="6"/>
      <c r="I83" s="6"/>
    </row>
    <row r="84" spans="7:9" hidden="1">
      <c r="G84" s="86"/>
      <c r="H84" s="6"/>
      <c r="I84" s="6"/>
    </row>
    <row r="85" spans="7:9" hidden="1">
      <c r="G85" s="86"/>
      <c r="H85" s="6"/>
      <c r="I85" s="6"/>
    </row>
    <row r="86" spans="7:9" hidden="1">
      <c r="G86" s="86"/>
      <c r="H86" s="6"/>
      <c r="I86" s="6"/>
    </row>
    <row r="87" spans="7:9" hidden="1">
      <c r="G87" s="86"/>
      <c r="H87" s="6"/>
      <c r="I87" s="6"/>
    </row>
    <row r="88" spans="7:9" hidden="1">
      <c r="G88" s="86"/>
      <c r="H88" s="6"/>
      <c r="I88" s="6"/>
    </row>
    <row r="89" spans="7:9" hidden="1">
      <c r="G89" s="86"/>
      <c r="H89" s="6"/>
      <c r="I89" s="6"/>
    </row>
    <row r="90" spans="7:9" hidden="1">
      <c r="G90" s="86"/>
      <c r="H90" s="6"/>
      <c r="I90" s="6"/>
    </row>
    <row r="91" spans="7:9" hidden="1">
      <c r="G91" s="86"/>
      <c r="H91" s="6"/>
      <c r="I91" s="6"/>
    </row>
    <row r="92" spans="7:9" hidden="1">
      <c r="G92" s="86"/>
      <c r="H92" s="6"/>
      <c r="I92" s="6"/>
    </row>
    <row r="93" spans="7:9" hidden="1">
      <c r="G93" s="86"/>
      <c r="H93" s="6"/>
      <c r="I93" s="6"/>
    </row>
    <row r="94" spans="7:9" hidden="1">
      <c r="G94" s="86"/>
      <c r="H94" s="6"/>
      <c r="I94" s="6"/>
    </row>
    <row r="95" spans="7:9" hidden="1">
      <c r="G95" s="86"/>
      <c r="H95" s="6"/>
      <c r="I95" s="6"/>
    </row>
    <row r="96" spans="7:9" hidden="1">
      <c r="G96" s="86"/>
      <c r="H96" s="6"/>
      <c r="I96" s="6"/>
    </row>
    <row r="97" spans="7:9" hidden="1">
      <c r="G97" s="86"/>
      <c r="H97" s="6"/>
      <c r="I97" s="6"/>
    </row>
    <row r="98" spans="7:9" hidden="1">
      <c r="G98" s="86"/>
      <c r="H98" s="6"/>
      <c r="I98" s="6"/>
    </row>
    <row r="99" spans="7:9" hidden="1">
      <c r="G99" s="86"/>
      <c r="H99" s="6"/>
      <c r="I99" s="6"/>
    </row>
    <row r="100" spans="7:9" hidden="1">
      <c r="G100" s="86"/>
      <c r="H100" s="6"/>
      <c r="I100" s="6"/>
    </row>
    <row r="101" spans="7:9" hidden="1">
      <c r="G101" s="86"/>
      <c r="H101" s="6"/>
      <c r="I101" s="6"/>
    </row>
    <row r="102" spans="7:9" hidden="1">
      <c r="G102" s="86"/>
      <c r="H102" s="6"/>
      <c r="I102" s="6"/>
    </row>
    <row r="103" spans="7:9" hidden="1">
      <c r="G103" s="86"/>
      <c r="H103" s="6"/>
      <c r="I103" s="6"/>
    </row>
    <row r="104" spans="7:9" hidden="1">
      <c r="G104" s="86"/>
      <c r="H104" s="6"/>
      <c r="I104" s="6"/>
    </row>
    <row r="105" spans="7:9" hidden="1">
      <c r="G105" s="86"/>
      <c r="H105" s="6"/>
      <c r="I105" s="6"/>
    </row>
    <row r="106" spans="7:9" hidden="1">
      <c r="G106" s="86"/>
      <c r="H106" s="6"/>
      <c r="I106" s="6"/>
    </row>
    <row r="107" spans="7:9" hidden="1">
      <c r="G107" s="86"/>
      <c r="H107" s="6"/>
      <c r="I107" s="6"/>
    </row>
    <row r="108" spans="7:9" hidden="1">
      <c r="G108" s="86"/>
      <c r="H108" s="6"/>
      <c r="I108" s="6"/>
    </row>
    <row r="109" spans="7:9" hidden="1">
      <c r="G109" s="86"/>
      <c r="H109" s="6"/>
      <c r="I109" s="6"/>
    </row>
    <row r="110" spans="7:9" hidden="1">
      <c r="G110" s="86"/>
      <c r="H110" s="6"/>
      <c r="I110" s="6"/>
    </row>
    <row r="111" spans="7:9" hidden="1">
      <c r="G111" s="86"/>
      <c r="H111" s="6"/>
      <c r="I111" s="6"/>
    </row>
    <row r="112" spans="7:9" hidden="1">
      <c r="G112" s="86"/>
      <c r="H112" s="6"/>
      <c r="I112" s="6"/>
    </row>
    <row r="113" spans="7:9" hidden="1">
      <c r="G113" s="86"/>
      <c r="H113" s="6"/>
      <c r="I113" s="6"/>
    </row>
    <row r="114" spans="7:9" hidden="1">
      <c r="G114" s="86"/>
      <c r="H114" s="6"/>
      <c r="I114" s="6"/>
    </row>
    <row r="115" spans="7:9" hidden="1">
      <c r="G115" s="86"/>
      <c r="H115" s="6"/>
      <c r="I115" s="6"/>
    </row>
    <row r="116" spans="7:9" hidden="1">
      <c r="G116" s="86"/>
      <c r="H116" s="6"/>
      <c r="I116" s="6"/>
    </row>
    <row r="117" spans="7:9" hidden="1">
      <c r="G117" s="86"/>
      <c r="H117" s="6"/>
      <c r="I117" s="6"/>
    </row>
    <row r="118" spans="7:9" hidden="1">
      <c r="G118" s="86"/>
      <c r="H118" s="6"/>
      <c r="I118" s="6"/>
    </row>
    <row r="119" spans="7:9" hidden="1">
      <c r="G119" s="86"/>
      <c r="H119" s="6"/>
      <c r="I119" s="6"/>
    </row>
    <row r="120" spans="7:9" hidden="1">
      <c r="G120" s="86"/>
      <c r="H120" s="6"/>
      <c r="I120" s="6"/>
    </row>
    <row r="121" spans="7:9" hidden="1">
      <c r="G121" s="86"/>
      <c r="H121" s="6"/>
      <c r="I121" s="6"/>
    </row>
    <row r="122" spans="7:9" hidden="1">
      <c r="G122" s="86"/>
      <c r="H122" s="6"/>
      <c r="I122" s="6"/>
    </row>
    <row r="123" spans="7:9" hidden="1">
      <c r="G123" s="86"/>
      <c r="H123" s="6"/>
      <c r="I123" s="6"/>
    </row>
    <row r="124" spans="7:9" hidden="1">
      <c r="G124" s="86"/>
      <c r="H124" s="6"/>
      <c r="I124" s="6"/>
    </row>
    <row r="125" spans="7:9" hidden="1">
      <c r="G125" s="86"/>
      <c r="H125" s="6"/>
      <c r="I125" s="6"/>
    </row>
    <row r="126" spans="7:9" hidden="1">
      <c r="G126" s="86"/>
      <c r="H126" s="6"/>
      <c r="I126" s="6"/>
    </row>
    <row r="127" spans="7:9" hidden="1">
      <c r="G127" s="86"/>
      <c r="H127" s="6"/>
      <c r="I127" s="6"/>
    </row>
    <row r="128" spans="7:9" hidden="1">
      <c r="G128" s="86"/>
      <c r="H128" s="6"/>
      <c r="I128" s="6"/>
    </row>
    <row r="129" spans="7:9" hidden="1">
      <c r="G129" s="86"/>
      <c r="H129" s="6"/>
      <c r="I129" s="6"/>
    </row>
    <row r="130" spans="7:9" hidden="1">
      <c r="G130" s="86"/>
      <c r="H130" s="6"/>
      <c r="I130" s="6"/>
    </row>
    <row r="131" spans="7:9" hidden="1">
      <c r="G131" s="86"/>
      <c r="H131" s="6"/>
      <c r="I131" s="6"/>
    </row>
    <row r="132" spans="7:9" hidden="1">
      <c r="G132" s="86"/>
      <c r="H132" s="6"/>
      <c r="I132" s="6"/>
    </row>
    <row r="133" spans="7:9" hidden="1">
      <c r="G133" s="86"/>
      <c r="H133" s="6"/>
      <c r="I133" s="6"/>
    </row>
    <row r="134" spans="7:9" hidden="1">
      <c r="G134" s="86"/>
      <c r="H134" s="6"/>
      <c r="I134" s="6"/>
    </row>
    <row r="135" spans="7:9" hidden="1">
      <c r="G135" s="86"/>
      <c r="H135" s="6"/>
      <c r="I135" s="6"/>
    </row>
    <row r="136" spans="7:9" hidden="1">
      <c r="G136" s="86"/>
      <c r="H136" s="6"/>
      <c r="I136" s="6"/>
    </row>
    <row r="137" spans="7:9" hidden="1">
      <c r="G137" s="87"/>
      <c r="H137" s="6"/>
      <c r="I137" s="6"/>
    </row>
    <row r="138" spans="7:9" hidden="1">
      <c r="G138" s="87"/>
      <c r="H138" s="6"/>
      <c r="I138" s="6"/>
    </row>
    <row r="139" spans="7:9" hidden="1">
      <c r="G139" s="87"/>
      <c r="H139" s="6"/>
      <c r="I139" s="6"/>
    </row>
    <row r="140" spans="7:9" hidden="1">
      <c r="G140" s="87"/>
      <c r="H140" s="6"/>
      <c r="I140" s="6"/>
    </row>
    <row r="141" spans="7:9" hidden="1">
      <c r="G141" s="87"/>
      <c r="H141" s="6"/>
      <c r="I141" s="6"/>
    </row>
    <row r="142" spans="7:9" hidden="1">
      <c r="G142" s="87"/>
      <c r="H142" s="6"/>
      <c r="I142" s="6"/>
    </row>
    <row r="143" spans="7:9" hidden="1">
      <c r="G143" s="87"/>
      <c r="H143" s="6"/>
      <c r="I143" s="6"/>
    </row>
    <row r="144" spans="7:9" hidden="1">
      <c r="G144" s="87"/>
      <c r="H144" s="6"/>
      <c r="I144" s="6"/>
    </row>
    <row r="145" spans="7:9" hidden="1">
      <c r="G145" s="87"/>
      <c r="H145" s="6"/>
      <c r="I145" s="6"/>
    </row>
    <row r="146" spans="7:9" hidden="1">
      <c r="G146" s="87"/>
      <c r="H146" s="6"/>
      <c r="I146" s="6"/>
    </row>
    <row r="147" spans="7:9" hidden="1">
      <c r="G147" s="87"/>
      <c r="H147" s="6"/>
      <c r="I147" s="6"/>
    </row>
    <row r="148" spans="7:9" hidden="1">
      <c r="G148" s="87"/>
      <c r="H148" s="6"/>
      <c r="I148" s="6"/>
    </row>
    <row r="149" spans="7:9" hidden="1">
      <c r="G149" s="87"/>
      <c r="H149" s="6"/>
      <c r="I149" s="6"/>
    </row>
    <row r="150" spans="7:9" hidden="1">
      <c r="G150" s="87"/>
      <c r="H150" s="6"/>
      <c r="I150" s="6"/>
    </row>
    <row r="151" spans="7:9" hidden="1">
      <c r="G151" s="87"/>
      <c r="H151" s="6"/>
      <c r="I151" s="6"/>
    </row>
    <row r="152" spans="7:9" hidden="1">
      <c r="G152" s="87"/>
      <c r="H152" s="6"/>
      <c r="I152" s="6"/>
    </row>
    <row r="153" spans="7:9" hidden="1">
      <c r="G153" s="87"/>
      <c r="H153" s="6"/>
      <c r="I153" s="6"/>
    </row>
    <row r="154" spans="7:9" hidden="1">
      <c r="G154" s="87"/>
      <c r="H154" s="6"/>
      <c r="I154" s="6"/>
    </row>
    <row r="155" spans="7:9" hidden="1">
      <c r="G155" s="87"/>
      <c r="H155" s="6"/>
      <c r="I155" s="6"/>
    </row>
    <row r="156" spans="7:9" hidden="1">
      <c r="G156" s="87"/>
      <c r="H156" s="6"/>
      <c r="I156" s="6"/>
    </row>
    <row r="157" spans="7:9" hidden="1">
      <c r="G157" s="87"/>
      <c r="H157" s="6"/>
      <c r="I157" s="6"/>
    </row>
    <row r="158" spans="7:9" hidden="1">
      <c r="G158" s="87"/>
      <c r="H158" s="6"/>
      <c r="I158" s="6"/>
    </row>
    <row r="159" spans="7:9" hidden="1">
      <c r="G159" s="87"/>
      <c r="H159" s="6"/>
      <c r="I159" s="6"/>
    </row>
    <row r="160" spans="7:9" hidden="1">
      <c r="G160" s="87"/>
      <c r="H160" s="6"/>
      <c r="I160" s="6"/>
    </row>
    <row r="161" spans="7:9" hidden="1">
      <c r="G161" s="87"/>
      <c r="H161" s="6"/>
      <c r="I161" s="6"/>
    </row>
    <row r="162" spans="7:9" hidden="1">
      <c r="G162" s="87"/>
      <c r="H162" s="6"/>
      <c r="I162" s="6"/>
    </row>
    <row r="163" spans="7:9" hidden="1">
      <c r="G163" s="87"/>
      <c r="H163" s="6"/>
      <c r="I163" s="6"/>
    </row>
    <row r="164" spans="7:9" hidden="1">
      <c r="G164" s="87"/>
      <c r="H164" s="6"/>
      <c r="I164" s="6"/>
    </row>
    <row r="165" spans="7:9" hidden="1">
      <c r="G165" s="87"/>
      <c r="H165" s="6"/>
      <c r="I165" s="6"/>
    </row>
    <row r="166" spans="7:9" hidden="1">
      <c r="G166" s="87"/>
      <c r="H166" s="6"/>
      <c r="I166" s="6"/>
    </row>
    <row r="167" spans="7:9" hidden="1">
      <c r="G167" s="87"/>
      <c r="H167" s="6"/>
      <c r="I167" s="6"/>
    </row>
    <row r="168" spans="7:9" hidden="1">
      <c r="G168" s="87"/>
      <c r="H168" s="6"/>
      <c r="I168" s="6"/>
    </row>
    <row r="169" spans="7:9" hidden="1">
      <c r="G169" s="87"/>
      <c r="H169" s="6"/>
      <c r="I169" s="6"/>
    </row>
    <row r="170" spans="7:9" hidden="1">
      <c r="G170" s="87"/>
      <c r="H170" s="6"/>
      <c r="I170" s="6"/>
    </row>
    <row r="171" spans="7:9" hidden="1">
      <c r="G171" s="87"/>
      <c r="H171" s="6"/>
      <c r="I171" s="6"/>
    </row>
    <row r="172" spans="7:9" hidden="1">
      <c r="G172" s="87"/>
      <c r="H172" s="6"/>
      <c r="I172" s="6"/>
    </row>
    <row r="173" spans="7:9" hidden="1">
      <c r="G173" s="87"/>
      <c r="H173" s="6"/>
      <c r="I173" s="6"/>
    </row>
    <row r="174" spans="7:9" hidden="1">
      <c r="G174" s="87"/>
      <c r="H174" s="6"/>
      <c r="I174" s="6"/>
    </row>
    <row r="175" spans="7:9" hidden="1">
      <c r="G175" s="87"/>
      <c r="H175" s="6"/>
      <c r="I175" s="6"/>
    </row>
    <row r="176" spans="7:9" hidden="1">
      <c r="G176" s="87"/>
      <c r="H176" s="6"/>
      <c r="I176" s="6"/>
    </row>
    <row r="177" spans="7:9" hidden="1">
      <c r="G177" s="87"/>
      <c r="H177" s="6"/>
      <c r="I177" s="6"/>
    </row>
    <row r="178" spans="7:9" hidden="1">
      <c r="G178" s="87"/>
      <c r="H178" s="6"/>
      <c r="I178" s="6"/>
    </row>
    <row r="179" spans="7:9" hidden="1">
      <c r="G179" s="87"/>
      <c r="H179" s="6"/>
      <c r="I179" s="6"/>
    </row>
    <row r="180" spans="7:9" hidden="1">
      <c r="G180" s="87"/>
      <c r="H180" s="6"/>
      <c r="I180" s="6"/>
    </row>
    <row r="181" spans="7:9" hidden="1">
      <c r="G181" s="87"/>
      <c r="H181" s="6"/>
      <c r="I181" s="6"/>
    </row>
    <row r="182" spans="7:9" hidden="1">
      <c r="G182" s="87"/>
      <c r="H182" s="6"/>
      <c r="I182" s="6"/>
    </row>
    <row r="183" spans="7:9" hidden="1">
      <c r="G183" s="87"/>
      <c r="H183" s="6"/>
      <c r="I183" s="6"/>
    </row>
    <row r="184" spans="7:9" hidden="1">
      <c r="G184" s="87"/>
      <c r="H184" s="6"/>
      <c r="I184" s="6"/>
    </row>
    <row r="185" spans="7:9" hidden="1">
      <c r="G185" s="87"/>
      <c r="H185" s="6"/>
      <c r="I185" s="6"/>
    </row>
    <row r="186" spans="7:9" hidden="1">
      <c r="G186" s="87"/>
      <c r="H186" s="6"/>
      <c r="I186" s="6"/>
    </row>
    <row r="187" spans="7:9" hidden="1">
      <c r="G187" s="87"/>
      <c r="H187" s="6"/>
      <c r="I187" s="6"/>
    </row>
    <row r="188" spans="7:9" hidden="1">
      <c r="G188" s="87"/>
      <c r="H188" s="6"/>
      <c r="I188" s="6"/>
    </row>
    <row r="189" spans="7:9" hidden="1">
      <c r="G189" s="87"/>
      <c r="H189" s="6"/>
      <c r="I189" s="6"/>
    </row>
    <row r="190" spans="7:9" hidden="1">
      <c r="G190" s="87"/>
      <c r="H190" s="6"/>
      <c r="I190" s="6"/>
    </row>
    <row r="191" spans="7:9" hidden="1">
      <c r="G191" s="87"/>
      <c r="H191" s="6"/>
      <c r="I191" s="6"/>
    </row>
    <row r="192" spans="7:9" hidden="1">
      <c r="G192" s="87"/>
      <c r="H192" s="6"/>
      <c r="I192" s="6"/>
    </row>
    <row r="193" spans="7:9" hidden="1">
      <c r="G193" s="87"/>
      <c r="H193" s="6"/>
      <c r="I193" s="6"/>
    </row>
    <row r="194" spans="7:9" hidden="1">
      <c r="G194" s="87"/>
      <c r="H194" s="6"/>
      <c r="I194" s="6"/>
    </row>
    <row r="195" spans="7:9" hidden="1">
      <c r="G195" s="87"/>
      <c r="H195" s="6"/>
      <c r="I195" s="6"/>
    </row>
    <row r="196" spans="7:9" hidden="1">
      <c r="G196" s="87"/>
      <c r="H196" s="6"/>
      <c r="I196" s="6"/>
    </row>
    <row r="197" spans="7:9" hidden="1">
      <c r="G197" s="87"/>
      <c r="H197" s="6"/>
      <c r="I197" s="6"/>
    </row>
    <row r="198" spans="7:9" hidden="1">
      <c r="G198" s="87"/>
      <c r="H198" s="6"/>
      <c r="I198" s="6"/>
    </row>
    <row r="199" spans="7:9" hidden="1">
      <c r="G199" s="87"/>
      <c r="H199" s="6"/>
      <c r="I199" s="6"/>
    </row>
    <row r="200" spans="7:9" hidden="1">
      <c r="G200" s="87"/>
      <c r="H200" s="6"/>
      <c r="I200" s="6"/>
    </row>
    <row r="201" spans="7:9" hidden="1">
      <c r="G201" s="87"/>
      <c r="H201" s="6"/>
      <c r="I201" s="6"/>
    </row>
    <row r="202" spans="7:9" hidden="1">
      <c r="G202" s="87"/>
      <c r="H202" s="6"/>
      <c r="I202" s="6"/>
    </row>
    <row r="203" spans="7:9" hidden="1">
      <c r="G203" s="87"/>
      <c r="H203" s="6"/>
      <c r="I203" s="6"/>
    </row>
    <row r="204" spans="7:9" hidden="1">
      <c r="G204" s="87"/>
      <c r="H204" s="6"/>
      <c r="I204" s="6"/>
    </row>
    <row r="205" spans="7:9" hidden="1">
      <c r="G205" s="87"/>
      <c r="H205" s="6"/>
      <c r="I205" s="6"/>
    </row>
    <row r="206" spans="7:9" hidden="1">
      <c r="G206" s="87"/>
      <c r="H206" s="6"/>
      <c r="I206" s="6"/>
    </row>
    <row r="207" spans="7:9" hidden="1">
      <c r="G207" s="87"/>
      <c r="H207" s="6"/>
      <c r="I207" s="6"/>
    </row>
    <row r="208" spans="7:9" hidden="1">
      <c r="G208" s="87"/>
      <c r="H208" s="6"/>
      <c r="I208" s="6"/>
    </row>
    <row r="209" spans="7:9" hidden="1">
      <c r="G209" s="87"/>
      <c r="H209" s="6"/>
      <c r="I209" s="6"/>
    </row>
    <row r="210" spans="7:9" hidden="1">
      <c r="G210" s="87"/>
      <c r="H210" s="6"/>
      <c r="I210" s="6"/>
    </row>
    <row r="211" spans="7:9" hidden="1">
      <c r="G211" s="87"/>
      <c r="H211" s="6"/>
      <c r="I211" s="6"/>
    </row>
    <row r="212" spans="7:9" hidden="1">
      <c r="G212" s="87"/>
      <c r="H212" s="6"/>
      <c r="I212" s="6"/>
    </row>
    <row r="213" spans="7:9" hidden="1">
      <c r="G213" s="87"/>
      <c r="H213" s="6"/>
      <c r="I213" s="6"/>
    </row>
    <row r="214" spans="7:9" hidden="1">
      <c r="G214" s="87"/>
      <c r="H214" s="6"/>
      <c r="I214" s="6"/>
    </row>
    <row r="215" spans="7:9" hidden="1">
      <c r="G215" s="87"/>
      <c r="H215" s="6"/>
      <c r="I215" s="6"/>
    </row>
    <row r="216" spans="7:9" hidden="1">
      <c r="G216" s="87"/>
      <c r="H216" s="6"/>
      <c r="I216" s="6"/>
    </row>
    <row r="217" spans="7:9" hidden="1">
      <c r="G217" s="87"/>
      <c r="H217" s="6"/>
      <c r="I217" s="6"/>
    </row>
    <row r="218" spans="7:9" hidden="1">
      <c r="G218" s="87"/>
      <c r="H218" s="6"/>
      <c r="I218" s="6"/>
    </row>
    <row r="219" spans="7:9" hidden="1">
      <c r="G219" s="87"/>
      <c r="H219" s="6"/>
      <c r="I219" s="6"/>
    </row>
    <row r="220" spans="7:9" hidden="1">
      <c r="G220" s="87"/>
      <c r="H220" s="6"/>
      <c r="I220" s="6"/>
    </row>
    <row r="221" spans="7:9" hidden="1">
      <c r="G221" s="87"/>
      <c r="H221" s="6"/>
      <c r="I221" s="6"/>
    </row>
    <row r="222" spans="7:9" hidden="1">
      <c r="G222" s="87"/>
      <c r="H222" s="6"/>
      <c r="I222" s="6"/>
    </row>
    <row r="223" spans="7:9" hidden="1">
      <c r="G223" s="87"/>
      <c r="H223" s="6"/>
      <c r="I223" s="6"/>
    </row>
    <row r="224" spans="7:9" hidden="1">
      <c r="G224" s="87"/>
      <c r="H224" s="6"/>
      <c r="I224" s="6"/>
    </row>
    <row r="225" spans="7:9" hidden="1">
      <c r="G225" s="87"/>
      <c r="H225" s="6"/>
      <c r="I225" s="6"/>
    </row>
    <row r="226" spans="7:9" hidden="1">
      <c r="G226" s="87"/>
      <c r="H226" s="6"/>
      <c r="I226" s="6"/>
    </row>
    <row r="227" spans="7:9" hidden="1">
      <c r="G227" s="87"/>
      <c r="H227" s="6"/>
      <c r="I227" s="6"/>
    </row>
    <row r="228" spans="7:9" hidden="1">
      <c r="G228" s="87"/>
      <c r="H228" s="6"/>
      <c r="I228" s="6"/>
    </row>
    <row r="229" spans="7:9" hidden="1">
      <c r="G229" s="87"/>
      <c r="H229" s="6"/>
      <c r="I229" s="6"/>
    </row>
    <row r="230" spans="7:9" hidden="1">
      <c r="G230" s="87"/>
      <c r="H230" s="6"/>
      <c r="I230" s="6"/>
    </row>
    <row r="231" spans="7:9" hidden="1">
      <c r="G231" s="87"/>
      <c r="H231" s="6"/>
      <c r="I231" s="6"/>
    </row>
    <row r="232" spans="7:9" hidden="1">
      <c r="G232" s="87"/>
      <c r="H232" s="6"/>
      <c r="I232" s="6"/>
    </row>
    <row r="233" spans="7:9" hidden="1">
      <c r="G233" s="87"/>
      <c r="H233" s="6"/>
      <c r="I233" s="6"/>
    </row>
    <row r="234" spans="7:9" hidden="1">
      <c r="G234" s="87"/>
      <c r="H234" s="6"/>
      <c r="I234" s="6"/>
    </row>
    <row r="235" spans="7:9" hidden="1">
      <c r="G235" s="87"/>
      <c r="H235" s="6"/>
      <c r="I235" s="6"/>
    </row>
    <row r="236" spans="7:9" hidden="1">
      <c r="G236" s="87"/>
      <c r="H236" s="6"/>
      <c r="I236" s="6"/>
    </row>
    <row r="237" spans="7:9" hidden="1">
      <c r="G237" s="87"/>
      <c r="H237" s="6"/>
      <c r="I237" s="6"/>
    </row>
    <row r="238" spans="7:9" hidden="1">
      <c r="G238" s="87"/>
      <c r="H238" s="6"/>
      <c r="I238" s="6"/>
    </row>
    <row r="239" spans="7:9" hidden="1">
      <c r="G239" s="87"/>
      <c r="H239" s="6"/>
      <c r="I239" s="6"/>
    </row>
    <row r="240" spans="7:9" hidden="1">
      <c r="G240" s="87"/>
      <c r="H240" s="6"/>
      <c r="I240" s="6"/>
    </row>
    <row r="241" spans="7:9" hidden="1">
      <c r="G241" s="87"/>
      <c r="H241" s="6"/>
      <c r="I241" s="6"/>
    </row>
    <row r="242" spans="7:9" hidden="1">
      <c r="G242" s="87"/>
      <c r="H242" s="6"/>
      <c r="I242" s="6"/>
    </row>
    <row r="243" spans="7:9" hidden="1">
      <c r="G243" s="87"/>
      <c r="H243" s="6"/>
      <c r="I243" s="6"/>
    </row>
    <row r="244" spans="7:9" hidden="1">
      <c r="G244" s="87"/>
      <c r="H244" s="6"/>
      <c r="I244" s="6"/>
    </row>
    <row r="245" spans="7:9" hidden="1">
      <c r="G245" s="87"/>
      <c r="H245" s="6"/>
      <c r="I245" s="6"/>
    </row>
    <row r="246" spans="7:9" hidden="1">
      <c r="G246" s="87"/>
      <c r="H246" s="6"/>
      <c r="I246" s="6"/>
    </row>
    <row r="247" spans="7:9" hidden="1">
      <c r="G247" s="87"/>
      <c r="H247" s="6"/>
      <c r="I247" s="6"/>
    </row>
    <row r="248" spans="7:9" hidden="1">
      <c r="G248" s="87"/>
      <c r="H248" s="6"/>
      <c r="I248" s="6"/>
    </row>
    <row r="249" spans="7:9" hidden="1">
      <c r="G249" s="87"/>
      <c r="H249" s="6"/>
      <c r="I249" s="6"/>
    </row>
    <row r="250" spans="7:9" hidden="1">
      <c r="G250" s="87"/>
      <c r="H250" s="6"/>
      <c r="I250" s="6"/>
    </row>
    <row r="251" spans="7:9" hidden="1">
      <c r="G251" s="87"/>
      <c r="H251" s="6"/>
      <c r="I251" s="6"/>
    </row>
    <row r="252" spans="7:9" hidden="1">
      <c r="G252" s="87"/>
      <c r="H252" s="6"/>
      <c r="I252" s="6"/>
    </row>
    <row r="253" spans="7:9" hidden="1">
      <c r="G253" s="87"/>
      <c r="H253" s="6"/>
      <c r="I253" s="6"/>
    </row>
    <row r="254" spans="7:9" hidden="1">
      <c r="G254" s="87"/>
      <c r="H254" s="6"/>
      <c r="I254" s="6"/>
    </row>
    <row r="255" spans="7:9" hidden="1">
      <c r="G255" s="87"/>
      <c r="H255" s="6"/>
      <c r="I255" s="6"/>
    </row>
    <row r="256" spans="7:9" hidden="1">
      <c r="G256" s="87"/>
      <c r="H256" s="6"/>
      <c r="I256" s="6"/>
    </row>
    <row r="257" spans="7:9" hidden="1">
      <c r="G257" s="87"/>
      <c r="H257" s="6"/>
      <c r="I257" s="6"/>
    </row>
    <row r="258" spans="7:9" hidden="1">
      <c r="G258" s="87"/>
      <c r="H258" s="6"/>
      <c r="I258" s="6"/>
    </row>
    <row r="259" spans="7:9" hidden="1">
      <c r="G259" s="87"/>
      <c r="H259" s="6"/>
      <c r="I259" s="6"/>
    </row>
    <row r="260" spans="7:9" hidden="1">
      <c r="G260" s="87"/>
      <c r="H260" s="6"/>
      <c r="I260" s="6"/>
    </row>
    <row r="261" spans="7:9" hidden="1">
      <c r="G261" s="87"/>
      <c r="H261" s="6"/>
      <c r="I261" s="6"/>
    </row>
    <row r="262" spans="7:9" hidden="1">
      <c r="G262" s="87"/>
      <c r="H262" s="6"/>
      <c r="I262" s="6"/>
    </row>
    <row r="263" spans="7:9" hidden="1">
      <c r="G263" s="87"/>
      <c r="H263" s="6"/>
      <c r="I263" s="6"/>
    </row>
    <row r="264" spans="7:9" hidden="1">
      <c r="G264" s="87"/>
      <c r="H264" s="6"/>
      <c r="I264" s="6"/>
    </row>
    <row r="265" spans="7:9" hidden="1">
      <c r="G265" s="87"/>
      <c r="H265" s="6"/>
      <c r="I265" s="6"/>
    </row>
    <row r="266" spans="7:9" hidden="1">
      <c r="G266" s="87"/>
      <c r="H266" s="6"/>
      <c r="I266" s="6"/>
    </row>
    <row r="267" spans="7:9" hidden="1">
      <c r="G267" s="87"/>
      <c r="H267" s="6"/>
      <c r="I267" s="6"/>
    </row>
    <row r="268" spans="7:9" hidden="1">
      <c r="G268" s="87"/>
      <c r="H268" s="6"/>
      <c r="I268" s="6"/>
    </row>
    <row r="269" spans="7:9" hidden="1">
      <c r="G269" s="87"/>
      <c r="H269" s="6"/>
      <c r="I269" s="6"/>
    </row>
    <row r="270" spans="7:9" hidden="1">
      <c r="G270" s="87"/>
      <c r="H270" s="6"/>
      <c r="I270" s="6"/>
    </row>
    <row r="271" spans="7:9" hidden="1">
      <c r="G271" s="87"/>
      <c r="H271" s="6"/>
      <c r="I271" s="6"/>
    </row>
    <row r="272" spans="7:9" hidden="1">
      <c r="G272" s="87"/>
      <c r="H272" s="6"/>
      <c r="I272" s="6"/>
    </row>
    <row r="273" spans="7:9" hidden="1">
      <c r="G273" s="87"/>
      <c r="H273" s="6"/>
      <c r="I273" s="6"/>
    </row>
    <row r="274" spans="7:9" hidden="1">
      <c r="G274" s="87"/>
      <c r="H274" s="6"/>
      <c r="I274" s="6"/>
    </row>
    <row r="275" spans="7:9" hidden="1">
      <c r="G275" s="87"/>
      <c r="H275" s="6"/>
      <c r="I275" s="6"/>
    </row>
    <row r="276" spans="7:9" hidden="1">
      <c r="G276" s="87"/>
      <c r="H276" s="6"/>
      <c r="I276" s="6"/>
    </row>
    <row r="277" spans="7:9" hidden="1">
      <c r="G277" s="87"/>
      <c r="H277" s="6"/>
      <c r="I277" s="6"/>
    </row>
    <row r="278" spans="7:9" hidden="1">
      <c r="G278" s="87"/>
      <c r="H278" s="6"/>
      <c r="I278" s="6"/>
    </row>
    <row r="279" spans="7:9" hidden="1">
      <c r="G279" s="87"/>
      <c r="H279" s="6"/>
      <c r="I279" s="6"/>
    </row>
    <row r="280" spans="7:9" hidden="1">
      <c r="G280" s="87"/>
      <c r="H280" s="6"/>
      <c r="I280" s="6"/>
    </row>
    <row r="281" spans="7:9" hidden="1">
      <c r="G281" s="87"/>
      <c r="H281" s="6"/>
      <c r="I281" s="6"/>
    </row>
    <row r="282" spans="7:9" hidden="1">
      <c r="G282" s="87"/>
      <c r="H282" s="6"/>
      <c r="I282" s="6"/>
    </row>
    <row r="283" spans="7:9" hidden="1">
      <c r="G283" s="87"/>
      <c r="H283" s="6"/>
      <c r="I283" s="6"/>
    </row>
    <row r="284" spans="7:9" hidden="1">
      <c r="G284" s="87"/>
      <c r="H284" s="6"/>
      <c r="I284" s="6"/>
    </row>
    <row r="285" spans="7:9" hidden="1">
      <c r="G285" s="87"/>
      <c r="H285" s="6"/>
      <c r="I285" s="6"/>
    </row>
    <row r="286" spans="7:9" hidden="1">
      <c r="G286" s="87"/>
      <c r="H286" s="6"/>
      <c r="I286" s="6"/>
    </row>
    <row r="287" spans="7:9" hidden="1">
      <c r="G287" s="87"/>
      <c r="H287" s="6"/>
      <c r="I287" s="6"/>
    </row>
    <row r="288" spans="7:9" hidden="1">
      <c r="G288" s="87"/>
      <c r="H288" s="6"/>
      <c r="I288" s="6"/>
    </row>
    <row r="289" spans="7:9" hidden="1">
      <c r="G289" s="87"/>
      <c r="H289" s="6"/>
      <c r="I289" s="6"/>
    </row>
    <row r="290" spans="7:9" hidden="1">
      <c r="G290" s="87"/>
      <c r="H290" s="6"/>
      <c r="I290" s="6"/>
    </row>
    <row r="291" spans="7:9" hidden="1">
      <c r="G291" s="87"/>
      <c r="H291" s="6"/>
      <c r="I291" s="6"/>
    </row>
    <row r="292" spans="7:9" hidden="1">
      <c r="G292" s="87"/>
      <c r="H292" s="6"/>
      <c r="I292" s="6"/>
    </row>
    <row r="293" spans="7:9" hidden="1">
      <c r="G293" s="87"/>
      <c r="H293" s="6"/>
      <c r="I293" s="6"/>
    </row>
    <row r="294" spans="7:9" hidden="1">
      <c r="G294" s="87"/>
      <c r="H294" s="6"/>
      <c r="I294" s="6"/>
    </row>
    <row r="295" spans="7:9" hidden="1">
      <c r="G295" s="87"/>
      <c r="H295" s="6"/>
      <c r="I295" s="6"/>
    </row>
    <row r="296" spans="7:9" hidden="1">
      <c r="G296" s="87"/>
      <c r="H296" s="6"/>
      <c r="I296" s="6"/>
    </row>
    <row r="297" spans="7:9" hidden="1">
      <c r="G297" s="87"/>
      <c r="H297" s="6"/>
      <c r="I297" s="6"/>
    </row>
    <row r="298" spans="7:9" hidden="1">
      <c r="G298" s="87"/>
      <c r="H298" s="6"/>
      <c r="I298" s="6"/>
    </row>
    <row r="299" spans="7:9" hidden="1">
      <c r="G299" s="87"/>
      <c r="H299" s="6"/>
      <c r="I299" s="6"/>
    </row>
    <row r="300" spans="7:9" hidden="1">
      <c r="G300" s="87"/>
      <c r="H300" s="6"/>
      <c r="I300" s="6"/>
    </row>
    <row r="301" spans="7:9" hidden="1">
      <c r="G301" s="87"/>
      <c r="H301" s="6"/>
      <c r="I301" s="6"/>
    </row>
    <row r="302" spans="7:9" hidden="1">
      <c r="G302" s="87"/>
      <c r="H302" s="6"/>
      <c r="I302" s="6"/>
    </row>
    <row r="303" spans="7:9" hidden="1">
      <c r="G303" s="87"/>
      <c r="H303" s="6"/>
      <c r="I303" s="6"/>
    </row>
    <row r="304" spans="7:9" hidden="1">
      <c r="G304" s="87"/>
      <c r="H304" s="6"/>
      <c r="I304" s="6"/>
    </row>
    <row r="305" spans="7:9" hidden="1">
      <c r="G305" s="87"/>
      <c r="H305" s="6"/>
      <c r="I305" s="6"/>
    </row>
    <row r="306" spans="7:9" hidden="1">
      <c r="G306" s="87"/>
      <c r="H306" s="6"/>
      <c r="I306" s="6"/>
    </row>
    <row r="307" spans="7:9" hidden="1">
      <c r="G307" s="87"/>
      <c r="H307" s="6"/>
      <c r="I307" s="6"/>
    </row>
    <row r="308" spans="7:9" hidden="1">
      <c r="G308" s="87"/>
      <c r="H308" s="6"/>
      <c r="I308" s="6"/>
    </row>
    <row r="309" spans="7:9" hidden="1">
      <c r="G309" s="87"/>
      <c r="H309" s="6"/>
      <c r="I309" s="6"/>
    </row>
    <row r="310" spans="7:9" hidden="1">
      <c r="G310" s="87"/>
      <c r="H310" s="6"/>
      <c r="I310" s="6"/>
    </row>
    <row r="311" spans="7:9" hidden="1">
      <c r="G311" s="87"/>
      <c r="H311" s="6"/>
      <c r="I311" s="6"/>
    </row>
    <row r="312" spans="7:9" hidden="1">
      <c r="G312" s="87"/>
      <c r="H312" s="6"/>
      <c r="I312" s="6"/>
    </row>
    <row r="313" spans="7:9" hidden="1">
      <c r="G313" s="87"/>
      <c r="H313" s="6"/>
      <c r="I313" s="6"/>
    </row>
    <row r="314" spans="7:9" hidden="1">
      <c r="G314" s="87"/>
      <c r="H314" s="6"/>
      <c r="I314" s="6"/>
    </row>
    <row r="315" spans="7:9" hidden="1">
      <c r="G315" s="87"/>
      <c r="H315" s="6"/>
      <c r="I315" s="6"/>
    </row>
    <row r="316" spans="7:9" hidden="1">
      <c r="G316" s="87"/>
      <c r="H316" s="6"/>
      <c r="I316" s="6"/>
    </row>
    <row r="317" spans="7:9" hidden="1">
      <c r="G317" s="87"/>
      <c r="H317" s="6"/>
      <c r="I317" s="6"/>
    </row>
    <row r="318" spans="7:9" hidden="1">
      <c r="G318" s="87"/>
      <c r="H318" s="6"/>
      <c r="I318" s="6"/>
    </row>
    <row r="319" spans="7:9" hidden="1">
      <c r="G319" s="87"/>
      <c r="H319" s="6"/>
      <c r="I319" s="6"/>
    </row>
    <row r="320" spans="7:9" hidden="1">
      <c r="G320" s="87"/>
      <c r="H320" s="6"/>
      <c r="I320" s="6"/>
    </row>
    <row r="321" spans="7:9" hidden="1">
      <c r="G321" s="87"/>
      <c r="H321" s="6"/>
      <c r="I321" s="6"/>
    </row>
    <row r="322" spans="7:9" hidden="1">
      <c r="G322" s="87"/>
      <c r="H322" s="6"/>
      <c r="I322" s="6"/>
    </row>
    <row r="323" spans="7:9" hidden="1">
      <c r="G323" s="87"/>
      <c r="H323" s="6"/>
      <c r="I323" s="6"/>
    </row>
    <row r="324" spans="7:9" hidden="1">
      <c r="G324" s="87"/>
      <c r="H324" s="6"/>
      <c r="I324" s="6"/>
    </row>
    <row r="325" spans="7:9" hidden="1">
      <c r="G325" s="87"/>
      <c r="H325" s="6"/>
      <c r="I325" s="6"/>
    </row>
    <row r="326" spans="7:9" hidden="1">
      <c r="G326" s="87"/>
      <c r="H326" s="6"/>
      <c r="I326" s="6"/>
    </row>
    <row r="327" spans="7:9" hidden="1">
      <c r="G327" s="87"/>
      <c r="H327" s="6"/>
      <c r="I327" s="6"/>
    </row>
    <row r="328" spans="7:9" hidden="1">
      <c r="G328" s="87"/>
      <c r="H328" s="6"/>
      <c r="I328" s="6"/>
    </row>
    <row r="329" spans="7:9" hidden="1">
      <c r="G329" s="87"/>
      <c r="H329" s="6"/>
      <c r="I329" s="6"/>
    </row>
    <row r="330" spans="7:9" hidden="1">
      <c r="G330" s="87"/>
      <c r="H330" s="6"/>
      <c r="I330" s="6"/>
    </row>
    <row r="331" spans="7:9" hidden="1">
      <c r="G331" s="87"/>
      <c r="H331" s="6"/>
      <c r="I331" s="6"/>
    </row>
    <row r="332" spans="7:9" hidden="1">
      <c r="G332" s="87"/>
      <c r="H332" s="6"/>
      <c r="I332" s="6"/>
    </row>
    <row r="333" spans="7:9" hidden="1">
      <c r="G333" s="87"/>
      <c r="H333" s="6"/>
      <c r="I333" s="6"/>
    </row>
    <row r="334" spans="7:9" hidden="1">
      <c r="G334" s="87"/>
      <c r="H334" s="6"/>
      <c r="I334" s="6"/>
    </row>
    <row r="335" spans="7:9" hidden="1">
      <c r="G335" s="87"/>
      <c r="H335" s="6"/>
      <c r="I335" s="6"/>
    </row>
    <row r="336" spans="7:9" hidden="1">
      <c r="G336" s="87"/>
      <c r="H336" s="6"/>
      <c r="I336" s="6"/>
    </row>
    <row r="337" spans="7:9" hidden="1">
      <c r="G337" s="87"/>
      <c r="H337" s="6"/>
      <c r="I337" s="6"/>
    </row>
    <row r="338" spans="7:9" hidden="1">
      <c r="G338" s="87"/>
      <c r="H338" s="6"/>
      <c r="I338" s="6"/>
    </row>
    <row r="339" spans="7:9" hidden="1">
      <c r="G339" s="87"/>
      <c r="H339" s="6"/>
      <c r="I339" s="6"/>
    </row>
    <row r="340" spans="7:9" hidden="1">
      <c r="G340" s="87"/>
      <c r="H340" s="6"/>
      <c r="I340" s="6"/>
    </row>
    <row r="341" spans="7:9" hidden="1">
      <c r="G341" s="87"/>
      <c r="H341" s="6"/>
      <c r="I341" s="6"/>
    </row>
    <row r="342" spans="7:9" hidden="1">
      <c r="G342" s="87"/>
      <c r="H342" s="6"/>
      <c r="I342" s="6"/>
    </row>
    <row r="343" spans="7:9" hidden="1">
      <c r="G343" s="87"/>
      <c r="H343" s="6"/>
      <c r="I343" s="6"/>
    </row>
    <row r="344" spans="7:9" hidden="1">
      <c r="G344" s="87"/>
      <c r="H344" s="6"/>
      <c r="I344" s="6"/>
    </row>
    <row r="345" spans="7:9" hidden="1">
      <c r="G345" s="87"/>
      <c r="H345" s="6"/>
      <c r="I345" s="6"/>
    </row>
    <row r="346" spans="7:9" hidden="1">
      <c r="G346" s="87"/>
      <c r="H346" s="6"/>
      <c r="I346" s="6"/>
    </row>
    <row r="347" spans="7:9" hidden="1">
      <c r="G347" s="87"/>
      <c r="H347" s="6"/>
      <c r="I347" s="6"/>
    </row>
    <row r="348" spans="7:9" hidden="1">
      <c r="G348" s="87"/>
      <c r="H348" s="6"/>
      <c r="I348" s="6"/>
    </row>
    <row r="349" spans="7:9" hidden="1">
      <c r="G349" s="87"/>
      <c r="H349" s="6"/>
      <c r="I349" s="6"/>
    </row>
    <row r="350" spans="7:9" hidden="1">
      <c r="G350" s="87"/>
      <c r="H350" s="6"/>
      <c r="I350" s="6"/>
    </row>
    <row r="351" spans="7:9" hidden="1">
      <c r="G351" s="87"/>
      <c r="H351" s="6"/>
      <c r="I351" s="6"/>
    </row>
    <row r="352" spans="7:9" hidden="1">
      <c r="G352" s="87"/>
      <c r="H352" s="6"/>
      <c r="I352" s="6"/>
    </row>
    <row r="353" spans="7:9" hidden="1">
      <c r="G353" s="87"/>
      <c r="H353" s="6"/>
      <c r="I353" s="6"/>
    </row>
    <row r="354" spans="7:9" hidden="1">
      <c r="G354" s="87"/>
      <c r="H354" s="6"/>
      <c r="I354" s="6"/>
    </row>
    <row r="355" spans="7:9" hidden="1">
      <c r="G355" s="87"/>
      <c r="H355" s="6"/>
      <c r="I355" s="6"/>
    </row>
    <row r="356" spans="7:9" hidden="1">
      <c r="G356" s="87"/>
      <c r="H356" s="6"/>
      <c r="I356" s="6"/>
    </row>
    <row r="357" spans="7:9" hidden="1">
      <c r="G357" s="87"/>
      <c r="H357" s="6"/>
      <c r="I357" s="6"/>
    </row>
    <row r="358" spans="7:9" hidden="1">
      <c r="G358" s="87"/>
      <c r="H358" s="6"/>
      <c r="I358" s="6"/>
    </row>
    <row r="359" spans="7:9" hidden="1">
      <c r="G359" s="87"/>
      <c r="H359" s="6"/>
      <c r="I359" s="6"/>
    </row>
    <row r="360" spans="7:9" hidden="1">
      <c r="G360" s="87"/>
      <c r="H360" s="6"/>
      <c r="I360" s="6"/>
    </row>
    <row r="361" spans="7:9" hidden="1">
      <c r="G361" s="87"/>
      <c r="H361" s="6"/>
      <c r="I361" s="6"/>
    </row>
    <row r="362" spans="7:9" hidden="1">
      <c r="G362" s="87"/>
      <c r="H362" s="6"/>
      <c r="I362" s="6"/>
    </row>
    <row r="363" spans="7:9" hidden="1">
      <c r="G363" s="87"/>
      <c r="H363" s="6"/>
      <c r="I363" s="6"/>
    </row>
    <row r="364" spans="7:9" hidden="1">
      <c r="G364" s="87"/>
      <c r="H364" s="6"/>
      <c r="I364" s="6"/>
    </row>
    <row r="365" spans="7:9" hidden="1">
      <c r="G365" s="87"/>
      <c r="H365" s="6"/>
      <c r="I365" s="6"/>
    </row>
    <row r="366" spans="7:9" hidden="1">
      <c r="G366" s="87"/>
      <c r="H366" s="6"/>
      <c r="I366" s="6"/>
    </row>
    <row r="367" spans="7:9" hidden="1">
      <c r="G367" s="87"/>
      <c r="H367" s="6"/>
      <c r="I367" s="6"/>
    </row>
    <row r="368" spans="7:9" hidden="1">
      <c r="G368" s="87"/>
      <c r="H368" s="6"/>
      <c r="I368" s="6"/>
    </row>
    <row r="369" spans="7:9" hidden="1">
      <c r="G369" s="87"/>
      <c r="H369" s="6"/>
      <c r="I369" s="6"/>
    </row>
    <row r="370" spans="7:9" hidden="1">
      <c r="G370" s="87"/>
      <c r="H370" s="6"/>
      <c r="I370" s="6"/>
    </row>
    <row r="371" spans="7:9" hidden="1">
      <c r="G371" s="87"/>
      <c r="H371" s="6"/>
      <c r="I371" s="6"/>
    </row>
    <row r="372" spans="7:9" hidden="1">
      <c r="G372" s="87"/>
      <c r="H372" s="6"/>
      <c r="I372" s="6"/>
    </row>
    <row r="373" spans="7:9" hidden="1">
      <c r="G373" s="87"/>
      <c r="H373" s="6"/>
      <c r="I373" s="6"/>
    </row>
    <row r="374" spans="7:9" hidden="1">
      <c r="G374" s="87"/>
      <c r="H374" s="6"/>
      <c r="I374" s="6"/>
    </row>
    <row r="375" spans="7:9" hidden="1">
      <c r="G375" s="87"/>
      <c r="H375" s="6"/>
      <c r="I375" s="6"/>
    </row>
    <row r="376" spans="7:9" hidden="1">
      <c r="G376" s="87"/>
      <c r="H376" s="6"/>
      <c r="I376" s="6"/>
    </row>
    <row r="377" spans="7:9" hidden="1">
      <c r="G377" s="87"/>
      <c r="H377" s="6"/>
      <c r="I377" s="6"/>
    </row>
    <row r="378" spans="7:9" hidden="1">
      <c r="G378" s="87"/>
      <c r="H378" s="6"/>
      <c r="I378" s="6"/>
    </row>
    <row r="379" spans="7:9" hidden="1">
      <c r="G379" s="87"/>
      <c r="H379" s="6"/>
      <c r="I379" s="6"/>
    </row>
    <row r="380" spans="7:9" hidden="1">
      <c r="G380" s="87"/>
      <c r="H380" s="6"/>
      <c r="I380" s="6"/>
    </row>
    <row r="381" spans="7:9" hidden="1">
      <c r="G381" s="87"/>
      <c r="H381" s="6"/>
      <c r="I381" s="6"/>
    </row>
    <row r="382" spans="7:9" hidden="1">
      <c r="G382" s="87"/>
      <c r="H382" s="6"/>
      <c r="I382" s="6"/>
    </row>
    <row r="383" spans="7:9" hidden="1">
      <c r="G383" s="87"/>
      <c r="H383" s="6"/>
      <c r="I383" s="6"/>
    </row>
    <row r="384" spans="7:9" hidden="1">
      <c r="G384" s="87"/>
      <c r="H384" s="6"/>
      <c r="I384" s="6"/>
    </row>
    <row r="385" spans="7:9" hidden="1">
      <c r="G385" s="87"/>
      <c r="H385" s="6"/>
      <c r="I385" s="6"/>
    </row>
    <row r="386" spans="7:9" hidden="1">
      <c r="G386" s="87"/>
      <c r="H386" s="6"/>
      <c r="I386" s="6"/>
    </row>
    <row r="387" spans="7:9" hidden="1">
      <c r="G387" s="87"/>
      <c r="H387" s="6"/>
      <c r="I387" s="6"/>
    </row>
    <row r="388" spans="7:9" hidden="1">
      <c r="G388" s="87"/>
      <c r="H388" s="6"/>
      <c r="I388" s="6"/>
    </row>
    <row r="389" spans="7:9" hidden="1">
      <c r="G389" s="87"/>
      <c r="H389" s="6"/>
      <c r="I389" s="6"/>
    </row>
    <row r="390" spans="7:9" hidden="1">
      <c r="G390" s="87"/>
      <c r="H390" s="6"/>
      <c r="I390" s="6"/>
    </row>
    <row r="391" spans="7:9" hidden="1">
      <c r="G391" s="87"/>
      <c r="H391" s="6"/>
      <c r="I391" s="6"/>
    </row>
    <row r="392" spans="7:9" hidden="1">
      <c r="G392" s="87"/>
      <c r="H392" s="6"/>
      <c r="I392" s="6"/>
    </row>
    <row r="393" spans="7:9" hidden="1">
      <c r="G393" s="87"/>
      <c r="H393" s="6"/>
      <c r="I393" s="6"/>
    </row>
    <row r="394" spans="7:9" hidden="1">
      <c r="G394" s="87"/>
      <c r="H394" s="6"/>
      <c r="I394" s="6"/>
    </row>
    <row r="395" spans="7:9" hidden="1">
      <c r="G395" s="87"/>
      <c r="H395" s="6"/>
      <c r="I395" s="6"/>
    </row>
    <row r="396" spans="7:9" hidden="1">
      <c r="G396" s="87"/>
      <c r="H396" s="6"/>
      <c r="I396" s="6"/>
    </row>
    <row r="397" spans="7:9" hidden="1">
      <c r="G397" s="87"/>
      <c r="H397" s="6"/>
      <c r="I397" s="6"/>
    </row>
    <row r="398" spans="7:9" hidden="1">
      <c r="G398" s="87"/>
      <c r="H398" s="6"/>
      <c r="I398" s="6"/>
    </row>
  </sheetData>
  <sheetProtection password="C5F7" sheet="1" objects="1" scenarios="1" formatCells="0" formatColumns="0"/>
  <mergeCells count="53">
    <mergeCell ref="A51:E51"/>
    <mergeCell ref="A52:D52"/>
    <mergeCell ref="A47:G47"/>
    <mergeCell ref="A48:G48"/>
    <mergeCell ref="G54:I54"/>
    <mergeCell ref="G55:I55"/>
    <mergeCell ref="A1:I1"/>
    <mergeCell ref="A3:I3"/>
    <mergeCell ref="A2:I2"/>
    <mergeCell ref="D17:E17"/>
    <mergeCell ref="D14:E14"/>
    <mergeCell ref="C39:E39"/>
    <mergeCell ref="G53:I53"/>
    <mergeCell ref="G52:I52"/>
    <mergeCell ref="D41:E41"/>
    <mergeCell ref="D42:E42"/>
    <mergeCell ref="D40:E40"/>
    <mergeCell ref="A50:E50"/>
    <mergeCell ref="A46:E46"/>
    <mergeCell ref="D45:E45"/>
    <mergeCell ref="D43:E43"/>
    <mergeCell ref="D44:E44"/>
    <mergeCell ref="D29:E29"/>
    <mergeCell ref="A4:I4"/>
    <mergeCell ref="D13:E13"/>
    <mergeCell ref="D15:E15"/>
    <mergeCell ref="A5:D5"/>
    <mergeCell ref="B11:E11"/>
    <mergeCell ref="A10:E10"/>
    <mergeCell ref="A7:C7"/>
    <mergeCell ref="A8:C8"/>
    <mergeCell ref="B27:E27"/>
    <mergeCell ref="C12:E12"/>
    <mergeCell ref="C18:E18"/>
    <mergeCell ref="C21:E21"/>
    <mergeCell ref="C24:E24"/>
    <mergeCell ref="D25:E25"/>
    <mergeCell ref="D38:E38"/>
    <mergeCell ref="C28:E28"/>
    <mergeCell ref="C31:E31"/>
    <mergeCell ref="C34:E34"/>
    <mergeCell ref="D37:E37"/>
    <mergeCell ref="D30:E30"/>
    <mergeCell ref="D36:E36"/>
    <mergeCell ref="D33:E33"/>
    <mergeCell ref="D35:E35"/>
    <mergeCell ref="D32:E32"/>
    <mergeCell ref="A26:E26"/>
    <mergeCell ref="D16:E16"/>
    <mergeCell ref="D19:E19"/>
    <mergeCell ref="D20:E20"/>
    <mergeCell ref="D22:E22"/>
    <mergeCell ref="D23:E23"/>
  </mergeCells>
  <phoneticPr fontId="19" type="noConversion"/>
  <dataValidations count="3">
    <dataValidation type="decimal" operator="greaterThanOrEqual" allowBlank="1" showInputMessage="1" showErrorMessage="1" errorTitle="Validation Rule" error="Allow only number" sqref="F13:F17 F19:F20 F22:F23 F25 F29:F30 F32:F33 F35:F38 F40:F45">
      <formula1>0</formula1>
    </dataValidation>
    <dataValidation type="decimal" operator="greaterThanOrEqual" allowBlank="1" showInputMessage="1" showErrorMessage="1" sqref="H8">
      <formula1>0</formula1>
    </dataValidation>
    <dataValidation type="decimal" operator="greaterThanOrEqual" allowBlank="1" showInputMessage="1" showErrorMessage="1" prompt="_x000a_" sqref="D8">
      <formula1>0</formula1>
    </dataValidation>
  </dataValidations>
  <pageMargins left="0.25" right="0" top="0.25" bottom="0" header="0.5" footer="0"/>
  <pageSetup paperSize="9" scale="95"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rgb="FFFFFFFF"/>
  </sheetPr>
  <dimension ref="A1:K58"/>
  <sheetViews>
    <sheetView showGridLines="0" topLeftCell="A10" zoomScale="85" zoomScaleNormal="85" zoomScaleSheetLayoutView="100" workbookViewId="0">
      <selection activeCell="C17" sqref="C17:D31"/>
    </sheetView>
  </sheetViews>
  <sheetFormatPr defaultColWidth="0" defaultRowHeight="12.75" zeroHeight="1"/>
  <cols>
    <col min="1" max="1" width="7.140625" style="933" customWidth="1"/>
    <col min="2" max="2" width="15.140625" style="909" customWidth="1"/>
    <col min="3" max="3" width="21.140625" style="931" customWidth="1"/>
    <col min="4" max="4" width="23.42578125" style="931" customWidth="1"/>
    <col min="5" max="5" width="25.28515625" style="931" customWidth="1"/>
    <col min="6" max="6" width="29.28515625" style="932" customWidth="1"/>
    <col min="7" max="7" width="30.5703125" style="909" customWidth="1"/>
    <col min="8" max="8" width="25.5703125" style="909" customWidth="1"/>
    <col min="9" max="9" width="19.140625" style="909" customWidth="1"/>
    <col min="10" max="10" width="21.28515625" style="909" customWidth="1"/>
    <col min="11" max="11" width="9.140625" style="907" customWidth="1"/>
    <col min="12" max="16384" width="0" style="907" hidden="1"/>
  </cols>
  <sheetData>
    <row r="1" spans="1:10" s="1193" customFormat="1" ht="35.25" customHeight="1">
      <c r="A1" s="2548" t="s">
        <v>1</v>
      </c>
      <c r="B1" s="2549"/>
      <c r="C1" s="2549"/>
      <c r="D1" s="2549"/>
      <c r="E1" s="2549"/>
      <c r="F1" s="2549"/>
      <c r="G1" s="2549"/>
      <c r="H1" s="2549"/>
      <c r="I1" s="2549"/>
      <c r="J1" s="2549"/>
    </row>
    <row r="2" spans="1:10" s="1194" customFormat="1" ht="19.5" customHeight="1">
      <c r="A2" s="2550" t="s">
        <v>2</v>
      </c>
      <c r="B2" s="2550"/>
      <c r="C2" s="2550"/>
      <c r="D2" s="2550"/>
      <c r="E2" s="2550"/>
      <c r="F2" s="2550"/>
      <c r="G2" s="2550"/>
      <c r="H2" s="2550"/>
      <c r="I2" s="2550"/>
      <c r="J2" s="2550"/>
    </row>
    <row r="3" spans="1:10" s="908" customFormat="1" ht="21" customHeight="1">
      <c r="A3" s="2551" t="s">
        <v>658</v>
      </c>
      <c r="B3" s="2551"/>
      <c r="C3" s="2551"/>
      <c r="D3" s="2551"/>
      <c r="E3" s="2551"/>
      <c r="F3" s="2551"/>
      <c r="G3" s="2551"/>
      <c r="H3" s="2551"/>
      <c r="I3" s="2551"/>
      <c r="J3" s="2551"/>
    </row>
    <row r="4" spans="1:10" ht="17.25" customHeight="1">
      <c r="A4" s="2552" t="s">
        <v>360</v>
      </c>
      <c r="B4" s="2552"/>
      <c r="C4" s="2552"/>
      <c r="D4" s="2552"/>
      <c r="E4" s="2552"/>
      <c r="F4" s="2552"/>
      <c r="G4" s="2552"/>
      <c r="H4" s="2552"/>
      <c r="I4" s="2552"/>
      <c r="J4" s="2552"/>
    </row>
    <row r="5" spans="1:10" ht="21" customHeight="1">
      <c r="A5" s="2546" t="s">
        <v>659</v>
      </c>
      <c r="B5" s="2546"/>
      <c r="C5" s="306"/>
      <c r="D5" s="307"/>
      <c r="E5" s="307"/>
      <c r="F5" s="307"/>
      <c r="G5" s="307"/>
      <c r="H5" s="307"/>
      <c r="J5" s="1195" t="s">
        <v>863</v>
      </c>
    </row>
    <row r="6" spans="1:10" ht="21" customHeight="1">
      <c r="A6" s="2569" t="s">
        <v>362</v>
      </c>
      <c r="B6" s="2569"/>
      <c r="C6" s="308"/>
      <c r="D6" s="2556"/>
      <c r="E6" s="2556"/>
      <c r="F6" s="910"/>
      <c r="G6" s="910"/>
      <c r="H6" s="307"/>
      <c r="J6" s="911"/>
    </row>
    <row r="7" spans="1:10" s="919" customFormat="1" ht="21" customHeight="1" thickBot="1">
      <c r="A7" s="912"/>
      <c r="B7" s="913" t="s">
        <v>668</v>
      </c>
      <c r="C7" s="913"/>
      <c r="D7" s="304"/>
      <c r="E7" s="914"/>
      <c r="F7" s="915"/>
      <c r="G7" s="916" t="s">
        <v>925</v>
      </c>
      <c r="H7" s="305">
        <v>4000</v>
      </c>
      <c r="I7" s="917" t="s">
        <v>431</v>
      </c>
      <c r="J7" s="918" t="s">
        <v>477</v>
      </c>
    </row>
    <row r="8" spans="1:10" s="919" customFormat="1" ht="21.75" customHeight="1" thickBot="1">
      <c r="A8" s="920"/>
      <c r="B8" s="921" t="s">
        <v>3</v>
      </c>
      <c r="C8" s="921"/>
      <c r="D8" s="796">
        <v>100000</v>
      </c>
      <c r="E8" s="922"/>
      <c r="F8" s="923"/>
      <c r="G8" s="916" t="s">
        <v>617</v>
      </c>
      <c r="H8" s="906">
        <v>4000</v>
      </c>
      <c r="I8" s="924" t="s">
        <v>433</v>
      </c>
      <c r="J8" s="918" t="s">
        <v>478</v>
      </c>
    </row>
    <row r="9" spans="1:10" s="92" customFormat="1" ht="9.75" customHeight="1" thickBot="1">
      <c r="A9" s="91"/>
      <c r="C9" s="162"/>
      <c r="D9" s="162"/>
      <c r="F9" s="93"/>
      <c r="G9" s="94"/>
      <c r="H9" s="94"/>
      <c r="I9" s="94"/>
      <c r="J9" s="95"/>
    </row>
    <row r="10" spans="1:10" s="96" customFormat="1" ht="24.75" customHeight="1" thickTop="1">
      <c r="A10" s="2553" t="s">
        <v>4</v>
      </c>
      <c r="B10" s="2563" t="s">
        <v>5</v>
      </c>
      <c r="C10" s="2559" t="s">
        <v>6</v>
      </c>
      <c r="D10" s="2560"/>
      <c r="E10" s="2560"/>
      <c r="F10" s="2561"/>
      <c r="G10" s="2563" t="s">
        <v>194</v>
      </c>
      <c r="H10" s="2563" t="s">
        <v>7</v>
      </c>
      <c r="I10" s="2563" t="s">
        <v>195</v>
      </c>
      <c r="J10" s="2566" t="s">
        <v>8</v>
      </c>
    </row>
    <row r="11" spans="1:10" s="96" customFormat="1" ht="19.5" customHeight="1">
      <c r="A11" s="2554"/>
      <c r="B11" s="2564"/>
      <c r="C11" s="2573" t="s">
        <v>9</v>
      </c>
      <c r="D11" s="2574"/>
      <c r="E11" s="2574"/>
      <c r="F11" s="2575"/>
      <c r="G11" s="2564"/>
      <c r="H11" s="2564"/>
      <c r="I11" s="2564"/>
      <c r="J11" s="2567"/>
    </row>
    <row r="12" spans="1:10" s="97" customFormat="1" ht="26.25" customHeight="1">
      <c r="A12" s="2554"/>
      <c r="B12" s="2564"/>
      <c r="C12" s="2576" t="s">
        <v>10</v>
      </c>
      <c r="D12" s="2576" t="s">
        <v>11</v>
      </c>
      <c r="E12" s="654" t="s">
        <v>12</v>
      </c>
      <c r="F12" s="654" t="s">
        <v>13</v>
      </c>
      <c r="G12" s="2564"/>
      <c r="H12" s="2564"/>
      <c r="I12" s="2564"/>
      <c r="J12" s="2567"/>
    </row>
    <row r="13" spans="1:10" s="97" customFormat="1" ht="22.5" customHeight="1">
      <c r="A13" s="2554"/>
      <c r="B13" s="2564"/>
      <c r="C13" s="2564"/>
      <c r="D13" s="2564"/>
      <c r="E13" s="655" t="s">
        <v>14</v>
      </c>
      <c r="F13" s="655" t="s">
        <v>15</v>
      </c>
      <c r="G13" s="2564"/>
      <c r="H13" s="2564"/>
      <c r="I13" s="2564"/>
      <c r="J13" s="2567"/>
    </row>
    <row r="14" spans="1:10" s="97" customFormat="1" ht="25.5" customHeight="1">
      <c r="A14" s="2554"/>
      <c r="B14" s="2564"/>
      <c r="C14" s="2564"/>
      <c r="D14" s="2564"/>
      <c r="E14" s="654" t="s">
        <v>16</v>
      </c>
      <c r="F14" s="654" t="s">
        <v>16</v>
      </c>
      <c r="G14" s="2564"/>
      <c r="H14" s="2564"/>
      <c r="I14" s="2564"/>
      <c r="J14" s="2567"/>
    </row>
    <row r="15" spans="1:10" s="97" customFormat="1" ht="19.5" customHeight="1">
      <c r="A15" s="2554"/>
      <c r="B15" s="2564"/>
      <c r="C15" s="2565"/>
      <c r="D15" s="2565"/>
      <c r="E15" s="655" t="s">
        <v>17</v>
      </c>
      <c r="F15" s="655" t="s">
        <v>17</v>
      </c>
      <c r="G15" s="2565"/>
      <c r="H15" s="2565"/>
      <c r="I15" s="2565"/>
      <c r="J15" s="2568"/>
    </row>
    <row r="16" spans="1:10" s="90" customFormat="1" ht="21.75" customHeight="1">
      <c r="A16" s="2555"/>
      <c r="B16" s="2565"/>
      <c r="C16" s="656">
        <v>1</v>
      </c>
      <c r="D16" s="656">
        <v>2</v>
      </c>
      <c r="E16" s="656">
        <v>3</v>
      </c>
      <c r="F16" s="656">
        <v>4</v>
      </c>
      <c r="G16" s="656" t="s">
        <v>18</v>
      </c>
      <c r="H16" s="656"/>
      <c r="I16" s="656"/>
      <c r="J16" s="657"/>
    </row>
    <row r="17" spans="1:10" s="98" customFormat="1" ht="24.75" customHeight="1">
      <c r="A17" s="658">
        <v>1</v>
      </c>
      <c r="B17" s="659" t="s">
        <v>483</v>
      </c>
      <c r="C17" s="1584"/>
      <c r="D17" s="1584"/>
      <c r="E17" s="1584"/>
      <c r="F17" s="1585">
        <v>0</v>
      </c>
      <c r="G17" s="1586">
        <f>C17-D17+E17-F17</f>
        <v>0</v>
      </c>
      <c r="H17" s="793">
        <f>G17/$D$8</f>
        <v>0</v>
      </c>
      <c r="I17" s="791">
        <v>0.2</v>
      </c>
      <c r="J17" s="1330" t="str">
        <f>IF((H17-I17)&gt;0,H17-I17,"")</f>
        <v/>
      </c>
    </row>
    <row r="18" spans="1:10" s="98" customFormat="1" ht="24.75" customHeight="1">
      <c r="A18" s="660">
        <v>2</v>
      </c>
      <c r="B18" s="661" t="s">
        <v>553</v>
      </c>
      <c r="C18" s="1584"/>
      <c r="D18" s="1584"/>
      <c r="E18" s="1587">
        <v>0</v>
      </c>
      <c r="F18" s="1588">
        <v>0</v>
      </c>
      <c r="G18" s="1589">
        <f t="shared" ref="G18:G31" si="0">C18-D18+E18-F18</f>
        <v>0</v>
      </c>
      <c r="H18" s="794">
        <f>G18/$D$8</f>
        <v>0</v>
      </c>
      <c r="I18" s="792">
        <v>0.2</v>
      </c>
      <c r="J18" s="795" t="str">
        <f t="shared" ref="J18:J31" si="1">IF((H18-I18)&gt;0,H18-I18,"")</f>
        <v/>
      </c>
    </row>
    <row r="19" spans="1:10" s="98" customFormat="1" ht="24.75" customHeight="1">
      <c r="A19" s="660">
        <v>3</v>
      </c>
      <c r="B19" s="661" t="s">
        <v>19</v>
      </c>
      <c r="C19" s="1584"/>
      <c r="D19" s="1584"/>
      <c r="E19" s="1587">
        <v>0</v>
      </c>
      <c r="F19" s="1588">
        <v>0</v>
      </c>
      <c r="G19" s="1589">
        <f t="shared" si="0"/>
        <v>0</v>
      </c>
      <c r="H19" s="794">
        <f t="shared" ref="H19:H31" si="2">G19/$D$8</f>
        <v>0</v>
      </c>
      <c r="I19" s="792">
        <v>0.2</v>
      </c>
      <c r="J19" s="795" t="str">
        <f t="shared" si="1"/>
        <v/>
      </c>
    </row>
    <row r="20" spans="1:10" s="98" customFormat="1" ht="24.75" customHeight="1">
      <c r="A20" s="660">
        <v>4</v>
      </c>
      <c r="B20" s="661" t="s">
        <v>20</v>
      </c>
      <c r="C20" s="1584"/>
      <c r="D20" s="1584"/>
      <c r="E20" s="1587">
        <v>0</v>
      </c>
      <c r="F20" s="1588">
        <v>0</v>
      </c>
      <c r="G20" s="1589">
        <f t="shared" si="0"/>
        <v>0</v>
      </c>
      <c r="H20" s="794">
        <f t="shared" si="2"/>
        <v>0</v>
      </c>
      <c r="I20" s="792">
        <v>0.2</v>
      </c>
      <c r="J20" s="1318" t="str">
        <f t="shared" si="1"/>
        <v/>
      </c>
    </row>
    <row r="21" spans="1:10" s="98" customFormat="1" ht="24.75" customHeight="1">
      <c r="A21" s="660">
        <v>5</v>
      </c>
      <c r="B21" s="661" t="s">
        <v>21</v>
      </c>
      <c r="C21" s="1584"/>
      <c r="D21" s="1584"/>
      <c r="E21" s="1587">
        <v>0</v>
      </c>
      <c r="F21" s="1588">
        <v>0</v>
      </c>
      <c r="G21" s="1589">
        <f t="shared" si="0"/>
        <v>0</v>
      </c>
      <c r="H21" s="794">
        <f t="shared" si="2"/>
        <v>0</v>
      </c>
      <c r="I21" s="792">
        <v>0.2</v>
      </c>
      <c r="J21" s="1317" t="str">
        <f t="shared" si="1"/>
        <v/>
      </c>
    </row>
    <row r="22" spans="1:10" s="98" customFormat="1" ht="24.75" customHeight="1">
      <c r="A22" s="660">
        <v>6</v>
      </c>
      <c r="B22" s="661" t="s">
        <v>22</v>
      </c>
      <c r="C22" s="1584"/>
      <c r="D22" s="1584"/>
      <c r="E22" s="1587">
        <v>0</v>
      </c>
      <c r="F22" s="1588">
        <v>0</v>
      </c>
      <c r="G22" s="1589">
        <f t="shared" si="0"/>
        <v>0</v>
      </c>
      <c r="H22" s="794">
        <f t="shared" si="2"/>
        <v>0</v>
      </c>
      <c r="I22" s="792">
        <v>0.2</v>
      </c>
      <c r="J22" s="795" t="str">
        <f t="shared" si="1"/>
        <v/>
      </c>
    </row>
    <row r="23" spans="1:10" s="98" customFormat="1" ht="24.75" customHeight="1">
      <c r="A23" s="660">
        <v>7</v>
      </c>
      <c r="B23" s="661" t="s">
        <v>23</v>
      </c>
      <c r="C23" s="1584"/>
      <c r="D23" s="1584"/>
      <c r="E23" s="1587">
        <v>0</v>
      </c>
      <c r="F23" s="1588">
        <v>0</v>
      </c>
      <c r="G23" s="1589">
        <f t="shared" si="0"/>
        <v>0</v>
      </c>
      <c r="H23" s="794">
        <f t="shared" si="2"/>
        <v>0</v>
      </c>
      <c r="I23" s="792">
        <v>0.2</v>
      </c>
      <c r="J23" s="795" t="str">
        <f t="shared" si="1"/>
        <v/>
      </c>
    </row>
    <row r="24" spans="1:10" s="98" customFormat="1" ht="24.75" customHeight="1">
      <c r="A24" s="660">
        <v>8</v>
      </c>
      <c r="B24" s="661" t="s">
        <v>24</v>
      </c>
      <c r="C24" s="1584"/>
      <c r="D24" s="1584"/>
      <c r="E24" s="1587">
        <v>0</v>
      </c>
      <c r="F24" s="1588">
        <v>0</v>
      </c>
      <c r="G24" s="1589">
        <f t="shared" si="0"/>
        <v>0</v>
      </c>
      <c r="H24" s="794">
        <f t="shared" si="2"/>
        <v>0</v>
      </c>
      <c r="I24" s="792">
        <v>0.2</v>
      </c>
      <c r="J24" s="795" t="str">
        <f t="shared" si="1"/>
        <v/>
      </c>
    </row>
    <row r="25" spans="1:10" s="98" customFormat="1" ht="24.75" customHeight="1">
      <c r="A25" s="660">
        <v>9</v>
      </c>
      <c r="B25" s="661" t="s">
        <v>25</v>
      </c>
      <c r="C25" s="1584"/>
      <c r="D25" s="1584"/>
      <c r="E25" s="1587">
        <v>0</v>
      </c>
      <c r="F25" s="1588">
        <v>0</v>
      </c>
      <c r="G25" s="1589">
        <f t="shared" si="0"/>
        <v>0</v>
      </c>
      <c r="H25" s="794">
        <f t="shared" si="2"/>
        <v>0</v>
      </c>
      <c r="I25" s="792">
        <v>0.2</v>
      </c>
      <c r="J25" s="1318" t="str">
        <f t="shared" si="1"/>
        <v/>
      </c>
    </row>
    <row r="26" spans="1:10" s="98" customFormat="1" ht="24.75" customHeight="1">
      <c r="A26" s="660">
        <v>10</v>
      </c>
      <c r="B26" s="661" t="s">
        <v>26</v>
      </c>
      <c r="C26" s="1584"/>
      <c r="D26" s="1584"/>
      <c r="E26" s="1587">
        <v>0</v>
      </c>
      <c r="F26" s="1588">
        <v>0</v>
      </c>
      <c r="G26" s="1589">
        <f t="shared" si="0"/>
        <v>0</v>
      </c>
      <c r="H26" s="794">
        <f t="shared" si="2"/>
        <v>0</v>
      </c>
      <c r="I26" s="792">
        <v>0.2</v>
      </c>
      <c r="J26" s="1318" t="str">
        <f t="shared" si="1"/>
        <v/>
      </c>
    </row>
    <row r="27" spans="1:10" s="98" customFormat="1" ht="24.75" customHeight="1">
      <c r="A27" s="660">
        <v>11</v>
      </c>
      <c r="B27" s="1324" t="s">
        <v>27</v>
      </c>
      <c r="C27" s="1584"/>
      <c r="D27" s="1584"/>
      <c r="E27" s="1587">
        <v>0</v>
      </c>
      <c r="F27" s="1588">
        <v>0</v>
      </c>
      <c r="G27" s="1589">
        <f t="shared" si="0"/>
        <v>0</v>
      </c>
      <c r="H27" s="794">
        <f t="shared" si="2"/>
        <v>0</v>
      </c>
      <c r="I27" s="792">
        <v>0.2</v>
      </c>
      <c r="J27" s="1329" t="str">
        <f t="shared" si="1"/>
        <v/>
      </c>
    </row>
    <row r="28" spans="1:10" s="98" customFormat="1" ht="24.75" customHeight="1">
      <c r="A28" s="1322">
        <v>12</v>
      </c>
      <c r="B28" s="1324" t="s">
        <v>1850</v>
      </c>
      <c r="C28" s="1584"/>
      <c r="D28" s="1584"/>
      <c r="E28" s="1587">
        <v>0</v>
      </c>
      <c r="F28" s="1588">
        <v>0</v>
      </c>
      <c r="G28" s="1589">
        <f t="shared" si="0"/>
        <v>0</v>
      </c>
      <c r="H28" s="794">
        <f t="shared" si="2"/>
        <v>0</v>
      </c>
      <c r="I28" s="792">
        <v>0.2</v>
      </c>
      <c r="J28" s="1328" t="str">
        <f t="shared" si="1"/>
        <v/>
      </c>
    </row>
    <row r="29" spans="1:10" s="98" customFormat="1" ht="24.75" customHeight="1">
      <c r="A29" s="1320">
        <v>13</v>
      </c>
      <c r="B29" s="1326" t="s">
        <v>1851</v>
      </c>
      <c r="C29" s="1584"/>
      <c r="D29" s="1584"/>
      <c r="E29" s="1590">
        <v>0</v>
      </c>
      <c r="F29" s="1591">
        <v>0</v>
      </c>
      <c r="G29" s="1592">
        <f t="shared" si="0"/>
        <v>0</v>
      </c>
      <c r="H29" s="1323">
        <f t="shared" si="2"/>
        <v>0</v>
      </c>
      <c r="I29" s="792">
        <v>0.2</v>
      </c>
      <c r="J29" s="1318" t="str">
        <f t="shared" si="1"/>
        <v/>
      </c>
    </row>
    <row r="30" spans="1:10" s="98" customFormat="1" ht="24.75" customHeight="1">
      <c r="A30" s="660">
        <v>14</v>
      </c>
      <c r="B30" s="1325" t="s">
        <v>1852</v>
      </c>
      <c r="C30" s="1584"/>
      <c r="D30" s="1584"/>
      <c r="E30" s="1587">
        <v>0</v>
      </c>
      <c r="F30" s="1588">
        <v>0</v>
      </c>
      <c r="G30" s="1589">
        <f t="shared" si="0"/>
        <v>0</v>
      </c>
      <c r="H30" s="1319">
        <f t="shared" si="2"/>
        <v>0</v>
      </c>
      <c r="I30" s="792">
        <v>0.2</v>
      </c>
      <c r="J30" s="1317" t="str">
        <f t="shared" si="1"/>
        <v/>
      </c>
    </row>
    <row r="31" spans="1:10" s="98" customFormat="1" ht="24.75" customHeight="1">
      <c r="A31" s="1321">
        <v>15</v>
      </c>
      <c r="B31" s="1313" t="s">
        <v>1853</v>
      </c>
      <c r="C31" s="1584"/>
      <c r="D31" s="1584"/>
      <c r="E31" s="1593">
        <v>0</v>
      </c>
      <c r="F31" s="1594">
        <v>0</v>
      </c>
      <c r="G31" s="1595">
        <f t="shared" si="0"/>
        <v>0</v>
      </c>
      <c r="H31" s="1323">
        <f t="shared" si="2"/>
        <v>0</v>
      </c>
      <c r="I31" s="1316">
        <v>0.2</v>
      </c>
      <c r="J31" s="1327" t="str">
        <f t="shared" si="1"/>
        <v/>
      </c>
    </row>
    <row r="32" spans="1:10" s="98" customFormat="1" ht="24.75" customHeight="1">
      <c r="A32" s="2571" t="s">
        <v>33</v>
      </c>
      <c r="B32" s="2572"/>
      <c r="C32" s="1596">
        <f>SUM(C17:C31)</f>
        <v>0</v>
      </c>
      <c r="D32" s="1596">
        <f>SUM(D17:D31)</f>
        <v>0</v>
      </c>
      <c r="E32" s="1596">
        <f>SUM(E17:E31)</f>
        <v>0</v>
      </c>
      <c r="F32" s="1596">
        <f>SUM(F17:F31)</f>
        <v>0</v>
      </c>
      <c r="G32" s="1597">
        <f>SUM(G17:G31)</f>
        <v>0</v>
      </c>
      <c r="H32" s="99"/>
      <c r="I32" s="99"/>
      <c r="J32" s="163"/>
    </row>
    <row r="33" spans="1:11" s="98" customFormat="1" ht="21" customHeight="1" thickBot="1">
      <c r="A33" s="164"/>
      <c r="B33" s="165"/>
      <c r="C33" s="166" t="s">
        <v>28</v>
      </c>
      <c r="D33" s="166" t="s">
        <v>30</v>
      </c>
      <c r="E33" s="166"/>
      <c r="F33" s="166"/>
      <c r="G33" s="166" t="s">
        <v>31</v>
      </c>
      <c r="H33" s="167"/>
      <c r="I33" s="167"/>
      <c r="J33" s="168"/>
    </row>
    <row r="34" spans="1:11" s="88" customFormat="1" ht="6.75" customHeight="1" thickTop="1">
      <c r="A34" s="100"/>
      <c r="B34" s="89"/>
      <c r="C34" s="101"/>
      <c r="D34" s="101"/>
      <c r="E34" s="101"/>
      <c r="F34" s="102"/>
      <c r="G34" s="89"/>
      <c r="H34" s="89"/>
      <c r="I34" s="89"/>
      <c r="J34" s="89"/>
    </row>
    <row r="35" spans="1:11" s="925" customFormat="1" ht="24" customHeight="1">
      <c r="A35" s="2570"/>
      <c r="B35" s="2570"/>
      <c r="E35" s="926"/>
      <c r="F35" s="926"/>
      <c r="G35" s="926"/>
      <c r="H35" s="926"/>
      <c r="I35" s="2557" t="s">
        <v>32</v>
      </c>
      <c r="J35" s="2557"/>
    </row>
    <row r="36" spans="1:11" s="927" customFormat="1" ht="16.5" customHeight="1">
      <c r="A36" s="2570"/>
      <c r="B36" s="2570"/>
      <c r="I36" s="2558" t="s">
        <v>665</v>
      </c>
      <c r="J36" s="2558"/>
    </row>
    <row r="37" spans="1:11" s="928" customFormat="1" ht="28.5" customHeight="1">
      <c r="B37" s="929"/>
      <c r="C37" s="929"/>
      <c r="E37" s="929"/>
      <c r="F37" s="1399" t="s">
        <v>399</v>
      </c>
      <c r="G37" s="2562" t="s">
        <v>468</v>
      </c>
      <c r="H37" s="2562"/>
      <c r="I37" s="2562" t="s">
        <v>469</v>
      </c>
      <c r="J37" s="2562"/>
    </row>
    <row r="38" spans="1:11" s="930" customFormat="1" ht="23.25">
      <c r="A38" s="2570"/>
      <c r="B38" s="2570"/>
      <c r="F38" s="1400" t="s">
        <v>402</v>
      </c>
      <c r="G38" s="2547" t="s">
        <v>403</v>
      </c>
      <c r="H38" s="2547"/>
      <c r="I38" s="2547" t="s">
        <v>404</v>
      </c>
      <c r="J38" s="2547"/>
    </row>
    <row r="39" spans="1:11" ht="15.75">
      <c r="A39" s="928"/>
      <c r="G39" s="2577"/>
      <c r="H39" s="2577"/>
      <c r="I39" s="2577"/>
      <c r="J39" s="2577"/>
      <c r="K39" s="1457"/>
    </row>
    <row r="40" spans="1:11" ht="23.25">
      <c r="A40" s="2570"/>
      <c r="B40" s="2570"/>
      <c r="G40" s="2577"/>
      <c r="H40" s="2577"/>
      <c r="I40" s="2577"/>
      <c r="J40" s="2577"/>
      <c r="K40" s="1457"/>
    </row>
    <row r="41" spans="1:11" ht="15.75">
      <c r="A41" s="928"/>
      <c r="G41" s="2577"/>
      <c r="H41" s="2577"/>
      <c r="I41" s="2577"/>
      <c r="J41" s="2577"/>
      <c r="K41" s="1457"/>
    </row>
    <row r="42" spans="1:11" ht="23.25">
      <c r="A42" s="2570"/>
      <c r="B42" s="2570"/>
      <c r="G42" s="2577"/>
      <c r="H42" s="2577"/>
      <c r="I42" s="2577"/>
      <c r="J42" s="2577"/>
      <c r="K42" s="1457"/>
    </row>
    <row r="43" spans="1:11">
      <c r="G43" s="2577"/>
      <c r="H43" s="2577"/>
      <c r="I43" s="2577"/>
      <c r="J43" s="2577"/>
      <c r="K43" s="1457"/>
    </row>
    <row r="44" spans="1:11"/>
    <row r="45" spans="1:11"/>
    <row r="46" spans="1:11">
      <c r="D46" s="1401" t="s">
        <v>1877</v>
      </c>
    </row>
    <row r="47" spans="1:11" hidden="1"/>
    <row r="48" spans="1:11" hidden="1"/>
    <row r="49" hidden="1"/>
    <row r="50" hidden="1"/>
    <row r="51" hidden="1"/>
    <row r="52" hidden="1"/>
    <row r="53" hidden="1"/>
    <row r="54" hidden="1"/>
    <row r="55" hidden="1"/>
    <row r="56" hidden="1"/>
    <row r="57" hidden="1"/>
    <row r="58" hidden="1"/>
  </sheetData>
  <sheetProtection password="C5F7" sheet="1" objects="1" scenarios="1" formatCells="0" formatColumns="0" formatRows="0"/>
  <mergeCells count="39">
    <mergeCell ref="G43:H43"/>
    <mergeCell ref="I43:J43"/>
    <mergeCell ref="I40:J40"/>
    <mergeCell ref="G41:H41"/>
    <mergeCell ref="I41:J41"/>
    <mergeCell ref="G42:H42"/>
    <mergeCell ref="I42:J42"/>
    <mergeCell ref="G10:G15"/>
    <mergeCell ref="I10:I15"/>
    <mergeCell ref="I37:J37"/>
    <mergeCell ref="A42:B42"/>
    <mergeCell ref="A32:B32"/>
    <mergeCell ref="A36:B36"/>
    <mergeCell ref="A35:B35"/>
    <mergeCell ref="C11:F11"/>
    <mergeCell ref="H10:H15"/>
    <mergeCell ref="C12:C15"/>
    <mergeCell ref="A38:B38"/>
    <mergeCell ref="A40:B40"/>
    <mergeCell ref="D12:D15"/>
    <mergeCell ref="G39:H39"/>
    <mergeCell ref="I39:J39"/>
    <mergeCell ref="G40:H40"/>
    <mergeCell ref="A5:B5"/>
    <mergeCell ref="I38:J38"/>
    <mergeCell ref="A1:J1"/>
    <mergeCell ref="A2:J2"/>
    <mergeCell ref="A3:J3"/>
    <mergeCell ref="A4:J4"/>
    <mergeCell ref="A10:A16"/>
    <mergeCell ref="D6:E6"/>
    <mergeCell ref="I35:J35"/>
    <mergeCell ref="I36:J36"/>
    <mergeCell ref="G38:H38"/>
    <mergeCell ref="C10:F10"/>
    <mergeCell ref="G37:H37"/>
    <mergeCell ref="B10:B16"/>
    <mergeCell ref="J10:J15"/>
    <mergeCell ref="A6:B6"/>
  </mergeCells>
  <phoneticPr fontId="0" type="noConversion"/>
  <conditionalFormatting sqref="D6 F6:F7 B34:B65540 A10:B10 B1:B3 B7 A5:A6">
    <cfRule type="cellIs" dxfId="0" priority="1" stopIfTrue="1" operator="equal">
      <formula>"Subtotal"</formula>
    </cfRule>
  </conditionalFormatting>
  <dataValidations count="3">
    <dataValidation type="decimal" operator="greaterThanOrEqual" allowBlank="1" showInputMessage="1" showErrorMessage="1" errorTitle="Validation Rule" error="Allow only number" sqref="C17:F31 I17:I31">
      <formula1>0</formula1>
    </dataValidation>
    <dataValidation operator="greaterThanOrEqual" allowBlank="1" showInputMessage="1" showErrorMessage="1" sqref="H17:H31 J17:J31"/>
    <dataValidation type="decimal" operator="greaterThanOrEqual" allowBlank="1" showInputMessage="1" showErrorMessage="1" sqref="D8 H8">
      <formula1>0</formula1>
    </dataValidation>
  </dataValidations>
  <pageMargins left="0.36" right="0" top="0.25" bottom="0" header="0.17" footer="0.2"/>
  <pageSetup paperSize="9" scale="65" orientation="landscape" r:id="rId1"/>
  <headerFooter alignWithMargins="0">
    <oddHeader xml:space="preserve">&amp;R
</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sheetPr>
  <dimension ref="B1:WVX2340"/>
  <sheetViews>
    <sheetView showGridLines="0" topLeftCell="B7" zoomScaleNormal="100" workbookViewId="0">
      <selection activeCell="C14" sqref="C14:F21"/>
    </sheetView>
  </sheetViews>
  <sheetFormatPr defaultColWidth="0" defaultRowHeight="12.75" zeroHeight="1"/>
  <cols>
    <col min="1" max="1" width="9.140625" style="662" hidden="1" customWidth="1"/>
    <col min="2" max="2" width="3.5703125" style="662" customWidth="1"/>
    <col min="3" max="3" width="18" style="662" customWidth="1"/>
    <col min="4" max="4" width="13" style="662" customWidth="1"/>
    <col min="5" max="5" width="11.7109375" style="662" customWidth="1"/>
    <col min="6" max="6" width="20" style="662" customWidth="1"/>
    <col min="7" max="7" width="12.28515625" style="662" customWidth="1"/>
    <col min="8" max="8" width="13.85546875" style="662" customWidth="1"/>
    <col min="9" max="9" width="12.7109375" style="662" customWidth="1"/>
    <col min="10" max="10" width="17.140625" style="1602" customWidth="1"/>
    <col min="11" max="11" width="14.140625" style="662" customWidth="1"/>
    <col min="12" max="12" width="13.140625" style="1602" customWidth="1"/>
    <col min="13" max="13" width="13.7109375" style="662" customWidth="1"/>
    <col min="14" max="14" width="12.85546875" style="662" customWidth="1"/>
    <col min="15" max="15" width="12" style="662" customWidth="1"/>
    <col min="16" max="16" width="20.28515625" style="1570" customWidth="1"/>
    <col min="17" max="17" width="9.140625" style="662" customWidth="1"/>
    <col min="18" max="258" width="9.140625" style="662" hidden="1"/>
    <col min="259" max="259" width="20.5703125" style="662" hidden="1"/>
    <col min="260" max="260" width="13" style="662" hidden="1"/>
    <col min="261" max="261" width="11.7109375" style="662" hidden="1"/>
    <col min="262" max="262" width="10" style="662" hidden="1"/>
    <col min="263" max="263" width="12.28515625" style="662" hidden="1"/>
    <col min="264" max="264" width="13.85546875" style="662" hidden="1"/>
    <col min="265" max="265" width="12.7109375" style="662" hidden="1"/>
    <col min="266" max="266" width="17.140625" style="662" hidden="1"/>
    <col min="267" max="267" width="14.140625" style="662" hidden="1"/>
    <col min="268" max="268" width="13.140625" style="662" hidden="1"/>
    <col min="269" max="269" width="13.7109375" style="662" hidden="1"/>
    <col min="270" max="270" width="12.85546875" style="662" hidden="1"/>
    <col min="271" max="271" width="12" style="662" hidden="1"/>
    <col min="272" max="272" width="20.28515625" style="662" hidden="1"/>
    <col min="273" max="514" width="9.140625" style="662" hidden="1"/>
    <col min="515" max="515" width="20.5703125" style="662" hidden="1"/>
    <col min="516" max="516" width="13" style="662" hidden="1"/>
    <col min="517" max="517" width="11.7109375" style="662" hidden="1"/>
    <col min="518" max="518" width="10" style="662" hidden="1"/>
    <col min="519" max="519" width="12.28515625" style="662" hidden="1"/>
    <col min="520" max="520" width="13.85546875" style="662" hidden="1"/>
    <col min="521" max="521" width="12.7109375" style="662" hidden="1"/>
    <col min="522" max="522" width="17.140625" style="662" hidden="1"/>
    <col min="523" max="523" width="14.140625" style="662" hidden="1"/>
    <col min="524" max="524" width="13.140625" style="662" hidden="1"/>
    <col min="525" max="525" width="13.7109375" style="662" hidden="1"/>
    <col min="526" max="526" width="12.85546875" style="662" hidden="1"/>
    <col min="527" max="527" width="12" style="662" hidden="1"/>
    <col min="528" max="528" width="20.28515625" style="662" hidden="1"/>
    <col min="529" max="770" width="9.140625" style="662" hidden="1"/>
    <col min="771" max="771" width="20.5703125" style="662" hidden="1"/>
    <col min="772" max="772" width="13" style="662" hidden="1"/>
    <col min="773" max="773" width="11.7109375" style="662" hidden="1"/>
    <col min="774" max="774" width="10" style="662" hidden="1"/>
    <col min="775" max="775" width="12.28515625" style="662" hidden="1"/>
    <col min="776" max="776" width="13.85546875" style="662" hidden="1"/>
    <col min="777" max="777" width="12.7109375" style="662" hidden="1"/>
    <col min="778" max="778" width="17.140625" style="662" hidden="1"/>
    <col min="779" max="779" width="14.140625" style="662" hidden="1"/>
    <col min="780" max="780" width="13.140625" style="662" hidden="1"/>
    <col min="781" max="781" width="13.7109375" style="662" hidden="1"/>
    <col min="782" max="782" width="12.85546875" style="662" hidden="1"/>
    <col min="783" max="783" width="12" style="662" hidden="1"/>
    <col min="784" max="784" width="20.28515625" style="662" hidden="1"/>
    <col min="785" max="1026" width="9.140625" style="662" hidden="1"/>
    <col min="1027" max="1027" width="20.5703125" style="662" hidden="1"/>
    <col min="1028" max="1028" width="13" style="662" hidden="1"/>
    <col min="1029" max="1029" width="11.7109375" style="662" hidden="1"/>
    <col min="1030" max="1030" width="10" style="662" hidden="1"/>
    <col min="1031" max="1031" width="12.28515625" style="662" hidden="1"/>
    <col min="1032" max="1032" width="13.85546875" style="662" hidden="1"/>
    <col min="1033" max="1033" width="12.7109375" style="662" hidden="1"/>
    <col min="1034" max="1034" width="17.140625" style="662" hidden="1"/>
    <col min="1035" max="1035" width="14.140625" style="662" hidden="1"/>
    <col min="1036" max="1036" width="13.140625" style="662" hidden="1"/>
    <col min="1037" max="1037" width="13.7109375" style="662" hidden="1"/>
    <col min="1038" max="1038" width="12.85546875" style="662" hidden="1"/>
    <col min="1039" max="1039" width="12" style="662" hidden="1"/>
    <col min="1040" max="1040" width="20.28515625" style="662" hidden="1"/>
    <col min="1041" max="1282" width="9.140625" style="662" hidden="1"/>
    <col min="1283" max="1283" width="20.5703125" style="662" hidden="1"/>
    <col min="1284" max="1284" width="13" style="662" hidden="1"/>
    <col min="1285" max="1285" width="11.7109375" style="662" hidden="1"/>
    <col min="1286" max="1286" width="10" style="662" hidden="1"/>
    <col min="1287" max="1287" width="12.28515625" style="662" hidden="1"/>
    <col min="1288" max="1288" width="13.85546875" style="662" hidden="1"/>
    <col min="1289" max="1289" width="12.7109375" style="662" hidden="1"/>
    <col min="1290" max="1290" width="17.140625" style="662" hidden="1"/>
    <col min="1291" max="1291" width="14.140625" style="662" hidden="1"/>
    <col min="1292" max="1292" width="13.140625" style="662" hidden="1"/>
    <col min="1293" max="1293" width="13.7109375" style="662" hidden="1"/>
    <col min="1294" max="1294" width="12.85546875" style="662" hidden="1"/>
    <col min="1295" max="1295" width="12" style="662" hidden="1"/>
    <col min="1296" max="1296" width="20.28515625" style="662" hidden="1"/>
    <col min="1297" max="1538" width="9.140625" style="662" hidden="1"/>
    <col min="1539" max="1539" width="20.5703125" style="662" hidden="1"/>
    <col min="1540" max="1540" width="13" style="662" hidden="1"/>
    <col min="1541" max="1541" width="11.7109375" style="662" hidden="1"/>
    <col min="1542" max="1542" width="10" style="662" hidden="1"/>
    <col min="1543" max="1543" width="12.28515625" style="662" hidden="1"/>
    <col min="1544" max="1544" width="13.85546875" style="662" hidden="1"/>
    <col min="1545" max="1545" width="12.7109375" style="662" hidden="1"/>
    <col min="1546" max="1546" width="17.140625" style="662" hidden="1"/>
    <col min="1547" max="1547" width="14.140625" style="662" hidden="1"/>
    <col min="1548" max="1548" width="13.140625" style="662" hidden="1"/>
    <col min="1549" max="1549" width="13.7109375" style="662" hidden="1"/>
    <col min="1550" max="1550" width="12.85546875" style="662" hidden="1"/>
    <col min="1551" max="1551" width="12" style="662" hidden="1"/>
    <col min="1552" max="1552" width="20.28515625" style="662" hidden="1"/>
    <col min="1553" max="1794" width="9.140625" style="662" hidden="1"/>
    <col min="1795" max="1795" width="20.5703125" style="662" hidden="1"/>
    <col min="1796" max="1796" width="13" style="662" hidden="1"/>
    <col min="1797" max="1797" width="11.7109375" style="662" hidden="1"/>
    <col min="1798" max="1798" width="10" style="662" hidden="1"/>
    <col min="1799" max="1799" width="12.28515625" style="662" hidden="1"/>
    <col min="1800" max="1800" width="13.85546875" style="662" hidden="1"/>
    <col min="1801" max="1801" width="12.7109375" style="662" hidden="1"/>
    <col min="1802" max="1802" width="17.140625" style="662" hidden="1"/>
    <col min="1803" max="1803" width="14.140625" style="662" hidden="1"/>
    <col min="1804" max="1804" width="13.140625" style="662" hidden="1"/>
    <col min="1805" max="1805" width="13.7109375" style="662" hidden="1"/>
    <col min="1806" max="1806" width="12.85546875" style="662" hidden="1"/>
    <col min="1807" max="1807" width="12" style="662" hidden="1"/>
    <col min="1808" max="1808" width="20.28515625" style="662" hidden="1"/>
    <col min="1809" max="2050" width="9.140625" style="662" hidden="1"/>
    <col min="2051" max="2051" width="20.5703125" style="662" hidden="1"/>
    <col min="2052" max="2052" width="13" style="662" hidden="1"/>
    <col min="2053" max="2053" width="11.7109375" style="662" hidden="1"/>
    <col min="2054" max="2054" width="10" style="662" hidden="1"/>
    <col min="2055" max="2055" width="12.28515625" style="662" hidden="1"/>
    <col min="2056" max="2056" width="13.85546875" style="662" hidden="1"/>
    <col min="2057" max="2057" width="12.7109375" style="662" hidden="1"/>
    <col min="2058" max="2058" width="17.140625" style="662" hidden="1"/>
    <col min="2059" max="2059" width="14.140625" style="662" hidden="1"/>
    <col min="2060" max="2060" width="13.140625" style="662" hidden="1"/>
    <col min="2061" max="2061" width="13.7109375" style="662" hidden="1"/>
    <col min="2062" max="2062" width="12.85546875" style="662" hidden="1"/>
    <col min="2063" max="2063" width="12" style="662" hidden="1"/>
    <col min="2064" max="2064" width="20.28515625" style="662" hidden="1"/>
    <col min="2065" max="2306" width="9.140625" style="662" hidden="1"/>
    <col min="2307" max="2307" width="20.5703125" style="662" hidden="1"/>
    <col min="2308" max="2308" width="13" style="662" hidden="1"/>
    <col min="2309" max="2309" width="11.7109375" style="662" hidden="1"/>
    <col min="2310" max="2310" width="10" style="662" hidden="1"/>
    <col min="2311" max="2311" width="12.28515625" style="662" hidden="1"/>
    <col min="2312" max="2312" width="13.85546875" style="662" hidden="1"/>
    <col min="2313" max="2313" width="12.7109375" style="662" hidden="1"/>
    <col min="2314" max="2314" width="17.140625" style="662" hidden="1"/>
    <col min="2315" max="2315" width="14.140625" style="662" hidden="1"/>
    <col min="2316" max="2316" width="13.140625" style="662" hidden="1"/>
    <col min="2317" max="2317" width="13.7109375" style="662" hidden="1"/>
    <col min="2318" max="2318" width="12.85546875" style="662" hidden="1"/>
    <col min="2319" max="2319" width="12" style="662" hidden="1"/>
    <col min="2320" max="2320" width="20.28515625" style="662" hidden="1"/>
    <col min="2321" max="2562" width="9.140625" style="662" hidden="1"/>
    <col min="2563" max="2563" width="20.5703125" style="662" hidden="1"/>
    <col min="2564" max="2564" width="13" style="662" hidden="1"/>
    <col min="2565" max="2565" width="11.7109375" style="662" hidden="1"/>
    <col min="2566" max="2566" width="10" style="662" hidden="1"/>
    <col min="2567" max="2567" width="12.28515625" style="662" hidden="1"/>
    <col min="2568" max="2568" width="13.85546875" style="662" hidden="1"/>
    <col min="2569" max="2569" width="12.7109375" style="662" hidden="1"/>
    <col min="2570" max="2570" width="17.140625" style="662" hidden="1"/>
    <col min="2571" max="2571" width="14.140625" style="662" hidden="1"/>
    <col min="2572" max="2572" width="13.140625" style="662" hidden="1"/>
    <col min="2573" max="2573" width="13.7109375" style="662" hidden="1"/>
    <col min="2574" max="2574" width="12.85546875" style="662" hidden="1"/>
    <col min="2575" max="2575" width="12" style="662" hidden="1"/>
    <col min="2576" max="2576" width="20.28515625" style="662" hidden="1"/>
    <col min="2577" max="2818" width="9.140625" style="662" hidden="1"/>
    <col min="2819" max="2819" width="20.5703125" style="662" hidden="1"/>
    <col min="2820" max="2820" width="13" style="662" hidden="1"/>
    <col min="2821" max="2821" width="11.7109375" style="662" hidden="1"/>
    <col min="2822" max="2822" width="10" style="662" hidden="1"/>
    <col min="2823" max="2823" width="12.28515625" style="662" hidden="1"/>
    <col min="2824" max="2824" width="13.85546875" style="662" hidden="1"/>
    <col min="2825" max="2825" width="12.7109375" style="662" hidden="1"/>
    <col min="2826" max="2826" width="17.140625" style="662" hidden="1"/>
    <col min="2827" max="2827" width="14.140625" style="662" hidden="1"/>
    <col min="2828" max="2828" width="13.140625" style="662" hidden="1"/>
    <col min="2829" max="2829" width="13.7109375" style="662" hidden="1"/>
    <col min="2830" max="2830" width="12.85546875" style="662" hidden="1"/>
    <col min="2831" max="2831" width="12" style="662" hidden="1"/>
    <col min="2832" max="2832" width="20.28515625" style="662" hidden="1"/>
    <col min="2833" max="3074" width="9.140625" style="662" hidden="1"/>
    <col min="3075" max="3075" width="20.5703125" style="662" hidden="1"/>
    <col min="3076" max="3076" width="13" style="662" hidden="1"/>
    <col min="3077" max="3077" width="11.7109375" style="662" hidden="1"/>
    <col min="3078" max="3078" width="10" style="662" hidden="1"/>
    <col min="3079" max="3079" width="12.28515625" style="662" hidden="1"/>
    <col min="3080" max="3080" width="13.85546875" style="662" hidden="1"/>
    <col min="3081" max="3081" width="12.7109375" style="662" hidden="1"/>
    <col min="3082" max="3082" width="17.140625" style="662" hidden="1"/>
    <col min="3083" max="3083" width="14.140625" style="662" hidden="1"/>
    <col min="3084" max="3084" width="13.140625" style="662" hidden="1"/>
    <col min="3085" max="3085" width="13.7109375" style="662" hidden="1"/>
    <col min="3086" max="3086" width="12.85546875" style="662" hidden="1"/>
    <col min="3087" max="3087" width="12" style="662" hidden="1"/>
    <col min="3088" max="3088" width="20.28515625" style="662" hidden="1"/>
    <col min="3089" max="3330" width="9.140625" style="662" hidden="1"/>
    <col min="3331" max="3331" width="20.5703125" style="662" hidden="1"/>
    <col min="3332" max="3332" width="13" style="662" hidden="1"/>
    <col min="3333" max="3333" width="11.7109375" style="662" hidden="1"/>
    <col min="3334" max="3334" width="10" style="662" hidden="1"/>
    <col min="3335" max="3335" width="12.28515625" style="662" hidden="1"/>
    <col min="3336" max="3336" width="13.85546875" style="662" hidden="1"/>
    <col min="3337" max="3337" width="12.7109375" style="662" hidden="1"/>
    <col min="3338" max="3338" width="17.140625" style="662" hidden="1"/>
    <col min="3339" max="3339" width="14.140625" style="662" hidden="1"/>
    <col min="3340" max="3340" width="13.140625" style="662" hidden="1"/>
    <col min="3341" max="3341" width="13.7109375" style="662" hidden="1"/>
    <col min="3342" max="3342" width="12.85546875" style="662" hidden="1"/>
    <col min="3343" max="3343" width="12" style="662" hidden="1"/>
    <col min="3344" max="3344" width="20.28515625" style="662" hidden="1"/>
    <col min="3345" max="3586" width="9.140625" style="662" hidden="1"/>
    <col min="3587" max="3587" width="20.5703125" style="662" hidden="1"/>
    <col min="3588" max="3588" width="13" style="662" hidden="1"/>
    <col min="3589" max="3589" width="11.7109375" style="662" hidden="1"/>
    <col min="3590" max="3590" width="10" style="662" hidden="1"/>
    <col min="3591" max="3591" width="12.28515625" style="662" hidden="1"/>
    <col min="3592" max="3592" width="13.85546875" style="662" hidden="1"/>
    <col min="3593" max="3593" width="12.7109375" style="662" hidden="1"/>
    <col min="3594" max="3594" width="17.140625" style="662" hidden="1"/>
    <col min="3595" max="3595" width="14.140625" style="662" hidden="1"/>
    <col min="3596" max="3596" width="13.140625" style="662" hidden="1"/>
    <col min="3597" max="3597" width="13.7109375" style="662" hidden="1"/>
    <col min="3598" max="3598" width="12.85546875" style="662" hidden="1"/>
    <col min="3599" max="3599" width="12" style="662" hidden="1"/>
    <col min="3600" max="3600" width="20.28515625" style="662" hidden="1"/>
    <col min="3601" max="3842" width="9.140625" style="662" hidden="1"/>
    <col min="3843" max="3843" width="20.5703125" style="662" hidden="1"/>
    <col min="3844" max="3844" width="13" style="662" hidden="1"/>
    <col min="3845" max="3845" width="11.7109375" style="662" hidden="1"/>
    <col min="3846" max="3846" width="10" style="662" hidden="1"/>
    <col min="3847" max="3847" width="12.28515625" style="662" hidden="1"/>
    <col min="3848" max="3848" width="13.85546875" style="662" hidden="1"/>
    <col min="3849" max="3849" width="12.7109375" style="662" hidden="1"/>
    <col min="3850" max="3850" width="17.140625" style="662" hidden="1"/>
    <col min="3851" max="3851" width="14.140625" style="662" hidden="1"/>
    <col min="3852" max="3852" width="13.140625" style="662" hidden="1"/>
    <col min="3853" max="3853" width="13.7109375" style="662" hidden="1"/>
    <col min="3854" max="3854" width="12.85546875" style="662" hidden="1"/>
    <col min="3855" max="3855" width="12" style="662" hidden="1"/>
    <col min="3856" max="3856" width="20.28515625" style="662" hidden="1"/>
    <col min="3857" max="4098" width="9.140625" style="662" hidden="1"/>
    <col min="4099" max="4099" width="20.5703125" style="662" hidden="1"/>
    <col min="4100" max="4100" width="13" style="662" hidden="1"/>
    <col min="4101" max="4101" width="11.7109375" style="662" hidden="1"/>
    <col min="4102" max="4102" width="10" style="662" hidden="1"/>
    <col min="4103" max="4103" width="12.28515625" style="662" hidden="1"/>
    <col min="4104" max="4104" width="13.85546875" style="662" hidden="1"/>
    <col min="4105" max="4105" width="12.7109375" style="662" hidden="1"/>
    <col min="4106" max="4106" width="17.140625" style="662" hidden="1"/>
    <col min="4107" max="4107" width="14.140625" style="662" hidden="1"/>
    <col min="4108" max="4108" width="13.140625" style="662" hidden="1"/>
    <col min="4109" max="4109" width="13.7109375" style="662" hidden="1"/>
    <col min="4110" max="4110" width="12.85546875" style="662" hidden="1"/>
    <col min="4111" max="4111" width="12" style="662" hidden="1"/>
    <col min="4112" max="4112" width="20.28515625" style="662" hidden="1"/>
    <col min="4113" max="4354" width="9.140625" style="662" hidden="1"/>
    <col min="4355" max="4355" width="20.5703125" style="662" hidden="1"/>
    <col min="4356" max="4356" width="13" style="662" hidden="1"/>
    <col min="4357" max="4357" width="11.7109375" style="662" hidden="1"/>
    <col min="4358" max="4358" width="10" style="662" hidden="1"/>
    <col min="4359" max="4359" width="12.28515625" style="662" hidden="1"/>
    <col min="4360" max="4360" width="13.85546875" style="662" hidden="1"/>
    <col min="4361" max="4361" width="12.7109375" style="662" hidden="1"/>
    <col min="4362" max="4362" width="17.140625" style="662" hidden="1"/>
    <col min="4363" max="4363" width="14.140625" style="662" hidden="1"/>
    <col min="4364" max="4364" width="13.140625" style="662" hidden="1"/>
    <col min="4365" max="4365" width="13.7109375" style="662" hidden="1"/>
    <col min="4366" max="4366" width="12.85546875" style="662" hidden="1"/>
    <col min="4367" max="4367" width="12" style="662" hidden="1"/>
    <col min="4368" max="4368" width="20.28515625" style="662" hidden="1"/>
    <col min="4369" max="4610" width="9.140625" style="662" hidden="1"/>
    <col min="4611" max="4611" width="20.5703125" style="662" hidden="1"/>
    <col min="4612" max="4612" width="13" style="662" hidden="1"/>
    <col min="4613" max="4613" width="11.7109375" style="662" hidden="1"/>
    <col min="4614" max="4614" width="10" style="662" hidden="1"/>
    <col min="4615" max="4615" width="12.28515625" style="662" hidden="1"/>
    <col min="4616" max="4616" width="13.85546875" style="662" hidden="1"/>
    <col min="4617" max="4617" width="12.7109375" style="662" hidden="1"/>
    <col min="4618" max="4618" width="17.140625" style="662" hidden="1"/>
    <col min="4619" max="4619" width="14.140625" style="662" hidden="1"/>
    <col min="4620" max="4620" width="13.140625" style="662" hidden="1"/>
    <col min="4621" max="4621" width="13.7109375" style="662" hidden="1"/>
    <col min="4622" max="4622" width="12.85546875" style="662" hidden="1"/>
    <col min="4623" max="4623" width="12" style="662" hidden="1"/>
    <col min="4624" max="4624" width="20.28515625" style="662" hidden="1"/>
    <col min="4625" max="4866" width="9.140625" style="662" hidden="1"/>
    <col min="4867" max="4867" width="20.5703125" style="662" hidden="1"/>
    <col min="4868" max="4868" width="13" style="662" hidden="1"/>
    <col min="4869" max="4869" width="11.7109375" style="662" hidden="1"/>
    <col min="4870" max="4870" width="10" style="662" hidden="1"/>
    <col min="4871" max="4871" width="12.28515625" style="662" hidden="1"/>
    <col min="4872" max="4872" width="13.85546875" style="662" hidden="1"/>
    <col min="4873" max="4873" width="12.7109375" style="662" hidden="1"/>
    <col min="4874" max="4874" width="17.140625" style="662" hidden="1"/>
    <col min="4875" max="4875" width="14.140625" style="662" hidden="1"/>
    <col min="4876" max="4876" width="13.140625" style="662" hidden="1"/>
    <col min="4877" max="4877" width="13.7109375" style="662" hidden="1"/>
    <col min="4878" max="4878" width="12.85546875" style="662" hidden="1"/>
    <col min="4879" max="4879" width="12" style="662" hidden="1"/>
    <col min="4880" max="4880" width="20.28515625" style="662" hidden="1"/>
    <col min="4881" max="5122" width="9.140625" style="662" hidden="1"/>
    <col min="5123" max="5123" width="20.5703125" style="662" hidden="1"/>
    <col min="5124" max="5124" width="13" style="662" hidden="1"/>
    <col min="5125" max="5125" width="11.7109375" style="662" hidden="1"/>
    <col min="5126" max="5126" width="10" style="662" hidden="1"/>
    <col min="5127" max="5127" width="12.28515625" style="662" hidden="1"/>
    <col min="5128" max="5128" width="13.85546875" style="662" hidden="1"/>
    <col min="5129" max="5129" width="12.7109375" style="662" hidden="1"/>
    <col min="5130" max="5130" width="17.140625" style="662" hidden="1"/>
    <col min="5131" max="5131" width="14.140625" style="662" hidden="1"/>
    <col min="5132" max="5132" width="13.140625" style="662" hidden="1"/>
    <col min="5133" max="5133" width="13.7109375" style="662" hidden="1"/>
    <col min="5134" max="5134" width="12.85546875" style="662" hidden="1"/>
    <col min="5135" max="5135" width="12" style="662" hidden="1"/>
    <col min="5136" max="5136" width="20.28515625" style="662" hidden="1"/>
    <col min="5137" max="5378" width="9.140625" style="662" hidden="1"/>
    <col min="5379" max="5379" width="20.5703125" style="662" hidden="1"/>
    <col min="5380" max="5380" width="13" style="662" hidden="1"/>
    <col min="5381" max="5381" width="11.7109375" style="662" hidden="1"/>
    <col min="5382" max="5382" width="10" style="662" hidden="1"/>
    <col min="5383" max="5383" width="12.28515625" style="662" hidden="1"/>
    <col min="5384" max="5384" width="13.85546875" style="662" hidden="1"/>
    <col min="5385" max="5385" width="12.7109375" style="662" hidden="1"/>
    <col min="5386" max="5386" width="17.140625" style="662" hidden="1"/>
    <col min="5387" max="5387" width="14.140625" style="662" hidden="1"/>
    <col min="5388" max="5388" width="13.140625" style="662" hidden="1"/>
    <col min="5389" max="5389" width="13.7109375" style="662" hidden="1"/>
    <col min="5390" max="5390" width="12.85546875" style="662" hidden="1"/>
    <col min="5391" max="5391" width="12" style="662" hidden="1"/>
    <col min="5392" max="5392" width="20.28515625" style="662" hidden="1"/>
    <col min="5393" max="5634" width="9.140625" style="662" hidden="1"/>
    <col min="5635" max="5635" width="20.5703125" style="662" hidden="1"/>
    <col min="5636" max="5636" width="13" style="662" hidden="1"/>
    <col min="5637" max="5637" width="11.7109375" style="662" hidden="1"/>
    <col min="5638" max="5638" width="10" style="662" hidden="1"/>
    <col min="5639" max="5639" width="12.28515625" style="662" hidden="1"/>
    <col min="5640" max="5640" width="13.85546875" style="662" hidden="1"/>
    <col min="5641" max="5641" width="12.7109375" style="662" hidden="1"/>
    <col min="5642" max="5642" width="17.140625" style="662" hidden="1"/>
    <col min="5643" max="5643" width="14.140625" style="662" hidden="1"/>
    <col min="5644" max="5644" width="13.140625" style="662" hidden="1"/>
    <col min="5645" max="5645" width="13.7109375" style="662" hidden="1"/>
    <col min="5646" max="5646" width="12.85546875" style="662" hidden="1"/>
    <col min="5647" max="5647" width="12" style="662" hidden="1"/>
    <col min="5648" max="5648" width="20.28515625" style="662" hidden="1"/>
    <col min="5649" max="5890" width="9.140625" style="662" hidden="1"/>
    <col min="5891" max="5891" width="20.5703125" style="662" hidden="1"/>
    <col min="5892" max="5892" width="13" style="662" hidden="1"/>
    <col min="5893" max="5893" width="11.7109375" style="662" hidden="1"/>
    <col min="5894" max="5894" width="10" style="662" hidden="1"/>
    <col min="5895" max="5895" width="12.28515625" style="662" hidden="1"/>
    <col min="5896" max="5896" width="13.85546875" style="662" hidden="1"/>
    <col min="5897" max="5897" width="12.7109375" style="662" hidden="1"/>
    <col min="5898" max="5898" width="17.140625" style="662" hidden="1"/>
    <col min="5899" max="5899" width="14.140625" style="662" hidden="1"/>
    <col min="5900" max="5900" width="13.140625" style="662" hidden="1"/>
    <col min="5901" max="5901" width="13.7109375" style="662" hidden="1"/>
    <col min="5902" max="5902" width="12.85546875" style="662" hidden="1"/>
    <col min="5903" max="5903" width="12" style="662" hidden="1"/>
    <col min="5904" max="5904" width="20.28515625" style="662" hidden="1"/>
    <col min="5905" max="6146" width="9.140625" style="662" hidden="1"/>
    <col min="6147" max="6147" width="20.5703125" style="662" hidden="1"/>
    <col min="6148" max="6148" width="13" style="662" hidden="1"/>
    <col min="6149" max="6149" width="11.7109375" style="662" hidden="1"/>
    <col min="6150" max="6150" width="10" style="662" hidden="1"/>
    <col min="6151" max="6151" width="12.28515625" style="662" hidden="1"/>
    <col min="6152" max="6152" width="13.85546875" style="662" hidden="1"/>
    <col min="6153" max="6153" width="12.7109375" style="662" hidden="1"/>
    <col min="6154" max="6154" width="17.140625" style="662" hidden="1"/>
    <col min="6155" max="6155" width="14.140625" style="662" hidden="1"/>
    <col min="6156" max="6156" width="13.140625" style="662" hidden="1"/>
    <col min="6157" max="6157" width="13.7109375" style="662" hidden="1"/>
    <col min="6158" max="6158" width="12.85546875" style="662" hidden="1"/>
    <col min="6159" max="6159" width="12" style="662" hidden="1"/>
    <col min="6160" max="6160" width="20.28515625" style="662" hidden="1"/>
    <col min="6161" max="6402" width="9.140625" style="662" hidden="1"/>
    <col min="6403" max="6403" width="20.5703125" style="662" hidden="1"/>
    <col min="6404" max="6404" width="13" style="662" hidden="1"/>
    <col min="6405" max="6405" width="11.7109375" style="662" hidden="1"/>
    <col min="6406" max="6406" width="10" style="662" hidden="1"/>
    <col min="6407" max="6407" width="12.28515625" style="662" hidden="1"/>
    <col min="6408" max="6408" width="13.85546875" style="662" hidden="1"/>
    <col min="6409" max="6409" width="12.7109375" style="662" hidden="1"/>
    <col min="6410" max="6410" width="17.140625" style="662" hidden="1"/>
    <col min="6411" max="6411" width="14.140625" style="662" hidden="1"/>
    <col min="6412" max="6412" width="13.140625" style="662" hidden="1"/>
    <col min="6413" max="6413" width="13.7109375" style="662" hidden="1"/>
    <col min="6414" max="6414" width="12.85546875" style="662" hidden="1"/>
    <col min="6415" max="6415" width="12" style="662" hidden="1"/>
    <col min="6416" max="6416" width="20.28515625" style="662" hidden="1"/>
    <col min="6417" max="6658" width="9.140625" style="662" hidden="1"/>
    <col min="6659" max="6659" width="20.5703125" style="662" hidden="1"/>
    <col min="6660" max="6660" width="13" style="662" hidden="1"/>
    <col min="6661" max="6661" width="11.7109375" style="662" hidden="1"/>
    <col min="6662" max="6662" width="10" style="662" hidden="1"/>
    <col min="6663" max="6663" width="12.28515625" style="662" hidden="1"/>
    <col min="6664" max="6664" width="13.85546875" style="662" hidden="1"/>
    <col min="6665" max="6665" width="12.7109375" style="662" hidden="1"/>
    <col min="6666" max="6666" width="17.140625" style="662" hidden="1"/>
    <col min="6667" max="6667" width="14.140625" style="662" hidden="1"/>
    <col min="6668" max="6668" width="13.140625" style="662" hidden="1"/>
    <col min="6669" max="6669" width="13.7109375" style="662" hidden="1"/>
    <col min="6670" max="6670" width="12.85546875" style="662" hidden="1"/>
    <col min="6671" max="6671" width="12" style="662" hidden="1"/>
    <col min="6672" max="6672" width="20.28515625" style="662" hidden="1"/>
    <col min="6673" max="6914" width="9.140625" style="662" hidden="1"/>
    <col min="6915" max="6915" width="20.5703125" style="662" hidden="1"/>
    <col min="6916" max="6916" width="13" style="662" hidden="1"/>
    <col min="6917" max="6917" width="11.7109375" style="662" hidden="1"/>
    <col min="6918" max="6918" width="10" style="662" hidden="1"/>
    <col min="6919" max="6919" width="12.28515625" style="662" hidden="1"/>
    <col min="6920" max="6920" width="13.85546875" style="662" hidden="1"/>
    <col min="6921" max="6921" width="12.7109375" style="662" hidden="1"/>
    <col min="6922" max="6922" width="17.140625" style="662" hidden="1"/>
    <col min="6923" max="6923" width="14.140625" style="662" hidden="1"/>
    <col min="6924" max="6924" width="13.140625" style="662" hidden="1"/>
    <col min="6925" max="6925" width="13.7109375" style="662" hidden="1"/>
    <col min="6926" max="6926" width="12.85546875" style="662" hidden="1"/>
    <col min="6927" max="6927" width="12" style="662" hidden="1"/>
    <col min="6928" max="6928" width="20.28515625" style="662" hidden="1"/>
    <col min="6929" max="7170" width="9.140625" style="662" hidden="1"/>
    <col min="7171" max="7171" width="20.5703125" style="662" hidden="1"/>
    <col min="7172" max="7172" width="13" style="662" hidden="1"/>
    <col min="7173" max="7173" width="11.7109375" style="662" hidden="1"/>
    <col min="7174" max="7174" width="10" style="662" hidden="1"/>
    <col min="7175" max="7175" width="12.28515625" style="662" hidden="1"/>
    <col min="7176" max="7176" width="13.85546875" style="662" hidden="1"/>
    <col min="7177" max="7177" width="12.7109375" style="662" hidden="1"/>
    <col min="7178" max="7178" width="17.140625" style="662" hidden="1"/>
    <col min="7179" max="7179" width="14.140625" style="662" hidden="1"/>
    <col min="7180" max="7180" width="13.140625" style="662" hidden="1"/>
    <col min="7181" max="7181" width="13.7109375" style="662" hidden="1"/>
    <col min="7182" max="7182" width="12.85546875" style="662" hidden="1"/>
    <col min="7183" max="7183" width="12" style="662" hidden="1"/>
    <col min="7184" max="7184" width="20.28515625" style="662" hidden="1"/>
    <col min="7185" max="7426" width="9.140625" style="662" hidden="1"/>
    <col min="7427" max="7427" width="20.5703125" style="662" hidden="1"/>
    <col min="7428" max="7428" width="13" style="662" hidden="1"/>
    <col min="7429" max="7429" width="11.7109375" style="662" hidden="1"/>
    <col min="7430" max="7430" width="10" style="662" hidden="1"/>
    <col min="7431" max="7431" width="12.28515625" style="662" hidden="1"/>
    <col min="7432" max="7432" width="13.85546875" style="662" hidden="1"/>
    <col min="7433" max="7433" width="12.7109375" style="662" hidden="1"/>
    <col min="7434" max="7434" width="17.140625" style="662" hidden="1"/>
    <col min="7435" max="7435" width="14.140625" style="662" hidden="1"/>
    <col min="7436" max="7436" width="13.140625" style="662" hidden="1"/>
    <col min="7437" max="7437" width="13.7109375" style="662" hidden="1"/>
    <col min="7438" max="7438" width="12.85546875" style="662" hidden="1"/>
    <col min="7439" max="7439" width="12" style="662" hidden="1"/>
    <col min="7440" max="7440" width="20.28515625" style="662" hidden="1"/>
    <col min="7441" max="7682" width="9.140625" style="662" hidden="1"/>
    <col min="7683" max="7683" width="20.5703125" style="662" hidden="1"/>
    <col min="7684" max="7684" width="13" style="662" hidden="1"/>
    <col min="7685" max="7685" width="11.7109375" style="662" hidden="1"/>
    <col min="7686" max="7686" width="10" style="662" hidden="1"/>
    <col min="7687" max="7687" width="12.28515625" style="662" hidden="1"/>
    <col min="7688" max="7688" width="13.85546875" style="662" hidden="1"/>
    <col min="7689" max="7689" width="12.7109375" style="662" hidden="1"/>
    <col min="7690" max="7690" width="17.140625" style="662" hidden="1"/>
    <col min="7691" max="7691" width="14.140625" style="662" hidden="1"/>
    <col min="7692" max="7692" width="13.140625" style="662" hidden="1"/>
    <col min="7693" max="7693" width="13.7109375" style="662" hidden="1"/>
    <col min="7694" max="7694" width="12.85546875" style="662" hidden="1"/>
    <col min="7695" max="7695" width="12" style="662" hidden="1"/>
    <col min="7696" max="7696" width="20.28515625" style="662" hidden="1"/>
    <col min="7697" max="7938" width="9.140625" style="662" hidden="1"/>
    <col min="7939" max="7939" width="20.5703125" style="662" hidden="1"/>
    <col min="7940" max="7940" width="13" style="662" hidden="1"/>
    <col min="7941" max="7941" width="11.7109375" style="662" hidden="1"/>
    <col min="7942" max="7942" width="10" style="662" hidden="1"/>
    <col min="7943" max="7943" width="12.28515625" style="662" hidden="1"/>
    <col min="7944" max="7944" width="13.85546875" style="662" hidden="1"/>
    <col min="7945" max="7945" width="12.7109375" style="662" hidden="1"/>
    <col min="7946" max="7946" width="17.140625" style="662" hidden="1"/>
    <col min="7947" max="7947" width="14.140625" style="662" hidden="1"/>
    <col min="7948" max="7948" width="13.140625" style="662" hidden="1"/>
    <col min="7949" max="7949" width="13.7109375" style="662" hidden="1"/>
    <col min="7950" max="7950" width="12.85546875" style="662" hidden="1"/>
    <col min="7951" max="7951" width="12" style="662" hidden="1"/>
    <col min="7952" max="7952" width="20.28515625" style="662" hidden="1"/>
    <col min="7953" max="8194" width="9.140625" style="662" hidden="1"/>
    <col min="8195" max="8195" width="20.5703125" style="662" hidden="1"/>
    <col min="8196" max="8196" width="13" style="662" hidden="1"/>
    <col min="8197" max="8197" width="11.7109375" style="662" hidden="1"/>
    <col min="8198" max="8198" width="10" style="662" hidden="1"/>
    <col min="8199" max="8199" width="12.28515625" style="662" hidden="1"/>
    <col min="8200" max="8200" width="13.85546875" style="662" hidden="1"/>
    <col min="8201" max="8201" width="12.7109375" style="662" hidden="1"/>
    <col min="8202" max="8202" width="17.140625" style="662" hidden="1"/>
    <col min="8203" max="8203" width="14.140625" style="662" hidden="1"/>
    <col min="8204" max="8204" width="13.140625" style="662" hidden="1"/>
    <col min="8205" max="8205" width="13.7109375" style="662" hidden="1"/>
    <col min="8206" max="8206" width="12.85546875" style="662" hidden="1"/>
    <col min="8207" max="8207" width="12" style="662" hidden="1"/>
    <col min="8208" max="8208" width="20.28515625" style="662" hidden="1"/>
    <col min="8209" max="8450" width="9.140625" style="662" hidden="1"/>
    <col min="8451" max="8451" width="20.5703125" style="662" hidden="1"/>
    <col min="8452" max="8452" width="13" style="662" hidden="1"/>
    <col min="8453" max="8453" width="11.7109375" style="662" hidden="1"/>
    <col min="8454" max="8454" width="10" style="662" hidden="1"/>
    <col min="8455" max="8455" width="12.28515625" style="662" hidden="1"/>
    <col min="8456" max="8456" width="13.85546875" style="662" hidden="1"/>
    <col min="8457" max="8457" width="12.7109375" style="662" hidden="1"/>
    <col min="8458" max="8458" width="17.140625" style="662" hidden="1"/>
    <col min="8459" max="8459" width="14.140625" style="662" hidden="1"/>
    <col min="8460" max="8460" width="13.140625" style="662" hidden="1"/>
    <col min="8461" max="8461" width="13.7109375" style="662" hidden="1"/>
    <col min="8462" max="8462" width="12.85546875" style="662" hidden="1"/>
    <col min="8463" max="8463" width="12" style="662" hidden="1"/>
    <col min="8464" max="8464" width="20.28515625" style="662" hidden="1"/>
    <col min="8465" max="8706" width="9.140625" style="662" hidden="1"/>
    <col min="8707" max="8707" width="20.5703125" style="662" hidden="1"/>
    <col min="8708" max="8708" width="13" style="662" hidden="1"/>
    <col min="8709" max="8709" width="11.7109375" style="662" hidden="1"/>
    <col min="8710" max="8710" width="10" style="662" hidden="1"/>
    <col min="8711" max="8711" width="12.28515625" style="662" hidden="1"/>
    <col min="8712" max="8712" width="13.85546875" style="662" hidden="1"/>
    <col min="8713" max="8713" width="12.7109375" style="662" hidden="1"/>
    <col min="8714" max="8714" width="17.140625" style="662" hidden="1"/>
    <col min="8715" max="8715" width="14.140625" style="662" hidden="1"/>
    <col min="8716" max="8716" width="13.140625" style="662" hidden="1"/>
    <col min="8717" max="8717" width="13.7109375" style="662" hidden="1"/>
    <col min="8718" max="8718" width="12.85546875" style="662" hidden="1"/>
    <col min="8719" max="8719" width="12" style="662" hidden="1"/>
    <col min="8720" max="8720" width="20.28515625" style="662" hidden="1"/>
    <col min="8721" max="8962" width="9.140625" style="662" hidden="1"/>
    <col min="8963" max="8963" width="20.5703125" style="662" hidden="1"/>
    <col min="8964" max="8964" width="13" style="662" hidden="1"/>
    <col min="8965" max="8965" width="11.7109375" style="662" hidden="1"/>
    <col min="8966" max="8966" width="10" style="662" hidden="1"/>
    <col min="8967" max="8967" width="12.28515625" style="662" hidden="1"/>
    <col min="8968" max="8968" width="13.85546875" style="662" hidden="1"/>
    <col min="8969" max="8969" width="12.7109375" style="662" hidden="1"/>
    <col min="8970" max="8970" width="17.140625" style="662" hidden="1"/>
    <col min="8971" max="8971" width="14.140625" style="662" hidden="1"/>
    <col min="8972" max="8972" width="13.140625" style="662" hidden="1"/>
    <col min="8973" max="8973" width="13.7109375" style="662" hidden="1"/>
    <col min="8974" max="8974" width="12.85546875" style="662" hidden="1"/>
    <col min="8975" max="8975" width="12" style="662" hidden="1"/>
    <col min="8976" max="8976" width="20.28515625" style="662" hidden="1"/>
    <col min="8977" max="9218" width="9.140625" style="662" hidden="1"/>
    <col min="9219" max="9219" width="20.5703125" style="662" hidden="1"/>
    <col min="9220" max="9220" width="13" style="662" hidden="1"/>
    <col min="9221" max="9221" width="11.7109375" style="662" hidden="1"/>
    <col min="9222" max="9222" width="10" style="662" hidden="1"/>
    <col min="9223" max="9223" width="12.28515625" style="662" hidden="1"/>
    <col min="9224" max="9224" width="13.85546875" style="662" hidden="1"/>
    <col min="9225" max="9225" width="12.7109375" style="662" hidden="1"/>
    <col min="9226" max="9226" width="17.140625" style="662" hidden="1"/>
    <col min="9227" max="9227" width="14.140625" style="662" hidden="1"/>
    <col min="9228" max="9228" width="13.140625" style="662" hidden="1"/>
    <col min="9229" max="9229" width="13.7109375" style="662" hidden="1"/>
    <col min="9230" max="9230" width="12.85546875" style="662" hidden="1"/>
    <col min="9231" max="9231" width="12" style="662" hidden="1"/>
    <col min="9232" max="9232" width="20.28515625" style="662" hidden="1"/>
    <col min="9233" max="9474" width="9.140625" style="662" hidden="1"/>
    <col min="9475" max="9475" width="20.5703125" style="662" hidden="1"/>
    <col min="9476" max="9476" width="13" style="662" hidden="1"/>
    <col min="9477" max="9477" width="11.7109375" style="662" hidden="1"/>
    <col min="9478" max="9478" width="10" style="662" hidden="1"/>
    <col min="9479" max="9479" width="12.28515625" style="662" hidden="1"/>
    <col min="9480" max="9480" width="13.85546875" style="662" hidden="1"/>
    <col min="9481" max="9481" width="12.7109375" style="662" hidden="1"/>
    <col min="9482" max="9482" width="17.140625" style="662" hidden="1"/>
    <col min="9483" max="9483" width="14.140625" style="662" hidden="1"/>
    <col min="9484" max="9484" width="13.140625" style="662" hidden="1"/>
    <col min="9485" max="9485" width="13.7109375" style="662" hidden="1"/>
    <col min="9486" max="9486" width="12.85546875" style="662" hidden="1"/>
    <col min="9487" max="9487" width="12" style="662" hidden="1"/>
    <col min="9488" max="9488" width="20.28515625" style="662" hidden="1"/>
    <col min="9489" max="9730" width="9.140625" style="662" hidden="1"/>
    <col min="9731" max="9731" width="20.5703125" style="662" hidden="1"/>
    <col min="9732" max="9732" width="13" style="662" hidden="1"/>
    <col min="9733" max="9733" width="11.7109375" style="662" hidden="1"/>
    <col min="9734" max="9734" width="10" style="662" hidden="1"/>
    <col min="9735" max="9735" width="12.28515625" style="662" hidden="1"/>
    <col min="9736" max="9736" width="13.85546875" style="662" hidden="1"/>
    <col min="9737" max="9737" width="12.7109375" style="662" hidden="1"/>
    <col min="9738" max="9738" width="17.140625" style="662" hidden="1"/>
    <col min="9739" max="9739" width="14.140625" style="662" hidden="1"/>
    <col min="9740" max="9740" width="13.140625" style="662" hidden="1"/>
    <col min="9741" max="9741" width="13.7109375" style="662" hidden="1"/>
    <col min="9742" max="9742" width="12.85546875" style="662" hidden="1"/>
    <col min="9743" max="9743" width="12" style="662" hidden="1"/>
    <col min="9744" max="9744" width="20.28515625" style="662" hidden="1"/>
    <col min="9745" max="9986" width="9.140625" style="662" hidden="1"/>
    <col min="9987" max="9987" width="20.5703125" style="662" hidden="1"/>
    <col min="9988" max="9988" width="13" style="662" hidden="1"/>
    <col min="9989" max="9989" width="11.7109375" style="662" hidden="1"/>
    <col min="9990" max="9990" width="10" style="662" hidden="1"/>
    <col min="9991" max="9991" width="12.28515625" style="662" hidden="1"/>
    <col min="9992" max="9992" width="13.85546875" style="662" hidden="1"/>
    <col min="9993" max="9993" width="12.7109375" style="662" hidden="1"/>
    <col min="9994" max="9994" width="17.140625" style="662" hidden="1"/>
    <col min="9995" max="9995" width="14.140625" style="662" hidden="1"/>
    <col min="9996" max="9996" width="13.140625" style="662" hidden="1"/>
    <col min="9997" max="9997" width="13.7109375" style="662" hidden="1"/>
    <col min="9998" max="9998" width="12.85546875" style="662" hidden="1"/>
    <col min="9999" max="9999" width="12" style="662" hidden="1"/>
    <col min="10000" max="10000" width="20.28515625" style="662" hidden="1"/>
    <col min="10001" max="10242" width="9.140625" style="662" hidden="1"/>
    <col min="10243" max="10243" width="20.5703125" style="662" hidden="1"/>
    <col min="10244" max="10244" width="13" style="662" hidden="1"/>
    <col min="10245" max="10245" width="11.7109375" style="662" hidden="1"/>
    <col min="10246" max="10246" width="10" style="662" hidden="1"/>
    <col min="10247" max="10247" width="12.28515625" style="662" hidden="1"/>
    <col min="10248" max="10248" width="13.85546875" style="662" hidden="1"/>
    <col min="10249" max="10249" width="12.7109375" style="662" hidden="1"/>
    <col min="10250" max="10250" width="17.140625" style="662" hidden="1"/>
    <col min="10251" max="10251" width="14.140625" style="662" hidden="1"/>
    <col min="10252" max="10252" width="13.140625" style="662" hidden="1"/>
    <col min="10253" max="10253" width="13.7109375" style="662" hidden="1"/>
    <col min="10254" max="10254" width="12.85546875" style="662" hidden="1"/>
    <col min="10255" max="10255" width="12" style="662" hidden="1"/>
    <col min="10256" max="10256" width="20.28515625" style="662" hidden="1"/>
    <col min="10257" max="10498" width="9.140625" style="662" hidden="1"/>
    <col min="10499" max="10499" width="20.5703125" style="662" hidden="1"/>
    <col min="10500" max="10500" width="13" style="662" hidden="1"/>
    <col min="10501" max="10501" width="11.7109375" style="662" hidden="1"/>
    <col min="10502" max="10502" width="10" style="662" hidden="1"/>
    <col min="10503" max="10503" width="12.28515625" style="662" hidden="1"/>
    <col min="10504" max="10504" width="13.85546875" style="662" hidden="1"/>
    <col min="10505" max="10505" width="12.7109375" style="662" hidden="1"/>
    <col min="10506" max="10506" width="17.140625" style="662" hidden="1"/>
    <col min="10507" max="10507" width="14.140625" style="662" hidden="1"/>
    <col min="10508" max="10508" width="13.140625" style="662" hidden="1"/>
    <col min="10509" max="10509" width="13.7109375" style="662" hidden="1"/>
    <col min="10510" max="10510" width="12.85546875" style="662" hidden="1"/>
    <col min="10511" max="10511" width="12" style="662" hidden="1"/>
    <col min="10512" max="10512" width="20.28515625" style="662" hidden="1"/>
    <col min="10513" max="10754" width="9.140625" style="662" hidden="1"/>
    <col min="10755" max="10755" width="20.5703125" style="662" hidden="1"/>
    <col min="10756" max="10756" width="13" style="662" hidden="1"/>
    <col min="10757" max="10757" width="11.7109375" style="662" hidden="1"/>
    <col min="10758" max="10758" width="10" style="662" hidden="1"/>
    <col min="10759" max="10759" width="12.28515625" style="662" hidden="1"/>
    <col min="10760" max="10760" width="13.85546875" style="662" hidden="1"/>
    <col min="10761" max="10761" width="12.7109375" style="662" hidden="1"/>
    <col min="10762" max="10762" width="17.140625" style="662" hidden="1"/>
    <col min="10763" max="10763" width="14.140625" style="662" hidden="1"/>
    <col min="10764" max="10764" width="13.140625" style="662" hidden="1"/>
    <col min="10765" max="10765" width="13.7109375" style="662" hidden="1"/>
    <col min="10766" max="10766" width="12.85546875" style="662" hidden="1"/>
    <col min="10767" max="10767" width="12" style="662" hidden="1"/>
    <col min="10768" max="10768" width="20.28515625" style="662" hidden="1"/>
    <col min="10769" max="11010" width="9.140625" style="662" hidden="1"/>
    <col min="11011" max="11011" width="20.5703125" style="662" hidden="1"/>
    <col min="11012" max="11012" width="13" style="662" hidden="1"/>
    <col min="11013" max="11013" width="11.7109375" style="662" hidden="1"/>
    <col min="11014" max="11014" width="10" style="662" hidden="1"/>
    <col min="11015" max="11015" width="12.28515625" style="662" hidden="1"/>
    <col min="11016" max="11016" width="13.85546875" style="662" hidden="1"/>
    <col min="11017" max="11017" width="12.7109375" style="662" hidden="1"/>
    <col min="11018" max="11018" width="17.140625" style="662" hidden="1"/>
    <col min="11019" max="11019" width="14.140625" style="662" hidden="1"/>
    <col min="11020" max="11020" width="13.140625" style="662" hidden="1"/>
    <col min="11021" max="11021" width="13.7109375" style="662" hidden="1"/>
    <col min="11022" max="11022" width="12.85546875" style="662" hidden="1"/>
    <col min="11023" max="11023" width="12" style="662" hidden="1"/>
    <col min="11024" max="11024" width="20.28515625" style="662" hidden="1"/>
    <col min="11025" max="11266" width="9.140625" style="662" hidden="1"/>
    <col min="11267" max="11267" width="20.5703125" style="662" hidden="1"/>
    <col min="11268" max="11268" width="13" style="662" hidden="1"/>
    <col min="11269" max="11269" width="11.7109375" style="662" hidden="1"/>
    <col min="11270" max="11270" width="10" style="662" hidden="1"/>
    <col min="11271" max="11271" width="12.28515625" style="662" hidden="1"/>
    <col min="11272" max="11272" width="13.85546875" style="662" hidden="1"/>
    <col min="11273" max="11273" width="12.7109375" style="662" hidden="1"/>
    <col min="11274" max="11274" width="17.140625" style="662" hidden="1"/>
    <col min="11275" max="11275" width="14.140625" style="662" hidden="1"/>
    <col min="11276" max="11276" width="13.140625" style="662" hidden="1"/>
    <col min="11277" max="11277" width="13.7109375" style="662" hidden="1"/>
    <col min="11278" max="11278" width="12.85546875" style="662" hidden="1"/>
    <col min="11279" max="11279" width="12" style="662" hidden="1"/>
    <col min="11280" max="11280" width="20.28515625" style="662" hidden="1"/>
    <col min="11281" max="11522" width="9.140625" style="662" hidden="1"/>
    <col min="11523" max="11523" width="20.5703125" style="662" hidden="1"/>
    <col min="11524" max="11524" width="13" style="662" hidden="1"/>
    <col min="11525" max="11525" width="11.7109375" style="662" hidden="1"/>
    <col min="11526" max="11526" width="10" style="662" hidden="1"/>
    <col min="11527" max="11527" width="12.28515625" style="662" hidden="1"/>
    <col min="11528" max="11528" width="13.85546875" style="662" hidden="1"/>
    <col min="11529" max="11529" width="12.7109375" style="662" hidden="1"/>
    <col min="11530" max="11530" width="17.140625" style="662" hidden="1"/>
    <col min="11531" max="11531" width="14.140625" style="662" hidden="1"/>
    <col min="11532" max="11532" width="13.140625" style="662" hidden="1"/>
    <col min="11533" max="11533" width="13.7109375" style="662" hidden="1"/>
    <col min="11534" max="11534" width="12.85546875" style="662" hidden="1"/>
    <col min="11535" max="11535" width="12" style="662" hidden="1"/>
    <col min="11536" max="11536" width="20.28515625" style="662" hidden="1"/>
    <col min="11537" max="11778" width="9.140625" style="662" hidden="1"/>
    <col min="11779" max="11779" width="20.5703125" style="662" hidden="1"/>
    <col min="11780" max="11780" width="13" style="662" hidden="1"/>
    <col min="11781" max="11781" width="11.7109375" style="662" hidden="1"/>
    <col min="11782" max="11782" width="10" style="662" hidden="1"/>
    <col min="11783" max="11783" width="12.28515625" style="662" hidden="1"/>
    <col min="11784" max="11784" width="13.85546875" style="662" hidden="1"/>
    <col min="11785" max="11785" width="12.7109375" style="662" hidden="1"/>
    <col min="11786" max="11786" width="17.140625" style="662" hidden="1"/>
    <col min="11787" max="11787" width="14.140625" style="662" hidden="1"/>
    <col min="11788" max="11788" width="13.140625" style="662" hidden="1"/>
    <col min="11789" max="11789" width="13.7109375" style="662" hidden="1"/>
    <col min="11790" max="11790" width="12.85546875" style="662" hidden="1"/>
    <col min="11791" max="11791" width="12" style="662" hidden="1"/>
    <col min="11792" max="11792" width="20.28515625" style="662" hidden="1"/>
    <col min="11793" max="12034" width="9.140625" style="662" hidden="1"/>
    <col min="12035" max="12035" width="20.5703125" style="662" hidden="1"/>
    <col min="12036" max="12036" width="13" style="662" hidden="1"/>
    <col min="12037" max="12037" width="11.7109375" style="662" hidden="1"/>
    <col min="12038" max="12038" width="10" style="662" hidden="1"/>
    <col min="12039" max="12039" width="12.28515625" style="662" hidden="1"/>
    <col min="12040" max="12040" width="13.85546875" style="662" hidden="1"/>
    <col min="12041" max="12041" width="12.7109375" style="662" hidden="1"/>
    <col min="12042" max="12042" width="17.140625" style="662" hidden="1"/>
    <col min="12043" max="12043" width="14.140625" style="662" hidden="1"/>
    <col min="12044" max="12044" width="13.140625" style="662" hidden="1"/>
    <col min="12045" max="12045" width="13.7109375" style="662" hidden="1"/>
    <col min="12046" max="12046" width="12.85546875" style="662" hidden="1"/>
    <col min="12047" max="12047" width="12" style="662" hidden="1"/>
    <col min="12048" max="12048" width="20.28515625" style="662" hidden="1"/>
    <col min="12049" max="12290" width="9.140625" style="662" hidden="1"/>
    <col min="12291" max="12291" width="20.5703125" style="662" hidden="1"/>
    <col min="12292" max="12292" width="13" style="662" hidden="1"/>
    <col min="12293" max="12293" width="11.7109375" style="662" hidden="1"/>
    <col min="12294" max="12294" width="10" style="662" hidden="1"/>
    <col min="12295" max="12295" width="12.28515625" style="662" hidden="1"/>
    <col min="12296" max="12296" width="13.85546875" style="662" hidden="1"/>
    <col min="12297" max="12297" width="12.7109375" style="662" hidden="1"/>
    <col min="12298" max="12298" width="17.140625" style="662" hidden="1"/>
    <col min="12299" max="12299" width="14.140625" style="662" hidden="1"/>
    <col min="12300" max="12300" width="13.140625" style="662" hidden="1"/>
    <col min="12301" max="12301" width="13.7109375" style="662" hidden="1"/>
    <col min="12302" max="12302" width="12.85546875" style="662" hidden="1"/>
    <col min="12303" max="12303" width="12" style="662" hidden="1"/>
    <col min="12304" max="12304" width="20.28515625" style="662" hidden="1"/>
    <col min="12305" max="12546" width="9.140625" style="662" hidden="1"/>
    <col min="12547" max="12547" width="20.5703125" style="662" hidden="1"/>
    <col min="12548" max="12548" width="13" style="662" hidden="1"/>
    <col min="12549" max="12549" width="11.7109375" style="662" hidden="1"/>
    <col min="12550" max="12550" width="10" style="662" hidden="1"/>
    <col min="12551" max="12551" width="12.28515625" style="662" hidden="1"/>
    <col min="12552" max="12552" width="13.85546875" style="662" hidden="1"/>
    <col min="12553" max="12553" width="12.7109375" style="662" hidden="1"/>
    <col min="12554" max="12554" width="17.140625" style="662" hidden="1"/>
    <col min="12555" max="12555" width="14.140625" style="662" hidden="1"/>
    <col min="12556" max="12556" width="13.140625" style="662" hidden="1"/>
    <col min="12557" max="12557" width="13.7109375" style="662" hidden="1"/>
    <col min="12558" max="12558" width="12.85546875" style="662" hidden="1"/>
    <col min="12559" max="12559" width="12" style="662" hidden="1"/>
    <col min="12560" max="12560" width="20.28515625" style="662" hidden="1"/>
    <col min="12561" max="12802" width="9.140625" style="662" hidden="1"/>
    <col min="12803" max="12803" width="20.5703125" style="662" hidden="1"/>
    <col min="12804" max="12804" width="13" style="662" hidden="1"/>
    <col min="12805" max="12805" width="11.7109375" style="662" hidden="1"/>
    <col min="12806" max="12806" width="10" style="662" hidden="1"/>
    <col min="12807" max="12807" width="12.28515625" style="662" hidden="1"/>
    <col min="12808" max="12808" width="13.85546875" style="662" hidden="1"/>
    <col min="12809" max="12809" width="12.7109375" style="662" hidden="1"/>
    <col min="12810" max="12810" width="17.140625" style="662" hidden="1"/>
    <col min="12811" max="12811" width="14.140625" style="662" hidden="1"/>
    <col min="12812" max="12812" width="13.140625" style="662" hidden="1"/>
    <col min="12813" max="12813" width="13.7109375" style="662" hidden="1"/>
    <col min="12814" max="12814" width="12.85546875" style="662" hidden="1"/>
    <col min="12815" max="12815" width="12" style="662" hidden="1"/>
    <col min="12816" max="12816" width="20.28515625" style="662" hidden="1"/>
    <col min="12817" max="13058" width="9.140625" style="662" hidden="1"/>
    <col min="13059" max="13059" width="20.5703125" style="662" hidden="1"/>
    <col min="13060" max="13060" width="13" style="662" hidden="1"/>
    <col min="13061" max="13061" width="11.7109375" style="662" hidden="1"/>
    <col min="13062" max="13062" width="10" style="662" hidden="1"/>
    <col min="13063" max="13063" width="12.28515625" style="662" hidden="1"/>
    <col min="13064" max="13064" width="13.85546875" style="662" hidden="1"/>
    <col min="13065" max="13065" width="12.7109375" style="662" hidden="1"/>
    <col min="13066" max="13066" width="17.140625" style="662" hidden="1"/>
    <col min="13067" max="13067" width="14.140625" style="662" hidden="1"/>
    <col min="13068" max="13068" width="13.140625" style="662" hidden="1"/>
    <col min="13069" max="13069" width="13.7109375" style="662" hidden="1"/>
    <col min="13070" max="13070" width="12.85546875" style="662" hidden="1"/>
    <col min="13071" max="13071" width="12" style="662" hidden="1"/>
    <col min="13072" max="13072" width="20.28515625" style="662" hidden="1"/>
    <col min="13073" max="13314" width="9.140625" style="662" hidden="1"/>
    <col min="13315" max="13315" width="20.5703125" style="662" hidden="1"/>
    <col min="13316" max="13316" width="13" style="662" hidden="1"/>
    <col min="13317" max="13317" width="11.7109375" style="662" hidden="1"/>
    <col min="13318" max="13318" width="10" style="662" hidden="1"/>
    <col min="13319" max="13319" width="12.28515625" style="662" hidden="1"/>
    <col min="13320" max="13320" width="13.85546875" style="662" hidden="1"/>
    <col min="13321" max="13321" width="12.7109375" style="662" hidden="1"/>
    <col min="13322" max="13322" width="17.140625" style="662" hidden="1"/>
    <col min="13323" max="13323" width="14.140625" style="662" hidden="1"/>
    <col min="13324" max="13324" width="13.140625" style="662" hidden="1"/>
    <col min="13325" max="13325" width="13.7109375" style="662" hidden="1"/>
    <col min="13326" max="13326" width="12.85546875" style="662" hidden="1"/>
    <col min="13327" max="13327" width="12" style="662" hidden="1"/>
    <col min="13328" max="13328" width="20.28515625" style="662" hidden="1"/>
    <col min="13329" max="13570" width="9.140625" style="662" hidden="1"/>
    <col min="13571" max="13571" width="20.5703125" style="662" hidden="1"/>
    <col min="13572" max="13572" width="13" style="662" hidden="1"/>
    <col min="13573" max="13573" width="11.7109375" style="662" hidden="1"/>
    <col min="13574" max="13574" width="10" style="662" hidden="1"/>
    <col min="13575" max="13575" width="12.28515625" style="662" hidden="1"/>
    <col min="13576" max="13576" width="13.85546875" style="662" hidden="1"/>
    <col min="13577" max="13577" width="12.7109375" style="662" hidden="1"/>
    <col min="13578" max="13578" width="17.140625" style="662" hidden="1"/>
    <col min="13579" max="13579" width="14.140625" style="662" hidden="1"/>
    <col min="13580" max="13580" width="13.140625" style="662" hidden="1"/>
    <col min="13581" max="13581" width="13.7109375" style="662" hidden="1"/>
    <col min="13582" max="13582" width="12.85546875" style="662" hidden="1"/>
    <col min="13583" max="13583" width="12" style="662" hidden="1"/>
    <col min="13584" max="13584" width="20.28515625" style="662" hidden="1"/>
    <col min="13585" max="13826" width="9.140625" style="662" hidden="1"/>
    <col min="13827" max="13827" width="20.5703125" style="662" hidden="1"/>
    <col min="13828" max="13828" width="13" style="662" hidden="1"/>
    <col min="13829" max="13829" width="11.7109375" style="662" hidden="1"/>
    <col min="13830" max="13830" width="10" style="662" hidden="1"/>
    <col min="13831" max="13831" width="12.28515625" style="662" hidden="1"/>
    <col min="13832" max="13832" width="13.85546875" style="662" hidden="1"/>
    <col min="13833" max="13833" width="12.7109375" style="662" hidden="1"/>
    <col min="13834" max="13834" width="17.140625" style="662" hidden="1"/>
    <col min="13835" max="13835" width="14.140625" style="662" hidden="1"/>
    <col min="13836" max="13836" width="13.140625" style="662" hidden="1"/>
    <col min="13837" max="13837" width="13.7109375" style="662" hidden="1"/>
    <col min="13838" max="13838" width="12.85546875" style="662" hidden="1"/>
    <col min="13839" max="13839" width="12" style="662" hidden="1"/>
    <col min="13840" max="13840" width="20.28515625" style="662" hidden="1"/>
    <col min="13841" max="14082" width="9.140625" style="662" hidden="1"/>
    <col min="14083" max="14083" width="20.5703125" style="662" hidden="1"/>
    <col min="14084" max="14084" width="13" style="662" hidden="1"/>
    <col min="14085" max="14085" width="11.7109375" style="662" hidden="1"/>
    <col min="14086" max="14086" width="10" style="662" hidden="1"/>
    <col min="14087" max="14087" width="12.28515625" style="662" hidden="1"/>
    <col min="14088" max="14088" width="13.85546875" style="662" hidden="1"/>
    <col min="14089" max="14089" width="12.7109375" style="662" hidden="1"/>
    <col min="14090" max="14090" width="17.140625" style="662" hidden="1"/>
    <col min="14091" max="14091" width="14.140625" style="662" hidden="1"/>
    <col min="14092" max="14092" width="13.140625" style="662" hidden="1"/>
    <col min="14093" max="14093" width="13.7109375" style="662" hidden="1"/>
    <col min="14094" max="14094" width="12.85546875" style="662" hidden="1"/>
    <col min="14095" max="14095" width="12" style="662" hidden="1"/>
    <col min="14096" max="14096" width="20.28515625" style="662" hidden="1"/>
    <col min="14097" max="14338" width="9.140625" style="662" hidden="1"/>
    <col min="14339" max="14339" width="20.5703125" style="662" hidden="1"/>
    <col min="14340" max="14340" width="13" style="662" hidden="1"/>
    <col min="14341" max="14341" width="11.7109375" style="662" hidden="1"/>
    <col min="14342" max="14342" width="10" style="662" hidden="1"/>
    <col min="14343" max="14343" width="12.28515625" style="662" hidden="1"/>
    <col min="14344" max="14344" width="13.85546875" style="662" hidden="1"/>
    <col min="14345" max="14345" width="12.7109375" style="662" hidden="1"/>
    <col min="14346" max="14346" width="17.140625" style="662" hidden="1"/>
    <col min="14347" max="14347" width="14.140625" style="662" hidden="1"/>
    <col min="14348" max="14348" width="13.140625" style="662" hidden="1"/>
    <col min="14349" max="14349" width="13.7109375" style="662" hidden="1"/>
    <col min="14350" max="14350" width="12.85546875" style="662" hidden="1"/>
    <col min="14351" max="14351" width="12" style="662" hidden="1"/>
    <col min="14352" max="14352" width="20.28515625" style="662" hidden="1"/>
    <col min="14353" max="14594" width="9.140625" style="662" hidden="1"/>
    <col min="14595" max="14595" width="20.5703125" style="662" hidden="1"/>
    <col min="14596" max="14596" width="13" style="662" hidden="1"/>
    <col min="14597" max="14597" width="11.7109375" style="662" hidden="1"/>
    <col min="14598" max="14598" width="10" style="662" hidden="1"/>
    <col min="14599" max="14599" width="12.28515625" style="662" hidden="1"/>
    <col min="14600" max="14600" width="13.85546875" style="662" hidden="1"/>
    <col min="14601" max="14601" width="12.7109375" style="662" hidden="1"/>
    <col min="14602" max="14602" width="17.140625" style="662" hidden="1"/>
    <col min="14603" max="14603" width="14.140625" style="662" hidden="1"/>
    <col min="14604" max="14604" width="13.140625" style="662" hidden="1"/>
    <col min="14605" max="14605" width="13.7109375" style="662" hidden="1"/>
    <col min="14606" max="14606" width="12.85546875" style="662" hidden="1"/>
    <col min="14607" max="14607" width="12" style="662" hidden="1"/>
    <col min="14608" max="14608" width="20.28515625" style="662" hidden="1"/>
    <col min="14609" max="14850" width="9.140625" style="662" hidden="1"/>
    <col min="14851" max="14851" width="20.5703125" style="662" hidden="1"/>
    <col min="14852" max="14852" width="13" style="662" hidden="1"/>
    <col min="14853" max="14853" width="11.7109375" style="662" hidden="1"/>
    <col min="14854" max="14854" width="10" style="662" hidden="1"/>
    <col min="14855" max="14855" width="12.28515625" style="662" hidden="1"/>
    <col min="14856" max="14856" width="13.85546875" style="662" hidden="1"/>
    <col min="14857" max="14857" width="12.7109375" style="662" hidden="1"/>
    <col min="14858" max="14858" width="17.140625" style="662" hidden="1"/>
    <col min="14859" max="14859" width="14.140625" style="662" hidden="1"/>
    <col min="14860" max="14860" width="13.140625" style="662" hidden="1"/>
    <col min="14861" max="14861" width="13.7109375" style="662" hidden="1"/>
    <col min="14862" max="14862" width="12.85546875" style="662" hidden="1"/>
    <col min="14863" max="14863" width="12" style="662" hidden="1"/>
    <col min="14864" max="14864" width="20.28515625" style="662" hidden="1"/>
    <col min="14865" max="15106" width="9.140625" style="662" hidden="1"/>
    <col min="15107" max="15107" width="20.5703125" style="662" hidden="1"/>
    <col min="15108" max="15108" width="13" style="662" hidden="1"/>
    <col min="15109" max="15109" width="11.7109375" style="662" hidden="1"/>
    <col min="15110" max="15110" width="10" style="662" hidden="1"/>
    <col min="15111" max="15111" width="12.28515625" style="662" hidden="1"/>
    <col min="15112" max="15112" width="13.85546875" style="662" hidden="1"/>
    <col min="15113" max="15113" width="12.7109375" style="662" hidden="1"/>
    <col min="15114" max="15114" width="17.140625" style="662" hidden="1"/>
    <col min="15115" max="15115" width="14.140625" style="662" hidden="1"/>
    <col min="15116" max="15116" width="13.140625" style="662" hidden="1"/>
    <col min="15117" max="15117" width="13.7109375" style="662" hidden="1"/>
    <col min="15118" max="15118" width="12.85546875" style="662" hidden="1"/>
    <col min="15119" max="15119" width="12" style="662" hidden="1"/>
    <col min="15120" max="15120" width="20.28515625" style="662" hidden="1"/>
    <col min="15121" max="15362" width="9.140625" style="662" hidden="1"/>
    <col min="15363" max="15363" width="20.5703125" style="662" hidden="1"/>
    <col min="15364" max="15364" width="13" style="662" hidden="1"/>
    <col min="15365" max="15365" width="11.7109375" style="662" hidden="1"/>
    <col min="15366" max="15366" width="10" style="662" hidden="1"/>
    <col min="15367" max="15367" width="12.28515625" style="662" hidden="1"/>
    <col min="15368" max="15368" width="13.85546875" style="662" hidden="1"/>
    <col min="15369" max="15369" width="12.7109375" style="662" hidden="1"/>
    <col min="15370" max="15370" width="17.140625" style="662" hidden="1"/>
    <col min="15371" max="15371" width="14.140625" style="662" hidden="1"/>
    <col min="15372" max="15372" width="13.140625" style="662" hidden="1"/>
    <col min="15373" max="15373" width="13.7109375" style="662" hidden="1"/>
    <col min="15374" max="15374" width="12.85546875" style="662" hidden="1"/>
    <col min="15375" max="15375" width="12" style="662" hidden="1"/>
    <col min="15376" max="15376" width="20.28515625" style="662" hidden="1"/>
    <col min="15377" max="15618" width="9.140625" style="662" hidden="1"/>
    <col min="15619" max="15619" width="20.5703125" style="662" hidden="1"/>
    <col min="15620" max="15620" width="13" style="662" hidden="1"/>
    <col min="15621" max="15621" width="11.7109375" style="662" hidden="1"/>
    <col min="15622" max="15622" width="10" style="662" hidden="1"/>
    <col min="15623" max="15623" width="12.28515625" style="662" hidden="1"/>
    <col min="15624" max="15624" width="13.85546875" style="662" hidden="1"/>
    <col min="15625" max="15625" width="12.7109375" style="662" hidden="1"/>
    <col min="15626" max="15626" width="17.140625" style="662" hidden="1"/>
    <col min="15627" max="15627" width="14.140625" style="662" hidden="1"/>
    <col min="15628" max="15628" width="13.140625" style="662" hidden="1"/>
    <col min="15629" max="15629" width="13.7109375" style="662" hidden="1"/>
    <col min="15630" max="15630" width="12.85546875" style="662" hidden="1"/>
    <col min="15631" max="15631" width="12" style="662" hidden="1"/>
    <col min="15632" max="15632" width="20.28515625" style="662" hidden="1"/>
    <col min="15633" max="15874" width="9.140625" style="662" hidden="1"/>
    <col min="15875" max="15875" width="20.5703125" style="662" hidden="1"/>
    <col min="15876" max="15876" width="13" style="662" hidden="1"/>
    <col min="15877" max="15877" width="11.7109375" style="662" hidden="1"/>
    <col min="15878" max="15878" width="10" style="662" hidden="1"/>
    <col min="15879" max="15879" width="12.28515625" style="662" hidden="1"/>
    <col min="15880" max="15880" width="13.85546875" style="662" hidden="1"/>
    <col min="15881" max="15881" width="12.7109375" style="662" hidden="1"/>
    <col min="15882" max="15882" width="17.140625" style="662" hidden="1"/>
    <col min="15883" max="15883" width="14.140625" style="662" hidden="1"/>
    <col min="15884" max="15884" width="13.140625" style="662" hidden="1"/>
    <col min="15885" max="15885" width="13.7109375" style="662" hidden="1"/>
    <col min="15886" max="15886" width="12.85546875" style="662" hidden="1"/>
    <col min="15887" max="15887" width="12" style="662" hidden="1"/>
    <col min="15888" max="15888" width="20.28515625" style="662" hidden="1"/>
    <col min="15889" max="16130" width="9.140625" style="662" hidden="1"/>
    <col min="16131" max="16131" width="20.5703125" style="662" hidden="1"/>
    <col min="16132" max="16132" width="13" style="662" hidden="1"/>
    <col min="16133" max="16133" width="11.7109375" style="662" hidden="1"/>
    <col min="16134" max="16134" width="10" style="662" hidden="1"/>
    <col min="16135" max="16135" width="12.28515625" style="662" hidden="1"/>
    <col min="16136" max="16136" width="13.85546875" style="662" hidden="1"/>
    <col min="16137" max="16137" width="12.7109375" style="662" hidden="1"/>
    <col min="16138" max="16138" width="17.140625" style="662" hidden="1"/>
    <col min="16139" max="16139" width="14.140625" style="662" hidden="1"/>
    <col min="16140" max="16140" width="13.140625" style="662" hidden="1"/>
    <col min="16141" max="16141" width="13.7109375" style="662" hidden="1"/>
    <col min="16142" max="16142" width="12.85546875" style="662" hidden="1"/>
    <col min="16143" max="16143" width="12" style="662" hidden="1"/>
    <col min="16144" max="16144" width="20.28515625" style="662" hidden="1"/>
    <col min="16145" max="16384" width="9.140625" style="662" hidden="1"/>
  </cols>
  <sheetData>
    <row r="1" spans="2:26" s="1197" customFormat="1" ht="30.75">
      <c r="B1" s="2583" t="s">
        <v>34</v>
      </c>
      <c r="C1" s="2583"/>
      <c r="D1" s="2583"/>
      <c r="E1" s="2583"/>
      <c r="F1" s="2583"/>
      <c r="G1" s="2583"/>
      <c r="H1" s="2583"/>
      <c r="I1" s="2583"/>
      <c r="J1" s="2583"/>
      <c r="K1" s="2583"/>
      <c r="L1" s="2583"/>
      <c r="M1" s="2583"/>
      <c r="N1" s="2583"/>
      <c r="O1" s="1196"/>
      <c r="P1" s="1563"/>
      <c r="Q1" s="1196"/>
      <c r="R1" s="1196"/>
      <c r="S1" s="1196"/>
      <c r="T1" s="1196"/>
      <c r="U1" s="1196"/>
      <c r="V1" s="1196"/>
      <c r="W1" s="1196"/>
      <c r="X1" s="1196"/>
      <c r="Y1" s="1196"/>
      <c r="Z1" s="1196"/>
    </row>
    <row r="2" spans="2:26" s="1197" customFormat="1" ht="18">
      <c r="B2" s="2584" t="s">
        <v>35</v>
      </c>
      <c r="C2" s="2584"/>
      <c r="D2" s="2584"/>
      <c r="E2" s="2584"/>
      <c r="F2" s="2584"/>
      <c r="G2" s="2584"/>
      <c r="H2" s="2584"/>
      <c r="I2" s="2584"/>
      <c r="J2" s="2584"/>
      <c r="K2" s="2584"/>
      <c r="L2" s="2584"/>
      <c r="M2" s="2584"/>
      <c r="N2" s="2584"/>
      <c r="O2" s="1198"/>
      <c r="P2" s="1564"/>
      <c r="Q2" s="1198"/>
      <c r="R2" s="1198"/>
      <c r="S2" s="1198"/>
      <c r="T2" s="1198"/>
      <c r="U2" s="1198"/>
      <c r="V2" s="1198"/>
      <c r="W2" s="1198"/>
      <c r="X2" s="1198"/>
      <c r="Y2" s="1198"/>
      <c r="Z2" s="1198"/>
    </row>
    <row r="3" spans="2:26" s="681" customFormat="1" ht="21">
      <c r="B3" s="2585" t="s">
        <v>36</v>
      </c>
      <c r="C3" s="2585"/>
      <c r="D3" s="2585"/>
      <c r="E3" s="2585"/>
      <c r="F3" s="2585"/>
      <c r="G3" s="2585"/>
      <c r="H3" s="2585"/>
      <c r="I3" s="2585"/>
      <c r="J3" s="2585"/>
      <c r="K3" s="2585"/>
      <c r="L3" s="2585"/>
      <c r="M3" s="2585"/>
      <c r="N3" s="2585"/>
      <c r="O3" s="934"/>
      <c r="P3" s="1565"/>
      <c r="Q3" s="934"/>
      <c r="R3" s="934"/>
      <c r="S3" s="934"/>
      <c r="T3" s="934"/>
      <c r="U3" s="934"/>
      <c r="V3" s="934"/>
      <c r="W3" s="934"/>
      <c r="X3" s="934"/>
      <c r="Y3" s="934"/>
      <c r="Z3" s="934"/>
    </row>
    <row r="4" spans="2:26" s="681" customFormat="1" ht="21">
      <c r="B4" s="2585" t="s">
        <v>360</v>
      </c>
      <c r="C4" s="2585"/>
      <c r="D4" s="2585"/>
      <c r="E4" s="2585"/>
      <c r="F4" s="2585"/>
      <c r="G4" s="2585"/>
      <c r="H4" s="2585"/>
      <c r="I4" s="2585"/>
      <c r="J4" s="2585"/>
      <c r="K4" s="2585"/>
      <c r="L4" s="2585"/>
      <c r="M4" s="2585"/>
      <c r="N4" s="2585"/>
      <c r="P4" s="1566"/>
      <c r="U4" s="682"/>
      <c r="V4" s="934"/>
      <c r="W4" s="934"/>
      <c r="X4" s="934"/>
      <c r="Y4" s="934"/>
      <c r="Z4" s="934"/>
    </row>
    <row r="5" spans="2:26" s="681" customFormat="1" ht="21">
      <c r="B5" s="682"/>
      <c r="C5" s="682"/>
      <c r="D5" s="682"/>
      <c r="E5" s="682"/>
      <c r="F5" s="682"/>
      <c r="G5" s="682"/>
      <c r="H5" s="682"/>
      <c r="I5" s="682"/>
      <c r="J5" s="1598"/>
      <c r="K5" s="682"/>
      <c r="L5" s="1598"/>
      <c r="M5" s="682"/>
      <c r="N5" s="682"/>
      <c r="P5" s="1566"/>
      <c r="U5" s="682"/>
      <c r="V5" s="934"/>
      <c r="W5" s="934"/>
      <c r="X5" s="934"/>
      <c r="Y5" s="934"/>
      <c r="Z5" s="934"/>
    </row>
    <row r="6" spans="2:26" s="681" customFormat="1" ht="30">
      <c r="B6" s="935" t="s">
        <v>472</v>
      </c>
      <c r="C6" s="935"/>
      <c r="E6" s="682"/>
      <c r="F6" s="682"/>
      <c r="G6" s="682"/>
      <c r="H6" s="682"/>
      <c r="I6" s="682"/>
      <c r="J6" s="1599"/>
      <c r="K6" s="682"/>
      <c r="L6" s="1598"/>
      <c r="M6" s="682"/>
      <c r="N6" s="682"/>
      <c r="O6" s="936" t="s">
        <v>868</v>
      </c>
      <c r="P6" s="1567"/>
      <c r="U6" s="682"/>
    </row>
    <row r="7" spans="2:26" s="681" customFormat="1" ht="20.45" customHeight="1">
      <c r="B7" s="937" t="s">
        <v>429</v>
      </c>
      <c r="C7" s="937"/>
      <c r="E7" s="682"/>
      <c r="F7" s="682"/>
      <c r="G7" s="682"/>
      <c r="H7" s="682"/>
      <c r="J7" s="1599"/>
      <c r="L7" s="1599"/>
      <c r="O7" s="938"/>
      <c r="P7" s="1566"/>
    </row>
    <row r="8" spans="2:26" s="681" customFormat="1" ht="8.4499999999999993" customHeight="1" thickBot="1">
      <c r="B8" s="939"/>
      <c r="C8" s="939"/>
      <c r="E8" s="682"/>
      <c r="F8" s="682"/>
      <c r="G8" s="682"/>
      <c r="H8" s="682"/>
      <c r="J8" s="1599"/>
      <c r="L8" s="1599"/>
      <c r="O8" s="938"/>
      <c r="P8" s="1566"/>
    </row>
    <row r="9" spans="2:26" s="943" customFormat="1" ht="21" customHeight="1" thickBot="1">
      <c r="B9" s="940" t="s">
        <v>37</v>
      </c>
      <c r="C9" s="940"/>
      <c r="D9" s="2586">
        <v>10000</v>
      </c>
      <c r="E9" s="2587"/>
      <c r="F9" s="941"/>
      <c r="G9" s="941"/>
      <c r="H9" s="942"/>
      <c r="J9" s="1600"/>
      <c r="K9" s="944" t="s">
        <v>38</v>
      </c>
      <c r="L9" s="1607"/>
      <c r="M9" s="945" t="s">
        <v>431</v>
      </c>
      <c r="N9" s="946"/>
      <c r="O9" s="947" t="s">
        <v>365</v>
      </c>
      <c r="P9" s="1568"/>
    </row>
    <row r="10" spans="2:26" s="952" customFormat="1" ht="21.75" thickBot="1">
      <c r="B10" s="948"/>
      <c r="C10" s="948"/>
      <c r="D10" s="949"/>
      <c r="E10" s="950"/>
      <c r="F10" s="950"/>
      <c r="G10" s="950"/>
      <c r="H10" s="951"/>
      <c r="I10" s="951"/>
      <c r="J10" s="1601"/>
      <c r="K10" s="953" t="s">
        <v>617</v>
      </c>
      <c r="L10" s="1608">
        <v>4000</v>
      </c>
      <c r="M10" s="954" t="s">
        <v>433</v>
      </c>
      <c r="N10" s="683"/>
      <c r="O10" s="683" t="s">
        <v>434</v>
      </c>
      <c r="P10" s="1569"/>
    </row>
    <row r="11" spans="2:26" ht="13.5" thickBot="1"/>
    <row r="12" spans="2:26" s="663" customFormat="1" ht="85.5" thickTop="1">
      <c r="B12" s="800" t="s">
        <v>1795</v>
      </c>
      <c r="C12" s="801" t="s">
        <v>49</v>
      </c>
      <c r="D12" s="666" t="s">
        <v>50</v>
      </c>
      <c r="E12" s="666" t="s">
        <v>879</v>
      </c>
      <c r="F12" s="666" t="s">
        <v>929</v>
      </c>
      <c r="G12" s="666" t="s">
        <v>51</v>
      </c>
      <c r="H12" s="666" t="s">
        <v>52</v>
      </c>
      <c r="I12" s="666" t="s">
        <v>53</v>
      </c>
      <c r="J12" s="1603" t="s">
        <v>54</v>
      </c>
      <c r="K12" s="666" t="s">
        <v>55</v>
      </c>
      <c r="L12" s="1603" t="s">
        <v>56</v>
      </c>
      <c r="M12" s="667" t="s">
        <v>57</v>
      </c>
      <c r="N12" s="666" t="s">
        <v>58</v>
      </c>
      <c r="O12" s="666" t="s">
        <v>59</v>
      </c>
      <c r="P12" s="1571" t="s">
        <v>60</v>
      </c>
    </row>
    <row r="13" spans="2:26" s="664" customFormat="1" ht="11.25">
      <c r="B13" s="672"/>
      <c r="C13" s="797" t="s">
        <v>39</v>
      </c>
      <c r="D13" s="668" t="s">
        <v>40</v>
      </c>
      <c r="E13" s="668" t="s">
        <v>41</v>
      </c>
      <c r="F13" s="668" t="s">
        <v>42</v>
      </c>
      <c r="G13" s="668" t="s">
        <v>43</v>
      </c>
      <c r="H13" s="669" t="s">
        <v>930</v>
      </c>
      <c r="I13" s="668" t="s">
        <v>44</v>
      </c>
      <c r="J13" s="1604" t="s">
        <v>931</v>
      </c>
      <c r="K13" s="668" t="s">
        <v>45</v>
      </c>
      <c r="L13" s="1604" t="s">
        <v>932</v>
      </c>
      <c r="M13" s="668" t="s">
        <v>933</v>
      </c>
      <c r="N13" s="668" t="s">
        <v>934</v>
      </c>
      <c r="O13" s="670" t="s">
        <v>935</v>
      </c>
      <c r="P13" s="671" t="s">
        <v>936</v>
      </c>
    </row>
    <row r="14" spans="2:26">
      <c r="B14" s="1331"/>
      <c r="C14" s="798"/>
      <c r="D14" s="678"/>
      <c r="E14" s="678"/>
      <c r="F14" s="679"/>
      <c r="G14" s="676"/>
      <c r="H14" s="676"/>
      <c r="I14" s="676"/>
      <c r="J14" s="1605">
        <f>H14+I14</f>
        <v>0</v>
      </c>
      <c r="K14" s="674"/>
      <c r="L14" s="1605">
        <f>J14*K14</f>
        <v>0</v>
      </c>
      <c r="M14" s="673">
        <f>L14/$D$9</f>
        <v>0</v>
      </c>
      <c r="N14" s="1332">
        <v>0.2</v>
      </c>
      <c r="O14" s="1333" t="str">
        <f>IF((M14-N14)&gt;0,M14-N14,"")</f>
        <v/>
      </c>
      <c r="P14" s="1572"/>
    </row>
    <row r="15" spans="2:26">
      <c r="B15" s="1331"/>
      <c r="C15" s="799"/>
      <c r="D15" s="680"/>
      <c r="E15" s="680"/>
      <c r="F15" s="679"/>
      <c r="G15" s="677"/>
      <c r="H15" s="677"/>
      <c r="I15" s="677"/>
      <c r="J15" s="1605">
        <f t="shared" ref="J15:J39" si="0">H15+I15</f>
        <v>0</v>
      </c>
      <c r="K15" s="675"/>
      <c r="L15" s="1605">
        <f t="shared" ref="L15:L39" si="1">J15*K15</f>
        <v>0</v>
      </c>
      <c r="M15" s="673">
        <f t="shared" ref="M15:M39" si="2">L15/$D$9</f>
        <v>0</v>
      </c>
      <c r="N15" s="1332">
        <v>0.2</v>
      </c>
      <c r="O15" s="1333" t="str">
        <f t="shared" ref="O15:O45" si="3">IF((M15-N15)&gt;0,M15-N15,"")</f>
        <v/>
      </c>
      <c r="P15" s="1573"/>
    </row>
    <row r="16" spans="2:26">
      <c r="B16" s="1331"/>
      <c r="C16" s="799"/>
      <c r="D16" s="680"/>
      <c r="E16" s="680"/>
      <c r="F16" s="679"/>
      <c r="G16" s="677"/>
      <c r="H16" s="677"/>
      <c r="I16" s="677"/>
      <c r="J16" s="1605">
        <f t="shared" si="0"/>
        <v>0</v>
      </c>
      <c r="K16" s="675"/>
      <c r="L16" s="1605">
        <f t="shared" si="1"/>
        <v>0</v>
      </c>
      <c r="M16" s="673">
        <f t="shared" si="2"/>
        <v>0</v>
      </c>
      <c r="N16" s="1332">
        <v>0.2</v>
      </c>
      <c r="O16" s="1333" t="str">
        <f t="shared" si="3"/>
        <v/>
      </c>
      <c r="P16" s="1573"/>
    </row>
    <row r="17" spans="2:16">
      <c r="B17" s="1331"/>
      <c r="C17" s="798"/>
      <c r="D17" s="680"/>
      <c r="E17" s="680"/>
      <c r="F17" s="679"/>
      <c r="G17" s="677"/>
      <c r="H17" s="677"/>
      <c r="I17" s="677"/>
      <c r="J17" s="1605">
        <f t="shared" si="0"/>
        <v>0</v>
      </c>
      <c r="K17" s="675"/>
      <c r="L17" s="1605">
        <f t="shared" si="1"/>
        <v>0</v>
      </c>
      <c r="M17" s="673">
        <f t="shared" si="2"/>
        <v>0</v>
      </c>
      <c r="N17" s="1332">
        <v>0.2</v>
      </c>
      <c r="O17" s="1333" t="str">
        <f t="shared" si="3"/>
        <v/>
      </c>
      <c r="P17" s="1573"/>
    </row>
    <row r="18" spans="2:16">
      <c r="B18" s="1331"/>
      <c r="C18" s="799"/>
      <c r="D18" s="680"/>
      <c r="E18" s="680"/>
      <c r="F18" s="679"/>
      <c r="G18" s="677"/>
      <c r="H18" s="677"/>
      <c r="I18" s="677"/>
      <c r="J18" s="1605">
        <f t="shared" si="0"/>
        <v>0</v>
      </c>
      <c r="K18" s="675"/>
      <c r="L18" s="1605">
        <f t="shared" si="1"/>
        <v>0</v>
      </c>
      <c r="M18" s="673">
        <f t="shared" si="2"/>
        <v>0</v>
      </c>
      <c r="N18" s="1332">
        <v>0.2</v>
      </c>
      <c r="O18" s="1333" t="str">
        <f t="shared" si="3"/>
        <v/>
      </c>
      <c r="P18" s="1573"/>
    </row>
    <row r="19" spans="2:16">
      <c r="B19" s="1331"/>
      <c r="C19" s="799"/>
      <c r="D19" s="678"/>
      <c r="E19" s="678"/>
      <c r="F19" s="679"/>
      <c r="G19" s="677"/>
      <c r="H19" s="677"/>
      <c r="I19" s="677"/>
      <c r="J19" s="1605">
        <f t="shared" si="0"/>
        <v>0</v>
      </c>
      <c r="K19" s="675"/>
      <c r="L19" s="1605">
        <f t="shared" si="1"/>
        <v>0</v>
      </c>
      <c r="M19" s="673">
        <f t="shared" si="2"/>
        <v>0</v>
      </c>
      <c r="N19" s="1332">
        <v>0.2</v>
      </c>
      <c r="O19" s="1333" t="str">
        <f t="shared" si="3"/>
        <v/>
      </c>
      <c r="P19" s="1573"/>
    </row>
    <row r="20" spans="2:16">
      <c r="B20" s="1331"/>
      <c r="C20" s="798"/>
      <c r="D20" s="678"/>
      <c r="E20" s="678"/>
      <c r="F20" s="679"/>
      <c r="G20" s="677"/>
      <c r="H20" s="676"/>
      <c r="I20" s="677"/>
      <c r="J20" s="1605">
        <f t="shared" si="0"/>
        <v>0</v>
      </c>
      <c r="K20" s="675"/>
      <c r="L20" s="1605">
        <f t="shared" si="1"/>
        <v>0</v>
      </c>
      <c r="M20" s="673">
        <f t="shared" si="2"/>
        <v>0</v>
      </c>
      <c r="N20" s="1332">
        <v>0.2</v>
      </c>
      <c r="O20" s="1333" t="str">
        <f t="shared" si="3"/>
        <v/>
      </c>
      <c r="P20" s="1573"/>
    </row>
    <row r="21" spans="2:16">
      <c r="B21" s="1331"/>
      <c r="C21" s="799"/>
      <c r="D21" s="678"/>
      <c r="E21" s="678"/>
      <c r="F21" s="679"/>
      <c r="G21" s="677"/>
      <c r="H21" s="677"/>
      <c r="I21" s="677"/>
      <c r="J21" s="1605">
        <f t="shared" si="0"/>
        <v>0</v>
      </c>
      <c r="K21" s="675"/>
      <c r="L21" s="1605">
        <f t="shared" si="1"/>
        <v>0</v>
      </c>
      <c r="M21" s="673">
        <f t="shared" si="2"/>
        <v>0</v>
      </c>
      <c r="N21" s="1332">
        <v>0.2</v>
      </c>
      <c r="O21" s="1333" t="str">
        <f t="shared" si="3"/>
        <v/>
      </c>
      <c r="P21" s="1573"/>
    </row>
    <row r="22" spans="2:16">
      <c r="B22" s="1331"/>
      <c r="C22" s="798"/>
      <c r="D22" s="678"/>
      <c r="E22" s="680"/>
      <c r="F22" s="679"/>
      <c r="G22" s="677"/>
      <c r="H22" s="677"/>
      <c r="I22" s="677"/>
      <c r="J22" s="1605">
        <f t="shared" si="0"/>
        <v>0</v>
      </c>
      <c r="K22" s="675"/>
      <c r="L22" s="1605">
        <f t="shared" si="1"/>
        <v>0</v>
      </c>
      <c r="M22" s="673">
        <f t="shared" si="2"/>
        <v>0</v>
      </c>
      <c r="N22" s="1332">
        <v>0.2</v>
      </c>
      <c r="O22" s="1333" t="str">
        <f t="shared" si="3"/>
        <v/>
      </c>
      <c r="P22" s="1573"/>
    </row>
    <row r="23" spans="2:16">
      <c r="B23" s="1331"/>
      <c r="C23" s="798"/>
      <c r="D23" s="678"/>
      <c r="E23" s="680"/>
      <c r="F23" s="679"/>
      <c r="G23" s="677"/>
      <c r="H23" s="677"/>
      <c r="I23" s="677"/>
      <c r="J23" s="1605">
        <f t="shared" si="0"/>
        <v>0</v>
      </c>
      <c r="K23" s="675"/>
      <c r="L23" s="1605">
        <f t="shared" si="1"/>
        <v>0</v>
      </c>
      <c r="M23" s="673">
        <f t="shared" si="2"/>
        <v>0</v>
      </c>
      <c r="N23" s="1332">
        <v>0.2</v>
      </c>
      <c r="O23" s="1333" t="str">
        <f t="shared" si="3"/>
        <v/>
      </c>
      <c r="P23" s="1573"/>
    </row>
    <row r="24" spans="2:16">
      <c r="B24" s="1331"/>
      <c r="C24" s="799"/>
      <c r="D24" s="680"/>
      <c r="E24" s="680"/>
      <c r="F24" s="679"/>
      <c r="G24" s="677"/>
      <c r="H24" s="677"/>
      <c r="I24" s="677"/>
      <c r="J24" s="1605">
        <f t="shared" si="0"/>
        <v>0</v>
      </c>
      <c r="K24" s="675"/>
      <c r="L24" s="1605">
        <f t="shared" si="1"/>
        <v>0</v>
      </c>
      <c r="M24" s="673">
        <f t="shared" si="2"/>
        <v>0</v>
      </c>
      <c r="N24" s="1332">
        <v>0.2</v>
      </c>
      <c r="O24" s="1333" t="str">
        <f t="shared" si="3"/>
        <v/>
      </c>
      <c r="P24" s="1573"/>
    </row>
    <row r="25" spans="2:16">
      <c r="B25" s="1331"/>
      <c r="C25" s="799"/>
      <c r="D25" s="680"/>
      <c r="E25" s="680"/>
      <c r="F25" s="679"/>
      <c r="G25" s="677"/>
      <c r="H25" s="677"/>
      <c r="I25" s="677"/>
      <c r="J25" s="1605">
        <f t="shared" si="0"/>
        <v>0</v>
      </c>
      <c r="K25" s="675"/>
      <c r="L25" s="1605">
        <f t="shared" si="1"/>
        <v>0</v>
      </c>
      <c r="M25" s="673">
        <f t="shared" si="2"/>
        <v>0</v>
      </c>
      <c r="N25" s="1332">
        <v>0.2</v>
      </c>
      <c r="O25" s="1333" t="str">
        <f t="shared" si="3"/>
        <v/>
      </c>
      <c r="P25" s="1573"/>
    </row>
    <row r="26" spans="2:16">
      <c r="B26" s="1331"/>
      <c r="C26" s="799"/>
      <c r="D26" s="680"/>
      <c r="E26" s="680"/>
      <c r="F26" s="679"/>
      <c r="G26" s="677"/>
      <c r="H26" s="677"/>
      <c r="I26" s="677"/>
      <c r="J26" s="1605">
        <f t="shared" si="0"/>
        <v>0</v>
      </c>
      <c r="K26" s="675"/>
      <c r="L26" s="1605">
        <f t="shared" si="1"/>
        <v>0</v>
      </c>
      <c r="M26" s="673">
        <f t="shared" si="2"/>
        <v>0</v>
      </c>
      <c r="N26" s="1332">
        <v>0.2</v>
      </c>
      <c r="O26" s="1333" t="str">
        <f t="shared" si="3"/>
        <v/>
      </c>
      <c r="P26" s="1573"/>
    </row>
    <row r="27" spans="2:16">
      <c r="B27" s="1331"/>
      <c r="C27" s="799"/>
      <c r="D27" s="680"/>
      <c r="E27" s="680"/>
      <c r="F27" s="679"/>
      <c r="G27" s="677"/>
      <c r="H27" s="677"/>
      <c r="I27" s="677"/>
      <c r="J27" s="1605">
        <f t="shared" si="0"/>
        <v>0</v>
      </c>
      <c r="K27" s="675"/>
      <c r="L27" s="1605">
        <f t="shared" si="1"/>
        <v>0</v>
      </c>
      <c r="M27" s="673">
        <f t="shared" si="2"/>
        <v>0</v>
      </c>
      <c r="N27" s="1332">
        <v>0.2</v>
      </c>
      <c r="O27" s="1333" t="str">
        <f t="shared" si="3"/>
        <v/>
      </c>
      <c r="P27" s="1573"/>
    </row>
    <row r="28" spans="2:16">
      <c r="B28" s="1331"/>
      <c r="C28" s="799"/>
      <c r="D28" s="680"/>
      <c r="E28" s="680"/>
      <c r="F28" s="679"/>
      <c r="G28" s="677"/>
      <c r="H28" s="677"/>
      <c r="I28" s="677"/>
      <c r="J28" s="1605">
        <f t="shared" si="0"/>
        <v>0</v>
      </c>
      <c r="K28" s="675"/>
      <c r="L28" s="1605">
        <f t="shared" si="1"/>
        <v>0</v>
      </c>
      <c r="M28" s="673">
        <f t="shared" si="2"/>
        <v>0</v>
      </c>
      <c r="N28" s="1332">
        <v>0.2</v>
      </c>
      <c r="O28" s="1333" t="str">
        <f t="shared" si="3"/>
        <v/>
      </c>
      <c r="P28" s="1573"/>
    </row>
    <row r="29" spans="2:16">
      <c r="B29" s="1331"/>
      <c r="C29" s="799"/>
      <c r="D29" s="680"/>
      <c r="E29" s="680"/>
      <c r="F29" s="679"/>
      <c r="G29" s="677"/>
      <c r="H29" s="677"/>
      <c r="I29" s="677"/>
      <c r="J29" s="1605">
        <f t="shared" si="0"/>
        <v>0</v>
      </c>
      <c r="K29" s="675"/>
      <c r="L29" s="1605">
        <f t="shared" si="1"/>
        <v>0</v>
      </c>
      <c r="M29" s="673">
        <f t="shared" si="2"/>
        <v>0</v>
      </c>
      <c r="N29" s="1332">
        <v>0.2</v>
      </c>
      <c r="O29" s="1333" t="str">
        <f t="shared" si="3"/>
        <v/>
      </c>
      <c r="P29" s="1573"/>
    </row>
    <row r="30" spans="2:16">
      <c r="B30" s="1331"/>
      <c r="C30" s="799"/>
      <c r="D30" s="680"/>
      <c r="E30" s="680"/>
      <c r="F30" s="679"/>
      <c r="G30" s="677"/>
      <c r="H30" s="677"/>
      <c r="I30" s="677"/>
      <c r="J30" s="1605">
        <f t="shared" si="0"/>
        <v>0</v>
      </c>
      <c r="K30" s="675"/>
      <c r="L30" s="1605">
        <f t="shared" si="1"/>
        <v>0</v>
      </c>
      <c r="M30" s="673">
        <f t="shared" si="2"/>
        <v>0</v>
      </c>
      <c r="N30" s="1332">
        <v>0.2</v>
      </c>
      <c r="O30" s="1333" t="str">
        <f t="shared" si="3"/>
        <v/>
      </c>
      <c r="P30" s="1573"/>
    </row>
    <row r="31" spans="2:16">
      <c r="B31" s="1331"/>
      <c r="C31" s="799"/>
      <c r="D31" s="680"/>
      <c r="E31" s="680"/>
      <c r="F31" s="679"/>
      <c r="G31" s="677"/>
      <c r="H31" s="677"/>
      <c r="I31" s="677"/>
      <c r="J31" s="1605">
        <f t="shared" si="0"/>
        <v>0</v>
      </c>
      <c r="K31" s="675"/>
      <c r="L31" s="1605">
        <f t="shared" si="1"/>
        <v>0</v>
      </c>
      <c r="M31" s="673">
        <f t="shared" si="2"/>
        <v>0</v>
      </c>
      <c r="N31" s="1332">
        <v>0.2</v>
      </c>
      <c r="O31" s="1333" t="str">
        <f t="shared" si="3"/>
        <v/>
      </c>
      <c r="P31" s="1573"/>
    </row>
    <row r="32" spans="2:16">
      <c r="B32" s="1331"/>
      <c r="C32" s="799"/>
      <c r="D32" s="680"/>
      <c r="E32" s="680"/>
      <c r="F32" s="679"/>
      <c r="G32" s="677"/>
      <c r="H32" s="677"/>
      <c r="I32" s="677"/>
      <c r="J32" s="1605">
        <f t="shared" si="0"/>
        <v>0</v>
      </c>
      <c r="K32" s="675"/>
      <c r="L32" s="1605">
        <f t="shared" si="1"/>
        <v>0</v>
      </c>
      <c r="M32" s="673">
        <f t="shared" si="2"/>
        <v>0</v>
      </c>
      <c r="N32" s="1332">
        <v>0.2</v>
      </c>
      <c r="O32" s="1333" t="str">
        <f t="shared" si="3"/>
        <v/>
      </c>
      <c r="P32" s="1573"/>
    </row>
    <row r="33" spans="2:16">
      <c r="B33" s="1331"/>
      <c r="C33" s="799"/>
      <c r="D33" s="680"/>
      <c r="E33" s="680"/>
      <c r="F33" s="679"/>
      <c r="G33" s="677"/>
      <c r="H33" s="677"/>
      <c r="I33" s="677"/>
      <c r="J33" s="1605">
        <f t="shared" si="0"/>
        <v>0</v>
      </c>
      <c r="K33" s="675"/>
      <c r="L33" s="1605">
        <f t="shared" si="1"/>
        <v>0</v>
      </c>
      <c r="M33" s="673">
        <f t="shared" si="2"/>
        <v>0</v>
      </c>
      <c r="N33" s="1332">
        <v>0.2</v>
      </c>
      <c r="O33" s="1333" t="str">
        <f t="shared" si="3"/>
        <v/>
      </c>
      <c r="P33" s="1573"/>
    </row>
    <row r="34" spans="2:16">
      <c r="B34" s="1331"/>
      <c r="C34" s="799"/>
      <c r="D34" s="680"/>
      <c r="E34" s="680"/>
      <c r="F34" s="679"/>
      <c r="G34" s="677"/>
      <c r="H34" s="677"/>
      <c r="I34" s="677"/>
      <c r="J34" s="1605">
        <f t="shared" si="0"/>
        <v>0</v>
      </c>
      <c r="K34" s="675"/>
      <c r="L34" s="1605">
        <f t="shared" si="1"/>
        <v>0</v>
      </c>
      <c r="M34" s="673">
        <f t="shared" si="2"/>
        <v>0</v>
      </c>
      <c r="N34" s="1332">
        <v>0.2</v>
      </c>
      <c r="O34" s="1333" t="str">
        <f t="shared" si="3"/>
        <v/>
      </c>
      <c r="P34" s="1573"/>
    </row>
    <row r="35" spans="2:16">
      <c r="B35" s="1331"/>
      <c r="C35" s="799"/>
      <c r="D35" s="680"/>
      <c r="E35" s="680"/>
      <c r="F35" s="679"/>
      <c r="G35" s="677"/>
      <c r="H35" s="677"/>
      <c r="I35" s="677"/>
      <c r="J35" s="1605">
        <f t="shared" si="0"/>
        <v>0</v>
      </c>
      <c r="K35" s="675"/>
      <c r="L35" s="1605">
        <f t="shared" si="1"/>
        <v>0</v>
      </c>
      <c r="M35" s="673">
        <f t="shared" si="2"/>
        <v>0</v>
      </c>
      <c r="N35" s="1332">
        <v>0.2</v>
      </c>
      <c r="O35" s="1333" t="str">
        <f t="shared" si="3"/>
        <v/>
      </c>
      <c r="P35" s="1573"/>
    </row>
    <row r="36" spans="2:16">
      <c r="B36" s="1331"/>
      <c r="C36" s="799"/>
      <c r="D36" s="680"/>
      <c r="E36" s="680"/>
      <c r="F36" s="679"/>
      <c r="G36" s="677"/>
      <c r="H36" s="677"/>
      <c r="I36" s="677"/>
      <c r="J36" s="1605">
        <f t="shared" si="0"/>
        <v>0</v>
      </c>
      <c r="K36" s="675"/>
      <c r="L36" s="1605">
        <f t="shared" si="1"/>
        <v>0</v>
      </c>
      <c r="M36" s="673">
        <f t="shared" si="2"/>
        <v>0</v>
      </c>
      <c r="N36" s="1332">
        <v>0.2</v>
      </c>
      <c r="O36" s="1333" t="str">
        <f t="shared" si="3"/>
        <v/>
      </c>
      <c r="P36" s="1573"/>
    </row>
    <row r="37" spans="2:16">
      <c r="B37" s="1331"/>
      <c r="C37" s="799"/>
      <c r="D37" s="680"/>
      <c r="E37" s="680"/>
      <c r="F37" s="679"/>
      <c r="G37" s="677"/>
      <c r="H37" s="677"/>
      <c r="I37" s="677"/>
      <c r="J37" s="1605">
        <f t="shared" si="0"/>
        <v>0</v>
      </c>
      <c r="K37" s="675"/>
      <c r="L37" s="1605">
        <f t="shared" si="1"/>
        <v>0</v>
      </c>
      <c r="M37" s="673">
        <f t="shared" si="2"/>
        <v>0</v>
      </c>
      <c r="N37" s="1332">
        <v>0.2</v>
      </c>
      <c r="O37" s="1333" t="str">
        <f t="shared" si="3"/>
        <v/>
      </c>
      <c r="P37" s="1573"/>
    </row>
    <row r="38" spans="2:16">
      <c r="B38" s="1331"/>
      <c r="C38" s="799"/>
      <c r="D38" s="680"/>
      <c r="E38" s="680"/>
      <c r="F38" s="679"/>
      <c r="G38" s="677"/>
      <c r="H38" s="677"/>
      <c r="I38" s="677"/>
      <c r="J38" s="1605">
        <f t="shared" si="0"/>
        <v>0</v>
      </c>
      <c r="K38" s="675"/>
      <c r="L38" s="1605">
        <f t="shared" si="1"/>
        <v>0</v>
      </c>
      <c r="M38" s="673">
        <f t="shared" si="2"/>
        <v>0</v>
      </c>
      <c r="N38" s="1332">
        <v>0.2</v>
      </c>
      <c r="O38" s="1333" t="str">
        <f t="shared" si="3"/>
        <v/>
      </c>
      <c r="P38" s="1573"/>
    </row>
    <row r="39" spans="2:16">
      <c r="B39" s="1331"/>
      <c r="C39" s="799"/>
      <c r="D39" s="680"/>
      <c r="E39" s="680"/>
      <c r="F39" s="679"/>
      <c r="G39" s="677"/>
      <c r="H39" s="677"/>
      <c r="I39" s="677"/>
      <c r="J39" s="1605">
        <f t="shared" si="0"/>
        <v>0</v>
      </c>
      <c r="K39" s="675"/>
      <c r="L39" s="1605">
        <f t="shared" si="1"/>
        <v>0</v>
      </c>
      <c r="M39" s="673">
        <f t="shared" si="2"/>
        <v>0</v>
      </c>
      <c r="N39" s="1332">
        <v>0.2</v>
      </c>
      <c r="O39" s="1333" t="str">
        <f t="shared" si="3"/>
        <v/>
      </c>
      <c r="P39" s="1573"/>
    </row>
    <row r="40" spans="2:16">
      <c r="B40" s="1331"/>
      <c r="C40" s="799"/>
      <c r="D40" s="680"/>
      <c r="E40" s="680"/>
      <c r="F40" s="679"/>
      <c r="G40" s="677"/>
      <c r="H40" s="677"/>
      <c r="I40" s="677"/>
      <c r="J40" s="1605">
        <f t="shared" ref="J40:J45" si="4">H40+I40</f>
        <v>0</v>
      </c>
      <c r="K40" s="675"/>
      <c r="L40" s="1605">
        <f t="shared" ref="L40:L45" si="5">J40*K40</f>
        <v>0</v>
      </c>
      <c r="M40" s="673">
        <f t="shared" ref="M40:M45" si="6">L40/$D$9</f>
        <v>0</v>
      </c>
      <c r="N40" s="1332">
        <v>0.2</v>
      </c>
      <c r="O40" s="1333" t="str">
        <f t="shared" si="3"/>
        <v/>
      </c>
      <c r="P40" s="1573"/>
    </row>
    <row r="41" spans="2:16">
      <c r="B41" s="1331"/>
      <c r="C41" s="799"/>
      <c r="D41" s="680"/>
      <c r="E41" s="680"/>
      <c r="F41" s="679"/>
      <c r="G41" s="677"/>
      <c r="H41" s="677"/>
      <c r="I41" s="677"/>
      <c r="J41" s="1605">
        <f t="shared" si="4"/>
        <v>0</v>
      </c>
      <c r="K41" s="675"/>
      <c r="L41" s="1605">
        <f t="shared" si="5"/>
        <v>0</v>
      </c>
      <c r="M41" s="673">
        <f t="shared" si="6"/>
        <v>0</v>
      </c>
      <c r="N41" s="1332">
        <v>0.2</v>
      </c>
      <c r="O41" s="1333" t="str">
        <f t="shared" si="3"/>
        <v/>
      </c>
      <c r="P41" s="1573"/>
    </row>
    <row r="42" spans="2:16">
      <c r="B42" s="1331"/>
      <c r="C42" s="799"/>
      <c r="D42" s="680"/>
      <c r="E42" s="680"/>
      <c r="F42" s="679"/>
      <c r="G42" s="677"/>
      <c r="H42" s="677"/>
      <c r="I42" s="677"/>
      <c r="J42" s="1605">
        <f t="shared" si="4"/>
        <v>0</v>
      </c>
      <c r="K42" s="675"/>
      <c r="L42" s="1605">
        <f t="shared" si="5"/>
        <v>0</v>
      </c>
      <c r="M42" s="673">
        <f t="shared" si="6"/>
        <v>0</v>
      </c>
      <c r="N42" s="1332">
        <v>0.2</v>
      </c>
      <c r="O42" s="1333" t="str">
        <f t="shared" si="3"/>
        <v/>
      </c>
      <c r="P42" s="1573"/>
    </row>
    <row r="43" spans="2:16">
      <c r="B43" s="1331"/>
      <c r="C43" s="799"/>
      <c r="D43" s="680"/>
      <c r="E43" s="680"/>
      <c r="F43" s="679"/>
      <c r="G43" s="677"/>
      <c r="H43" s="677"/>
      <c r="I43" s="677"/>
      <c r="J43" s="1605">
        <f t="shared" si="4"/>
        <v>0</v>
      </c>
      <c r="K43" s="675"/>
      <c r="L43" s="1605">
        <f t="shared" si="5"/>
        <v>0</v>
      </c>
      <c r="M43" s="673">
        <f t="shared" si="6"/>
        <v>0</v>
      </c>
      <c r="N43" s="1332">
        <v>0.2</v>
      </c>
      <c r="O43" s="1333" t="str">
        <f t="shared" si="3"/>
        <v/>
      </c>
      <c r="P43" s="1573"/>
    </row>
    <row r="44" spans="2:16">
      <c r="B44" s="1331"/>
      <c r="C44" s="798"/>
      <c r="D44" s="678"/>
      <c r="E44" s="680"/>
      <c r="F44" s="679"/>
      <c r="G44" s="677"/>
      <c r="H44" s="677"/>
      <c r="I44" s="677"/>
      <c r="J44" s="1605">
        <f t="shared" si="4"/>
        <v>0</v>
      </c>
      <c r="K44" s="675"/>
      <c r="L44" s="1605">
        <f t="shared" si="5"/>
        <v>0</v>
      </c>
      <c r="M44" s="673">
        <f t="shared" si="6"/>
        <v>0</v>
      </c>
      <c r="N44" s="1332">
        <v>0.2</v>
      </c>
      <c r="O44" s="1333" t="str">
        <f t="shared" si="3"/>
        <v/>
      </c>
      <c r="P44" s="1573"/>
    </row>
    <row r="45" spans="2:16">
      <c r="B45" s="1331"/>
      <c r="C45" s="798"/>
      <c r="D45" s="678"/>
      <c r="E45" s="680"/>
      <c r="F45" s="679"/>
      <c r="G45" s="677"/>
      <c r="H45" s="677"/>
      <c r="I45" s="677"/>
      <c r="J45" s="1605">
        <f t="shared" si="4"/>
        <v>0</v>
      </c>
      <c r="K45" s="675"/>
      <c r="L45" s="1605">
        <f t="shared" si="5"/>
        <v>0</v>
      </c>
      <c r="M45" s="673">
        <f t="shared" si="6"/>
        <v>0</v>
      </c>
      <c r="N45" s="1332">
        <v>0.2</v>
      </c>
      <c r="O45" s="1333" t="str">
        <f t="shared" si="3"/>
        <v/>
      </c>
      <c r="P45" s="1573"/>
    </row>
    <row r="46" spans="2:16">
      <c r="B46" s="1331"/>
      <c r="C46" s="798"/>
      <c r="D46" s="678"/>
      <c r="E46" s="680"/>
      <c r="F46" s="679"/>
      <c r="G46" s="677"/>
      <c r="H46" s="677"/>
      <c r="I46" s="677"/>
      <c r="J46" s="1605">
        <f t="shared" ref="J46:J1000" si="7">H46+I46</f>
        <v>0</v>
      </c>
      <c r="K46" s="675"/>
      <c r="L46" s="1605">
        <f t="shared" ref="L46:L1000" si="8">J46*K46</f>
        <v>0</v>
      </c>
      <c r="M46" s="673">
        <f t="shared" ref="M46:M1000" si="9">L46/$D$9</f>
        <v>0</v>
      </c>
      <c r="N46" s="1332">
        <v>0.2</v>
      </c>
      <c r="O46" s="1333" t="str">
        <f t="shared" ref="O46:O1000" si="10">IF((M46-N46)&gt;0,M46-N46,"")</f>
        <v/>
      </c>
      <c r="P46" s="1573"/>
    </row>
    <row r="47" spans="2:16">
      <c r="B47" s="1331"/>
      <c r="C47" s="798"/>
      <c r="D47" s="678"/>
      <c r="E47" s="680"/>
      <c r="F47" s="679"/>
      <c r="G47" s="677"/>
      <c r="H47" s="677"/>
      <c r="I47" s="677"/>
      <c r="J47" s="1605">
        <f t="shared" si="7"/>
        <v>0</v>
      </c>
      <c r="K47" s="675"/>
      <c r="L47" s="1605">
        <f t="shared" si="8"/>
        <v>0</v>
      </c>
      <c r="M47" s="673">
        <f t="shared" si="9"/>
        <v>0</v>
      </c>
      <c r="N47" s="1332">
        <v>0.2</v>
      </c>
      <c r="O47" s="1333" t="str">
        <f t="shared" si="10"/>
        <v/>
      </c>
      <c r="P47" s="1573"/>
    </row>
    <row r="48" spans="2:16">
      <c r="B48" s="1331"/>
      <c r="C48" s="798"/>
      <c r="D48" s="678"/>
      <c r="E48" s="680"/>
      <c r="F48" s="679"/>
      <c r="G48" s="677"/>
      <c r="H48" s="677"/>
      <c r="I48" s="677"/>
      <c r="J48" s="1605">
        <f t="shared" si="7"/>
        <v>0</v>
      </c>
      <c r="K48" s="675"/>
      <c r="L48" s="1605">
        <f t="shared" si="8"/>
        <v>0</v>
      </c>
      <c r="M48" s="673">
        <f t="shared" si="9"/>
        <v>0</v>
      </c>
      <c r="N48" s="1332">
        <v>0.2</v>
      </c>
      <c r="O48" s="1333" t="str">
        <f t="shared" si="10"/>
        <v/>
      </c>
      <c r="P48" s="1573"/>
    </row>
    <row r="49" spans="2:16">
      <c r="B49" s="1331"/>
      <c r="C49" s="798"/>
      <c r="D49" s="678"/>
      <c r="E49" s="680"/>
      <c r="F49" s="679"/>
      <c r="G49" s="677"/>
      <c r="H49" s="677"/>
      <c r="I49" s="677"/>
      <c r="J49" s="1605">
        <f t="shared" si="7"/>
        <v>0</v>
      </c>
      <c r="K49" s="675"/>
      <c r="L49" s="1605">
        <f t="shared" si="8"/>
        <v>0</v>
      </c>
      <c r="M49" s="673">
        <f t="shared" si="9"/>
        <v>0</v>
      </c>
      <c r="N49" s="1332">
        <v>0.2</v>
      </c>
      <c r="O49" s="1333" t="str">
        <f t="shared" si="10"/>
        <v/>
      </c>
      <c r="P49" s="1573"/>
    </row>
    <row r="50" spans="2:16">
      <c r="B50" s="1331"/>
      <c r="C50" s="798"/>
      <c r="D50" s="678"/>
      <c r="E50" s="680"/>
      <c r="F50" s="679"/>
      <c r="G50" s="677"/>
      <c r="H50" s="677"/>
      <c r="I50" s="677"/>
      <c r="J50" s="1605">
        <f t="shared" si="7"/>
        <v>0</v>
      </c>
      <c r="K50" s="675"/>
      <c r="L50" s="1605">
        <f t="shared" si="8"/>
        <v>0</v>
      </c>
      <c r="M50" s="673">
        <f t="shared" si="9"/>
        <v>0</v>
      </c>
      <c r="N50" s="1332">
        <v>0.2</v>
      </c>
      <c r="O50" s="1333" t="str">
        <f t="shared" si="10"/>
        <v/>
      </c>
      <c r="P50" s="1573"/>
    </row>
    <row r="51" spans="2:16">
      <c r="B51" s="1331"/>
      <c r="C51" s="798"/>
      <c r="D51" s="678"/>
      <c r="E51" s="680"/>
      <c r="F51" s="679"/>
      <c r="G51" s="677"/>
      <c r="H51" s="677"/>
      <c r="I51" s="677"/>
      <c r="J51" s="1605">
        <f t="shared" si="7"/>
        <v>0</v>
      </c>
      <c r="K51" s="675"/>
      <c r="L51" s="1605">
        <f t="shared" si="8"/>
        <v>0</v>
      </c>
      <c r="M51" s="673">
        <f t="shared" si="9"/>
        <v>0</v>
      </c>
      <c r="N51" s="1332">
        <v>0.2</v>
      </c>
      <c r="O51" s="1333" t="str">
        <f t="shared" si="10"/>
        <v/>
      </c>
      <c r="P51" s="1573"/>
    </row>
    <row r="52" spans="2:16">
      <c r="B52" s="1331"/>
      <c r="C52" s="798"/>
      <c r="D52" s="678"/>
      <c r="E52" s="680"/>
      <c r="F52" s="679"/>
      <c r="G52" s="677"/>
      <c r="H52" s="677"/>
      <c r="I52" s="677"/>
      <c r="J52" s="1605">
        <f t="shared" si="7"/>
        <v>0</v>
      </c>
      <c r="K52" s="675"/>
      <c r="L52" s="1605">
        <f t="shared" si="8"/>
        <v>0</v>
      </c>
      <c r="M52" s="673">
        <f t="shared" si="9"/>
        <v>0</v>
      </c>
      <c r="N52" s="1332">
        <v>0.2</v>
      </c>
      <c r="O52" s="1333" t="str">
        <f t="shared" si="10"/>
        <v/>
      </c>
      <c r="P52" s="1573"/>
    </row>
    <row r="53" spans="2:16">
      <c r="B53" s="1331"/>
      <c r="C53" s="798"/>
      <c r="D53" s="678"/>
      <c r="E53" s="680"/>
      <c r="F53" s="679"/>
      <c r="G53" s="677"/>
      <c r="H53" s="677"/>
      <c r="I53" s="677"/>
      <c r="J53" s="1605">
        <f t="shared" ref="J53:J116" si="11">H53+I53</f>
        <v>0</v>
      </c>
      <c r="K53" s="675"/>
      <c r="L53" s="1605">
        <f t="shared" ref="L53:L116" si="12">J53*K53</f>
        <v>0</v>
      </c>
      <c r="M53" s="673">
        <f t="shared" ref="M53:M116" si="13">L53/$D$9</f>
        <v>0</v>
      </c>
      <c r="N53" s="1332">
        <v>0.2</v>
      </c>
      <c r="O53" s="1333" t="str">
        <f t="shared" ref="O53:O116" si="14">IF((M53-N53)&gt;0,M53-N53,"")</f>
        <v/>
      </c>
      <c r="P53" s="1573"/>
    </row>
    <row r="54" spans="2:16">
      <c r="B54" s="1331"/>
      <c r="C54" s="798"/>
      <c r="D54" s="678"/>
      <c r="E54" s="680"/>
      <c r="F54" s="679"/>
      <c r="G54" s="677"/>
      <c r="H54" s="677"/>
      <c r="I54" s="677"/>
      <c r="J54" s="1605">
        <f t="shared" si="11"/>
        <v>0</v>
      </c>
      <c r="K54" s="675"/>
      <c r="L54" s="1605">
        <f t="shared" si="12"/>
        <v>0</v>
      </c>
      <c r="M54" s="673">
        <f t="shared" si="13"/>
        <v>0</v>
      </c>
      <c r="N54" s="1332">
        <v>0.2</v>
      </c>
      <c r="O54" s="1333" t="str">
        <f t="shared" si="14"/>
        <v/>
      </c>
      <c r="P54" s="1573"/>
    </row>
    <row r="55" spans="2:16">
      <c r="B55" s="1331"/>
      <c r="C55" s="798"/>
      <c r="D55" s="678"/>
      <c r="E55" s="680"/>
      <c r="F55" s="679"/>
      <c r="G55" s="677"/>
      <c r="H55" s="677"/>
      <c r="I55" s="677"/>
      <c r="J55" s="1605">
        <f t="shared" si="11"/>
        <v>0</v>
      </c>
      <c r="K55" s="675"/>
      <c r="L55" s="1605">
        <f t="shared" si="12"/>
        <v>0</v>
      </c>
      <c r="M55" s="673">
        <f t="shared" si="13"/>
        <v>0</v>
      </c>
      <c r="N55" s="1332">
        <v>0.2</v>
      </c>
      <c r="O55" s="1333" t="str">
        <f t="shared" si="14"/>
        <v/>
      </c>
      <c r="P55" s="1573"/>
    </row>
    <row r="56" spans="2:16">
      <c r="B56" s="1331"/>
      <c r="C56" s="798"/>
      <c r="D56" s="678"/>
      <c r="E56" s="680"/>
      <c r="F56" s="679"/>
      <c r="G56" s="677"/>
      <c r="H56" s="677"/>
      <c r="I56" s="677"/>
      <c r="J56" s="1605">
        <f t="shared" si="11"/>
        <v>0</v>
      </c>
      <c r="K56" s="675"/>
      <c r="L56" s="1605">
        <f t="shared" si="12"/>
        <v>0</v>
      </c>
      <c r="M56" s="673">
        <f t="shared" si="13"/>
        <v>0</v>
      </c>
      <c r="N56" s="1332">
        <v>0.2</v>
      </c>
      <c r="O56" s="1333" t="str">
        <f t="shared" si="14"/>
        <v/>
      </c>
      <c r="P56" s="1573"/>
    </row>
    <row r="57" spans="2:16">
      <c r="B57" s="1331"/>
      <c r="C57" s="798"/>
      <c r="D57" s="678"/>
      <c r="E57" s="680"/>
      <c r="F57" s="679"/>
      <c r="G57" s="677"/>
      <c r="H57" s="677"/>
      <c r="I57" s="677"/>
      <c r="J57" s="1605">
        <f t="shared" si="11"/>
        <v>0</v>
      </c>
      <c r="K57" s="675"/>
      <c r="L57" s="1605">
        <f t="shared" si="12"/>
        <v>0</v>
      </c>
      <c r="M57" s="673">
        <f t="shared" si="13"/>
        <v>0</v>
      </c>
      <c r="N57" s="1332">
        <v>0.2</v>
      </c>
      <c r="O57" s="1333" t="str">
        <f t="shared" si="14"/>
        <v/>
      </c>
      <c r="P57" s="1573"/>
    </row>
    <row r="58" spans="2:16">
      <c r="B58" s="1331"/>
      <c r="C58" s="798"/>
      <c r="D58" s="678"/>
      <c r="E58" s="680"/>
      <c r="F58" s="679"/>
      <c r="G58" s="677"/>
      <c r="H58" s="677"/>
      <c r="I58" s="677"/>
      <c r="J58" s="1605">
        <f t="shared" si="11"/>
        <v>0</v>
      </c>
      <c r="K58" s="675"/>
      <c r="L58" s="1605">
        <f t="shared" si="12"/>
        <v>0</v>
      </c>
      <c r="M58" s="673">
        <f t="shared" si="13"/>
        <v>0</v>
      </c>
      <c r="N58" s="1332">
        <v>0.2</v>
      </c>
      <c r="O58" s="1333" t="str">
        <f t="shared" si="14"/>
        <v/>
      </c>
      <c r="P58" s="1573"/>
    </row>
    <row r="59" spans="2:16">
      <c r="B59" s="1331"/>
      <c r="C59" s="798"/>
      <c r="D59" s="678"/>
      <c r="E59" s="680"/>
      <c r="F59" s="679"/>
      <c r="G59" s="677"/>
      <c r="H59" s="677"/>
      <c r="I59" s="677"/>
      <c r="J59" s="1605">
        <f t="shared" si="11"/>
        <v>0</v>
      </c>
      <c r="K59" s="675"/>
      <c r="L59" s="1605">
        <f t="shared" si="12"/>
        <v>0</v>
      </c>
      <c r="M59" s="673">
        <f t="shared" si="13"/>
        <v>0</v>
      </c>
      <c r="N59" s="1332">
        <v>0.2</v>
      </c>
      <c r="O59" s="1333" t="str">
        <f t="shared" si="14"/>
        <v/>
      </c>
      <c r="P59" s="1573"/>
    </row>
    <row r="60" spans="2:16">
      <c r="B60" s="1331"/>
      <c r="C60" s="798"/>
      <c r="D60" s="678"/>
      <c r="E60" s="680"/>
      <c r="F60" s="679"/>
      <c r="G60" s="677"/>
      <c r="H60" s="677"/>
      <c r="I60" s="677"/>
      <c r="J60" s="1605">
        <f t="shared" si="11"/>
        <v>0</v>
      </c>
      <c r="K60" s="675"/>
      <c r="L60" s="1605">
        <f t="shared" si="12"/>
        <v>0</v>
      </c>
      <c r="M60" s="673">
        <f t="shared" si="13"/>
        <v>0</v>
      </c>
      <c r="N60" s="1332">
        <v>0.2</v>
      </c>
      <c r="O60" s="1333" t="str">
        <f t="shared" si="14"/>
        <v/>
      </c>
      <c r="P60" s="1573"/>
    </row>
    <row r="61" spans="2:16">
      <c r="B61" s="1331"/>
      <c r="C61" s="798"/>
      <c r="D61" s="678"/>
      <c r="E61" s="680"/>
      <c r="F61" s="679"/>
      <c r="G61" s="677"/>
      <c r="H61" s="677"/>
      <c r="I61" s="677"/>
      <c r="J61" s="1605">
        <f t="shared" si="11"/>
        <v>0</v>
      </c>
      <c r="K61" s="675"/>
      <c r="L61" s="1605">
        <f t="shared" si="12"/>
        <v>0</v>
      </c>
      <c r="M61" s="673">
        <f t="shared" si="13"/>
        <v>0</v>
      </c>
      <c r="N61" s="1332">
        <v>0.2</v>
      </c>
      <c r="O61" s="1333" t="str">
        <f t="shared" si="14"/>
        <v/>
      </c>
      <c r="P61" s="1573"/>
    </row>
    <row r="62" spans="2:16">
      <c r="B62" s="1331"/>
      <c r="C62" s="798"/>
      <c r="D62" s="678"/>
      <c r="E62" s="680"/>
      <c r="F62" s="679"/>
      <c r="G62" s="677"/>
      <c r="H62" s="677"/>
      <c r="I62" s="677"/>
      <c r="J62" s="1605">
        <f t="shared" si="11"/>
        <v>0</v>
      </c>
      <c r="K62" s="675"/>
      <c r="L62" s="1605">
        <f t="shared" si="12"/>
        <v>0</v>
      </c>
      <c r="M62" s="673">
        <f t="shared" si="13"/>
        <v>0</v>
      </c>
      <c r="N62" s="1332">
        <v>0.2</v>
      </c>
      <c r="O62" s="1333" t="str">
        <f t="shared" si="14"/>
        <v/>
      </c>
      <c r="P62" s="1573"/>
    </row>
    <row r="63" spans="2:16">
      <c r="B63" s="1331"/>
      <c r="C63" s="798"/>
      <c r="D63" s="678"/>
      <c r="E63" s="680"/>
      <c r="F63" s="679"/>
      <c r="G63" s="677"/>
      <c r="H63" s="677"/>
      <c r="I63" s="677"/>
      <c r="J63" s="1605">
        <f t="shared" si="11"/>
        <v>0</v>
      </c>
      <c r="K63" s="675"/>
      <c r="L63" s="1605">
        <f t="shared" si="12"/>
        <v>0</v>
      </c>
      <c r="M63" s="673">
        <f t="shared" si="13"/>
        <v>0</v>
      </c>
      <c r="N63" s="1332">
        <v>0.2</v>
      </c>
      <c r="O63" s="1333" t="str">
        <f t="shared" si="14"/>
        <v/>
      </c>
      <c r="P63" s="1573"/>
    </row>
    <row r="64" spans="2:16">
      <c r="B64" s="1331"/>
      <c r="C64" s="798"/>
      <c r="D64" s="678"/>
      <c r="E64" s="680"/>
      <c r="F64" s="679"/>
      <c r="G64" s="677"/>
      <c r="H64" s="677"/>
      <c r="I64" s="677"/>
      <c r="J64" s="1605">
        <f t="shared" si="11"/>
        <v>0</v>
      </c>
      <c r="K64" s="675"/>
      <c r="L64" s="1605">
        <f t="shared" si="12"/>
        <v>0</v>
      </c>
      <c r="M64" s="673">
        <f t="shared" si="13"/>
        <v>0</v>
      </c>
      <c r="N64" s="1332">
        <v>0.2</v>
      </c>
      <c r="O64" s="1333" t="str">
        <f t="shared" si="14"/>
        <v/>
      </c>
      <c r="P64" s="1573"/>
    </row>
    <row r="65" spans="2:16">
      <c r="B65" s="1331"/>
      <c r="C65" s="798"/>
      <c r="D65" s="678"/>
      <c r="E65" s="680"/>
      <c r="F65" s="679"/>
      <c r="G65" s="677"/>
      <c r="H65" s="677"/>
      <c r="I65" s="677"/>
      <c r="J65" s="1605">
        <f t="shared" si="11"/>
        <v>0</v>
      </c>
      <c r="K65" s="675"/>
      <c r="L65" s="1605">
        <f t="shared" si="12"/>
        <v>0</v>
      </c>
      <c r="M65" s="673">
        <f t="shared" si="13"/>
        <v>0</v>
      </c>
      <c r="N65" s="1332">
        <v>0.2</v>
      </c>
      <c r="O65" s="1333" t="str">
        <f t="shared" si="14"/>
        <v/>
      </c>
      <c r="P65" s="1573"/>
    </row>
    <row r="66" spans="2:16">
      <c r="B66" s="1331"/>
      <c r="C66" s="798"/>
      <c r="D66" s="678"/>
      <c r="E66" s="680"/>
      <c r="F66" s="679"/>
      <c r="G66" s="677"/>
      <c r="H66" s="677"/>
      <c r="I66" s="677"/>
      <c r="J66" s="1605">
        <f t="shared" si="11"/>
        <v>0</v>
      </c>
      <c r="K66" s="675"/>
      <c r="L66" s="1605">
        <f t="shared" si="12"/>
        <v>0</v>
      </c>
      <c r="M66" s="673">
        <f t="shared" si="13"/>
        <v>0</v>
      </c>
      <c r="N66" s="1332">
        <v>0.2</v>
      </c>
      <c r="O66" s="1333" t="str">
        <f t="shared" si="14"/>
        <v/>
      </c>
      <c r="P66" s="1573"/>
    </row>
    <row r="67" spans="2:16">
      <c r="B67" s="1331"/>
      <c r="C67" s="798"/>
      <c r="D67" s="678"/>
      <c r="E67" s="680"/>
      <c r="F67" s="679"/>
      <c r="G67" s="677"/>
      <c r="H67" s="677"/>
      <c r="I67" s="677"/>
      <c r="J67" s="1605">
        <f t="shared" si="11"/>
        <v>0</v>
      </c>
      <c r="K67" s="675"/>
      <c r="L67" s="1605">
        <f t="shared" si="12"/>
        <v>0</v>
      </c>
      <c r="M67" s="673">
        <f t="shared" si="13"/>
        <v>0</v>
      </c>
      <c r="N67" s="1332">
        <v>0.2</v>
      </c>
      <c r="O67" s="1333" t="str">
        <f t="shared" si="14"/>
        <v/>
      </c>
      <c r="P67" s="1573"/>
    </row>
    <row r="68" spans="2:16">
      <c r="B68" s="1331"/>
      <c r="C68" s="798"/>
      <c r="D68" s="678"/>
      <c r="E68" s="680"/>
      <c r="F68" s="679"/>
      <c r="G68" s="677"/>
      <c r="H68" s="677"/>
      <c r="I68" s="677"/>
      <c r="J68" s="1605">
        <f t="shared" si="11"/>
        <v>0</v>
      </c>
      <c r="K68" s="675"/>
      <c r="L68" s="1605">
        <f t="shared" si="12"/>
        <v>0</v>
      </c>
      <c r="M68" s="673">
        <f t="shared" si="13"/>
        <v>0</v>
      </c>
      <c r="N68" s="1332">
        <v>0.2</v>
      </c>
      <c r="O68" s="1333" t="str">
        <f t="shared" si="14"/>
        <v/>
      </c>
      <c r="P68" s="1573"/>
    </row>
    <row r="69" spans="2:16">
      <c r="B69" s="1331"/>
      <c r="C69" s="798"/>
      <c r="D69" s="678"/>
      <c r="E69" s="680"/>
      <c r="F69" s="679"/>
      <c r="G69" s="677"/>
      <c r="H69" s="677"/>
      <c r="I69" s="677"/>
      <c r="J69" s="1605">
        <f t="shared" si="11"/>
        <v>0</v>
      </c>
      <c r="K69" s="675"/>
      <c r="L69" s="1605">
        <f t="shared" si="12"/>
        <v>0</v>
      </c>
      <c r="M69" s="673">
        <f t="shared" si="13"/>
        <v>0</v>
      </c>
      <c r="N69" s="1332">
        <v>0.2</v>
      </c>
      <c r="O69" s="1333" t="str">
        <f t="shared" si="14"/>
        <v/>
      </c>
      <c r="P69" s="1573"/>
    </row>
    <row r="70" spans="2:16">
      <c r="B70" s="1331"/>
      <c r="C70" s="798"/>
      <c r="D70" s="678"/>
      <c r="E70" s="680"/>
      <c r="F70" s="679"/>
      <c r="G70" s="677"/>
      <c r="H70" s="677"/>
      <c r="I70" s="677"/>
      <c r="J70" s="1605">
        <f t="shared" si="11"/>
        <v>0</v>
      </c>
      <c r="K70" s="675"/>
      <c r="L70" s="1605">
        <f t="shared" si="12"/>
        <v>0</v>
      </c>
      <c r="M70" s="673">
        <f t="shared" si="13"/>
        <v>0</v>
      </c>
      <c r="N70" s="1332">
        <v>0.2</v>
      </c>
      <c r="O70" s="1333" t="str">
        <f t="shared" si="14"/>
        <v/>
      </c>
      <c r="P70" s="1573"/>
    </row>
    <row r="71" spans="2:16">
      <c r="B71" s="1331"/>
      <c r="C71" s="798"/>
      <c r="D71" s="678"/>
      <c r="E71" s="680"/>
      <c r="F71" s="679"/>
      <c r="G71" s="677"/>
      <c r="H71" s="677"/>
      <c r="I71" s="677"/>
      <c r="J71" s="1605">
        <f t="shared" si="11"/>
        <v>0</v>
      </c>
      <c r="K71" s="675"/>
      <c r="L71" s="1605">
        <f t="shared" si="12"/>
        <v>0</v>
      </c>
      <c r="M71" s="673">
        <f t="shared" si="13"/>
        <v>0</v>
      </c>
      <c r="N71" s="1332">
        <v>0.2</v>
      </c>
      <c r="O71" s="1333" t="str">
        <f t="shared" si="14"/>
        <v/>
      </c>
      <c r="P71" s="1573"/>
    </row>
    <row r="72" spans="2:16">
      <c r="B72" s="1331"/>
      <c r="C72" s="798"/>
      <c r="D72" s="678"/>
      <c r="E72" s="680"/>
      <c r="F72" s="679"/>
      <c r="G72" s="677"/>
      <c r="H72" s="677"/>
      <c r="I72" s="677"/>
      <c r="J72" s="1605">
        <f t="shared" si="11"/>
        <v>0</v>
      </c>
      <c r="K72" s="675"/>
      <c r="L72" s="1605">
        <f t="shared" si="12"/>
        <v>0</v>
      </c>
      <c r="M72" s="673">
        <f t="shared" si="13"/>
        <v>0</v>
      </c>
      <c r="N72" s="1332">
        <v>0.2</v>
      </c>
      <c r="O72" s="1333" t="str">
        <f t="shared" si="14"/>
        <v/>
      </c>
      <c r="P72" s="1573"/>
    </row>
    <row r="73" spans="2:16">
      <c r="B73" s="1331"/>
      <c r="C73" s="798"/>
      <c r="D73" s="678"/>
      <c r="E73" s="680"/>
      <c r="F73" s="679"/>
      <c r="G73" s="677"/>
      <c r="H73" s="677"/>
      <c r="I73" s="677"/>
      <c r="J73" s="1605">
        <f t="shared" si="11"/>
        <v>0</v>
      </c>
      <c r="K73" s="675"/>
      <c r="L73" s="1605">
        <f t="shared" si="12"/>
        <v>0</v>
      </c>
      <c r="M73" s="673">
        <f t="shared" si="13"/>
        <v>0</v>
      </c>
      <c r="N73" s="1332">
        <v>0.2</v>
      </c>
      <c r="O73" s="1333" t="str">
        <f t="shared" si="14"/>
        <v/>
      </c>
      <c r="P73" s="1573"/>
    </row>
    <row r="74" spans="2:16">
      <c r="B74" s="1331"/>
      <c r="C74" s="798"/>
      <c r="D74" s="678"/>
      <c r="E74" s="680"/>
      <c r="F74" s="679"/>
      <c r="G74" s="677"/>
      <c r="H74" s="677"/>
      <c r="I74" s="677"/>
      <c r="J74" s="1605">
        <f t="shared" si="11"/>
        <v>0</v>
      </c>
      <c r="K74" s="675"/>
      <c r="L74" s="1605">
        <f t="shared" si="12"/>
        <v>0</v>
      </c>
      <c r="M74" s="673">
        <f t="shared" si="13"/>
        <v>0</v>
      </c>
      <c r="N74" s="1332">
        <v>0.2</v>
      </c>
      <c r="O74" s="1333" t="str">
        <f t="shared" si="14"/>
        <v/>
      </c>
      <c r="P74" s="1573"/>
    </row>
    <row r="75" spans="2:16">
      <c r="B75" s="1331"/>
      <c r="C75" s="798"/>
      <c r="D75" s="678"/>
      <c r="E75" s="680"/>
      <c r="F75" s="679"/>
      <c r="G75" s="677"/>
      <c r="H75" s="677"/>
      <c r="I75" s="677"/>
      <c r="J75" s="1605">
        <f t="shared" si="11"/>
        <v>0</v>
      </c>
      <c r="K75" s="675"/>
      <c r="L75" s="1605">
        <f t="shared" si="12"/>
        <v>0</v>
      </c>
      <c r="M75" s="673">
        <f t="shared" si="13"/>
        <v>0</v>
      </c>
      <c r="N75" s="1332">
        <v>0.2</v>
      </c>
      <c r="O75" s="1333" t="str">
        <f t="shared" si="14"/>
        <v/>
      </c>
      <c r="P75" s="1573"/>
    </row>
    <row r="76" spans="2:16">
      <c r="B76" s="1331"/>
      <c r="C76" s="798"/>
      <c r="D76" s="678"/>
      <c r="E76" s="680"/>
      <c r="F76" s="679"/>
      <c r="G76" s="677"/>
      <c r="H76" s="677"/>
      <c r="I76" s="677"/>
      <c r="J76" s="1605">
        <f t="shared" si="11"/>
        <v>0</v>
      </c>
      <c r="K76" s="675"/>
      <c r="L76" s="1605">
        <f t="shared" si="12"/>
        <v>0</v>
      </c>
      <c r="M76" s="673">
        <f t="shared" si="13"/>
        <v>0</v>
      </c>
      <c r="N76" s="1332">
        <v>0.2</v>
      </c>
      <c r="O76" s="1333" t="str">
        <f t="shared" si="14"/>
        <v/>
      </c>
      <c r="P76" s="1573"/>
    </row>
    <row r="77" spans="2:16">
      <c r="B77" s="1331"/>
      <c r="C77" s="798"/>
      <c r="D77" s="678"/>
      <c r="E77" s="680"/>
      <c r="F77" s="679"/>
      <c r="G77" s="677"/>
      <c r="H77" s="677"/>
      <c r="I77" s="677"/>
      <c r="J77" s="1605">
        <f t="shared" si="11"/>
        <v>0</v>
      </c>
      <c r="K77" s="675"/>
      <c r="L77" s="1605">
        <f t="shared" si="12"/>
        <v>0</v>
      </c>
      <c r="M77" s="673">
        <f t="shared" si="13"/>
        <v>0</v>
      </c>
      <c r="N77" s="1332">
        <v>0.2</v>
      </c>
      <c r="O77" s="1333" t="str">
        <f t="shared" si="14"/>
        <v/>
      </c>
      <c r="P77" s="1573"/>
    </row>
    <row r="78" spans="2:16">
      <c r="B78" s="1331"/>
      <c r="C78" s="798"/>
      <c r="D78" s="678"/>
      <c r="E78" s="680"/>
      <c r="F78" s="679"/>
      <c r="G78" s="677"/>
      <c r="H78" s="677"/>
      <c r="I78" s="677"/>
      <c r="J78" s="1605">
        <f t="shared" si="11"/>
        <v>0</v>
      </c>
      <c r="K78" s="675"/>
      <c r="L78" s="1605">
        <f t="shared" si="12"/>
        <v>0</v>
      </c>
      <c r="M78" s="673">
        <f t="shared" si="13"/>
        <v>0</v>
      </c>
      <c r="N78" s="1332">
        <v>0.2</v>
      </c>
      <c r="O78" s="1333" t="str">
        <f t="shared" si="14"/>
        <v/>
      </c>
      <c r="P78" s="1573"/>
    </row>
    <row r="79" spans="2:16">
      <c r="B79" s="1331"/>
      <c r="C79" s="798"/>
      <c r="D79" s="678"/>
      <c r="E79" s="680"/>
      <c r="F79" s="679"/>
      <c r="G79" s="677"/>
      <c r="H79" s="677"/>
      <c r="I79" s="677"/>
      <c r="J79" s="1605">
        <f t="shared" si="11"/>
        <v>0</v>
      </c>
      <c r="K79" s="675"/>
      <c r="L79" s="1605">
        <f t="shared" si="12"/>
        <v>0</v>
      </c>
      <c r="M79" s="673">
        <f t="shared" si="13"/>
        <v>0</v>
      </c>
      <c r="N79" s="1332">
        <v>0.2</v>
      </c>
      <c r="O79" s="1333" t="str">
        <f t="shared" si="14"/>
        <v/>
      </c>
      <c r="P79" s="1573"/>
    </row>
    <row r="80" spans="2:16">
      <c r="B80" s="1331"/>
      <c r="C80" s="798"/>
      <c r="D80" s="678"/>
      <c r="E80" s="680"/>
      <c r="F80" s="679"/>
      <c r="G80" s="677"/>
      <c r="H80" s="677"/>
      <c r="I80" s="677"/>
      <c r="J80" s="1605">
        <f t="shared" si="11"/>
        <v>0</v>
      </c>
      <c r="K80" s="675"/>
      <c r="L80" s="1605">
        <f t="shared" si="12"/>
        <v>0</v>
      </c>
      <c r="M80" s="673">
        <f t="shared" si="13"/>
        <v>0</v>
      </c>
      <c r="N80" s="1332">
        <v>0.2</v>
      </c>
      <c r="O80" s="1333" t="str">
        <f t="shared" si="14"/>
        <v/>
      </c>
      <c r="P80" s="1573"/>
    </row>
    <row r="81" spans="2:16">
      <c r="B81" s="1331"/>
      <c r="C81" s="798"/>
      <c r="D81" s="678"/>
      <c r="E81" s="680"/>
      <c r="F81" s="679"/>
      <c r="G81" s="677"/>
      <c r="H81" s="677"/>
      <c r="I81" s="677"/>
      <c r="J81" s="1605">
        <f t="shared" si="11"/>
        <v>0</v>
      </c>
      <c r="K81" s="675"/>
      <c r="L81" s="1605">
        <f t="shared" si="12"/>
        <v>0</v>
      </c>
      <c r="M81" s="673">
        <f t="shared" si="13"/>
        <v>0</v>
      </c>
      <c r="N81" s="1332">
        <v>0.2</v>
      </c>
      <c r="O81" s="1333" t="str">
        <f t="shared" si="14"/>
        <v/>
      </c>
      <c r="P81" s="1573"/>
    </row>
    <row r="82" spans="2:16">
      <c r="B82" s="1331"/>
      <c r="C82" s="798"/>
      <c r="D82" s="678"/>
      <c r="E82" s="680"/>
      <c r="F82" s="679"/>
      <c r="G82" s="677"/>
      <c r="H82" s="677"/>
      <c r="I82" s="677"/>
      <c r="J82" s="1605">
        <f t="shared" si="11"/>
        <v>0</v>
      </c>
      <c r="K82" s="675"/>
      <c r="L82" s="1605">
        <f t="shared" si="12"/>
        <v>0</v>
      </c>
      <c r="M82" s="673">
        <f t="shared" si="13"/>
        <v>0</v>
      </c>
      <c r="N82" s="1332">
        <v>0.2</v>
      </c>
      <c r="O82" s="1333" t="str">
        <f t="shared" si="14"/>
        <v/>
      </c>
      <c r="P82" s="1573"/>
    </row>
    <row r="83" spans="2:16">
      <c r="B83" s="1331"/>
      <c r="C83" s="798"/>
      <c r="D83" s="678"/>
      <c r="E83" s="680"/>
      <c r="F83" s="679"/>
      <c r="G83" s="677"/>
      <c r="H83" s="677"/>
      <c r="I83" s="677"/>
      <c r="J83" s="1605">
        <f t="shared" si="11"/>
        <v>0</v>
      </c>
      <c r="K83" s="675"/>
      <c r="L83" s="1605">
        <f t="shared" si="12"/>
        <v>0</v>
      </c>
      <c r="M83" s="673">
        <f t="shared" si="13"/>
        <v>0</v>
      </c>
      <c r="N83" s="1332">
        <v>0.2</v>
      </c>
      <c r="O83" s="1333" t="str">
        <f t="shared" si="14"/>
        <v/>
      </c>
      <c r="P83" s="1573"/>
    </row>
    <row r="84" spans="2:16">
      <c r="B84" s="1331"/>
      <c r="C84" s="798"/>
      <c r="D84" s="678"/>
      <c r="E84" s="680"/>
      <c r="F84" s="679"/>
      <c r="G84" s="677"/>
      <c r="H84" s="677"/>
      <c r="I84" s="677"/>
      <c r="J84" s="1605">
        <f t="shared" si="11"/>
        <v>0</v>
      </c>
      <c r="K84" s="675"/>
      <c r="L84" s="1605">
        <f t="shared" si="12"/>
        <v>0</v>
      </c>
      <c r="M84" s="673">
        <f t="shared" si="13"/>
        <v>0</v>
      </c>
      <c r="N84" s="1332">
        <v>0.2</v>
      </c>
      <c r="O84" s="1333" t="str">
        <f t="shared" si="14"/>
        <v/>
      </c>
      <c r="P84" s="1573"/>
    </row>
    <row r="85" spans="2:16">
      <c r="B85" s="1331"/>
      <c r="C85" s="798"/>
      <c r="D85" s="678"/>
      <c r="E85" s="680"/>
      <c r="F85" s="679"/>
      <c r="G85" s="677"/>
      <c r="H85" s="677"/>
      <c r="I85" s="677"/>
      <c r="J85" s="1605">
        <f t="shared" si="11"/>
        <v>0</v>
      </c>
      <c r="K85" s="675"/>
      <c r="L85" s="1605">
        <f t="shared" si="12"/>
        <v>0</v>
      </c>
      <c r="M85" s="673">
        <f t="shared" si="13"/>
        <v>0</v>
      </c>
      <c r="N85" s="1332">
        <v>0.2</v>
      </c>
      <c r="O85" s="1333" t="str">
        <f t="shared" si="14"/>
        <v/>
      </c>
      <c r="P85" s="1573"/>
    </row>
    <row r="86" spans="2:16">
      <c r="B86" s="1331"/>
      <c r="C86" s="798"/>
      <c r="D86" s="678"/>
      <c r="E86" s="680"/>
      <c r="F86" s="679"/>
      <c r="G86" s="677"/>
      <c r="H86" s="677"/>
      <c r="I86" s="677"/>
      <c r="J86" s="1605">
        <f t="shared" si="11"/>
        <v>0</v>
      </c>
      <c r="K86" s="675"/>
      <c r="L86" s="1605">
        <f t="shared" si="12"/>
        <v>0</v>
      </c>
      <c r="M86" s="673">
        <f t="shared" si="13"/>
        <v>0</v>
      </c>
      <c r="N86" s="1332">
        <v>0.2</v>
      </c>
      <c r="O86" s="1333" t="str">
        <f t="shared" si="14"/>
        <v/>
      </c>
      <c r="P86" s="1573"/>
    </row>
    <row r="87" spans="2:16">
      <c r="B87" s="1331"/>
      <c r="C87" s="798"/>
      <c r="D87" s="678"/>
      <c r="E87" s="680"/>
      <c r="F87" s="679"/>
      <c r="G87" s="677"/>
      <c r="H87" s="677"/>
      <c r="I87" s="677"/>
      <c r="J87" s="1605">
        <f t="shared" si="11"/>
        <v>0</v>
      </c>
      <c r="K87" s="675"/>
      <c r="L87" s="1605">
        <f t="shared" si="12"/>
        <v>0</v>
      </c>
      <c r="M87" s="673">
        <f t="shared" si="13"/>
        <v>0</v>
      </c>
      <c r="N87" s="1332">
        <v>0.2</v>
      </c>
      <c r="O87" s="1333" t="str">
        <f t="shared" si="14"/>
        <v/>
      </c>
      <c r="P87" s="1573"/>
    </row>
    <row r="88" spans="2:16">
      <c r="B88" s="1331"/>
      <c r="C88" s="798"/>
      <c r="D88" s="678"/>
      <c r="E88" s="680"/>
      <c r="F88" s="679"/>
      <c r="G88" s="677"/>
      <c r="H88" s="677"/>
      <c r="I88" s="677"/>
      <c r="J88" s="1605">
        <f t="shared" si="11"/>
        <v>0</v>
      </c>
      <c r="K88" s="675"/>
      <c r="L88" s="1605">
        <f t="shared" si="12"/>
        <v>0</v>
      </c>
      <c r="M88" s="673">
        <f t="shared" si="13"/>
        <v>0</v>
      </c>
      <c r="N88" s="1332">
        <v>0.2</v>
      </c>
      <c r="O88" s="1333" t="str">
        <f t="shared" si="14"/>
        <v/>
      </c>
      <c r="P88" s="1573"/>
    </row>
    <row r="89" spans="2:16">
      <c r="B89" s="1331"/>
      <c r="C89" s="798"/>
      <c r="D89" s="678"/>
      <c r="E89" s="680"/>
      <c r="F89" s="679"/>
      <c r="G89" s="677"/>
      <c r="H89" s="677"/>
      <c r="I89" s="677"/>
      <c r="J89" s="1605">
        <f t="shared" si="11"/>
        <v>0</v>
      </c>
      <c r="K89" s="675"/>
      <c r="L89" s="1605">
        <f t="shared" si="12"/>
        <v>0</v>
      </c>
      <c r="M89" s="673">
        <f t="shared" si="13"/>
        <v>0</v>
      </c>
      <c r="N89" s="1332">
        <v>0.2</v>
      </c>
      <c r="O89" s="1333" t="str">
        <f t="shared" si="14"/>
        <v/>
      </c>
      <c r="P89" s="1573"/>
    </row>
    <row r="90" spans="2:16">
      <c r="B90" s="1331"/>
      <c r="C90" s="798"/>
      <c r="D90" s="678"/>
      <c r="E90" s="680"/>
      <c r="F90" s="679"/>
      <c r="G90" s="677"/>
      <c r="H90" s="677"/>
      <c r="I90" s="677"/>
      <c r="J90" s="1605">
        <f t="shared" si="11"/>
        <v>0</v>
      </c>
      <c r="K90" s="675"/>
      <c r="L90" s="1605">
        <f t="shared" si="12"/>
        <v>0</v>
      </c>
      <c r="M90" s="673">
        <f t="shared" si="13"/>
        <v>0</v>
      </c>
      <c r="N90" s="1332">
        <v>0.2</v>
      </c>
      <c r="O90" s="1333" t="str">
        <f t="shared" si="14"/>
        <v/>
      </c>
      <c r="P90" s="1573"/>
    </row>
    <row r="91" spans="2:16">
      <c r="B91" s="1331"/>
      <c r="C91" s="798"/>
      <c r="D91" s="678"/>
      <c r="E91" s="680"/>
      <c r="F91" s="679"/>
      <c r="G91" s="677"/>
      <c r="H91" s="677"/>
      <c r="I91" s="677"/>
      <c r="J91" s="1605">
        <f t="shared" si="11"/>
        <v>0</v>
      </c>
      <c r="K91" s="675"/>
      <c r="L91" s="1605">
        <f t="shared" si="12"/>
        <v>0</v>
      </c>
      <c r="M91" s="673">
        <f t="shared" si="13"/>
        <v>0</v>
      </c>
      <c r="N91" s="1332">
        <v>0.2</v>
      </c>
      <c r="O91" s="1333" t="str">
        <f t="shared" si="14"/>
        <v/>
      </c>
      <c r="P91" s="1573"/>
    </row>
    <row r="92" spans="2:16">
      <c r="B92" s="1331"/>
      <c r="C92" s="798"/>
      <c r="D92" s="678"/>
      <c r="E92" s="680"/>
      <c r="F92" s="679"/>
      <c r="G92" s="677"/>
      <c r="H92" s="677"/>
      <c r="I92" s="677"/>
      <c r="J92" s="1605">
        <f t="shared" si="11"/>
        <v>0</v>
      </c>
      <c r="K92" s="675"/>
      <c r="L92" s="1605">
        <f t="shared" si="12"/>
        <v>0</v>
      </c>
      <c r="M92" s="673">
        <f t="shared" si="13"/>
        <v>0</v>
      </c>
      <c r="N92" s="1332">
        <v>0.2</v>
      </c>
      <c r="O92" s="1333" t="str">
        <f t="shared" si="14"/>
        <v/>
      </c>
      <c r="P92" s="1573"/>
    </row>
    <row r="93" spans="2:16">
      <c r="B93" s="1331"/>
      <c r="C93" s="798"/>
      <c r="D93" s="678"/>
      <c r="E93" s="680"/>
      <c r="F93" s="679"/>
      <c r="G93" s="677"/>
      <c r="H93" s="677"/>
      <c r="I93" s="677"/>
      <c r="J93" s="1605">
        <f t="shared" si="11"/>
        <v>0</v>
      </c>
      <c r="K93" s="675"/>
      <c r="L93" s="1605">
        <f t="shared" si="12"/>
        <v>0</v>
      </c>
      <c r="M93" s="673">
        <f t="shared" si="13"/>
        <v>0</v>
      </c>
      <c r="N93" s="1332">
        <v>0.2</v>
      </c>
      <c r="O93" s="1333" t="str">
        <f t="shared" si="14"/>
        <v/>
      </c>
      <c r="P93" s="1573"/>
    </row>
    <row r="94" spans="2:16">
      <c r="B94" s="1331"/>
      <c r="C94" s="798"/>
      <c r="D94" s="678"/>
      <c r="E94" s="680"/>
      <c r="F94" s="679"/>
      <c r="G94" s="677"/>
      <c r="H94" s="677"/>
      <c r="I94" s="677"/>
      <c r="J94" s="1605">
        <f t="shared" si="11"/>
        <v>0</v>
      </c>
      <c r="K94" s="675"/>
      <c r="L94" s="1605">
        <f t="shared" si="12"/>
        <v>0</v>
      </c>
      <c r="M94" s="673">
        <f t="shared" si="13"/>
        <v>0</v>
      </c>
      <c r="N94" s="1332">
        <v>0.2</v>
      </c>
      <c r="O94" s="1333" t="str">
        <f t="shared" si="14"/>
        <v/>
      </c>
      <c r="P94" s="1573"/>
    </row>
    <row r="95" spans="2:16">
      <c r="B95" s="1331"/>
      <c r="C95" s="798"/>
      <c r="D95" s="678"/>
      <c r="E95" s="680"/>
      <c r="F95" s="679"/>
      <c r="G95" s="677"/>
      <c r="H95" s="677"/>
      <c r="I95" s="677"/>
      <c r="J95" s="1605">
        <f t="shared" si="11"/>
        <v>0</v>
      </c>
      <c r="K95" s="675"/>
      <c r="L95" s="1605">
        <f t="shared" si="12"/>
        <v>0</v>
      </c>
      <c r="M95" s="673">
        <f t="shared" si="13"/>
        <v>0</v>
      </c>
      <c r="N95" s="1332">
        <v>0.2</v>
      </c>
      <c r="O95" s="1333" t="str">
        <f t="shared" si="14"/>
        <v/>
      </c>
      <c r="P95" s="1573"/>
    </row>
    <row r="96" spans="2:16">
      <c r="B96" s="1331"/>
      <c r="C96" s="798"/>
      <c r="D96" s="678"/>
      <c r="E96" s="680"/>
      <c r="F96" s="679"/>
      <c r="G96" s="677"/>
      <c r="H96" s="677"/>
      <c r="I96" s="677"/>
      <c r="J96" s="1605">
        <f t="shared" si="11"/>
        <v>0</v>
      </c>
      <c r="K96" s="675"/>
      <c r="L96" s="1605">
        <f t="shared" si="12"/>
        <v>0</v>
      </c>
      <c r="M96" s="673">
        <f t="shared" si="13"/>
        <v>0</v>
      </c>
      <c r="N96" s="1332">
        <v>0.2</v>
      </c>
      <c r="O96" s="1333" t="str">
        <f t="shared" si="14"/>
        <v/>
      </c>
      <c r="P96" s="1573"/>
    </row>
    <row r="97" spans="2:16">
      <c r="B97" s="1331"/>
      <c r="C97" s="798"/>
      <c r="D97" s="678"/>
      <c r="E97" s="680"/>
      <c r="F97" s="679"/>
      <c r="G97" s="677"/>
      <c r="H97" s="677"/>
      <c r="I97" s="677"/>
      <c r="J97" s="1605">
        <f t="shared" si="11"/>
        <v>0</v>
      </c>
      <c r="K97" s="675"/>
      <c r="L97" s="1605">
        <f t="shared" si="12"/>
        <v>0</v>
      </c>
      <c r="M97" s="673">
        <f t="shared" si="13"/>
        <v>0</v>
      </c>
      <c r="N97" s="1332">
        <v>0.2</v>
      </c>
      <c r="O97" s="1333" t="str">
        <f t="shared" si="14"/>
        <v/>
      </c>
      <c r="P97" s="1573"/>
    </row>
    <row r="98" spans="2:16">
      <c r="B98" s="1331"/>
      <c r="C98" s="798"/>
      <c r="D98" s="678"/>
      <c r="E98" s="680"/>
      <c r="F98" s="679"/>
      <c r="G98" s="677"/>
      <c r="H98" s="677"/>
      <c r="I98" s="677"/>
      <c r="J98" s="1605">
        <f t="shared" si="11"/>
        <v>0</v>
      </c>
      <c r="K98" s="675"/>
      <c r="L98" s="1605">
        <f t="shared" si="12"/>
        <v>0</v>
      </c>
      <c r="M98" s="673">
        <f t="shared" si="13"/>
        <v>0</v>
      </c>
      <c r="N98" s="1332">
        <v>0.2</v>
      </c>
      <c r="O98" s="1333" t="str">
        <f t="shared" si="14"/>
        <v/>
      </c>
      <c r="P98" s="1573"/>
    </row>
    <row r="99" spans="2:16">
      <c r="B99" s="1331"/>
      <c r="C99" s="798"/>
      <c r="D99" s="678"/>
      <c r="E99" s="680"/>
      <c r="F99" s="679"/>
      <c r="G99" s="677"/>
      <c r="H99" s="677"/>
      <c r="I99" s="677"/>
      <c r="J99" s="1605">
        <f t="shared" si="11"/>
        <v>0</v>
      </c>
      <c r="K99" s="675"/>
      <c r="L99" s="1605">
        <f t="shared" si="12"/>
        <v>0</v>
      </c>
      <c r="M99" s="673">
        <f t="shared" si="13"/>
        <v>0</v>
      </c>
      <c r="N99" s="1332">
        <v>0.2</v>
      </c>
      <c r="O99" s="1333" t="str">
        <f t="shared" si="14"/>
        <v/>
      </c>
      <c r="P99" s="1573"/>
    </row>
    <row r="100" spans="2:16">
      <c r="B100" s="1331"/>
      <c r="C100" s="798"/>
      <c r="D100" s="678"/>
      <c r="E100" s="680"/>
      <c r="F100" s="679"/>
      <c r="G100" s="677"/>
      <c r="H100" s="677"/>
      <c r="I100" s="677"/>
      <c r="J100" s="1605">
        <f t="shared" si="11"/>
        <v>0</v>
      </c>
      <c r="K100" s="675"/>
      <c r="L100" s="1605">
        <f t="shared" si="12"/>
        <v>0</v>
      </c>
      <c r="M100" s="673">
        <f t="shared" si="13"/>
        <v>0</v>
      </c>
      <c r="N100" s="1332">
        <v>0.2</v>
      </c>
      <c r="O100" s="1333" t="str">
        <f t="shared" si="14"/>
        <v/>
      </c>
      <c r="P100" s="1573"/>
    </row>
    <row r="101" spans="2:16">
      <c r="B101" s="1331"/>
      <c r="C101" s="798"/>
      <c r="D101" s="678"/>
      <c r="E101" s="680"/>
      <c r="F101" s="679"/>
      <c r="G101" s="677"/>
      <c r="H101" s="677"/>
      <c r="I101" s="677"/>
      <c r="J101" s="1605">
        <f t="shared" si="11"/>
        <v>0</v>
      </c>
      <c r="K101" s="675"/>
      <c r="L101" s="1605">
        <f t="shared" si="12"/>
        <v>0</v>
      </c>
      <c r="M101" s="673">
        <f t="shared" si="13"/>
        <v>0</v>
      </c>
      <c r="N101" s="1332">
        <v>0.2</v>
      </c>
      <c r="O101" s="1333" t="str">
        <f t="shared" si="14"/>
        <v/>
      </c>
      <c r="P101" s="1573"/>
    </row>
    <row r="102" spans="2:16">
      <c r="B102" s="1331"/>
      <c r="C102" s="798"/>
      <c r="D102" s="678"/>
      <c r="E102" s="680"/>
      <c r="F102" s="679"/>
      <c r="G102" s="677"/>
      <c r="H102" s="677"/>
      <c r="I102" s="677"/>
      <c r="J102" s="1605">
        <f t="shared" si="11"/>
        <v>0</v>
      </c>
      <c r="K102" s="675"/>
      <c r="L102" s="1605">
        <f t="shared" si="12"/>
        <v>0</v>
      </c>
      <c r="M102" s="673">
        <f t="shared" si="13"/>
        <v>0</v>
      </c>
      <c r="N102" s="1332">
        <v>0.2</v>
      </c>
      <c r="O102" s="1333" t="str">
        <f t="shared" si="14"/>
        <v/>
      </c>
      <c r="P102" s="1573"/>
    </row>
    <row r="103" spans="2:16">
      <c r="B103" s="1331"/>
      <c r="C103" s="798"/>
      <c r="D103" s="678"/>
      <c r="E103" s="680"/>
      <c r="F103" s="679"/>
      <c r="G103" s="677"/>
      <c r="H103" s="677"/>
      <c r="I103" s="677"/>
      <c r="J103" s="1605">
        <f t="shared" si="11"/>
        <v>0</v>
      </c>
      <c r="K103" s="675"/>
      <c r="L103" s="1605">
        <f t="shared" si="12"/>
        <v>0</v>
      </c>
      <c r="M103" s="673">
        <f t="shared" si="13"/>
        <v>0</v>
      </c>
      <c r="N103" s="1332">
        <v>0.2</v>
      </c>
      <c r="O103" s="1333" t="str">
        <f t="shared" si="14"/>
        <v/>
      </c>
      <c r="P103" s="1573"/>
    </row>
    <row r="104" spans="2:16">
      <c r="B104" s="1331"/>
      <c r="C104" s="798"/>
      <c r="D104" s="678"/>
      <c r="E104" s="680"/>
      <c r="F104" s="679"/>
      <c r="G104" s="677"/>
      <c r="H104" s="677"/>
      <c r="I104" s="677"/>
      <c r="J104" s="1605">
        <f t="shared" si="11"/>
        <v>0</v>
      </c>
      <c r="K104" s="675"/>
      <c r="L104" s="1605">
        <f t="shared" si="12"/>
        <v>0</v>
      </c>
      <c r="M104" s="673">
        <f t="shared" si="13"/>
        <v>0</v>
      </c>
      <c r="N104" s="1332">
        <v>0.2</v>
      </c>
      <c r="O104" s="1333" t="str">
        <f t="shared" si="14"/>
        <v/>
      </c>
      <c r="P104" s="1573"/>
    </row>
    <row r="105" spans="2:16">
      <c r="B105" s="1331"/>
      <c r="C105" s="798"/>
      <c r="D105" s="678"/>
      <c r="E105" s="680"/>
      <c r="F105" s="679"/>
      <c r="G105" s="677"/>
      <c r="H105" s="677"/>
      <c r="I105" s="677"/>
      <c r="J105" s="1605">
        <f t="shared" si="11"/>
        <v>0</v>
      </c>
      <c r="K105" s="675"/>
      <c r="L105" s="1605">
        <f t="shared" si="12"/>
        <v>0</v>
      </c>
      <c r="M105" s="673">
        <f t="shared" si="13"/>
        <v>0</v>
      </c>
      <c r="N105" s="1332">
        <v>0.2</v>
      </c>
      <c r="O105" s="1333" t="str">
        <f t="shared" si="14"/>
        <v/>
      </c>
      <c r="P105" s="1573"/>
    </row>
    <row r="106" spans="2:16">
      <c r="B106" s="1331"/>
      <c r="C106" s="798"/>
      <c r="D106" s="678"/>
      <c r="E106" s="680"/>
      <c r="F106" s="679"/>
      <c r="G106" s="677"/>
      <c r="H106" s="677"/>
      <c r="I106" s="677"/>
      <c r="J106" s="1605">
        <f t="shared" si="11"/>
        <v>0</v>
      </c>
      <c r="K106" s="675"/>
      <c r="L106" s="1605">
        <f t="shared" si="12"/>
        <v>0</v>
      </c>
      <c r="M106" s="673">
        <f t="shared" si="13"/>
        <v>0</v>
      </c>
      <c r="N106" s="1332">
        <v>0.2</v>
      </c>
      <c r="O106" s="1333" t="str">
        <f t="shared" si="14"/>
        <v/>
      </c>
      <c r="P106" s="1573"/>
    </row>
    <row r="107" spans="2:16">
      <c r="B107" s="1331"/>
      <c r="C107" s="798"/>
      <c r="D107" s="678"/>
      <c r="E107" s="680"/>
      <c r="F107" s="679"/>
      <c r="G107" s="677"/>
      <c r="H107" s="677"/>
      <c r="I107" s="677"/>
      <c r="J107" s="1605">
        <f t="shared" si="11"/>
        <v>0</v>
      </c>
      <c r="K107" s="675"/>
      <c r="L107" s="1605">
        <f t="shared" si="12"/>
        <v>0</v>
      </c>
      <c r="M107" s="673">
        <f t="shared" si="13"/>
        <v>0</v>
      </c>
      <c r="N107" s="1332">
        <v>0.2</v>
      </c>
      <c r="O107" s="1333" t="str">
        <f t="shared" si="14"/>
        <v/>
      </c>
      <c r="P107" s="1573"/>
    </row>
    <row r="108" spans="2:16">
      <c r="B108" s="1331"/>
      <c r="C108" s="798"/>
      <c r="D108" s="678"/>
      <c r="E108" s="680"/>
      <c r="F108" s="679"/>
      <c r="G108" s="677"/>
      <c r="H108" s="677"/>
      <c r="I108" s="677"/>
      <c r="J108" s="1605">
        <f t="shared" si="11"/>
        <v>0</v>
      </c>
      <c r="K108" s="675"/>
      <c r="L108" s="1605">
        <f t="shared" si="12"/>
        <v>0</v>
      </c>
      <c r="M108" s="673">
        <f t="shared" si="13"/>
        <v>0</v>
      </c>
      <c r="N108" s="1332">
        <v>0.2</v>
      </c>
      <c r="O108" s="1333" t="str">
        <f t="shared" si="14"/>
        <v/>
      </c>
      <c r="P108" s="1573"/>
    </row>
    <row r="109" spans="2:16">
      <c r="B109" s="1331"/>
      <c r="C109" s="798"/>
      <c r="D109" s="678"/>
      <c r="E109" s="680"/>
      <c r="F109" s="679"/>
      <c r="G109" s="677"/>
      <c r="H109" s="677"/>
      <c r="I109" s="677"/>
      <c r="J109" s="1605">
        <f t="shared" si="11"/>
        <v>0</v>
      </c>
      <c r="K109" s="675"/>
      <c r="L109" s="1605">
        <f t="shared" si="12"/>
        <v>0</v>
      </c>
      <c r="M109" s="673">
        <f t="shared" si="13"/>
        <v>0</v>
      </c>
      <c r="N109" s="1332">
        <v>0.2</v>
      </c>
      <c r="O109" s="1333" t="str">
        <f t="shared" si="14"/>
        <v/>
      </c>
      <c r="P109" s="1573"/>
    </row>
    <row r="110" spans="2:16">
      <c r="B110" s="1331"/>
      <c r="C110" s="798"/>
      <c r="D110" s="678"/>
      <c r="E110" s="680"/>
      <c r="F110" s="679"/>
      <c r="G110" s="677"/>
      <c r="H110" s="677"/>
      <c r="I110" s="677"/>
      <c r="J110" s="1605">
        <f t="shared" si="11"/>
        <v>0</v>
      </c>
      <c r="K110" s="675"/>
      <c r="L110" s="1605">
        <f t="shared" si="12"/>
        <v>0</v>
      </c>
      <c r="M110" s="673">
        <f t="shared" si="13"/>
        <v>0</v>
      </c>
      <c r="N110" s="1332">
        <v>0.2</v>
      </c>
      <c r="O110" s="1333" t="str">
        <f t="shared" si="14"/>
        <v/>
      </c>
      <c r="P110" s="1573"/>
    </row>
    <row r="111" spans="2:16">
      <c r="B111" s="1331"/>
      <c r="C111" s="798"/>
      <c r="D111" s="678"/>
      <c r="E111" s="680"/>
      <c r="F111" s="679"/>
      <c r="G111" s="677"/>
      <c r="H111" s="677"/>
      <c r="I111" s="677"/>
      <c r="J111" s="1605">
        <f t="shared" si="11"/>
        <v>0</v>
      </c>
      <c r="K111" s="675"/>
      <c r="L111" s="1605">
        <f t="shared" si="12"/>
        <v>0</v>
      </c>
      <c r="M111" s="673">
        <f t="shared" si="13"/>
        <v>0</v>
      </c>
      <c r="N111" s="1332">
        <v>0.2</v>
      </c>
      <c r="O111" s="1333" t="str">
        <f t="shared" si="14"/>
        <v/>
      </c>
      <c r="P111" s="1573"/>
    </row>
    <row r="112" spans="2:16">
      <c r="B112" s="1331"/>
      <c r="C112" s="798"/>
      <c r="D112" s="678"/>
      <c r="E112" s="680"/>
      <c r="F112" s="679"/>
      <c r="G112" s="677"/>
      <c r="H112" s="677"/>
      <c r="I112" s="677"/>
      <c r="J112" s="1605">
        <f t="shared" si="11"/>
        <v>0</v>
      </c>
      <c r="K112" s="675"/>
      <c r="L112" s="1605">
        <f t="shared" si="12"/>
        <v>0</v>
      </c>
      <c r="M112" s="673">
        <f t="shared" si="13"/>
        <v>0</v>
      </c>
      <c r="N112" s="1332">
        <v>0.2</v>
      </c>
      <c r="O112" s="1333" t="str">
        <f t="shared" si="14"/>
        <v/>
      </c>
      <c r="P112" s="1573"/>
    </row>
    <row r="113" spans="2:16">
      <c r="B113" s="1331"/>
      <c r="C113" s="798"/>
      <c r="D113" s="678"/>
      <c r="E113" s="680"/>
      <c r="F113" s="679"/>
      <c r="G113" s="677"/>
      <c r="H113" s="677"/>
      <c r="I113" s="677"/>
      <c r="J113" s="1605">
        <f t="shared" si="11"/>
        <v>0</v>
      </c>
      <c r="K113" s="675"/>
      <c r="L113" s="1605">
        <f t="shared" si="12"/>
        <v>0</v>
      </c>
      <c r="M113" s="673">
        <f t="shared" si="13"/>
        <v>0</v>
      </c>
      <c r="N113" s="1332">
        <v>0.2</v>
      </c>
      <c r="O113" s="1333" t="str">
        <f t="shared" si="14"/>
        <v/>
      </c>
      <c r="P113" s="1573"/>
    </row>
    <row r="114" spans="2:16">
      <c r="B114" s="1331"/>
      <c r="C114" s="798"/>
      <c r="D114" s="678"/>
      <c r="E114" s="680"/>
      <c r="F114" s="679"/>
      <c r="G114" s="677"/>
      <c r="H114" s="677"/>
      <c r="I114" s="677"/>
      <c r="J114" s="1605">
        <f t="shared" si="11"/>
        <v>0</v>
      </c>
      <c r="K114" s="675"/>
      <c r="L114" s="1605">
        <f t="shared" si="12"/>
        <v>0</v>
      </c>
      <c r="M114" s="673">
        <f t="shared" si="13"/>
        <v>0</v>
      </c>
      <c r="N114" s="1332">
        <v>0.2</v>
      </c>
      <c r="O114" s="1333" t="str">
        <f t="shared" si="14"/>
        <v/>
      </c>
      <c r="P114" s="1573"/>
    </row>
    <row r="115" spans="2:16">
      <c r="B115" s="1331"/>
      <c r="C115" s="798"/>
      <c r="D115" s="678"/>
      <c r="E115" s="680"/>
      <c r="F115" s="679"/>
      <c r="G115" s="677"/>
      <c r="H115" s="677"/>
      <c r="I115" s="677"/>
      <c r="J115" s="1605">
        <f t="shared" si="11"/>
        <v>0</v>
      </c>
      <c r="K115" s="675"/>
      <c r="L115" s="1605">
        <f t="shared" si="12"/>
        <v>0</v>
      </c>
      <c r="M115" s="673">
        <f t="shared" si="13"/>
        <v>0</v>
      </c>
      <c r="N115" s="1332">
        <v>0.2</v>
      </c>
      <c r="O115" s="1333" t="str">
        <f t="shared" si="14"/>
        <v/>
      </c>
      <c r="P115" s="1573"/>
    </row>
    <row r="116" spans="2:16">
      <c r="B116" s="1331"/>
      <c r="C116" s="798"/>
      <c r="D116" s="678"/>
      <c r="E116" s="680"/>
      <c r="F116" s="679"/>
      <c r="G116" s="677"/>
      <c r="H116" s="677"/>
      <c r="I116" s="677"/>
      <c r="J116" s="1605">
        <f t="shared" si="11"/>
        <v>0</v>
      </c>
      <c r="K116" s="675"/>
      <c r="L116" s="1605">
        <f t="shared" si="12"/>
        <v>0</v>
      </c>
      <c r="M116" s="673">
        <f t="shared" si="13"/>
        <v>0</v>
      </c>
      <c r="N116" s="1332">
        <v>0.2</v>
      </c>
      <c r="O116" s="1333" t="str">
        <f t="shared" si="14"/>
        <v/>
      </c>
      <c r="P116" s="1573"/>
    </row>
    <row r="117" spans="2:16">
      <c r="B117" s="1331"/>
      <c r="C117" s="798"/>
      <c r="D117" s="678"/>
      <c r="E117" s="680"/>
      <c r="F117" s="679"/>
      <c r="G117" s="677"/>
      <c r="H117" s="677"/>
      <c r="I117" s="677"/>
      <c r="J117" s="1605">
        <f t="shared" ref="J117:J180" si="15">H117+I117</f>
        <v>0</v>
      </c>
      <c r="K117" s="675"/>
      <c r="L117" s="1605">
        <f t="shared" ref="L117:L180" si="16">J117*K117</f>
        <v>0</v>
      </c>
      <c r="M117" s="673">
        <f t="shared" ref="M117:M180" si="17">L117/$D$9</f>
        <v>0</v>
      </c>
      <c r="N117" s="1332">
        <v>0.2</v>
      </c>
      <c r="O117" s="1333" t="str">
        <f t="shared" ref="O117:O180" si="18">IF((M117-N117)&gt;0,M117-N117,"")</f>
        <v/>
      </c>
      <c r="P117" s="1573"/>
    </row>
    <row r="118" spans="2:16">
      <c r="B118" s="1331"/>
      <c r="C118" s="798"/>
      <c r="D118" s="678"/>
      <c r="E118" s="680"/>
      <c r="F118" s="679"/>
      <c r="G118" s="677"/>
      <c r="H118" s="677"/>
      <c r="I118" s="677"/>
      <c r="J118" s="1605">
        <f t="shared" si="15"/>
        <v>0</v>
      </c>
      <c r="K118" s="675"/>
      <c r="L118" s="1605">
        <f t="shared" si="16"/>
        <v>0</v>
      </c>
      <c r="M118" s="673">
        <f t="shared" si="17"/>
        <v>0</v>
      </c>
      <c r="N118" s="1332">
        <v>0.2</v>
      </c>
      <c r="O118" s="1333" t="str">
        <f t="shared" si="18"/>
        <v/>
      </c>
      <c r="P118" s="1573"/>
    </row>
    <row r="119" spans="2:16">
      <c r="B119" s="1331"/>
      <c r="C119" s="798"/>
      <c r="D119" s="678"/>
      <c r="E119" s="680"/>
      <c r="F119" s="679"/>
      <c r="G119" s="677"/>
      <c r="H119" s="677"/>
      <c r="I119" s="677"/>
      <c r="J119" s="1605">
        <f t="shared" si="15"/>
        <v>0</v>
      </c>
      <c r="K119" s="675"/>
      <c r="L119" s="1605">
        <f t="shared" si="16"/>
        <v>0</v>
      </c>
      <c r="M119" s="673">
        <f t="shared" si="17"/>
        <v>0</v>
      </c>
      <c r="N119" s="1332">
        <v>0.2</v>
      </c>
      <c r="O119" s="1333" t="str">
        <f t="shared" si="18"/>
        <v/>
      </c>
      <c r="P119" s="1573"/>
    </row>
    <row r="120" spans="2:16">
      <c r="B120" s="1331"/>
      <c r="C120" s="798"/>
      <c r="D120" s="678"/>
      <c r="E120" s="680"/>
      <c r="F120" s="679"/>
      <c r="G120" s="677"/>
      <c r="H120" s="677"/>
      <c r="I120" s="677"/>
      <c r="J120" s="1605">
        <f t="shared" si="15"/>
        <v>0</v>
      </c>
      <c r="K120" s="675"/>
      <c r="L120" s="1605">
        <f t="shared" si="16"/>
        <v>0</v>
      </c>
      <c r="M120" s="673">
        <f t="shared" si="17"/>
        <v>0</v>
      </c>
      <c r="N120" s="1332">
        <v>0.2</v>
      </c>
      <c r="O120" s="1333" t="str">
        <f t="shared" si="18"/>
        <v/>
      </c>
      <c r="P120" s="1573"/>
    </row>
    <row r="121" spans="2:16">
      <c r="B121" s="1331"/>
      <c r="C121" s="798"/>
      <c r="D121" s="678"/>
      <c r="E121" s="680"/>
      <c r="F121" s="679"/>
      <c r="G121" s="677"/>
      <c r="H121" s="677"/>
      <c r="I121" s="677"/>
      <c r="J121" s="1605">
        <f t="shared" si="15"/>
        <v>0</v>
      </c>
      <c r="K121" s="675"/>
      <c r="L121" s="1605">
        <f t="shared" si="16"/>
        <v>0</v>
      </c>
      <c r="M121" s="673">
        <f t="shared" si="17"/>
        <v>0</v>
      </c>
      <c r="N121" s="1332">
        <v>0.2</v>
      </c>
      <c r="O121" s="1333" t="str">
        <f t="shared" si="18"/>
        <v/>
      </c>
      <c r="P121" s="1573"/>
    </row>
    <row r="122" spans="2:16">
      <c r="B122" s="1331"/>
      <c r="C122" s="798"/>
      <c r="D122" s="678"/>
      <c r="E122" s="680"/>
      <c r="F122" s="679"/>
      <c r="G122" s="677"/>
      <c r="H122" s="677"/>
      <c r="I122" s="677"/>
      <c r="J122" s="1605">
        <f t="shared" si="15"/>
        <v>0</v>
      </c>
      <c r="K122" s="675"/>
      <c r="L122" s="1605">
        <f t="shared" si="16"/>
        <v>0</v>
      </c>
      <c r="M122" s="673">
        <f t="shared" si="17"/>
        <v>0</v>
      </c>
      <c r="N122" s="1332">
        <v>0.2</v>
      </c>
      <c r="O122" s="1333" t="str">
        <f t="shared" si="18"/>
        <v/>
      </c>
      <c r="P122" s="1573"/>
    </row>
    <row r="123" spans="2:16">
      <c r="B123" s="1331"/>
      <c r="C123" s="798"/>
      <c r="D123" s="678"/>
      <c r="E123" s="680"/>
      <c r="F123" s="679"/>
      <c r="G123" s="677"/>
      <c r="H123" s="677"/>
      <c r="I123" s="677"/>
      <c r="J123" s="1605">
        <f t="shared" si="15"/>
        <v>0</v>
      </c>
      <c r="K123" s="675"/>
      <c r="L123" s="1605">
        <f t="shared" si="16"/>
        <v>0</v>
      </c>
      <c r="M123" s="673">
        <f t="shared" si="17"/>
        <v>0</v>
      </c>
      <c r="N123" s="1332">
        <v>0.2</v>
      </c>
      <c r="O123" s="1333" t="str">
        <f t="shared" si="18"/>
        <v/>
      </c>
      <c r="P123" s="1573"/>
    </row>
    <row r="124" spans="2:16">
      <c r="B124" s="1331"/>
      <c r="C124" s="798"/>
      <c r="D124" s="678"/>
      <c r="E124" s="680"/>
      <c r="F124" s="679"/>
      <c r="G124" s="677"/>
      <c r="H124" s="677"/>
      <c r="I124" s="677"/>
      <c r="J124" s="1605">
        <f t="shared" si="15"/>
        <v>0</v>
      </c>
      <c r="K124" s="675"/>
      <c r="L124" s="1605">
        <f t="shared" si="16"/>
        <v>0</v>
      </c>
      <c r="M124" s="673">
        <f t="shared" si="17"/>
        <v>0</v>
      </c>
      <c r="N124" s="1332">
        <v>0.2</v>
      </c>
      <c r="O124" s="1333" t="str">
        <f t="shared" si="18"/>
        <v/>
      </c>
      <c r="P124" s="1573"/>
    </row>
    <row r="125" spans="2:16">
      <c r="B125" s="1331"/>
      <c r="C125" s="798"/>
      <c r="D125" s="678"/>
      <c r="E125" s="680"/>
      <c r="F125" s="679"/>
      <c r="G125" s="677"/>
      <c r="H125" s="677"/>
      <c r="I125" s="677"/>
      <c r="J125" s="1605">
        <f t="shared" si="15"/>
        <v>0</v>
      </c>
      <c r="K125" s="675"/>
      <c r="L125" s="1605">
        <f t="shared" si="16"/>
        <v>0</v>
      </c>
      <c r="M125" s="673">
        <f t="shared" si="17"/>
        <v>0</v>
      </c>
      <c r="N125" s="1332">
        <v>0.2</v>
      </c>
      <c r="O125" s="1333" t="str">
        <f t="shared" si="18"/>
        <v/>
      </c>
      <c r="P125" s="1573"/>
    </row>
    <row r="126" spans="2:16">
      <c r="B126" s="1331"/>
      <c r="C126" s="798"/>
      <c r="D126" s="678"/>
      <c r="E126" s="680"/>
      <c r="F126" s="679"/>
      <c r="G126" s="677"/>
      <c r="H126" s="677"/>
      <c r="I126" s="677"/>
      <c r="J126" s="1605">
        <f t="shared" si="15"/>
        <v>0</v>
      </c>
      <c r="K126" s="675"/>
      <c r="L126" s="1605">
        <f t="shared" si="16"/>
        <v>0</v>
      </c>
      <c r="M126" s="673">
        <f t="shared" si="17"/>
        <v>0</v>
      </c>
      <c r="N126" s="1332">
        <v>0.2</v>
      </c>
      <c r="O126" s="1333" t="str">
        <f t="shared" si="18"/>
        <v/>
      </c>
      <c r="P126" s="1573"/>
    </row>
    <row r="127" spans="2:16">
      <c r="B127" s="1331"/>
      <c r="C127" s="798"/>
      <c r="D127" s="678"/>
      <c r="E127" s="680"/>
      <c r="F127" s="679"/>
      <c r="G127" s="677"/>
      <c r="H127" s="677"/>
      <c r="I127" s="677"/>
      <c r="J127" s="1605">
        <f t="shared" si="15"/>
        <v>0</v>
      </c>
      <c r="K127" s="675"/>
      <c r="L127" s="1605">
        <f t="shared" si="16"/>
        <v>0</v>
      </c>
      <c r="M127" s="673">
        <f t="shared" si="17"/>
        <v>0</v>
      </c>
      <c r="N127" s="1332">
        <v>0.2</v>
      </c>
      <c r="O127" s="1333" t="str">
        <f t="shared" si="18"/>
        <v/>
      </c>
      <c r="P127" s="1573"/>
    </row>
    <row r="128" spans="2:16">
      <c r="B128" s="1331"/>
      <c r="C128" s="798"/>
      <c r="D128" s="678"/>
      <c r="E128" s="680"/>
      <c r="F128" s="679"/>
      <c r="G128" s="677"/>
      <c r="H128" s="677"/>
      <c r="I128" s="677"/>
      <c r="J128" s="1605">
        <f t="shared" si="15"/>
        <v>0</v>
      </c>
      <c r="K128" s="675"/>
      <c r="L128" s="1605">
        <f t="shared" si="16"/>
        <v>0</v>
      </c>
      <c r="M128" s="673">
        <f t="shared" si="17"/>
        <v>0</v>
      </c>
      <c r="N128" s="1332">
        <v>0.2</v>
      </c>
      <c r="O128" s="1333" t="str">
        <f t="shared" si="18"/>
        <v/>
      </c>
      <c r="P128" s="1573"/>
    </row>
    <row r="129" spans="2:16">
      <c r="B129" s="1331"/>
      <c r="C129" s="798"/>
      <c r="D129" s="678"/>
      <c r="E129" s="680"/>
      <c r="F129" s="679"/>
      <c r="G129" s="677"/>
      <c r="H129" s="677"/>
      <c r="I129" s="677"/>
      <c r="J129" s="1605">
        <f t="shared" si="15"/>
        <v>0</v>
      </c>
      <c r="K129" s="675"/>
      <c r="L129" s="1605">
        <f t="shared" si="16"/>
        <v>0</v>
      </c>
      <c r="M129" s="673">
        <f t="shared" si="17"/>
        <v>0</v>
      </c>
      <c r="N129" s="1332">
        <v>0.2</v>
      </c>
      <c r="O129" s="1333" t="str">
        <f t="shared" si="18"/>
        <v/>
      </c>
      <c r="P129" s="1573"/>
    </row>
    <row r="130" spans="2:16">
      <c r="B130" s="1331"/>
      <c r="C130" s="798"/>
      <c r="D130" s="678"/>
      <c r="E130" s="680"/>
      <c r="F130" s="679"/>
      <c r="G130" s="677"/>
      <c r="H130" s="677"/>
      <c r="I130" s="677"/>
      <c r="J130" s="1605">
        <f t="shared" si="15"/>
        <v>0</v>
      </c>
      <c r="K130" s="675"/>
      <c r="L130" s="1605">
        <f t="shared" si="16"/>
        <v>0</v>
      </c>
      <c r="M130" s="673">
        <f t="shared" si="17"/>
        <v>0</v>
      </c>
      <c r="N130" s="1332">
        <v>0.2</v>
      </c>
      <c r="O130" s="1333" t="str">
        <f t="shared" si="18"/>
        <v/>
      </c>
      <c r="P130" s="1573"/>
    </row>
    <row r="131" spans="2:16">
      <c r="B131" s="1331"/>
      <c r="C131" s="798"/>
      <c r="D131" s="678"/>
      <c r="E131" s="680"/>
      <c r="F131" s="679"/>
      <c r="G131" s="677"/>
      <c r="H131" s="677"/>
      <c r="I131" s="677"/>
      <c r="J131" s="1605">
        <f t="shared" si="15"/>
        <v>0</v>
      </c>
      <c r="K131" s="675"/>
      <c r="L131" s="1605">
        <f t="shared" si="16"/>
        <v>0</v>
      </c>
      <c r="M131" s="673">
        <f t="shared" si="17"/>
        <v>0</v>
      </c>
      <c r="N131" s="1332">
        <v>0.2</v>
      </c>
      <c r="O131" s="1333" t="str">
        <f t="shared" si="18"/>
        <v/>
      </c>
      <c r="P131" s="1573"/>
    </row>
    <row r="132" spans="2:16">
      <c r="B132" s="1331"/>
      <c r="C132" s="798"/>
      <c r="D132" s="678"/>
      <c r="E132" s="680"/>
      <c r="F132" s="679"/>
      <c r="G132" s="677"/>
      <c r="H132" s="677"/>
      <c r="I132" s="677"/>
      <c r="J132" s="1605">
        <f t="shared" si="15"/>
        <v>0</v>
      </c>
      <c r="K132" s="675"/>
      <c r="L132" s="1605">
        <f t="shared" si="16"/>
        <v>0</v>
      </c>
      <c r="M132" s="673">
        <f t="shared" si="17"/>
        <v>0</v>
      </c>
      <c r="N132" s="1332">
        <v>0.2</v>
      </c>
      <c r="O132" s="1333" t="str">
        <f t="shared" si="18"/>
        <v/>
      </c>
      <c r="P132" s="1573"/>
    </row>
    <row r="133" spans="2:16">
      <c r="B133" s="1331"/>
      <c r="C133" s="798"/>
      <c r="D133" s="678"/>
      <c r="E133" s="680"/>
      <c r="F133" s="679"/>
      <c r="G133" s="677"/>
      <c r="H133" s="677"/>
      <c r="I133" s="677"/>
      <c r="J133" s="1605">
        <f t="shared" si="15"/>
        <v>0</v>
      </c>
      <c r="K133" s="675"/>
      <c r="L133" s="1605">
        <f t="shared" si="16"/>
        <v>0</v>
      </c>
      <c r="M133" s="673">
        <f t="shared" si="17"/>
        <v>0</v>
      </c>
      <c r="N133" s="1332">
        <v>0.2</v>
      </c>
      <c r="O133" s="1333" t="str">
        <f t="shared" si="18"/>
        <v/>
      </c>
      <c r="P133" s="1573"/>
    </row>
    <row r="134" spans="2:16">
      <c r="B134" s="1331"/>
      <c r="C134" s="798"/>
      <c r="D134" s="678"/>
      <c r="E134" s="680"/>
      <c r="F134" s="679"/>
      <c r="G134" s="677"/>
      <c r="H134" s="677"/>
      <c r="I134" s="677"/>
      <c r="J134" s="1605">
        <f t="shared" si="15"/>
        <v>0</v>
      </c>
      <c r="K134" s="675"/>
      <c r="L134" s="1605">
        <f t="shared" si="16"/>
        <v>0</v>
      </c>
      <c r="M134" s="673">
        <f t="shared" si="17"/>
        <v>0</v>
      </c>
      <c r="N134" s="1332">
        <v>0.2</v>
      </c>
      <c r="O134" s="1333" t="str">
        <f t="shared" si="18"/>
        <v/>
      </c>
      <c r="P134" s="1573"/>
    </row>
    <row r="135" spans="2:16">
      <c r="B135" s="1331"/>
      <c r="C135" s="798"/>
      <c r="D135" s="678"/>
      <c r="E135" s="680"/>
      <c r="F135" s="679"/>
      <c r="G135" s="677"/>
      <c r="H135" s="677"/>
      <c r="I135" s="677"/>
      <c r="J135" s="1605">
        <f t="shared" si="15"/>
        <v>0</v>
      </c>
      <c r="K135" s="675"/>
      <c r="L135" s="1605">
        <f t="shared" si="16"/>
        <v>0</v>
      </c>
      <c r="M135" s="673">
        <f t="shared" si="17"/>
        <v>0</v>
      </c>
      <c r="N135" s="1332">
        <v>0.2</v>
      </c>
      <c r="O135" s="1333" t="str">
        <f t="shared" si="18"/>
        <v/>
      </c>
      <c r="P135" s="1573"/>
    </row>
    <row r="136" spans="2:16">
      <c r="B136" s="1331"/>
      <c r="C136" s="798"/>
      <c r="D136" s="678"/>
      <c r="E136" s="680"/>
      <c r="F136" s="679"/>
      <c r="G136" s="677"/>
      <c r="H136" s="677"/>
      <c r="I136" s="677"/>
      <c r="J136" s="1605">
        <f t="shared" si="15"/>
        <v>0</v>
      </c>
      <c r="K136" s="675"/>
      <c r="L136" s="1605">
        <f t="shared" si="16"/>
        <v>0</v>
      </c>
      <c r="M136" s="673">
        <f t="shared" si="17"/>
        <v>0</v>
      </c>
      <c r="N136" s="1332">
        <v>0.2</v>
      </c>
      <c r="O136" s="1333" t="str">
        <f t="shared" si="18"/>
        <v/>
      </c>
      <c r="P136" s="1573"/>
    </row>
    <row r="137" spans="2:16">
      <c r="B137" s="1331"/>
      <c r="C137" s="798"/>
      <c r="D137" s="678"/>
      <c r="E137" s="680"/>
      <c r="F137" s="679"/>
      <c r="G137" s="677"/>
      <c r="H137" s="677"/>
      <c r="I137" s="677"/>
      <c r="J137" s="1605">
        <f t="shared" si="15"/>
        <v>0</v>
      </c>
      <c r="K137" s="675"/>
      <c r="L137" s="1605">
        <f t="shared" si="16"/>
        <v>0</v>
      </c>
      <c r="M137" s="673">
        <f t="shared" si="17"/>
        <v>0</v>
      </c>
      <c r="N137" s="1332">
        <v>0.2</v>
      </c>
      <c r="O137" s="1333" t="str">
        <f t="shared" si="18"/>
        <v/>
      </c>
      <c r="P137" s="1573"/>
    </row>
    <row r="138" spans="2:16">
      <c r="B138" s="1331"/>
      <c r="C138" s="798"/>
      <c r="D138" s="678"/>
      <c r="E138" s="680"/>
      <c r="F138" s="679"/>
      <c r="G138" s="677"/>
      <c r="H138" s="677"/>
      <c r="I138" s="677"/>
      <c r="J138" s="1605">
        <f t="shared" si="15"/>
        <v>0</v>
      </c>
      <c r="K138" s="675"/>
      <c r="L138" s="1605">
        <f t="shared" si="16"/>
        <v>0</v>
      </c>
      <c r="M138" s="673">
        <f t="shared" si="17"/>
        <v>0</v>
      </c>
      <c r="N138" s="1332">
        <v>0.2</v>
      </c>
      <c r="O138" s="1333" t="str">
        <f t="shared" si="18"/>
        <v/>
      </c>
      <c r="P138" s="1573"/>
    </row>
    <row r="139" spans="2:16">
      <c r="B139" s="1331"/>
      <c r="C139" s="798"/>
      <c r="D139" s="678"/>
      <c r="E139" s="680"/>
      <c r="F139" s="679"/>
      <c r="G139" s="677"/>
      <c r="H139" s="677"/>
      <c r="I139" s="677"/>
      <c r="J139" s="1605">
        <f t="shared" si="15"/>
        <v>0</v>
      </c>
      <c r="K139" s="675"/>
      <c r="L139" s="1605">
        <f t="shared" si="16"/>
        <v>0</v>
      </c>
      <c r="M139" s="673">
        <f t="shared" si="17"/>
        <v>0</v>
      </c>
      <c r="N139" s="1332">
        <v>0.2</v>
      </c>
      <c r="O139" s="1333" t="str">
        <f t="shared" si="18"/>
        <v/>
      </c>
      <c r="P139" s="1573"/>
    </row>
    <row r="140" spans="2:16">
      <c r="B140" s="1331"/>
      <c r="C140" s="798"/>
      <c r="D140" s="678"/>
      <c r="E140" s="680"/>
      <c r="F140" s="679"/>
      <c r="G140" s="677"/>
      <c r="H140" s="677"/>
      <c r="I140" s="677"/>
      <c r="J140" s="1605">
        <f t="shared" si="15"/>
        <v>0</v>
      </c>
      <c r="K140" s="675"/>
      <c r="L140" s="1605">
        <f t="shared" si="16"/>
        <v>0</v>
      </c>
      <c r="M140" s="673">
        <f t="shared" si="17"/>
        <v>0</v>
      </c>
      <c r="N140" s="1332">
        <v>0.2</v>
      </c>
      <c r="O140" s="1333" t="str">
        <f t="shared" si="18"/>
        <v/>
      </c>
      <c r="P140" s="1573"/>
    </row>
    <row r="141" spans="2:16">
      <c r="B141" s="1331"/>
      <c r="C141" s="798"/>
      <c r="D141" s="678"/>
      <c r="E141" s="680"/>
      <c r="F141" s="679"/>
      <c r="G141" s="677"/>
      <c r="H141" s="677"/>
      <c r="I141" s="677"/>
      <c r="J141" s="1605">
        <f t="shared" si="15"/>
        <v>0</v>
      </c>
      <c r="K141" s="675"/>
      <c r="L141" s="1605">
        <f t="shared" si="16"/>
        <v>0</v>
      </c>
      <c r="M141" s="673">
        <f t="shared" si="17"/>
        <v>0</v>
      </c>
      <c r="N141" s="1332">
        <v>0.2</v>
      </c>
      <c r="O141" s="1333" t="str">
        <f t="shared" si="18"/>
        <v/>
      </c>
      <c r="P141" s="1573"/>
    </row>
    <row r="142" spans="2:16">
      <c r="B142" s="1331"/>
      <c r="C142" s="798"/>
      <c r="D142" s="678"/>
      <c r="E142" s="680"/>
      <c r="F142" s="679"/>
      <c r="G142" s="677"/>
      <c r="H142" s="677"/>
      <c r="I142" s="677"/>
      <c r="J142" s="1605">
        <f t="shared" si="15"/>
        <v>0</v>
      </c>
      <c r="K142" s="675"/>
      <c r="L142" s="1605">
        <f t="shared" si="16"/>
        <v>0</v>
      </c>
      <c r="M142" s="673">
        <f t="shared" si="17"/>
        <v>0</v>
      </c>
      <c r="N142" s="1332">
        <v>0.2</v>
      </c>
      <c r="O142" s="1333" t="str">
        <f t="shared" si="18"/>
        <v/>
      </c>
      <c r="P142" s="1573"/>
    </row>
    <row r="143" spans="2:16">
      <c r="B143" s="1331"/>
      <c r="C143" s="798"/>
      <c r="D143" s="678"/>
      <c r="E143" s="680"/>
      <c r="F143" s="679"/>
      <c r="G143" s="677"/>
      <c r="H143" s="677"/>
      <c r="I143" s="677"/>
      <c r="J143" s="1605">
        <f t="shared" si="15"/>
        <v>0</v>
      </c>
      <c r="K143" s="675"/>
      <c r="L143" s="1605">
        <f t="shared" si="16"/>
        <v>0</v>
      </c>
      <c r="M143" s="673">
        <f t="shared" si="17"/>
        <v>0</v>
      </c>
      <c r="N143" s="1332">
        <v>0.2</v>
      </c>
      <c r="O143" s="1333" t="str">
        <f t="shared" si="18"/>
        <v/>
      </c>
      <c r="P143" s="1573"/>
    </row>
    <row r="144" spans="2:16">
      <c r="B144" s="1331"/>
      <c r="C144" s="798"/>
      <c r="D144" s="678"/>
      <c r="E144" s="680"/>
      <c r="F144" s="679"/>
      <c r="G144" s="677"/>
      <c r="H144" s="677"/>
      <c r="I144" s="677"/>
      <c r="J144" s="1605">
        <f t="shared" si="15"/>
        <v>0</v>
      </c>
      <c r="K144" s="675"/>
      <c r="L144" s="1605">
        <f t="shared" si="16"/>
        <v>0</v>
      </c>
      <c r="M144" s="673">
        <f t="shared" si="17"/>
        <v>0</v>
      </c>
      <c r="N144" s="1332">
        <v>0.2</v>
      </c>
      <c r="O144" s="1333" t="str">
        <f t="shared" si="18"/>
        <v/>
      </c>
      <c r="P144" s="1573"/>
    </row>
    <row r="145" spans="2:16">
      <c r="B145" s="1331"/>
      <c r="C145" s="798"/>
      <c r="D145" s="678"/>
      <c r="E145" s="680"/>
      <c r="F145" s="679"/>
      <c r="G145" s="677"/>
      <c r="H145" s="677"/>
      <c r="I145" s="677"/>
      <c r="J145" s="1605">
        <f t="shared" si="15"/>
        <v>0</v>
      </c>
      <c r="K145" s="675"/>
      <c r="L145" s="1605">
        <f t="shared" si="16"/>
        <v>0</v>
      </c>
      <c r="M145" s="673">
        <f t="shared" si="17"/>
        <v>0</v>
      </c>
      <c r="N145" s="1332">
        <v>0.2</v>
      </c>
      <c r="O145" s="1333" t="str">
        <f t="shared" si="18"/>
        <v/>
      </c>
      <c r="P145" s="1573"/>
    </row>
    <row r="146" spans="2:16">
      <c r="B146" s="1331"/>
      <c r="C146" s="798"/>
      <c r="D146" s="678"/>
      <c r="E146" s="680"/>
      <c r="F146" s="679"/>
      <c r="G146" s="677"/>
      <c r="H146" s="677"/>
      <c r="I146" s="677"/>
      <c r="J146" s="1605">
        <f t="shared" si="15"/>
        <v>0</v>
      </c>
      <c r="K146" s="675"/>
      <c r="L146" s="1605">
        <f t="shared" si="16"/>
        <v>0</v>
      </c>
      <c r="M146" s="673">
        <f t="shared" si="17"/>
        <v>0</v>
      </c>
      <c r="N146" s="1332">
        <v>0.2</v>
      </c>
      <c r="O146" s="1333" t="str">
        <f t="shared" si="18"/>
        <v/>
      </c>
      <c r="P146" s="1573"/>
    </row>
    <row r="147" spans="2:16">
      <c r="B147" s="1331"/>
      <c r="C147" s="798"/>
      <c r="D147" s="678"/>
      <c r="E147" s="680"/>
      <c r="F147" s="679"/>
      <c r="G147" s="677"/>
      <c r="H147" s="677"/>
      <c r="I147" s="677"/>
      <c r="J147" s="1605">
        <f t="shared" si="15"/>
        <v>0</v>
      </c>
      <c r="K147" s="675"/>
      <c r="L147" s="1605">
        <f t="shared" si="16"/>
        <v>0</v>
      </c>
      <c r="M147" s="673">
        <f t="shared" si="17"/>
        <v>0</v>
      </c>
      <c r="N147" s="1332">
        <v>0.2</v>
      </c>
      <c r="O147" s="1333" t="str">
        <f t="shared" si="18"/>
        <v/>
      </c>
      <c r="P147" s="1573"/>
    </row>
    <row r="148" spans="2:16">
      <c r="B148" s="1331"/>
      <c r="C148" s="798"/>
      <c r="D148" s="678"/>
      <c r="E148" s="680"/>
      <c r="F148" s="679"/>
      <c r="G148" s="677"/>
      <c r="H148" s="677"/>
      <c r="I148" s="677"/>
      <c r="J148" s="1605">
        <f t="shared" si="15"/>
        <v>0</v>
      </c>
      <c r="K148" s="675"/>
      <c r="L148" s="1605">
        <f t="shared" si="16"/>
        <v>0</v>
      </c>
      <c r="M148" s="673">
        <f t="shared" si="17"/>
        <v>0</v>
      </c>
      <c r="N148" s="1332">
        <v>0.2</v>
      </c>
      <c r="O148" s="1333" t="str">
        <f t="shared" si="18"/>
        <v/>
      </c>
      <c r="P148" s="1573"/>
    </row>
    <row r="149" spans="2:16">
      <c r="B149" s="1331"/>
      <c r="C149" s="798"/>
      <c r="D149" s="678"/>
      <c r="E149" s="680"/>
      <c r="F149" s="679"/>
      <c r="G149" s="677"/>
      <c r="H149" s="677"/>
      <c r="I149" s="677"/>
      <c r="J149" s="1605">
        <f t="shared" si="15"/>
        <v>0</v>
      </c>
      <c r="K149" s="675"/>
      <c r="L149" s="1605">
        <f t="shared" si="16"/>
        <v>0</v>
      </c>
      <c r="M149" s="673">
        <f t="shared" si="17"/>
        <v>0</v>
      </c>
      <c r="N149" s="1332">
        <v>0.2</v>
      </c>
      <c r="O149" s="1333" t="str">
        <f t="shared" si="18"/>
        <v/>
      </c>
      <c r="P149" s="1573"/>
    </row>
    <row r="150" spans="2:16">
      <c r="B150" s="1331"/>
      <c r="C150" s="798"/>
      <c r="D150" s="678"/>
      <c r="E150" s="680"/>
      <c r="F150" s="679"/>
      <c r="G150" s="677"/>
      <c r="H150" s="677"/>
      <c r="I150" s="677"/>
      <c r="J150" s="1605">
        <f t="shared" si="15"/>
        <v>0</v>
      </c>
      <c r="K150" s="675"/>
      <c r="L150" s="1605">
        <f t="shared" si="16"/>
        <v>0</v>
      </c>
      <c r="M150" s="673">
        <f t="shared" si="17"/>
        <v>0</v>
      </c>
      <c r="N150" s="1332">
        <v>0.2</v>
      </c>
      <c r="O150" s="1333" t="str">
        <f t="shared" si="18"/>
        <v/>
      </c>
      <c r="P150" s="1573"/>
    </row>
    <row r="151" spans="2:16">
      <c r="B151" s="1331"/>
      <c r="C151" s="798"/>
      <c r="D151" s="678"/>
      <c r="E151" s="680"/>
      <c r="F151" s="679"/>
      <c r="G151" s="677"/>
      <c r="H151" s="677"/>
      <c r="I151" s="677"/>
      <c r="J151" s="1605">
        <f t="shared" si="15"/>
        <v>0</v>
      </c>
      <c r="K151" s="675"/>
      <c r="L151" s="1605">
        <f t="shared" si="16"/>
        <v>0</v>
      </c>
      <c r="M151" s="673">
        <f t="shared" si="17"/>
        <v>0</v>
      </c>
      <c r="N151" s="1332">
        <v>0.2</v>
      </c>
      <c r="O151" s="1333" t="str">
        <f t="shared" si="18"/>
        <v/>
      </c>
      <c r="P151" s="1573"/>
    </row>
    <row r="152" spans="2:16">
      <c r="B152" s="1331"/>
      <c r="C152" s="798"/>
      <c r="D152" s="678"/>
      <c r="E152" s="680"/>
      <c r="F152" s="679"/>
      <c r="G152" s="677"/>
      <c r="H152" s="677"/>
      <c r="I152" s="677"/>
      <c r="J152" s="1605">
        <f t="shared" si="15"/>
        <v>0</v>
      </c>
      <c r="K152" s="675"/>
      <c r="L152" s="1605">
        <f t="shared" si="16"/>
        <v>0</v>
      </c>
      <c r="M152" s="673">
        <f t="shared" si="17"/>
        <v>0</v>
      </c>
      <c r="N152" s="1332">
        <v>0.2</v>
      </c>
      <c r="O152" s="1333" t="str">
        <f t="shared" si="18"/>
        <v/>
      </c>
      <c r="P152" s="1573"/>
    </row>
    <row r="153" spans="2:16">
      <c r="B153" s="1331"/>
      <c r="C153" s="798"/>
      <c r="D153" s="678"/>
      <c r="E153" s="680"/>
      <c r="F153" s="679"/>
      <c r="G153" s="677"/>
      <c r="H153" s="677"/>
      <c r="I153" s="677"/>
      <c r="J153" s="1605">
        <f t="shared" si="15"/>
        <v>0</v>
      </c>
      <c r="K153" s="675"/>
      <c r="L153" s="1605">
        <f t="shared" si="16"/>
        <v>0</v>
      </c>
      <c r="M153" s="673">
        <f t="shared" si="17"/>
        <v>0</v>
      </c>
      <c r="N153" s="1332">
        <v>0.2</v>
      </c>
      <c r="O153" s="1333" t="str">
        <f t="shared" si="18"/>
        <v/>
      </c>
      <c r="P153" s="1573"/>
    </row>
    <row r="154" spans="2:16">
      <c r="B154" s="1331"/>
      <c r="C154" s="798"/>
      <c r="D154" s="678"/>
      <c r="E154" s="680"/>
      <c r="F154" s="679"/>
      <c r="G154" s="677"/>
      <c r="H154" s="677"/>
      <c r="I154" s="677"/>
      <c r="J154" s="1605">
        <f t="shared" si="15"/>
        <v>0</v>
      </c>
      <c r="K154" s="675"/>
      <c r="L154" s="1605">
        <f t="shared" si="16"/>
        <v>0</v>
      </c>
      <c r="M154" s="673">
        <f t="shared" si="17"/>
        <v>0</v>
      </c>
      <c r="N154" s="1332">
        <v>0.2</v>
      </c>
      <c r="O154" s="1333" t="str">
        <f t="shared" si="18"/>
        <v/>
      </c>
      <c r="P154" s="1573"/>
    </row>
    <row r="155" spans="2:16">
      <c r="B155" s="1331"/>
      <c r="C155" s="798"/>
      <c r="D155" s="678"/>
      <c r="E155" s="680"/>
      <c r="F155" s="679"/>
      <c r="G155" s="677"/>
      <c r="H155" s="677"/>
      <c r="I155" s="677"/>
      <c r="J155" s="1605">
        <f t="shared" si="15"/>
        <v>0</v>
      </c>
      <c r="K155" s="675"/>
      <c r="L155" s="1605">
        <f t="shared" si="16"/>
        <v>0</v>
      </c>
      <c r="M155" s="673">
        <f t="shared" si="17"/>
        <v>0</v>
      </c>
      <c r="N155" s="1332">
        <v>0.2</v>
      </c>
      <c r="O155" s="1333" t="str">
        <f t="shared" si="18"/>
        <v/>
      </c>
      <c r="P155" s="1573"/>
    </row>
    <row r="156" spans="2:16">
      <c r="B156" s="1331"/>
      <c r="C156" s="798"/>
      <c r="D156" s="678"/>
      <c r="E156" s="680"/>
      <c r="F156" s="679"/>
      <c r="G156" s="677"/>
      <c r="H156" s="677"/>
      <c r="I156" s="677"/>
      <c r="J156" s="1605">
        <f t="shared" si="15"/>
        <v>0</v>
      </c>
      <c r="K156" s="675"/>
      <c r="L156" s="1605">
        <f t="shared" si="16"/>
        <v>0</v>
      </c>
      <c r="M156" s="673">
        <f t="shared" si="17"/>
        <v>0</v>
      </c>
      <c r="N156" s="1332">
        <v>0.2</v>
      </c>
      <c r="O156" s="1333" t="str">
        <f t="shared" si="18"/>
        <v/>
      </c>
      <c r="P156" s="1573"/>
    </row>
    <row r="157" spans="2:16">
      <c r="B157" s="1331"/>
      <c r="C157" s="798"/>
      <c r="D157" s="678"/>
      <c r="E157" s="680"/>
      <c r="F157" s="679"/>
      <c r="G157" s="677"/>
      <c r="H157" s="677"/>
      <c r="I157" s="677"/>
      <c r="J157" s="1605">
        <f t="shared" si="15"/>
        <v>0</v>
      </c>
      <c r="K157" s="675"/>
      <c r="L157" s="1605">
        <f t="shared" si="16"/>
        <v>0</v>
      </c>
      <c r="M157" s="673">
        <f t="shared" si="17"/>
        <v>0</v>
      </c>
      <c r="N157" s="1332">
        <v>0.2</v>
      </c>
      <c r="O157" s="1333" t="str">
        <f t="shared" si="18"/>
        <v/>
      </c>
      <c r="P157" s="1573"/>
    </row>
    <row r="158" spans="2:16">
      <c r="B158" s="1331"/>
      <c r="C158" s="798"/>
      <c r="D158" s="678"/>
      <c r="E158" s="680"/>
      <c r="F158" s="679"/>
      <c r="G158" s="677"/>
      <c r="H158" s="677"/>
      <c r="I158" s="677"/>
      <c r="J158" s="1605">
        <f t="shared" si="15"/>
        <v>0</v>
      </c>
      <c r="K158" s="675"/>
      <c r="L158" s="1605">
        <f t="shared" si="16"/>
        <v>0</v>
      </c>
      <c r="M158" s="673">
        <f t="shared" si="17"/>
        <v>0</v>
      </c>
      <c r="N158" s="1332">
        <v>0.2</v>
      </c>
      <c r="O158" s="1333" t="str">
        <f t="shared" si="18"/>
        <v/>
      </c>
      <c r="P158" s="1573"/>
    </row>
    <row r="159" spans="2:16">
      <c r="B159" s="1331"/>
      <c r="C159" s="798"/>
      <c r="D159" s="678"/>
      <c r="E159" s="680"/>
      <c r="F159" s="679"/>
      <c r="G159" s="677"/>
      <c r="H159" s="677"/>
      <c r="I159" s="677"/>
      <c r="J159" s="1605">
        <f t="shared" si="15"/>
        <v>0</v>
      </c>
      <c r="K159" s="675"/>
      <c r="L159" s="1605">
        <f t="shared" si="16"/>
        <v>0</v>
      </c>
      <c r="M159" s="673">
        <f t="shared" si="17"/>
        <v>0</v>
      </c>
      <c r="N159" s="1332">
        <v>0.2</v>
      </c>
      <c r="O159" s="1333" t="str">
        <f t="shared" si="18"/>
        <v/>
      </c>
      <c r="P159" s="1573"/>
    </row>
    <row r="160" spans="2:16">
      <c r="B160" s="1331"/>
      <c r="C160" s="798"/>
      <c r="D160" s="678"/>
      <c r="E160" s="680"/>
      <c r="F160" s="679"/>
      <c r="G160" s="677"/>
      <c r="H160" s="677"/>
      <c r="I160" s="677"/>
      <c r="J160" s="1605">
        <f t="shared" si="15"/>
        <v>0</v>
      </c>
      <c r="K160" s="675"/>
      <c r="L160" s="1605">
        <f t="shared" si="16"/>
        <v>0</v>
      </c>
      <c r="M160" s="673">
        <f t="shared" si="17"/>
        <v>0</v>
      </c>
      <c r="N160" s="1332">
        <v>0.2</v>
      </c>
      <c r="O160" s="1333" t="str">
        <f t="shared" si="18"/>
        <v/>
      </c>
      <c r="P160" s="1573"/>
    </row>
    <row r="161" spans="2:16">
      <c r="B161" s="1331"/>
      <c r="C161" s="798"/>
      <c r="D161" s="678"/>
      <c r="E161" s="680"/>
      <c r="F161" s="679"/>
      <c r="G161" s="677"/>
      <c r="H161" s="677"/>
      <c r="I161" s="677"/>
      <c r="J161" s="1605">
        <f t="shared" si="15"/>
        <v>0</v>
      </c>
      <c r="K161" s="675"/>
      <c r="L161" s="1605">
        <f t="shared" si="16"/>
        <v>0</v>
      </c>
      <c r="M161" s="673">
        <f t="shared" si="17"/>
        <v>0</v>
      </c>
      <c r="N161" s="1332">
        <v>0.2</v>
      </c>
      <c r="O161" s="1333" t="str">
        <f t="shared" si="18"/>
        <v/>
      </c>
      <c r="P161" s="1573"/>
    </row>
    <row r="162" spans="2:16">
      <c r="B162" s="1331"/>
      <c r="C162" s="798"/>
      <c r="D162" s="678"/>
      <c r="E162" s="680"/>
      <c r="F162" s="679"/>
      <c r="G162" s="677"/>
      <c r="H162" s="677"/>
      <c r="I162" s="677"/>
      <c r="J162" s="1605">
        <f t="shared" si="15"/>
        <v>0</v>
      </c>
      <c r="K162" s="675"/>
      <c r="L162" s="1605">
        <f t="shared" si="16"/>
        <v>0</v>
      </c>
      <c r="M162" s="673">
        <f t="shared" si="17"/>
        <v>0</v>
      </c>
      <c r="N162" s="1332">
        <v>0.2</v>
      </c>
      <c r="O162" s="1333" t="str">
        <f t="shared" si="18"/>
        <v/>
      </c>
      <c r="P162" s="1573"/>
    </row>
    <row r="163" spans="2:16">
      <c r="B163" s="1331"/>
      <c r="C163" s="798"/>
      <c r="D163" s="678"/>
      <c r="E163" s="680"/>
      <c r="F163" s="679"/>
      <c r="G163" s="677"/>
      <c r="H163" s="677"/>
      <c r="I163" s="677"/>
      <c r="J163" s="1605">
        <f t="shared" si="15"/>
        <v>0</v>
      </c>
      <c r="K163" s="675"/>
      <c r="L163" s="1605">
        <f t="shared" si="16"/>
        <v>0</v>
      </c>
      <c r="M163" s="673">
        <f t="shared" si="17"/>
        <v>0</v>
      </c>
      <c r="N163" s="1332">
        <v>0.2</v>
      </c>
      <c r="O163" s="1333" t="str">
        <f t="shared" si="18"/>
        <v/>
      </c>
      <c r="P163" s="1573"/>
    </row>
    <row r="164" spans="2:16">
      <c r="B164" s="1331"/>
      <c r="C164" s="798"/>
      <c r="D164" s="678"/>
      <c r="E164" s="680"/>
      <c r="F164" s="679"/>
      <c r="G164" s="677"/>
      <c r="H164" s="677"/>
      <c r="I164" s="677"/>
      <c r="J164" s="1605">
        <f t="shared" si="15"/>
        <v>0</v>
      </c>
      <c r="K164" s="675"/>
      <c r="L164" s="1605">
        <f t="shared" si="16"/>
        <v>0</v>
      </c>
      <c r="M164" s="673">
        <f t="shared" si="17"/>
        <v>0</v>
      </c>
      <c r="N164" s="1332">
        <v>0.2</v>
      </c>
      <c r="O164" s="1333" t="str">
        <f t="shared" si="18"/>
        <v/>
      </c>
      <c r="P164" s="1573"/>
    </row>
    <row r="165" spans="2:16">
      <c r="B165" s="1331"/>
      <c r="C165" s="798"/>
      <c r="D165" s="678"/>
      <c r="E165" s="680"/>
      <c r="F165" s="679"/>
      <c r="G165" s="677"/>
      <c r="H165" s="677"/>
      <c r="I165" s="677"/>
      <c r="J165" s="1605">
        <f t="shared" si="15"/>
        <v>0</v>
      </c>
      <c r="K165" s="675"/>
      <c r="L165" s="1605">
        <f t="shared" si="16"/>
        <v>0</v>
      </c>
      <c r="M165" s="673">
        <f t="shared" si="17"/>
        <v>0</v>
      </c>
      <c r="N165" s="1332">
        <v>0.2</v>
      </c>
      <c r="O165" s="1333" t="str">
        <f t="shared" si="18"/>
        <v/>
      </c>
      <c r="P165" s="1573"/>
    </row>
    <row r="166" spans="2:16">
      <c r="B166" s="1331"/>
      <c r="C166" s="798"/>
      <c r="D166" s="678"/>
      <c r="E166" s="680"/>
      <c r="F166" s="679"/>
      <c r="G166" s="677"/>
      <c r="H166" s="677"/>
      <c r="I166" s="677"/>
      <c r="J166" s="1605">
        <f t="shared" si="15"/>
        <v>0</v>
      </c>
      <c r="K166" s="675"/>
      <c r="L166" s="1605">
        <f t="shared" si="16"/>
        <v>0</v>
      </c>
      <c r="M166" s="673">
        <f t="shared" si="17"/>
        <v>0</v>
      </c>
      <c r="N166" s="1332">
        <v>0.2</v>
      </c>
      <c r="O166" s="1333" t="str">
        <f t="shared" si="18"/>
        <v/>
      </c>
      <c r="P166" s="1573"/>
    </row>
    <row r="167" spans="2:16">
      <c r="B167" s="1331"/>
      <c r="C167" s="798"/>
      <c r="D167" s="678"/>
      <c r="E167" s="680"/>
      <c r="F167" s="679"/>
      <c r="G167" s="677"/>
      <c r="H167" s="677"/>
      <c r="I167" s="677"/>
      <c r="J167" s="1605">
        <f t="shared" si="15"/>
        <v>0</v>
      </c>
      <c r="K167" s="675"/>
      <c r="L167" s="1605">
        <f t="shared" si="16"/>
        <v>0</v>
      </c>
      <c r="M167" s="673">
        <f t="shared" si="17"/>
        <v>0</v>
      </c>
      <c r="N167" s="1332">
        <v>0.2</v>
      </c>
      <c r="O167" s="1333" t="str">
        <f t="shared" si="18"/>
        <v/>
      </c>
      <c r="P167" s="1573"/>
    </row>
    <row r="168" spans="2:16">
      <c r="B168" s="1331"/>
      <c r="C168" s="798"/>
      <c r="D168" s="678"/>
      <c r="E168" s="680"/>
      <c r="F168" s="679"/>
      <c r="G168" s="677"/>
      <c r="H168" s="677"/>
      <c r="I168" s="677"/>
      <c r="J168" s="1605">
        <f t="shared" si="15"/>
        <v>0</v>
      </c>
      <c r="K168" s="675"/>
      <c r="L168" s="1605">
        <f t="shared" si="16"/>
        <v>0</v>
      </c>
      <c r="M168" s="673">
        <f t="shared" si="17"/>
        <v>0</v>
      </c>
      <c r="N168" s="1332">
        <v>0.2</v>
      </c>
      <c r="O168" s="1333" t="str">
        <f t="shared" si="18"/>
        <v/>
      </c>
      <c r="P168" s="1573"/>
    </row>
    <row r="169" spans="2:16">
      <c r="B169" s="1331"/>
      <c r="C169" s="798"/>
      <c r="D169" s="678"/>
      <c r="E169" s="680"/>
      <c r="F169" s="679"/>
      <c r="G169" s="677"/>
      <c r="H169" s="677"/>
      <c r="I169" s="677"/>
      <c r="J169" s="1605">
        <f t="shared" si="15"/>
        <v>0</v>
      </c>
      <c r="K169" s="675"/>
      <c r="L169" s="1605">
        <f t="shared" si="16"/>
        <v>0</v>
      </c>
      <c r="M169" s="673">
        <f t="shared" si="17"/>
        <v>0</v>
      </c>
      <c r="N169" s="1332">
        <v>0.2</v>
      </c>
      <c r="O169" s="1333" t="str">
        <f t="shared" si="18"/>
        <v/>
      </c>
      <c r="P169" s="1573"/>
    </row>
    <row r="170" spans="2:16">
      <c r="B170" s="1331"/>
      <c r="C170" s="798"/>
      <c r="D170" s="678"/>
      <c r="E170" s="680"/>
      <c r="F170" s="679"/>
      <c r="G170" s="677"/>
      <c r="H170" s="677"/>
      <c r="I170" s="677"/>
      <c r="J170" s="1605">
        <f t="shared" si="15"/>
        <v>0</v>
      </c>
      <c r="K170" s="675"/>
      <c r="L170" s="1605">
        <f t="shared" si="16"/>
        <v>0</v>
      </c>
      <c r="M170" s="673">
        <f t="shared" si="17"/>
        <v>0</v>
      </c>
      <c r="N170" s="1332">
        <v>0.2</v>
      </c>
      <c r="O170" s="1333" t="str">
        <f t="shared" si="18"/>
        <v/>
      </c>
      <c r="P170" s="1573"/>
    </row>
    <row r="171" spans="2:16">
      <c r="B171" s="1331"/>
      <c r="C171" s="798"/>
      <c r="D171" s="678"/>
      <c r="E171" s="680"/>
      <c r="F171" s="679"/>
      <c r="G171" s="677"/>
      <c r="H171" s="677"/>
      <c r="I171" s="677"/>
      <c r="J171" s="1605">
        <f t="shared" si="15"/>
        <v>0</v>
      </c>
      <c r="K171" s="675"/>
      <c r="L171" s="1605">
        <f t="shared" si="16"/>
        <v>0</v>
      </c>
      <c r="M171" s="673">
        <f t="shared" si="17"/>
        <v>0</v>
      </c>
      <c r="N171" s="1332">
        <v>0.2</v>
      </c>
      <c r="O171" s="1333" t="str">
        <f t="shared" si="18"/>
        <v/>
      </c>
      <c r="P171" s="1573"/>
    </row>
    <row r="172" spans="2:16">
      <c r="B172" s="1331"/>
      <c r="C172" s="798"/>
      <c r="D172" s="678"/>
      <c r="E172" s="680"/>
      <c r="F172" s="679"/>
      <c r="G172" s="677"/>
      <c r="H172" s="677"/>
      <c r="I172" s="677"/>
      <c r="J172" s="1605">
        <f t="shared" si="15"/>
        <v>0</v>
      </c>
      <c r="K172" s="675"/>
      <c r="L172" s="1605">
        <f t="shared" si="16"/>
        <v>0</v>
      </c>
      <c r="M172" s="673">
        <f t="shared" si="17"/>
        <v>0</v>
      </c>
      <c r="N172" s="1332">
        <v>0.2</v>
      </c>
      <c r="O172" s="1333" t="str">
        <f t="shared" si="18"/>
        <v/>
      </c>
      <c r="P172" s="1573"/>
    </row>
    <row r="173" spans="2:16">
      <c r="B173" s="1331"/>
      <c r="C173" s="798"/>
      <c r="D173" s="678"/>
      <c r="E173" s="680"/>
      <c r="F173" s="679"/>
      <c r="G173" s="677"/>
      <c r="H173" s="677"/>
      <c r="I173" s="677"/>
      <c r="J173" s="1605">
        <f t="shared" si="15"/>
        <v>0</v>
      </c>
      <c r="K173" s="675"/>
      <c r="L173" s="1605">
        <f t="shared" si="16"/>
        <v>0</v>
      </c>
      <c r="M173" s="673">
        <f t="shared" si="17"/>
        <v>0</v>
      </c>
      <c r="N173" s="1332">
        <v>0.2</v>
      </c>
      <c r="O173" s="1333" t="str">
        <f t="shared" si="18"/>
        <v/>
      </c>
      <c r="P173" s="1573"/>
    </row>
    <row r="174" spans="2:16">
      <c r="B174" s="1331"/>
      <c r="C174" s="798"/>
      <c r="D174" s="678"/>
      <c r="E174" s="680"/>
      <c r="F174" s="679"/>
      <c r="G174" s="677"/>
      <c r="H174" s="677"/>
      <c r="I174" s="677"/>
      <c r="J174" s="1605">
        <f t="shared" si="15"/>
        <v>0</v>
      </c>
      <c r="K174" s="675"/>
      <c r="L174" s="1605">
        <f t="shared" si="16"/>
        <v>0</v>
      </c>
      <c r="M174" s="673">
        <f t="shared" si="17"/>
        <v>0</v>
      </c>
      <c r="N174" s="1332">
        <v>0.2</v>
      </c>
      <c r="O174" s="1333" t="str">
        <f t="shared" si="18"/>
        <v/>
      </c>
      <c r="P174" s="1573"/>
    </row>
    <row r="175" spans="2:16">
      <c r="B175" s="1331"/>
      <c r="C175" s="798"/>
      <c r="D175" s="678"/>
      <c r="E175" s="680"/>
      <c r="F175" s="679"/>
      <c r="G175" s="677"/>
      <c r="H175" s="677"/>
      <c r="I175" s="677"/>
      <c r="J175" s="1605">
        <f t="shared" si="15"/>
        <v>0</v>
      </c>
      <c r="K175" s="675"/>
      <c r="L175" s="1605">
        <f t="shared" si="16"/>
        <v>0</v>
      </c>
      <c r="M175" s="673">
        <f t="shared" si="17"/>
        <v>0</v>
      </c>
      <c r="N175" s="1332">
        <v>0.2</v>
      </c>
      <c r="O175" s="1333" t="str">
        <f t="shared" si="18"/>
        <v/>
      </c>
      <c r="P175" s="1573"/>
    </row>
    <row r="176" spans="2:16">
      <c r="B176" s="1331"/>
      <c r="C176" s="798"/>
      <c r="D176" s="678"/>
      <c r="E176" s="680"/>
      <c r="F176" s="679"/>
      <c r="G176" s="677"/>
      <c r="H176" s="677"/>
      <c r="I176" s="677"/>
      <c r="J176" s="1605">
        <f t="shared" si="15"/>
        <v>0</v>
      </c>
      <c r="K176" s="675"/>
      <c r="L176" s="1605">
        <f t="shared" si="16"/>
        <v>0</v>
      </c>
      <c r="M176" s="673">
        <f t="shared" si="17"/>
        <v>0</v>
      </c>
      <c r="N176" s="1332">
        <v>0.2</v>
      </c>
      <c r="O176" s="1333" t="str">
        <f t="shared" si="18"/>
        <v/>
      </c>
      <c r="P176" s="1573"/>
    </row>
    <row r="177" spans="2:16">
      <c r="B177" s="1331"/>
      <c r="C177" s="798"/>
      <c r="D177" s="678"/>
      <c r="E177" s="680"/>
      <c r="F177" s="679"/>
      <c r="G177" s="677"/>
      <c r="H177" s="677"/>
      <c r="I177" s="677"/>
      <c r="J177" s="1605">
        <f t="shared" si="15"/>
        <v>0</v>
      </c>
      <c r="K177" s="675"/>
      <c r="L177" s="1605">
        <f t="shared" si="16"/>
        <v>0</v>
      </c>
      <c r="M177" s="673">
        <f t="shared" si="17"/>
        <v>0</v>
      </c>
      <c r="N177" s="1332">
        <v>0.2</v>
      </c>
      <c r="O177" s="1333" t="str">
        <f t="shared" si="18"/>
        <v/>
      </c>
      <c r="P177" s="1573"/>
    </row>
    <row r="178" spans="2:16">
      <c r="B178" s="1331"/>
      <c r="C178" s="798"/>
      <c r="D178" s="678"/>
      <c r="E178" s="680"/>
      <c r="F178" s="679"/>
      <c r="G178" s="677"/>
      <c r="H178" s="677"/>
      <c r="I178" s="677"/>
      <c r="J178" s="1605">
        <f t="shared" si="15"/>
        <v>0</v>
      </c>
      <c r="K178" s="675"/>
      <c r="L178" s="1605">
        <f t="shared" si="16"/>
        <v>0</v>
      </c>
      <c r="M178" s="673">
        <f t="shared" si="17"/>
        <v>0</v>
      </c>
      <c r="N178" s="1332">
        <v>0.2</v>
      </c>
      <c r="O178" s="1333" t="str">
        <f t="shared" si="18"/>
        <v/>
      </c>
      <c r="P178" s="1573"/>
    </row>
    <row r="179" spans="2:16">
      <c r="B179" s="1331"/>
      <c r="C179" s="798"/>
      <c r="D179" s="678"/>
      <c r="E179" s="680"/>
      <c r="F179" s="679"/>
      <c r="G179" s="677"/>
      <c r="H179" s="677"/>
      <c r="I179" s="677"/>
      <c r="J179" s="1605">
        <f t="shared" si="15"/>
        <v>0</v>
      </c>
      <c r="K179" s="675"/>
      <c r="L179" s="1605">
        <f t="shared" si="16"/>
        <v>0</v>
      </c>
      <c r="M179" s="673">
        <f t="shared" si="17"/>
        <v>0</v>
      </c>
      <c r="N179" s="1332">
        <v>0.2</v>
      </c>
      <c r="O179" s="1333" t="str">
        <f t="shared" si="18"/>
        <v/>
      </c>
      <c r="P179" s="1573"/>
    </row>
    <row r="180" spans="2:16">
      <c r="B180" s="1331"/>
      <c r="C180" s="798"/>
      <c r="D180" s="678"/>
      <c r="E180" s="680"/>
      <c r="F180" s="679"/>
      <c r="G180" s="677"/>
      <c r="H180" s="677"/>
      <c r="I180" s="677"/>
      <c r="J180" s="1605">
        <f t="shared" si="15"/>
        <v>0</v>
      </c>
      <c r="K180" s="675"/>
      <c r="L180" s="1605">
        <f t="shared" si="16"/>
        <v>0</v>
      </c>
      <c r="M180" s="673">
        <f t="shared" si="17"/>
        <v>0</v>
      </c>
      <c r="N180" s="1332">
        <v>0.2</v>
      </c>
      <c r="O180" s="1333" t="str">
        <f t="shared" si="18"/>
        <v/>
      </c>
      <c r="P180" s="1573"/>
    </row>
    <row r="181" spans="2:16">
      <c r="B181" s="1331"/>
      <c r="C181" s="798"/>
      <c r="D181" s="678"/>
      <c r="E181" s="680"/>
      <c r="F181" s="679"/>
      <c r="G181" s="677"/>
      <c r="H181" s="677"/>
      <c r="I181" s="677"/>
      <c r="J181" s="1605">
        <f t="shared" ref="J181:J244" si="19">H181+I181</f>
        <v>0</v>
      </c>
      <c r="K181" s="675"/>
      <c r="L181" s="1605">
        <f t="shared" ref="L181:L244" si="20">J181*K181</f>
        <v>0</v>
      </c>
      <c r="M181" s="673">
        <f t="shared" ref="M181:M244" si="21">L181/$D$9</f>
        <v>0</v>
      </c>
      <c r="N181" s="1332">
        <v>0.2</v>
      </c>
      <c r="O181" s="1333" t="str">
        <f t="shared" ref="O181:O244" si="22">IF((M181-N181)&gt;0,M181-N181,"")</f>
        <v/>
      </c>
      <c r="P181" s="1573"/>
    </row>
    <row r="182" spans="2:16">
      <c r="B182" s="1331"/>
      <c r="C182" s="798"/>
      <c r="D182" s="678"/>
      <c r="E182" s="680"/>
      <c r="F182" s="679"/>
      <c r="G182" s="677"/>
      <c r="H182" s="677"/>
      <c r="I182" s="677"/>
      <c r="J182" s="1605">
        <f t="shared" si="19"/>
        <v>0</v>
      </c>
      <c r="K182" s="675"/>
      <c r="L182" s="1605">
        <f t="shared" si="20"/>
        <v>0</v>
      </c>
      <c r="M182" s="673">
        <f t="shared" si="21"/>
        <v>0</v>
      </c>
      <c r="N182" s="1332">
        <v>0.2</v>
      </c>
      <c r="O182" s="1333" t="str">
        <f t="shared" si="22"/>
        <v/>
      </c>
      <c r="P182" s="1573"/>
    </row>
    <row r="183" spans="2:16">
      <c r="B183" s="1331"/>
      <c r="C183" s="798"/>
      <c r="D183" s="678"/>
      <c r="E183" s="680"/>
      <c r="F183" s="679"/>
      <c r="G183" s="677"/>
      <c r="H183" s="677"/>
      <c r="I183" s="677"/>
      <c r="J183" s="1605">
        <f t="shared" si="19"/>
        <v>0</v>
      </c>
      <c r="K183" s="675"/>
      <c r="L183" s="1605">
        <f t="shared" si="20"/>
        <v>0</v>
      </c>
      <c r="M183" s="673">
        <f t="shared" si="21"/>
        <v>0</v>
      </c>
      <c r="N183" s="1332">
        <v>0.2</v>
      </c>
      <c r="O183" s="1333" t="str">
        <f t="shared" si="22"/>
        <v/>
      </c>
      <c r="P183" s="1573"/>
    </row>
    <row r="184" spans="2:16">
      <c r="B184" s="1331"/>
      <c r="C184" s="798"/>
      <c r="D184" s="678"/>
      <c r="E184" s="680"/>
      <c r="F184" s="679"/>
      <c r="G184" s="677"/>
      <c r="H184" s="677"/>
      <c r="I184" s="677"/>
      <c r="J184" s="1605">
        <f t="shared" si="19"/>
        <v>0</v>
      </c>
      <c r="K184" s="675"/>
      <c r="L184" s="1605">
        <f t="shared" si="20"/>
        <v>0</v>
      </c>
      <c r="M184" s="673">
        <f t="shared" si="21"/>
        <v>0</v>
      </c>
      <c r="N184" s="1332">
        <v>0.2</v>
      </c>
      <c r="O184" s="1333" t="str">
        <f t="shared" si="22"/>
        <v/>
      </c>
      <c r="P184" s="1573"/>
    </row>
    <row r="185" spans="2:16">
      <c r="B185" s="1331"/>
      <c r="C185" s="798"/>
      <c r="D185" s="678"/>
      <c r="E185" s="680"/>
      <c r="F185" s="679"/>
      <c r="G185" s="677"/>
      <c r="H185" s="677"/>
      <c r="I185" s="677"/>
      <c r="J185" s="1605">
        <f t="shared" si="19"/>
        <v>0</v>
      </c>
      <c r="K185" s="675"/>
      <c r="L185" s="1605">
        <f t="shared" si="20"/>
        <v>0</v>
      </c>
      <c r="M185" s="673">
        <f t="shared" si="21"/>
        <v>0</v>
      </c>
      <c r="N185" s="1332">
        <v>0.2</v>
      </c>
      <c r="O185" s="1333" t="str">
        <f t="shared" si="22"/>
        <v/>
      </c>
      <c r="P185" s="1573"/>
    </row>
    <row r="186" spans="2:16">
      <c r="B186" s="1331"/>
      <c r="C186" s="798"/>
      <c r="D186" s="678"/>
      <c r="E186" s="680"/>
      <c r="F186" s="679"/>
      <c r="G186" s="677"/>
      <c r="H186" s="677"/>
      <c r="I186" s="677"/>
      <c r="J186" s="1605">
        <f t="shared" si="19"/>
        <v>0</v>
      </c>
      <c r="K186" s="675"/>
      <c r="L186" s="1605">
        <f t="shared" si="20"/>
        <v>0</v>
      </c>
      <c r="M186" s="673">
        <f t="shared" si="21"/>
        <v>0</v>
      </c>
      <c r="N186" s="1332">
        <v>0.2</v>
      </c>
      <c r="O186" s="1333" t="str">
        <f t="shared" si="22"/>
        <v/>
      </c>
      <c r="P186" s="1573"/>
    </row>
    <row r="187" spans="2:16">
      <c r="B187" s="1331"/>
      <c r="C187" s="798"/>
      <c r="D187" s="678"/>
      <c r="E187" s="680"/>
      <c r="F187" s="679"/>
      <c r="G187" s="677"/>
      <c r="H187" s="677"/>
      <c r="I187" s="677"/>
      <c r="J187" s="1605">
        <f t="shared" si="19"/>
        <v>0</v>
      </c>
      <c r="K187" s="675"/>
      <c r="L187" s="1605">
        <f t="shared" si="20"/>
        <v>0</v>
      </c>
      <c r="M187" s="673">
        <f t="shared" si="21"/>
        <v>0</v>
      </c>
      <c r="N187" s="1332">
        <v>0.2</v>
      </c>
      <c r="O187" s="1333" t="str">
        <f t="shared" si="22"/>
        <v/>
      </c>
      <c r="P187" s="1573"/>
    </row>
    <row r="188" spans="2:16">
      <c r="B188" s="1331"/>
      <c r="C188" s="798"/>
      <c r="D188" s="678"/>
      <c r="E188" s="680"/>
      <c r="F188" s="679"/>
      <c r="G188" s="677"/>
      <c r="H188" s="677"/>
      <c r="I188" s="677"/>
      <c r="J188" s="1605">
        <f t="shared" si="19"/>
        <v>0</v>
      </c>
      <c r="K188" s="675"/>
      <c r="L188" s="1605">
        <f t="shared" si="20"/>
        <v>0</v>
      </c>
      <c r="M188" s="673">
        <f t="shared" si="21"/>
        <v>0</v>
      </c>
      <c r="N188" s="1332">
        <v>0.2</v>
      </c>
      <c r="O188" s="1333" t="str">
        <f t="shared" si="22"/>
        <v/>
      </c>
      <c r="P188" s="1573"/>
    </row>
    <row r="189" spans="2:16">
      <c r="B189" s="1331"/>
      <c r="C189" s="798"/>
      <c r="D189" s="678"/>
      <c r="E189" s="680"/>
      <c r="F189" s="679"/>
      <c r="G189" s="677"/>
      <c r="H189" s="677"/>
      <c r="I189" s="677"/>
      <c r="J189" s="1605">
        <f t="shared" si="19"/>
        <v>0</v>
      </c>
      <c r="K189" s="675"/>
      <c r="L189" s="1605">
        <f t="shared" si="20"/>
        <v>0</v>
      </c>
      <c r="M189" s="673">
        <f t="shared" si="21"/>
        <v>0</v>
      </c>
      <c r="N189" s="1332">
        <v>0.2</v>
      </c>
      <c r="O189" s="1333" t="str">
        <f t="shared" si="22"/>
        <v/>
      </c>
      <c r="P189" s="1573"/>
    </row>
    <row r="190" spans="2:16">
      <c r="B190" s="1331"/>
      <c r="C190" s="798"/>
      <c r="D190" s="678"/>
      <c r="E190" s="680"/>
      <c r="F190" s="679"/>
      <c r="G190" s="677"/>
      <c r="H190" s="677"/>
      <c r="I190" s="677"/>
      <c r="J190" s="1605">
        <f t="shared" si="19"/>
        <v>0</v>
      </c>
      <c r="K190" s="675"/>
      <c r="L190" s="1605">
        <f t="shared" si="20"/>
        <v>0</v>
      </c>
      <c r="M190" s="673">
        <f t="shared" si="21"/>
        <v>0</v>
      </c>
      <c r="N190" s="1332">
        <v>0.2</v>
      </c>
      <c r="O190" s="1333" t="str">
        <f t="shared" si="22"/>
        <v/>
      </c>
      <c r="P190" s="1573"/>
    </row>
    <row r="191" spans="2:16">
      <c r="B191" s="1331"/>
      <c r="C191" s="798"/>
      <c r="D191" s="678"/>
      <c r="E191" s="680"/>
      <c r="F191" s="679"/>
      <c r="G191" s="677"/>
      <c r="H191" s="677"/>
      <c r="I191" s="677"/>
      <c r="J191" s="1605">
        <f t="shared" si="19"/>
        <v>0</v>
      </c>
      <c r="K191" s="675"/>
      <c r="L191" s="1605">
        <f t="shared" si="20"/>
        <v>0</v>
      </c>
      <c r="M191" s="673">
        <f t="shared" si="21"/>
        <v>0</v>
      </c>
      <c r="N191" s="1332">
        <v>0.2</v>
      </c>
      <c r="O191" s="1333" t="str">
        <f t="shared" si="22"/>
        <v/>
      </c>
      <c r="P191" s="1573"/>
    </row>
    <row r="192" spans="2:16">
      <c r="B192" s="1331"/>
      <c r="C192" s="798"/>
      <c r="D192" s="678"/>
      <c r="E192" s="680"/>
      <c r="F192" s="679"/>
      <c r="G192" s="677"/>
      <c r="H192" s="677"/>
      <c r="I192" s="677"/>
      <c r="J192" s="1605">
        <f t="shared" si="19"/>
        <v>0</v>
      </c>
      <c r="K192" s="675"/>
      <c r="L192" s="1605">
        <f t="shared" si="20"/>
        <v>0</v>
      </c>
      <c r="M192" s="673">
        <f t="shared" si="21"/>
        <v>0</v>
      </c>
      <c r="N192" s="1332">
        <v>0.2</v>
      </c>
      <c r="O192" s="1333" t="str">
        <f t="shared" si="22"/>
        <v/>
      </c>
      <c r="P192" s="1573"/>
    </row>
    <row r="193" spans="2:16">
      <c r="B193" s="1331"/>
      <c r="C193" s="798"/>
      <c r="D193" s="678"/>
      <c r="E193" s="680"/>
      <c r="F193" s="679"/>
      <c r="G193" s="677"/>
      <c r="H193" s="677"/>
      <c r="I193" s="677"/>
      <c r="J193" s="1605">
        <f t="shared" si="19"/>
        <v>0</v>
      </c>
      <c r="K193" s="675"/>
      <c r="L193" s="1605">
        <f t="shared" si="20"/>
        <v>0</v>
      </c>
      <c r="M193" s="673">
        <f t="shared" si="21"/>
        <v>0</v>
      </c>
      <c r="N193" s="1332">
        <v>0.2</v>
      </c>
      <c r="O193" s="1333" t="str">
        <f t="shared" si="22"/>
        <v/>
      </c>
      <c r="P193" s="1573"/>
    </row>
    <row r="194" spans="2:16">
      <c r="B194" s="1331"/>
      <c r="C194" s="798"/>
      <c r="D194" s="678"/>
      <c r="E194" s="680"/>
      <c r="F194" s="679"/>
      <c r="G194" s="677"/>
      <c r="H194" s="677"/>
      <c r="I194" s="677"/>
      <c r="J194" s="1605">
        <f t="shared" si="19"/>
        <v>0</v>
      </c>
      <c r="K194" s="675"/>
      <c r="L194" s="1605">
        <f t="shared" si="20"/>
        <v>0</v>
      </c>
      <c r="M194" s="673">
        <f t="shared" si="21"/>
        <v>0</v>
      </c>
      <c r="N194" s="1332">
        <v>0.2</v>
      </c>
      <c r="O194" s="1333" t="str">
        <f t="shared" si="22"/>
        <v/>
      </c>
      <c r="P194" s="1573"/>
    </row>
    <row r="195" spans="2:16">
      <c r="B195" s="1331"/>
      <c r="C195" s="798"/>
      <c r="D195" s="678"/>
      <c r="E195" s="680"/>
      <c r="F195" s="679"/>
      <c r="G195" s="677"/>
      <c r="H195" s="677"/>
      <c r="I195" s="677"/>
      <c r="J195" s="1605">
        <f t="shared" si="19"/>
        <v>0</v>
      </c>
      <c r="K195" s="675"/>
      <c r="L195" s="1605">
        <f t="shared" si="20"/>
        <v>0</v>
      </c>
      <c r="M195" s="673">
        <f t="shared" si="21"/>
        <v>0</v>
      </c>
      <c r="N195" s="1332">
        <v>0.2</v>
      </c>
      <c r="O195" s="1333" t="str">
        <f t="shared" si="22"/>
        <v/>
      </c>
      <c r="P195" s="1573"/>
    </row>
    <row r="196" spans="2:16">
      <c r="B196" s="1331"/>
      <c r="C196" s="798"/>
      <c r="D196" s="678"/>
      <c r="E196" s="680"/>
      <c r="F196" s="679"/>
      <c r="G196" s="677"/>
      <c r="H196" s="677"/>
      <c r="I196" s="677"/>
      <c r="J196" s="1605">
        <f t="shared" si="19"/>
        <v>0</v>
      </c>
      <c r="K196" s="675"/>
      <c r="L196" s="1605">
        <f t="shared" si="20"/>
        <v>0</v>
      </c>
      <c r="M196" s="673">
        <f t="shared" si="21"/>
        <v>0</v>
      </c>
      <c r="N196" s="1332">
        <v>0.2</v>
      </c>
      <c r="O196" s="1333" t="str">
        <f t="shared" si="22"/>
        <v/>
      </c>
      <c r="P196" s="1573"/>
    </row>
    <row r="197" spans="2:16">
      <c r="B197" s="1331"/>
      <c r="C197" s="798"/>
      <c r="D197" s="678"/>
      <c r="E197" s="680"/>
      <c r="F197" s="679"/>
      <c r="G197" s="677"/>
      <c r="H197" s="677"/>
      <c r="I197" s="677"/>
      <c r="J197" s="1605">
        <f t="shared" si="19"/>
        <v>0</v>
      </c>
      <c r="K197" s="675"/>
      <c r="L197" s="1605">
        <f t="shared" si="20"/>
        <v>0</v>
      </c>
      <c r="M197" s="673">
        <f t="shared" si="21"/>
        <v>0</v>
      </c>
      <c r="N197" s="1332">
        <v>0.2</v>
      </c>
      <c r="O197" s="1333" t="str">
        <f t="shared" si="22"/>
        <v/>
      </c>
      <c r="P197" s="1573"/>
    </row>
    <row r="198" spans="2:16">
      <c r="B198" s="1331"/>
      <c r="C198" s="798"/>
      <c r="D198" s="678"/>
      <c r="E198" s="680"/>
      <c r="F198" s="679"/>
      <c r="G198" s="677"/>
      <c r="H198" s="677"/>
      <c r="I198" s="677"/>
      <c r="J198" s="1605">
        <f t="shared" si="19"/>
        <v>0</v>
      </c>
      <c r="K198" s="675"/>
      <c r="L198" s="1605">
        <f t="shared" si="20"/>
        <v>0</v>
      </c>
      <c r="M198" s="673">
        <f t="shared" si="21"/>
        <v>0</v>
      </c>
      <c r="N198" s="1332">
        <v>0.2</v>
      </c>
      <c r="O198" s="1333" t="str">
        <f t="shared" si="22"/>
        <v/>
      </c>
      <c r="P198" s="1573"/>
    </row>
    <row r="199" spans="2:16">
      <c r="B199" s="1331"/>
      <c r="C199" s="798"/>
      <c r="D199" s="678"/>
      <c r="E199" s="680"/>
      <c r="F199" s="679"/>
      <c r="G199" s="677"/>
      <c r="H199" s="677"/>
      <c r="I199" s="677"/>
      <c r="J199" s="1605">
        <f t="shared" si="19"/>
        <v>0</v>
      </c>
      <c r="K199" s="675"/>
      <c r="L199" s="1605">
        <f t="shared" si="20"/>
        <v>0</v>
      </c>
      <c r="M199" s="673">
        <f t="shared" si="21"/>
        <v>0</v>
      </c>
      <c r="N199" s="1332">
        <v>0.2</v>
      </c>
      <c r="O199" s="1333" t="str">
        <f t="shared" si="22"/>
        <v/>
      </c>
      <c r="P199" s="1573"/>
    </row>
    <row r="200" spans="2:16">
      <c r="B200" s="1331"/>
      <c r="C200" s="798"/>
      <c r="D200" s="678"/>
      <c r="E200" s="680"/>
      <c r="F200" s="679"/>
      <c r="G200" s="677"/>
      <c r="H200" s="677"/>
      <c r="I200" s="677"/>
      <c r="J200" s="1605">
        <f t="shared" si="19"/>
        <v>0</v>
      </c>
      <c r="K200" s="675"/>
      <c r="L200" s="1605">
        <f t="shared" si="20"/>
        <v>0</v>
      </c>
      <c r="M200" s="673">
        <f t="shared" si="21"/>
        <v>0</v>
      </c>
      <c r="N200" s="1332">
        <v>0.2</v>
      </c>
      <c r="O200" s="1333" t="str">
        <f t="shared" si="22"/>
        <v/>
      </c>
      <c r="P200" s="1573"/>
    </row>
    <row r="201" spans="2:16">
      <c r="B201" s="1331"/>
      <c r="C201" s="798"/>
      <c r="D201" s="678"/>
      <c r="E201" s="680"/>
      <c r="F201" s="679"/>
      <c r="G201" s="677"/>
      <c r="H201" s="677"/>
      <c r="I201" s="677"/>
      <c r="J201" s="1605">
        <f t="shared" si="19"/>
        <v>0</v>
      </c>
      <c r="K201" s="675"/>
      <c r="L201" s="1605">
        <f t="shared" si="20"/>
        <v>0</v>
      </c>
      <c r="M201" s="673">
        <f t="shared" si="21"/>
        <v>0</v>
      </c>
      <c r="N201" s="1332">
        <v>0.2</v>
      </c>
      <c r="O201" s="1333" t="str">
        <f t="shared" si="22"/>
        <v/>
      </c>
      <c r="P201" s="1573"/>
    </row>
    <row r="202" spans="2:16">
      <c r="B202" s="1331"/>
      <c r="C202" s="798"/>
      <c r="D202" s="678"/>
      <c r="E202" s="680"/>
      <c r="F202" s="679"/>
      <c r="G202" s="677"/>
      <c r="H202" s="677"/>
      <c r="I202" s="677"/>
      <c r="J202" s="1605">
        <f t="shared" si="19"/>
        <v>0</v>
      </c>
      <c r="K202" s="675"/>
      <c r="L202" s="1605">
        <f t="shared" si="20"/>
        <v>0</v>
      </c>
      <c r="M202" s="673">
        <f t="shared" si="21"/>
        <v>0</v>
      </c>
      <c r="N202" s="1332">
        <v>0.2</v>
      </c>
      <c r="O202" s="1333" t="str">
        <f t="shared" si="22"/>
        <v/>
      </c>
      <c r="P202" s="1573"/>
    </row>
    <row r="203" spans="2:16">
      <c r="B203" s="1331"/>
      <c r="C203" s="798"/>
      <c r="D203" s="678"/>
      <c r="E203" s="680"/>
      <c r="F203" s="679"/>
      <c r="G203" s="677"/>
      <c r="H203" s="677"/>
      <c r="I203" s="677"/>
      <c r="J203" s="1605">
        <f t="shared" si="19"/>
        <v>0</v>
      </c>
      <c r="K203" s="675"/>
      <c r="L203" s="1605">
        <f t="shared" si="20"/>
        <v>0</v>
      </c>
      <c r="M203" s="673">
        <f t="shared" si="21"/>
        <v>0</v>
      </c>
      <c r="N203" s="1332">
        <v>0.2</v>
      </c>
      <c r="O203" s="1333" t="str">
        <f t="shared" si="22"/>
        <v/>
      </c>
      <c r="P203" s="1573"/>
    </row>
    <row r="204" spans="2:16">
      <c r="B204" s="1331"/>
      <c r="C204" s="798"/>
      <c r="D204" s="678"/>
      <c r="E204" s="680"/>
      <c r="F204" s="679"/>
      <c r="G204" s="677"/>
      <c r="H204" s="677"/>
      <c r="I204" s="677"/>
      <c r="J204" s="1605">
        <f t="shared" si="19"/>
        <v>0</v>
      </c>
      <c r="K204" s="675"/>
      <c r="L204" s="1605">
        <f t="shared" si="20"/>
        <v>0</v>
      </c>
      <c r="M204" s="673">
        <f t="shared" si="21"/>
        <v>0</v>
      </c>
      <c r="N204" s="1332">
        <v>0.2</v>
      </c>
      <c r="O204" s="1333" t="str">
        <f t="shared" si="22"/>
        <v/>
      </c>
      <c r="P204" s="1573"/>
    </row>
    <row r="205" spans="2:16">
      <c r="B205" s="1331"/>
      <c r="C205" s="798"/>
      <c r="D205" s="678"/>
      <c r="E205" s="680"/>
      <c r="F205" s="679"/>
      <c r="G205" s="677"/>
      <c r="H205" s="677"/>
      <c r="I205" s="677"/>
      <c r="J205" s="1605">
        <f t="shared" si="19"/>
        <v>0</v>
      </c>
      <c r="K205" s="675"/>
      <c r="L205" s="1605">
        <f t="shared" si="20"/>
        <v>0</v>
      </c>
      <c r="M205" s="673">
        <f t="shared" si="21"/>
        <v>0</v>
      </c>
      <c r="N205" s="1332">
        <v>0.2</v>
      </c>
      <c r="O205" s="1333" t="str">
        <f t="shared" si="22"/>
        <v/>
      </c>
      <c r="P205" s="1573"/>
    </row>
    <row r="206" spans="2:16">
      <c r="B206" s="1331"/>
      <c r="C206" s="798"/>
      <c r="D206" s="678"/>
      <c r="E206" s="680"/>
      <c r="F206" s="679"/>
      <c r="G206" s="677"/>
      <c r="H206" s="677"/>
      <c r="I206" s="677"/>
      <c r="J206" s="1605">
        <f t="shared" si="19"/>
        <v>0</v>
      </c>
      <c r="K206" s="675"/>
      <c r="L206" s="1605">
        <f t="shared" si="20"/>
        <v>0</v>
      </c>
      <c r="M206" s="673">
        <f t="shared" si="21"/>
        <v>0</v>
      </c>
      <c r="N206" s="1332">
        <v>0.2</v>
      </c>
      <c r="O206" s="1333" t="str">
        <f t="shared" si="22"/>
        <v/>
      </c>
      <c r="P206" s="1573"/>
    </row>
    <row r="207" spans="2:16">
      <c r="B207" s="1331"/>
      <c r="C207" s="798"/>
      <c r="D207" s="678"/>
      <c r="E207" s="680"/>
      <c r="F207" s="679"/>
      <c r="G207" s="677"/>
      <c r="H207" s="677"/>
      <c r="I207" s="677"/>
      <c r="J207" s="1605">
        <f t="shared" si="19"/>
        <v>0</v>
      </c>
      <c r="K207" s="675"/>
      <c r="L207" s="1605">
        <f t="shared" si="20"/>
        <v>0</v>
      </c>
      <c r="M207" s="673">
        <f t="shared" si="21"/>
        <v>0</v>
      </c>
      <c r="N207" s="1332">
        <v>0.2</v>
      </c>
      <c r="O207" s="1333" t="str">
        <f t="shared" si="22"/>
        <v/>
      </c>
      <c r="P207" s="1573"/>
    </row>
    <row r="208" spans="2:16">
      <c r="B208" s="1331"/>
      <c r="C208" s="798"/>
      <c r="D208" s="678"/>
      <c r="E208" s="680"/>
      <c r="F208" s="679"/>
      <c r="G208" s="677"/>
      <c r="H208" s="677"/>
      <c r="I208" s="677"/>
      <c r="J208" s="1605">
        <f t="shared" si="19"/>
        <v>0</v>
      </c>
      <c r="K208" s="675"/>
      <c r="L208" s="1605">
        <f t="shared" si="20"/>
        <v>0</v>
      </c>
      <c r="M208" s="673">
        <f t="shared" si="21"/>
        <v>0</v>
      </c>
      <c r="N208" s="1332">
        <v>0.2</v>
      </c>
      <c r="O208" s="1333" t="str">
        <f t="shared" si="22"/>
        <v/>
      </c>
      <c r="P208" s="1573"/>
    </row>
    <row r="209" spans="2:16">
      <c r="B209" s="1331"/>
      <c r="C209" s="798"/>
      <c r="D209" s="678"/>
      <c r="E209" s="680"/>
      <c r="F209" s="679"/>
      <c r="G209" s="677"/>
      <c r="H209" s="677"/>
      <c r="I209" s="677"/>
      <c r="J209" s="1605">
        <f t="shared" si="19"/>
        <v>0</v>
      </c>
      <c r="K209" s="675"/>
      <c r="L209" s="1605">
        <f t="shared" si="20"/>
        <v>0</v>
      </c>
      <c r="M209" s="673">
        <f t="shared" si="21"/>
        <v>0</v>
      </c>
      <c r="N209" s="1332">
        <v>0.2</v>
      </c>
      <c r="O209" s="1333" t="str">
        <f t="shared" si="22"/>
        <v/>
      </c>
      <c r="P209" s="1573"/>
    </row>
    <row r="210" spans="2:16">
      <c r="B210" s="1331"/>
      <c r="C210" s="798"/>
      <c r="D210" s="678"/>
      <c r="E210" s="680"/>
      <c r="F210" s="679"/>
      <c r="G210" s="677"/>
      <c r="H210" s="677"/>
      <c r="I210" s="677"/>
      <c r="J210" s="1605">
        <f t="shared" si="19"/>
        <v>0</v>
      </c>
      <c r="K210" s="675"/>
      <c r="L210" s="1605">
        <f t="shared" si="20"/>
        <v>0</v>
      </c>
      <c r="M210" s="673">
        <f t="shared" si="21"/>
        <v>0</v>
      </c>
      <c r="N210" s="1332">
        <v>0.2</v>
      </c>
      <c r="O210" s="1333" t="str">
        <f t="shared" si="22"/>
        <v/>
      </c>
      <c r="P210" s="1573"/>
    </row>
    <row r="211" spans="2:16">
      <c r="B211" s="1331"/>
      <c r="C211" s="798"/>
      <c r="D211" s="678"/>
      <c r="E211" s="680"/>
      <c r="F211" s="679"/>
      <c r="G211" s="677"/>
      <c r="H211" s="677"/>
      <c r="I211" s="677"/>
      <c r="J211" s="1605">
        <f t="shared" si="19"/>
        <v>0</v>
      </c>
      <c r="K211" s="675"/>
      <c r="L211" s="1605">
        <f t="shared" si="20"/>
        <v>0</v>
      </c>
      <c r="M211" s="673">
        <f t="shared" si="21"/>
        <v>0</v>
      </c>
      <c r="N211" s="1332">
        <v>0.2</v>
      </c>
      <c r="O211" s="1333" t="str">
        <f t="shared" si="22"/>
        <v/>
      </c>
      <c r="P211" s="1573"/>
    </row>
    <row r="212" spans="2:16">
      <c r="B212" s="1331"/>
      <c r="C212" s="798"/>
      <c r="D212" s="678"/>
      <c r="E212" s="680"/>
      <c r="F212" s="679"/>
      <c r="G212" s="677"/>
      <c r="H212" s="677"/>
      <c r="I212" s="677"/>
      <c r="J212" s="1605">
        <f t="shared" si="19"/>
        <v>0</v>
      </c>
      <c r="K212" s="675"/>
      <c r="L212" s="1605">
        <f t="shared" si="20"/>
        <v>0</v>
      </c>
      <c r="M212" s="673">
        <f t="shared" si="21"/>
        <v>0</v>
      </c>
      <c r="N212" s="1332">
        <v>0.2</v>
      </c>
      <c r="O212" s="1333" t="str">
        <f t="shared" si="22"/>
        <v/>
      </c>
      <c r="P212" s="1573"/>
    </row>
    <row r="213" spans="2:16">
      <c r="B213" s="1331"/>
      <c r="C213" s="798"/>
      <c r="D213" s="678"/>
      <c r="E213" s="680"/>
      <c r="F213" s="679"/>
      <c r="G213" s="677"/>
      <c r="H213" s="677"/>
      <c r="I213" s="677"/>
      <c r="J213" s="1605">
        <f t="shared" si="19"/>
        <v>0</v>
      </c>
      <c r="K213" s="675"/>
      <c r="L213" s="1605">
        <f t="shared" si="20"/>
        <v>0</v>
      </c>
      <c r="M213" s="673">
        <f t="shared" si="21"/>
        <v>0</v>
      </c>
      <c r="N213" s="1332">
        <v>0.2</v>
      </c>
      <c r="O213" s="1333" t="str">
        <f t="shared" si="22"/>
        <v/>
      </c>
      <c r="P213" s="1573"/>
    </row>
    <row r="214" spans="2:16">
      <c r="B214" s="1331"/>
      <c r="C214" s="798"/>
      <c r="D214" s="678"/>
      <c r="E214" s="680"/>
      <c r="F214" s="679"/>
      <c r="G214" s="677"/>
      <c r="H214" s="677"/>
      <c r="I214" s="677"/>
      <c r="J214" s="1605">
        <f t="shared" si="19"/>
        <v>0</v>
      </c>
      <c r="K214" s="675"/>
      <c r="L214" s="1605">
        <f t="shared" si="20"/>
        <v>0</v>
      </c>
      <c r="M214" s="673">
        <f t="shared" si="21"/>
        <v>0</v>
      </c>
      <c r="N214" s="1332">
        <v>0.2</v>
      </c>
      <c r="O214" s="1333" t="str">
        <f t="shared" si="22"/>
        <v/>
      </c>
      <c r="P214" s="1573"/>
    </row>
    <row r="215" spans="2:16">
      <c r="B215" s="1331"/>
      <c r="C215" s="798"/>
      <c r="D215" s="678"/>
      <c r="E215" s="680"/>
      <c r="F215" s="679"/>
      <c r="G215" s="677"/>
      <c r="H215" s="677"/>
      <c r="I215" s="677"/>
      <c r="J215" s="1605">
        <f t="shared" si="19"/>
        <v>0</v>
      </c>
      <c r="K215" s="675"/>
      <c r="L215" s="1605">
        <f t="shared" si="20"/>
        <v>0</v>
      </c>
      <c r="M215" s="673">
        <f t="shared" si="21"/>
        <v>0</v>
      </c>
      <c r="N215" s="1332">
        <v>0.2</v>
      </c>
      <c r="O215" s="1333" t="str">
        <f t="shared" si="22"/>
        <v/>
      </c>
      <c r="P215" s="1573"/>
    </row>
    <row r="216" spans="2:16">
      <c r="B216" s="1331"/>
      <c r="C216" s="798"/>
      <c r="D216" s="678"/>
      <c r="E216" s="680"/>
      <c r="F216" s="679"/>
      <c r="G216" s="677"/>
      <c r="H216" s="677"/>
      <c r="I216" s="677"/>
      <c r="J216" s="1605">
        <f t="shared" si="19"/>
        <v>0</v>
      </c>
      <c r="K216" s="675"/>
      <c r="L216" s="1605">
        <f t="shared" si="20"/>
        <v>0</v>
      </c>
      <c r="M216" s="673">
        <f t="shared" si="21"/>
        <v>0</v>
      </c>
      <c r="N216" s="1332">
        <v>0.2</v>
      </c>
      <c r="O216" s="1333" t="str">
        <f t="shared" si="22"/>
        <v/>
      </c>
      <c r="P216" s="1573"/>
    </row>
    <row r="217" spans="2:16">
      <c r="B217" s="1331"/>
      <c r="C217" s="798"/>
      <c r="D217" s="678"/>
      <c r="E217" s="680"/>
      <c r="F217" s="679"/>
      <c r="G217" s="677"/>
      <c r="H217" s="677"/>
      <c r="I217" s="677"/>
      <c r="J217" s="1605">
        <f t="shared" si="19"/>
        <v>0</v>
      </c>
      <c r="K217" s="675"/>
      <c r="L217" s="1605">
        <f t="shared" si="20"/>
        <v>0</v>
      </c>
      <c r="M217" s="673">
        <f t="shared" si="21"/>
        <v>0</v>
      </c>
      <c r="N217" s="1332">
        <v>0.2</v>
      </c>
      <c r="O217" s="1333" t="str">
        <f t="shared" si="22"/>
        <v/>
      </c>
      <c r="P217" s="1573"/>
    </row>
    <row r="218" spans="2:16">
      <c r="B218" s="1331"/>
      <c r="C218" s="798"/>
      <c r="D218" s="678"/>
      <c r="E218" s="680"/>
      <c r="F218" s="679"/>
      <c r="G218" s="677"/>
      <c r="H218" s="677"/>
      <c r="I218" s="677"/>
      <c r="J218" s="1605">
        <f t="shared" si="19"/>
        <v>0</v>
      </c>
      <c r="K218" s="675"/>
      <c r="L218" s="1605">
        <f t="shared" si="20"/>
        <v>0</v>
      </c>
      <c r="M218" s="673">
        <f t="shared" si="21"/>
        <v>0</v>
      </c>
      <c r="N218" s="1332">
        <v>0.2</v>
      </c>
      <c r="O218" s="1333" t="str">
        <f t="shared" si="22"/>
        <v/>
      </c>
      <c r="P218" s="1573"/>
    </row>
    <row r="219" spans="2:16">
      <c r="B219" s="1331"/>
      <c r="C219" s="798"/>
      <c r="D219" s="678"/>
      <c r="E219" s="680"/>
      <c r="F219" s="679"/>
      <c r="G219" s="677"/>
      <c r="H219" s="677"/>
      <c r="I219" s="677"/>
      <c r="J219" s="1605">
        <f t="shared" si="19"/>
        <v>0</v>
      </c>
      <c r="K219" s="675"/>
      <c r="L219" s="1605">
        <f t="shared" si="20"/>
        <v>0</v>
      </c>
      <c r="M219" s="673">
        <f t="shared" si="21"/>
        <v>0</v>
      </c>
      <c r="N219" s="1332">
        <v>0.2</v>
      </c>
      <c r="O219" s="1333" t="str">
        <f t="shared" si="22"/>
        <v/>
      </c>
      <c r="P219" s="1573"/>
    </row>
    <row r="220" spans="2:16">
      <c r="B220" s="1331"/>
      <c r="C220" s="798"/>
      <c r="D220" s="678"/>
      <c r="E220" s="680"/>
      <c r="F220" s="679"/>
      <c r="G220" s="677"/>
      <c r="H220" s="677"/>
      <c r="I220" s="677"/>
      <c r="J220" s="1605">
        <f t="shared" si="19"/>
        <v>0</v>
      </c>
      <c r="K220" s="675"/>
      <c r="L220" s="1605">
        <f t="shared" si="20"/>
        <v>0</v>
      </c>
      <c r="M220" s="673">
        <f t="shared" si="21"/>
        <v>0</v>
      </c>
      <c r="N220" s="1332">
        <v>0.2</v>
      </c>
      <c r="O220" s="1333" t="str">
        <f t="shared" si="22"/>
        <v/>
      </c>
      <c r="P220" s="1573"/>
    </row>
    <row r="221" spans="2:16">
      <c r="B221" s="1331"/>
      <c r="C221" s="798"/>
      <c r="D221" s="678"/>
      <c r="E221" s="680"/>
      <c r="F221" s="679"/>
      <c r="G221" s="677"/>
      <c r="H221" s="677"/>
      <c r="I221" s="677"/>
      <c r="J221" s="1605">
        <f t="shared" si="19"/>
        <v>0</v>
      </c>
      <c r="K221" s="675"/>
      <c r="L221" s="1605">
        <f t="shared" si="20"/>
        <v>0</v>
      </c>
      <c r="M221" s="673">
        <f t="shared" si="21"/>
        <v>0</v>
      </c>
      <c r="N221" s="1332">
        <v>0.2</v>
      </c>
      <c r="O221" s="1333" t="str">
        <f t="shared" si="22"/>
        <v/>
      </c>
      <c r="P221" s="1573"/>
    </row>
    <row r="222" spans="2:16">
      <c r="B222" s="1331"/>
      <c r="C222" s="798"/>
      <c r="D222" s="678"/>
      <c r="E222" s="680"/>
      <c r="F222" s="679"/>
      <c r="G222" s="677"/>
      <c r="H222" s="677"/>
      <c r="I222" s="677"/>
      <c r="J222" s="1605">
        <f t="shared" si="19"/>
        <v>0</v>
      </c>
      <c r="K222" s="675"/>
      <c r="L222" s="1605">
        <f t="shared" si="20"/>
        <v>0</v>
      </c>
      <c r="M222" s="673">
        <f t="shared" si="21"/>
        <v>0</v>
      </c>
      <c r="N222" s="1332">
        <v>0.2</v>
      </c>
      <c r="O222" s="1333" t="str">
        <f t="shared" si="22"/>
        <v/>
      </c>
      <c r="P222" s="1573"/>
    </row>
    <row r="223" spans="2:16">
      <c r="B223" s="1331"/>
      <c r="C223" s="798"/>
      <c r="D223" s="678"/>
      <c r="E223" s="680"/>
      <c r="F223" s="679"/>
      <c r="G223" s="677"/>
      <c r="H223" s="677"/>
      <c r="I223" s="677"/>
      <c r="J223" s="1605">
        <f t="shared" si="19"/>
        <v>0</v>
      </c>
      <c r="K223" s="675"/>
      <c r="L223" s="1605">
        <f t="shared" si="20"/>
        <v>0</v>
      </c>
      <c r="M223" s="673">
        <f t="shared" si="21"/>
        <v>0</v>
      </c>
      <c r="N223" s="1332">
        <v>0.2</v>
      </c>
      <c r="O223" s="1333" t="str">
        <f t="shared" si="22"/>
        <v/>
      </c>
      <c r="P223" s="1573"/>
    </row>
    <row r="224" spans="2:16">
      <c r="B224" s="1331"/>
      <c r="C224" s="798"/>
      <c r="D224" s="678"/>
      <c r="E224" s="680"/>
      <c r="F224" s="679"/>
      <c r="G224" s="677"/>
      <c r="H224" s="677"/>
      <c r="I224" s="677"/>
      <c r="J224" s="1605">
        <f t="shared" si="19"/>
        <v>0</v>
      </c>
      <c r="K224" s="675"/>
      <c r="L224" s="1605">
        <f t="shared" si="20"/>
        <v>0</v>
      </c>
      <c r="M224" s="673">
        <f t="shared" si="21"/>
        <v>0</v>
      </c>
      <c r="N224" s="1332">
        <v>0.2</v>
      </c>
      <c r="O224" s="1333" t="str">
        <f t="shared" si="22"/>
        <v/>
      </c>
      <c r="P224" s="1573"/>
    </row>
    <row r="225" spans="2:16">
      <c r="B225" s="1331"/>
      <c r="C225" s="798"/>
      <c r="D225" s="678"/>
      <c r="E225" s="680"/>
      <c r="F225" s="679"/>
      <c r="G225" s="677"/>
      <c r="H225" s="677"/>
      <c r="I225" s="677"/>
      <c r="J225" s="1605">
        <f t="shared" si="19"/>
        <v>0</v>
      </c>
      <c r="K225" s="675"/>
      <c r="L225" s="1605">
        <f t="shared" si="20"/>
        <v>0</v>
      </c>
      <c r="M225" s="673">
        <f t="shared" si="21"/>
        <v>0</v>
      </c>
      <c r="N225" s="1332">
        <v>0.2</v>
      </c>
      <c r="O225" s="1333" t="str">
        <f t="shared" si="22"/>
        <v/>
      </c>
      <c r="P225" s="1573"/>
    </row>
    <row r="226" spans="2:16">
      <c r="B226" s="1331"/>
      <c r="C226" s="798"/>
      <c r="D226" s="678"/>
      <c r="E226" s="680"/>
      <c r="F226" s="679"/>
      <c r="G226" s="677"/>
      <c r="H226" s="677"/>
      <c r="I226" s="677"/>
      <c r="J226" s="1605">
        <f t="shared" si="19"/>
        <v>0</v>
      </c>
      <c r="K226" s="675"/>
      <c r="L226" s="1605">
        <f t="shared" si="20"/>
        <v>0</v>
      </c>
      <c r="M226" s="673">
        <f t="shared" si="21"/>
        <v>0</v>
      </c>
      <c r="N226" s="1332">
        <v>0.2</v>
      </c>
      <c r="O226" s="1333" t="str">
        <f t="shared" si="22"/>
        <v/>
      </c>
      <c r="P226" s="1573"/>
    </row>
    <row r="227" spans="2:16">
      <c r="B227" s="1331"/>
      <c r="C227" s="798"/>
      <c r="D227" s="678"/>
      <c r="E227" s="680"/>
      <c r="F227" s="679"/>
      <c r="G227" s="677"/>
      <c r="H227" s="677"/>
      <c r="I227" s="677"/>
      <c r="J227" s="1605">
        <f t="shared" si="19"/>
        <v>0</v>
      </c>
      <c r="K227" s="675"/>
      <c r="L227" s="1605">
        <f t="shared" si="20"/>
        <v>0</v>
      </c>
      <c r="M227" s="673">
        <f t="shared" si="21"/>
        <v>0</v>
      </c>
      <c r="N227" s="1332">
        <v>0.2</v>
      </c>
      <c r="O227" s="1333" t="str">
        <f t="shared" si="22"/>
        <v/>
      </c>
      <c r="P227" s="1573"/>
    </row>
    <row r="228" spans="2:16">
      <c r="B228" s="1331"/>
      <c r="C228" s="798"/>
      <c r="D228" s="678"/>
      <c r="E228" s="680"/>
      <c r="F228" s="679"/>
      <c r="G228" s="677"/>
      <c r="H228" s="677"/>
      <c r="I228" s="677"/>
      <c r="J228" s="1605">
        <f t="shared" si="19"/>
        <v>0</v>
      </c>
      <c r="K228" s="675"/>
      <c r="L228" s="1605">
        <f t="shared" si="20"/>
        <v>0</v>
      </c>
      <c r="M228" s="673">
        <f t="shared" si="21"/>
        <v>0</v>
      </c>
      <c r="N228" s="1332">
        <v>0.2</v>
      </c>
      <c r="O228" s="1333" t="str">
        <f t="shared" si="22"/>
        <v/>
      </c>
      <c r="P228" s="1573"/>
    </row>
    <row r="229" spans="2:16">
      <c r="B229" s="1331"/>
      <c r="C229" s="798"/>
      <c r="D229" s="678"/>
      <c r="E229" s="680"/>
      <c r="F229" s="679"/>
      <c r="G229" s="677"/>
      <c r="H229" s="677"/>
      <c r="I229" s="677"/>
      <c r="J229" s="1605">
        <f t="shared" si="19"/>
        <v>0</v>
      </c>
      <c r="K229" s="675"/>
      <c r="L229" s="1605">
        <f t="shared" si="20"/>
        <v>0</v>
      </c>
      <c r="M229" s="673">
        <f t="shared" si="21"/>
        <v>0</v>
      </c>
      <c r="N229" s="1332">
        <v>0.2</v>
      </c>
      <c r="O229" s="1333" t="str">
        <f t="shared" si="22"/>
        <v/>
      </c>
      <c r="P229" s="1573"/>
    </row>
    <row r="230" spans="2:16">
      <c r="B230" s="1331"/>
      <c r="C230" s="798"/>
      <c r="D230" s="678"/>
      <c r="E230" s="680"/>
      <c r="F230" s="679"/>
      <c r="G230" s="677"/>
      <c r="H230" s="677"/>
      <c r="I230" s="677"/>
      <c r="J230" s="1605">
        <f t="shared" si="19"/>
        <v>0</v>
      </c>
      <c r="K230" s="675"/>
      <c r="L230" s="1605">
        <f t="shared" si="20"/>
        <v>0</v>
      </c>
      <c r="M230" s="673">
        <f t="shared" si="21"/>
        <v>0</v>
      </c>
      <c r="N230" s="1332">
        <v>0.2</v>
      </c>
      <c r="O230" s="1333" t="str">
        <f t="shared" si="22"/>
        <v/>
      </c>
      <c r="P230" s="1573"/>
    </row>
    <row r="231" spans="2:16">
      <c r="B231" s="1331"/>
      <c r="C231" s="798"/>
      <c r="D231" s="678"/>
      <c r="E231" s="680"/>
      <c r="F231" s="679"/>
      <c r="G231" s="677"/>
      <c r="H231" s="677"/>
      <c r="I231" s="677"/>
      <c r="J231" s="1605">
        <f t="shared" si="19"/>
        <v>0</v>
      </c>
      <c r="K231" s="675"/>
      <c r="L231" s="1605">
        <f t="shared" si="20"/>
        <v>0</v>
      </c>
      <c r="M231" s="673">
        <f t="shared" si="21"/>
        <v>0</v>
      </c>
      <c r="N231" s="1332">
        <v>0.2</v>
      </c>
      <c r="O231" s="1333" t="str">
        <f t="shared" si="22"/>
        <v/>
      </c>
      <c r="P231" s="1573"/>
    </row>
    <row r="232" spans="2:16">
      <c r="B232" s="1331"/>
      <c r="C232" s="798"/>
      <c r="D232" s="678"/>
      <c r="E232" s="680"/>
      <c r="F232" s="679"/>
      <c r="G232" s="677"/>
      <c r="H232" s="677"/>
      <c r="I232" s="677"/>
      <c r="J232" s="1605">
        <f t="shared" si="19"/>
        <v>0</v>
      </c>
      <c r="K232" s="675"/>
      <c r="L232" s="1605">
        <f t="shared" si="20"/>
        <v>0</v>
      </c>
      <c r="M232" s="673">
        <f t="shared" si="21"/>
        <v>0</v>
      </c>
      <c r="N232" s="1332">
        <v>0.2</v>
      </c>
      <c r="O232" s="1333" t="str">
        <f t="shared" si="22"/>
        <v/>
      </c>
      <c r="P232" s="1573"/>
    </row>
    <row r="233" spans="2:16">
      <c r="B233" s="1331"/>
      <c r="C233" s="798"/>
      <c r="D233" s="678"/>
      <c r="E233" s="680"/>
      <c r="F233" s="679"/>
      <c r="G233" s="677"/>
      <c r="H233" s="677"/>
      <c r="I233" s="677"/>
      <c r="J233" s="1605">
        <f t="shared" si="19"/>
        <v>0</v>
      </c>
      <c r="K233" s="675"/>
      <c r="L233" s="1605">
        <f t="shared" si="20"/>
        <v>0</v>
      </c>
      <c r="M233" s="673">
        <f t="shared" si="21"/>
        <v>0</v>
      </c>
      <c r="N233" s="1332">
        <v>0.2</v>
      </c>
      <c r="O233" s="1333" t="str">
        <f t="shared" si="22"/>
        <v/>
      </c>
      <c r="P233" s="1573"/>
    </row>
    <row r="234" spans="2:16">
      <c r="B234" s="1331"/>
      <c r="C234" s="798"/>
      <c r="D234" s="678"/>
      <c r="E234" s="680"/>
      <c r="F234" s="679"/>
      <c r="G234" s="677"/>
      <c r="H234" s="677"/>
      <c r="I234" s="677"/>
      <c r="J234" s="1605">
        <f t="shared" si="19"/>
        <v>0</v>
      </c>
      <c r="K234" s="675"/>
      <c r="L234" s="1605">
        <f t="shared" si="20"/>
        <v>0</v>
      </c>
      <c r="M234" s="673">
        <f t="shared" si="21"/>
        <v>0</v>
      </c>
      <c r="N234" s="1332">
        <v>0.2</v>
      </c>
      <c r="O234" s="1333" t="str">
        <f t="shared" si="22"/>
        <v/>
      </c>
      <c r="P234" s="1573"/>
    </row>
    <row r="235" spans="2:16">
      <c r="B235" s="1331"/>
      <c r="C235" s="798"/>
      <c r="D235" s="678"/>
      <c r="E235" s="680"/>
      <c r="F235" s="679"/>
      <c r="G235" s="677"/>
      <c r="H235" s="677"/>
      <c r="I235" s="677"/>
      <c r="J235" s="1605">
        <f t="shared" si="19"/>
        <v>0</v>
      </c>
      <c r="K235" s="675"/>
      <c r="L235" s="1605">
        <f t="shared" si="20"/>
        <v>0</v>
      </c>
      <c r="M235" s="673">
        <f t="shared" si="21"/>
        <v>0</v>
      </c>
      <c r="N235" s="1332">
        <v>0.2</v>
      </c>
      <c r="O235" s="1333" t="str">
        <f t="shared" si="22"/>
        <v/>
      </c>
      <c r="P235" s="1573"/>
    </row>
    <row r="236" spans="2:16">
      <c r="B236" s="1331"/>
      <c r="C236" s="798"/>
      <c r="D236" s="678"/>
      <c r="E236" s="680"/>
      <c r="F236" s="679"/>
      <c r="G236" s="677"/>
      <c r="H236" s="677"/>
      <c r="I236" s="677"/>
      <c r="J236" s="1605">
        <f t="shared" si="19"/>
        <v>0</v>
      </c>
      <c r="K236" s="675"/>
      <c r="L236" s="1605">
        <f t="shared" si="20"/>
        <v>0</v>
      </c>
      <c r="M236" s="673">
        <f t="shared" si="21"/>
        <v>0</v>
      </c>
      <c r="N236" s="1332">
        <v>0.2</v>
      </c>
      <c r="O236" s="1333" t="str">
        <f t="shared" si="22"/>
        <v/>
      </c>
      <c r="P236" s="1573"/>
    </row>
    <row r="237" spans="2:16">
      <c r="B237" s="1331"/>
      <c r="C237" s="798"/>
      <c r="D237" s="678"/>
      <c r="E237" s="680"/>
      <c r="F237" s="679"/>
      <c r="G237" s="677"/>
      <c r="H237" s="677"/>
      <c r="I237" s="677"/>
      <c r="J237" s="1605">
        <f t="shared" si="19"/>
        <v>0</v>
      </c>
      <c r="K237" s="675"/>
      <c r="L237" s="1605">
        <f t="shared" si="20"/>
        <v>0</v>
      </c>
      <c r="M237" s="673">
        <f t="shared" si="21"/>
        <v>0</v>
      </c>
      <c r="N237" s="1332">
        <v>0.2</v>
      </c>
      <c r="O237" s="1333" t="str">
        <f t="shared" si="22"/>
        <v/>
      </c>
      <c r="P237" s="1573"/>
    </row>
    <row r="238" spans="2:16">
      <c r="B238" s="1331"/>
      <c r="C238" s="798"/>
      <c r="D238" s="678"/>
      <c r="E238" s="680"/>
      <c r="F238" s="679"/>
      <c r="G238" s="677"/>
      <c r="H238" s="677"/>
      <c r="I238" s="677"/>
      <c r="J238" s="1605">
        <f t="shared" si="19"/>
        <v>0</v>
      </c>
      <c r="K238" s="675"/>
      <c r="L238" s="1605">
        <f t="shared" si="20"/>
        <v>0</v>
      </c>
      <c r="M238" s="673">
        <f t="shared" si="21"/>
        <v>0</v>
      </c>
      <c r="N238" s="1332">
        <v>0.2</v>
      </c>
      <c r="O238" s="1333" t="str">
        <f t="shared" si="22"/>
        <v/>
      </c>
      <c r="P238" s="1573"/>
    </row>
    <row r="239" spans="2:16">
      <c r="B239" s="1331"/>
      <c r="C239" s="798"/>
      <c r="D239" s="678"/>
      <c r="E239" s="680"/>
      <c r="F239" s="679"/>
      <c r="G239" s="677"/>
      <c r="H239" s="677"/>
      <c r="I239" s="677"/>
      <c r="J239" s="1605">
        <f t="shared" si="19"/>
        <v>0</v>
      </c>
      <c r="K239" s="675"/>
      <c r="L239" s="1605">
        <f t="shared" si="20"/>
        <v>0</v>
      </c>
      <c r="M239" s="673">
        <f t="shared" si="21"/>
        <v>0</v>
      </c>
      <c r="N239" s="1332">
        <v>0.2</v>
      </c>
      <c r="O239" s="1333" t="str">
        <f t="shared" si="22"/>
        <v/>
      </c>
      <c r="P239" s="1573"/>
    </row>
    <row r="240" spans="2:16">
      <c r="B240" s="1331"/>
      <c r="C240" s="798"/>
      <c r="D240" s="678"/>
      <c r="E240" s="680"/>
      <c r="F240" s="679"/>
      <c r="G240" s="677"/>
      <c r="H240" s="677"/>
      <c r="I240" s="677"/>
      <c r="J240" s="1605">
        <f t="shared" si="19"/>
        <v>0</v>
      </c>
      <c r="K240" s="675"/>
      <c r="L240" s="1605">
        <f t="shared" si="20"/>
        <v>0</v>
      </c>
      <c r="M240" s="673">
        <f t="shared" si="21"/>
        <v>0</v>
      </c>
      <c r="N240" s="1332">
        <v>0.2</v>
      </c>
      <c r="O240" s="1333" t="str">
        <f t="shared" si="22"/>
        <v/>
      </c>
      <c r="P240" s="1573"/>
    </row>
    <row r="241" spans="2:16">
      <c r="B241" s="1331"/>
      <c r="C241" s="798"/>
      <c r="D241" s="678"/>
      <c r="E241" s="680"/>
      <c r="F241" s="679"/>
      <c r="G241" s="677"/>
      <c r="H241" s="677"/>
      <c r="I241" s="677"/>
      <c r="J241" s="1605">
        <f t="shared" si="19"/>
        <v>0</v>
      </c>
      <c r="K241" s="675"/>
      <c r="L241" s="1605">
        <f t="shared" si="20"/>
        <v>0</v>
      </c>
      <c r="M241" s="673">
        <f t="shared" si="21"/>
        <v>0</v>
      </c>
      <c r="N241" s="1332">
        <v>0.2</v>
      </c>
      <c r="O241" s="1333" t="str">
        <f t="shared" si="22"/>
        <v/>
      </c>
      <c r="P241" s="1573"/>
    </row>
    <row r="242" spans="2:16">
      <c r="B242" s="1331"/>
      <c r="C242" s="798"/>
      <c r="D242" s="678"/>
      <c r="E242" s="680"/>
      <c r="F242" s="679"/>
      <c r="G242" s="677"/>
      <c r="H242" s="677"/>
      <c r="I242" s="677"/>
      <c r="J242" s="1605">
        <f t="shared" si="19"/>
        <v>0</v>
      </c>
      <c r="K242" s="675"/>
      <c r="L242" s="1605">
        <f t="shared" si="20"/>
        <v>0</v>
      </c>
      <c r="M242" s="673">
        <f t="shared" si="21"/>
        <v>0</v>
      </c>
      <c r="N242" s="1332">
        <v>0.2</v>
      </c>
      <c r="O242" s="1333" t="str">
        <f t="shared" si="22"/>
        <v/>
      </c>
      <c r="P242" s="1573"/>
    </row>
    <row r="243" spans="2:16">
      <c r="B243" s="1331"/>
      <c r="C243" s="798"/>
      <c r="D243" s="678"/>
      <c r="E243" s="680"/>
      <c r="F243" s="679"/>
      <c r="G243" s="677"/>
      <c r="H243" s="677"/>
      <c r="I243" s="677"/>
      <c r="J243" s="1605">
        <f t="shared" si="19"/>
        <v>0</v>
      </c>
      <c r="K243" s="675"/>
      <c r="L243" s="1605">
        <f t="shared" si="20"/>
        <v>0</v>
      </c>
      <c r="M243" s="673">
        <f t="shared" si="21"/>
        <v>0</v>
      </c>
      <c r="N243" s="1332">
        <v>0.2</v>
      </c>
      <c r="O243" s="1333" t="str">
        <f t="shared" si="22"/>
        <v/>
      </c>
      <c r="P243" s="1573"/>
    </row>
    <row r="244" spans="2:16">
      <c r="B244" s="1331"/>
      <c r="C244" s="798"/>
      <c r="D244" s="678"/>
      <c r="E244" s="680"/>
      <c r="F244" s="679"/>
      <c r="G244" s="677"/>
      <c r="H244" s="677"/>
      <c r="I244" s="677"/>
      <c r="J244" s="1605">
        <f t="shared" si="19"/>
        <v>0</v>
      </c>
      <c r="K244" s="675"/>
      <c r="L244" s="1605">
        <f t="shared" si="20"/>
        <v>0</v>
      </c>
      <c r="M244" s="673">
        <f t="shared" si="21"/>
        <v>0</v>
      </c>
      <c r="N244" s="1332">
        <v>0.2</v>
      </c>
      <c r="O244" s="1333" t="str">
        <f t="shared" si="22"/>
        <v/>
      </c>
      <c r="P244" s="1573"/>
    </row>
    <row r="245" spans="2:16">
      <c r="B245" s="1331"/>
      <c r="C245" s="798"/>
      <c r="D245" s="678"/>
      <c r="E245" s="680"/>
      <c r="F245" s="679"/>
      <c r="G245" s="677"/>
      <c r="H245" s="677"/>
      <c r="I245" s="677"/>
      <c r="J245" s="1605">
        <f t="shared" ref="J245:J298" si="23">H245+I245</f>
        <v>0</v>
      </c>
      <c r="K245" s="675"/>
      <c r="L245" s="1605">
        <f t="shared" ref="L245:L298" si="24">J245*K245</f>
        <v>0</v>
      </c>
      <c r="M245" s="673">
        <f t="shared" ref="M245:M298" si="25">L245/$D$9</f>
        <v>0</v>
      </c>
      <c r="N245" s="1332">
        <v>0.2</v>
      </c>
      <c r="O245" s="1333" t="str">
        <f t="shared" ref="O245:O298" si="26">IF((M245-N245)&gt;0,M245-N245,"")</f>
        <v/>
      </c>
      <c r="P245" s="1573"/>
    </row>
    <row r="246" spans="2:16">
      <c r="B246" s="1331"/>
      <c r="C246" s="798"/>
      <c r="D246" s="678"/>
      <c r="E246" s="680"/>
      <c r="F246" s="679"/>
      <c r="G246" s="677"/>
      <c r="H246" s="677"/>
      <c r="I246" s="677"/>
      <c r="J246" s="1605">
        <f t="shared" si="23"/>
        <v>0</v>
      </c>
      <c r="K246" s="675"/>
      <c r="L246" s="1605">
        <f t="shared" si="24"/>
        <v>0</v>
      </c>
      <c r="M246" s="673">
        <f t="shared" si="25"/>
        <v>0</v>
      </c>
      <c r="N246" s="1332">
        <v>0.2</v>
      </c>
      <c r="O246" s="1333" t="str">
        <f t="shared" si="26"/>
        <v/>
      </c>
      <c r="P246" s="1573"/>
    </row>
    <row r="247" spans="2:16">
      <c r="B247" s="1331"/>
      <c r="C247" s="798"/>
      <c r="D247" s="678"/>
      <c r="E247" s="680"/>
      <c r="F247" s="679"/>
      <c r="G247" s="677"/>
      <c r="H247" s="677"/>
      <c r="I247" s="677"/>
      <c r="J247" s="1605">
        <f t="shared" si="23"/>
        <v>0</v>
      </c>
      <c r="K247" s="675"/>
      <c r="L247" s="1605">
        <f t="shared" si="24"/>
        <v>0</v>
      </c>
      <c r="M247" s="673">
        <f t="shared" si="25"/>
        <v>0</v>
      </c>
      <c r="N247" s="1332">
        <v>0.2</v>
      </c>
      <c r="O247" s="1333" t="str">
        <f t="shared" si="26"/>
        <v/>
      </c>
      <c r="P247" s="1573"/>
    </row>
    <row r="248" spans="2:16">
      <c r="B248" s="1331"/>
      <c r="C248" s="798"/>
      <c r="D248" s="678"/>
      <c r="E248" s="680"/>
      <c r="F248" s="679"/>
      <c r="G248" s="677"/>
      <c r="H248" s="677"/>
      <c r="I248" s="677"/>
      <c r="J248" s="1605">
        <f t="shared" si="23"/>
        <v>0</v>
      </c>
      <c r="K248" s="675"/>
      <c r="L248" s="1605">
        <f t="shared" si="24"/>
        <v>0</v>
      </c>
      <c r="M248" s="673">
        <f t="shared" si="25"/>
        <v>0</v>
      </c>
      <c r="N248" s="1332">
        <v>0.2</v>
      </c>
      <c r="O248" s="1333" t="str">
        <f t="shared" si="26"/>
        <v/>
      </c>
      <c r="P248" s="1573"/>
    </row>
    <row r="249" spans="2:16">
      <c r="B249" s="1331"/>
      <c r="C249" s="798"/>
      <c r="D249" s="678"/>
      <c r="E249" s="680"/>
      <c r="F249" s="679"/>
      <c r="G249" s="677"/>
      <c r="H249" s="677"/>
      <c r="I249" s="677"/>
      <c r="J249" s="1605">
        <f t="shared" si="23"/>
        <v>0</v>
      </c>
      <c r="K249" s="675"/>
      <c r="L249" s="1605">
        <f t="shared" si="24"/>
        <v>0</v>
      </c>
      <c r="M249" s="673">
        <f t="shared" si="25"/>
        <v>0</v>
      </c>
      <c r="N249" s="1332">
        <v>0.2</v>
      </c>
      <c r="O249" s="1333" t="str">
        <f t="shared" si="26"/>
        <v/>
      </c>
      <c r="P249" s="1573"/>
    </row>
    <row r="250" spans="2:16">
      <c r="B250" s="1331"/>
      <c r="C250" s="798"/>
      <c r="D250" s="678"/>
      <c r="E250" s="680"/>
      <c r="F250" s="679"/>
      <c r="G250" s="677"/>
      <c r="H250" s="677"/>
      <c r="I250" s="677"/>
      <c r="J250" s="1605">
        <f t="shared" si="23"/>
        <v>0</v>
      </c>
      <c r="K250" s="675"/>
      <c r="L250" s="1605">
        <f t="shared" si="24"/>
        <v>0</v>
      </c>
      <c r="M250" s="673">
        <f t="shared" si="25"/>
        <v>0</v>
      </c>
      <c r="N250" s="1332">
        <v>0.2</v>
      </c>
      <c r="O250" s="1333" t="str">
        <f t="shared" si="26"/>
        <v/>
      </c>
      <c r="P250" s="1573"/>
    </row>
    <row r="251" spans="2:16">
      <c r="B251" s="1331"/>
      <c r="C251" s="798"/>
      <c r="D251" s="678"/>
      <c r="E251" s="680"/>
      <c r="F251" s="679"/>
      <c r="G251" s="677"/>
      <c r="H251" s="677"/>
      <c r="I251" s="677"/>
      <c r="J251" s="1605">
        <f t="shared" si="23"/>
        <v>0</v>
      </c>
      <c r="K251" s="675"/>
      <c r="L251" s="1605">
        <f t="shared" si="24"/>
        <v>0</v>
      </c>
      <c r="M251" s="673">
        <f t="shared" si="25"/>
        <v>0</v>
      </c>
      <c r="N251" s="1332">
        <v>0.2</v>
      </c>
      <c r="O251" s="1333" t="str">
        <f t="shared" si="26"/>
        <v/>
      </c>
      <c r="P251" s="1573"/>
    </row>
    <row r="252" spans="2:16">
      <c r="B252" s="1331"/>
      <c r="C252" s="798"/>
      <c r="D252" s="678"/>
      <c r="E252" s="680"/>
      <c r="F252" s="679"/>
      <c r="G252" s="677"/>
      <c r="H252" s="677"/>
      <c r="I252" s="677"/>
      <c r="J252" s="1605">
        <f t="shared" si="23"/>
        <v>0</v>
      </c>
      <c r="K252" s="675"/>
      <c r="L252" s="1605">
        <f t="shared" si="24"/>
        <v>0</v>
      </c>
      <c r="M252" s="673">
        <f t="shared" si="25"/>
        <v>0</v>
      </c>
      <c r="N252" s="1332">
        <v>0.2</v>
      </c>
      <c r="O252" s="1333" t="str">
        <f t="shared" si="26"/>
        <v/>
      </c>
      <c r="P252" s="1573"/>
    </row>
    <row r="253" spans="2:16">
      <c r="B253" s="1331"/>
      <c r="C253" s="798"/>
      <c r="D253" s="678"/>
      <c r="E253" s="680"/>
      <c r="F253" s="679"/>
      <c r="G253" s="677"/>
      <c r="H253" s="677"/>
      <c r="I253" s="677"/>
      <c r="J253" s="1605">
        <f t="shared" si="23"/>
        <v>0</v>
      </c>
      <c r="K253" s="675"/>
      <c r="L253" s="1605">
        <f t="shared" si="24"/>
        <v>0</v>
      </c>
      <c r="M253" s="673">
        <f t="shared" si="25"/>
        <v>0</v>
      </c>
      <c r="N253" s="1332">
        <v>0.2</v>
      </c>
      <c r="O253" s="1333" t="str">
        <f t="shared" si="26"/>
        <v/>
      </c>
      <c r="P253" s="1573"/>
    </row>
    <row r="254" spans="2:16">
      <c r="B254" s="1331"/>
      <c r="C254" s="798"/>
      <c r="D254" s="678"/>
      <c r="E254" s="680"/>
      <c r="F254" s="679"/>
      <c r="G254" s="677"/>
      <c r="H254" s="677"/>
      <c r="I254" s="677"/>
      <c r="J254" s="1605">
        <f t="shared" si="23"/>
        <v>0</v>
      </c>
      <c r="K254" s="675"/>
      <c r="L254" s="1605">
        <f t="shared" si="24"/>
        <v>0</v>
      </c>
      <c r="M254" s="673">
        <f t="shared" si="25"/>
        <v>0</v>
      </c>
      <c r="N254" s="1332">
        <v>0.2</v>
      </c>
      <c r="O254" s="1333" t="str">
        <f t="shared" si="26"/>
        <v/>
      </c>
      <c r="P254" s="1573"/>
    </row>
    <row r="255" spans="2:16">
      <c r="B255" s="1331"/>
      <c r="C255" s="798"/>
      <c r="D255" s="678"/>
      <c r="E255" s="680"/>
      <c r="F255" s="679"/>
      <c r="G255" s="677"/>
      <c r="H255" s="677"/>
      <c r="I255" s="677"/>
      <c r="J255" s="1605">
        <f t="shared" si="23"/>
        <v>0</v>
      </c>
      <c r="K255" s="675"/>
      <c r="L255" s="1605">
        <f t="shared" si="24"/>
        <v>0</v>
      </c>
      <c r="M255" s="673">
        <f t="shared" si="25"/>
        <v>0</v>
      </c>
      <c r="N255" s="1332">
        <v>0.2</v>
      </c>
      <c r="O255" s="1333" t="str">
        <f t="shared" si="26"/>
        <v/>
      </c>
      <c r="P255" s="1573"/>
    </row>
    <row r="256" spans="2:16">
      <c r="B256" s="1331"/>
      <c r="C256" s="798"/>
      <c r="D256" s="678"/>
      <c r="E256" s="680"/>
      <c r="F256" s="679"/>
      <c r="G256" s="677"/>
      <c r="H256" s="677"/>
      <c r="I256" s="677"/>
      <c r="J256" s="1605">
        <f t="shared" si="23"/>
        <v>0</v>
      </c>
      <c r="K256" s="675"/>
      <c r="L256" s="1605">
        <f t="shared" si="24"/>
        <v>0</v>
      </c>
      <c r="M256" s="673">
        <f t="shared" si="25"/>
        <v>0</v>
      </c>
      <c r="N256" s="1332">
        <v>0.2</v>
      </c>
      <c r="O256" s="1333" t="str">
        <f t="shared" si="26"/>
        <v/>
      </c>
      <c r="P256" s="1573"/>
    </row>
    <row r="257" spans="2:16">
      <c r="B257" s="1331"/>
      <c r="C257" s="798"/>
      <c r="D257" s="678"/>
      <c r="E257" s="680"/>
      <c r="F257" s="679"/>
      <c r="G257" s="677"/>
      <c r="H257" s="677"/>
      <c r="I257" s="677"/>
      <c r="J257" s="1605">
        <f t="shared" si="23"/>
        <v>0</v>
      </c>
      <c r="K257" s="675"/>
      <c r="L257" s="1605">
        <f t="shared" si="24"/>
        <v>0</v>
      </c>
      <c r="M257" s="673">
        <f t="shared" si="25"/>
        <v>0</v>
      </c>
      <c r="N257" s="1332">
        <v>0.2</v>
      </c>
      <c r="O257" s="1333" t="str">
        <f t="shared" si="26"/>
        <v/>
      </c>
      <c r="P257" s="1573"/>
    </row>
    <row r="258" spans="2:16">
      <c r="B258" s="1331"/>
      <c r="C258" s="798"/>
      <c r="D258" s="678"/>
      <c r="E258" s="680"/>
      <c r="F258" s="679"/>
      <c r="G258" s="677"/>
      <c r="H258" s="677"/>
      <c r="I258" s="677"/>
      <c r="J258" s="1605">
        <f t="shared" si="23"/>
        <v>0</v>
      </c>
      <c r="K258" s="675"/>
      <c r="L258" s="1605">
        <f t="shared" si="24"/>
        <v>0</v>
      </c>
      <c r="M258" s="673">
        <f t="shared" si="25"/>
        <v>0</v>
      </c>
      <c r="N258" s="1332">
        <v>0.2</v>
      </c>
      <c r="O258" s="1333" t="str">
        <f t="shared" si="26"/>
        <v/>
      </c>
      <c r="P258" s="1573"/>
    </row>
    <row r="259" spans="2:16">
      <c r="B259" s="1331"/>
      <c r="C259" s="798"/>
      <c r="D259" s="678"/>
      <c r="E259" s="680"/>
      <c r="F259" s="679"/>
      <c r="G259" s="677"/>
      <c r="H259" s="677"/>
      <c r="I259" s="677"/>
      <c r="J259" s="1605">
        <f t="shared" si="23"/>
        <v>0</v>
      </c>
      <c r="K259" s="675"/>
      <c r="L259" s="1605">
        <f t="shared" si="24"/>
        <v>0</v>
      </c>
      <c r="M259" s="673">
        <f t="shared" si="25"/>
        <v>0</v>
      </c>
      <c r="N259" s="1332">
        <v>0.2</v>
      </c>
      <c r="O259" s="1333" t="str">
        <f t="shared" si="26"/>
        <v/>
      </c>
      <c r="P259" s="1573"/>
    </row>
    <row r="260" spans="2:16">
      <c r="B260" s="1331"/>
      <c r="C260" s="798"/>
      <c r="D260" s="678"/>
      <c r="E260" s="680"/>
      <c r="F260" s="679"/>
      <c r="G260" s="677"/>
      <c r="H260" s="677"/>
      <c r="I260" s="677"/>
      <c r="J260" s="1605">
        <f t="shared" si="23"/>
        <v>0</v>
      </c>
      <c r="K260" s="675"/>
      <c r="L260" s="1605">
        <f t="shared" si="24"/>
        <v>0</v>
      </c>
      <c r="M260" s="673">
        <f t="shared" si="25"/>
        <v>0</v>
      </c>
      <c r="N260" s="1332">
        <v>0.2</v>
      </c>
      <c r="O260" s="1333" t="str">
        <f t="shared" si="26"/>
        <v/>
      </c>
      <c r="P260" s="1573"/>
    </row>
    <row r="261" spans="2:16">
      <c r="B261" s="1331"/>
      <c r="C261" s="798"/>
      <c r="D261" s="678"/>
      <c r="E261" s="680"/>
      <c r="F261" s="679"/>
      <c r="G261" s="677"/>
      <c r="H261" s="677"/>
      <c r="I261" s="677"/>
      <c r="J261" s="1605">
        <f t="shared" si="23"/>
        <v>0</v>
      </c>
      <c r="K261" s="675"/>
      <c r="L261" s="1605">
        <f t="shared" si="24"/>
        <v>0</v>
      </c>
      <c r="M261" s="673">
        <f t="shared" si="25"/>
        <v>0</v>
      </c>
      <c r="N261" s="1332">
        <v>0.2</v>
      </c>
      <c r="O261" s="1333" t="str">
        <f t="shared" si="26"/>
        <v/>
      </c>
      <c r="P261" s="1573"/>
    </row>
    <row r="262" spans="2:16">
      <c r="B262" s="1331"/>
      <c r="C262" s="798"/>
      <c r="D262" s="678"/>
      <c r="E262" s="680"/>
      <c r="F262" s="679"/>
      <c r="G262" s="677"/>
      <c r="H262" s="677"/>
      <c r="I262" s="677"/>
      <c r="J262" s="1605">
        <f t="shared" si="23"/>
        <v>0</v>
      </c>
      <c r="K262" s="675"/>
      <c r="L262" s="1605">
        <f t="shared" si="24"/>
        <v>0</v>
      </c>
      <c r="M262" s="673">
        <f t="shared" si="25"/>
        <v>0</v>
      </c>
      <c r="N262" s="1332">
        <v>0.2</v>
      </c>
      <c r="O262" s="1333" t="str">
        <f t="shared" si="26"/>
        <v/>
      </c>
      <c r="P262" s="1573"/>
    </row>
    <row r="263" spans="2:16">
      <c r="B263" s="1331"/>
      <c r="C263" s="798"/>
      <c r="D263" s="678"/>
      <c r="E263" s="680"/>
      <c r="F263" s="679"/>
      <c r="G263" s="677"/>
      <c r="H263" s="677"/>
      <c r="I263" s="677"/>
      <c r="J263" s="1605">
        <f t="shared" si="23"/>
        <v>0</v>
      </c>
      <c r="K263" s="675"/>
      <c r="L263" s="1605">
        <f t="shared" si="24"/>
        <v>0</v>
      </c>
      <c r="M263" s="673">
        <f t="shared" si="25"/>
        <v>0</v>
      </c>
      <c r="N263" s="1332">
        <v>0.2</v>
      </c>
      <c r="O263" s="1333" t="str">
        <f t="shared" si="26"/>
        <v/>
      </c>
      <c r="P263" s="1573"/>
    </row>
    <row r="264" spans="2:16">
      <c r="B264" s="1331"/>
      <c r="C264" s="798"/>
      <c r="D264" s="678"/>
      <c r="E264" s="680"/>
      <c r="F264" s="679"/>
      <c r="G264" s="677"/>
      <c r="H264" s="677"/>
      <c r="I264" s="677"/>
      <c r="J264" s="1605">
        <f t="shared" si="23"/>
        <v>0</v>
      </c>
      <c r="K264" s="675"/>
      <c r="L264" s="1605">
        <f t="shared" si="24"/>
        <v>0</v>
      </c>
      <c r="M264" s="673">
        <f t="shared" si="25"/>
        <v>0</v>
      </c>
      <c r="N264" s="1332">
        <v>0.2</v>
      </c>
      <c r="O264" s="1333" t="str">
        <f t="shared" si="26"/>
        <v/>
      </c>
      <c r="P264" s="1573"/>
    </row>
    <row r="265" spans="2:16">
      <c r="B265" s="1331"/>
      <c r="C265" s="798"/>
      <c r="D265" s="678"/>
      <c r="E265" s="680"/>
      <c r="F265" s="679"/>
      <c r="G265" s="677"/>
      <c r="H265" s="677"/>
      <c r="I265" s="677"/>
      <c r="J265" s="1605">
        <f t="shared" si="23"/>
        <v>0</v>
      </c>
      <c r="K265" s="675"/>
      <c r="L265" s="1605">
        <f t="shared" si="24"/>
        <v>0</v>
      </c>
      <c r="M265" s="673">
        <f t="shared" si="25"/>
        <v>0</v>
      </c>
      <c r="N265" s="1332">
        <v>0.2</v>
      </c>
      <c r="O265" s="1333" t="str">
        <f t="shared" si="26"/>
        <v/>
      </c>
      <c r="P265" s="1573"/>
    </row>
    <row r="266" spans="2:16">
      <c r="B266" s="1331"/>
      <c r="C266" s="798"/>
      <c r="D266" s="678"/>
      <c r="E266" s="680"/>
      <c r="F266" s="679"/>
      <c r="G266" s="677"/>
      <c r="H266" s="677"/>
      <c r="I266" s="677"/>
      <c r="J266" s="1605">
        <f t="shared" si="23"/>
        <v>0</v>
      </c>
      <c r="K266" s="675"/>
      <c r="L266" s="1605">
        <f t="shared" si="24"/>
        <v>0</v>
      </c>
      <c r="M266" s="673">
        <f t="shared" si="25"/>
        <v>0</v>
      </c>
      <c r="N266" s="1332">
        <v>0.2</v>
      </c>
      <c r="O266" s="1333" t="str">
        <f t="shared" si="26"/>
        <v/>
      </c>
      <c r="P266" s="1573"/>
    </row>
    <row r="267" spans="2:16">
      <c r="B267" s="1331"/>
      <c r="C267" s="798"/>
      <c r="D267" s="678"/>
      <c r="E267" s="680"/>
      <c r="F267" s="679"/>
      <c r="G267" s="677"/>
      <c r="H267" s="677"/>
      <c r="I267" s="677"/>
      <c r="J267" s="1605">
        <f t="shared" si="23"/>
        <v>0</v>
      </c>
      <c r="K267" s="675"/>
      <c r="L267" s="1605">
        <f t="shared" si="24"/>
        <v>0</v>
      </c>
      <c r="M267" s="673">
        <f t="shared" si="25"/>
        <v>0</v>
      </c>
      <c r="N267" s="1332">
        <v>0.2</v>
      </c>
      <c r="O267" s="1333" t="str">
        <f t="shared" si="26"/>
        <v/>
      </c>
      <c r="P267" s="1573"/>
    </row>
    <row r="268" spans="2:16">
      <c r="B268" s="1331"/>
      <c r="C268" s="798"/>
      <c r="D268" s="678"/>
      <c r="E268" s="680"/>
      <c r="F268" s="679"/>
      <c r="G268" s="677"/>
      <c r="H268" s="677"/>
      <c r="I268" s="677"/>
      <c r="J268" s="1605">
        <f t="shared" si="23"/>
        <v>0</v>
      </c>
      <c r="K268" s="675"/>
      <c r="L268" s="1605">
        <f t="shared" si="24"/>
        <v>0</v>
      </c>
      <c r="M268" s="673">
        <f t="shared" si="25"/>
        <v>0</v>
      </c>
      <c r="N268" s="1332">
        <v>0.2</v>
      </c>
      <c r="O268" s="1333" t="str">
        <f t="shared" si="26"/>
        <v/>
      </c>
      <c r="P268" s="1573"/>
    </row>
    <row r="269" spans="2:16">
      <c r="B269" s="1331"/>
      <c r="C269" s="798"/>
      <c r="D269" s="678"/>
      <c r="E269" s="680"/>
      <c r="F269" s="679"/>
      <c r="G269" s="677"/>
      <c r="H269" s="677"/>
      <c r="I269" s="677"/>
      <c r="J269" s="1605">
        <f t="shared" si="23"/>
        <v>0</v>
      </c>
      <c r="K269" s="675"/>
      <c r="L269" s="1605">
        <f t="shared" si="24"/>
        <v>0</v>
      </c>
      <c r="M269" s="673">
        <f t="shared" si="25"/>
        <v>0</v>
      </c>
      <c r="N269" s="1332">
        <v>0.2</v>
      </c>
      <c r="O269" s="1333" t="str">
        <f t="shared" si="26"/>
        <v/>
      </c>
      <c r="P269" s="1573"/>
    </row>
    <row r="270" spans="2:16">
      <c r="B270" s="1331"/>
      <c r="C270" s="798"/>
      <c r="D270" s="678"/>
      <c r="E270" s="680"/>
      <c r="F270" s="679"/>
      <c r="G270" s="677"/>
      <c r="H270" s="677"/>
      <c r="I270" s="677"/>
      <c r="J270" s="1605">
        <f t="shared" si="23"/>
        <v>0</v>
      </c>
      <c r="K270" s="675"/>
      <c r="L270" s="1605">
        <f t="shared" si="24"/>
        <v>0</v>
      </c>
      <c r="M270" s="673">
        <f t="shared" si="25"/>
        <v>0</v>
      </c>
      <c r="N270" s="1332">
        <v>0.2</v>
      </c>
      <c r="O270" s="1333" t="str">
        <f t="shared" si="26"/>
        <v/>
      </c>
      <c r="P270" s="1573"/>
    </row>
    <row r="271" spans="2:16">
      <c r="B271" s="1331"/>
      <c r="C271" s="798"/>
      <c r="D271" s="678"/>
      <c r="E271" s="680"/>
      <c r="F271" s="679"/>
      <c r="G271" s="677"/>
      <c r="H271" s="677"/>
      <c r="I271" s="677"/>
      <c r="J271" s="1605">
        <f t="shared" si="23"/>
        <v>0</v>
      </c>
      <c r="K271" s="675"/>
      <c r="L271" s="1605">
        <f t="shared" si="24"/>
        <v>0</v>
      </c>
      <c r="M271" s="673">
        <f t="shared" si="25"/>
        <v>0</v>
      </c>
      <c r="N271" s="1332">
        <v>0.2</v>
      </c>
      <c r="O271" s="1333" t="str">
        <f t="shared" si="26"/>
        <v/>
      </c>
      <c r="P271" s="1573"/>
    </row>
    <row r="272" spans="2:16">
      <c r="B272" s="1331"/>
      <c r="C272" s="798"/>
      <c r="D272" s="678"/>
      <c r="E272" s="680"/>
      <c r="F272" s="679"/>
      <c r="G272" s="677"/>
      <c r="H272" s="677"/>
      <c r="I272" s="677"/>
      <c r="J272" s="1605">
        <f t="shared" si="23"/>
        <v>0</v>
      </c>
      <c r="K272" s="675"/>
      <c r="L272" s="1605">
        <f t="shared" si="24"/>
        <v>0</v>
      </c>
      <c r="M272" s="673">
        <f t="shared" si="25"/>
        <v>0</v>
      </c>
      <c r="N272" s="1332">
        <v>0.2</v>
      </c>
      <c r="O272" s="1333" t="str">
        <f t="shared" si="26"/>
        <v/>
      </c>
      <c r="P272" s="1573"/>
    </row>
    <row r="273" spans="2:16">
      <c r="B273" s="1331"/>
      <c r="C273" s="798"/>
      <c r="D273" s="678"/>
      <c r="E273" s="680"/>
      <c r="F273" s="679"/>
      <c r="G273" s="677"/>
      <c r="H273" s="677"/>
      <c r="I273" s="677"/>
      <c r="J273" s="1605">
        <f t="shared" si="23"/>
        <v>0</v>
      </c>
      <c r="K273" s="675"/>
      <c r="L273" s="1605">
        <f t="shared" si="24"/>
        <v>0</v>
      </c>
      <c r="M273" s="673">
        <f t="shared" si="25"/>
        <v>0</v>
      </c>
      <c r="N273" s="1332">
        <v>0.2</v>
      </c>
      <c r="O273" s="1333" t="str">
        <f t="shared" si="26"/>
        <v/>
      </c>
      <c r="P273" s="1573"/>
    </row>
    <row r="274" spans="2:16">
      <c r="B274" s="1331"/>
      <c r="C274" s="798"/>
      <c r="D274" s="678"/>
      <c r="E274" s="680"/>
      <c r="F274" s="679"/>
      <c r="G274" s="677"/>
      <c r="H274" s="677"/>
      <c r="I274" s="677"/>
      <c r="J274" s="1605">
        <f t="shared" si="23"/>
        <v>0</v>
      </c>
      <c r="K274" s="675"/>
      <c r="L274" s="1605">
        <f t="shared" si="24"/>
        <v>0</v>
      </c>
      <c r="M274" s="673">
        <f t="shared" si="25"/>
        <v>0</v>
      </c>
      <c r="N274" s="1332">
        <v>0.2</v>
      </c>
      <c r="O274" s="1333" t="str">
        <f t="shared" si="26"/>
        <v/>
      </c>
      <c r="P274" s="1573"/>
    </row>
    <row r="275" spans="2:16">
      <c r="B275" s="1331"/>
      <c r="C275" s="798"/>
      <c r="D275" s="678"/>
      <c r="E275" s="680"/>
      <c r="F275" s="679"/>
      <c r="G275" s="677"/>
      <c r="H275" s="677"/>
      <c r="I275" s="677"/>
      <c r="J275" s="1605">
        <f t="shared" si="23"/>
        <v>0</v>
      </c>
      <c r="K275" s="675"/>
      <c r="L275" s="1605">
        <f t="shared" si="24"/>
        <v>0</v>
      </c>
      <c r="M275" s="673">
        <f t="shared" si="25"/>
        <v>0</v>
      </c>
      <c r="N275" s="1332">
        <v>0.2</v>
      </c>
      <c r="O275" s="1333" t="str">
        <f t="shared" si="26"/>
        <v/>
      </c>
      <c r="P275" s="1573"/>
    </row>
    <row r="276" spans="2:16">
      <c r="B276" s="1331"/>
      <c r="C276" s="798"/>
      <c r="D276" s="678"/>
      <c r="E276" s="680"/>
      <c r="F276" s="679"/>
      <c r="G276" s="677"/>
      <c r="H276" s="677"/>
      <c r="I276" s="677"/>
      <c r="J276" s="1605">
        <f t="shared" si="23"/>
        <v>0</v>
      </c>
      <c r="K276" s="675"/>
      <c r="L276" s="1605">
        <f t="shared" si="24"/>
        <v>0</v>
      </c>
      <c r="M276" s="673">
        <f t="shared" si="25"/>
        <v>0</v>
      </c>
      <c r="N276" s="1332">
        <v>0.2</v>
      </c>
      <c r="O276" s="1333" t="str">
        <f t="shared" si="26"/>
        <v/>
      </c>
      <c r="P276" s="1573"/>
    </row>
    <row r="277" spans="2:16">
      <c r="B277" s="1331"/>
      <c r="C277" s="798"/>
      <c r="D277" s="678"/>
      <c r="E277" s="680"/>
      <c r="F277" s="679"/>
      <c r="G277" s="677"/>
      <c r="H277" s="677"/>
      <c r="I277" s="677"/>
      <c r="J277" s="1605">
        <f t="shared" si="23"/>
        <v>0</v>
      </c>
      <c r="K277" s="675"/>
      <c r="L277" s="1605">
        <f t="shared" si="24"/>
        <v>0</v>
      </c>
      <c r="M277" s="673">
        <f t="shared" si="25"/>
        <v>0</v>
      </c>
      <c r="N277" s="1332">
        <v>0.2</v>
      </c>
      <c r="O277" s="1333" t="str">
        <f t="shared" si="26"/>
        <v/>
      </c>
      <c r="P277" s="1573"/>
    </row>
    <row r="278" spans="2:16">
      <c r="B278" s="1331"/>
      <c r="C278" s="798"/>
      <c r="D278" s="678"/>
      <c r="E278" s="680"/>
      <c r="F278" s="679"/>
      <c r="G278" s="677"/>
      <c r="H278" s="677"/>
      <c r="I278" s="677"/>
      <c r="J278" s="1605">
        <f t="shared" si="23"/>
        <v>0</v>
      </c>
      <c r="K278" s="675"/>
      <c r="L278" s="1605">
        <f t="shared" si="24"/>
        <v>0</v>
      </c>
      <c r="M278" s="673">
        <f t="shared" si="25"/>
        <v>0</v>
      </c>
      <c r="N278" s="1332">
        <v>0.2</v>
      </c>
      <c r="O278" s="1333" t="str">
        <f t="shared" si="26"/>
        <v/>
      </c>
      <c r="P278" s="1573"/>
    </row>
    <row r="279" spans="2:16">
      <c r="B279" s="1331"/>
      <c r="C279" s="798"/>
      <c r="D279" s="678"/>
      <c r="E279" s="680"/>
      <c r="F279" s="679"/>
      <c r="G279" s="677"/>
      <c r="H279" s="677"/>
      <c r="I279" s="677"/>
      <c r="J279" s="1605">
        <f t="shared" si="23"/>
        <v>0</v>
      </c>
      <c r="K279" s="675"/>
      <c r="L279" s="1605">
        <f t="shared" si="24"/>
        <v>0</v>
      </c>
      <c r="M279" s="673">
        <f t="shared" si="25"/>
        <v>0</v>
      </c>
      <c r="N279" s="1332">
        <v>0.2</v>
      </c>
      <c r="O279" s="1333" t="str">
        <f t="shared" si="26"/>
        <v/>
      </c>
      <c r="P279" s="1573"/>
    </row>
    <row r="280" spans="2:16">
      <c r="B280" s="1331"/>
      <c r="C280" s="798"/>
      <c r="D280" s="678"/>
      <c r="E280" s="680"/>
      <c r="F280" s="679"/>
      <c r="G280" s="677"/>
      <c r="H280" s="677"/>
      <c r="I280" s="677"/>
      <c r="J280" s="1605">
        <f t="shared" si="23"/>
        <v>0</v>
      </c>
      <c r="K280" s="675"/>
      <c r="L280" s="1605">
        <f t="shared" si="24"/>
        <v>0</v>
      </c>
      <c r="M280" s="673">
        <f t="shared" si="25"/>
        <v>0</v>
      </c>
      <c r="N280" s="1332">
        <v>0.2</v>
      </c>
      <c r="O280" s="1333" t="str">
        <f t="shared" si="26"/>
        <v/>
      </c>
      <c r="P280" s="1573"/>
    </row>
    <row r="281" spans="2:16">
      <c r="B281" s="1331"/>
      <c r="C281" s="798"/>
      <c r="D281" s="678"/>
      <c r="E281" s="680"/>
      <c r="F281" s="679"/>
      <c r="G281" s="677"/>
      <c r="H281" s="677"/>
      <c r="I281" s="677"/>
      <c r="J281" s="1605">
        <f t="shared" si="23"/>
        <v>0</v>
      </c>
      <c r="K281" s="675"/>
      <c r="L281" s="1605">
        <f t="shared" si="24"/>
        <v>0</v>
      </c>
      <c r="M281" s="673">
        <f t="shared" si="25"/>
        <v>0</v>
      </c>
      <c r="N281" s="1332">
        <v>0.2</v>
      </c>
      <c r="O281" s="1333" t="str">
        <f t="shared" si="26"/>
        <v/>
      </c>
      <c r="P281" s="1573"/>
    </row>
    <row r="282" spans="2:16">
      <c r="B282" s="1331"/>
      <c r="C282" s="798"/>
      <c r="D282" s="678"/>
      <c r="E282" s="680"/>
      <c r="F282" s="679"/>
      <c r="G282" s="677"/>
      <c r="H282" s="677"/>
      <c r="I282" s="677"/>
      <c r="J282" s="1605">
        <f t="shared" si="23"/>
        <v>0</v>
      </c>
      <c r="K282" s="675"/>
      <c r="L282" s="1605">
        <f t="shared" si="24"/>
        <v>0</v>
      </c>
      <c r="M282" s="673">
        <f t="shared" si="25"/>
        <v>0</v>
      </c>
      <c r="N282" s="1332">
        <v>0.2</v>
      </c>
      <c r="O282" s="1333" t="str">
        <f t="shared" si="26"/>
        <v/>
      </c>
      <c r="P282" s="1573"/>
    </row>
    <row r="283" spans="2:16">
      <c r="B283" s="1331"/>
      <c r="C283" s="798"/>
      <c r="D283" s="678"/>
      <c r="E283" s="680"/>
      <c r="F283" s="679"/>
      <c r="G283" s="677"/>
      <c r="H283" s="677"/>
      <c r="I283" s="677"/>
      <c r="J283" s="1605">
        <f t="shared" si="23"/>
        <v>0</v>
      </c>
      <c r="K283" s="675"/>
      <c r="L283" s="1605">
        <f t="shared" si="24"/>
        <v>0</v>
      </c>
      <c r="M283" s="673">
        <f t="shared" si="25"/>
        <v>0</v>
      </c>
      <c r="N283" s="1332">
        <v>0.2</v>
      </c>
      <c r="O283" s="1333" t="str">
        <f t="shared" si="26"/>
        <v/>
      </c>
      <c r="P283" s="1573"/>
    </row>
    <row r="284" spans="2:16">
      <c r="B284" s="1331"/>
      <c r="C284" s="798"/>
      <c r="D284" s="678"/>
      <c r="E284" s="680"/>
      <c r="F284" s="679"/>
      <c r="G284" s="677"/>
      <c r="H284" s="677"/>
      <c r="I284" s="677"/>
      <c r="J284" s="1605">
        <f t="shared" si="23"/>
        <v>0</v>
      </c>
      <c r="K284" s="675"/>
      <c r="L284" s="1605">
        <f t="shared" si="24"/>
        <v>0</v>
      </c>
      <c r="M284" s="673">
        <f t="shared" si="25"/>
        <v>0</v>
      </c>
      <c r="N284" s="1332">
        <v>0.2</v>
      </c>
      <c r="O284" s="1333" t="str">
        <f t="shared" si="26"/>
        <v/>
      </c>
      <c r="P284" s="1573"/>
    </row>
    <row r="285" spans="2:16">
      <c r="B285" s="1331"/>
      <c r="C285" s="798"/>
      <c r="D285" s="678"/>
      <c r="E285" s="680"/>
      <c r="F285" s="679"/>
      <c r="G285" s="677"/>
      <c r="H285" s="677"/>
      <c r="I285" s="677"/>
      <c r="J285" s="1605">
        <f t="shared" si="23"/>
        <v>0</v>
      </c>
      <c r="K285" s="675"/>
      <c r="L285" s="1605">
        <f t="shared" si="24"/>
        <v>0</v>
      </c>
      <c r="M285" s="673">
        <f t="shared" si="25"/>
        <v>0</v>
      </c>
      <c r="N285" s="1332">
        <v>0.2</v>
      </c>
      <c r="O285" s="1333" t="str">
        <f t="shared" si="26"/>
        <v/>
      </c>
      <c r="P285" s="1573"/>
    </row>
    <row r="286" spans="2:16">
      <c r="B286" s="1331"/>
      <c r="C286" s="798"/>
      <c r="D286" s="678"/>
      <c r="E286" s="680"/>
      <c r="F286" s="679"/>
      <c r="G286" s="677"/>
      <c r="H286" s="677"/>
      <c r="I286" s="677"/>
      <c r="J286" s="1605">
        <f t="shared" si="23"/>
        <v>0</v>
      </c>
      <c r="K286" s="675"/>
      <c r="L286" s="1605">
        <f t="shared" si="24"/>
        <v>0</v>
      </c>
      <c r="M286" s="673">
        <f t="shared" si="25"/>
        <v>0</v>
      </c>
      <c r="N286" s="1332">
        <v>0.2</v>
      </c>
      <c r="O286" s="1333" t="str">
        <f t="shared" si="26"/>
        <v/>
      </c>
      <c r="P286" s="1573"/>
    </row>
    <row r="287" spans="2:16">
      <c r="B287" s="1331"/>
      <c r="C287" s="798"/>
      <c r="D287" s="678"/>
      <c r="E287" s="680"/>
      <c r="F287" s="679"/>
      <c r="G287" s="677"/>
      <c r="H287" s="677"/>
      <c r="I287" s="677"/>
      <c r="J287" s="1605">
        <f t="shared" si="23"/>
        <v>0</v>
      </c>
      <c r="K287" s="675"/>
      <c r="L287" s="1605">
        <f t="shared" si="24"/>
        <v>0</v>
      </c>
      <c r="M287" s="673">
        <f t="shared" si="25"/>
        <v>0</v>
      </c>
      <c r="N287" s="1332">
        <v>0.2</v>
      </c>
      <c r="O287" s="1333" t="str">
        <f t="shared" si="26"/>
        <v/>
      </c>
      <c r="P287" s="1573"/>
    </row>
    <row r="288" spans="2:16">
      <c r="B288" s="1331"/>
      <c r="C288" s="798"/>
      <c r="D288" s="678"/>
      <c r="E288" s="680"/>
      <c r="F288" s="679"/>
      <c r="G288" s="677"/>
      <c r="H288" s="677"/>
      <c r="I288" s="677"/>
      <c r="J288" s="1605">
        <f t="shared" si="23"/>
        <v>0</v>
      </c>
      <c r="K288" s="675"/>
      <c r="L288" s="1605">
        <f t="shared" si="24"/>
        <v>0</v>
      </c>
      <c r="M288" s="673">
        <f t="shared" si="25"/>
        <v>0</v>
      </c>
      <c r="N288" s="1332">
        <v>0.2</v>
      </c>
      <c r="O288" s="1333" t="str">
        <f t="shared" si="26"/>
        <v/>
      </c>
      <c r="P288" s="1573"/>
    </row>
    <row r="289" spans="2:16">
      <c r="B289" s="1331"/>
      <c r="C289" s="798"/>
      <c r="D289" s="678"/>
      <c r="E289" s="680"/>
      <c r="F289" s="679"/>
      <c r="G289" s="677"/>
      <c r="H289" s="677"/>
      <c r="I289" s="677"/>
      <c r="J289" s="1605">
        <f t="shared" si="23"/>
        <v>0</v>
      </c>
      <c r="K289" s="675"/>
      <c r="L289" s="1605">
        <f t="shared" si="24"/>
        <v>0</v>
      </c>
      <c r="M289" s="673">
        <f t="shared" si="25"/>
        <v>0</v>
      </c>
      <c r="N289" s="1332">
        <v>0.2</v>
      </c>
      <c r="O289" s="1333" t="str">
        <f t="shared" si="26"/>
        <v/>
      </c>
      <c r="P289" s="1573"/>
    </row>
    <row r="290" spans="2:16">
      <c r="B290" s="1331"/>
      <c r="C290" s="798"/>
      <c r="D290" s="678"/>
      <c r="E290" s="680"/>
      <c r="F290" s="679"/>
      <c r="G290" s="677"/>
      <c r="H290" s="677"/>
      <c r="I290" s="677"/>
      <c r="J290" s="1605">
        <f t="shared" si="23"/>
        <v>0</v>
      </c>
      <c r="K290" s="675"/>
      <c r="L290" s="1605">
        <f t="shared" si="24"/>
        <v>0</v>
      </c>
      <c r="M290" s="673">
        <f t="shared" si="25"/>
        <v>0</v>
      </c>
      <c r="N290" s="1332">
        <v>0.2</v>
      </c>
      <c r="O290" s="1333" t="str">
        <f t="shared" si="26"/>
        <v/>
      </c>
      <c r="P290" s="1573"/>
    </row>
    <row r="291" spans="2:16">
      <c r="B291" s="1331"/>
      <c r="C291" s="798"/>
      <c r="D291" s="678"/>
      <c r="E291" s="680"/>
      <c r="F291" s="679"/>
      <c r="G291" s="677"/>
      <c r="H291" s="677"/>
      <c r="I291" s="677"/>
      <c r="J291" s="1605">
        <f t="shared" si="23"/>
        <v>0</v>
      </c>
      <c r="K291" s="675"/>
      <c r="L291" s="1605">
        <f t="shared" si="24"/>
        <v>0</v>
      </c>
      <c r="M291" s="673">
        <f t="shared" si="25"/>
        <v>0</v>
      </c>
      <c r="N291" s="1332">
        <v>0.2</v>
      </c>
      <c r="O291" s="1333" t="str">
        <f t="shared" si="26"/>
        <v/>
      </c>
      <c r="P291" s="1573"/>
    </row>
    <row r="292" spans="2:16">
      <c r="B292" s="1331"/>
      <c r="C292" s="798"/>
      <c r="D292" s="678"/>
      <c r="E292" s="680"/>
      <c r="F292" s="679"/>
      <c r="G292" s="677"/>
      <c r="H292" s="677"/>
      <c r="I292" s="677"/>
      <c r="J292" s="1605">
        <f t="shared" si="23"/>
        <v>0</v>
      </c>
      <c r="K292" s="675"/>
      <c r="L292" s="1605">
        <f t="shared" si="24"/>
        <v>0</v>
      </c>
      <c r="M292" s="1391">
        <f t="shared" si="25"/>
        <v>0</v>
      </c>
      <c r="N292" s="1332">
        <v>0.2</v>
      </c>
      <c r="O292" s="1333" t="str">
        <f t="shared" si="26"/>
        <v/>
      </c>
      <c r="P292" s="1573"/>
    </row>
    <row r="293" spans="2:16">
      <c r="B293" s="1331"/>
      <c r="C293" s="798"/>
      <c r="D293" s="678"/>
      <c r="E293" s="680"/>
      <c r="F293" s="679"/>
      <c r="G293" s="677"/>
      <c r="H293" s="677"/>
      <c r="I293" s="677"/>
      <c r="J293" s="1605">
        <f t="shared" si="23"/>
        <v>0</v>
      </c>
      <c r="K293" s="675"/>
      <c r="L293" s="1605">
        <f t="shared" si="24"/>
        <v>0</v>
      </c>
      <c r="M293" s="673">
        <f t="shared" si="25"/>
        <v>0</v>
      </c>
      <c r="N293" s="1332">
        <v>0.2</v>
      </c>
      <c r="O293" s="1333" t="str">
        <f t="shared" si="26"/>
        <v/>
      </c>
      <c r="P293" s="1573"/>
    </row>
    <row r="294" spans="2:16">
      <c r="B294" s="1331"/>
      <c r="C294" s="798"/>
      <c r="D294" s="678"/>
      <c r="E294" s="680"/>
      <c r="F294" s="679"/>
      <c r="G294" s="677"/>
      <c r="H294" s="677"/>
      <c r="I294" s="677"/>
      <c r="J294" s="1605">
        <f t="shared" si="23"/>
        <v>0</v>
      </c>
      <c r="K294" s="675"/>
      <c r="L294" s="1605">
        <f t="shared" si="24"/>
        <v>0</v>
      </c>
      <c r="M294" s="673">
        <f t="shared" si="25"/>
        <v>0</v>
      </c>
      <c r="N294" s="1332">
        <v>0.2</v>
      </c>
      <c r="O294" s="1333" t="str">
        <f t="shared" si="26"/>
        <v/>
      </c>
      <c r="P294" s="1573"/>
    </row>
    <row r="295" spans="2:16">
      <c r="B295" s="1331"/>
      <c r="C295" s="798"/>
      <c r="D295" s="678"/>
      <c r="E295" s="680"/>
      <c r="F295" s="679"/>
      <c r="G295" s="677"/>
      <c r="H295" s="677"/>
      <c r="I295" s="677"/>
      <c r="J295" s="1605">
        <f t="shared" si="23"/>
        <v>0</v>
      </c>
      <c r="K295" s="675"/>
      <c r="L295" s="1605">
        <f t="shared" si="24"/>
        <v>0</v>
      </c>
      <c r="M295" s="673">
        <f t="shared" si="25"/>
        <v>0</v>
      </c>
      <c r="N295" s="1332">
        <v>0.2</v>
      </c>
      <c r="O295" s="1333" t="str">
        <f t="shared" si="26"/>
        <v/>
      </c>
      <c r="P295" s="1573"/>
    </row>
    <row r="296" spans="2:16">
      <c r="B296" s="1331"/>
      <c r="C296" s="798"/>
      <c r="D296" s="678"/>
      <c r="E296" s="680"/>
      <c r="F296" s="679"/>
      <c r="G296" s="677"/>
      <c r="H296" s="677"/>
      <c r="I296" s="677"/>
      <c r="J296" s="1605">
        <f t="shared" si="23"/>
        <v>0</v>
      </c>
      <c r="K296" s="675"/>
      <c r="L296" s="1605">
        <f t="shared" si="24"/>
        <v>0</v>
      </c>
      <c r="M296" s="673">
        <f t="shared" si="25"/>
        <v>0</v>
      </c>
      <c r="N296" s="1332">
        <v>0.2</v>
      </c>
      <c r="O296" s="1333" t="str">
        <f t="shared" si="26"/>
        <v/>
      </c>
      <c r="P296" s="1573"/>
    </row>
    <row r="297" spans="2:16">
      <c r="B297" s="1331"/>
      <c r="C297" s="798"/>
      <c r="D297" s="678"/>
      <c r="E297" s="680"/>
      <c r="F297" s="679"/>
      <c r="G297" s="677"/>
      <c r="H297" s="677"/>
      <c r="I297" s="677"/>
      <c r="J297" s="1605">
        <f t="shared" si="23"/>
        <v>0</v>
      </c>
      <c r="K297" s="675"/>
      <c r="L297" s="1605">
        <f t="shared" si="24"/>
        <v>0</v>
      </c>
      <c r="M297" s="673">
        <f t="shared" si="25"/>
        <v>0</v>
      </c>
      <c r="N297" s="1332">
        <v>0.2</v>
      </c>
      <c r="O297" s="1333" t="str">
        <f t="shared" si="26"/>
        <v/>
      </c>
      <c r="P297" s="1573"/>
    </row>
    <row r="298" spans="2:16">
      <c r="B298" s="1331"/>
      <c r="C298" s="798"/>
      <c r="D298" s="678"/>
      <c r="E298" s="680"/>
      <c r="F298" s="679"/>
      <c r="G298" s="677"/>
      <c r="H298" s="677"/>
      <c r="I298" s="677"/>
      <c r="J298" s="1605">
        <f t="shared" si="23"/>
        <v>0</v>
      </c>
      <c r="K298" s="675"/>
      <c r="L298" s="1605">
        <f t="shared" si="24"/>
        <v>0</v>
      </c>
      <c r="M298" s="673">
        <f t="shared" si="25"/>
        <v>0</v>
      </c>
      <c r="N298" s="1332">
        <v>0.2</v>
      </c>
      <c r="O298" s="1333" t="str">
        <f t="shared" si="26"/>
        <v/>
      </c>
      <c r="P298" s="1573"/>
    </row>
    <row r="299" spans="2:16">
      <c r="B299" s="1331"/>
      <c r="C299" s="798"/>
      <c r="D299" s="678"/>
      <c r="E299" s="680"/>
      <c r="F299" s="679"/>
      <c r="G299" s="677"/>
      <c r="H299" s="677"/>
      <c r="I299" s="677"/>
      <c r="J299" s="1605">
        <f t="shared" si="7"/>
        <v>0</v>
      </c>
      <c r="K299" s="675"/>
      <c r="L299" s="1605">
        <f t="shared" si="8"/>
        <v>0</v>
      </c>
      <c r="M299" s="673">
        <f t="shared" si="9"/>
        <v>0</v>
      </c>
      <c r="N299" s="1332">
        <v>0.2</v>
      </c>
      <c r="O299" s="1333" t="str">
        <f t="shared" si="10"/>
        <v/>
      </c>
      <c r="P299" s="1573"/>
    </row>
    <row r="300" spans="2:16">
      <c r="B300" s="1390"/>
      <c r="C300" s="798"/>
      <c r="D300" s="678"/>
      <c r="E300" s="680"/>
      <c r="F300" s="679"/>
      <c r="G300" s="677"/>
      <c r="H300" s="677"/>
      <c r="I300" s="677"/>
      <c r="J300" s="1605">
        <f t="shared" ref="J300:J363" si="27">H300+I300</f>
        <v>0</v>
      </c>
      <c r="K300" s="675"/>
      <c r="L300" s="1605">
        <f t="shared" ref="L300:L363" si="28">J300*K300</f>
        <v>0</v>
      </c>
      <c r="M300" s="673">
        <f t="shared" ref="M300:M363" si="29">L300/$D$9</f>
        <v>0</v>
      </c>
      <c r="N300" s="1332">
        <v>0.2</v>
      </c>
      <c r="O300" s="1333" t="str">
        <f t="shared" ref="O300:O363" si="30">IF((M300-N300)&gt;0,M300-N300,"")</f>
        <v/>
      </c>
      <c r="P300" s="1573"/>
    </row>
    <row r="301" spans="2:16">
      <c r="B301" s="1390"/>
      <c r="C301" s="798"/>
      <c r="D301" s="678"/>
      <c r="E301" s="680"/>
      <c r="F301" s="679"/>
      <c r="G301" s="677"/>
      <c r="H301" s="677"/>
      <c r="I301" s="677"/>
      <c r="J301" s="1605">
        <f t="shared" si="27"/>
        <v>0</v>
      </c>
      <c r="K301" s="675"/>
      <c r="L301" s="1605">
        <f t="shared" si="28"/>
        <v>0</v>
      </c>
      <c r="M301" s="673">
        <f t="shared" si="29"/>
        <v>0</v>
      </c>
      <c r="N301" s="1332">
        <v>0.2</v>
      </c>
      <c r="O301" s="1333" t="str">
        <f t="shared" si="30"/>
        <v/>
      </c>
      <c r="P301" s="1573"/>
    </row>
    <row r="302" spans="2:16">
      <c r="B302" s="1390"/>
      <c r="C302" s="798"/>
      <c r="D302" s="678"/>
      <c r="E302" s="680"/>
      <c r="F302" s="679"/>
      <c r="G302" s="677"/>
      <c r="H302" s="677"/>
      <c r="I302" s="677"/>
      <c r="J302" s="1605">
        <f t="shared" si="27"/>
        <v>0</v>
      </c>
      <c r="K302" s="675"/>
      <c r="L302" s="1605">
        <f t="shared" si="28"/>
        <v>0</v>
      </c>
      <c r="M302" s="673">
        <f t="shared" si="29"/>
        <v>0</v>
      </c>
      <c r="N302" s="1332">
        <v>0.2</v>
      </c>
      <c r="O302" s="1333" t="str">
        <f t="shared" si="30"/>
        <v/>
      </c>
      <c r="P302" s="1573"/>
    </row>
    <row r="303" spans="2:16">
      <c r="B303" s="1390"/>
      <c r="C303" s="798"/>
      <c r="D303" s="678"/>
      <c r="E303" s="680"/>
      <c r="F303" s="679"/>
      <c r="G303" s="677"/>
      <c r="H303" s="677"/>
      <c r="I303" s="677"/>
      <c r="J303" s="1605">
        <f t="shared" si="27"/>
        <v>0</v>
      </c>
      <c r="K303" s="675"/>
      <c r="L303" s="1605">
        <f t="shared" si="28"/>
        <v>0</v>
      </c>
      <c r="M303" s="673">
        <f t="shared" si="29"/>
        <v>0</v>
      </c>
      <c r="N303" s="1332">
        <v>0.2</v>
      </c>
      <c r="O303" s="1333" t="str">
        <f t="shared" si="30"/>
        <v/>
      </c>
      <c r="P303" s="1573"/>
    </row>
    <row r="304" spans="2:16">
      <c r="B304" s="1390"/>
      <c r="C304" s="798"/>
      <c r="D304" s="678"/>
      <c r="E304" s="680"/>
      <c r="F304" s="679"/>
      <c r="G304" s="677"/>
      <c r="H304" s="677"/>
      <c r="I304" s="677"/>
      <c r="J304" s="1605">
        <f t="shared" si="27"/>
        <v>0</v>
      </c>
      <c r="K304" s="675"/>
      <c r="L304" s="1605">
        <f t="shared" si="28"/>
        <v>0</v>
      </c>
      <c r="M304" s="673">
        <f t="shared" si="29"/>
        <v>0</v>
      </c>
      <c r="N304" s="1332">
        <v>0.2</v>
      </c>
      <c r="O304" s="1333" t="str">
        <f t="shared" si="30"/>
        <v/>
      </c>
      <c r="P304" s="1573"/>
    </row>
    <row r="305" spans="2:16">
      <c r="B305" s="1390"/>
      <c r="C305" s="798"/>
      <c r="D305" s="678"/>
      <c r="E305" s="680"/>
      <c r="F305" s="679"/>
      <c r="G305" s="677"/>
      <c r="H305" s="677"/>
      <c r="I305" s="677"/>
      <c r="J305" s="1605">
        <f t="shared" si="27"/>
        <v>0</v>
      </c>
      <c r="K305" s="675"/>
      <c r="L305" s="1605">
        <f t="shared" si="28"/>
        <v>0</v>
      </c>
      <c r="M305" s="673">
        <f t="shared" si="29"/>
        <v>0</v>
      </c>
      <c r="N305" s="1332">
        <v>0.2</v>
      </c>
      <c r="O305" s="1333" t="str">
        <f t="shared" si="30"/>
        <v/>
      </c>
      <c r="P305" s="1573"/>
    </row>
    <row r="306" spans="2:16">
      <c r="B306" s="1390"/>
      <c r="C306" s="798"/>
      <c r="D306" s="678"/>
      <c r="E306" s="680"/>
      <c r="F306" s="679"/>
      <c r="G306" s="677"/>
      <c r="H306" s="677"/>
      <c r="I306" s="677"/>
      <c r="J306" s="1605">
        <f t="shared" si="27"/>
        <v>0</v>
      </c>
      <c r="K306" s="675"/>
      <c r="L306" s="1605">
        <f t="shared" si="28"/>
        <v>0</v>
      </c>
      <c r="M306" s="673">
        <f t="shared" si="29"/>
        <v>0</v>
      </c>
      <c r="N306" s="1332">
        <v>0.2</v>
      </c>
      <c r="O306" s="1333" t="str">
        <f t="shared" si="30"/>
        <v/>
      </c>
      <c r="P306" s="1573"/>
    </row>
    <row r="307" spans="2:16">
      <c r="B307" s="1390"/>
      <c r="C307" s="798"/>
      <c r="D307" s="678"/>
      <c r="E307" s="680"/>
      <c r="F307" s="679"/>
      <c r="G307" s="677"/>
      <c r="H307" s="677"/>
      <c r="I307" s="677"/>
      <c r="J307" s="1605">
        <f t="shared" si="27"/>
        <v>0</v>
      </c>
      <c r="K307" s="675"/>
      <c r="L307" s="1605">
        <f t="shared" si="28"/>
        <v>0</v>
      </c>
      <c r="M307" s="673">
        <f t="shared" si="29"/>
        <v>0</v>
      </c>
      <c r="N307" s="1332">
        <v>0.2</v>
      </c>
      <c r="O307" s="1333" t="str">
        <f t="shared" si="30"/>
        <v/>
      </c>
      <c r="P307" s="1573"/>
    </row>
    <row r="308" spans="2:16">
      <c r="B308" s="1390"/>
      <c r="C308" s="798"/>
      <c r="D308" s="678"/>
      <c r="E308" s="680"/>
      <c r="F308" s="679"/>
      <c r="G308" s="677"/>
      <c r="H308" s="677"/>
      <c r="I308" s="677"/>
      <c r="J308" s="1605">
        <f t="shared" si="27"/>
        <v>0</v>
      </c>
      <c r="K308" s="675"/>
      <c r="L308" s="1605">
        <f t="shared" si="28"/>
        <v>0</v>
      </c>
      <c r="M308" s="673">
        <f t="shared" si="29"/>
        <v>0</v>
      </c>
      <c r="N308" s="1332">
        <v>0.2</v>
      </c>
      <c r="O308" s="1333" t="str">
        <f t="shared" si="30"/>
        <v/>
      </c>
      <c r="P308" s="1573"/>
    </row>
    <row r="309" spans="2:16">
      <c r="B309" s="1390"/>
      <c r="C309" s="798"/>
      <c r="D309" s="678"/>
      <c r="E309" s="680"/>
      <c r="F309" s="679"/>
      <c r="G309" s="677"/>
      <c r="H309" s="677"/>
      <c r="I309" s="677"/>
      <c r="J309" s="1605">
        <f t="shared" si="27"/>
        <v>0</v>
      </c>
      <c r="K309" s="675"/>
      <c r="L309" s="1605">
        <f t="shared" si="28"/>
        <v>0</v>
      </c>
      <c r="M309" s="673">
        <f t="shared" si="29"/>
        <v>0</v>
      </c>
      <c r="N309" s="1332">
        <v>0.2</v>
      </c>
      <c r="O309" s="1333" t="str">
        <f t="shared" si="30"/>
        <v/>
      </c>
      <c r="P309" s="1573"/>
    </row>
    <row r="310" spans="2:16">
      <c r="B310" s="1390"/>
      <c r="C310" s="798"/>
      <c r="D310" s="678"/>
      <c r="E310" s="680"/>
      <c r="F310" s="679"/>
      <c r="G310" s="677"/>
      <c r="H310" s="677"/>
      <c r="I310" s="677"/>
      <c r="J310" s="1605">
        <f t="shared" si="27"/>
        <v>0</v>
      </c>
      <c r="K310" s="675"/>
      <c r="L310" s="1605">
        <f t="shared" si="28"/>
        <v>0</v>
      </c>
      <c r="M310" s="673">
        <f t="shared" si="29"/>
        <v>0</v>
      </c>
      <c r="N310" s="1332">
        <v>0.2</v>
      </c>
      <c r="O310" s="1333" t="str">
        <f t="shared" si="30"/>
        <v/>
      </c>
      <c r="P310" s="1573"/>
    </row>
    <row r="311" spans="2:16">
      <c r="B311" s="1390"/>
      <c r="C311" s="798"/>
      <c r="D311" s="678"/>
      <c r="E311" s="680"/>
      <c r="F311" s="679"/>
      <c r="G311" s="677"/>
      <c r="H311" s="677"/>
      <c r="I311" s="677"/>
      <c r="J311" s="1605">
        <f t="shared" si="27"/>
        <v>0</v>
      </c>
      <c r="K311" s="675"/>
      <c r="L311" s="1605">
        <f t="shared" si="28"/>
        <v>0</v>
      </c>
      <c r="M311" s="673">
        <f t="shared" si="29"/>
        <v>0</v>
      </c>
      <c r="N311" s="1332">
        <v>0.2</v>
      </c>
      <c r="O311" s="1333" t="str">
        <f t="shared" si="30"/>
        <v/>
      </c>
      <c r="P311" s="1573"/>
    </row>
    <row r="312" spans="2:16">
      <c r="B312" s="1390"/>
      <c r="C312" s="798"/>
      <c r="D312" s="678"/>
      <c r="E312" s="680"/>
      <c r="F312" s="679"/>
      <c r="G312" s="677"/>
      <c r="H312" s="677"/>
      <c r="I312" s="677"/>
      <c r="J312" s="1605">
        <f t="shared" si="27"/>
        <v>0</v>
      </c>
      <c r="K312" s="675"/>
      <c r="L312" s="1605">
        <f t="shared" si="28"/>
        <v>0</v>
      </c>
      <c r="M312" s="673">
        <f t="shared" si="29"/>
        <v>0</v>
      </c>
      <c r="N312" s="1332">
        <v>0.2</v>
      </c>
      <c r="O312" s="1333" t="str">
        <f t="shared" si="30"/>
        <v/>
      </c>
      <c r="P312" s="1573"/>
    </row>
    <row r="313" spans="2:16">
      <c r="B313" s="1390"/>
      <c r="C313" s="798"/>
      <c r="D313" s="678"/>
      <c r="E313" s="680"/>
      <c r="F313" s="679"/>
      <c r="G313" s="677"/>
      <c r="H313" s="677"/>
      <c r="I313" s="677"/>
      <c r="J313" s="1605">
        <f t="shared" si="27"/>
        <v>0</v>
      </c>
      <c r="K313" s="675"/>
      <c r="L313" s="1605">
        <f t="shared" si="28"/>
        <v>0</v>
      </c>
      <c r="M313" s="673">
        <f t="shared" si="29"/>
        <v>0</v>
      </c>
      <c r="N313" s="1332">
        <v>0.2</v>
      </c>
      <c r="O313" s="1333" t="str">
        <f t="shared" si="30"/>
        <v/>
      </c>
      <c r="P313" s="1573"/>
    </row>
    <row r="314" spans="2:16">
      <c r="B314" s="1390"/>
      <c r="C314" s="798"/>
      <c r="D314" s="678"/>
      <c r="E314" s="680"/>
      <c r="F314" s="679"/>
      <c r="G314" s="677"/>
      <c r="H314" s="677"/>
      <c r="I314" s="677"/>
      <c r="J314" s="1605">
        <f t="shared" si="27"/>
        <v>0</v>
      </c>
      <c r="K314" s="675"/>
      <c r="L314" s="1605">
        <f t="shared" si="28"/>
        <v>0</v>
      </c>
      <c r="M314" s="673">
        <f t="shared" si="29"/>
        <v>0</v>
      </c>
      <c r="N314" s="1332">
        <v>0.2</v>
      </c>
      <c r="O314" s="1333" t="str">
        <f t="shared" si="30"/>
        <v/>
      </c>
      <c r="P314" s="1573"/>
    </row>
    <row r="315" spans="2:16">
      <c r="B315" s="1390"/>
      <c r="C315" s="798"/>
      <c r="D315" s="678"/>
      <c r="E315" s="680"/>
      <c r="F315" s="679"/>
      <c r="G315" s="677"/>
      <c r="H315" s="677"/>
      <c r="I315" s="677"/>
      <c r="J315" s="1605">
        <f t="shared" si="27"/>
        <v>0</v>
      </c>
      <c r="K315" s="675"/>
      <c r="L315" s="1605">
        <f t="shared" si="28"/>
        <v>0</v>
      </c>
      <c r="M315" s="673">
        <f t="shared" si="29"/>
        <v>0</v>
      </c>
      <c r="N315" s="1332">
        <v>0.2</v>
      </c>
      <c r="O315" s="1333" t="str">
        <f t="shared" si="30"/>
        <v/>
      </c>
      <c r="P315" s="1573"/>
    </row>
    <row r="316" spans="2:16">
      <c r="B316" s="1390"/>
      <c r="C316" s="798"/>
      <c r="D316" s="678"/>
      <c r="E316" s="680"/>
      <c r="F316" s="679"/>
      <c r="G316" s="677"/>
      <c r="H316" s="677"/>
      <c r="I316" s="677"/>
      <c r="J316" s="1605">
        <f t="shared" si="27"/>
        <v>0</v>
      </c>
      <c r="K316" s="675"/>
      <c r="L316" s="1605">
        <f t="shared" si="28"/>
        <v>0</v>
      </c>
      <c r="M316" s="673">
        <f t="shared" si="29"/>
        <v>0</v>
      </c>
      <c r="N316" s="1332">
        <v>0.2</v>
      </c>
      <c r="O316" s="1333" t="str">
        <f t="shared" si="30"/>
        <v/>
      </c>
      <c r="P316" s="1573"/>
    </row>
    <row r="317" spans="2:16">
      <c r="B317" s="1390"/>
      <c r="C317" s="798"/>
      <c r="D317" s="678"/>
      <c r="E317" s="680"/>
      <c r="F317" s="679"/>
      <c r="G317" s="677"/>
      <c r="H317" s="677"/>
      <c r="I317" s="677"/>
      <c r="J317" s="1605">
        <f t="shared" si="27"/>
        <v>0</v>
      </c>
      <c r="K317" s="675"/>
      <c r="L317" s="1605">
        <f t="shared" si="28"/>
        <v>0</v>
      </c>
      <c r="M317" s="673">
        <f t="shared" si="29"/>
        <v>0</v>
      </c>
      <c r="N317" s="1332">
        <v>0.2</v>
      </c>
      <c r="O317" s="1333" t="str">
        <f t="shared" si="30"/>
        <v/>
      </c>
      <c r="P317" s="1573"/>
    </row>
    <row r="318" spans="2:16">
      <c r="B318" s="1390"/>
      <c r="C318" s="798"/>
      <c r="D318" s="678"/>
      <c r="E318" s="680"/>
      <c r="F318" s="679"/>
      <c r="G318" s="677"/>
      <c r="H318" s="677"/>
      <c r="I318" s="677"/>
      <c r="J318" s="1605">
        <f t="shared" si="27"/>
        <v>0</v>
      </c>
      <c r="K318" s="675"/>
      <c r="L318" s="1605">
        <f t="shared" si="28"/>
        <v>0</v>
      </c>
      <c r="M318" s="673">
        <f t="shared" si="29"/>
        <v>0</v>
      </c>
      <c r="N318" s="1332">
        <v>0.2</v>
      </c>
      <c r="O318" s="1333" t="str">
        <f t="shared" si="30"/>
        <v/>
      </c>
      <c r="P318" s="1573"/>
    </row>
    <row r="319" spans="2:16">
      <c r="B319" s="1390"/>
      <c r="C319" s="798"/>
      <c r="D319" s="678"/>
      <c r="E319" s="680"/>
      <c r="F319" s="679"/>
      <c r="G319" s="677"/>
      <c r="H319" s="677"/>
      <c r="I319" s="677"/>
      <c r="J319" s="1605">
        <f t="shared" si="27"/>
        <v>0</v>
      </c>
      <c r="K319" s="675"/>
      <c r="L319" s="1605">
        <f t="shared" si="28"/>
        <v>0</v>
      </c>
      <c r="M319" s="673">
        <f t="shared" si="29"/>
        <v>0</v>
      </c>
      <c r="N319" s="1332">
        <v>0.2</v>
      </c>
      <c r="O319" s="1333" t="str">
        <f t="shared" si="30"/>
        <v/>
      </c>
      <c r="P319" s="1573"/>
    </row>
    <row r="320" spans="2:16">
      <c r="B320" s="1390"/>
      <c r="C320" s="798"/>
      <c r="D320" s="678"/>
      <c r="E320" s="680"/>
      <c r="F320" s="679"/>
      <c r="G320" s="677"/>
      <c r="H320" s="677"/>
      <c r="I320" s="677"/>
      <c r="J320" s="1605">
        <f t="shared" si="27"/>
        <v>0</v>
      </c>
      <c r="K320" s="675"/>
      <c r="L320" s="1605">
        <f t="shared" si="28"/>
        <v>0</v>
      </c>
      <c r="M320" s="673">
        <f t="shared" si="29"/>
        <v>0</v>
      </c>
      <c r="N320" s="1332">
        <v>0.2</v>
      </c>
      <c r="O320" s="1333" t="str">
        <f t="shared" si="30"/>
        <v/>
      </c>
      <c r="P320" s="1573"/>
    </row>
    <row r="321" spans="2:16">
      <c r="B321" s="1390"/>
      <c r="C321" s="798"/>
      <c r="D321" s="678"/>
      <c r="E321" s="680"/>
      <c r="F321" s="679"/>
      <c r="G321" s="677"/>
      <c r="H321" s="677"/>
      <c r="I321" s="677"/>
      <c r="J321" s="1605">
        <f t="shared" si="27"/>
        <v>0</v>
      </c>
      <c r="K321" s="675"/>
      <c r="L321" s="1605">
        <f t="shared" si="28"/>
        <v>0</v>
      </c>
      <c r="M321" s="673">
        <f t="shared" si="29"/>
        <v>0</v>
      </c>
      <c r="N321" s="1332">
        <v>0.2</v>
      </c>
      <c r="O321" s="1333" t="str">
        <f t="shared" si="30"/>
        <v/>
      </c>
      <c r="P321" s="1573"/>
    </row>
    <row r="322" spans="2:16">
      <c r="B322" s="1390"/>
      <c r="C322" s="798"/>
      <c r="D322" s="678"/>
      <c r="E322" s="680"/>
      <c r="F322" s="679"/>
      <c r="G322" s="677"/>
      <c r="H322" s="677"/>
      <c r="I322" s="677"/>
      <c r="J322" s="1605">
        <f t="shared" si="27"/>
        <v>0</v>
      </c>
      <c r="K322" s="675"/>
      <c r="L322" s="1605">
        <f t="shared" si="28"/>
        <v>0</v>
      </c>
      <c r="M322" s="673">
        <f t="shared" si="29"/>
        <v>0</v>
      </c>
      <c r="N322" s="1332">
        <v>0.2</v>
      </c>
      <c r="O322" s="1333" t="str">
        <f t="shared" si="30"/>
        <v/>
      </c>
      <c r="P322" s="1573"/>
    </row>
    <row r="323" spans="2:16">
      <c r="B323" s="1390"/>
      <c r="C323" s="798"/>
      <c r="D323" s="678"/>
      <c r="E323" s="680"/>
      <c r="F323" s="679"/>
      <c r="G323" s="677"/>
      <c r="H323" s="677"/>
      <c r="I323" s="677"/>
      <c r="J323" s="1605">
        <f t="shared" si="27"/>
        <v>0</v>
      </c>
      <c r="K323" s="675"/>
      <c r="L323" s="1605">
        <f t="shared" si="28"/>
        <v>0</v>
      </c>
      <c r="M323" s="673">
        <f t="shared" si="29"/>
        <v>0</v>
      </c>
      <c r="N323" s="1332">
        <v>0.2</v>
      </c>
      <c r="O323" s="1333" t="str">
        <f t="shared" si="30"/>
        <v/>
      </c>
      <c r="P323" s="1573"/>
    </row>
    <row r="324" spans="2:16">
      <c r="B324" s="1390"/>
      <c r="C324" s="798"/>
      <c r="D324" s="678"/>
      <c r="E324" s="680"/>
      <c r="F324" s="679"/>
      <c r="G324" s="677"/>
      <c r="H324" s="677"/>
      <c r="I324" s="677"/>
      <c r="J324" s="1605">
        <f t="shared" si="27"/>
        <v>0</v>
      </c>
      <c r="K324" s="675"/>
      <c r="L324" s="1605">
        <f t="shared" si="28"/>
        <v>0</v>
      </c>
      <c r="M324" s="673">
        <f t="shared" si="29"/>
        <v>0</v>
      </c>
      <c r="N324" s="1332">
        <v>0.2</v>
      </c>
      <c r="O324" s="1333" t="str">
        <f t="shared" si="30"/>
        <v/>
      </c>
      <c r="P324" s="1573"/>
    </row>
    <row r="325" spans="2:16">
      <c r="B325" s="1390"/>
      <c r="C325" s="798"/>
      <c r="D325" s="678"/>
      <c r="E325" s="680"/>
      <c r="F325" s="679"/>
      <c r="G325" s="677"/>
      <c r="H325" s="677"/>
      <c r="I325" s="677"/>
      <c r="J325" s="1605">
        <f t="shared" si="27"/>
        <v>0</v>
      </c>
      <c r="K325" s="675"/>
      <c r="L325" s="1605">
        <f t="shared" si="28"/>
        <v>0</v>
      </c>
      <c r="M325" s="673">
        <f t="shared" si="29"/>
        <v>0</v>
      </c>
      <c r="N325" s="1332">
        <v>0.2</v>
      </c>
      <c r="O325" s="1333" t="str">
        <f t="shared" si="30"/>
        <v/>
      </c>
      <c r="P325" s="1573"/>
    </row>
    <row r="326" spans="2:16">
      <c r="B326" s="1390"/>
      <c r="C326" s="798"/>
      <c r="D326" s="678"/>
      <c r="E326" s="680"/>
      <c r="F326" s="679"/>
      <c r="G326" s="677"/>
      <c r="H326" s="677"/>
      <c r="I326" s="677"/>
      <c r="J326" s="1605">
        <f t="shared" si="27"/>
        <v>0</v>
      </c>
      <c r="K326" s="675"/>
      <c r="L326" s="1605">
        <f t="shared" si="28"/>
        <v>0</v>
      </c>
      <c r="M326" s="673">
        <f t="shared" si="29"/>
        <v>0</v>
      </c>
      <c r="N326" s="1332">
        <v>0.2</v>
      </c>
      <c r="O326" s="1333" t="str">
        <f t="shared" si="30"/>
        <v/>
      </c>
      <c r="P326" s="1573"/>
    </row>
    <row r="327" spans="2:16">
      <c r="B327" s="1390"/>
      <c r="C327" s="798"/>
      <c r="D327" s="678"/>
      <c r="E327" s="680"/>
      <c r="F327" s="679"/>
      <c r="G327" s="677"/>
      <c r="H327" s="677"/>
      <c r="I327" s="677"/>
      <c r="J327" s="1605">
        <f t="shared" si="27"/>
        <v>0</v>
      </c>
      <c r="K327" s="675"/>
      <c r="L327" s="1605">
        <f t="shared" si="28"/>
        <v>0</v>
      </c>
      <c r="M327" s="673">
        <f t="shared" si="29"/>
        <v>0</v>
      </c>
      <c r="N327" s="1332">
        <v>0.2</v>
      </c>
      <c r="O327" s="1333" t="str">
        <f t="shared" si="30"/>
        <v/>
      </c>
      <c r="P327" s="1573"/>
    </row>
    <row r="328" spans="2:16">
      <c r="B328" s="1390"/>
      <c r="C328" s="798"/>
      <c r="D328" s="678"/>
      <c r="E328" s="680"/>
      <c r="F328" s="679"/>
      <c r="G328" s="677"/>
      <c r="H328" s="677"/>
      <c r="I328" s="677"/>
      <c r="J328" s="1605">
        <f t="shared" si="27"/>
        <v>0</v>
      </c>
      <c r="K328" s="675"/>
      <c r="L328" s="1605">
        <f t="shared" si="28"/>
        <v>0</v>
      </c>
      <c r="M328" s="673">
        <f t="shared" si="29"/>
        <v>0</v>
      </c>
      <c r="N328" s="1332">
        <v>0.2</v>
      </c>
      <c r="O328" s="1333" t="str">
        <f t="shared" si="30"/>
        <v/>
      </c>
      <c r="P328" s="1573"/>
    </row>
    <row r="329" spans="2:16">
      <c r="B329" s="1390"/>
      <c r="C329" s="798"/>
      <c r="D329" s="678"/>
      <c r="E329" s="680"/>
      <c r="F329" s="679"/>
      <c r="G329" s="677"/>
      <c r="H329" s="677"/>
      <c r="I329" s="677"/>
      <c r="J329" s="1605">
        <f t="shared" si="27"/>
        <v>0</v>
      </c>
      <c r="K329" s="675"/>
      <c r="L329" s="1605">
        <f t="shared" si="28"/>
        <v>0</v>
      </c>
      <c r="M329" s="673">
        <f t="shared" si="29"/>
        <v>0</v>
      </c>
      <c r="N329" s="1332">
        <v>0.2</v>
      </c>
      <c r="O329" s="1333" t="str">
        <f t="shared" si="30"/>
        <v/>
      </c>
      <c r="P329" s="1573"/>
    </row>
    <row r="330" spans="2:16">
      <c r="B330" s="1390"/>
      <c r="C330" s="798"/>
      <c r="D330" s="678"/>
      <c r="E330" s="680"/>
      <c r="F330" s="679"/>
      <c r="G330" s="677"/>
      <c r="H330" s="677"/>
      <c r="I330" s="677"/>
      <c r="J330" s="1605">
        <f t="shared" si="27"/>
        <v>0</v>
      </c>
      <c r="K330" s="675"/>
      <c r="L330" s="1605">
        <f t="shared" si="28"/>
        <v>0</v>
      </c>
      <c r="M330" s="673">
        <f t="shared" si="29"/>
        <v>0</v>
      </c>
      <c r="N330" s="1332">
        <v>0.2</v>
      </c>
      <c r="O330" s="1333" t="str">
        <f t="shared" si="30"/>
        <v/>
      </c>
      <c r="P330" s="1573"/>
    </row>
    <row r="331" spans="2:16">
      <c r="B331" s="1390"/>
      <c r="C331" s="798"/>
      <c r="D331" s="678"/>
      <c r="E331" s="680"/>
      <c r="F331" s="679"/>
      <c r="G331" s="677"/>
      <c r="H331" s="677"/>
      <c r="I331" s="677"/>
      <c r="J331" s="1605">
        <f t="shared" si="27"/>
        <v>0</v>
      </c>
      <c r="K331" s="675"/>
      <c r="L331" s="1605">
        <f t="shared" si="28"/>
        <v>0</v>
      </c>
      <c r="M331" s="673">
        <f t="shared" si="29"/>
        <v>0</v>
      </c>
      <c r="N331" s="1332">
        <v>0.2</v>
      </c>
      <c r="O331" s="1333" t="str">
        <f t="shared" si="30"/>
        <v/>
      </c>
      <c r="P331" s="1573"/>
    </row>
    <row r="332" spans="2:16">
      <c r="B332" s="1390"/>
      <c r="C332" s="798"/>
      <c r="D332" s="678"/>
      <c r="E332" s="680"/>
      <c r="F332" s="679"/>
      <c r="G332" s="677"/>
      <c r="H332" s="677"/>
      <c r="I332" s="677"/>
      <c r="J332" s="1605">
        <f t="shared" si="27"/>
        <v>0</v>
      </c>
      <c r="K332" s="675"/>
      <c r="L332" s="1605">
        <f t="shared" si="28"/>
        <v>0</v>
      </c>
      <c r="M332" s="673">
        <f t="shared" si="29"/>
        <v>0</v>
      </c>
      <c r="N332" s="1332">
        <v>0.2</v>
      </c>
      <c r="O332" s="1333" t="str">
        <f t="shared" si="30"/>
        <v/>
      </c>
      <c r="P332" s="1573"/>
    </row>
    <row r="333" spans="2:16">
      <c r="B333" s="1390"/>
      <c r="C333" s="798"/>
      <c r="D333" s="678"/>
      <c r="E333" s="680"/>
      <c r="F333" s="679"/>
      <c r="G333" s="677"/>
      <c r="H333" s="677"/>
      <c r="I333" s="677"/>
      <c r="J333" s="1605">
        <f t="shared" si="27"/>
        <v>0</v>
      </c>
      <c r="K333" s="675"/>
      <c r="L333" s="1605">
        <f t="shared" si="28"/>
        <v>0</v>
      </c>
      <c r="M333" s="673">
        <f t="shared" si="29"/>
        <v>0</v>
      </c>
      <c r="N333" s="1332">
        <v>0.2</v>
      </c>
      <c r="O333" s="1333" t="str">
        <f t="shared" si="30"/>
        <v/>
      </c>
      <c r="P333" s="1573"/>
    </row>
    <row r="334" spans="2:16">
      <c r="B334" s="1390"/>
      <c r="C334" s="798"/>
      <c r="D334" s="678"/>
      <c r="E334" s="680"/>
      <c r="F334" s="679"/>
      <c r="G334" s="677"/>
      <c r="H334" s="677"/>
      <c r="I334" s="677"/>
      <c r="J334" s="1605">
        <f t="shared" si="27"/>
        <v>0</v>
      </c>
      <c r="K334" s="675"/>
      <c r="L334" s="1605">
        <f t="shared" si="28"/>
        <v>0</v>
      </c>
      <c r="M334" s="673">
        <f t="shared" si="29"/>
        <v>0</v>
      </c>
      <c r="N334" s="1332">
        <v>0.2</v>
      </c>
      <c r="O334" s="1333" t="str">
        <f t="shared" si="30"/>
        <v/>
      </c>
      <c r="P334" s="1573"/>
    </row>
    <row r="335" spans="2:16">
      <c r="B335" s="1390"/>
      <c r="C335" s="798"/>
      <c r="D335" s="678"/>
      <c r="E335" s="680"/>
      <c r="F335" s="679"/>
      <c r="G335" s="677"/>
      <c r="H335" s="677"/>
      <c r="I335" s="677"/>
      <c r="J335" s="1605">
        <f t="shared" si="27"/>
        <v>0</v>
      </c>
      <c r="K335" s="675"/>
      <c r="L335" s="1605">
        <f t="shared" si="28"/>
        <v>0</v>
      </c>
      <c r="M335" s="673">
        <f t="shared" si="29"/>
        <v>0</v>
      </c>
      <c r="N335" s="1332">
        <v>0.2</v>
      </c>
      <c r="O335" s="1333" t="str">
        <f t="shared" si="30"/>
        <v/>
      </c>
      <c r="P335" s="1573"/>
    </row>
    <row r="336" spans="2:16">
      <c r="B336" s="1390"/>
      <c r="C336" s="798"/>
      <c r="D336" s="678"/>
      <c r="E336" s="680"/>
      <c r="F336" s="679"/>
      <c r="G336" s="677"/>
      <c r="H336" s="677"/>
      <c r="I336" s="677"/>
      <c r="J336" s="1605">
        <f t="shared" si="27"/>
        <v>0</v>
      </c>
      <c r="K336" s="675"/>
      <c r="L336" s="1605">
        <f t="shared" si="28"/>
        <v>0</v>
      </c>
      <c r="M336" s="673">
        <f t="shared" si="29"/>
        <v>0</v>
      </c>
      <c r="N336" s="1332">
        <v>0.2</v>
      </c>
      <c r="O336" s="1333" t="str">
        <f t="shared" si="30"/>
        <v/>
      </c>
      <c r="P336" s="1573"/>
    </row>
    <row r="337" spans="2:16">
      <c r="B337" s="1390"/>
      <c r="C337" s="798"/>
      <c r="D337" s="678"/>
      <c r="E337" s="680"/>
      <c r="F337" s="679"/>
      <c r="G337" s="677"/>
      <c r="H337" s="677"/>
      <c r="I337" s="677"/>
      <c r="J337" s="1605">
        <f t="shared" si="27"/>
        <v>0</v>
      </c>
      <c r="K337" s="675"/>
      <c r="L337" s="1605">
        <f t="shared" si="28"/>
        <v>0</v>
      </c>
      <c r="M337" s="673">
        <f t="shared" si="29"/>
        <v>0</v>
      </c>
      <c r="N337" s="1332">
        <v>0.2</v>
      </c>
      <c r="O337" s="1333" t="str">
        <f t="shared" si="30"/>
        <v/>
      </c>
      <c r="P337" s="1573"/>
    </row>
    <row r="338" spans="2:16">
      <c r="B338" s="1390"/>
      <c r="C338" s="798"/>
      <c r="D338" s="678"/>
      <c r="E338" s="680"/>
      <c r="F338" s="679"/>
      <c r="G338" s="677"/>
      <c r="H338" s="677"/>
      <c r="I338" s="677"/>
      <c r="J338" s="1605">
        <f t="shared" si="27"/>
        <v>0</v>
      </c>
      <c r="K338" s="675"/>
      <c r="L338" s="1605">
        <f t="shared" si="28"/>
        <v>0</v>
      </c>
      <c r="M338" s="673">
        <f t="shared" si="29"/>
        <v>0</v>
      </c>
      <c r="N338" s="1332">
        <v>0.2</v>
      </c>
      <c r="O338" s="1333" t="str">
        <f t="shared" si="30"/>
        <v/>
      </c>
      <c r="P338" s="1573"/>
    </row>
    <row r="339" spans="2:16">
      <c r="B339" s="1390"/>
      <c r="C339" s="798"/>
      <c r="D339" s="678"/>
      <c r="E339" s="680"/>
      <c r="F339" s="679"/>
      <c r="G339" s="677"/>
      <c r="H339" s="677"/>
      <c r="I339" s="677"/>
      <c r="J339" s="1605">
        <f t="shared" si="27"/>
        <v>0</v>
      </c>
      <c r="K339" s="675"/>
      <c r="L339" s="1605">
        <f t="shared" si="28"/>
        <v>0</v>
      </c>
      <c r="M339" s="673">
        <f t="shared" si="29"/>
        <v>0</v>
      </c>
      <c r="N339" s="1332">
        <v>0.2</v>
      </c>
      <c r="O339" s="1333" t="str">
        <f t="shared" si="30"/>
        <v/>
      </c>
      <c r="P339" s="1573"/>
    </row>
    <row r="340" spans="2:16">
      <c r="B340" s="1390"/>
      <c r="C340" s="798"/>
      <c r="D340" s="678"/>
      <c r="E340" s="680"/>
      <c r="F340" s="679"/>
      <c r="G340" s="677"/>
      <c r="H340" s="677"/>
      <c r="I340" s="677"/>
      <c r="J340" s="1605">
        <f t="shared" si="27"/>
        <v>0</v>
      </c>
      <c r="K340" s="675"/>
      <c r="L340" s="1605">
        <f t="shared" si="28"/>
        <v>0</v>
      </c>
      <c r="M340" s="673">
        <f t="shared" si="29"/>
        <v>0</v>
      </c>
      <c r="N340" s="1332">
        <v>0.2</v>
      </c>
      <c r="O340" s="1333" t="str">
        <f t="shared" si="30"/>
        <v/>
      </c>
      <c r="P340" s="1573"/>
    </row>
    <row r="341" spans="2:16">
      <c r="B341" s="1390"/>
      <c r="C341" s="798"/>
      <c r="D341" s="678"/>
      <c r="E341" s="680"/>
      <c r="F341" s="679"/>
      <c r="G341" s="677"/>
      <c r="H341" s="677"/>
      <c r="I341" s="677"/>
      <c r="J341" s="1605">
        <f t="shared" si="27"/>
        <v>0</v>
      </c>
      <c r="K341" s="675"/>
      <c r="L341" s="1605">
        <f t="shared" si="28"/>
        <v>0</v>
      </c>
      <c r="M341" s="673">
        <f t="shared" si="29"/>
        <v>0</v>
      </c>
      <c r="N341" s="1332">
        <v>0.2</v>
      </c>
      <c r="O341" s="1333" t="str">
        <f t="shared" si="30"/>
        <v/>
      </c>
      <c r="P341" s="1573"/>
    </row>
    <row r="342" spans="2:16">
      <c r="B342" s="1390"/>
      <c r="C342" s="798"/>
      <c r="D342" s="678"/>
      <c r="E342" s="680"/>
      <c r="F342" s="679"/>
      <c r="G342" s="677"/>
      <c r="H342" s="677"/>
      <c r="I342" s="677"/>
      <c r="J342" s="1605">
        <f t="shared" si="27"/>
        <v>0</v>
      </c>
      <c r="K342" s="675"/>
      <c r="L342" s="1605">
        <f t="shared" si="28"/>
        <v>0</v>
      </c>
      <c r="M342" s="673">
        <f t="shared" si="29"/>
        <v>0</v>
      </c>
      <c r="N342" s="1332">
        <v>0.2</v>
      </c>
      <c r="O342" s="1333" t="str">
        <f t="shared" si="30"/>
        <v/>
      </c>
      <c r="P342" s="1573"/>
    </row>
    <row r="343" spans="2:16">
      <c r="B343" s="1390"/>
      <c r="C343" s="798"/>
      <c r="D343" s="678"/>
      <c r="E343" s="680"/>
      <c r="F343" s="679"/>
      <c r="G343" s="677"/>
      <c r="H343" s="677"/>
      <c r="I343" s="677"/>
      <c r="J343" s="1605">
        <f t="shared" si="27"/>
        <v>0</v>
      </c>
      <c r="K343" s="675"/>
      <c r="L343" s="1605">
        <f t="shared" si="28"/>
        <v>0</v>
      </c>
      <c r="M343" s="673">
        <f t="shared" si="29"/>
        <v>0</v>
      </c>
      <c r="N343" s="1332">
        <v>0.2</v>
      </c>
      <c r="O343" s="1333" t="str">
        <f t="shared" si="30"/>
        <v/>
      </c>
      <c r="P343" s="1573"/>
    </row>
    <row r="344" spans="2:16">
      <c r="B344" s="1390"/>
      <c r="C344" s="798"/>
      <c r="D344" s="678"/>
      <c r="E344" s="680"/>
      <c r="F344" s="679"/>
      <c r="G344" s="677"/>
      <c r="H344" s="677"/>
      <c r="I344" s="677"/>
      <c r="J344" s="1605">
        <f t="shared" si="27"/>
        <v>0</v>
      </c>
      <c r="K344" s="675"/>
      <c r="L344" s="1605">
        <f t="shared" si="28"/>
        <v>0</v>
      </c>
      <c r="M344" s="673">
        <f t="shared" si="29"/>
        <v>0</v>
      </c>
      <c r="N344" s="1332">
        <v>0.2</v>
      </c>
      <c r="O344" s="1333" t="str">
        <f t="shared" si="30"/>
        <v/>
      </c>
      <c r="P344" s="1573"/>
    </row>
    <row r="345" spans="2:16">
      <c r="B345" s="1390"/>
      <c r="C345" s="798"/>
      <c r="D345" s="678"/>
      <c r="E345" s="680"/>
      <c r="F345" s="679"/>
      <c r="G345" s="677"/>
      <c r="H345" s="677"/>
      <c r="I345" s="677"/>
      <c r="J345" s="1605">
        <f t="shared" si="27"/>
        <v>0</v>
      </c>
      <c r="K345" s="675"/>
      <c r="L345" s="1605">
        <f t="shared" si="28"/>
        <v>0</v>
      </c>
      <c r="M345" s="673">
        <f t="shared" si="29"/>
        <v>0</v>
      </c>
      <c r="N345" s="1332">
        <v>0.2</v>
      </c>
      <c r="O345" s="1333" t="str">
        <f t="shared" si="30"/>
        <v/>
      </c>
      <c r="P345" s="1573"/>
    </row>
    <row r="346" spans="2:16">
      <c r="B346" s="1390"/>
      <c r="C346" s="798"/>
      <c r="D346" s="678"/>
      <c r="E346" s="680"/>
      <c r="F346" s="679"/>
      <c r="G346" s="677"/>
      <c r="H346" s="677"/>
      <c r="I346" s="677"/>
      <c r="J346" s="1605">
        <f t="shared" si="27"/>
        <v>0</v>
      </c>
      <c r="K346" s="675"/>
      <c r="L346" s="1605">
        <f t="shared" si="28"/>
        <v>0</v>
      </c>
      <c r="M346" s="673">
        <f t="shared" si="29"/>
        <v>0</v>
      </c>
      <c r="N346" s="1332">
        <v>0.2</v>
      </c>
      <c r="O346" s="1333" t="str">
        <f t="shared" si="30"/>
        <v/>
      </c>
      <c r="P346" s="1573"/>
    </row>
    <row r="347" spans="2:16">
      <c r="B347" s="1390"/>
      <c r="C347" s="798"/>
      <c r="D347" s="678"/>
      <c r="E347" s="680"/>
      <c r="F347" s="679"/>
      <c r="G347" s="677"/>
      <c r="H347" s="677"/>
      <c r="I347" s="677"/>
      <c r="J347" s="1605">
        <f t="shared" si="27"/>
        <v>0</v>
      </c>
      <c r="K347" s="675"/>
      <c r="L347" s="1605">
        <f t="shared" si="28"/>
        <v>0</v>
      </c>
      <c r="M347" s="673">
        <f t="shared" si="29"/>
        <v>0</v>
      </c>
      <c r="N347" s="1332">
        <v>0.2</v>
      </c>
      <c r="O347" s="1333" t="str">
        <f t="shared" si="30"/>
        <v/>
      </c>
      <c r="P347" s="1573"/>
    </row>
    <row r="348" spans="2:16">
      <c r="B348" s="1390"/>
      <c r="C348" s="798"/>
      <c r="D348" s="678"/>
      <c r="E348" s="680"/>
      <c r="F348" s="679"/>
      <c r="G348" s="677"/>
      <c r="H348" s="677"/>
      <c r="I348" s="677"/>
      <c r="J348" s="1605">
        <f t="shared" si="27"/>
        <v>0</v>
      </c>
      <c r="K348" s="675"/>
      <c r="L348" s="1605">
        <f t="shared" si="28"/>
        <v>0</v>
      </c>
      <c r="M348" s="673">
        <f t="shared" si="29"/>
        <v>0</v>
      </c>
      <c r="N348" s="1332">
        <v>0.2</v>
      </c>
      <c r="O348" s="1333" t="str">
        <f t="shared" si="30"/>
        <v/>
      </c>
      <c r="P348" s="1573"/>
    </row>
    <row r="349" spans="2:16">
      <c r="B349" s="1390"/>
      <c r="C349" s="798"/>
      <c r="D349" s="678"/>
      <c r="E349" s="680"/>
      <c r="F349" s="679"/>
      <c r="G349" s="677"/>
      <c r="H349" s="677"/>
      <c r="I349" s="677"/>
      <c r="J349" s="1605">
        <f t="shared" si="27"/>
        <v>0</v>
      </c>
      <c r="K349" s="675"/>
      <c r="L349" s="1605">
        <f t="shared" si="28"/>
        <v>0</v>
      </c>
      <c r="M349" s="673">
        <f t="shared" si="29"/>
        <v>0</v>
      </c>
      <c r="N349" s="1332">
        <v>0.2</v>
      </c>
      <c r="O349" s="1333" t="str">
        <f t="shared" si="30"/>
        <v/>
      </c>
      <c r="P349" s="1573"/>
    </row>
    <row r="350" spans="2:16">
      <c r="B350" s="1390"/>
      <c r="C350" s="798"/>
      <c r="D350" s="678"/>
      <c r="E350" s="680"/>
      <c r="F350" s="679"/>
      <c r="G350" s="677"/>
      <c r="H350" s="677"/>
      <c r="I350" s="677"/>
      <c r="J350" s="1605">
        <f t="shared" si="27"/>
        <v>0</v>
      </c>
      <c r="K350" s="675"/>
      <c r="L350" s="1605">
        <f t="shared" si="28"/>
        <v>0</v>
      </c>
      <c r="M350" s="673">
        <f t="shared" si="29"/>
        <v>0</v>
      </c>
      <c r="N350" s="1332">
        <v>0.2</v>
      </c>
      <c r="O350" s="1333" t="str">
        <f t="shared" si="30"/>
        <v/>
      </c>
      <c r="P350" s="1573"/>
    </row>
    <row r="351" spans="2:16">
      <c r="B351" s="1390"/>
      <c r="C351" s="798"/>
      <c r="D351" s="678"/>
      <c r="E351" s="680"/>
      <c r="F351" s="679"/>
      <c r="G351" s="677"/>
      <c r="H351" s="677"/>
      <c r="I351" s="677"/>
      <c r="J351" s="1605">
        <f t="shared" si="27"/>
        <v>0</v>
      </c>
      <c r="K351" s="675"/>
      <c r="L351" s="1605">
        <f t="shared" si="28"/>
        <v>0</v>
      </c>
      <c r="M351" s="673">
        <f t="shared" si="29"/>
        <v>0</v>
      </c>
      <c r="N351" s="1332">
        <v>0.2</v>
      </c>
      <c r="O351" s="1333" t="str">
        <f t="shared" si="30"/>
        <v/>
      </c>
      <c r="P351" s="1573"/>
    </row>
    <row r="352" spans="2:16">
      <c r="B352" s="1390"/>
      <c r="C352" s="798"/>
      <c r="D352" s="678"/>
      <c r="E352" s="680"/>
      <c r="F352" s="679"/>
      <c r="G352" s="677"/>
      <c r="H352" s="677"/>
      <c r="I352" s="677"/>
      <c r="J352" s="1605">
        <f t="shared" si="27"/>
        <v>0</v>
      </c>
      <c r="K352" s="675"/>
      <c r="L352" s="1605">
        <f t="shared" si="28"/>
        <v>0</v>
      </c>
      <c r="M352" s="673">
        <f t="shared" si="29"/>
        <v>0</v>
      </c>
      <c r="N352" s="1332">
        <v>0.2</v>
      </c>
      <c r="O352" s="1333" t="str">
        <f t="shared" si="30"/>
        <v/>
      </c>
      <c r="P352" s="1573"/>
    </row>
    <row r="353" spans="2:16">
      <c r="B353" s="1390"/>
      <c r="C353" s="798"/>
      <c r="D353" s="678"/>
      <c r="E353" s="680"/>
      <c r="F353" s="679"/>
      <c r="G353" s="677"/>
      <c r="H353" s="677"/>
      <c r="I353" s="677"/>
      <c r="J353" s="1605">
        <f t="shared" si="27"/>
        <v>0</v>
      </c>
      <c r="K353" s="675"/>
      <c r="L353" s="1605">
        <f t="shared" si="28"/>
        <v>0</v>
      </c>
      <c r="M353" s="673">
        <f t="shared" si="29"/>
        <v>0</v>
      </c>
      <c r="N353" s="1332">
        <v>0.2</v>
      </c>
      <c r="O353" s="1333" t="str">
        <f t="shared" si="30"/>
        <v/>
      </c>
      <c r="P353" s="1573"/>
    </row>
    <row r="354" spans="2:16">
      <c r="B354" s="1390"/>
      <c r="C354" s="798"/>
      <c r="D354" s="678"/>
      <c r="E354" s="680"/>
      <c r="F354" s="679"/>
      <c r="G354" s="677"/>
      <c r="H354" s="677"/>
      <c r="I354" s="677"/>
      <c r="J354" s="1605">
        <f t="shared" si="27"/>
        <v>0</v>
      </c>
      <c r="K354" s="675"/>
      <c r="L354" s="1605">
        <f t="shared" si="28"/>
        <v>0</v>
      </c>
      <c r="M354" s="673">
        <f t="shared" si="29"/>
        <v>0</v>
      </c>
      <c r="N354" s="1332">
        <v>0.2</v>
      </c>
      <c r="O354" s="1333" t="str">
        <f t="shared" si="30"/>
        <v/>
      </c>
      <c r="P354" s="1573"/>
    </row>
    <row r="355" spans="2:16">
      <c r="B355" s="1390"/>
      <c r="C355" s="798"/>
      <c r="D355" s="678"/>
      <c r="E355" s="680"/>
      <c r="F355" s="679"/>
      <c r="G355" s="677"/>
      <c r="H355" s="677"/>
      <c r="I355" s="677"/>
      <c r="J355" s="1605">
        <f t="shared" si="27"/>
        <v>0</v>
      </c>
      <c r="K355" s="675"/>
      <c r="L355" s="1605">
        <f t="shared" si="28"/>
        <v>0</v>
      </c>
      <c r="M355" s="673">
        <f t="shared" si="29"/>
        <v>0</v>
      </c>
      <c r="N355" s="1332">
        <v>0.2</v>
      </c>
      <c r="O355" s="1333" t="str">
        <f t="shared" si="30"/>
        <v/>
      </c>
      <c r="P355" s="1573"/>
    </row>
    <row r="356" spans="2:16">
      <c r="B356" s="1390"/>
      <c r="C356" s="798"/>
      <c r="D356" s="678"/>
      <c r="E356" s="680"/>
      <c r="F356" s="679"/>
      <c r="G356" s="677"/>
      <c r="H356" s="677"/>
      <c r="I356" s="677"/>
      <c r="J356" s="1605">
        <f t="shared" si="27"/>
        <v>0</v>
      </c>
      <c r="K356" s="675"/>
      <c r="L356" s="1605">
        <f t="shared" si="28"/>
        <v>0</v>
      </c>
      <c r="M356" s="673">
        <f t="shared" si="29"/>
        <v>0</v>
      </c>
      <c r="N356" s="1332">
        <v>0.2</v>
      </c>
      <c r="O356" s="1333" t="str">
        <f t="shared" si="30"/>
        <v/>
      </c>
      <c r="P356" s="1573"/>
    </row>
    <row r="357" spans="2:16">
      <c r="B357" s="1390"/>
      <c r="C357" s="798"/>
      <c r="D357" s="678"/>
      <c r="E357" s="680"/>
      <c r="F357" s="679"/>
      <c r="G357" s="677"/>
      <c r="H357" s="677"/>
      <c r="I357" s="677"/>
      <c r="J357" s="1605">
        <f t="shared" si="27"/>
        <v>0</v>
      </c>
      <c r="K357" s="675"/>
      <c r="L357" s="1605">
        <f t="shared" si="28"/>
        <v>0</v>
      </c>
      <c r="M357" s="673">
        <f t="shared" si="29"/>
        <v>0</v>
      </c>
      <c r="N357" s="1332">
        <v>0.2</v>
      </c>
      <c r="O357" s="1333" t="str">
        <f t="shared" si="30"/>
        <v/>
      </c>
      <c r="P357" s="1573"/>
    </row>
    <row r="358" spans="2:16">
      <c r="B358" s="1390"/>
      <c r="C358" s="798"/>
      <c r="D358" s="678"/>
      <c r="E358" s="680"/>
      <c r="F358" s="679"/>
      <c r="G358" s="677"/>
      <c r="H358" s="677"/>
      <c r="I358" s="677"/>
      <c r="J358" s="1605">
        <f t="shared" si="27"/>
        <v>0</v>
      </c>
      <c r="K358" s="675"/>
      <c r="L358" s="1605">
        <f t="shared" si="28"/>
        <v>0</v>
      </c>
      <c r="M358" s="673">
        <f t="shared" si="29"/>
        <v>0</v>
      </c>
      <c r="N358" s="1332">
        <v>0.2</v>
      </c>
      <c r="O358" s="1333" t="str">
        <f t="shared" si="30"/>
        <v/>
      </c>
      <c r="P358" s="1573"/>
    </row>
    <row r="359" spans="2:16">
      <c r="B359" s="1390"/>
      <c r="C359" s="798"/>
      <c r="D359" s="678"/>
      <c r="E359" s="680"/>
      <c r="F359" s="679"/>
      <c r="G359" s="677"/>
      <c r="H359" s="677"/>
      <c r="I359" s="677"/>
      <c r="J359" s="1605">
        <f t="shared" si="27"/>
        <v>0</v>
      </c>
      <c r="K359" s="675"/>
      <c r="L359" s="1605">
        <f t="shared" si="28"/>
        <v>0</v>
      </c>
      <c r="M359" s="673">
        <f t="shared" si="29"/>
        <v>0</v>
      </c>
      <c r="N359" s="1332">
        <v>0.2</v>
      </c>
      <c r="O359" s="1333" t="str">
        <f t="shared" si="30"/>
        <v/>
      </c>
      <c r="P359" s="1573"/>
    </row>
    <row r="360" spans="2:16">
      <c r="B360" s="1390"/>
      <c r="C360" s="798"/>
      <c r="D360" s="678"/>
      <c r="E360" s="680"/>
      <c r="F360" s="679"/>
      <c r="G360" s="677"/>
      <c r="H360" s="677"/>
      <c r="I360" s="677"/>
      <c r="J360" s="1605">
        <f t="shared" si="27"/>
        <v>0</v>
      </c>
      <c r="K360" s="675"/>
      <c r="L360" s="1605">
        <f t="shared" si="28"/>
        <v>0</v>
      </c>
      <c r="M360" s="673">
        <f t="shared" si="29"/>
        <v>0</v>
      </c>
      <c r="N360" s="1332">
        <v>0.2</v>
      </c>
      <c r="O360" s="1333" t="str">
        <f t="shared" si="30"/>
        <v/>
      </c>
      <c r="P360" s="1573"/>
    </row>
    <row r="361" spans="2:16">
      <c r="B361" s="1390"/>
      <c r="C361" s="798"/>
      <c r="D361" s="678"/>
      <c r="E361" s="680"/>
      <c r="F361" s="679"/>
      <c r="G361" s="677"/>
      <c r="H361" s="677"/>
      <c r="I361" s="677"/>
      <c r="J361" s="1605">
        <f t="shared" si="27"/>
        <v>0</v>
      </c>
      <c r="K361" s="675"/>
      <c r="L361" s="1605">
        <f t="shared" si="28"/>
        <v>0</v>
      </c>
      <c r="M361" s="673">
        <f t="shared" si="29"/>
        <v>0</v>
      </c>
      <c r="N361" s="1332">
        <v>0.2</v>
      </c>
      <c r="O361" s="1333" t="str">
        <f t="shared" si="30"/>
        <v/>
      </c>
      <c r="P361" s="1573"/>
    </row>
    <row r="362" spans="2:16">
      <c r="B362" s="1390"/>
      <c r="C362" s="798"/>
      <c r="D362" s="678"/>
      <c r="E362" s="680"/>
      <c r="F362" s="679"/>
      <c r="G362" s="677"/>
      <c r="H362" s="677"/>
      <c r="I362" s="677"/>
      <c r="J362" s="1605">
        <f t="shared" si="27"/>
        <v>0</v>
      </c>
      <c r="K362" s="675"/>
      <c r="L362" s="1605">
        <f t="shared" si="28"/>
        <v>0</v>
      </c>
      <c r="M362" s="673">
        <f t="shared" si="29"/>
        <v>0</v>
      </c>
      <c r="N362" s="1332">
        <v>0.2</v>
      </c>
      <c r="O362" s="1333" t="str">
        <f t="shared" si="30"/>
        <v/>
      </c>
      <c r="P362" s="1573"/>
    </row>
    <row r="363" spans="2:16">
      <c r="B363" s="1390"/>
      <c r="C363" s="798"/>
      <c r="D363" s="678"/>
      <c r="E363" s="680"/>
      <c r="F363" s="679"/>
      <c r="G363" s="677"/>
      <c r="H363" s="677"/>
      <c r="I363" s="677"/>
      <c r="J363" s="1605">
        <f t="shared" si="27"/>
        <v>0</v>
      </c>
      <c r="K363" s="675"/>
      <c r="L363" s="1605">
        <f t="shared" si="28"/>
        <v>0</v>
      </c>
      <c r="M363" s="673">
        <f t="shared" si="29"/>
        <v>0</v>
      </c>
      <c r="N363" s="1332">
        <v>0.2</v>
      </c>
      <c r="O363" s="1333" t="str">
        <f t="shared" si="30"/>
        <v/>
      </c>
      <c r="P363" s="1573"/>
    </row>
    <row r="364" spans="2:16">
      <c r="B364" s="1390"/>
      <c r="C364" s="798"/>
      <c r="D364" s="678"/>
      <c r="E364" s="680"/>
      <c r="F364" s="679"/>
      <c r="G364" s="677"/>
      <c r="H364" s="677"/>
      <c r="I364" s="677"/>
      <c r="J364" s="1605">
        <f t="shared" ref="J364:J427" si="31">H364+I364</f>
        <v>0</v>
      </c>
      <c r="K364" s="675"/>
      <c r="L364" s="1605">
        <f t="shared" ref="L364:L427" si="32">J364*K364</f>
        <v>0</v>
      </c>
      <c r="M364" s="673">
        <f t="shared" ref="M364:M427" si="33">L364/$D$9</f>
        <v>0</v>
      </c>
      <c r="N364" s="1332">
        <v>0.2</v>
      </c>
      <c r="O364" s="1333" t="str">
        <f t="shared" ref="O364:O427" si="34">IF((M364-N364)&gt;0,M364-N364,"")</f>
        <v/>
      </c>
      <c r="P364" s="1573"/>
    </row>
    <row r="365" spans="2:16">
      <c r="B365" s="1390"/>
      <c r="C365" s="798"/>
      <c r="D365" s="678"/>
      <c r="E365" s="680"/>
      <c r="F365" s="679"/>
      <c r="G365" s="677"/>
      <c r="H365" s="677"/>
      <c r="I365" s="677"/>
      <c r="J365" s="1605">
        <f t="shared" si="31"/>
        <v>0</v>
      </c>
      <c r="K365" s="675"/>
      <c r="L365" s="1605">
        <f t="shared" si="32"/>
        <v>0</v>
      </c>
      <c r="M365" s="673">
        <f t="shared" si="33"/>
        <v>0</v>
      </c>
      <c r="N365" s="1332">
        <v>0.2</v>
      </c>
      <c r="O365" s="1333" t="str">
        <f t="shared" si="34"/>
        <v/>
      </c>
      <c r="P365" s="1573"/>
    </row>
    <row r="366" spans="2:16">
      <c r="B366" s="1390"/>
      <c r="C366" s="798"/>
      <c r="D366" s="678"/>
      <c r="E366" s="680"/>
      <c r="F366" s="679"/>
      <c r="G366" s="677"/>
      <c r="H366" s="677"/>
      <c r="I366" s="677"/>
      <c r="J366" s="1605">
        <f t="shared" si="31"/>
        <v>0</v>
      </c>
      <c r="K366" s="675"/>
      <c r="L366" s="1605">
        <f t="shared" si="32"/>
        <v>0</v>
      </c>
      <c r="M366" s="673">
        <f t="shared" si="33"/>
        <v>0</v>
      </c>
      <c r="N366" s="1332">
        <v>0.2</v>
      </c>
      <c r="O366" s="1333" t="str">
        <f t="shared" si="34"/>
        <v/>
      </c>
      <c r="P366" s="1573"/>
    </row>
    <row r="367" spans="2:16">
      <c r="B367" s="1390"/>
      <c r="C367" s="798"/>
      <c r="D367" s="678"/>
      <c r="E367" s="680"/>
      <c r="F367" s="679"/>
      <c r="G367" s="677"/>
      <c r="H367" s="677"/>
      <c r="I367" s="677"/>
      <c r="J367" s="1605">
        <f t="shared" si="31"/>
        <v>0</v>
      </c>
      <c r="K367" s="675"/>
      <c r="L367" s="1605">
        <f t="shared" si="32"/>
        <v>0</v>
      </c>
      <c r="M367" s="673">
        <f t="shared" si="33"/>
        <v>0</v>
      </c>
      <c r="N367" s="1332">
        <v>0.2</v>
      </c>
      <c r="O367" s="1333" t="str">
        <f t="shared" si="34"/>
        <v/>
      </c>
      <c r="P367" s="1573"/>
    </row>
    <row r="368" spans="2:16">
      <c r="B368" s="1390"/>
      <c r="C368" s="798"/>
      <c r="D368" s="678"/>
      <c r="E368" s="680"/>
      <c r="F368" s="679"/>
      <c r="G368" s="677"/>
      <c r="H368" s="677"/>
      <c r="I368" s="677"/>
      <c r="J368" s="1605">
        <f t="shared" si="31"/>
        <v>0</v>
      </c>
      <c r="K368" s="675"/>
      <c r="L368" s="1605">
        <f t="shared" si="32"/>
        <v>0</v>
      </c>
      <c r="M368" s="673">
        <f t="shared" si="33"/>
        <v>0</v>
      </c>
      <c r="N368" s="1332">
        <v>0.2</v>
      </c>
      <c r="O368" s="1333" t="str">
        <f t="shared" si="34"/>
        <v/>
      </c>
      <c r="P368" s="1573"/>
    </row>
    <row r="369" spans="2:16">
      <c r="B369" s="1390"/>
      <c r="C369" s="798"/>
      <c r="D369" s="678"/>
      <c r="E369" s="680"/>
      <c r="F369" s="679"/>
      <c r="G369" s="677"/>
      <c r="H369" s="677"/>
      <c r="I369" s="677"/>
      <c r="J369" s="1605">
        <f t="shared" si="31"/>
        <v>0</v>
      </c>
      <c r="K369" s="675"/>
      <c r="L369" s="1605">
        <f t="shared" si="32"/>
        <v>0</v>
      </c>
      <c r="M369" s="673">
        <f t="shared" si="33"/>
        <v>0</v>
      </c>
      <c r="N369" s="1332">
        <v>0.2</v>
      </c>
      <c r="O369" s="1333" t="str">
        <f t="shared" si="34"/>
        <v/>
      </c>
      <c r="P369" s="1573"/>
    </row>
    <row r="370" spans="2:16">
      <c r="B370" s="1390"/>
      <c r="C370" s="798"/>
      <c r="D370" s="678"/>
      <c r="E370" s="680"/>
      <c r="F370" s="679"/>
      <c r="G370" s="677"/>
      <c r="H370" s="677"/>
      <c r="I370" s="677"/>
      <c r="J370" s="1605">
        <f t="shared" si="31"/>
        <v>0</v>
      </c>
      <c r="K370" s="675"/>
      <c r="L370" s="1605">
        <f t="shared" si="32"/>
        <v>0</v>
      </c>
      <c r="M370" s="673">
        <f t="shared" si="33"/>
        <v>0</v>
      </c>
      <c r="N370" s="1332">
        <v>0.2</v>
      </c>
      <c r="O370" s="1333" t="str">
        <f t="shared" si="34"/>
        <v/>
      </c>
      <c r="P370" s="1573"/>
    </row>
    <row r="371" spans="2:16">
      <c r="B371" s="1390"/>
      <c r="C371" s="798"/>
      <c r="D371" s="678"/>
      <c r="E371" s="680"/>
      <c r="F371" s="679"/>
      <c r="G371" s="677"/>
      <c r="H371" s="677"/>
      <c r="I371" s="677"/>
      <c r="J371" s="1605">
        <f t="shared" si="31"/>
        <v>0</v>
      </c>
      <c r="K371" s="675"/>
      <c r="L371" s="1605">
        <f t="shared" si="32"/>
        <v>0</v>
      </c>
      <c r="M371" s="673">
        <f t="shared" si="33"/>
        <v>0</v>
      </c>
      <c r="N371" s="1332">
        <v>0.2</v>
      </c>
      <c r="O371" s="1333" t="str">
        <f t="shared" si="34"/>
        <v/>
      </c>
      <c r="P371" s="1573"/>
    </row>
    <row r="372" spans="2:16">
      <c r="B372" s="1390"/>
      <c r="C372" s="798"/>
      <c r="D372" s="678"/>
      <c r="E372" s="680"/>
      <c r="F372" s="679"/>
      <c r="G372" s="677"/>
      <c r="H372" s="677"/>
      <c r="I372" s="677"/>
      <c r="J372" s="1605">
        <f t="shared" si="31"/>
        <v>0</v>
      </c>
      <c r="K372" s="675"/>
      <c r="L372" s="1605">
        <f t="shared" si="32"/>
        <v>0</v>
      </c>
      <c r="M372" s="673">
        <f t="shared" si="33"/>
        <v>0</v>
      </c>
      <c r="N372" s="1332">
        <v>0.2</v>
      </c>
      <c r="O372" s="1333" t="str">
        <f t="shared" si="34"/>
        <v/>
      </c>
      <c r="P372" s="1573"/>
    </row>
    <row r="373" spans="2:16">
      <c r="B373" s="1390"/>
      <c r="C373" s="798"/>
      <c r="D373" s="678"/>
      <c r="E373" s="680"/>
      <c r="F373" s="679"/>
      <c r="G373" s="677"/>
      <c r="H373" s="677"/>
      <c r="I373" s="677"/>
      <c r="J373" s="1605">
        <f t="shared" si="31"/>
        <v>0</v>
      </c>
      <c r="K373" s="675"/>
      <c r="L373" s="1605">
        <f t="shared" si="32"/>
        <v>0</v>
      </c>
      <c r="M373" s="673">
        <f t="shared" si="33"/>
        <v>0</v>
      </c>
      <c r="N373" s="1332">
        <v>0.2</v>
      </c>
      <c r="O373" s="1333" t="str">
        <f t="shared" si="34"/>
        <v/>
      </c>
      <c r="P373" s="1573"/>
    </row>
    <row r="374" spans="2:16">
      <c r="B374" s="1390"/>
      <c r="C374" s="798"/>
      <c r="D374" s="678"/>
      <c r="E374" s="680"/>
      <c r="F374" s="679"/>
      <c r="G374" s="677"/>
      <c r="H374" s="677"/>
      <c r="I374" s="677"/>
      <c r="J374" s="1605">
        <f t="shared" si="31"/>
        <v>0</v>
      </c>
      <c r="K374" s="675"/>
      <c r="L374" s="1605">
        <f t="shared" si="32"/>
        <v>0</v>
      </c>
      <c r="M374" s="673">
        <f t="shared" si="33"/>
        <v>0</v>
      </c>
      <c r="N374" s="1332">
        <v>0.2</v>
      </c>
      <c r="O374" s="1333" t="str">
        <f t="shared" si="34"/>
        <v/>
      </c>
      <c r="P374" s="1573"/>
    </row>
    <row r="375" spans="2:16">
      <c r="B375" s="1390"/>
      <c r="C375" s="798"/>
      <c r="D375" s="678"/>
      <c r="E375" s="680"/>
      <c r="F375" s="679"/>
      <c r="G375" s="677"/>
      <c r="H375" s="677"/>
      <c r="I375" s="677"/>
      <c r="J375" s="1605">
        <f t="shared" si="31"/>
        <v>0</v>
      </c>
      <c r="K375" s="675"/>
      <c r="L375" s="1605">
        <f t="shared" si="32"/>
        <v>0</v>
      </c>
      <c r="M375" s="673">
        <f t="shared" si="33"/>
        <v>0</v>
      </c>
      <c r="N375" s="1332">
        <v>0.2</v>
      </c>
      <c r="O375" s="1333" t="str">
        <f t="shared" si="34"/>
        <v/>
      </c>
      <c r="P375" s="1573"/>
    </row>
    <row r="376" spans="2:16">
      <c r="B376" s="1390"/>
      <c r="C376" s="798"/>
      <c r="D376" s="678"/>
      <c r="E376" s="680"/>
      <c r="F376" s="679"/>
      <c r="G376" s="677"/>
      <c r="H376" s="677"/>
      <c r="I376" s="677"/>
      <c r="J376" s="1605">
        <f t="shared" si="31"/>
        <v>0</v>
      </c>
      <c r="K376" s="675"/>
      <c r="L376" s="1605">
        <f t="shared" si="32"/>
        <v>0</v>
      </c>
      <c r="M376" s="673">
        <f t="shared" si="33"/>
        <v>0</v>
      </c>
      <c r="N376" s="1332">
        <v>0.2</v>
      </c>
      <c r="O376" s="1333" t="str">
        <f t="shared" si="34"/>
        <v/>
      </c>
      <c r="P376" s="1573"/>
    </row>
    <row r="377" spans="2:16">
      <c r="B377" s="1390"/>
      <c r="C377" s="798"/>
      <c r="D377" s="678"/>
      <c r="E377" s="680"/>
      <c r="F377" s="679"/>
      <c r="G377" s="677"/>
      <c r="H377" s="677"/>
      <c r="I377" s="677"/>
      <c r="J377" s="1605">
        <f t="shared" si="31"/>
        <v>0</v>
      </c>
      <c r="K377" s="675"/>
      <c r="L377" s="1605">
        <f t="shared" si="32"/>
        <v>0</v>
      </c>
      <c r="M377" s="673">
        <f t="shared" si="33"/>
        <v>0</v>
      </c>
      <c r="N377" s="1332">
        <v>0.2</v>
      </c>
      <c r="O377" s="1333" t="str">
        <f t="shared" si="34"/>
        <v/>
      </c>
      <c r="P377" s="1573"/>
    </row>
    <row r="378" spans="2:16">
      <c r="B378" s="1390"/>
      <c r="C378" s="798"/>
      <c r="D378" s="678"/>
      <c r="E378" s="680"/>
      <c r="F378" s="679"/>
      <c r="G378" s="677"/>
      <c r="H378" s="677"/>
      <c r="I378" s="677"/>
      <c r="J378" s="1605">
        <f t="shared" si="31"/>
        <v>0</v>
      </c>
      <c r="K378" s="675"/>
      <c r="L378" s="1605">
        <f t="shared" si="32"/>
        <v>0</v>
      </c>
      <c r="M378" s="673">
        <f t="shared" si="33"/>
        <v>0</v>
      </c>
      <c r="N378" s="1332">
        <v>0.2</v>
      </c>
      <c r="O378" s="1333" t="str">
        <f t="shared" si="34"/>
        <v/>
      </c>
      <c r="P378" s="1573"/>
    </row>
    <row r="379" spans="2:16">
      <c r="B379" s="1390"/>
      <c r="C379" s="798"/>
      <c r="D379" s="678"/>
      <c r="E379" s="680"/>
      <c r="F379" s="679"/>
      <c r="G379" s="677"/>
      <c r="H379" s="677"/>
      <c r="I379" s="677"/>
      <c r="J379" s="1605">
        <f t="shared" si="31"/>
        <v>0</v>
      </c>
      <c r="K379" s="675"/>
      <c r="L379" s="1605">
        <f t="shared" si="32"/>
        <v>0</v>
      </c>
      <c r="M379" s="673">
        <f t="shared" si="33"/>
        <v>0</v>
      </c>
      <c r="N379" s="1332">
        <v>0.2</v>
      </c>
      <c r="O379" s="1333" t="str">
        <f t="shared" si="34"/>
        <v/>
      </c>
      <c r="P379" s="1573"/>
    </row>
    <row r="380" spans="2:16">
      <c r="B380" s="1390"/>
      <c r="C380" s="798"/>
      <c r="D380" s="678"/>
      <c r="E380" s="680"/>
      <c r="F380" s="679"/>
      <c r="G380" s="677"/>
      <c r="H380" s="677"/>
      <c r="I380" s="677"/>
      <c r="J380" s="1605">
        <f t="shared" si="31"/>
        <v>0</v>
      </c>
      <c r="K380" s="675"/>
      <c r="L380" s="1605">
        <f t="shared" si="32"/>
        <v>0</v>
      </c>
      <c r="M380" s="673">
        <f t="shared" si="33"/>
        <v>0</v>
      </c>
      <c r="N380" s="1332">
        <v>0.2</v>
      </c>
      <c r="O380" s="1333" t="str">
        <f t="shared" si="34"/>
        <v/>
      </c>
      <c r="P380" s="1573"/>
    </row>
    <row r="381" spans="2:16">
      <c r="B381" s="1390"/>
      <c r="C381" s="798"/>
      <c r="D381" s="678"/>
      <c r="E381" s="680"/>
      <c r="F381" s="679"/>
      <c r="G381" s="677"/>
      <c r="H381" s="677"/>
      <c r="I381" s="677"/>
      <c r="J381" s="1605">
        <f t="shared" si="31"/>
        <v>0</v>
      </c>
      <c r="K381" s="675"/>
      <c r="L381" s="1605">
        <f t="shared" si="32"/>
        <v>0</v>
      </c>
      <c r="M381" s="673">
        <f t="shared" si="33"/>
        <v>0</v>
      </c>
      <c r="N381" s="1332">
        <v>0.2</v>
      </c>
      <c r="O381" s="1333" t="str">
        <f t="shared" si="34"/>
        <v/>
      </c>
      <c r="P381" s="1573"/>
    </row>
    <row r="382" spans="2:16">
      <c r="B382" s="1390"/>
      <c r="C382" s="798"/>
      <c r="D382" s="678"/>
      <c r="E382" s="680"/>
      <c r="F382" s="679"/>
      <c r="G382" s="677"/>
      <c r="H382" s="677"/>
      <c r="I382" s="677"/>
      <c r="J382" s="1605">
        <f t="shared" si="31"/>
        <v>0</v>
      </c>
      <c r="K382" s="675"/>
      <c r="L382" s="1605">
        <f t="shared" si="32"/>
        <v>0</v>
      </c>
      <c r="M382" s="673">
        <f t="shared" si="33"/>
        <v>0</v>
      </c>
      <c r="N382" s="1332">
        <v>0.2</v>
      </c>
      <c r="O382" s="1333" t="str">
        <f t="shared" si="34"/>
        <v/>
      </c>
      <c r="P382" s="1573"/>
    </row>
    <row r="383" spans="2:16">
      <c r="B383" s="1390"/>
      <c r="C383" s="798"/>
      <c r="D383" s="678"/>
      <c r="E383" s="680"/>
      <c r="F383" s="679"/>
      <c r="G383" s="677"/>
      <c r="H383" s="677"/>
      <c r="I383" s="677"/>
      <c r="J383" s="1605">
        <f t="shared" si="31"/>
        <v>0</v>
      </c>
      <c r="K383" s="675"/>
      <c r="L383" s="1605">
        <f t="shared" si="32"/>
        <v>0</v>
      </c>
      <c r="M383" s="673">
        <f t="shared" si="33"/>
        <v>0</v>
      </c>
      <c r="N383" s="1332">
        <v>0.2</v>
      </c>
      <c r="O383" s="1333" t="str">
        <f t="shared" si="34"/>
        <v/>
      </c>
      <c r="P383" s="1573"/>
    </row>
    <row r="384" spans="2:16">
      <c r="B384" s="1390"/>
      <c r="C384" s="798"/>
      <c r="D384" s="678"/>
      <c r="E384" s="680"/>
      <c r="F384" s="679"/>
      <c r="G384" s="677"/>
      <c r="H384" s="677"/>
      <c r="I384" s="677"/>
      <c r="J384" s="1605">
        <f t="shared" si="31"/>
        <v>0</v>
      </c>
      <c r="K384" s="675"/>
      <c r="L384" s="1605">
        <f t="shared" si="32"/>
        <v>0</v>
      </c>
      <c r="M384" s="673">
        <f t="shared" si="33"/>
        <v>0</v>
      </c>
      <c r="N384" s="1332">
        <v>0.2</v>
      </c>
      <c r="O384" s="1333" t="str">
        <f t="shared" si="34"/>
        <v/>
      </c>
      <c r="P384" s="1573"/>
    </row>
    <row r="385" spans="2:16">
      <c r="B385" s="1390"/>
      <c r="C385" s="798"/>
      <c r="D385" s="678"/>
      <c r="E385" s="680"/>
      <c r="F385" s="679"/>
      <c r="G385" s="677"/>
      <c r="H385" s="677"/>
      <c r="I385" s="677"/>
      <c r="J385" s="1605">
        <f t="shared" si="31"/>
        <v>0</v>
      </c>
      <c r="K385" s="675"/>
      <c r="L385" s="1605">
        <f t="shared" si="32"/>
        <v>0</v>
      </c>
      <c r="M385" s="673">
        <f t="shared" si="33"/>
        <v>0</v>
      </c>
      <c r="N385" s="1332">
        <v>0.2</v>
      </c>
      <c r="O385" s="1333" t="str">
        <f t="shared" si="34"/>
        <v/>
      </c>
      <c r="P385" s="1573"/>
    </row>
    <row r="386" spans="2:16">
      <c r="B386" s="1390"/>
      <c r="C386" s="798"/>
      <c r="D386" s="678"/>
      <c r="E386" s="680"/>
      <c r="F386" s="679"/>
      <c r="G386" s="677"/>
      <c r="H386" s="677"/>
      <c r="I386" s="677"/>
      <c r="J386" s="1605">
        <f t="shared" si="31"/>
        <v>0</v>
      </c>
      <c r="K386" s="675"/>
      <c r="L386" s="1605">
        <f t="shared" si="32"/>
        <v>0</v>
      </c>
      <c r="M386" s="673">
        <f t="shared" si="33"/>
        <v>0</v>
      </c>
      <c r="N386" s="1332">
        <v>0.2</v>
      </c>
      <c r="O386" s="1333" t="str">
        <f t="shared" si="34"/>
        <v/>
      </c>
      <c r="P386" s="1573"/>
    </row>
    <row r="387" spans="2:16">
      <c r="B387" s="1390"/>
      <c r="C387" s="798"/>
      <c r="D387" s="678"/>
      <c r="E387" s="680"/>
      <c r="F387" s="679"/>
      <c r="G387" s="677"/>
      <c r="H387" s="677"/>
      <c r="I387" s="677"/>
      <c r="J387" s="1605">
        <f t="shared" si="31"/>
        <v>0</v>
      </c>
      <c r="K387" s="675"/>
      <c r="L387" s="1605">
        <f t="shared" si="32"/>
        <v>0</v>
      </c>
      <c r="M387" s="673">
        <f t="shared" si="33"/>
        <v>0</v>
      </c>
      <c r="N387" s="1332">
        <v>0.2</v>
      </c>
      <c r="O387" s="1333" t="str">
        <f t="shared" si="34"/>
        <v/>
      </c>
      <c r="P387" s="1573"/>
    </row>
    <row r="388" spans="2:16">
      <c r="B388" s="1390"/>
      <c r="C388" s="798"/>
      <c r="D388" s="678"/>
      <c r="E388" s="680"/>
      <c r="F388" s="679"/>
      <c r="G388" s="677"/>
      <c r="H388" s="677"/>
      <c r="I388" s="677"/>
      <c r="J388" s="1605">
        <f t="shared" si="31"/>
        <v>0</v>
      </c>
      <c r="K388" s="675"/>
      <c r="L388" s="1605">
        <f t="shared" si="32"/>
        <v>0</v>
      </c>
      <c r="M388" s="673">
        <f t="shared" si="33"/>
        <v>0</v>
      </c>
      <c r="N388" s="1332">
        <v>0.2</v>
      </c>
      <c r="O388" s="1333" t="str">
        <f t="shared" si="34"/>
        <v/>
      </c>
      <c r="P388" s="1573"/>
    </row>
    <row r="389" spans="2:16">
      <c r="B389" s="1390"/>
      <c r="C389" s="798"/>
      <c r="D389" s="678"/>
      <c r="E389" s="680"/>
      <c r="F389" s="679"/>
      <c r="G389" s="677"/>
      <c r="H389" s="677"/>
      <c r="I389" s="677"/>
      <c r="J389" s="1605">
        <f t="shared" si="31"/>
        <v>0</v>
      </c>
      <c r="K389" s="675"/>
      <c r="L389" s="1605">
        <f t="shared" si="32"/>
        <v>0</v>
      </c>
      <c r="M389" s="673">
        <f t="shared" si="33"/>
        <v>0</v>
      </c>
      <c r="N389" s="1332">
        <v>0.2</v>
      </c>
      <c r="O389" s="1333" t="str">
        <f t="shared" si="34"/>
        <v/>
      </c>
      <c r="P389" s="1573"/>
    </row>
    <row r="390" spans="2:16">
      <c r="B390" s="1390"/>
      <c r="C390" s="798"/>
      <c r="D390" s="678"/>
      <c r="E390" s="680"/>
      <c r="F390" s="679"/>
      <c r="G390" s="677"/>
      <c r="H390" s="677"/>
      <c r="I390" s="677"/>
      <c r="J390" s="1605">
        <f t="shared" si="31"/>
        <v>0</v>
      </c>
      <c r="K390" s="675"/>
      <c r="L390" s="1605">
        <f t="shared" si="32"/>
        <v>0</v>
      </c>
      <c r="M390" s="673">
        <f t="shared" si="33"/>
        <v>0</v>
      </c>
      <c r="N390" s="1332">
        <v>0.2</v>
      </c>
      <c r="O390" s="1333" t="str">
        <f t="shared" si="34"/>
        <v/>
      </c>
      <c r="P390" s="1573"/>
    </row>
    <row r="391" spans="2:16">
      <c r="B391" s="1390"/>
      <c r="C391" s="798"/>
      <c r="D391" s="678"/>
      <c r="E391" s="680"/>
      <c r="F391" s="679"/>
      <c r="G391" s="677"/>
      <c r="H391" s="677"/>
      <c r="I391" s="677"/>
      <c r="J391" s="1605">
        <f t="shared" si="31"/>
        <v>0</v>
      </c>
      <c r="K391" s="675"/>
      <c r="L391" s="1605">
        <f t="shared" si="32"/>
        <v>0</v>
      </c>
      <c r="M391" s="673">
        <f t="shared" si="33"/>
        <v>0</v>
      </c>
      <c r="N391" s="1332">
        <v>0.2</v>
      </c>
      <c r="O391" s="1333" t="str">
        <f t="shared" si="34"/>
        <v/>
      </c>
      <c r="P391" s="1573"/>
    </row>
    <row r="392" spans="2:16">
      <c r="B392" s="1390"/>
      <c r="C392" s="798"/>
      <c r="D392" s="678"/>
      <c r="E392" s="680"/>
      <c r="F392" s="679"/>
      <c r="G392" s="677"/>
      <c r="H392" s="677"/>
      <c r="I392" s="677"/>
      <c r="J392" s="1605">
        <f t="shared" si="31"/>
        <v>0</v>
      </c>
      <c r="K392" s="675"/>
      <c r="L392" s="1605">
        <f t="shared" si="32"/>
        <v>0</v>
      </c>
      <c r="M392" s="673">
        <f t="shared" si="33"/>
        <v>0</v>
      </c>
      <c r="N392" s="1332">
        <v>0.2</v>
      </c>
      <c r="O392" s="1333" t="str">
        <f t="shared" si="34"/>
        <v/>
      </c>
      <c r="P392" s="1573"/>
    </row>
    <row r="393" spans="2:16">
      <c r="B393" s="1390"/>
      <c r="C393" s="798"/>
      <c r="D393" s="678"/>
      <c r="E393" s="680"/>
      <c r="F393" s="679"/>
      <c r="G393" s="677"/>
      <c r="H393" s="677"/>
      <c r="I393" s="677"/>
      <c r="J393" s="1605">
        <f t="shared" si="31"/>
        <v>0</v>
      </c>
      <c r="K393" s="675"/>
      <c r="L393" s="1605">
        <f t="shared" si="32"/>
        <v>0</v>
      </c>
      <c r="M393" s="673">
        <f t="shared" si="33"/>
        <v>0</v>
      </c>
      <c r="N393" s="1332">
        <v>0.2</v>
      </c>
      <c r="O393" s="1333" t="str">
        <f t="shared" si="34"/>
        <v/>
      </c>
      <c r="P393" s="1573"/>
    </row>
    <row r="394" spans="2:16">
      <c r="B394" s="1390"/>
      <c r="C394" s="798"/>
      <c r="D394" s="678"/>
      <c r="E394" s="680"/>
      <c r="F394" s="679"/>
      <c r="G394" s="677"/>
      <c r="H394" s="677"/>
      <c r="I394" s="677"/>
      <c r="J394" s="1605">
        <f t="shared" si="31"/>
        <v>0</v>
      </c>
      <c r="K394" s="675"/>
      <c r="L394" s="1605">
        <f t="shared" si="32"/>
        <v>0</v>
      </c>
      <c r="M394" s="673">
        <f t="shared" si="33"/>
        <v>0</v>
      </c>
      <c r="N394" s="1332">
        <v>0.2</v>
      </c>
      <c r="O394" s="1333" t="str">
        <f t="shared" si="34"/>
        <v/>
      </c>
      <c r="P394" s="1573"/>
    </row>
    <row r="395" spans="2:16">
      <c r="B395" s="1390"/>
      <c r="C395" s="798"/>
      <c r="D395" s="678"/>
      <c r="E395" s="680"/>
      <c r="F395" s="679"/>
      <c r="G395" s="677"/>
      <c r="H395" s="677"/>
      <c r="I395" s="677"/>
      <c r="J395" s="1605">
        <f t="shared" si="31"/>
        <v>0</v>
      </c>
      <c r="K395" s="675"/>
      <c r="L395" s="1605">
        <f t="shared" si="32"/>
        <v>0</v>
      </c>
      <c r="M395" s="673">
        <f t="shared" si="33"/>
        <v>0</v>
      </c>
      <c r="N395" s="1332">
        <v>0.2</v>
      </c>
      <c r="O395" s="1333" t="str">
        <f t="shared" si="34"/>
        <v/>
      </c>
      <c r="P395" s="1573"/>
    </row>
    <row r="396" spans="2:16">
      <c r="B396" s="1390"/>
      <c r="C396" s="798"/>
      <c r="D396" s="678"/>
      <c r="E396" s="680"/>
      <c r="F396" s="679"/>
      <c r="G396" s="677"/>
      <c r="H396" s="677"/>
      <c r="I396" s="677"/>
      <c r="J396" s="1605">
        <f t="shared" si="31"/>
        <v>0</v>
      </c>
      <c r="K396" s="675"/>
      <c r="L396" s="1605">
        <f t="shared" si="32"/>
        <v>0</v>
      </c>
      <c r="M396" s="673">
        <f t="shared" si="33"/>
        <v>0</v>
      </c>
      <c r="N396" s="1332">
        <v>0.2</v>
      </c>
      <c r="O396" s="1333" t="str">
        <f t="shared" si="34"/>
        <v/>
      </c>
      <c r="P396" s="1573"/>
    </row>
    <row r="397" spans="2:16">
      <c r="B397" s="1390"/>
      <c r="C397" s="798"/>
      <c r="D397" s="678"/>
      <c r="E397" s="680"/>
      <c r="F397" s="679"/>
      <c r="G397" s="677"/>
      <c r="H397" s="677"/>
      <c r="I397" s="677"/>
      <c r="J397" s="1605">
        <f t="shared" si="31"/>
        <v>0</v>
      </c>
      <c r="K397" s="675"/>
      <c r="L397" s="1605">
        <f t="shared" si="32"/>
        <v>0</v>
      </c>
      <c r="M397" s="673">
        <f t="shared" si="33"/>
        <v>0</v>
      </c>
      <c r="N397" s="1332">
        <v>0.2</v>
      </c>
      <c r="O397" s="1333" t="str">
        <f t="shared" si="34"/>
        <v/>
      </c>
      <c r="P397" s="1573"/>
    </row>
    <row r="398" spans="2:16">
      <c r="B398" s="1390"/>
      <c r="C398" s="798"/>
      <c r="D398" s="678"/>
      <c r="E398" s="680"/>
      <c r="F398" s="679"/>
      <c r="G398" s="677"/>
      <c r="H398" s="677"/>
      <c r="I398" s="677"/>
      <c r="J398" s="1605">
        <f t="shared" si="31"/>
        <v>0</v>
      </c>
      <c r="K398" s="675"/>
      <c r="L398" s="1605">
        <f t="shared" si="32"/>
        <v>0</v>
      </c>
      <c r="M398" s="673">
        <f t="shared" si="33"/>
        <v>0</v>
      </c>
      <c r="N398" s="1332">
        <v>0.2</v>
      </c>
      <c r="O398" s="1333" t="str">
        <f t="shared" si="34"/>
        <v/>
      </c>
      <c r="P398" s="1573"/>
    </row>
    <row r="399" spans="2:16">
      <c r="B399" s="1390"/>
      <c r="C399" s="798"/>
      <c r="D399" s="678"/>
      <c r="E399" s="680"/>
      <c r="F399" s="679"/>
      <c r="G399" s="677"/>
      <c r="H399" s="677"/>
      <c r="I399" s="677"/>
      <c r="J399" s="1605">
        <f t="shared" si="31"/>
        <v>0</v>
      </c>
      <c r="K399" s="675"/>
      <c r="L399" s="1605">
        <f t="shared" si="32"/>
        <v>0</v>
      </c>
      <c r="M399" s="673">
        <f t="shared" si="33"/>
        <v>0</v>
      </c>
      <c r="N399" s="1332">
        <v>0.2</v>
      </c>
      <c r="O399" s="1333" t="str">
        <f t="shared" si="34"/>
        <v/>
      </c>
      <c r="P399" s="1573"/>
    </row>
    <row r="400" spans="2:16">
      <c r="B400" s="1390"/>
      <c r="C400" s="798"/>
      <c r="D400" s="678"/>
      <c r="E400" s="680"/>
      <c r="F400" s="679"/>
      <c r="G400" s="677"/>
      <c r="H400" s="677"/>
      <c r="I400" s="677"/>
      <c r="J400" s="1605">
        <f t="shared" si="31"/>
        <v>0</v>
      </c>
      <c r="K400" s="675"/>
      <c r="L400" s="1605">
        <f t="shared" si="32"/>
        <v>0</v>
      </c>
      <c r="M400" s="673">
        <f t="shared" si="33"/>
        <v>0</v>
      </c>
      <c r="N400" s="1332">
        <v>0.2</v>
      </c>
      <c r="O400" s="1333" t="str">
        <f t="shared" si="34"/>
        <v/>
      </c>
      <c r="P400" s="1573"/>
    </row>
    <row r="401" spans="2:16">
      <c r="B401" s="1390"/>
      <c r="C401" s="798"/>
      <c r="D401" s="678"/>
      <c r="E401" s="680"/>
      <c r="F401" s="679"/>
      <c r="G401" s="677"/>
      <c r="H401" s="677"/>
      <c r="I401" s="677"/>
      <c r="J401" s="1605">
        <f t="shared" si="31"/>
        <v>0</v>
      </c>
      <c r="K401" s="675"/>
      <c r="L401" s="1605">
        <f t="shared" si="32"/>
        <v>0</v>
      </c>
      <c r="M401" s="673">
        <f t="shared" si="33"/>
        <v>0</v>
      </c>
      <c r="N401" s="1332">
        <v>0.2</v>
      </c>
      <c r="O401" s="1333" t="str">
        <f t="shared" si="34"/>
        <v/>
      </c>
      <c r="P401" s="1573"/>
    </row>
    <row r="402" spans="2:16">
      <c r="B402" s="1390"/>
      <c r="C402" s="798"/>
      <c r="D402" s="678"/>
      <c r="E402" s="680"/>
      <c r="F402" s="679"/>
      <c r="G402" s="677"/>
      <c r="H402" s="677"/>
      <c r="I402" s="677"/>
      <c r="J402" s="1605">
        <f t="shared" si="31"/>
        <v>0</v>
      </c>
      <c r="K402" s="675"/>
      <c r="L402" s="1605">
        <f t="shared" si="32"/>
        <v>0</v>
      </c>
      <c r="M402" s="673">
        <f t="shared" si="33"/>
        <v>0</v>
      </c>
      <c r="N402" s="1332">
        <v>0.2</v>
      </c>
      <c r="O402" s="1333" t="str">
        <f t="shared" si="34"/>
        <v/>
      </c>
      <c r="P402" s="1573"/>
    </row>
    <row r="403" spans="2:16">
      <c r="B403" s="1390"/>
      <c r="C403" s="798"/>
      <c r="D403" s="678"/>
      <c r="E403" s="680"/>
      <c r="F403" s="679"/>
      <c r="G403" s="677"/>
      <c r="H403" s="677"/>
      <c r="I403" s="677"/>
      <c r="J403" s="1605">
        <f t="shared" si="31"/>
        <v>0</v>
      </c>
      <c r="K403" s="675"/>
      <c r="L403" s="1605">
        <f t="shared" si="32"/>
        <v>0</v>
      </c>
      <c r="M403" s="673">
        <f t="shared" si="33"/>
        <v>0</v>
      </c>
      <c r="N403" s="1332">
        <v>0.2</v>
      </c>
      <c r="O403" s="1333" t="str">
        <f t="shared" si="34"/>
        <v/>
      </c>
      <c r="P403" s="1573"/>
    </row>
    <row r="404" spans="2:16">
      <c r="B404" s="1390"/>
      <c r="C404" s="798"/>
      <c r="D404" s="678"/>
      <c r="E404" s="680"/>
      <c r="F404" s="679"/>
      <c r="G404" s="677"/>
      <c r="H404" s="677"/>
      <c r="I404" s="677"/>
      <c r="J404" s="1605">
        <f t="shared" si="31"/>
        <v>0</v>
      </c>
      <c r="K404" s="675"/>
      <c r="L404" s="1605">
        <f t="shared" si="32"/>
        <v>0</v>
      </c>
      <c r="M404" s="673">
        <f t="shared" si="33"/>
        <v>0</v>
      </c>
      <c r="N404" s="1332">
        <v>0.2</v>
      </c>
      <c r="O404" s="1333" t="str">
        <f t="shared" si="34"/>
        <v/>
      </c>
      <c r="P404" s="1573"/>
    </row>
    <row r="405" spans="2:16">
      <c r="B405" s="1390"/>
      <c r="C405" s="798"/>
      <c r="D405" s="678"/>
      <c r="E405" s="680"/>
      <c r="F405" s="679"/>
      <c r="G405" s="677"/>
      <c r="H405" s="677"/>
      <c r="I405" s="677"/>
      <c r="J405" s="1605">
        <f t="shared" si="31"/>
        <v>0</v>
      </c>
      <c r="K405" s="675"/>
      <c r="L405" s="1605">
        <f t="shared" si="32"/>
        <v>0</v>
      </c>
      <c r="M405" s="673">
        <f t="shared" si="33"/>
        <v>0</v>
      </c>
      <c r="N405" s="1332">
        <v>0.2</v>
      </c>
      <c r="O405" s="1333" t="str">
        <f t="shared" si="34"/>
        <v/>
      </c>
      <c r="P405" s="1573"/>
    </row>
    <row r="406" spans="2:16">
      <c r="B406" s="1390"/>
      <c r="C406" s="798"/>
      <c r="D406" s="678"/>
      <c r="E406" s="680"/>
      <c r="F406" s="679"/>
      <c r="G406" s="677"/>
      <c r="H406" s="677"/>
      <c r="I406" s="677"/>
      <c r="J406" s="1605">
        <f t="shared" si="31"/>
        <v>0</v>
      </c>
      <c r="K406" s="675"/>
      <c r="L406" s="1605">
        <f t="shared" si="32"/>
        <v>0</v>
      </c>
      <c r="M406" s="673">
        <f t="shared" si="33"/>
        <v>0</v>
      </c>
      <c r="N406" s="1332">
        <v>0.2</v>
      </c>
      <c r="O406" s="1333" t="str">
        <f t="shared" si="34"/>
        <v/>
      </c>
      <c r="P406" s="1573"/>
    </row>
    <row r="407" spans="2:16">
      <c r="B407" s="1390"/>
      <c r="C407" s="798"/>
      <c r="D407" s="678"/>
      <c r="E407" s="680"/>
      <c r="F407" s="679"/>
      <c r="G407" s="677"/>
      <c r="H407" s="677"/>
      <c r="I407" s="677"/>
      <c r="J407" s="1605">
        <f t="shared" si="31"/>
        <v>0</v>
      </c>
      <c r="K407" s="675"/>
      <c r="L407" s="1605">
        <f t="shared" si="32"/>
        <v>0</v>
      </c>
      <c r="M407" s="673">
        <f t="shared" si="33"/>
        <v>0</v>
      </c>
      <c r="N407" s="1332">
        <v>0.2</v>
      </c>
      <c r="O407" s="1333" t="str">
        <f t="shared" si="34"/>
        <v/>
      </c>
      <c r="P407" s="1573"/>
    </row>
    <row r="408" spans="2:16">
      <c r="B408" s="1390"/>
      <c r="C408" s="798"/>
      <c r="D408" s="678"/>
      <c r="E408" s="680"/>
      <c r="F408" s="679"/>
      <c r="G408" s="677"/>
      <c r="H408" s="677"/>
      <c r="I408" s="677"/>
      <c r="J408" s="1605">
        <f t="shared" si="31"/>
        <v>0</v>
      </c>
      <c r="K408" s="675"/>
      <c r="L408" s="1605">
        <f t="shared" si="32"/>
        <v>0</v>
      </c>
      <c r="M408" s="673">
        <f t="shared" si="33"/>
        <v>0</v>
      </c>
      <c r="N408" s="1332">
        <v>0.2</v>
      </c>
      <c r="O408" s="1333" t="str">
        <f t="shared" si="34"/>
        <v/>
      </c>
      <c r="P408" s="1573"/>
    </row>
    <row r="409" spans="2:16">
      <c r="B409" s="1390"/>
      <c r="C409" s="798"/>
      <c r="D409" s="678"/>
      <c r="E409" s="680"/>
      <c r="F409" s="679"/>
      <c r="G409" s="677"/>
      <c r="H409" s="677"/>
      <c r="I409" s="677"/>
      <c r="J409" s="1605">
        <f t="shared" si="31"/>
        <v>0</v>
      </c>
      <c r="K409" s="675"/>
      <c r="L409" s="1605">
        <f t="shared" si="32"/>
        <v>0</v>
      </c>
      <c r="M409" s="673">
        <f t="shared" si="33"/>
        <v>0</v>
      </c>
      <c r="N409" s="1332">
        <v>0.2</v>
      </c>
      <c r="O409" s="1333" t="str">
        <f t="shared" si="34"/>
        <v/>
      </c>
      <c r="P409" s="1573"/>
    </row>
    <row r="410" spans="2:16">
      <c r="B410" s="1390"/>
      <c r="C410" s="798"/>
      <c r="D410" s="678"/>
      <c r="E410" s="680"/>
      <c r="F410" s="679"/>
      <c r="G410" s="677"/>
      <c r="H410" s="677"/>
      <c r="I410" s="677"/>
      <c r="J410" s="1605">
        <f t="shared" si="31"/>
        <v>0</v>
      </c>
      <c r="K410" s="675"/>
      <c r="L410" s="1605">
        <f t="shared" si="32"/>
        <v>0</v>
      </c>
      <c r="M410" s="673">
        <f t="shared" si="33"/>
        <v>0</v>
      </c>
      <c r="N410" s="1332">
        <v>0.2</v>
      </c>
      <c r="O410" s="1333" t="str">
        <f t="shared" si="34"/>
        <v/>
      </c>
      <c r="P410" s="1573"/>
    </row>
    <row r="411" spans="2:16">
      <c r="B411" s="1390"/>
      <c r="C411" s="798"/>
      <c r="D411" s="678"/>
      <c r="E411" s="680"/>
      <c r="F411" s="679"/>
      <c r="G411" s="677"/>
      <c r="H411" s="677"/>
      <c r="I411" s="677"/>
      <c r="J411" s="1605">
        <f t="shared" si="31"/>
        <v>0</v>
      </c>
      <c r="K411" s="675"/>
      <c r="L411" s="1605">
        <f t="shared" si="32"/>
        <v>0</v>
      </c>
      <c r="M411" s="673">
        <f t="shared" si="33"/>
        <v>0</v>
      </c>
      <c r="N411" s="1332">
        <v>0.2</v>
      </c>
      <c r="O411" s="1333" t="str">
        <f t="shared" si="34"/>
        <v/>
      </c>
      <c r="P411" s="1573"/>
    </row>
    <row r="412" spans="2:16">
      <c r="B412" s="1390"/>
      <c r="C412" s="798"/>
      <c r="D412" s="678"/>
      <c r="E412" s="680"/>
      <c r="F412" s="679"/>
      <c r="G412" s="677"/>
      <c r="H412" s="677"/>
      <c r="I412" s="677"/>
      <c r="J412" s="1605">
        <f t="shared" si="31"/>
        <v>0</v>
      </c>
      <c r="K412" s="675"/>
      <c r="L412" s="1605">
        <f t="shared" si="32"/>
        <v>0</v>
      </c>
      <c r="M412" s="673">
        <f t="shared" si="33"/>
        <v>0</v>
      </c>
      <c r="N412" s="1332">
        <v>0.2</v>
      </c>
      <c r="O412" s="1333" t="str">
        <f t="shared" si="34"/>
        <v/>
      </c>
      <c r="P412" s="1573"/>
    </row>
    <row r="413" spans="2:16">
      <c r="B413" s="1390"/>
      <c r="C413" s="798"/>
      <c r="D413" s="678"/>
      <c r="E413" s="680"/>
      <c r="F413" s="679"/>
      <c r="G413" s="677"/>
      <c r="H413" s="677"/>
      <c r="I413" s="677"/>
      <c r="J413" s="1605">
        <f t="shared" si="31"/>
        <v>0</v>
      </c>
      <c r="K413" s="675"/>
      <c r="L413" s="1605">
        <f t="shared" si="32"/>
        <v>0</v>
      </c>
      <c r="M413" s="673">
        <f t="shared" si="33"/>
        <v>0</v>
      </c>
      <c r="N413" s="1332">
        <v>0.2</v>
      </c>
      <c r="O413" s="1333" t="str">
        <f t="shared" si="34"/>
        <v/>
      </c>
      <c r="P413" s="1573"/>
    </row>
    <row r="414" spans="2:16">
      <c r="B414" s="1390"/>
      <c r="C414" s="798"/>
      <c r="D414" s="678"/>
      <c r="E414" s="680"/>
      <c r="F414" s="679"/>
      <c r="G414" s="677"/>
      <c r="H414" s="677"/>
      <c r="I414" s="677"/>
      <c r="J414" s="1605">
        <f t="shared" si="31"/>
        <v>0</v>
      </c>
      <c r="K414" s="675"/>
      <c r="L414" s="1605">
        <f t="shared" si="32"/>
        <v>0</v>
      </c>
      <c r="M414" s="673">
        <f t="shared" si="33"/>
        <v>0</v>
      </c>
      <c r="N414" s="1332">
        <v>0.2</v>
      </c>
      <c r="O414" s="1333" t="str">
        <f t="shared" si="34"/>
        <v/>
      </c>
      <c r="P414" s="1573"/>
    </row>
    <row r="415" spans="2:16">
      <c r="B415" s="1390"/>
      <c r="C415" s="798"/>
      <c r="D415" s="678"/>
      <c r="E415" s="680"/>
      <c r="F415" s="679"/>
      <c r="G415" s="677"/>
      <c r="H415" s="677"/>
      <c r="I415" s="677"/>
      <c r="J415" s="1605">
        <f t="shared" si="31"/>
        <v>0</v>
      </c>
      <c r="K415" s="675"/>
      <c r="L415" s="1605">
        <f t="shared" si="32"/>
        <v>0</v>
      </c>
      <c r="M415" s="673">
        <f t="shared" si="33"/>
        <v>0</v>
      </c>
      <c r="N415" s="1332">
        <v>0.2</v>
      </c>
      <c r="O415" s="1333" t="str">
        <f t="shared" si="34"/>
        <v/>
      </c>
      <c r="P415" s="1573"/>
    </row>
    <row r="416" spans="2:16">
      <c r="B416" s="1390"/>
      <c r="C416" s="798"/>
      <c r="D416" s="678"/>
      <c r="E416" s="680"/>
      <c r="F416" s="679"/>
      <c r="G416" s="677"/>
      <c r="H416" s="677"/>
      <c r="I416" s="677"/>
      <c r="J416" s="1605">
        <f t="shared" si="31"/>
        <v>0</v>
      </c>
      <c r="K416" s="675"/>
      <c r="L416" s="1605">
        <f t="shared" si="32"/>
        <v>0</v>
      </c>
      <c r="M416" s="673">
        <f t="shared" si="33"/>
        <v>0</v>
      </c>
      <c r="N416" s="1332">
        <v>0.2</v>
      </c>
      <c r="O416" s="1333" t="str">
        <f t="shared" si="34"/>
        <v/>
      </c>
      <c r="P416" s="1573"/>
    </row>
    <row r="417" spans="2:16">
      <c r="B417" s="1390"/>
      <c r="C417" s="798"/>
      <c r="D417" s="678"/>
      <c r="E417" s="680"/>
      <c r="F417" s="679"/>
      <c r="G417" s="677"/>
      <c r="H417" s="677"/>
      <c r="I417" s="677"/>
      <c r="J417" s="1605">
        <f t="shared" si="31"/>
        <v>0</v>
      </c>
      <c r="K417" s="675"/>
      <c r="L417" s="1605">
        <f t="shared" si="32"/>
        <v>0</v>
      </c>
      <c r="M417" s="673">
        <f t="shared" si="33"/>
        <v>0</v>
      </c>
      <c r="N417" s="1332">
        <v>0.2</v>
      </c>
      <c r="O417" s="1333" t="str">
        <f t="shared" si="34"/>
        <v/>
      </c>
      <c r="P417" s="1573"/>
    </row>
    <row r="418" spans="2:16">
      <c r="B418" s="1390"/>
      <c r="C418" s="798"/>
      <c r="D418" s="678"/>
      <c r="E418" s="680"/>
      <c r="F418" s="679"/>
      <c r="G418" s="677"/>
      <c r="H418" s="677"/>
      <c r="I418" s="677"/>
      <c r="J418" s="1605">
        <f t="shared" si="31"/>
        <v>0</v>
      </c>
      <c r="K418" s="675"/>
      <c r="L418" s="1605">
        <f t="shared" si="32"/>
        <v>0</v>
      </c>
      <c r="M418" s="673">
        <f t="shared" si="33"/>
        <v>0</v>
      </c>
      <c r="N418" s="1332">
        <v>0.2</v>
      </c>
      <c r="O418" s="1333" t="str">
        <f t="shared" si="34"/>
        <v/>
      </c>
      <c r="P418" s="1573"/>
    </row>
    <row r="419" spans="2:16">
      <c r="B419" s="1390"/>
      <c r="C419" s="798"/>
      <c r="D419" s="678"/>
      <c r="E419" s="680"/>
      <c r="F419" s="679"/>
      <c r="G419" s="677"/>
      <c r="H419" s="677"/>
      <c r="I419" s="677"/>
      <c r="J419" s="1605">
        <f t="shared" si="31"/>
        <v>0</v>
      </c>
      <c r="K419" s="675"/>
      <c r="L419" s="1605">
        <f t="shared" si="32"/>
        <v>0</v>
      </c>
      <c r="M419" s="673">
        <f t="shared" si="33"/>
        <v>0</v>
      </c>
      <c r="N419" s="1332">
        <v>0.2</v>
      </c>
      <c r="O419" s="1333" t="str">
        <f t="shared" si="34"/>
        <v/>
      </c>
      <c r="P419" s="1573"/>
    </row>
    <row r="420" spans="2:16">
      <c r="B420" s="1390"/>
      <c r="C420" s="798"/>
      <c r="D420" s="678"/>
      <c r="E420" s="680"/>
      <c r="F420" s="679"/>
      <c r="G420" s="677"/>
      <c r="H420" s="677"/>
      <c r="I420" s="677"/>
      <c r="J420" s="1605">
        <f t="shared" si="31"/>
        <v>0</v>
      </c>
      <c r="K420" s="675"/>
      <c r="L420" s="1605">
        <f t="shared" si="32"/>
        <v>0</v>
      </c>
      <c r="M420" s="673">
        <f t="shared" si="33"/>
        <v>0</v>
      </c>
      <c r="N420" s="1332">
        <v>0.2</v>
      </c>
      <c r="O420" s="1333" t="str">
        <f t="shared" si="34"/>
        <v/>
      </c>
      <c r="P420" s="1573"/>
    </row>
    <row r="421" spans="2:16">
      <c r="B421" s="1390"/>
      <c r="C421" s="798"/>
      <c r="D421" s="678"/>
      <c r="E421" s="680"/>
      <c r="F421" s="679"/>
      <c r="G421" s="677"/>
      <c r="H421" s="677"/>
      <c r="I421" s="677"/>
      <c r="J421" s="1605">
        <f t="shared" si="31"/>
        <v>0</v>
      </c>
      <c r="K421" s="675"/>
      <c r="L421" s="1605">
        <f t="shared" si="32"/>
        <v>0</v>
      </c>
      <c r="M421" s="673">
        <f t="shared" si="33"/>
        <v>0</v>
      </c>
      <c r="N421" s="1332">
        <v>0.2</v>
      </c>
      <c r="O421" s="1333" t="str">
        <f t="shared" si="34"/>
        <v/>
      </c>
      <c r="P421" s="1573"/>
    </row>
    <row r="422" spans="2:16">
      <c r="B422" s="1390"/>
      <c r="C422" s="798"/>
      <c r="D422" s="678"/>
      <c r="E422" s="680"/>
      <c r="F422" s="679"/>
      <c r="G422" s="677"/>
      <c r="H422" s="677"/>
      <c r="I422" s="677"/>
      <c r="J422" s="1605">
        <f t="shared" si="31"/>
        <v>0</v>
      </c>
      <c r="K422" s="675"/>
      <c r="L422" s="1605">
        <f t="shared" si="32"/>
        <v>0</v>
      </c>
      <c r="M422" s="673">
        <f t="shared" si="33"/>
        <v>0</v>
      </c>
      <c r="N422" s="1332">
        <v>0.2</v>
      </c>
      <c r="O422" s="1333" t="str">
        <f t="shared" si="34"/>
        <v/>
      </c>
      <c r="P422" s="1573"/>
    </row>
    <row r="423" spans="2:16">
      <c r="B423" s="1390"/>
      <c r="C423" s="798"/>
      <c r="D423" s="678"/>
      <c r="E423" s="680"/>
      <c r="F423" s="679"/>
      <c r="G423" s="677"/>
      <c r="H423" s="677"/>
      <c r="I423" s="677"/>
      <c r="J423" s="1605">
        <f t="shared" si="31"/>
        <v>0</v>
      </c>
      <c r="K423" s="675"/>
      <c r="L423" s="1605">
        <f t="shared" si="32"/>
        <v>0</v>
      </c>
      <c r="M423" s="673">
        <f t="shared" si="33"/>
        <v>0</v>
      </c>
      <c r="N423" s="1332">
        <v>0.2</v>
      </c>
      <c r="O423" s="1333" t="str">
        <f t="shared" si="34"/>
        <v/>
      </c>
      <c r="P423" s="1573"/>
    </row>
    <row r="424" spans="2:16">
      <c r="B424" s="1390"/>
      <c r="C424" s="798"/>
      <c r="D424" s="678"/>
      <c r="E424" s="680"/>
      <c r="F424" s="679"/>
      <c r="G424" s="677"/>
      <c r="H424" s="677"/>
      <c r="I424" s="677"/>
      <c r="J424" s="1605">
        <f t="shared" si="31"/>
        <v>0</v>
      </c>
      <c r="K424" s="675"/>
      <c r="L424" s="1605">
        <f t="shared" si="32"/>
        <v>0</v>
      </c>
      <c r="M424" s="673">
        <f t="shared" si="33"/>
        <v>0</v>
      </c>
      <c r="N424" s="1332">
        <v>0.2</v>
      </c>
      <c r="O424" s="1333" t="str">
        <f t="shared" si="34"/>
        <v/>
      </c>
      <c r="P424" s="1573"/>
    </row>
    <row r="425" spans="2:16">
      <c r="B425" s="1390"/>
      <c r="C425" s="798"/>
      <c r="D425" s="678"/>
      <c r="E425" s="680"/>
      <c r="F425" s="679"/>
      <c r="G425" s="677"/>
      <c r="H425" s="677"/>
      <c r="I425" s="677"/>
      <c r="J425" s="1605">
        <f t="shared" si="31"/>
        <v>0</v>
      </c>
      <c r="K425" s="675"/>
      <c r="L425" s="1605">
        <f t="shared" si="32"/>
        <v>0</v>
      </c>
      <c r="M425" s="673">
        <f t="shared" si="33"/>
        <v>0</v>
      </c>
      <c r="N425" s="1332">
        <v>0.2</v>
      </c>
      <c r="O425" s="1333" t="str">
        <f t="shared" si="34"/>
        <v/>
      </c>
      <c r="P425" s="1573"/>
    </row>
    <row r="426" spans="2:16">
      <c r="B426" s="1390"/>
      <c r="C426" s="798"/>
      <c r="D426" s="678"/>
      <c r="E426" s="680"/>
      <c r="F426" s="679"/>
      <c r="G426" s="677"/>
      <c r="H426" s="677"/>
      <c r="I426" s="677"/>
      <c r="J426" s="1605">
        <f t="shared" si="31"/>
        <v>0</v>
      </c>
      <c r="K426" s="675"/>
      <c r="L426" s="1605">
        <f t="shared" si="32"/>
        <v>0</v>
      </c>
      <c r="M426" s="673">
        <f t="shared" si="33"/>
        <v>0</v>
      </c>
      <c r="N426" s="1332">
        <v>0.2</v>
      </c>
      <c r="O426" s="1333" t="str">
        <f t="shared" si="34"/>
        <v/>
      </c>
      <c r="P426" s="1573"/>
    </row>
    <row r="427" spans="2:16">
      <c r="B427" s="1390"/>
      <c r="C427" s="798"/>
      <c r="D427" s="678"/>
      <c r="E427" s="680"/>
      <c r="F427" s="679"/>
      <c r="G427" s="677"/>
      <c r="H427" s="677"/>
      <c r="I427" s="677"/>
      <c r="J427" s="1605">
        <f t="shared" si="31"/>
        <v>0</v>
      </c>
      <c r="K427" s="675"/>
      <c r="L427" s="1605">
        <f t="shared" si="32"/>
        <v>0</v>
      </c>
      <c r="M427" s="673">
        <f t="shared" si="33"/>
        <v>0</v>
      </c>
      <c r="N427" s="1332">
        <v>0.2</v>
      </c>
      <c r="O427" s="1333" t="str">
        <f t="shared" si="34"/>
        <v/>
      </c>
      <c r="P427" s="1573"/>
    </row>
    <row r="428" spans="2:16">
      <c r="B428" s="1390"/>
      <c r="C428" s="798"/>
      <c r="D428" s="678"/>
      <c r="E428" s="680"/>
      <c r="F428" s="679"/>
      <c r="G428" s="677"/>
      <c r="H428" s="677"/>
      <c r="I428" s="677"/>
      <c r="J428" s="1605">
        <f t="shared" ref="J428:J491" si="35">H428+I428</f>
        <v>0</v>
      </c>
      <c r="K428" s="675"/>
      <c r="L428" s="1605">
        <f t="shared" ref="L428:L491" si="36">J428*K428</f>
        <v>0</v>
      </c>
      <c r="M428" s="673">
        <f t="shared" ref="M428:M491" si="37">L428/$D$9</f>
        <v>0</v>
      </c>
      <c r="N428" s="1332">
        <v>0.2</v>
      </c>
      <c r="O428" s="1333" t="str">
        <f t="shared" ref="O428:O491" si="38">IF((M428-N428)&gt;0,M428-N428,"")</f>
        <v/>
      </c>
      <c r="P428" s="1573"/>
    </row>
    <row r="429" spans="2:16">
      <c r="B429" s="1390"/>
      <c r="C429" s="798"/>
      <c r="D429" s="678"/>
      <c r="E429" s="680"/>
      <c r="F429" s="679"/>
      <c r="G429" s="677"/>
      <c r="H429" s="677"/>
      <c r="I429" s="677"/>
      <c r="J429" s="1605">
        <f t="shared" si="35"/>
        <v>0</v>
      </c>
      <c r="K429" s="675"/>
      <c r="L429" s="1605">
        <f t="shared" si="36"/>
        <v>0</v>
      </c>
      <c r="M429" s="673">
        <f t="shared" si="37"/>
        <v>0</v>
      </c>
      <c r="N429" s="1332">
        <v>0.2</v>
      </c>
      <c r="O429" s="1333" t="str">
        <f t="shared" si="38"/>
        <v/>
      </c>
      <c r="P429" s="1573"/>
    </row>
    <row r="430" spans="2:16">
      <c r="B430" s="1390"/>
      <c r="C430" s="798"/>
      <c r="D430" s="678"/>
      <c r="E430" s="680"/>
      <c r="F430" s="679"/>
      <c r="G430" s="677"/>
      <c r="H430" s="677"/>
      <c r="I430" s="677"/>
      <c r="J430" s="1605">
        <f t="shared" si="35"/>
        <v>0</v>
      </c>
      <c r="K430" s="675"/>
      <c r="L430" s="1605">
        <f t="shared" si="36"/>
        <v>0</v>
      </c>
      <c r="M430" s="673">
        <f t="shared" si="37"/>
        <v>0</v>
      </c>
      <c r="N430" s="1332">
        <v>0.2</v>
      </c>
      <c r="O430" s="1333" t="str">
        <f t="shared" si="38"/>
        <v/>
      </c>
      <c r="P430" s="1573"/>
    </row>
    <row r="431" spans="2:16">
      <c r="B431" s="1390"/>
      <c r="C431" s="798"/>
      <c r="D431" s="678"/>
      <c r="E431" s="680"/>
      <c r="F431" s="679"/>
      <c r="G431" s="677"/>
      <c r="H431" s="677"/>
      <c r="I431" s="677"/>
      <c r="J431" s="1605">
        <f t="shared" si="35"/>
        <v>0</v>
      </c>
      <c r="K431" s="675"/>
      <c r="L431" s="1605">
        <f t="shared" si="36"/>
        <v>0</v>
      </c>
      <c r="M431" s="673">
        <f t="shared" si="37"/>
        <v>0</v>
      </c>
      <c r="N431" s="1332">
        <v>0.2</v>
      </c>
      <c r="O431" s="1333" t="str">
        <f t="shared" si="38"/>
        <v/>
      </c>
      <c r="P431" s="1573"/>
    </row>
    <row r="432" spans="2:16">
      <c r="B432" s="1390"/>
      <c r="C432" s="798"/>
      <c r="D432" s="678"/>
      <c r="E432" s="680"/>
      <c r="F432" s="679"/>
      <c r="G432" s="677"/>
      <c r="H432" s="677"/>
      <c r="I432" s="677"/>
      <c r="J432" s="1605">
        <f t="shared" si="35"/>
        <v>0</v>
      </c>
      <c r="K432" s="675"/>
      <c r="L432" s="1605">
        <f t="shared" si="36"/>
        <v>0</v>
      </c>
      <c r="M432" s="673">
        <f t="shared" si="37"/>
        <v>0</v>
      </c>
      <c r="N432" s="1332">
        <v>0.2</v>
      </c>
      <c r="O432" s="1333" t="str">
        <f t="shared" si="38"/>
        <v/>
      </c>
      <c r="P432" s="1573"/>
    </row>
    <row r="433" spans="2:16">
      <c r="B433" s="1390"/>
      <c r="C433" s="798"/>
      <c r="D433" s="678"/>
      <c r="E433" s="680"/>
      <c r="F433" s="679"/>
      <c r="G433" s="677"/>
      <c r="H433" s="677"/>
      <c r="I433" s="677"/>
      <c r="J433" s="1605">
        <f t="shared" si="35"/>
        <v>0</v>
      </c>
      <c r="K433" s="675"/>
      <c r="L433" s="1605">
        <f t="shared" si="36"/>
        <v>0</v>
      </c>
      <c r="M433" s="673">
        <f t="shared" si="37"/>
        <v>0</v>
      </c>
      <c r="N433" s="1332">
        <v>0.2</v>
      </c>
      <c r="O433" s="1333" t="str">
        <f t="shared" si="38"/>
        <v/>
      </c>
      <c r="P433" s="1573"/>
    </row>
    <row r="434" spans="2:16">
      <c r="B434" s="1390"/>
      <c r="C434" s="798"/>
      <c r="D434" s="678"/>
      <c r="E434" s="680"/>
      <c r="F434" s="679"/>
      <c r="G434" s="677"/>
      <c r="H434" s="677"/>
      <c r="I434" s="677"/>
      <c r="J434" s="1605">
        <f t="shared" si="35"/>
        <v>0</v>
      </c>
      <c r="K434" s="675"/>
      <c r="L434" s="1605">
        <f t="shared" si="36"/>
        <v>0</v>
      </c>
      <c r="M434" s="673">
        <f t="shared" si="37"/>
        <v>0</v>
      </c>
      <c r="N434" s="1332">
        <v>0.2</v>
      </c>
      <c r="O434" s="1333" t="str">
        <f t="shared" si="38"/>
        <v/>
      </c>
      <c r="P434" s="1573"/>
    </row>
    <row r="435" spans="2:16">
      <c r="B435" s="1390"/>
      <c r="C435" s="798"/>
      <c r="D435" s="678"/>
      <c r="E435" s="680"/>
      <c r="F435" s="679"/>
      <c r="G435" s="677"/>
      <c r="H435" s="677"/>
      <c r="I435" s="677"/>
      <c r="J435" s="1605">
        <f t="shared" si="35"/>
        <v>0</v>
      </c>
      <c r="K435" s="675"/>
      <c r="L435" s="1605">
        <f t="shared" si="36"/>
        <v>0</v>
      </c>
      <c r="M435" s="673">
        <f t="shared" si="37"/>
        <v>0</v>
      </c>
      <c r="N435" s="1332">
        <v>0.2</v>
      </c>
      <c r="O435" s="1333" t="str">
        <f t="shared" si="38"/>
        <v/>
      </c>
      <c r="P435" s="1573"/>
    </row>
    <row r="436" spans="2:16">
      <c r="B436" s="1390"/>
      <c r="C436" s="798"/>
      <c r="D436" s="678"/>
      <c r="E436" s="680"/>
      <c r="F436" s="679"/>
      <c r="G436" s="677"/>
      <c r="H436" s="677"/>
      <c r="I436" s="677"/>
      <c r="J436" s="1605">
        <f t="shared" si="35"/>
        <v>0</v>
      </c>
      <c r="K436" s="675"/>
      <c r="L436" s="1605">
        <f t="shared" si="36"/>
        <v>0</v>
      </c>
      <c r="M436" s="673">
        <f t="shared" si="37"/>
        <v>0</v>
      </c>
      <c r="N436" s="1332">
        <v>0.2</v>
      </c>
      <c r="O436" s="1333" t="str">
        <f t="shared" si="38"/>
        <v/>
      </c>
      <c r="P436" s="1573"/>
    </row>
    <row r="437" spans="2:16">
      <c r="B437" s="1390"/>
      <c r="C437" s="798"/>
      <c r="D437" s="678"/>
      <c r="E437" s="680"/>
      <c r="F437" s="679"/>
      <c r="G437" s="677"/>
      <c r="H437" s="677"/>
      <c r="I437" s="677"/>
      <c r="J437" s="1605">
        <f t="shared" si="35"/>
        <v>0</v>
      </c>
      <c r="K437" s="675"/>
      <c r="L437" s="1605">
        <f t="shared" si="36"/>
        <v>0</v>
      </c>
      <c r="M437" s="673">
        <f t="shared" si="37"/>
        <v>0</v>
      </c>
      <c r="N437" s="1332">
        <v>0.2</v>
      </c>
      <c r="O437" s="1333" t="str">
        <f t="shared" si="38"/>
        <v/>
      </c>
      <c r="P437" s="1573"/>
    </row>
    <row r="438" spans="2:16">
      <c r="B438" s="1390"/>
      <c r="C438" s="798"/>
      <c r="D438" s="678"/>
      <c r="E438" s="680"/>
      <c r="F438" s="679"/>
      <c r="G438" s="677"/>
      <c r="H438" s="677"/>
      <c r="I438" s="677"/>
      <c r="J438" s="1605">
        <f t="shared" si="35"/>
        <v>0</v>
      </c>
      <c r="K438" s="675"/>
      <c r="L438" s="1605">
        <f t="shared" si="36"/>
        <v>0</v>
      </c>
      <c r="M438" s="673">
        <f t="shared" si="37"/>
        <v>0</v>
      </c>
      <c r="N438" s="1332">
        <v>0.2</v>
      </c>
      <c r="O438" s="1333" t="str">
        <f t="shared" si="38"/>
        <v/>
      </c>
      <c r="P438" s="1573"/>
    </row>
    <row r="439" spans="2:16">
      <c r="B439" s="1390"/>
      <c r="C439" s="798"/>
      <c r="D439" s="678"/>
      <c r="E439" s="680"/>
      <c r="F439" s="679"/>
      <c r="G439" s="677"/>
      <c r="H439" s="677"/>
      <c r="I439" s="677"/>
      <c r="J439" s="1605">
        <f t="shared" si="35"/>
        <v>0</v>
      </c>
      <c r="K439" s="675"/>
      <c r="L439" s="1605">
        <f t="shared" si="36"/>
        <v>0</v>
      </c>
      <c r="M439" s="673">
        <f t="shared" si="37"/>
        <v>0</v>
      </c>
      <c r="N439" s="1332">
        <v>0.2</v>
      </c>
      <c r="O439" s="1333" t="str">
        <f t="shared" si="38"/>
        <v/>
      </c>
      <c r="P439" s="1573"/>
    </row>
    <row r="440" spans="2:16">
      <c r="B440" s="1390"/>
      <c r="C440" s="798"/>
      <c r="D440" s="678"/>
      <c r="E440" s="680"/>
      <c r="F440" s="679"/>
      <c r="G440" s="677"/>
      <c r="H440" s="677"/>
      <c r="I440" s="677"/>
      <c r="J440" s="1605">
        <f t="shared" si="35"/>
        <v>0</v>
      </c>
      <c r="K440" s="675"/>
      <c r="L440" s="1605">
        <f t="shared" si="36"/>
        <v>0</v>
      </c>
      <c r="M440" s="673">
        <f t="shared" si="37"/>
        <v>0</v>
      </c>
      <c r="N440" s="1332">
        <v>0.2</v>
      </c>
      <c r="O440" s="1333" t="str">
        <f t="shared" si="38"/>
        <v/>
      </c>
      <c r="P440" s="1573"/>
    </row>
    <row r="441" spans="2:16">
      <c r="B441" s="1390"/>
      <c r="C441" s="798"/>
      <c r="D441" s="678"/>
      <c r="E441" s="680"/>
      <c r="F441" s="679"/>
      <c r="G441" s="677"/>
      <c r="H441" s="677"/>
      <c r="I441" s="677"/>
      <c r="J441" s="1605">
        <f t="shared" si="35"/>
        <v>0</v>
      </c>
      <c r="K441" s="675"/>
      <c r="L441" s="1605">
        <f t="shared" si="36"/>
        <v>0</v>
      </c>
      <c r="M441" s="673">
        <f t="shared" si="37"/>
        <v>0</v>
      </c>
      <c r="N441" s="1332">
        <v>0.2</v>
      </c>
      <c r="O441" s="1333" t="str">
        <f t="shared" si="38"/>
        <v/>
      </c>
      <c r="P441" s="1573"/>
    </row>
    <row r="442" spans="2:16">
      <c r="B442" s="1390"/>
      <c r="C442" s="798"/>
      <c r="D442" s="678"/>
      <c r="E442" s="680"/>
      <c r="F442" s="679"/>
      <c r="G442" s="677"/>
      <c r="H442" s="677"/>
      <c r="I442" s="677"/>
      <c r="J442" s="1605">
        <f t="shared" si="35"/>
        <v>0</v>
      </c>
      <c r="K442" s="675"/>
      <c r="L442" s="1605">
        <f t="shared" si="36"/>
        <v>0</v>
      </c>
      <c r="M442" s="673">
        <f t="shared" si="37"/>
        <v>0</v>
      </c>
      <c r="N442" s="1332">
        <v>0.2</v>
      </c>
      <c r="O442" s="1333" t="str">
        <f t="shared" si="38"/>
        <v/>
      </c>
      <c r="P442" s="1573"/>
    </row>
    <row r="443" spans="2:16">
      <c r="B443" s="1390"/>
      <c r="C443" s="798"/>
      <c r="D443" s="678"/>
      <c r="E443" s="680"/>
      <c r="F443" s="679"/>
      <c r="G443" s="677"/>
      <c r="H443" s="677"/>
      <c r="I443" s="677"/>
      <c r="J443" s="1605">
        <f t="shared" si="35"/>
        <v>0</v>
      </c>
      <c r="K443" s="675"/>
      <c r="L443" s="1605">
        <f t="shared" si="36"/>
        <v>0</v>
      </c>
      <c r="M443" s="673">
        <f t="shared" si="37"/>
        <v>0</v>
      </c>
      <c r="N443" s="1332">
        <v>0.2</v>
      </c>
      <c r="O443" s="1333" t="str">
        <f t="shared" si="38"/>
        <v/>
      </c>
      <c r="P443" s="1573"/>
    </row>
    <row r="444" spans="2:16">
      <c r="B444" s="1390"/>
      <c r="C444" s="798"/>
      <c r="D444" s="678"/>
      <c r="E444" s="680"/>
      <c r="F444" s="679"/>
      <c r="G444" s="677"/>
      <c r="H444" s="677"/>
      <c r="I444" s="677"/>
      <c r="J444" s="1605">
        <f t="shared" si="35"/>
        <v>0</v>
      </c>
      <c r="K444" s="675"/>
      <c r="L444" s="1605">
        <f t="shared" si="36"/>
        <v>0</v>
      </c>
      <c r="M444" s="673">
        <f t="shared" si="37"/>
        <v>0</v>
      </c>
      <c r="N444" s="1332">
        <v>0.2</v>
      </c>
      <c r="O444" s="1333" t="str">
        <f t="shared" si="38"/>
        <v/>
      </c>
      <c r="P444" s="1573"/>
    </row>
    <row r="445" spans="2:16">
      <c r="B445" s="1390"/>
      <c r="C445" s="798"/>
      <c r="D445" s="678"/>
      <c r="E445" s="680"/>
      <c r="F445" s="679"/>
      <c r="G445" s="677"/>
      <c r="H445" s="677"/>
      <c r="I445" s="677"/>
      <c r="J445" s="1605">
        <f t="shared" si="35"/>
        <v>0</v>
      </c>
      <c r="K445" s="675"/>
      <c r="L445" s="1605">
        <f t="shared" si="36"/>
        <v>0</v>
      </c>
      <c r="M445" s="673">
        <f t="shared" si="37"/>
        <v>0</v>
      </c>
      <c r="N445" s="1332">
        <v>0.2</v>
      </c>
      <c r="O445" s="1333" t="str">
        <f t="shared" si="38"/>
        <v/>
      </c>
      <c r="P445" s="1573"/>
    </row>
    <row r="446" spans="2:16">
      <c r="B446" s="1390"/>
      <c r="C446" s="798"/>
      <c r="D446" s="678"/>
      <c r="E446" s="680"/>
      <c r="F446" s="679"/>
      <c r="G446" s="677"/>
      <c r="H446" s="677"/>
      <c r="I446" s="677"/>
      <c r="J446" s="1605">
        <f t="shared" si="35"/>
        <v>0</v>
      </c>
      <c r="K446" s="675"/>
      <c r="L446" s="1605">
        <f t="shared" si="36"/>
        <v>0</v>
      </c>
      <c r="M446" s="673">
        <f t="shared" si="37"/>
        <v>0</v>
      </c>
      <c r="N446" s="1332">
        <v>0.2</v>
      </c>
      <c r="O446" s="1333" t="str">
        <f t="shared" si="38"/>
        <v/>
      </c>
      <c r="P446" s="1573"/>
    </row>
    <row r="447" spans="2:16">
      <c r="B447" s="1390"/>
      <c r="C447" s="798"/>
      <c r="D447" s="678"/>
      <c r="E447" s="680"/>
      <c r="F447" s="679"/>
      <c r="G447" s="677"/>
      <c r="H447" s="677"/>
      <c r="I447" s="677"/>
      <c r="J447" s="1605">
        <f t="shared" si="35"/>
        <v>0</v>
      </c>
      <c r="K447" s="675"/>
      <c r="L447" s="1605">
        <f t="shared" si="36"/>
        <v>0</v>
      </c>
      <c r="M447" s="673">
        <f t="shared" si="37"/>
        <v>0</v>
      </c>
      <c r="N447" s="1332">
        <v>0.2</v>
      </c>
      <c r="O447" s="1333" t="str">
        <f t="shared" si="38"/>
        <v/>
      </c>
      <c r="P447" s="1573"/>
    </row>
    <row r="448" spans="2:16">
      <c r="B448" s="1390"/>
      <c r="C448" s="798"/>
      <c r="D448" s="678"/>
      <c r="E448" s="680"/>
      <c r="F448" s="679"/>
      <c r="G448" s="677"/>
      <c r="H448" s="677"/>
      <c r="I448" s="677"/>
      <c r="J448" s="1605">
        <f t="shared" si="35"/>
        <v>0</v>
      </c>
      <c r="K448" s="675"/>
      <c r="L448" s="1605">
        <f t="shared" si="36"/>
        <v>0</v>
      </c>
      <c r="M448" s="673">
        <f t="shared" si="37"/>
        <v>0</v>
      </c>
      <c r="N448" s="1332">
        <v>0.2</v>
      </c>
      <c r="O448" s="1333" t="str">
        <f t="shared" si="38"/>
        <v/>
      </c>
      <c r="P448" s="1573"/>
    </row>
    <row r="449" spans="2:16">
      <c r="B449" s="1390"/>
      <c r="C449" s="798"/>
      <c r="D449" s="678"/>
      <c r="E449" s="680"/>
      <c r="F449" s="679"/>
      <c r="G449" s="677"/>
      <c r="H449" s="677"/>
      <c r="I449" s="677"/>
      <c r="J449" s="1605">
        <f t="shared" si="35"/>
        <v>0</v>
      </c>
      <c r="K449" s="675"/>
      <c r="L449" s="1605">
        <f t="shared" si="36"/>
        <v>0</v>
      </c>
      <c r="M449" s="673">
        <f t="shared" si="37"/>
        <v>0</v>
      </c>
      <c r="N449" s="1332">
        <v>0.2</v>
      </c>
      <c r="O449" s="1333" t="str">
        <f t="shared" si="38"/>
        <v/>
      </c>
      <c r="P449" s="1573"/>
    </row>
    <row r="450" spans="2:16">
      <c r="B450" s="1390"/>
      <c r="C450" s="798"/>
      <c r="D450" s="678"/>
      <c r="E450" s="680"/>
      <c r="F450" s="679"/>
      <c r="G450" s="677"/>
      <c r="H450" s="677"/>
      <c r="I450" s="677"/>
      <c r="J450" s="1605">
        <f t="shared" si="35"/>
        <v>0</v>
      </c>
      <c r="K450" s="675"/>
      <c r="L450" s="1605">
        <f t="shared" si="36"/>
        <v>0</v>
      </c>
      <c r="M450" s="673">
        <f t="shared" si="37"/>
        <v>0</v>
      </c>
      <c r="N450" s="1332">
        <v>0.2</v>
      </c>
      <c r="O450" s="1333" t="str">
        <f t="shared" si="38"/>
        <v/>
      </c>
      <c r="P450" s="1573"/>
    </row>
    <row r="451" spans="2:16">
      <c r="B451" s="1390"/>
      <c r="C451" s="798"/>
      <c r="D451" s="678"/>
      <c r="E451" s="680"/>
      <c r="F451" s="679"/>
      <c r="G451" s="677"/>
      <c r="H451" s="677"/>
      <c r="I451" s="677"/>
      <c r="J451" s="1605">
        <f t="shared" si="35"/>
        <v>0</v>
      </c>
      <c r="K451" s="675"/>
      <c r="L451" s="1605">
        <f t="shared" si="36"/>
        <v>0</v>
      </c>
      <c r="M451" s="673">
        <f t="shared" si="37"/>
        <v>0</v>
      </c>
      <c r="N451" s="1332">
        <v>0.2</v>
      </c>
      <c r="O451" s="1333" t="str">
        <f t="shared" si="38"/>
        <v/>
      </c>
      <c r="P451" s="1573"/>
    </row>
    <row r="452" spans="2:16">
      <c r="B452" s="1390"/>
      <c r="C452" s="798"/>
      <c r="D452" s="678"/>
      <c r="E452" s="680"/>
      <c r="F452" s="679"/>
      <c r="G452" s="677"/>
      <c r="H452" s="677"/>
      <c r="I452" s="677"/>
      <c r="J452" s="1605">
        <f t="shared" si="35"/>
        <v>0</v>
      </c>
      <c r="K452" s="675"/>
      <c r="L452" s="1605">
        <f t="shared" si="36"/>
        <v>0</v>
      </c>
      <c r="M452" s="673">
        <f t="shared" si="37"/>
        <v>0</v>
      </c>
      <c r="N452" s="1332">
        <v>0.2</v>
      </c>
      <c r="O452" s="1333" t="str">
        <f t="shared" si="38"/>
        <v/>
      </c>
      <c r="P452" s="1573"/>
    </row>
    <row r="453" spans="2:16">
      <c r="B453" s="1390"/>
      <c r="C453" s="798"/>
      <c r="D453" s="678"/>
      <c r="E453" s="680"/>
      <c r="F453" s="679"/>
      <c r="G453" s="677"/>
      <c r="H453" s="677"/>
      <c r="I453" s="677"/>
      <c r="J453" s="1605">
        <f t="shared" si="35"/>
        <v>0</v>
      </c>
      <c r="K453" s="675"/>
      <c r="L453" s="1605">
        <f t="shared" si="36"/>
        <v>0</v>
      </c>
      <c r="M453" s="673">
        <f t="shared" si="37"/>
        <v>0</v>
      </c>
      <c r="N453" s="1332">
        <v>0.2</v>
      </c>
      <c r="O453" s="1333" t="str">
        <f t="shared" si="38"/>
        <v/>
      </c>
      <c r="P453" s="1573"/>
    </row>
    <row r="454" spans="2:16">
      <c r="B454" s="1390"/>
      <c r="C454" s="798"/>
      <c r="D454" s="678"/>
      <c r="E454" s="680"/>
      <c r="F454" s="679"/>
      <c r="G454" s="677"/>
      <c r="H454" s="677"/>
      <c r="I454" s="677"/>
      <c r="J454" s="1605">
        <f t="shared" si="35"/>
        <v>0</v>
      </c>
      <c r="K454" s="675"/>
      <c r="L454" s="1605">
        <f t="shared" si="36"/>
        <v>0</v>
      </c>
      <c r="M454" s="673">
        <f t="shared" si="37"/>
        <v>0</v>
      </c>
      <c r="N454" s="1332">
        <v>0.2</v>
      </c>
      <c r="O454" s="1333" t="str">
        <f t="shared" si="38"/>
        <v/>
      </c>
      <c r="P454" s="1573"/>
    </row>
    <row r="455" spans="2:16">
      <c r="B455" s="1390"/>
      <c r="C455" s="798"/>
      <c r="D455" s="678"/>
      <c r="E455" s="680"/>
      <c r="F455" s="679"/>
      <c r="G455" s="677"/>
      <c r="H455" s="677"/>
      <c r="I455" s="677"/>
      <c r="J455" s="1605">
        <f t="shared" si="35"/>
        <v>0</v>
      </c>
      <c r="K455" s="675"/>
      <c r="L455" s="1605">
        <f t="shared" si="36"/>
        <v>0</v>
      </c>
      <c r="M455" s="673">
        <f t="shared" si="37"/>
        <v>0</v>
      </c>
      <c r="N455" s="1332">
        <v>0.2</v>
      </c>
      <c r="O455" s="1333" t="str">
        <f t="shared" si="38"/>
        <v/>
      </c>
      <c r="P455" s="1573"/>
    </row>
    <row r="456" spans="2:16">
      <c r="B456" s="1390"/>
      <c r="C456" s="798"/>
      <c r="D456" s="678"/>
      <c r="E456" s="680"/>
      <c r="F456" s="679"/>
      <c r="G456" s="677"/>
      <c r="H456" s="677"/>
      <c r="I456" s="677"/>
      <c r="J456" s="1605">
        <f t="shared" si="35"/>
        <v>0</v>
      </c>
      <c r="K456" s="675"/>
      <c r="L456" s="1605">
        <f t="shared" si="36"/>
        <v>0</v>
      </c>
      <c r="M456" s="673">
        <f t="shared" si="37"/>
        <v>0</v>
      </c>
      <c r="N456" s="1332">
        <v>0.2</v>
      </c>
      <c r="O456" s="1333" t="str">
        <f t="shared" si="38"/>
        <v/>
      </c>
      <c r="P456" s="1573"/>
    </row>
    <row r="457" spans="2:16">
      <c r="B457" s="1390"/>
      <c r="C457" s="798"/>
      <c r="D457" s="678"/>
      <c r="E457" s="680"/>
      <c r="F457" s="679"/>
      <c r="G457" s="677"/>
      <c r="H457" s="677"/>
      <c r="I457" s="677"/>
      <c r="J457" s="1605">
        <f t="shared" si="35"/>
        <v>0</v>
      </c>
      <c r="K457" s="675"/>
      <c r="L457" s="1605">
        <f t="shared" si="36"/>
        <v>0</v>
      </c>
      <c r="M457" s="673">
        <f t="shared" si="37"/>
        <v>0</v>
      </c>
      <c r="N457" s="1332">
        <v>0.2</v>
      </c>
      <c r="O457" s="1333" t="str">
        <f t="shared" si="38"/>
        <v/>
      </c>
      <c r="P457" s="1573"/>
    </row>
    <row r="458" spans="2:16">
      <c r="B458" s="1390"/>
      <c r="C458" s="798"/>
      <c r="D458" s="678"/>
      <c r="E458" s="680"/>
      <c r="F458" s="679"/>
      <c r="G458" s="677"/>
      <c r="H458" s="677"/>
      <c r="I458" s="677"/>
      <c r="J458" s="1605">
        <f t="shared" si="35"/>
        <v>0</v>
      </c>
      <c r="K458" s="675"/>
      <c r="L458" s="1605">
        <f t="shared" si="36"/>
        <v>0</v>
      </c>
      <c r="M458" s="673">
        <f t="shared" si="37"/>
        <v>0</v>
      </c>
      <c r="N458" s="1332">
        <v>0.2</v>
      </c>
      <c r="O458" s="1333" t="str">
        <f t="shared" si="38"/>
        <v/>
      </c>
      <c r="P458" s="1573"/>
    </row>
    <row r="459" spans="2:16">
      <c r="B459" s="1390"/>
      <c r="C459" s="798"/>
      <c r="D459" s="678"/>
      <c r="E459" s="680"/>
      <c r="F459" s="679"/>
      <c r="G459" s="677"/>
      <c r="H459" s="677"/>
      <c r="I459" s="677"/>
      <c r="J459" s="1605">
        <f t="shared" si="35"/>
        <v>0</v>
      </c>
      <c r="K459" s="675"/>
      <c r="L459" s="1605">
        <f t="shared" si="36"/>
        <v>0</v>
      </c>
      <c r="M459" s="673">
        <f t="shared" si="37"/>
        <v>0</v>
      </c>
      <c r="N459" s="1332">
        <v>0.2</v>
      </c>
      <c r="O459" s="1333" t="str">
        <f t="shared" si="38"/>
        <v/>
      </c>
      <c r="P459" s="1573"/>
    </row>
    <row r="460" spans="2:16">
      <c r="B460" s="1390"/>
      <c r="C460" s="798"/>
      <c r="D460" s="678"/>
      <c r="E460" s="680"/>
      <c r="F460" s="679"/>
      <c r="G460" s="677"/>
      <c r="H460" s="677"/>
      <c r="I460" s="677"/>
      <c r="J460" s="1605">
        <f t="shared" si="35"/>
        <v>0</v>
      </c>
      <c r="K460" s="675"/>
      <c r="L460" s="1605">
        <f t="shared" si="36"/>
        <v>0</v>
      </c>
      <c r="M460" s="673">
        <f t="shared" si="37"/>
        <v>0</v>
      </c>
      <c r="N460" s="1332">
        <v>0.2</v>
      </c>
      <c r="O460" s="1333" t="str">
        <f t="shared" si="38"/>
        <v/>
      </c>
      <c r="P460" s="1573"/>
    </row>
    <row r="461" spans="2:16">
      <c r="B461" s="1390"/>
      <c r="C461" s="798"/>
      <c r="D461" s="678"/>
      <c r="E461" s="680"/>
      <c r="F461" s="679"/>
      <c r="G461" s="677"/>
      <c r="H461" s="677"/>
      <c r="I461" s="677"/>
      <c r="J461" s="1605">
        <f t="shared" si="35"/>
        <v>0</v>
      </c>
      <c r="K461" s="675"/>
      <c r="L461" s="1605">
        <f t="shared" si="36"/>
        <v>0</v>
      </c>
      <c r="M461" s="673">
        <f t="shared" si="37"/>
        <v>0</v>
      </c>
      <c r="N461" s="1332">
        <v>0.2</v>
      </c>
      <c r="O461" s="1333" t="str">
        <f t="shared" si="38"/>
        <v/>
      </c>
      <c r="P461" s="1573"/>
    </row>
    <row r="462" spans="2:16">
      <c r="B462" s="1390"/>
      <c r="C462" s="798"/>
      <c r="D462" s="678"/>
      <c r="E462" s="680"/>
      <c r="F462" s="679"/>
      <c r="G462" s="677"/>
      <c r="H462" s="677"/>
      <c r="I462" s="677"/>
      <c r="J462" s="1605">
        <f t="shared" si="35"/>
        <v>0</v>
      </c>
      <c r="K462" s="675"/>
      <c r="L462" s="1605">
        <f t="shared" si="36"/>
        <v>0</v>
      </c>
      <c r="M462" s="673">
        <f t="shared" si="37"/>
        <v>0</v>
      </c>
      <c r="N462" s="1332">
        <v>0.2</v>
      </c>
      <c r="O462" s="1333" t="str">
        <f t="shared" si="38"/>
        <v/>
      </c>
      <c r="P462" s="1573"/>
    </row>
    <row r="463" spans="2:16">
      <c r="B463" s="1390"/>
      <c r="C463" s="798"/>
      <c r="D463" s="678"/>
      <c r="E463" s="680"/>
      <c r="F463" s="679"/>
      <c r="G463" s="677"/>
      <c r="H463" s="677"/>
      <c r="I463" s="677"/>
      <c r="J463" s="1605">
        <f t="shared" si="35"/>
        <v>0</v>
      </c>
      <c r="K463" s="675"/>
      <c r="L463" s="1605">
        <f t="shared" si="36"/>
        <v>0</v>
      </c>
      <c r="M463" s="673">
        <f t="shared" si="37"/>
        <v>0</v>
      </c>
      <c r="N463" s="1332">
        <v>0.2</v>
      </c>
      <c r="O463" s="1333" t="str">
        <f t="shared" si="38"/>
        <v/>
      </c>
      <c r="P463" s="1573"/>
    </row>
    <row r="464" spans="2:16">
      <c r="B464" s="1390"/>
      <c r="C464" s="798"/>
      <c r="D464" s="678"/>
      <c r="E464" s="680"/>
      <c r="F464" s="679"/>
      <c r="G464" s="677"/>
      <c r="H464" s="677"/>
      <c r="I464" s="677"/>
      <c r="J464" s="1605">
        <f t="shared" si="35"/>
        <v>0</v>
      </c>
      <c r="K464" s="675"/>
      <c r="L464" s="1605">
        <f t="shared" si="36"/>
        <v>0</v>
      </c>
      <c r="M464" s="673">
        <f t="shared" si="37"/>
        <v>0</v>
      </c>
      <c r="N464" s="1332">
        <v>0.2</v>
      </c>
      <c r="O464" s="1333" t="str">
        <f t="shared" si="38"/>
        <v/>
      </c>
      <c r="P464" s="1573"/>
    </row>
    <row r="465" spans="2:16">
      <c r="B465" s="1390"/>
      <c r="C465" s="798"/>
      <c r="D465" s="678"/>
      <c r="E465" s="680"/>
      <c r="F465" s="679"/>
      <c r="G465" s="677"/>
      <c r="H465" s="677"/>
      <c r="I465" s="677"/>
      <c r="J465" s="1605">
        <f t="shared" si="35"/>
        <v>0</v>
      </c>
      <c r="K465" s="675"/>
      <c r="L465" s="1605">
        <f t="shared" si="36"/>
        <v>0</v>
      </c>
      <c r="M465" s="673">
        <f t="shared" si="37"/>
        <v>0</v>
      </c>
      <c r="N465" s="1332">
        <v>0.2</v>
      </c>
      <c r="O465" s="1333" t="str">
        <f t="shared" si="38"/>
        <v/>
      </c>
      <c r="P465" s="1573"/>
    </row>
    <row r="466" spans="2:16">
      <c r="B466" s="1390"/>
      <c r="C466" s="798"/>
      <c r="D466" s="678"/>
      <c r="E466" s="680"/>
      <c r="F466" s="679"/>
      <c r="G466" s="677"/>
      <c r="H466" s="677"/>
      <c r="I466" s="677"/>
      <c r="J466" s="1605">
        <f t="shared" si="35"/>
        <v>0</v>
      </c>
      <c r="K466" s="675"/>
      <c r="L466" s="1605">
        <f t="shared" si="36"/>
        <v>0</v>
      </c>
      <c r="M466" s="673">
        <f t="shared" si="37"/>
        <v>0</v>
      </c>
      <c r="N466" s="1332">
        <v>0.2</v>
      </c>
      <c r="O466" s="1333" t="str">
        <f t="shared" si="38"/>
        <v/>
      </c>
      <c r="P466" s="1573"/>
    </row>
    <row r="467" spans="2:16">
      <c r="B467" s="1390"/>
      <c r="C467" s="798"/>
      <c r="D467" s="678"/>
      <c r="E467" s="680"/>
      <c r="F467" s="679"/>
      <c r="G467" s="677"/>
      <c r="H467" s="677"/>
      <c r="I467" s="677"/>
      <c r="J467" s="1605">
        <f t="shared" si="35"/>
        <v>0</v>
      </c>
      <c r="K467" s="675"/>
      <c r="L467" s="1605">
        <f t="shared" si="36"/>
        <v>0</v>
      </c>
      <c r="M467" s="673">
        <f t="shared" si="37"/>
        <v>0</v>
      </c>
      <c r="N467" s="1332">
        <v>0.2</v>
      </c>
      <c r="O467" s="1333" t="str">
        <f t="shared" si="38"/>
        <v/>
      </c>
      <c r="P467" s="1573"/>
    </row>
    <row r="468" spans="2:16">
      <c r="B468" s="1390"/>
      <c r="C468" s="798"/>
      <c r="D468" s="678"/>
      <c r="E468" s="680"/>
      <c r="F468" s="679"/>
      <c r="G468" s="677"/>
      <c r="H468" s="677"/>
      <c r="I468" s="677"/>
      <c r="J468" s="1605">
        <f t="shared" si="35"/>
        <v>0</v>
      </c>
      <c r="K468" s="675"/>
      <c r="L468" s="1605">
        <f t="shared" si="36"/>
        <v>0</v>
      </c>
      <c r="M468" s="673">
        <f t="shared" si="37"/>
        <v>0</v>
      </c>
      <c r="N468" s="1332">
        <v>0.2</v>
      </c>
      <c r="O468" s="1333" t="str">
        <f t="shared" si="38"/>
        <v/>
      </c>
      <c r="P468" s="1573"/>
    </row>
    <row r="469" spans="2:16">
      <c r="B469" s="1390"/>
      <c r="C469" s="798"/>
      <c r="D469" s="678"/>
      <c r="E469" s="680"/>
      <c r="F469" s="679"/>
      <c r="G469" s="677"/>
      <c r="H469" s="677"/>
      <c r="I469" s="677"/>
      <c r="J469" s="1605">
        <f t="shared" si="35"/>
        <v>0</v>
      </c>
      <c r="K469" s="675"/>
      <c r="L469" s="1605">
        <f t="shared" si="36"/>
        <v>0</v>
      </c>
      <c r="M469" s="673">
        <f t="shared" si="37"/>
        <v>0</v>
      </c>
      <c r="N469" s="1332">
        <v>0.2</v>
      </c>
      <c r="O469" s="1333" t="str">
        <f t="shared" si="38"/>
        <v/>
      </c>
      <c r="P469" s="1573"/>
    </row>
    <row r="470" spans="2:16">
      <c r="B470" s="1390"/>
      <c r="C470" s="798"/>
      <c r="D470" s="678"/>
      <c r="E470" s="680"/>
      <c r="F470" s="679"/>
      <c r="G470" s="677"/>
      <c r="H470" s="677"/>
      <c r="I470" s="677"/>
      <c r="J470" s="1605">
        <f t="shared" si="35"/>
        <v>0</v>
      </c>
      <c r="K470" s="675"/>
      <c r="L470" s="1605">
        <f t="shared" si="36"/>
        <v>0</v>
      </c>
      <c r="M470" s="673">
        <f t="shared" si="37"/>
        <v>0</v>
      </c>
      <c r="N470" s="1332">
        <v>0.2</v>
      </c>
      <c r="O470" s="1333" t="str">
        <f t="shared" si="38"/>
        <v/>
      </c>
      <c r="P470" s="1573"/>
    </row>
    <row r="471" spans="2:16">
      <c r="B471" s="1390"/>
      <c r="C471" s="798"/>
      <c r="D471" s="678"/>
      <c r="E471" s="680"/>
      <c r="F471" s="679"/>
      <c r="G471" s="677"/>
      <c r="H471" s="677"/>
      <c r="I471" s="677"/>
      <c r="J471" s="1605">
        <f t="shared" si="35"/>
        <v>0</v>
      </c>
      <c r="K471" s="675"/>
      <c r="L471" s="1605">
        <f t="shared" si="36"/>
        <v>0</v>
      </c>
      <c r="M471" s="673">
        <f t="shared" si="37"/>
        <v>0</v>
      </c>
      <c r="N471" s="1332">
        <v>0.2</v>
      </c>
      <c r="O471" s="1333" t="str">
        <f t="shared" si="38"/>
        <v/>
      </c>
      <c r="P471" s="1573"/>
    </row>
    <row r="472" spans="2:16">
      <c r="B472" s="1390"/>
      <c r="C472" s="798"/>
      <c r="D472" s="678"/>
      <c r="E472" s="680"/>
      <c r="F472" s="679"/>
      <c r="G472" s="677"/>
      <c r="H472" s="677"/>
      <c r="I472" s="677"/>
      <c r="J472" s="1605">
        <f t="shared" si="35"/>
        <v>0</v>
      </c>
      <c r="K472" s="675"/>
      <c r="L472" s="1605">
        <f t="shared" si="36"/>
        <v>0</v>
      </c>
      <c r="M472" s="673">
        <f t="shared" si="37"/>
        <v>0</v>
      </c>
      <c r="N472" s="1332">
        <v>0.2</v>
      </c>
      <c r="O472" s="1333" t="str">
        <f t="shared" si="38"/>
        <v/>
      </c>
      <c r="P472" s="1573"/>
    </row>
    <row r="473" spans="2:16">
      <c r="B473" s="1390"/>
      <c r="C473" s="798"/>
      <c r="D473" s="678"/>
      <c r="E473" s="680"/>
      <c r="F473" s="679"/>
      <c r="G473" s="677"/>
      <c r="H473" s="677"/>
      <c r="I473" s="677"/>
      <c r="J473" s="1605">
        <f t="shared" si="35"/>
        <v>0</v>
      </c>
      <c r="K473" s="675"/>
      <c r="L473" s="1605">
        <f t="shared" si="36"/>
        <v>0</v>
      </c>
      <c r="M473" s="673">
        <f t="shared" si="37"/>
        <v>0</v>
      </c>
      <c r="N473" s="1332">
        <v>0.2</v>
      </c>
      <c r="O473" s="1333" t="str">
        <f t="shared" si="38"/>
        <v/>
      </c>
      <c r="P473" s="1573"/>
    </row>
    <row r="474" spans="2:16">
      <c r="B474" s="1390"/>
      <c r="C474" s="798"/>
      <c r="D474" s="678"/>
      <c r="E474" s="680"/>
      <c r="F474" s="679"/>
      <c r="G474" s="677"/>
      <c r="H474" s="677"/>
      <c r="I474" s="677"/>
      <c r="J474" s="1605">
        <f t="shared" si="35"/>
        <v>0</v>
      </c>
      <c r="K474" s="675"/>
      <c r="L474" s="1605">
        <f t="shared" si="36"/>
        <v>0</v>
      </c>
      <c r="M474" s="673">
        <f t="shared" si="37"/>
        <v>0</v>
      </c>
      <c r="N474" s="1332">
        <v>0.2</v>
      </c>
      <c r="O474" s="1333" t="str">
        <f t="shared" si="38"/>
        <v/>
      </c>
      <c r="P474" s="1573"/>
    </row>
    <row r="475" spans="2:16">
      <c r="B475" s="1390"/>
      <c r="C475" s="798"/>
      <c r="D475" s="678"/>
      <c r="E475" s="680"/>
      <c r="F475" s="679"/>
      <c r="G475" s="677"/>
      <c r="H475" s="677"/>
      <c r="I475" s="677"/>
      <c r="J475" s="1605">
        <f t="shared" si="35"/>
        <v>0</v>
      </c>
      <c r="K475" s="675"/>
      <c r="L475" s="1605">
        <f t="shared" si="36"/>
        <v>0</v>
      </c>
      <c r="M475" s="673">
        <f t="shared" si="37"/>
        <v>0</v>
      </c>
      <c r="N475" s="1332">
        <v>0.2</v>
      </c>
      <c r="O475" s="1333" t="str">
        <f t="shared" si="38"/>
        <v/>
      </c>
      <c r="P475" s="1573"/>
    </row>
    <row r="476" spans="2:16">
      <c r="B476" s="1390"/>
      <c r="C476" s="798"/>
      <c r="D476" s="678"/>
      <c r="E476" s="680"/>
      <c r="F476" s="679"/>
      <c r="G476" s="677"/>
      <c r="H476" s="677"/>
      <c r="I476" s="677"/>
      <c r="J476" s="1605">
        <f t="shared" si="35"/>
        <v>0</v>
      </c>
      <c r="K476" s="675"/>
      <c r="L476" s="1605">
        <f t="shared" si="36"/>
        <v>0</v>
      </c>
      <c r="M476" s="673">
        <f t="shared" si="37"/>
        <v>0</v>
      </c>
      <c r="N476" s="1332">
        <v>0.2</v>
      </c>
      <c r="O476" s="1333" t="str">
        <f t="shared" si="38"/>
        <v/>
      </c>
      <c r="P476" s="1573"/>
    </row>
    <row r="477" spans="2:16">
      <c r="B477" s="1390"/>
      <c r="C477" s="798"/>
      <c r="D477" s="678"/>
      <c r="E477" s="680"/>
      <c r="F477" s="679"/>
      <c r="G477" s="677"/>
      <c r="H477" s="677"/>
      <c r="I477" s="677"/>
      <c r="J477" s="1605">
        <f t="shared" si="35"/>
        <v>0</v>
      </c>
      <c r="K477" s="675"/>
      <c r="L477" s="1605">
        <f t="shared" si="36"/>
        <v>0</v>
      </c>
      <c r="M477" s="673">
        <f t="shared" si="37"/>
        <v>0</v>
      </c>
      <c r="N477" s="1332">
        <v>0.2</v>
      </c>
      <c r="O477" s="1333" t="str">
        <f t="shared" si="38"/>
        <v/>
      </c>
      <c r="P477" s="1573"/>
    </row>
    <row r="478" spans="2:16">
      <c r="B478" s="1390"/>
      <c r="C478" s="798"/>
      <c r="D478" s="678"/>
      <c r="E478" s="680"/>
      <c r="F478" s="679"/>
      <c r="G478" s="677"/>
      <c r="H478" s="677"/>
      <c r="I478" s="677"/>
      <c r="J478" s="1605">
        <f t="shared" si="35"/>
        <v>0</v>
      </c>
      <c r="K478" s="675"/>
      <c r="L478" s="1605">
        <f t="shared" si="36"/>
        <v>0</v>
      </c>
      <c r="M478" s="673">
        <f t="shared" si="37"/>
        <v>0</v>
      </c>
      <c r="N478" s="1332">
        <v>0.2</v>
      </c>
      <c r="O478" s="1333" t="str">
        <f t="shared" si="38"/>
        <v/>
      </c>
      <c r="P478" s="1573"/>
    </row>
    <row r="479" spans="2:16">
      <c r="B479" s="1390"/>
      <c r="C479" s="798"/>
      <c r="D479" s="678"/>
      <c r="E479" s="680"/>
      <c r="F479" s="679"/>
      <c r="G479" s="677"/>
      <c r="H479" s="677"/>
      <c r="I479" s="677"/>
      <c r="J479" s="1605">
        <f t="shared" si="35"/>
        <v>0</v>
      </c>
      <c r="K479" s="675"/>
      <c r="L479" s="1605">
        <f t="shared" si="36"/>
        <v>0</v>
      </c>
      <c r="M479" s="673">
        <f t="shared" si="37"/>
        <v>0</v>
      </c>
      <c r="N479" s="1332">
        <v>0.2</v>
      </c>
      <c r="O479" s="1333" t="str">
        <f t="shared" si="38"/>
        <v/>
      </c>
      <c r="P479" s="1573"/>
    </row>
    <row r="480" spans="2:16">
      <c r="B480" s="1390"/>
      <c r="C480" s="798"/>
      <c r="D480" s="678"/>
      <c r="E480" s="680"/>
      <c r="F480" s="679"/>
      <c r="G480" s="677"/>
      <c r="H480" s="677"/>
      <c r="I480" s="677"/>
      <c r="J480" s="1605">
        <f t="shared" si="35"/>
        <v>0</v>
      </c>
      <c r="K480" s="675"/>
      <c r="L480" s="1605">
        <f t="shared" si="36"/>
        <v>0</v>
      </c>
      <c r="M480" s="673">
        <f t="shared" si="37"/>
        <v>0</v>
      </c>
      <c r="N480" s="1332">
        <v>0.2</v>
      </c>
      <c r="O480" s="1333" t="str">
        <f t="shared" si="38"/>
        <v/>
      </c>
      <c r="P480" s="1573"/>
    </row>
    <row r="481" spans="2:16">
      <c r="B481" s="1390"/>
      <c r="C481" s="798"/>
      <c r="D481" s="678"/>
      <c r="E481" s="680"/>
      <c r="F481" s="679"/>
      <c r="G481" s="677"/>
      <c r="H481" s="677"/>
      <c r="I481" s="677"/>
      <c r="J481" s="1605">
        <f t="shared" si="35"/>
        <v>0</v>
      </c>
      <c r="K481" s="675"/>
      <c r="L481" s="1605">
        <f t="shared" si="36"/>
        <v>0</v>
      </c>
      <c r="M481" s="673">
        <f t="shared" si="37"/>
        <v>0</v>
      </c>
      <c r="N481" s="1332">
        <v>0.2</v>
      </c>
      <c r="O481" s="1333" t="str">
        <f t="shared" si="38"/>
        <v/>
      </c>
      <c r="P481" s="1573"/>
    </row>
    <row r="482" spans="2:16">
      <c r="B482" s="1390"/>
      <c r="C482" s="798"/>
      <c r="D482" s="678"/>
      <c r="E482" s="680"/>
      <c r="F482" s="679"/>
      <c r="G482" s="677"/>
      <c r="H482" s="677"/>
      <c r="I482" s="677"/>
      <c r="J482" s="1605">
        <f t="shared" si="35"/>
        <v>0</v>
      </c>
      <c r="K482" s="675"/>
      <c r="L482" s="1605">
        <f t="shared" si="36"/>
        <v>0</v>
      </c>
      <c r="M482" s="673">
        <f t="shared" si="37"/>
        <v>0</v>
      </c>
      <c r="N482" s="1332">
        <v>0.2</v>
      </c>
      <c r="O482" s="1333" t="str">
        <f t="shared" si="38"/>
        <v/>
      </c>
      <c r="P482" s="1573"/>
    </row>
    <row r="483" spans="2:16">
      <c r="B483" s="1390"/>
      <c r="C483" s="798"/>
      <c r="D483" s="678"/>
      <c r="E483" s="680"/>
      <c r="F483" s="679"/>
      <c r="G483" s="677"/>
      <c r="H483" s="677"/>
      <c r="I483" s="677"/>
      <c r="J483" s="1605">
        <f t="shared" si="35"/>
        <v>0</v>
      </c>
      <c r="K483" s="675"/>
      <c r="L483" s="1605">
        <f t="shared" si="36"/>
        <v>0</v>
      </c>
      <c r="M483" s="673">
        <f t="shared" si="37"/>
        <v>0</v>
      </c>
      <c r="N483" s="1332">
        <v>0.2</v>
      </c>
      <c r="O483" s="1333" t="str">
        <f t="shared" si="38"/>
        <v/>
      </c>
      <c r="P483" s="1573"/>
    </row>
    <row r="484" spans="2:16">
      <c r="B484" s="1390"/>
      <c r="C484" s="798"/>
      <c r="D484" s="678"/>
      <c r="E484" s="680"/>
      <c r="F484" s="679"/>
      <c r="G484" s="677"/>
      <c r="H484" s="677"/>
      <c r="I484" s="677"/>
      <c r="J484" s="1605">
        <f t="shared" si="35"/>
        <v>0</v>
      </c>
      <c r="K484" s="675"/>
      <c r="L484" s="1605">
        <f t="shared" si="36"/>
        <v>0</v>
      </c>
      <c r="M484" s="673">
        <f t="shared" si="37"/>
        <v>0</v>
      </c>
      <c r="N484" s="1332">
        <v>0.2</v>
      </c>
      <c r="O484" s="1333" t="str">
        <f t="shared" si="38"/>
        <v/>
      </c>
      <c r="P484" s="1573"/>
    </row>
    <row r="485" spans="2:16">
      <c r="B485" s="1390"/>
      <c r="C485" s="798"/>
      <c r="D485" s="678"/>
      <c r="E485" s="680"/>
      <c r="F485" s="679"/>
      <c r="G485" s="677"/>
      <c r="H485" s="677"/>
      <c r="I485" s="677"/>
      <c r="J485" s="1605">
        <f t="shared" si="35"/>
        <v>0</v>
      </c>
      <c r="K485" s="675"/>
      <c r="L485" s="1605">
        <f t="shared" si="36"/>
        <v>0</v>
      </c>
      <c r="M485" s="673">
        <f t="shared" si="37"/>
        <v>0</v>
      </c>
      <c r="N485" s="1332">
        <v>0.2</v>
      </c>
      <c r="O485" s="1333" t="str">
        <f t="shared" si="38"/>
        <v/>
      </c>
      <c r="P485" s="1573"/>
    </row>
    <row r="486" spans="2:16">
      <c r="B486" s="1390"/>
      <c r="C486" s="798"/>
      <c r="D486" s="678"/>
      <c r="E486" s="680"/>
      <c r="F486" s="679"/>
      <c r="G486" s="677"/>
      <c r="H486" s="677"/>
      <c r="I486" s="677"/>
      <c r="J486" s="1605">
        <f t="shared" si="35"/>
        <v>0</v>
      </c>
      <c r="K486" s="675"/>
      <c r="L486" s="1605">
        <f t="shared" si="36"/>
        <v>0</v>
      </c>
      <c r="M486" s="673">
        <f t="shared" si="37"/>
        <v>0</v>
      </c>
      <c r="N486" s="1332">
        <v>0.2</v>
      </c>
      <c r="O486" s="1333" t="str">
        <f t="shared" si="38"/>
        <v/>
      </c>
      <c r="P486" s="1573"/>
    </row>
    <row r="487" spans="2:16">
      <c r="B487" s="1390"/>
      <c r="C487" s="798"/>
      <c r="D487" s="678"/>
      <c r="E487" s="680"/>
      <c r="F487" s="679"/>
      <c r="G487" s="677"/>
      <c r="H487" s="677"/>
      <c r="I487" s="677"/>
      <c r="J487" s="1605">
        <f t="shared" si="35"/>
        <v>0</v>
      </c>
      <c r="K487" s="675"/>
      <c r="L487" s="1605">
        <f t="shared" si="36"/>
        <v>0</v>
      </c>
      <c r="M487" s="673">
        <f t="shared" si="37"/>
        <v>0</v>
      </c>
      <c r="N487" s="1332">
        <v>0.2</v>
      </c>
      <c r="O487" s="1333" t="str">
        <f t="shared" si="38"/>
        <v/>
      </c>
      <c r="P487" s="1573"/>
    </row>
    <row r="488" spans="2:16">
      <c r="B488" s="1390"/>
      <c r="C488" s="798"/>
      <c r="D488" s="678"/>
      <c r="E488" s="680"/>
      <c r="F488" s="679"/>
      <c r="G488" s="677"/>
      <c r="H488" s="677"/>
      <c r="I488" s="677"/>
      <c r="J488" s="1605">
        <f t="shared" si="35"/>
        <v>0</v>
      </c>
      <c r="K488" s="675"/>
      <c r="L488" s="1605">
        <f t="shared" si="36"/>
        <v>0</v>
      </c>
      <c r="M488" s="673">
        <f t="shared" si="37"/>
        <v>0</v>
      </c>
      <c r="N488" s="1332">
        <v>0.2</v>
      </c>
      <c r="O488" s="1333" t="str">
        <f t="shared" si="38"/>
        <v/>
      </c>
      <c r="P488" s="1573"/>
    </row>
    <row r="489" spans="2:16">
      <c r="B489" s="1390"/>
      <c r="C489" s="798"/>
      <c r="D489" s="678"/>
      <c r="E489" s="680"/>
      <c r="F489" s="679"/>
      <c r="G489" s="677"/>
      <c r="H489" s="677"/>
      <c r="I489" s="677"/>
      <c r="J489" s="1605">
        <f t="shared" si="35"/>
        <v>0</v>
      </c>
      <c r="K489" s="675"/>
      <c r="L489" s="1605">
        <f t="shared" si="36"/>
        <v>0</v>
      </c>
      <c r="M489" s="673">
        <f t="shared" si="37"/>
        <v>0</v>
      </c>
      <c r="N489" s="1332">
        <v>0.2</v>
      </c>
      <c r="O489" s="1333" t="str">
        <f t="shared" si="38"/>
        <v/>
      </c>
      <c r="P489" s="1573"/>
    </row>
    <row r="490" spans="2:16">
      <c r="B490" s="1390"/>
      <c r="C490" s="798"/>
      <c r="D490" s="678"/>
      <c r="E490" s="680"/>
      <c r="F490" s="679"/>
      <c r="G490" s="677"/>
      <c r="H490" s="677"/>
      <c r="I490" s="677"/>
      <c r="J490" s="1605">
        <f t="shared" si="35"/>
        <v>0</v>
      </c>
      <c r="K490" s="675"/>
      <c r="L490" s="1605">
        <f t="shared" si="36"/>
        <v>0</v>
      </c>
      <c r="M490" s="673">
        <f t="shared" si="37"/>
        <v>0</v>
      </c>
      <c r="N490" s="1332">
        <v>0.2</v>
      </c>
      <c r="O490" s="1333" t="str">
        <f t="shared" si="38"/>
        <v/>
      </c>
      <c r="P490" s="1573"/>
    </row>
    <row r="491" spans="2:16">
      <c r="B491" s="1390"/>
      <c r="C491" s="798"/>
      <c r="D491" s="678"/>
      <c r="E491" s="680"/>
      <c r="F491" s="679"/>
      <c r="G491" s="677"/>
      <c r="H491" s="677"/>
      <c r="I491" s="677"/>
      <c r="J491" s="1605">
        <f t="shared" si="35"/>
        <v>0</v>
      </c>
      <c r="K491" s="675"/>
      <c r="L491" s="1605">
        <f t="shared" si="36"/>
        <v>0</v>
      </c>
      <c r="M491" s="673">
        <f t="shared" si="37"/>
        <v>0</v>
      </c>
      <c r="N491" s="1332">
        <v>0.2</v>
      </c>
      <c r="O491" s="1333" t="str">
        <f t="shared" si="38"/>
        <v/>
      </c>
      <c r="P491" s="1573"/>
    </row>
    <row r="492" spans="2:16">
      <c r="B492" s="1390"/>
      <c r="C492" s="798"/>
      <c r="D492" s="678"/>
      <c r="E492" s="680"/>
      <c r="F492" s="679"/>
      <c r="G492" s="677"/>
      <c r="H492" s="677"/>
      <c r="I492" s="677"/>
      <c r="J492" s="1605">
        <f t="shared" ref="J492:J555" si="39">H492+I492</f>
        <v>0</v>
      </c>
      <c r="K492" s="675"/>
      <c r="L492" s="1605">
        <f t="shared" ref="L492:L555" si="40">J492*K492</f>
        <v>0</v>
      </c>
      <c r="M492" s="673">
        <f t="shared" ref="M492:M555" si="41">L492/$D$9</f>
        <v>0</v>
      </c>
      <c r="N492" s="1332">
        <v>0.2</v>
      </c>
      <c r="O492" s="1333" t="str">
        <f t="shared" ref="O492:O555" si="42">IF((M492-N492)&gt;0,M492-N492,"")</f>
        <v/>
      </c>
      <c r="P492" s="1573"/>
    </row>
    <row r="493" spans="2:16">
      <c r="B493" s="1390"/>
      <c r="C493" s="798"/>
      <c r="D493" s="678"/>
      <c r="E493" s="680"/>
      <c r="F493" s="679"/>
      <c r="G493" s="677"/>
      <c r="H493" s="677"/>
      <c r="I493" s="677"/>
      <c r="J493" s="1605">
        <f t="shared" si="39"/>
        <v>0</v>
      </c>
      <c r="K493" s="675"/>
      <c r="L493" s="1605">
        <f t="shared" si="40"/>
        <v>0</v>
      </c>
      <c r="M493" s="673">
        <f t="shared" si="41"/>
        <v>0</v>
      </c>
      <c r="N493" s="1332">
        <v>0.2</v>
      </c>
      <c r="O493" s="1333" t="str">
        <f t="shared" si="42"/>
        <v/>
      </c>
      <c r="P493" s="1573"/>
    </row>
    <row r="494" spans="2:16">
      <c r="B494" s="1390"/>
      <c r="C494" s="798"/>
      <c r="D494" s="678"/>
      <c r="E494" s="680"/>
      <c r="F494" s="679"/>
      <c r="G494" s="677"/>
      <c r="H494" s="677"/>
      <c r="I494" s="677"/>
      <c r="J494" s="1605">
        <f t="shared" si="39"/>
        <v>0</v>
      </c>
      <c r="K494" s="675"/>
      <c r="L494" s="1605">
        <f t="shared" si="40"/>
        <v>0</v>
      </c>
      <c r="M494" s="673">
        <f t="shared" si="41"/>
        <v>0</v>
      </c>
      <c r="N494" s="1332">
        <v>0.2</v>
      </c>
      <c r="O494" s="1333" t="str">
        <f t="shared" si="42"/>
        <v/>
      </c>
      <c r="P494" s="1573"/>
    </row>
    <row r="495" spans="2:16">
      <c r="B495" s="1390"/>
      <c r="C495" s="798"/>
      <c r="D495" s="678"/>
      <c r="E495" s="680"/>
      <c r="F495" s="679"/>
      <c r="G495" s="677"/>
      <c r="H495" s="677"/>
      <c r="I495" s="677"/>
      <c r="J495" s="1605">
        <f t="shared" si="39"/>
        <v>0</v>
      </c>
      <c r="K495" s="675"/>
      <c r="L495" s="1605">
        <f t="shared" si="40"/>
        <v>0</v>
      </c>
      <c r="M495" s="673">
        <f t="shared" si="41"/>
        <v>0</v>
      </c>
      <c r="N495" s="1332">
        <v>0.2</v>
      </c>
      <c r="O495" s="1333" t="str">
        <f t="shared" si="42"/>
        <v/>
      </c>
      <c r="P495" s="1573"/>
    </row>
    <row r="496" spans="2:16">
      <c r="B496" s="1390"/>
      <c r="C496" s="798"/>
      <c r="D496" s="678"/>
      <c r="E496" s="680"/>
      <c r="F496" s="679"/>
      <c r="G496" s="677"/>
      <c r="H496" s="677"/>
      <c r="I496" s="677"/>
      <c r="J496" s="1605">
        <f t="shared" si="39"/>
        <v>0</v>
      </c>
      <c r="K496" s="675"/>
      <c r="L496" s="1605">
        <f t="shared" si="40"/>
        <v>0</v>
      </c>
      <c r="M496" s="673">
        <f t="shared" si="41"/>
        <v>0</v>
      </c>
      <c r="N496" s="1332">
        <v>0.2</v>
      </c>
      <c r="O496" s="1333" t="str">
        <f t="shared" si="42"/>
        <v/>
      </c>
      <c r="P496" s="1573"/>
    </row>
    <row r="497" spans="2:16">
      <c r="B497" s="1390"/>
      <c r="C497" s="798"/>
      <c r="D497" s="678"/>
      <c r="E497" s="680"/>
      <c r="F497" s="679"/>
      <c r="G497" s="677"/>
      <c r="H497" s="677"/>
      <c r="I497" s="677"/>
      <c r="J497" s="1605">
        <f t="shared" si="39"/>
        <v>0</v>
      </c>
      <c r="K497" s="675"/>
      <c r="L497" s="1605">
        <f t="shared" si="40"/>
        <v>0</v>
      </c>
      <c r="M497" s="673">
        <f t="shared" si="41"/>
        <v>0</v>
      </c>
      <c r="N497" s="1332">
        <v>0.2</v>
      </c>
      <c r="O497" s="1333" t="str">
        <f t="shared" si="42"/>
        <v/>
      </c>
      <c r="P497" s="1573"/>
    </row>
    <row r="498" spans="2:16">
      <c r="B498" s="1390"/>
      <c r="C498" s="798"/>
      <c r="D498" s="678"/>
      <c r="E498" s="680"/>
      <c r="F498" s="679"/>
      <c r="G498" s="677"/>
      <c r="H498" s="677"/>
      <c r="I498" s="677"/>
      <c r="J498" s="1605">
        <f t="shared" si="39"/>
        <v>0</v>
      </c>
      <c r="K498" s="675"/>
      <c r="L498" s="1605">
        <f t="shared" si="40"/>
        <v>0</v>
      </c>
      <c r="M498" s="673">
        <f t="shared" si="41"/>
        <v>0</v>
      </c>
      <c r="N498" s="1332">
        <v>0.2</v>
      </c>
      <c r="O498" s="1333" t="str">
        <f t="shared" si="42"/>
        <v/>
      </c>
      <c r="P498" s="1573"/>
    </row>
    <row r="499" spans="2:16">
      <c r="B499" s="1390"/>
      <c r="C499" s="798"/>
      <c r="D499" s="678"/>
      <c r="E499" s="680"/>
      <c r="F499" s="679"/>
      <c r="G499" s="677"/>
      <c r="H499" s="677"/>
      <c r="I499" s="677"/>
      <c r="J499" s="1605">
        <f t="shared" si="39"/>
        <v>0</v>
      </c>
      <c r="K499" s="675"/>
      <c r="L499" s="1605">
        <f t="shared" si="40"/>
        <v>0</v>
      </c>
      <c r="M499" s="673">
        <f t="shared" si="41"/>
        <v>0</v>
      </c>
      <c r="N499" s="1332">
        <v>0.2</v>
      </c>
      <c r="O499" s="1333" t="str">
        <f t="shared" si="42"/>
        <v/>
      </c>
      <c r="P499" s="1573"/>
    </row>
    <row r="500" spans="2:16">
      <c r="B500" s="1390"/>
      <c r="C500" s="798"/>
      <c r="D500" s="678"/>
      <c r="E500" s="680"/>
      <c r="F500" s="679"/>
      <c r="G500" s="677"/>
      <c r="H500" s="677"/>
      <c r="I500" s="677"/>
      <c r="J500" s="1605">
        <f t="shared" si="39"/>
        <v>0</v>
      </c>
      <c r="K500" s="675"/>
      <c r="L500" s="1605">
        <f t="shared" si="40"/>
        <v>0</v>
      </c>
      <c r="M500" s="673">
        <f t="shared" si="41"/>
        <v>0</v>
      </c>
      <c r="N500" s="1332">
        <v>0.2</v>
      </c>
      <c r="O500" s="1333" t="str">
        <f t="shared" si="42"/>
        <v/>
      </c>
      <c r="P500" s="1573"/>
    </row>
    <row r="501" spans="2:16">
      <c r="B501" s="1390"/>
      <c r="C501" s="798"/>
      <c r="D501" s="678"/>
      <c r="E501" s="680"/>
      <c r="F501" s="679"/>
      <c r="G501" s="677"/>
      <c r="H501" s="677"/>
      <c r="I501" s="677"/>
      <c r="J501" s="1605">
        <f t="shared" si="39"/>
        <v>0</v>
      </c>
      <c r="K501" s="675"/>
      <c r="L501" s="1605">
        <f t="shared" si="40"/>
        <v>0</v>
      </c>
      <c r="M501" s="673">
        <f t="shared" si="41"/>
        <v>0</v>
      </c>
      <c r="N501" s="1332">
        <v>0.2</v>
      </c>
      <c r="O501" s="1333" t="str">
        <f t="shared" si="42"/>
        <v/>
      </c>
      <c r="P501" s="1573"/>
    </row>
    <row r="502" spans="2:16">
      <c r="B502" s="1390"/>
      <c r="C502" s="798"/>
      <c r="D502" s="678"/>
      <c r="E502" s="680"/>
      <c r="F502" s="679"/>
      <c r="G502" s="677"/>
      <c r="H502" s="677"/>
      <c r="I502" s="677"/>
      <c r="J502" s="1605">
        <f t="shared" si="39"/>
        <v>0</v>
      </c>
      <c r="K502" s="675"/>
      <c r="L502" s="1605">
        <f t="shared" si="40"/>
        <v>0</v>
      </c>
      <c r="M502" s="673">
        <f t="shared" si="41"/>
        <v>0</v>
      </c>
      <c r="N502" s="1332">
        <v>0.2</v>
      </c>
      <c r="O502" s="1333" t="str">
        <f t="shared" si="42"/>
        <v/>
      </c>
      <c r="P502" s="1573"/>
    </row>
    <row r="503" spans="2:16">
      <c r="B503" s="1390"/>
      <c r="C503" s="798"/>
      <c r="D503" s="678"/>
      <c r="E503" s="680"/>
      <c r="F503" s="679"/>
      <c r="G503" s="677"/>
      <c r="H503" s="677"/>
      <c r="I503" s="677"/>
      <c r="J503" s="1605">
        <f t="shared" si="39"/>
        <v>0</v>
      </c>
      <c r="K503" s="675"/>
      <c r="L503" s="1605">
        <f t="shared" si="40"/>
        <v>0</v>
      </c>
      <c r="M503" s="673">
        <f t="shared" si="41"/>
        <v>0</v>
      </c>
      <c r="N503" s="1332">
        <v>0.2</v>
      </c>
      <c r="O503" s="1333" t="str">
        <f t="shared" si="42"/>
        <v/>
      </c>
      <c r="P503" s="1573"/>
    </row>
    <row r="504" spans="2:16">
      <c r="B504" s="1390"/>
      <c r="C504" s="798"/>
      <c r="D504" s="678"/>
      <c r="E504" s="680"/>
      <c r="F504" s="679"/>
      <c r="G504" s="677"/>
      <c r="H504" s="677"/>
      <c r="I504" s="677"/>
      <c r="J504" s="1605">
        <f t="shared" si="39"/>
        <v>0</v>
      </c>
      <c r="K504" s="675"/>
      <c r="L504" s="1605">
        <f t="shared" si="40"/>
        <v>0</v>
      </c>
      <c r="M504" s="673">
        <f t="shared" si="41"/>
        <v>0</v>
      </c>
      <c r="N504" s="1332">
        <v>0.2</v>
      </c>
      <c r="O504" s="1333" t="str">
        <f t="shared" si="42"/>
        <v/>
      </c>
      <c r="P504" s="1573"/>
    </row>
    <row r="505" spans="2:16">
      <c r="B505" s="1390"/>
      <c r="C505" s="798"/>
      <c r="D505" s="678"/>
      <c r="E505" s="680"/>
      <c r="F505" s="679"/>
      <c r="G505" s="677"/>
      <c r="H505" s="677"/>
      <c r="I505" s="677"/>
      <c r="J505" s="1605">
        <f t="shared" si="39"/>
        <v>0</v>
      </c>
      <c r="K505" s="675"/>
      <c r="L505" s="1605">
        <f t="shared" si="40"/>
        <v>0</v>
      </c>
      <c r="M505" s="673">
        <f t="shared" si="41"/>
        <v>0</v>
      </c>
      <c r="N505" s="1332">
        <v>0.2</v>
      </c>
      <c r="O505" s="1333" t="str">
        <f t="shared" si="42"/>
        <v/>
      </c>
      <c r="P505" s="1573"/>
    </row>
    <row r="506" spans="2:16">
      <c r="B506" s="1390"/>
      <c r="C506" s="798"/>
      <c r="D506" s="678"/>
      <c r="E506" s="680"/>
      <c r="F506" s="679"/>
      <c r="G506" s="677"/>
      <c r="H506" s="677"/>
      <c r="I506" s="677"/>
      <c r="J506" s="1605">
        <f t="shared" si="39"/>
        <v>0</v>
      </c>
      <c r="K506" s="675"/>
      <c r="L506" s="1605">
        <f t="shared" si="40"/>
        <v>0</v>
      </c>
      <c r="M506" s="673">
        <f t="shared" si="41"/>
        <v>0</v>
      </c>
      <c r="N506" s="1332">
        <v>0.2</v>
      </c>
      <c r="O506" s="1333" t="str">
        <f t="shared" si="42"/>
        <v/>
      </c>
      <c r="P506" s="1573"/>
    </row>
    <row r="507" spans="2:16">
      <c r="B507" s="1390"/>
      <c r="C507" s="798"/>
      <c r="D507" s="678"/>
      <c r="E507" s="680"/>
      <c r="F507" s="679"/>
      <c r="G507" s="677"/>
      <c r="H507" s="677"/>
      <c r="I507" s="677"/>
      <c r="J507" s="1605">
        <f t="shared" si="39"/>
        <v>0</v>
      </c>
      <c r="K507" s="675"/>
      <c r="L507" s="1605">
        <f t="shared" si="40"/>
        <v>0</v>
      </c>
      <c r="M507" s="673">
        <f t="shared" si="41"/>
        <v>0</v>
      </c>
      <c r="N507" s="1332">
        <v>0.2</v>
      </c>
      <c r="O507" s="1333" t="str">
        <f t="shared" si="42"/>
        <v/>
      </c>
      <c r="P507" s="1573"/>
    </row>
    <row r="508" spans="2:16">
      <c r="B508" s="1390"/>
      <c r="C508" s="798"/>
      <c r="D508" s="678"/>
      <c r="E508" s="680"/>
      <c r="F508" s="679"/>
      <c r="G508" s="677"/>
      <c r="H508" s="677"/>
      <c r="I508" s="677"/>
      <c r="J508" s="1605">
        <f t="shared" si="39"/>
        <v>0</v>
      </c>
      <c r="K508" s="675"/>
      <c r="L508" s="1605">
        <f t="shared" si="40"/>
        <v>0</v>
      </c>
      <c r="M508" s="673">
        <f t="shared" si="41"/>
        <v>0</v>
      </c>
      <c r="N508" s="1332">
        <v>0.2</v>
      </c>
      <c r="O508" s="1333" t="str">
        <f t="shared" si="42"/>
        <v/>
      </c>
      <c r="P508" s="1573"/>
    </row>
    <row r="509" spans="2:16">
      <c r="B509" s="1390"/>
      <c r="C509" s="798"/>
      <c r="D509" s="678"/>
      <c r="E509" s="680"/>
      <c r="F509" s="679"/>
      <c r="G509" s="677"/>
      <c r="H509" s="677"/>
      <c r="I509" s="677"/>
      <c r="J509" s="1605">
        <f t="shared" si="39"/>
        <v>0</v>
      </c>
      <c r="K509" s="675"/>
      <c r="L509" s="1605">
        <f t="shared" si="40"/>
        <v>0</v>
      </c>
      <c r="M509" s="673">
        <f t="shared" si="41"/>
        <v>0</v>
      </c>
      <c r="N509" s="1332">
        <v>0.2</v>
      </c>
      <c r="O509" s="1333" t="str">
        <f t="shared" si="42"/>
        <v/>
      </c>
      <c r="P509" s="1573"/>
    </row>
    <row r="510" spans="2:16">
      <c r="B510" s="1390"/>
      <c r="C510" s="798"/>
      <c r="D510" s="678"/>
      <c r="E510" s="680"/>
      <c r="F510" s="679"/>
      <c r="G510" s="677"/>
      <c r="H510" s="677"/>
      <c r="I510" s="677"/>
      <c r="J510" s="1605">
        <f t="shared" si="39"/>
        <v>0</v>
      </c>
      <c r="K510" s="675"/>
      <c r="L510" s="1605">
        <f t="shared" si="40"/>
        <v>0</v>
      </c>
      <c r="M510" s="673">
        <f t="shared" si="41"/>
        <v>0</v>
      </c>
      <c r="N510" s="1332">
        <v>0.2</v>
      </c>
      <c r="O510" s="1333" t="str">
        <f t="shared" si="42"/>
        <v/>
      </c>
      <c r="P510" s="1573"/>
    </row>
    <row r="511" spans="2:16">
      <c r="B511" s="1390"/>
      <c r="C511" s="798"/>
      <c r="D511" s="678"/>
      <c r="E511" s="680"/>
      <c r="F511" s="679"/>
      <c r="G511" s="677"/>
      <c r="H511" s="677"/>
      <c r="I511" s="677"/>
      <c r="J511" s="1605">
        <f t="shared" si="39"/>
        <v>0</v>
      </c>
      <c r="K511" s="675"/>
      <c r="L511" s="1605">
        <f t="shared" si="40"/>
        <v>0</v>
      </c>
      <c r="M511" s="673">
        <f t="shared" si="41"/>
        <v>0</v>
      </c>
      <c r="N511" s="1332">
        <v>0.2</v>
      </c>
      <c r="O511" s="1333" t="str">
        <f t="shared" si="42"/>
        <v/>
      </c>
      <c r="P511" s="1573"/>
    </row>
    <row r="512" spans="2:16">
      <c r="B512" s="1390"/>
      <c r="C512" s="798"/>
      <c r="D512" s="678"/>
      <c r="E512" s="680"/>
      <c r="F512" s="679"/>
      <c r="G512" s="677"/>
      <c r="H512" s="677"/>
      <c r="I512" s="677"/>
      <c r="J512" s="1605">
        <f t="shared" si="39"/>
        <v>0</v>
      </c>
      <c r="K512" s="675"/>
      <c r="L512" s="1605">
        <f t="shared" si="40"/>
        <v>0</v>
      </c>
      <c r="M512" s="673">
        <f t="shared" si="41"/>
        <v>0</v>
      </c>
      <c r="N512" s="1332">
        <v>0.2</v>
      </c>
      <c r="O512" s="1333" t="str">
        <f t="shared" si="42"/>
        <v/>
      </c>
      <c r="P512" s="1573"/>
    </row>
    <row r="513" spans="2:16">
      <c r="B513" s="1390"/>
      <c r="C513" s="798"/>
      <c r="D513" s="678"/>
      <c r="E513" s="680"/>
      <c r="F513" s="679"/>
      <c r="G513" s="677"/>
      <c r="H513" s="677"/>
      <c r="I513" s="677"/>
      <c r="J513" s="1605">
        <f t="shared" si="39"/>
        <v>0</v>
      </c>
      <c r="K513" s="675"/>
      <c r="L513" s="1605">
        <f t="shared" si="40"/>
        <v>0</v>
      </c>
      <c r="M513" s="673">
        <f t="shared" si="41"/>
        <v>0</v>
      </c>
      <c r="N513" s="1332">
        <v>0.2</v>
      </c>
      <c r="O513" s="1333" t="str">
        <f t="shared" si="42"/>
        <v/>
      </c>
      <c r="P513" s="1573"/>
    </row>
    <row r="514" spans="2:16">
      <c r="B514" s="1390"/>
      <c r="C514" s="798"/>
      <c r="D514" s="678"/>
      <c r="E514" s="680"/>
      <c r="F514" s="679"/>
      <c r="G514" s="677"/>
      <c r="H514" s="677"/>
      <c r="I514" s="677"/>
      <c r="J514" s="1605">
        <f t="shared" si="39"/>
        <v>0</v>
      </c>
      <c r="K514" s="675"/>
      <c r="L514" s="1605">
        <f t="shared" si="40"/>
        <v>0</v>
      </c>
      <c r="M514" s="673">
        <f t="shared" si="41"/>
        <v>0</v>
      </c>
      <c r="N514" s="1332">
        <v>0.2</v>
      </c>
      <c r="O514" s="1333" t="str">
        <f t="shared" si="42"/>
        <v/>
      </c>
      <c r="P514" s="1573"/>
    </row>
    <row r="515" spans="2:16">
      <c r="B515" s="1390"/>
      <c r="C515" s="798"/>
      <c r="D515" s="678"/>
      <c r="E515" s="680"/>
      <c r="F515" s="679"/>
      <c r="G515" s="677"/>
      <c r="H515" s="677"/>
      <c r="I515" s="677"/>
      <c r="J515" s="1605">
        <f t="shared" si="39"/>
        <v>0</v>
      </c>
      <c r="K515" s="675"/>
      <c r="L515" s="1605">
        <f t="shared" si="40"/>
        <v>0</v>
      </c>
      <c r="M515" s="673">
        <f t="shared" si="41"/>
        <v>0</v>
      </c>
      <c r="N515" s="1332">
        <v>0.2</v>
      </c>
      <c r="O515" s="1333" t="str">
        <f t="shared" si="42"/>
        <v/>
      </c>
      <c r="P515" s="1573"/>
    </row>
    <row r="516" spans="2:16">
      <c r="B516" s="1390"/>
      <c r="C516" s="798"/>
      <c r="D516" s="678"/>
      <c r="E516" s="680"/>
      <c r="F516" s="679"/>
      <c r="G516" s="677"/>
      <c r="H516" s="677"/>
      <c r="I516" s="677"/>
      <c r="J516" s="1605">
        <f t="shared" si="39"/>
        <v>0</v>
      </c>
      <c r="K516" s="675"/>
      <c r="L516" s="1605">
        <f t="shared" si="40"/>
        <v>0</v>
      </c>
      <c r="M516" s="673">
        <f t="shared" si="41"/>
        <v>0</v>
      </c>
      <c r="N516" s="1332">
        <v>0.2</v>
      </c>
      <c r="O516" s="1333" t="str">
        <f t="shared" si="42"/>
        <v/>
      </c>
      <c r="P516" s="1573"/>
    </row>
    <row r="517" spans="2:16">
      <c r="B517" s="1390"/>
      <c r="C517" s="798"/>
      <c r="D517" s="678"/>
      <c r="E517" s="680"/>
      <c r="F517" s="679"/>
      <c r="G517" s="677"/>
      <c r="H517" s="677"/>
      <c r="I517" s="677"/>
      <c r="J517" s="1605">
        <f t="shared" si="39"/>
        <v>0</v>
      </c>
      <c r="K517" s="675"/>
      <c r="L517" s="1605">
        <f t="shared" si="40"/>
        <v>0</v>
      </c>
      <c r="M517" s="673">
        <f t="shared" si="41"/>
        <v>0</v>
      </c>
      <c r="N517" s="1332">
        <v>0.2</v>
      </c>
      <c r="O517" s="1333" t="str">
        <f t="shared" si="42"/>
        <v/>
      </c>
      <c r="P517" s="1573"/>
    </row>
    <row r="518" spans="2:16">
      <c r="B518" s="1390"/>
      <c r="C518" s="798"/>
      <c r="D518" s="678"/>
      <c r="E518" s="680"/>
      <c r="F518" s="679"/>
      <c r="G518" s="677"/>
      <c r="H518" s="677"/>
      <c r="I518" s="677"/>
      <c r="J518" s="1605">
        <f t="shared" si="39"/>
        <v>0</v>
      </c>
      <c r="K518" s="675"/>
      <c r="L518" s="1605">
        <f t="shared" si="40"/>
        <v>0</v>
      </c>
      <c r="M518" s="673">
        <f t="shared" si="41"/>
        <v>0</v>
      </c>
      <c r="N518" s="1332">
        <v>0.2</v>
      </c>
      <c r="O518" s="1333" t="str">
        <f t="shared" si="42"/>
        <v/>
      </c>
      <c r="P518" s="1573"/>
    </row>
    <row r="519" spans="2:16">
      <c r="B519" s="1390"/>
      <c r="C519" s="798"/>
      <c r="D519" s="678"/>
      <c r="E519" s="680"/>
      <c r="F519" s="679"/>
      <c r="G519" s="677"/>
      <c r="H519" s="677"/>
      <c r="I519" s="677"/>
      <c r="J519" s="1605">
        <f t="shared" si="39"/>
        <v>0</v>
      </c>
      <c r="K519" s="675"/>
      <c r="L519" s="1605">
        <f t="shared" si="40"/>
        <v>0</v>
      </c>
      <c r="M519" s="673">
        <f t="shared" si="41"/>
        <v>0</v>
      </c>
      <c r="N519" s="1332">
        <v>0.2</v>
      </c>
      <c r="O519" s="1333" t="str">
        <f t="shared" si="42"/>
        <v/>
      </c>
      <c r="P519" s="1573"/>
    </row>
    <row r="520" spans="2:16">
      <c r="B520" s="1390"/>
      <c r="C520" s="798"/>
      <c r="D520" s="678"/>
      <c r="E520" s="680"/>
      <c r="F520" s="679"/>
      <c r="G520" s="677"/>
      <c r="H520" s="677"/>
      <c r="I520" s="677"/>
      <c r="J520" s="1605">
        <f t="shared" si="39"/>
        <v>0</v>
      </c>
      <c r="K520" s="675"/>
      <c r="L520" s="1605">
        <f t="shared" si="40"/>
        <v>0</v>
      </c>
      <c r="M520" s="673">
        <f t="shared" si="41"/>
        <v>0</v>
      </c>
      <c r="N520" s="1332">
        <v>0.2</v>
      </c>
      <c r="O520" s="1333" t="str">
        <f t="shared" si="42"/>
        <v/>
      </c>
      <c r="P520" s="1573"/>
    </row>
    <row r="521" spans="2:16">
      <c r="B521" s="1390"/>
      <c r="C521" s="798"/>
      <c r="D521" s="678"/>
      <c r="E521" s="680"/>
      <c r="F521" s="679"/>
      <c r="G521" s="677"/>
      <c r="H521" s="677"/>
      <c r="I521" s="677"/>
      <c r="J521" s="1605">
        <f t="shared" si="39"/>
        <v>0</v>
      </c>
      <c r="K521" s="675"/>
      <c r="L521" s="1605">
        <f t="shared" si="40"/>
        <v>0</v>
      </c>
      <c r="M521" s="673">
        <f t="shared" si="41"/>
        <v>0</v>
      </c>
      <c r="N521" s="1332">
        <v>0.2</v>
      </c>
      <c r="O521" s="1333" t="str">
        <f t="shared" si="42"/>
        <v/>
      </c>
      <c r="P521" s="1573"/>
    </row>
    <row r="522" spans="2:16">
      <c r="B522" s="1390"/>
      <c r="C522" s="798"/>
      <c r="D522" s="678"/>
      <c r="E522" s="680"/>
      <c r="F522" s="679"/>
      <c r="G522" s="677"/>
      <c r="H522" s="677"/>
      <c r="I522" s="677"/>
      <c r="J522" s="1605">
        <f t="shared" si="39"/>
        <v>0</v>
      </c>
      <c r="K522" s="675"/>
      <c r="L522" s="1605">
        <f t="shared" si="40"/>
        <v>0</v>
      </c>
      <c r="M522" s="673">
        <f t="shared" si="41"/>
        <v>0</v>
      </c>
      <c r="N522" s="1332">
        <v>0.2</v>
      </c>
      <c r="O522" s="1333" t="str">
        <f t="shared" si="42"/>
        <v/>
      </c>
      <c r="P522" s="1573"/>
    </row>
    <row r="523" spans="2:16">
      <c r="B523" s="1390"/>
      <c r="C523" s="798"/>
      <c r="D523" s="678"/>
      <c r="E523" s="680"/>
      <c r="F523" s="679"/>
      <c r="G523" s="677"/>
      <c r="H523" s="677"/>
      <c r="I523" s="677"/>
      <c r="J523" s="1605">
        <f t="shared" si="39"/>
        <v>0</v>
      </c>
      <c r="K523" s="675"/>
      <c r="L523" s="1605">
        <f t="shared" si="40"/>
        <v>0</v>
      </c>
      <c r="M523" s="673">
        <f t="shared" si="41"/>
        <v>0</v>
      </c>
      <c r="N523" s="1332">
        <v>0.2</v>
      </c>
      <c r="O523" s="1333" t="str">
        <f t="shared" si="42"/>
        <v/>
      </c>
      <c r="P523" s="1573"/>
    </row>
    <row r="524" spans="2:16">
      <c r="B524" s="1390"/>
      <c r="C524" s="798"/>
      <c r="D524" s="678"/>
      <c r="E524" s="680"/>
      <c r="F524" s="679"/>
      <c r="G524" s="677"/>
      <c r="H524" s="677"/>
      <c r="I524" s="677"/>
      <c r="J524" s="1605">
        <f t="shared" si="39"/>
        <v>0</v>
      </c>
      <c r="K524" s="675"/>
      <c r="L524" s="1605">
        <f t="shared" si="40"/>
        <v>0</v>
      </c>
      <c r="M524" s="673">
        <f t="shared" si="41"/>
        <v>0</v>
      </c>
      <c r="N524" s="1332">
        <v>0.2</v>
      </c>
      <c r="O524" s="1333" t="str">
        <f t="shared" si="42"/>
        <v/>
      </c>
      <c r="P524" s="1573"/>
    </row>
    <row r="525" spans="2:16">
      <c r="B525" s="1390"/>
      <c r="C525" s="798"/>
      <c r="D525" s="678"/>
      <c r="E525" s="680"/>
      <c r="F525" s="679"/>
      <c r="G525" s="677"/>
      <c r="H525" s="677"/>
      <c r="I525" s="677"/>
      <c r="J525" s="1605">
        <f t="shared" si="39"/>
        <v>0</v>
      </c>
      <c r="K525" s="675"/>
      <c r="L525" s="1605">
        <f t="shared" si="40"/>
        <v>0</v>
      </c>
      <c r="M525" s="673">
        <f t="shared" si="41"/>
        <v>0</v>
      </c>
      <c r="N525" s="1332">
        <v>0.2</v>
      </c>
      <c r="O525" s="1333" t="str">
        <f t="shared" si="42"/>
        <v/>
      </c>
      <c r="P525" s="1573"/>
    </row>
    <row r="526" spans="2:16">
      <c r="B526" s="1390"/>
      <c r="C526" s="798"/>
      <c r="D526" s="678"/>
      <c r="E526" s="680"/>
      <c r="F526" s="679"/>
      <c r="G526" s="677"/>
      <c r="H526" s="677"/>
      <c r="I526" s="677"/>
      <c r="J526" s="1605">
        <f t="shared" si="39"/>
        <v>0</v>
      </c>
      <c r="K526" s="675"/>
      <c r="L526" s="1605">
        <f t="shared" si="40"/>
        <v>0</v>
      </c>
      <c r="M526" s="673">
        <f t="shared" si="41"/>
        <v>0</v>
      </c>
      <c r="N526" s="1332">
        <v>0.2</v>
      </c>
      <c r="O526" s="1333" t="str">
        <f t="shared" si="42"/>
        <v/>
      </c>
      <c r="P526" s="1573"/>
    </row>
    <row r="527" spans="2:16">
      <c r="B527" s="1390"/>
      <c r="C527" s="798"/>
      <c r="D527" s="678"/>
      <c r="E527" s="680"/>
      <c r="F527" s="679"/>
      <c r="G527" s="677"/>
      <c r="H527" s="677"/>
      <c r="I527" s="677"/>
      <c r="J527" s="1605">
        <f t="shared" si="39"/>
        <v>0</v>
      </c>
      <c r="K527" s="675"/>
      <c r="L527" s="1605">
        <f t="shared" si="40"/>
        <v>0</v>
      </c>
      <c r="M527" s="673">
        <f t="shared" si="41"/>
        <v>0</v>
      </c>
      <c r="N527" s="1332">
        <v>0.2</v>
      </c>
      <c r="O527" s="1333" t="str">
        <f t="shared" si="42"/>
        <v/>
      </c>
      <c r="P527" s="1573"/>
    </row>
    <row r="528" spans="2:16">
      <c r="B528" s="1390"/>
      <c r="C528" s="798"/>
      <c r="D528" s="678"/>
      <c r="E528" s="680"/>
      <c r="F528" s="679"/>
      <c r="G528" s="677"/>
      <c r="H528" s="677"/>
      <c r="I528" s="677"/>
      <c r="J528" s="1605">
        <f t="shared" si="39"/>
        <v>0</v>
      </c>
      <c r="K528" s="675"/>
      <c r="L528" s="1605">
        <f t="shared" si="40"/>
        <v>0</v>
      </c>
      <c r="M528" s="673">
        <f t="shared" si="41"/>
        <v>0</v>
      </c>
      <c r="N528" s="1332">
        <v>0.2</v>
      </c>
      <c r="O528" s="1333" t="str">
        <f t="shared" si="42"/>
        <v/>
      </c>
      <c r="P528" s="1573"/>
    </row>
    <row r="529" spans="2:16">
      <c r="B529" s="1390"/>
      <c r="C529" s="798"/>
      <c r="D529" s="678"/>
      <c r="E529" s="680"/>
      <c r="F529" s="679"/>
      <c r="G529" s="677"/>
      <c r="H529" s="677"/>
      <c r="I529" s="677"/>
      <c r="J529" s="1605">
        <f t="shared" si="39"/>
        <v>0</v>
      </c>
      <c r="K529" s="675"/>
      <c r="L529" s="1605">
        <f t="shared" si="40"/>
        <v>0</v>
      </c>
      <c r="M529" s="673">
        <f t="shared" si="41"/>
        <v>0</v>
      </c>
      <c r="N529" s="1332">
        <v>0.2</v>
      </c>
      <c r="O529" s="1333" t="str">
        <f t="shared" si="42"/>
        <v/>
      </c>
      <c r="P529" s="1573"/>
    </row>
    <row r="530" spans="2:16">
      <c r="B530" s="1390"/>
      <c r="C530" s="798"/>
      <c r="D530" s="678"/>
      <c r="E530" s="680"/>
      <c r="F530" s="679"/>
      <c r="G530" s="677"/>
      <c r="H530" s="677"/>
      <c r="I530" s="677"/>
      <c r="J530" s="1605">
        <f t="shared" si="39"/>
        <v>0</v>
      </c>
      <c r="K530" s="675"/>
      <c r="L530" s="1605">
        <f t="shared" si="40"/>
        <v>0</v>
      </c>
      <c r="M530" s="673">
        <f t="shared" si="41"/>
        <v>0</v>
      </c>
      <c r="N530" s="1332">
        <v>0.2</v>
      </c>
      <c r="O530" s="1333" t="str">
        <f t="shared" si="42"/>
        <v/>
      </c>
      <c r="P530" s="1573"/>
    </row>
    <row r="531" spans="2:16">
      <c r="B531" s="1390"/>
      <c r="C531" s="798"/>
      <c r="D531" s="678"/>
      <c r="E531" s="680"/>
      <c r="F531" s="679"/>
      <c r="G531" s="677"/>
      <c r="H531" s="677"/>
      <c r="I531" s="677"/>
      <c r="J531" s="1605">
        <f t="shared" si="39"/>
        <v>0</v>
      </c>
      <c r="K531" s="675"/>
      <c r="L531" s="1605">
        <f t="shared" si="40"/>
        <v>0</v>
      </c>
      <c r="M531" s="673">
        <f t="shared" si="41"/>
        <v>0</v>
      </c>
      <c r="N531" s="1332">
        <v>0.2</v>
      </c>
      <c r="O531" s="1333" t="str">
        <f t="shared" si="42"/>
        <v/>
      </c>
      <c r="P531" s="1573"/>
    </row>
    <row r="532" spans="2:16">
      <c r="B532" s="1390"/>
      <c r="C532" s="798"/>
      <c r="D532" s="678"/>
      <c r="E532" s="680"/>
      <c r="F532" s="679"/>
      <c r="G532" s="677"/>
      <c r="H532" s="677"/>
      <c r="I532" s="677"/>
      <c r="J532" s="1605">
        <f t="shared" si="39"/>
        <v>0</v>
      </c>
      <c r="K532" s="675"/>
      <c r="L532" s="1605">
        <f t="shared" si="40"/>
        <v>0</v>
      </c>
      <c r="M532" s="673">
        <f t="shared" si="41"/>
        <v>0</v>
      </c>
      <c r="N532" s="1332">
        <v>0.2</v>
      </c>
      <c r="O532" s="1333" t="str">
        <f t="shared" si="42"/>
        <v/>
      </c>
      <c r="P532" s="1573"/>
    </row>
    <row r="533" spans="2:16">
      <c r="B533" s="1390"/>
      <c r="C533" s="798"/>
      <c r="D533" s="678"/>
      <c r="E533" s="680"/>
      <c r="F533" s="679"/>
      <c r="G533" s="677"/>
      <c r="H533" s="677"/>
      <c r="I533" s="677"/>
      <c r="J533" s="1605">
        <f t="shared" si="39"/>
        <v>0</v>
      </c>
      <c r="K533" s="675"/>
      <c r="L533" s="1605">
        <f t="shared" si="40"/>
        <v>0</v>
      </c>
      <c r="M533" s="673">
        <f t="shared" si="41"/>
        <v>0</v>
      </c>
      <c r="N533" s="1332">
        <v>0.2</v>
      </c>
      <c r="O533" s="1333" t="str">
        <f t="shared" si="42"/>
        <v/>
      </c>
      <c r="P533" s="1573"/>
    </row>
    <row r="534" spans="2:16">
      <c r="B534" s="1390"/>
      <c r="C534" s="798"/>
      <c r="D534" s="678"/>
      <c r="E534" s="680"/>
      <c r="F534" s="679"/>
      <c r="G534" s="677"/>
      <c r="H534" s="677"/>
      <c r="I534" s="677"/>
      <c r="J534" s="1605">
        <f t="shared" si="39"/>
        <v>0</v>
      </c>
      <c r="K534" s="675"/>
      <c r="L534" s="1605">
        <f t="shared" si="40"/>
        <v>0</v>
      </c>
      <c r="M534" s="673">
        <f t="shared" si="41"/>
        <v>0</v>
      </c>
      <c r="N534" s="1332">
        <v>0.2</v>
      </c>
      <c r="O534" s="1333" t="str">
        <f t="shared" si="42"/>
        <v/>
      </c>
      <c r="P534" s="1573"/>
    </row>
    <row r="535" spans="2:16">
      <c r="B535" s="1390"/>
      <c r="C535" s="798"/>
      <c r="D535" s="678"/>
      <c r="E535" s="680"/>
      <c r="F535" s="679"/>
      <c r="G535" s="677"/>
      <c r="H535" s="677"/>
      <c r="I535" s="677"/>
      <c r="J535" s="1605">
        <f t="shared" si="39"/>
        <v>0</v>
      </c>
      <c r="K535" s="675"/>
      <c r="L535" s="1605">
        <f t="shared" si="40"/>
        <v>0</v>
      </c>
      <c r="M535" s="673">
        <f t="shared" si="41"/>
        <v>0</v>
      </c>
      <c r="N535" s="1332">
        <v>0.2</v>
      </c>
      <c r="O535" s="1333" t="str">
        <f t="shared" si="42"/>
        <v/>
      </c>
      <c r="P535" s="1573"/>
    </row>
    <row r="536" spans="2:16">
      <c r="B536" s="1390"/>
      <c r="C536" s="798"/>
      <c r="D536" s="678"/>
      <c r="E536" s="680"/>
      <c r="F536" s="679"/>
      <c r="G536" s="677"/>
      <c r="H536" s="677"/>
      <c r="I536" s="677"/>
      <c r="J536" s="1605">
        <f t="shared" si="39"/>
        <v>0</v>
      </c>
      <c r="K536" s="675"/>
      <c r="L536" s="1605">
        <f t="shared" si="40"/>
        <v>0</v>
      </c>
      <c r="M536" s="673">
        <f t="shared" si="41"/>
        <v>0</v>
      </c>
      <c r="N536" s="1332">
        <v>0.2</v>
      </c>
      <c r="O536" s="1333" t="str">
        <f t="shared" si="42"/>
        <v/>
      </c>
      <c r="P536" s="1573"/>
    </row>
    <row r="537" spans="2:16">
      <c r="B537" s="1390"/>
      <c r="C537" s="798"/>
      <c r="D537" s="678"/>
      <c r="E537" s="680"/>
      <c r="F537" s="679"/>
      <c r="G537" s="677"/>
      <c r="H537" s="677"/>
      <c r="I537" s="677"/>
      <c r="J537" s="1605">
        <f t="shared" si="39"/>
        <v>0</v>
      </c>
      <c r="K537" s="675"/>
      <c r="L537" s="1605">
        <f t="shared" si="40"/>
        <v>0</v>
      </c>
      <c r="M537" s="673">
        <f t="shared" si="41"/>
        <v>0</v>
      </c>
      <c r="N537" s="1332">
        <v>0.2</v>
      </c>
      <c r="O537" s="1333" t="str">
        <f t="shared" si="42"/>
        <v/>
      </c>
      <c r="P537" s="1573"/>
    </row>
    <row r="538" spans="2:16">
      <c r="B538" s="1390"/>
      <c r="C538" s="798"/>
      <c r="D538" s="678"/>
      <c r="E538" s="680"/>
      <c r="F538" s="679"/>
      <c r="G538" s="677"/>
      <c r="H538" s="677"/>
      <c r="I538" s="677"/>
      <c r="J538" s="1605">
        <f t="shared" si="39"/>
        <v>0</v>
      </c>
      <c r="K538" s="675"/>
      <c r="L538" s="1605">
        <f t="shared" si="40"/>
        <v>0</v>
      </c>
      <c r="M538" s="673">
        <f t="shared" si="41"/>
        <v>0</v>
      </c>
      <c r="N538" s="1332">
        <v>0.2</v>
      </c>
      <c r="O538" s="1333" t="str">
        <f t="shared" si="42"/>
        <v/>
      </c>
      <c r="P538" s="1573"/>
    </row>
    <row r="539" spans="2:16">
      <c r="B539" s="1390"/>
      <c r="C539" s="798"/>
      <c r="D539" s="678"/>
      <c r="E539" s="680"/>
      <c r="F539" s="679"/>
      <c r="G539" s="677"/>
      <c r="H539" s="677"/>
      <c r="I539" s="677"/>
      <c r="J539" s="1605">
        <f t="shared" si="39"/>
        <v>0</v>
      </c>
      <c r="K539" s="675"/>
      <c r="L539" s="1605">
        <f t="shared" si="40"/>
        <v>0</v>
      </c>
      <c r="M539" s="673">
        <f t="shared" si="41"/>
        <v>0</v>
      </c>
      <c r="N539" s="1332">
        <v>0.2</v>
      </c>
      <c r="O539" s="1333" t="str">
        <f t="shared" si="42"/>
        <v/>
      </c>
      <c r="P539" s="1573"/>
    </row>
    <row r="540" spans="2:16">
      <c r="B540" s="1390"/>
      <c r="C540" s="798"/>
      <c r="D540" s="678"/>
      <c r="E540" s="680"/>
      <c r="F540" s="679"/>
      <c r="G540" s="677"/>
      <c r="H540" s="677"/>
      <c r="I540" s="677"/>
      <c r="J540" s="1605">
        <f t="shared" si="39"/>
        <v>0</v>
      </c>
      <c r="K540" s="675"/>
      <c r="L540" s="1605">
        <f t="shared" si="40"/>
        <v>0</v>
      </c>
      <c r="M540" s="673">
        <f t="shared" si="41"/>
        <v>0</v>
      </c>
      <c r="N540" s="1332">
        <v>0.2</v>
      </c>
      <c r="O540" s="1333" t="str">
        <f t="shared" si="42"/>
        <v/>
      </c>
      <c r="P540" s="1573"/>
    </row>
    <row r="541" spans="2:16">
      <c r="B541" s="1390"/>
      <c r="C541" s="798"/>
      <c r="D541" s="678"/>
      <c r="E541" s="680"/>
      <c r="F541" s="679"/>
      <c r="G541" s="677"/>
      <c r="H541" s="677"/>
      <c r="I541" s="677"/>
      <c r="J541" s="1605">
        <f t="shared" si="39"/>
        <v>0</v>
      </c>
      <c r="K541" s="675"/>
      <c r="L541" s="1605">
        <f t="shared" si="40"/>
        <v>0</v>
      </c>
      <c r="M541" s="673">
        <f t="shared" si="41"/>
        <v>0</v>
      </c>
      <c r="N541" s="1332">
        <v>0.2</v>
      </c>
      <c r="O541" s="1333" t="str">
        <f t="shared" si="42"/>
        <v/>
      </c>
      <c r="P541" s="1573"/>
    </row>
    <row r="542" spans="2:16">
      <c r="B542" s="1390"/>
      <c r="C542" s="798"/>
      <c r="D542" s="678"/>
      <c r="E542" s="680"/>
      <c r="F542" s="679"/>
      <c r="G542" s="677"/>
      <c r="H542" s="677"/>
      <c r="I542" s="677"/>
      <c r="J542" s="1605">
        <f t="shared" si="39"/>
        <v>0</v>
      </c>
      <c r="K542" s="675"/>
      <c r="L542" s="1605">
        <f t="shared" si="40"/>
        <v>0</v>
      </c>
      <c r="M542" s="673">
        <f t="shared" si="41"/>
        <v>0</v>
      </c>
      <c r="N542" s="1332">
        <v>0.2</v>
      </c>
      <c r="O542" s="1333" t="str">
        <f t="shared" si="42"/>
        <v/>
      </c>
      <c r="P542" s="1573"/>
    </row>
    <row r="543" spans="2:16">
      <c r="B543" s="1390"/>
      <c r="C543" s="798"/>
      <c r="D543" s="678"/>
      <c r="E543" s="680"/>
      <c r="F543" s="679"/>
      <c r="G543" s="677"/>
      <c r="H543" s="677"/>
      <c r="I543" s="677"/>
      <c r="J543" s="1605">
        <f t="shared" si="39"/>
        <v>0</v>
      </c>
      <c r="K543" s="675"/>
      <c r="L543" s="1605">
        <f t="shared" si="40"/>
        <v>0</v>
      </c>
      <c r="M543" s="673">
        <f t="shared" si="41"/>
        <v>0</v>
      </c>
      <c r="N543" s="1332">
        <v>0.2</v>
      </c>
      <c r="O543" s="1333" t="str">
        <f t="shared" si="42"/>
        <v/>
      </c>
      <c r="P543" s="1573"/>
    </row>
    <row r="544" spans="2:16">
      <c r="B544" s="1390"/>
      <c r="C544" s="798"/>
      <c r="D544" s="678"/>
      <c r="E544" s="680"/>
      <c r="F544" s="679"/>
      <c r="G544" s="677"/>
      <c r="H544" s="677"/>
      <c r="I544" s="677"/>
      <c r="J544" s="1605">
        <f t="shared" si="39"/>
        <v>0</v>
      </c>
      <c r="K544" s="675"/>
      <c r="L544" s="1605">
        <f t="shared" si="40"/>
        <v>0</v>
      </c>
      <c r="M544" s="673">
        <f t="shared" si="41"/>
        <v>0</v>
      </c>
      <c r="N544" s="1332">
        <v>0.2</v>
      </c>
      <c r="O544" s="1333" t="str">
        <f t="shared" si="42"/>
        <v/>
      </c>
      <c r="P544" s="1573"/>
    </row>
    <row r="545" spans="2:16">
      <c r="B545" s="1390"/>
      <c r="C545" s="798"/>
      <c r="D545" s="678"/>
      <c r="E545" s="680"/>
      <c r="F545" s="679"/>
      <c r="G545" s="677"/>
      <c r="H545" s="677"/>
      <c r="I545" s="677"/>
      <c r="J545" s="1605">
        <f t="shared" si="39"/>
        <v>0</v>
      </c>
      <c r="K545" s="675"/>
      <c r="L545" s="1605">
        <f t="shared" si="40"/>
        <v>0</v>
      </c>
      <c r="M545" s="673">
        <f t="shared" si="41"/>
        <v>0</v>
      </c>
      <c r="N545" s="1332">
        <v>0.2</v>
      </c>
      <c r="O545" s="1333" t="str">
        <f t="shared" si="42"/>
        <v/>
      </c>
      <c r="P545" s="1573"/>
    </row>
    <row r="546" spans="2:16">
      <c r="B546" s="1390"/>
      <c r="C546" s="798"/>
      <c r="D546" s="678"/>
      <c r="E546" s="680"/>
      <c r="F546" s="679"/>
      <c r="G546" s="677"/>
      <c r="H546" s="677"/>
      <c r="I546" s="677"/>
      <c r="J546" s="1605">
        <f t="shared" si="39"/>
        <v>0</v>
      </c>
      <c r="K546" s="675"/>
      <c r="L546" s="1605">
        <f t="shared" si="40"/>
        <v>0</v>
      </c>
      <c r="M546" s="673">
        <f t="shared" si="41"/>
        <v>0</v>
      </c>
      <c r="N546" s="1332">
        <v>0.2</v>
      </c>
      <c r="O546" s="1333" t="str">
        <f t="shared" si="42"/>
        <v/>
      </c>
      <c r="P546" s="1573"/>
    </row>
    <row r="547" spans="2:16">
      <c r="B547" s="1390"/>
      <c r="C547" s="798"/>
      <c r="D547" s="678"/>
      <c r="E547" s="680"/>
      <c r="F547" s="679"/>
      <c r="G547" s="677"/>
      <c r="H547" s="677"/>
      <c r="I547" s="677"/>
      <c r="J547" s="1605">
        <f t="shared" si="39"/>
        <v>0</v>
      </c>
      <c r="K547" s="675"/>
      <c r="L547" s="1605">
        <f t="shared" si="40"/>
        <v>0</v>
      </c>
      <c r="M547" s="673">
        <f t="shared" si="41"/>
        <v>0</v>
      </c>
      <c r="N547" s="1332">
        <v>0.2</v>
      </c>
      <c r="O547" s="1333" t="str">
        <f t="shared" si="42"/>
        <v/>
      </c>
      <c r="P547" s="1573"/>
    </row>
    <row r="548" spans="2:16">
      <c r="B548" s="1390"/>
      <c r="C548" s="798"/>
      <c r="D548" s="678"/>
      <c r="E548" s="680"/>
      <c r="F548" s="679"/>
      <c r="G548" s="677"/>
      <c r="H548" s="677"/>
      <c r="I548" s="677"/>
      <c r="J548" s="1605">
        <f t="shared" si="39"/>
        <v>0</v>
      </c>
      <c r="K548" s="675"/>
      <c r="L548" s="1605">
        <f t="shared" si="40"/>
        <v>0</v>
      </c>
      <c r="M548" s="673">
        <f t="shared" si="41"/>
        <v>0</v>
      </c>
      <c r="N548" s="1332">
        <v>0.2</v>
      </c>
      <c r="O548" s="1333" t="str">
        <f t="shared" si="42"/>
        <v/>
      </c>
      <c r="P548" s="1573"/>
    </row>
    <row r="549" spans="2:16">
      <c r="B549" s="1390"/>
      <c r="C549" s="798"/>
      <c r="D549" s="678"/>
      <c r="E549" s="680"/>
      <c r="F549" s="679"/>
      <c r="G549" s="677"/>
      <c r="H549" s="677"/>
      <c r="I549" s="677"/>
      <c r="J549" s="1605">
        <f t="shared" si="39"/>
        <v>0</v>
      </c>
      <c r="K549" s="675"/>
      <c r="L549" s="1605">
        <f t="shared" si="40"/>
        <v>0</v>
      </c>
      <c r="M549" s="673">
        <f t="shared" si="41"/>
        <v>0</v>
      </c>
      <c r="N549" s="1332">
        <v>0.2</v>
      </c>
      <c r="O549" s="1333" t="str">
        <f t="shared" si="42"/>
        <v/>
      </c>
      <c r="P549" s="1573"/>
    </row>
    <row r="550" spans="2:16">
      <c r="B550" s="1390"/>
      <c r="C550" s="798"/>
      <c r="D550" s="678"/>
      <c r="E550" s="680"/>
      <c r="F550" s="679"/>
      <c r="G550" s="677"/>
      <c r="H550" s="677"/>
      <c r="I550" s="677"/>
      <c r="J550" s="1605">
        <f t="shared" si="39"/>
        <v>0</v>
      </c>
      <c r="K550" s="675"/>
      <c r="L550" s="1605">
        <f t="shared" si="40"/>
        <v>0</v>
      </c>
      <c r="M550" s="673">
        <f t="shared" si="41"/>
        <v>0</v>
      </c>
      <c r="N550" s="1332">
        <v>0.2</v>
      </c>
      <c r="O550" s="1333" t="str">
        <f t="shared" si="42"/>
        <v/>
      </c>
      <c r="P550" s="1573"/>
    </row>
    <row r="551" spans="2:16">
      <c r="B551" s="1390"/>
      <c r="C551" s="798"/>
      <c r="D551" s="678"/>
      <c r="E551" s="680"/>
      <c r="F551" s="679"/>
      <c r="G551" s="677"/>
      <c r="H551" s="677"/>
      <c r="I551" s="677"/>
      <c r="J551" s="1605">
        <f t="shared" si="39"/>
        <v>0</v>
      </c>
      <c r="K551" s="675"/>
      <c r="L551" s="1605">
        <f t="shared" si="40"/>
        <v>0</v>
      </c>
      <c r="M551" s="673">
        <f t="shared" si="41"/>
        <v>0</v>
      </c>
      <c r="N551" s="1332">
        <v>0.2</v>
      </c>
      <c r="O551" s="1333" t="str">
        <f t="shared" si="42"/>
        <v/>
      </c>
      <c r="P551" s="1573"/>
    </row>
    <row r="552" spans="2:16">
      <c r="B552" s="1390"/>
      <c r="C552" s="798"/>
      <c r="D552" s="678"/>
      <c r="E552" s="680"/>
      <c r="F552" s="679"/>
      <c r="G552" s="677"/>
      <c r="H552" s="677"/>
      <c r="I552" s="677"/>
      <c r="J552" s="1605">
        <f t="shared" si="39"/>
        <v>0</v>
      </c>
      <c r="K552" s="675"/>
      <c r="L552" s="1605">
        <f t="shared" si="40"/>
        <v>0</v>
      </c>
      <c r="M552" s="673">
        <f t="shared" si="41"/>
        <v>0</v>
      </c>
      <c r="N552" s="1332">
        <v>0.2</v>
      </c>
      <c r="O552" s="1333" t="str">
        <f t="shared" si="42"/>
        <v/>
      </c>
      <c r="P552" s="1573"/>
    </row>
    <row r="553" spans="2:16">
      <c r="B553" s="1390"/>
      <c r="C553" s="798"/>
      <c r="D553" s="678"/>
      <c r="E553" s="680"/>
      <c r="F553" s="679"/>
      <c r="G553" s="677"/>
      <c r="H553" s="677"/>
      <c r="I553" s="677"/>
      <c r="J553" s="1605">
        <f t="shared" si="39"/>
        <v>0</v>
      </c>
      <c r="K553" s="675"/>
      <c r="L553" s="1605">
        <f t="shared" si="40"/>
        <v>0</v>
      </c>
      <c r="M553" s="673">
        <f t="shared" si="41"/>
        <v>0</v>
      </c>
      <c r="N553" s="1332">
        <v>0.2</v>
      </c>
      <c r="O553" s="1333" t="str">
        <f t="shared" si="42"/>
        <v/>
      </c>
      <c r="P553" s="1573"/>
    </row>
    <row r="554" spans="2:16">
      <c r="B554" s="1390"/>
      <c r="C554" s="798"/>
      <c r="D554" s="678"/>
      <c r="E554" s="680"/>
      <c r="F554" s="679"/>
      <c r="G554" s="677"/>
      <c r="H554" s="677"/>
      <c r="I554" s="677"/>
      <c r="J554" s="1605">
        <f t="shared" si="39"/>
        <v>0</v>
      </c>
      <c r="K554" s="675"/>
      <c r="L554" s="1605">
        <f t="shared" si="40"/>
        <v>0</v>
      </c>
      <c r="M554" s="673">
        <f t="shared" si="41"/>
        <v>0</v>
      </c>
      <c r="N554" s="1332">
        <v>0.2</v>
      </c>
      <c r="O554" s="1333" t="str">
        <f t="shared" si="42"/>
        <v/>
      </c>
      <c r="P554" s="1573"/>
    </row>
    <row r="555" spans="2:16">
      <c r="B555" s="1390"/>
      <c r="C555" s="798"/>
      <c r="D555" s="678"/>
      <c r="E555" s="680"/>
      <c r="F555" s="679"/>
      <c r="G555" s="677"/>
      <c r="H555" s="677"/>
      <c r="I555" s="677"/>
      <c r="J555" s="1605">
        <f t="shared" si="39"/>
        <v>0</v>
      </c>
      <c r="K555" s="675"/>
      <c r="L555" s="1605">
        <f t="shared" si="40"/>
        <v>0</v>
      </c>
      <c r="M555" s="673">
        <f t="shared" si="41"/>
        <v>0</v>
      </c>
      <c r="N555" s="1332">
        <v>0.2</v>
      </c>
      <c r="O555" s="1333" t="str">
        <f t="shared" si="42"/>
        <v/>
      </c>
      <c r="P555" s="1573"/>
    </row>
    <row r="556" spans="2:16">
      <c r="B556" s="1390"/>
      <c r="C556" s="798"/>
      <c r="D556" s="678"/>
      <c r="E556" s="680"/>
      <c r="F556" s="679"/>
      <c r="G556" s="677"/>
      <c r="H556" s="677"/>
      <c r="I556" s="677"/>
      <c r="J556" s="1605">
        <f t="shared" ref="J556:J619" si="43">H556+I556</f>
        <v>0</v>
      </c>
      <c r="K556" s="675"/>
      <c r="L556" s="1605">
        <f t="shared" ref="L556:L619" si="44">J556*K556</f>
        <v>0</v>
      </c>
      <c r="M556" s="673">
        <f t="shared" ref="M556:M619" si="45">L556/$D$9</f>
        <v>0</v>
      </c>
      <c r="N556" s="1332">
        <v>0.2</v>
      </c>
      <c r="O556" s="1333" t="str">
        <f t="shared" ref="O556:O619" si="46">IF((M556-N556)&gt;0,M556-N556,"")</f>
        <v/>
      </c>
      <c r="P556" s="1573"/>
    </row>
    <row r="557" spans="2:16">
      <c r="B557" s="1390"/>
      <c r="C557" s="798"/>
      <c r="D557" s="678"/>
      <c r="E557" s="680"/>
      <c r="F557" s="679"/>
      <c r="G557" s="677"/>
      <c r="H557" s="677"/>
      <c r="I557" s="677"/>
      <c r="J557" s="1605">
        <f t="shared" si="43"/>
        <v>0</v>
      </c>
      <c r="K557" s="675"/>
      <c r="L557" s="1605">
        <f t="shared" si="44"/>
        <v>0</v>
      </c>
      <c r="M557" s="673">
        <f t="shared" si="45"/>
        <v>0</v>
      </c>
      <c r="N557" s="1332">
        <v>0.2</v>
      </c>
      <c r="O557" s="1333" t="str">
        <f t="shared" si="46"/>
        <v/>
      </c>
      <c r="P557" s="1573"/>
    </row>
    <row r="558" spans="2:16">
      <c r="B558" s="1390"/>
      <c r="C558" s="798"/>
      <c r="D558" s="678"/>
      <c r="E558" s="680"/>
      <c r="F558" s="679"/>
      <c r="G558" s="677"/>
      <c r="H558" s="677"/>
      <c r="I558" s="677"/>
      <c r="J558" s="1605">
        <f t="shared" si="43"/>
        <v>0</v>
      </c>
      <c r="K558" s="675"/>
      <c r="L558" s="1605">
        <f t="shared" si="44"/>
        <v>0</v>
      </c>
      <c r="M558" s="673">
        <f t="shared" si="45"/>
        <v>0</v>
      </c>
      <c r="N558" s="1332">
        <v>0.2</v>
      </c>
      <c r="O558" s="1333" t="str">
        <f t="shared" si="46"/>
        <v/>
      </c>
      <c r="P558" s="1573"/>
    </row>
    <row r="559" spans="2:16">
      <c r="B559" s="1390"/>
      <c r="C559" s="798"/>
      <c r="D559" s="678"/>
      <c r="E559" s="680"/>
      <c r="F559" s="679"/>
      <c r="G559" s="677"/>
      <c r="H559" s="677"/>
      <c r="I559" s="677"/>
      <c r="J559" s="1605">
        <f t="shared" si="43"/>
        <v>0</v>
      </c>
      <c r="K559" s="675"/>
      <c r="L559" s="1605">
        <f t="shared" si="44"/>
        <v>0</v>
      </c>
      <c r="M559" s="673">
        <f t="shared" si="45"/>
        <v>0</v>
      </c>
      <c r="N559" s="1332">
        <v>0.2</v>
      </c>
      <c r="O559" s="1333" t="str">
        <f t="shared" si="46"/>
        <v/>
      </c>
      <c r="P559" s="1573"/>
    </row>
    <row r="560" spans="2:16">
      <c r="B560" s="1390"/>
      <c r="C560" s="798"/>
      <c r="D560" s="678"/>
      <c r="E560" s="680"/>
      <c r="F560" s="679"/>
      <c r="G560" s="677"/>
      <c r="H560" s="677"/>
      <c r="I560" s="677"/>
      <c r="J560" s="1605">
        <f t="shared" si="43"/>
        <v>0</v>
      </c>
      <c r="K560" s="675"/>
      <c r="L560" s="1605">
        <f t="shared" si="44"/>
        <v>0</v>
      </c>
      <c r="M560" s="673">
        <f t="shared" si="45"/>
        <v>0</v>
      </c>
      <c r="N560" s="1332">
        <v>0.2</v>
      </c>
      <c r="O560" s="1333" t="str">
        <f t="shared" si="46"/>
        <v/>
      </c>
      <c r="P560" s="1573"/>
    </row>
    <row r="561" spans="2:16">
      <c r="B561" s="1390"/>
      <c r="C561" s="798"/>
      <c r="D561" s="678"/>
      <c r="E561" s="680"/>
      <c r="F561" s="679"/>
      <c r="G561" s="677"/>
      <c r="H561" s="677"/>
      <c r="I561" s="677"/>
      <c r="J561" s="1605">
        <f t="shared" si="43"/>
        <v>0</v>
      </c>
      <c r="K561" s="675"/>
      <c r="L561" s="1605">
        <f t="shared" si="44"/>
        <v>0</v>
      </c>
      <c r="M561" s="673">
        <f t="shared" si="45"/>
        <v>0</v>
      </c>
      <c r="N561" s="1332">
        <v>0.2</v>
      </c>
      <c r="O561" s="1333" t="str">
        <f t="shared" si="46"/>
        <v/>
      </c>
      <c r="P561" s="1573"/>
    </row>
    <row r="562" spans="2:16">
      <c r="B562" s="1390"/>
      <c r="C562" s="798"/>
      <c r="D562" s="678"/>
      <c r="E562" s="680"/>
      <c r="F562" s="679"/>
      <c r="G562" s="677"/>
      <c r="H562" s="677"/>
      <c r="I562" s="677"/>
      <c r="J562" s="1605">
        <f t="shared" si="43"/>
        <v>0</v>
      </c>
      <c r="K562" s="675"/>
      <c r="L562" s="1605">
        <f t="shared" si="44"/>
        <v>0</v>
      </c>
      <c r="M562" s="673">
        <f t="shared" si="45"/>
        <v>0</v>
      </c>
      <c r="N562" s="1332">
        <v>0.2</v>
      </c>
      <c r="O562" s="1333" t="str">
        <f t="shared" si="46"/>
        <v/>
      </c>
      <c r="P562" s="1573"/>
    </row>
    <row r="563" spans="2:16">
      <c r="B563" s="1390"/>
      <c r="C563" s="798"/>
      <c r="D563" s="678"/>
      <c r="E563" s="680"/>
      <c r="F563" s="679"/>
      <c r="G563" s="677"/>
      <c r="H563" s="677"/>
      <c r="I563" s="677"/>
      <c r="J563" s="1605">
        <f t="shared" si="43"/>
        <v>0</v>
      </c>
      <c r="K563" s="675"/>
      <c r="L563" s="1605">
        <f t="shared" si="44"/>
        <v>0</v>
      </c>
      <c r="M563" s="673">
        <f t="shared" si="45"/>
        <v>0</v>
      </c>
      <c r="N563" s="1332">
        <v>0.2</v>
      </c>
      <c r="O563" s="1333" t="str">
        <f t="shared" si="46"/>
        <v/>
      </c>
      <c r="P563" s="1573"/>
    </row>
    <row r="564" spans="2:16">
      <c r="B564" s="1390"/>
      <c r="C564" s="798"/>
      <c r="D564" s="678"/>
      <c r="E564" s="680"/>
      <c r="F564" s="679"/>
      <c r="G564" s="677"/>
      <c r="H564" s="677"/>
      <c r="I564" s="677"/>
      <c r="J564" s="1605">
        <f t="shared" si="43"/>
        <v>0</v>
      </c>
      <c r="K564" s="675"/>
      <c r="L564" s="1605">
        <f t="shared" si="44"/>
        <v>0</v>
      </c>
      <c r="M564" s="673">
        <f t="shared" si="45"/>
        <v>0</v>
      </c>
      <c r="N564" s="1332">
        <v>0.2</v>
      </c>
      <c r="O564" s="1333" t="str">
        <f t="shared" si="46"/>
        <v/>
      </c>
      <c r="P564" s="1573"/>
    </row>
    <row r="565" spans="2:16">
      <c r="B565" s="1390"/>
      <c r="C565" s="798"/>
      <c r="D565" s="678"/>
      <c r="E565" s="680"/>
      <c r="F565" s="679"/>
      <c r="G565" s="677"/>
      <c r="H565" s="677"/>
      <c r="I565" s="677"/>
      <c r="J565" s="1605">
        <f t="shared" si="43"/>
        <v>0</v>
      </c>
      <c r="K565" s="675"/>
      <c r="L565" s="1605">
        <f t="shared" si="44"/>
        <v>0</v>
      </c>
      <c r="M565" s="673">
        <f t="shared" si="45"/>
        <v>0</v>
      </c>
      <c r="N565" s="1332">
        <v>0.2</v>
      </c>
      <c r="O565" s="1333" t="str">
        <f t="shared" si="46"/>
        <v/>
      </c>
      <c r="P565" s="1573"/>
    </row>
    <row r="566" spans="2:16">
      <c r="B566" s="1390"/>
      <c r="C566" s="798"/>
      <c r="D566" s="678"/>
      <c r="E566" s="680"/>
      <c r="F566" s="679"/>
      <c r="G566" s="677"/>
      <c r="H566" s="677"/>
      <c r="I566" s="677"/>
      <c r="J566" s="1605">
        <f t="shared" si="43"/>
        <v>0</v>
      </c>
      <c r="K566" s="675"/>
      <c r="L566" s="1605">
        <f t="shared" si="44"/>
        <v>0</v>
      </c>
      <c r="M566" s="673">
        <f t="shared" si="45"/>
        <v>0</v>
      </c>
      <c r="N566" s="1332">
        <v>0.2</v>
      </c>
      <c r="O566" s="1333" t="str">
        <f t="shared" si="46"/>
        <v/>
      </c>
      <c r="P566" s="1573"/>
    </row>
    <row r="567" spans="2:16">
      <c r="B567" s="1390"/>
      <c r="C567" s="798"/>
      <c r="D567" s="678"/>
      <c r="E567" s="680"/>
      <c r="F567" s="679"/>
      <c r="G567" s="677"/>
      <c r="H567" s="677"/>
      <c r="I567" s="677"/>
      <c r="J567" s="1605">
        <f t="shared" si="43"/>
        <v>0</v>
      </c>
      <c r="K567" s="675"/>
      <c r="L567" s="1605">
        <f t="shared" si="44"/>
        <v>0</v>
      </c>
      <c r="M567" s="673">
        <f t="shared" si="45"/>
        <v>0</v>
      </c>
      <c r="N567" s="1332">
        <v>0.2</v>
      </c>
      <c r="O567" s="1333" t="str">
        <f t="shared" si="46"/>
        <v/>
      </c>
      <c r="P567" s="1573"/>
    </row>
    <row r="568" spans="2:16">
      <c r="B568" s="1390"/>
      <c r="C568" s="798"/>
      <c r="D568" s="678"/>
      <c r="E568" s="680"/>
      <c r="F568" s="679"/>
      <c r="G568" s="677"/>
      <c r="H568" s="677"/>
      <c r="I568" s="677"/>
      <c r="J568" s="1605">
        <f t="shared" si="43"/>
        <v>0</v>
      </c>
      <c r="K568" s="675"/>
      <c r="L568" s="1605">
        <f t="shared" si="44"/>
        <v>0</v>
      </c>
      <c r="M568" s="673">
        <f t="shared" si="45"/>
        <v>0</v>
      </c>
      <c r="N568" s="1332">
        <v>0.2</v>
      </c>
      <c r="O568" s="1333" t="str">
        <f t="shared" si="46"/>
        <v/>
      </c>
      <c r="P568" s="1573"/>
    </row>
    <row r="569" spans="2:16">
      <c r="B569" s="1390"/>
      <c r="C569" s="798"/>
      <c r="D569" s="678"/>
      <c r="E569" s="680"/>
      <c r="F569" s="679"/>
      <c r="G569" s="677"/>
      <c r="H569" s="677"/>
      <c r="I569" s="677"/>
      <c r="J569" s="1605">
        <f t="shared" si="43"/>
        <v>0</v>
      </c>
      <c r="K569" s="675"/>
      <c r="L569" s="1605">
        <f t="shared" si="44"/>
        <v>0</v>
      </c>
      <c r="M569" s="673">
        <f t="shared" si="45"/>
        <v>0</v>
      </c>
      <c r="N569" s="1332">
        <v>0.2</v>
      </c>
      <c r="O569" s="1333" t="str">
        <f t="shared" si="46"/>
        <v/>
      </c>
      <c r="P569" s="1573"/>
    </row>
    <row r="570" spans="2:16">
      <c r="B570" s="1390"/>
      <c r="C570" s="798"/>
      <c r="D570" s="678"/>
      <c r="E570" s="680"/>
      <c r="F570" s="679"/>
      <c r="G570" s="677"/>
      <c r="H570" s="677"/>
      <c r="I570" s="677"/>
      <c r="J570" s="1605">
        <f t="shared" si="43"/>
        <v>0</v>
      </c>
      <c r="K570" s="675"/>
      <c r="L570" s="1605">
        <f t="shared" si="44"/>
        <v>0</v>
      </c>
      <c r="M570" s="673">
        <f t="shared" si="45"/>
        <v>0</v>
      </c>
      <c r="N570" s="1332">
        <v>0.2</v>
      </c>
      <c r="O570" s="1333" t="str">
        <f t="shared" si="46"/>
        <v/>
      </c>
      <c r="P570" s="1573"/>
    </row>
    <row r="571" spans="2:16">
      <c r="B571" s="1390"/>
      <c r="C571" s="798"/>
      <c r="D571" s="678"/>
      <c r="E571" s="680"/>
      <c r="F571" s="679"/>
      <c r="G571" s="677"/>
      <c r="H571" s="677"/>
      <c r="I571" s="677"/>
      <c r="J571" s="1605">
        <f t="shared" si="43"/>
        <v>0</v>
      </c>
      <c r="K571" s="675"/>
      <c r="L571" s="1605">
        <f t="shared" si="44"/>
        <v>0</v>
      </c>
      <c r="M571" s="673">
        <f t="shared" si="45"/>
        <v>0</v>
      </c>
      <c r="N571" s="1332">
        <v>0.2</v>
      </c>
      <c r="O571" s="1333" t="str">
        <f t="shared" si="46"/>
        <v/>
      </c>
      <c r="P571" s="1573"/>
    </row>
    <row r="572" spans="2:16">
      <c r="B572" s="1390"/>
      <c r="C572" s="798"/>
      <c r="D572" s="678"/>
      <c r="E572" s="680"/>
      <c r="F572" s="679"/>
      <c r="G572" s="677"/>
      <c r="H572" s="677"/>
      <c r="I572" s="677"/>
      <c r="J572" s="1605">
        <f t="shared" si="43"/>
        <v>0</v>
      </c>
      <c r="K572" s="675"/>
      <c r="L572" s="1605">
        <f t="shared" si="44"/>
        <v>0</v>
      </c>
      <c r="M572" s="673">
        <f t="shared" si="45"/>
        <v>0</v>
      </c>
      <c r="N572" s="1332">
        <v>0.2</v>
      </c>
      <c r="O572" s="1333" t="str">
        <f t="shared" si="46"/>
        <v/>
      </c>
      <c r="P572" s="1573"/>
    </row>
    <row r="573" spans="2:16">
      <c r="B573" s="1390"/>
      <c r="C573" s="798"/>
      <c r="D573" s="678"/>
      <c r="E573" s="680"/>
      <c r="F573" s="679"/>
      <c r="G573" s="677"/>
      <c r="H573" s="677"/>
      <c r="I573" s="677"/>
      <c r="J573" s="1605">
        <f t="shared" si="43"/>
        <v>0</v>
      </c>
      <c r="K573" s="675"/>
      <c r="L573" s="1605">
        <f t="shared" si="44"/>
        <v>0</v>
      </c>
      <c r="M573" s="673">
        <f t="shared" si="45"/>
        <v>0</v>
      </c>
      <c r="N573" s="1332">
        <v>0.2</v>
      </c>
      <c r="O573" s="1333" t="str">
        <f t="shared" si="46"/>
        <v/>
      </c>
      <c r="P573" s="1573"/>
    </row>
    <row r="574" spans="2:16">
      <c r="B574" s="1390"/>
      <c r="C574" s="798"/>
      <c r="D574" s="678"/>
      <c r="E574" s="680"/>
      <c r="F574" s="679"/>
      <c r="G574" s="677"/>
      <c r="H574" s="677"/>
      <c r="I574" s="677"/>
      <c r="J574" s="1605">
        <f t="shared" si="43"/>
        <v>0</v>
      </c>
      <c r="K574" s="675"/>
      <c r="L574" s="1605">
        <f t="shared" si="44"/>
        <v>0</v>
      </c>
      <c r="M574" s="673">
        <f t="shared" si="45"/>
        <v>0</v>
      </c>
      <c r="N574" s="1332">
        <v>0.2</v>
      </c>
      <c r="O574" s="1333" t="str">
        <f t="shared" si="46"/>
        <v/>
      </c>
      <c r="P574" s="1573"/>
    </row>
    <row r="575" spans="2:16">
      <c r="B575" s="1390"/>
      <c r="C575" s="798"/>
      <c r="D575" s="678"/>
      <c r="E575" s="680"/>
      <c r="F575" s="679"/>
      <c r="G575" s="677"/>
      <c r="H575" s="677"/>
      <c r="I575" s="677"/>
      <c r="J575" s="1605">
        <f t="shared" si="43"/>
        <v>0</v>
      </c>
      <c r="K575" s="675"/>
      <c r="L575" s="1605">
        <f t="shared" si="44"/>
        <v>0</v>
      </c>
      <c r="M575" s="673">
        <f t="shared" si="45"/>
        <v>0</v>
      </c>
      <c r="N575" s="1332">
        <v>0.2</v>
      </c>
      <c r="O575" s="1333" t="str">
        <f t="shared" si="46"/>
        <v/>
      </c>
      <c r="P575" s="1573"/>
    </row>
    <row r="576" spans="2:16">
      <c r="B576" s="1390"/>
      <c r="C576" s="798"/>
      <c r="D576" s="678"/>
      <c r="E576" s="680"/>
      <c r="F576" s="679"/>
      <c r="G576" s="677"/>
      <c r="H576" s="677"/>
      <c r="I576" s="677"/>
      <c r="J576" s="1605">
        <f t="shared" si="43"/>
        <v>0</v>
      </c>
      <c r="K576" s="675"/>
      <c r="L576" s="1605">
        <f t="shared" si="44"/>
        <v>0</v>
      </c>
      <c r="M576" s="673">
        <f t="shared" si="45"/>
        <v>0</v>
      </c>
      <c r="N576" s="1332">
        <v>0.2</v>
      </c>
      <c r="O576" s="1333" t="str">
        <f t="shared" si="46"/>
        <v/>
      </c>
      <c r="P576" s="1573"/>
    </row>
    <row r="577" spans="2:16">
      <c r="B577" s="1390"/>
      <c r="C577" s="798"/>
      <c r="D577" s="678"/>
      <c r="E577" s="680"/>
      <c r="F577" s="679"/>
      <c r="G577" s="677"/>
      <c r="H577" s="677"/>
      <c r="I577" s="677"/>
      <c r="J577" s="1605">
        <f t="shared" si="43"/>
        <v>0</v>
      </c>
      <c r="K577" s="675"/>
      <c r="L577" s="1605">
        <f t="shared" si="44"/>
        <v>0</v>
      </c>
      <c r="M577" s="673">
        <f t="shared" si="45"/>
        <v>0</v>
      </c>
      <c r="N577" s="1332">
        <v>0.2</v>
      </c>
      <c r="O577" s="1333" t="str">
        <f t="shared" si="46"/>
        <v/>
      </c>
      <c r="P577" s="1573"/>
    </row>
    <row r="578" spans="2:16">
      <c r="B578" s="1390"/>
      <c r="C578" s="798"/>
      <c r="D578" s="678"/>
      <c r="E578" s="680"/>
      <c r="F578" s="679"/>
      <c r="G578" s="677"/>
      <c r="H578" s="677"/>
      <c r="I578" s="677"/>
      <c r="J578" s="1605">
        <f t="shared" si="43"/>
        <v>0</v>
      </c>
      <c r="K578" s="675"/>
      <c r="L578" s="1605">
        <f t="shared" si="44"/>
        <v>0</v>
      </c>
      <c r="M578" s="673">
        <f t="shared" si="45"/>
        <v>0</v>
      </c>
      <c r="N578" s="1332">
        <v>0.2</v>
      </c>
      <c r="O578" s="1333" t="str">
        <f t="shared" si="46"/>
        <v/>
      </c>
      <c r="P578" s="1573"/>
    </row>
    <row r="579" spans="2:16">
      <c r="B579" s="1390"/>
      <c r="C579" s="798"/>
      <c r="D579" s="678"/>
      <c r="E579" s="680"/>
      <c r="F579" s="679"/>
      <c r="G579" s="677"/>
      <c r="H579" s="677"/>
      <c r="I579" s="677"/>
      <c r="J579" s="1605">
        <f t="shared" si="43"/>
        <v>0</v>
      </c>
      <c r="K579" s="675"/>
      <c r="L579" s="1605">
        <f t="shared" si="44"/>
        <v>0</v>
      </c>
      <c r="M579" s="673">
        <f t="shared" si="45"/>
        <v>0</v>
      </c>
      <c r="N579" s="1332">
        <v>0.2</v>
      </c>
      <c r="O579" s="1333" t="str">
        <f t="shared" si="46"/>
        <v/>
      </c>
      <c r="P579" s="1573"/>
    </row>
    <row r="580" spans="2:16">
      <c r="B580" s="1390"/>
      <c r="C580" s="798"/>
      <c r="D580" s="678"/>
      <c r="E580" s="680"/>
      <c r="F580" s="679"/>
      <c r="G580" s="677"/>
      <c r="H580" s="677"/>
      <c r="I580" s="677"/>
      <c r="J580" s="1605">
        <f t="shared" si="43"/>
        <v>0</v>
      </c>
      <c r="K580" s="675"/>
      <c r="L580" s="1605">
        <f t="shared" si="44"/>
        <v>0</v>
      </c>
      <c r="M580" s="673">
        <f t="shared" si="45"/>
        <v>0</v>
      </c>
      <c r="N580" s="1332">
        <v>0.2</v>
      </c>
      <c r="O580" s="1333" t="str">
        <f t="shared" si="46"/>
        <v/>
      </c>
      <c r="P580" s="1573"/>
    </row>
    <row r="581" spans="2:16">
      <c r="B581" s="1390"/>
      <c r="C581" s="798"/>
      <c r="D581" s="678"/>
      <c r="E581" s="680"/>
      <c r="F581" s="679"/>
      <c r="G581" s="677"/>
      <c r="H581" s="677"/>
      <c r="I581" s="677"/>
      <c r="J581" s="1605">
        <f t="shared" si="43"/>
        <v>0</v>
      </c>
      <c r="K581" s="675"/>
      <c r="L581" s="1605">
        <f t="shared" si="44"/>
        <v>0</v>
      </c>
      <c r="M581" s="673">
        <f t="shared" si="45"/>
        <v>0</v>
      </c>
      <c r="N581" s="1332">
        <v>0.2</v>
      </c>
      <c r="O581" s="1333" t="str">
        <f t="shared" si="46"/>
        <v/>
      </c>
      <c r="P581" s="1573"/>
    </row>
    <row r="582" spans="2:16">
      <c r="B582" s="1390"/>
      <c r="C582" s="798"/>
      <c r="D582" s="678"/>
      <c r="E582" s="680"/>
      <c r="F582" s="679"/>
      <c r="G582" s="677"/>
      <c r="H582" s="677"/>
      <c r="I582" s="677"/>
      <c r="J582" s="1605">
        <f t="shared" si="43"/>
        <v>0</v>
      </c>
      <c r="K582" s="675"/>
      <c r="L582" s="1605">
        <f t="shared" si="44"/>
        <v>0</v>
      </c>
      <c r="M582" s="673">
        <f t="shared" si="45"/>
        <v>0</v>
      </c>
      <c r="N582" s="1332">
        <v>0.2</v>
      </c>
      <c r="O582" s="1333" t="str">
        <f t="shared" si="46"/>
        <v/>
      </c>
      <c r="P582" s="1573"/>
    </row>
    <row r="583" spans="2:16">
      <c r="B583" s="1390"/>
      <c r="C583" s="798"/>
      <c r="D583" s="678"/>
      <c r="E583" s="680"/>
      <c r="F583" s="679"/>
      <c r="G583" s="677"/>
      <c r="H583" s="677"/>
      <c r="I583" s="677"/>
      <c r="J583" s="1605">
        <f t="shared" si="43"/>
        <v>0</v>
      </c>
      <c r="K583" s="675"/>
      <c r="L583" s="1605">
        <f t="shared" si="44"/>
        <v>0</v>
      </c>
      <c r="M583" s="673">
        <f t="shared" si="45"/>
        <v>0</v>
      </c>
      <c r="N583" s="1332">
        <v>0.2</v>
      </c>
      <c r="O583" s="1333" t="str">
        <f t="shared" si="46"/>
        <v/>
      </c>
      <c r="P583" s="1573"/>
    </row>
    <row r="584" spans="2:16">
      <c r="B584" s="1390"/>
      <c r="C584" s="798"/>
      <c r="D584" s="678"/>
      <c r="E584" s="680"/>
      <c r="F584" s="679"/>
      <c r="G584" s="677"/>
      <c r="H584" s="677"/>
      <c r="I584" s="677"/>
      <c r="J584" s="1605">
        <f t="shared" si="43"/>
        <v>0</v>
      </c>
      <c r="K584" s="675"/>
      <c r="L584" s="1605">
        <f t="shared" si="44"/>
        <v>0</v>
      </c>
      <c r="M584" s="673">
        <f t="shared" si="45"/>
        <v>0</v>
      </c>
      <c r="N584" s="1332">
        <v>0.2</v>
      </c>
      <c r="O584" s="1333" t="str">
        <f t="shared" si="46"/>
        <v/>
      </c>
      <c r="P584" s="1573"/>
    </row>
    <row r="585" spans="2:16">
      <c r="B585" s="1390"/>
      <c r="C585" s="798"/>
      <c r="D585" s="678"/>
      <c r="E585" s="680"/>
      <c r="F585" s="679"/>
      <c r="G585" s="677"/>
      <c r="H585" s="677"/>
      <c r="I585" s="677"/>
      <c r="J585" s="1605">
        <f t="shared" si="43"/>
        <v>0</v>
      </c>
      <c r="K585" s="675"/>
      <c r="L585" s="1605">
        <f t="shared" si="44"/>
        <v>0</v>
      </c>
      <c r="M585" s="673">
        <f t="shared" si="45"/>
        <v>0</v>
      </c>
      <c r="N585" s="1332">
        <v>0.2</v>
      </c>
      <c r="O585" s="1333" t="str">
        <f t="shared" si="46"/>
        <v/>
      </c>
      <c r="P585" s="1573"/>
    </row>
    <row r="586" spans="2:16">
      <c r="B586" s="1390"/>
      <c r="C586" s="798"/>
      <c r="D586" s="678"/>
      <c r="E586" s="680"/>
      <c r="F586" s="679"/>
      <c r="G586" s="677"/>
      <c r="H586" s="677"/>
      <c r="I586" s="677"/>
      <c r="J586" s="1605">
        <f t="shared" si="43"/>
        <v>0</v>
      </c>
      <c r="K586" s="675"/>
      <c r="L586" s="1605">
        <f t="shared" si="44"/>
        <v>0</v>
      </c>
      <c r="M586" s="673">
        <f t="shared" si="45"/>
        <v>0</v>
      </c>
      <c r="N586" s="1332">
        <v>0.2</v>
      </c>
      <c r="O586" s="1333" t="str">
        <f t="shared" si="46"/>
        <v/>
      </c>
      <c r="P586" s="1573"/>
    </row>
    <row r="587" spans="2:16">
      <c r="B587" s="1390"/>
      <c r="C587" s="798"/>
      <c r="D587" s="678"/>
      <c r="E587" s="680"/>
      <c r="F587" s="679"/>
      <c r="G587" s="677"/>
      <c r="H587" s="677"/>
      <c r="I587" s="677"/>
      <c r="J587" s="1605">
        <f t="shared" si="43"/>
        <v>0</v>
      </c>
      <c r="K587" s="675"/>
      <c r="L587" s="1605">
        <f t="shared" si="44"/>
        <v>0</v>
      </c>
      <c r="M587" s="673">
        <f t="shared" si="45"/>
        <v>0</v>
      </c>
      <c r="N587" s="1332">
        <v>0.2</v>
      </c>
      <c r="O587" s="1333" t="str">
        <f t="shared" si="46"/>
        <v/>
      </c>
      <c r="P587" s="1573"/>
    </row>
    <row r="588" spans="2:16">
      <c r="B588" s="1390"/>
      <c r="C588" s="798"/>
      <c r="D588" s="678"/>
      <c r="E588" s="680"/>
      <c r="F588" s="679"/>
      <c r="G588" s="677"/>
      <c r="H588" s="677"/>
      <c r="I588" s="677"/>
      <c r="J588" s="1605">
        <f t="shared" si="43"/>
        <v>0</v>
      </c>
      <c r="K588" s="675"/>
      <c r="L588" s="1605">
        <f t="shared" si="44"/>
        <v>0</v>
      </c>
      <c r="M588" s="673">
        <f t="shared" si="45"/>
        <v>0</v>
      </c>
      <c r="N588" s="1332">
        <v>0.2</v>
      </c>
      <c r="O588" s="1333" t="str">
        <f t="shared" si="46"/>
        <v/>
      </c>
      <c r="P588" s="1573"/>
    </row>
    <row r="589" spans="2:16">
      <c r="B589" s="1390"/>
      <c r="C589" s="798"/>
      <c r="D589" s="678"/>
      <c r="E589" s="680"/>
      <c r="F589" s="679"/>
      <c r="G589" s="677"/>
      <c r="H589" s="677"/>
      <c r="I589" s="677"/>
      <c r="J589" s="1605">
        <f t="shared" si="43"/>
        <v>0</v>
      </c>
      <c r="K589" s="675"/>
      <c r="L589" s="1605">
        <f t="shared" si="44"/>
        <v>0</v>
      </c>
      <c r="M589" s="673">
        <f t="shared" si="45"/>
        <v>0</v>
      </c>
      <c r="N589" s="1332">
        <v>0.2</v>
      </c>
      <c r="O589" s="1333" t="str">
        <f t="shared" si="46"/>
        <v/>
      </c>
      <c r="P589" s="1573"/>
    </row>
    <row r="590" spans="2:16">
      <c r="B590" s="1390"/>
      <c r="C590" s="798"/>
      <c r="D590" s="678"/>
      <c r="E590" s="680"/>
      <c r="F590" s="679"/>
      <c r="G590" s="677"/>
      <c r="H590" s="677"/>
      <c r="I590" s="677"/>
      <c r="J590" s="1605">
        <f t="shared" si="43"/>
        <v>0</v>
      </c>
      <c r="K590" s="675"/>
      <c r="L590" s="1605">
        <f t="shared" si="44"/>
        <v>0</v>
      </c>
      <c r="M590" s="673">
        <f t="shared" si="45"/>
        <v>0</v>
      </c>
      <c r="N590" s="1332">
        <v>0.2</v>
      </c>
      <c r="O590" s="1333" t="str">
        <f t="shared" si="46"/>
        <v/>
      </c>
      <c r="P590" s="1573"/>
    </row>
    <row r="591" spans="2:16">
      <c r="B591" s="1390"/>
      <c r="C591" s="798"/>
      <c r="D591" s="678"/>
      <c r="E591" s="680"/>
      <c r="F591" s="679"/>
      <c r="G591" s="677"/>
      <c r="H591" s="677"/>
      <c r="I591" s="677"/>
      <c r="J591" s="1605">
        <f t="shared" si="43"/>
        <v>0</v>
      </c>
      <c r="K591" s="675"/>
      <c r="L591" s="1605">
        <f t="shared" si="44"/>
        <v>0</v>
      </c>
      <c r="M591" s="673">
        <f t="shared" si="45"/>
        <v>0</v>
      </c>
      <c r="N591" s="1332">
        <v>0.2</v>
      </c>
      <c r="O591" s="1333" t="str">
        <f t="shared" si="46"/>
        <v/>
      </c>
      <c r="P591" s="1573"/>
    </row>
    <row r="592" spans="2:16">
      <c r="B592" s="1390"/>
      <c r="C592" s="798"/>
      <c r="D592" s="678"/>
      <c r="E592" s="680"/>
      <c r="F592" s="679"/>
      <c r="G592" s="677"/>
      <c r="H592" s="677"/>
      <c r="I592" s="677"/>
      <c r="J592" s="1605">
        <f t="shared" si="43"/>
        <v>0</v>
      </c>
      <c r="K592" s="675"/>
      <c r="L592" s="1605">
        <f t="shared" si="44"/>
        <v>0</v>
      </c>
      <c r="M592" s="673">
        <f t="shared" si="45"/>
        <v>0</v>
      </c>
      <c r="N592" s="1332">
        <v>0.2</v>
      </c>
      <c r="O592" s="1333" t="str">
        <f t="shared" si="46"/>
        <v/>
      </c>
      <c r="P592" s="1573"/>
    </row>
    <row r="593" spans="2:16">
      <c r="B593" s="1390"/>
      <c r="C593" s="798"/>
      <c r="D593" s="678"/>
      <c r="E593" s="680"/>
      <c r="F593" s="679"/>
      <c r="G593" s="677"/>
      <c r="H593" s="677"/>
      <c r="I593" s="677"/>
      <c r="J593" s="1605">
        <f t="shared" si="43"/>
        <v>0</v>
      </c>
      <c r="K593" s="675"/>
      <c r="L593" s="1605">
        <f t="shared" si="44"/>
        <v>0</v>
      </c>
      <c r="M593" s="673">
        <f t="shared" si="45"/>
        <v>0</v>
      </c>
      <c r="N593" s="1332">
        <v>0.2</v>
      </c>
      <c r="O593" s="1333" t="str">
        <f t="shared" si="46"/>
        <v/>
      </c>
      <c r="P593" s="1573"/>
    </row>
    <row r="594" spans="2:16">
      <c r="B594" s="1390"/>
      <c r="C594" s="798"/>
      <c r="D594" s="678"/>
      <c r="E594" s="680"/>
      <c r="F594" s="679"/>
      <c r="G594" s="677"/>
      <c r="H594" s="677"/>
      <c r="I594" s="677"/>
      <c r="J594" s="1605">
        <f t="shared" si="43"/>
        <v>0</v>
      </c>
      <c r="K594" s="675"/>
      <c r="L594" s="1605">
        <f t="shared" si="44"/>
        <v>0</v>
      </c>
      <c r="M594" s="673">
        <f t="shared" si="45"/>
        <v>0</v>
      </c>
      <c r="N594" s="1332">
        <v>0.2</v>
      </c>
      <c r="O594" s="1333" t="str">
        <f t="shared" si="46"/>
        <v/>
      </c>
      <c r="P594" s="1573"/>
    </row>
    <row r="595" spans="2:16">
      <c r="B595" s="1390"/>
      <c r="C595" s="798"/>
      <c r="D595" s="678"/>
      <c r="E595" s="680"/>
      <c r="F595" s="679"/>
      <c r="G595" s="677"/>
      <c r="H595" s="677"/>
      <c r="I595" s="677"/>
      <c r="J595" s="1605">
        <f t="shared" si="43"/>
        <v>0</v>
      </c>
      <c r="K595" s="675"/>
      <c r="L595" s="1605">
        <f t="shared" si="44"/>
        <v>0</v>
      </c>
      <c r="M595" s="673">
        <f t="shared" si="45"/>
        <v>0</v>
      </c>
      <c r="N595" s="1332">
        <v>0.2</v>
      </c>
      <c r="O595" s="1333" t="str">
        <f t="shared" si="46"/>
        <v/>
      </c>
      <c r="P595" s="1573"/>
    </row>
    <row r="596" spans="2:16">
      <c r="B596" s="1390"/>
      <c r="C596" s="798"/>
      <c r="D596" s="678"/>
      <c r="E596" s="680"/>
      <c r="F596" s="679"/>
      <c r="G596" s="677"/>
      <c r="H596" s="677"/>
      <c r="I596" s="677"/>
      <c r="J596" s="1605">
        <f t="shared" si="43"/>
        <v>0</v>
      </c>
      <c r="K596" s="675"/>
      <c r="L596" s="1605">
        <f t="shared" si="44"/>
        <v>0</v>
      </c>
      <c r="M596" s="673">
        <f t="shared" si="45"/>
        <v>0</v>
      </c>
      <c r="N596" s="1332">
        <v>0.2</v>
      </c>
      <c r="O596" s="1333" t="str">
        <f t="shared" si="46"/>
        <v/>
      </c>
      <c r="P596" s="1573"/>
    </row>
    <row r="597" spans="2:16">
      <c r="B597" s="1390"/>
      <c r="C597" s="798"/>
      <c r="D597" s="678"/>
      <c r="E597" s="680"/>
      <c r="F597" s="679"/>
      <c r="G597" s="677"/>
      <c r="H597" s="677"/>
      <c r="I597" s="677"/>
      <c r="J597" s="1605">
        <f t="shared" si="43"/>
        <v>0</v>
      </c>
      <c r="K597" s="675"/>
      <c r="L597" s="1605">
        <f t="shared" si="44"/>
        <v>0</v>
      </c>
      <c r="M597" s="673">
        <f t="shared" si="45"/>
        <v>0</v>
      </c>
      <c r="N597" s="1332">
        <v>0.2</v>
      </c>
      <c r="O597" s="1333" t="str">
        <f t="shared" si="46"/>
        <v/>
      </c>
      <c r="P597" s="1573"/>
    </row>
    <row r="598" spans="2:16">
      <c r="B598" s="1390"/>
      <c r="C598" s="798"/>
      <c r="D598" s="678"/>
      <c r="E598" s="680"/>
      <c r="F598" s="679"/>
      <c r="G598" s="677"/>
      <c r="H598" s="677"/>
      <c r="I598" s="677"/>
      <c r="J598" s="1605">
        <f t="shared" si="43"/>
        <v>0</v>
      </c>
      <c r="K598" s="675"/>
      <c r="L598" s="1605">
        <f t="shared" si="44"/>
        <v>0</v>
      </c>
      <c r="M598" s="673">
        <f t="shared" si="45"/>
        <v>0</v>
      </c>
      <c r="N598" s="1332">
        <v>0.2</v>
      </c>
      <c r="O598" s="1333" t="str">
        <f t="shared" si="46"/>
        <v/>
      </c>
      <c r="P598" s="1573"/>
    </row>
    <row r="599" spans="2:16">
      <c r="B599" s="1390"/>
      <c r="C599" s="798"/>
      <c r="D599" s="678"/>
      <c r="E599" s="680"/>
      <c r="F599" s="679"/>
      <c r="G599" s="677"/>
      <c r="H599" s="677"/>
      <c r="I599" s="677"/>
      <c r="J599" s="1605">
        <f t="shared" si="43"/>
        <v>0</v>
      </c>
      <c r="K599" s="675"/>
      <c r="L599" s="1605">
        <f t="shared" si="44"/>
        <v>0</v>
      </c>
      <c r="M599" s="673">
        <f t="shared" si="45"/>
        <v>0</v>
      </c>
      <c r="N599" s="1332">
        <v>0.2</v>
      </c>
      <c r="O599" s="1333" t="str">
        <f t="shared" si="46"/>
        <v/>
      </c>
      <c r="P599" s="1573"/>
    </row>
    <row r="600" spans="2:16">
      <c r="B600" s="1390"/>
      <c r="C600" s="798"/>
      <c r="D600" s="678"/>
      <c r="E600" s="680"/>
      <c r="F600" s="679"/>
      <c r="G600" s="677"/>
      <c r="H600" s="677"/>
      <c r="I600" s="677"/>
      <c r="J600" s="1605">
        <f t="shared" si="43"/>
        <v>0</v>
      </c>
      <c r="K600" s="675"/>
      <c r="L600" s="1605">
        <f t="shared" si="44"/>
        <v>0</v>
      </c>
      <c r="M600" s="673">
        <f t="shared" si="45"/>
        <v>0</v>
      </c>
      <c r="N600" s="1332">
        <v>0.2</v>
      </c>
      <c r="O600" s="1333" t="str">
        <f t="shared" si="46"/>
        <v/>
      </c>
      <c r="P600" s="1573"/>
    </row>
    <row r="601" spans="2:16">
      <c r="B601" s="1390"/>
      <c r="C601" s="798"/>
      <c r="D601" s="678"/>
      <c r="E601" s="680"/>
      <c r="F601" s="679"/>
      <c r="G601" s="677"/>
      <c r="H601" s="677"/>
      <c r="I601" s="677"/>
      <c r="J601" s="1605">
        <f t="shared" si="43"/>
        <v>0</v>
      </c>
      <c r="K601" s="675"/>
      <c r="L601" s="1605">
        <f t="shared" si="44"/>
        <v>0</v>
      </c>
      <c r="M601" s="673">
        <f t="shared" si="45"/>
        <v>0</v>
      </c>
      <c r="N601" s="1332">
        <v>0.2</v>
      </c>
      <c r="O601" s="1333" t="str">
        <f t="shared" si="46"/>
        <v/>
      </c>
      <c r="P601" s="1573"/>
    </row>
    <row r="602" spans="2:16">
      <c r="B602" s="1390"/>
      <c r="C602" s="798"/>
      <c r="D602" s="678"/>
      <c r="E602" s="680"/>
      <c r="F602" s="679"/>
      <c r="G602" s="677"/>
      <c r="H602" s="677"/>
      <c r="I602" s="677"/>
      <c r="J602" s="1605">
        <f t="shared" si="43"/>
        <v>0</v>
      </c>
      <c r="K602" s="675"/>
      <c r="L602" s="1605">
        <f t="shared" si="44"/>
        <v>0</v>
      </c>
      <c r="M602" s="673">
        <f t="shared" si="45"/>
        <v>0</v>
      </c>
      <c r="N602" s="1332">
        <v>0.2</v>
      </c>
      <c r="O602" s="1333" t="str">
        <f t="shared" si="46"/>
        <v/>
      </c>
      <c r="P602" s="1573"/>
    </row>
    <row r="603" spans="2:16">
      <c r="B603" s="1390"/>
      <c r="C603" s="798"/>
      <c r="D603" s="678"/>
      <c r="E603" s="680"/>
      <c r="F603" s="679"/>
      <c r="G603" s="677"/>
      <c r="H603" s="677"/>
      <c r="I603" s="677"/>
      <c r="J603" s="1605">
        <f t="shared" si="43"/>
        <v>0</v>
      </c>
      <c r="K603" s="675"/>
      <c r="L603" s="1605">
        <f t="shared" si="44"/>
        <v>0</v>
      </c>
      <c r="M603" s="673">
        <f t="shared" si="45"/>
        <v>0</v>
      </c>
      <c r="N603" s="1332">
        <v>0.2</v>
      </c>
      <c r="O603" s="1333" t="str">
        <f t="shared" si="46"/>
        <v/>
      </c>
      <c r="P603" s="1573"/>
    </row>
    <row r="604" spans="2:16">
      <c r="B604" s="1390"/>
      <c r="C604" s="798"/>
      <c r="D604" s="678"/>
      <c r="E604" s="680"/>
      <c r="F604" s="679"/>
      <c r="G604" s="677"/>
      <c r="H604" s="677"/>
      <c r="I604" s="677"/>
      <c r="J604" s="1605">
        <f t="shared" si="43"/>
        <v>0</v>
      </c>
      <c r="K604" s="675"/>
      <c r="L604" s="1605">
        <f t="shared" si="44"/>
        <v>0</v>
      </c>
      <c r="M604" s="673">
        <f t="shared" si="45"/>
        <v>0</v>
      </c>
      <c r="N604" s="1332">
        <v>0.2</v>
      </c>
      <c r="O604" s="1333" t="str">
        <f t="shared" si="46"/>
        <v/>
      </c>
      <c r="P604" s="1573"/>
    </row>
    <row r="605" spans="2:16">
      <c r="B605" s="1390"/>
      <c r="C605" s="798"/>
      <c r="D605" s="678"/>
      <c r="E605" s="680"/>
      <c r="F605" s="679"/>
      <c r="G605" s="677"/>
      <c r="H605" s="677"/>
      <c r="I605" s="677"/>
      <c r="J605" s="1605">
        <f t="shared" si="43"/>
        <v>0</v>
      </c>
      <c r="K605" s="675"/>
      <c r="L605" s="1605">
        <f t="shared" si="44"/>
        <v>0</v>
      </c>
      <c r="M605" s="673">
        <f t="shared" si="45"/>
        <v>0</v>
      </c>
      <c r="N605" s="1332">
        <v>0.2</v>
      </c>
      <c r="O605" s="1333" t="str">
        <f t="shared" si="46"/>
        <v/>
      </c>
      <c r="P605" s="1573"/>
    </row>
    <row r="606" spans="2:16">
      <c r="B606" s="1390"/>
      <c r="C606" s="798"/>
      <c r="D606" s="678"/>
      <c r="E606" s="680"/>
      <c r="F606" s="679"/>
      <c r="G606" s="677"/>
      <c r="H606" s="677"/>
      <c r="I606" s="677"/>
      <c r="J606" s="1605">
        <f t="shared" si="43"/>
        <v>0</v>
      </c>
      <c r="K606" s="675"/>
      <c r="L606" s="1605">
        <f t="shared" si="44"/>
        <v>0</v>
      </c>
      <c r="M606" s="673">
        <f t="shared" si="45"/>
        <v>0</v>
      </c>
      <c r="N606" s="1332">
        <v>0.2</v>
      </c>
      <c r="O606" s="1333" t="str">
        <f t="shared" si="46"/>
        <v/>
      </c>
      <c r="P606" s="1573"/>
    </row>
    <row r="607" spans="2:16">
      <c r="B607" s="1390"/>
      <c r="C607" s="798"/>
      <c r="D607" s="678"/>
      <c r="E607" s="680"/>
      <c r="F607" s="679"/>
      <c r="G607" s="677"/>
      <c r="H607" s="677"/>
      <c r="I607" s="677"/>
      <c r="J607" s="1605">
        <f t="shared" si="43"/>
        <v>0</v>
      </c>
      <c r="K607" s="675"/>
      <c r="L607" s="1605">
        <f t="shared" si="44"/>
        <v>0</v>
      </c>
      <c r="M607" s="673">
        <f t="shared" si="45"/>
        <v>0</v>
      </c>
      <c r="N607" s="1332">
        <v>0.2</v>
      </c>
      <c r="O607" s="1333" t="str">
        <f t="shared" si="46"/>
        <v/>
      </c>
      <c r="P607" s="1573"/>
    </row>
    <row r="608" spans="2:16">
      <c r="B608" s="1390"/>
      <c r="C608" s="798"/>
      <c r="D608" s="678"/>
      <c r="E608" s="680"/>
      <c r="F608" s="679"/>
      <c r="G608" s="677"/>
      <c r="H608" s="677"/>
      <c r="I608" s="677"/>
      <c r="J608" s="1605">
        <f t="shared" si="43"/>
        <v>0</v>
      </c>
      <c r="K608" s="675"/>
      <c r="L608" s="1605">
        <f t="shared" si="44"/>
        <v>0</v>
      </c>
      <c r="M608" s="673">
        <f t="shared" si="45"/>
        <v>0</v>
      </c>
      <c r="N608" s="1332">
        <v>0.2</v>
      </c>
      <c r="O608" s="1333" t="str">
        <f t="shared" si="46"/>
        <v/>
      </c>
      <c r="P608" s="1573"/>
    </row>
    <row r="609" spans="2:16">
      <c r="B609" s="1390"/>
      <c r="C609" s="798"/>
      <c r="D609" s="678"/>
      <c r="E609" s="680"/>
      <c r="F609" s="679"/>
      <c r="G609" s="677"/>
      <c r="H609" s="677"/>
      <c r="I609" s="677"/>
      <c r="J609" s="1605">
        <f t="shared" si="43"/>
        <v>0</v>
      </c>
      <c r="K609" s="675"/>
      <c r="L609" s="1605">
        <f t="shared" si="44"/>
        <v>0</v>
      </c>
      <c r="M609" s="673">
        <f t="shared" si="45"/>
        <v>0</v>
      </c>
      <c r="N609" s="1332">
        <v>0.2</v>
      </c>
      <c r="O609" s="1333" t="str">
        <f t="shared" si="46"/>
        <v/>
      </c>
      <c r="P609" s="1573"/>
    </row>
    <row r="610" spans="2:16">
      <c r="B610" s="1390"/>
      <c r="C610" s="798"/>
      <c r="D610" s="678"/>
      <c r="E610" s="680"/>
      <c r="F610" s="679"/>
      <c r="G610" s="677"/>
      <c r="H610" s="677"/>
      <c r="I610" s="677"/>
      <c r="J610" s="1605">
        <f t="shared" si="43"/>
        <v>0</v>
      </c>
      <c r="K610" s="675"/>
      <c r="L610" s="1605">
        <f t="shared" si="44"/>
        <v>0</v>
      </c>
      <c r="M610" s="673">
        <f t="shared" si="45"/>
        <v>0</v>
      </c>
      <c r="N610" s="1332">
        <v>0.2</v>
      </c>
      <c r="O610" s="1333" t="str">
        <f t="shared" si="46"/>
        <v/>
      </c>
      <c r="P610" s="1573"/>
    </row>
    <row r="611" spans="2:16">
      <c r="B611" s="1390"/>
      <c r="C611" s="798"/>
      <c r="D611" s="678"/>
      <c r="E611" s="680"/>
      <c r="F611" s="679"/>
      <c r="G611" s="677"/>
      <c r="H611" s="677"/>
      <c r="I611" s="677"/>
      <c r="J611" s="1605">
        <f t="shared" si="43"/>
        <v>0</v>
      </c>
      <c r="K611" s="675"/>
      <c r="L611" s="1605">
        <f t="shared" si="44"/>
        <v>0</v>
      </c>
      <c r="M611" s="673">
        <f t="shared" si="45"/>
        <v>0</v>
      </c>
      <c r="N611" s="1332">
        <v>0.2</v>
      </c>
      <c r="O611" s="1333" t="str">
        <f t="shared" si="46"/>
        <v/>
      </c>
      <c r="P611" s="1573"/>
    </row>
    <row r="612" spans="2:16">
      <c r="B612" s="1390"/>
      <c r="C612" s="798"/>
      <c r="D612" s="678"/>
      <c r="E612" s="680"/>
      <c r="F612" s="679"/>
      <c r="G612" s="677"/>
      <c r="H612" s="677"/>
      <c r="I612" s="677"/>
      <c r="J612" s="1605">
        <f t="shared" si="43"/>
        <v>0</v>
      </c>
      <c r="K612" s="675"/>
      <c r="L612" s="1605">
        <f t="shared" si="44"/>
        <v>0</v>
      </c>
      <c r="M612" s="673">
        <f t="shared" si="45"/>
        <v>0</v>
      </c>
      <c r="N612" s="1332">
        <v>0.2</v>
      </c>
      <c r="O612" s="1333" t="str">
        <f t="shared" si="46"/>
        <v/>
      </c>
      <c r="P612" s="1573"/>
    </row>
    <row r="613" spans="2:16">
      <c r="B613" s="1390"/>
      <c r="C613" s="798"/>
      <c r="D613" s="678"/>
      <c r="E613" s="680"/>
      <c r="F613" s="679"/>
      <c r="G613" s="677"/>
      <c r="H613" s="677"/>
      <c r="I613" s="677"/>
      <c r="J613" s="1605">
        <f t="shared" si="43"/>
        <v>0</v>
      </c>
      <c r="K613" s="675"/>
      <c r="L613" s="1605">
        <f t="shared" si="44"/>
        <v>0</v>
      </c>
      <c r="M613" s="673">
        <f t="shared" si="45"/>
        <v>0</v>
      </c>
      <c r="N613" s="1332">
        <v>0.2</v>
      </c>
      <c r="O613" s="1333" t="str">
        <f t="shared" si="46"/>
        <v/>
      </c>
      <c r="P613" s="1573"/>
    </row>
    <row r="614" spans="2:16">
      <c r="B614" s="1390"/>
      <c r="C614" s="798"/>
      <c r="D614" s="678"/>
      <c r="E614" s="680"/>
      <c r="F614" s="679"/>
      <c r="G614" s="677"/>
      <c r="H614" s="677"/>
      <c r="I614" s="677"/>
      <c r="J614" s="1605">
        <f t="shared" si="43"/>
        <v>0</v>
      </c>
      <c r="K614" s="675"/>
      <c r="L614" s="1605">
        <f t="shared" si="44"/>
        <v>0</v>
      </c>
      <c r="M614" s="673">
        <f t="shared" si="45"/>
        <v>0</v>
      </c>
      <c r="N614" s="1332">
        <v>0.2</v>
      </c>
      <c r="O614" s="1333" t="str">
        <f t="shared" si="46"/>
        <v/>
      </c>
      <c r="P614" s="1573"/>
    </row>
    <row r="615" spans="2:16">
      <c r="B615" s="1390"/>
      <c r="C615" s="798"/>
      <c r="D615" s="678"/>
      <c r="E615" s="680"/>
      <c r="F615" s="679"/>
      <c r="G615" s="677"/>
      <c r="H615" s="677"/>
      <c r="I615" s="677"/>
      <c r="J615" s="1605">
        <f t="shared" si="43"/>
        <v>0</v>
      </c>
      <c r="K615" s="675"/>
      <c r="L615" s="1605">
        <f t="shared" si="44"/>
        <v>0</v>
      </c>
      <c r="M615" s="673">
        <f t="shared" si="45"/>
        <v>0</v>
      </c>
      <c r="N615" s="1332">
        <v>0.2</v>
      </c>
      <c r="O615" s="1333" t="str">
        <f t="shared" si="46"/>
        <v/>
      </c>
      <c r="P615" s="1573"/>
    </row>
    <row r="616" spans="2:16">
      <c r="B616" s="1390"/>
      <c r="C616" s="798"/>
      <c r="D616" s="678"/>
      <c r="E616" s="680"/>
      <c r="F616" s="679"/>
      <c r="G616" s="677"/>
      <c r="H616" s="677"/>
      <c r="I616" s="677"/>
      <c r="J616" s="1605">
        <f t="shared" si="43"/>
        <v>0</v>
      </c>
      <c r="K616" s="675"/>
      <c r="L616" s="1605">
        <f t="shared" si="44"/>
        <v>0</v>
      </c>
      <c r="M616" s="673">
        <f t="shared" si="45"/>
        <v>0</v>
      </c>
      <c r="N616" s="1332">
        <v>0.2</v>
      </c>
      <c r="O616" s="1333" t="str">
        <f t="shared" si="46"/>
        <v/>
      </c>
      <c r="P616" s="1573"/>
    </row>
    <row r="617" spans="2:16">
      <c r="B617" s="1390"/>
      <c r="C617" s="798"/>
      <c r="D617" s="678"/>
      <c r="E617" s="680"/>
      <c r="F617" s="679"/>
      <c r="G617" s="677"/>
      <c r="H617" s="677"/>
      <c r="I617" s="677"/>
      <c r="J617" s="1605">
        <f t="shared" si="43"/>
        <v>0</v>
      </c>
      <c r="K617" s="675"/>
      <c r="L617" s="1605">
        <f t="shared" si="44"/>
        <v>0</v>
      </c>
      <c r="M617" s="673">
        <f t="shared" si="45"/>
        <v>0</v>
      </c>
      <c r="N617" s="1332">
        <v>0.2</v>
      </c>
      <c r="O617" s="1333" t="str">
        <f t="shared" si="46"/>
        <v/>
      </c>
      <c r="P617" s="1573"/>
    </row>
    <row r="618" spans="2:16">
      <c r="B618" s="1390"/>
      <c r="C618" s="798"/>
      <c r="D618" s="678"/>
      <c r="E618" s="680"/>
      <c r="F618" s="679"/>
      <c r="G618" s="677"/>
      <c r="H618" s="677"/>
      <c r="I618" s="677"/>
      <c r="J618" s="1605">
        <f t="shared" si="43"/>
        <v>0</v>
      </c>
      <c r="K618" s="675"/>
      <c r="L618" s="1605">
        <f t="shared" si="44"/>
        <v>0</v>
      </c>
      <c r="M618" s="673">
        <f t="shared" si="45"/>
        <v>0</v>
      </c>
      <c r="N618" s="1332">
        <v>0.2</v>
      </c>
      <c r="O618" s="1333" t="str">
        <f t="shared" si="46"/>
        <v/>
      </c>
      <c r="P618" s="1573"/>
    </row>
    <row r="619" spans="2:16">
      <c r="B619" s="1390"/>
      <c r="C619" s="798"/>
      <c r="D619" s="678"/>
      <c r="E619" s="680"/>
      <c r="F619" s="679"/>
      <c r="G619" s="677"/>
      <c r="H619" s="677"/>
      <c r="I619" s="677"/>
      <c r="J619" s="1605">
        <f t="shared" si="43"/>
        <v>0</v>
      </c>
      <c r="K619" s="675"/>
      <c r="L619" s="1605">
        <f t="shared" si="44"/>
        <v>0</v>
      </c>
      <c r="M619" s="673">
        <f t="shared" si="45"/>
        <v>0</v>
      </c>
      <c r="N619" s="1332">
        <v>0.2</v>
      </c>
      <c r="O619" s="1333" t="str">
        <f t="shared" si="46"/>
        <v/>
      </c>
      <c r="P619" s="1573"/>
    </row>
    <row r="620" spans="2:16">
      <c r="B620" s="1390"/>
      <c r="C620" s="798"/>
      <c r="D620" s="678"/>
      <c r="E620" s="680"/>
      <c r="F620" s="679"/>
      <c r="G620" s="677"/>
      <c r="H620" s="677"/>
      <c r="I620" s="677"/>
      <c r="J620" s="1605">
        <f t="shared" ref="J620:J683" si="47">H620+I620</f>
        <v>0</v>
      </c>
      <c r="K620" s="675"/>
      <c r="L620" s="1605">
        <f t="shared" ref="L620:L683" si="48">J620*K620</f>
        <v>0</v>
      </c>
      <c r="M620" s="673">
        <f t="shared" ref="M620:M683" si="49">L620/$D$9</f>
        <v>0</v>
      </c>
      <c r="N620" s="1332">
        <v>0.2</v>
      </c>
      <c r="O620" s="1333" t="str">
        <f t="shared" ref="O620:O683" si="50">IF((M620-N620)&gt;0,M620-N620,"")</f>
        <v/>
      </c>
      <c r="P620" s="1573"/>
    </row>
    <row r="621" spans="2:16">
      <c r="B621" s="1390"/>
      <c r="C621" s="798"/>
      <c r="D621" s="678"/>
      <c r="E621" s="680"/>
      <c r="F621" s="679"/>
      <c r="G621" s="677"/>
      <c r="H621" s="677"/>
      <c r="I621" s="677"/>
      <c r="J621" s="1605">
        <f t="shared" si="47"/>
        <v>0</v>
      </c>
      <c r="K621" s="675"/>
      <c r="L621" s="1605">
        <f t="shared" si="48"/>
        <v>0</v>
      </c>
      <c r="M621" s="673">
        <f t="shared" si="49"/>
        <v>0</v>
      </c>
      <c r="N621" s="1332">
        <v>0.2</v>
      </c>
      <c r="O621" s="1333" t="str">
        <f t="shared" si="50"/>
        <v/>
      </c>
      <c r="P621" s="1573"/>
    </row>
    <row r="622" spans="2:16">
      <c r="B622" s="1390"/>
      <c r="C622" s="798"/>
      <c r="D622" s="678"/>
      <c r="E622" s="680"/>
      <c r="F622" s="679"/>
      <c r="G622" s="677"/>
      <c r="H622" s="677"/>
      <c r="I622" s="677"/>
      <c r="J622" s="1605">
        <f t="shared" si="47"/>
        <v>0</v>
      </c>
      <c r="K622" s="675"/>
      <c r="L622" s="1605">
        <f t="shared" si="48"/>
        <v>0</v>
      </c>
      <c r="M622" s="673">
        <f t="shared" si="49"/>
        <v>0</v>
      </c>
      <c r="N622" s="1332">
        <v>0.2</v>
      </c>
      <c r="O622" s="1333" t="str">
        <f t="shared" si="50"/>
        <v/>
      </c>
      <c r="P622" s="1573"/>
    </row>
    <row r="623" spans="2:16">
      <c r="B623" s="1390"/>
      <c r="C623" s="798"/>
      <c r="D623" s="678"/>
      <c r="E623" s="680"/>
      <c r="F623" s="679"/>
      <c r="G623" s="677"/>
      <c r="H623" s="677"/>
      <c r="I623" s="677"/>
      <c r="J623" s="1605">
        <f t="shared" si="47"/>
        <v>0</v>
      </c>
      <c r="K623" s="675"/>
      <c r="L623" s="1605">
        <f t="shared" si="48"/>
        <v>0</v>
      </c>
      <c r="M623" s="673">
        <f t="shared" si="49"/>
        <v>0</v>
      </c>
      <c r="N623" s="1332">
        <v>0.2</v>
      </c>
      <c r="O623" s="1333" t="str">
        <f t="shared" si="50"/>
        <v/>
      </c>
      <c r="P623" s="1573"/>
    </row>
    <row r="624" spans="2:16">
      <c r="B624" s="1390"/>
      <c r="C624" s="798"/>
      <c r="D624" s="678"/>
      <c r="E624" s="680"/>
      <c r="F624" s="679"/>
      <c r="G624" s="677"/>
      <c r="H624" s="677"/>
      <c r="I624" s="677"/>
      <c r="J624" s="1605">
        <f t="shared" si="47"/>
        <v>0</v>
      </c>
      <c r="K624" s="675"/>
      <c r="L624" s="1605">
        <f t="shared" si="48"/>
        <v>0</v>
      </c>
      <c r="M624" s="673">
        <f t="shared" si="49"/>
        <v>0</v>
      </c>
      <c r="N624" s="1332">
        <v>0.2</v>
      </c>
      <c r="O624" s="1333" t="str">
        <f t="shared" si="50"/>
        <v/>
      </c>
      <c r="P624" s="1573"/>
    </row>
    <row r="625" spans="2:16">
      <c r="B625" s="1390"/>
      <c r="C625" s="798"/>
      <c r="D625" s="678"/>
      <c r="E625" s="680"/>
      <c r="F625" s="679"/>
      <c r="G625" s="677"/>
      <c r="H625" s="677"/>
      <c r="I625" s="677"/>
      <c r="J625" s="1605">
        <f t="shared" si="47"/>
        <v>0</v>
      </c>
      <c r="K625" s="675"/>
      <c r="L625" s="1605">
        <f t="shared" si="48"/>
        <v>0</v>
      </c>
      <c r="M625" s="673">
        <f t="shared" si="49"/>
        <v>0</v>
      </c>
      <c r="N625" s="1332">
        <v>0.2</v>
      </c>
      <c r="O625" s="1333" t="str">
        <f t="shared" si="50"/>
        <v/>
      </c>
      <c r="P625" s="1573"/>
    </row>
    <row r="626" spans="2:16">
      <c r="B626" s="1390"/>
      <c r="C626" s="798"/>
      <c r="D626" s="678"/>
      <c r="E626" s="680"/>
      <c r="F626" s="679"/>
      <c r="G626" s="677"/>
      <c r="H626" s="677"/>
      <c r="I626" s="677"/>
      <c r="J626" s="1605">
        <f t="shared" si="47"/>
        <v>0</v>
      </c>
      <c r="K626" s="675"/>
      <c r="L626" s="1605">
        <f t="shared" si="48"/>
        <v>0</v>
      </c>
      <c r="M626" s="673">
        <f t="shared" si="49"/>
        <v>0</v>
      </c>
      <c r="N626" s="1332">
        <v>0.2</v>
      </c>
      <c r="O626" s="1333" t="str">
        <f t="shared" si="50"/>
        <v/>
      </c>
      <c r="P626" s="1573"/>
    </row>
    <row r="627" spans="2:16">
      <c r="B627" s="1390"/>
      <c r="C627" s="798"/>
      <c r="D627" s="678"/>
      <c r="E627" s="680"/>
      <c r="F627" s="679"/>
      <c r="G627" s="677"/>
      <c r="H627" s="677"/>
      <c r="I627" s="677"/>
      <c r="J627" s="1605">
        <f t="shared" si="47"/>
        <v>0</v>
      </c>
      <c r="K627" s="675"/>
      <c r="L627" s="1605">
        <f t="shared" si="48"/>
        <v>0</v>
      </c>
      <c r="M627" s="673">
        <f t="shared" si="49"/>
        <v>0</v>
      </c>
      <c r="N627" s="1332">
        <v>0.2</v>
      </c>
      <c r="O627" s="1333" t="str">
        <f t="shared" si="50"/>
        <v/>
      </c>
      <c r="P627" s="1573"/>
    </row>
    <row r="628" spans="2:16">
      <c r="B628" s="1390"/>
      <c r="C628" s="798"/>
      <c r="D628" s="678"/>
      <c r="E628" s="680"/>
      <c r="F628" s="679"/>
      <c r="G628" s="677"/>
      <c r="H628" s="677"/>
      <c r="I628" s="677"/>
      <c r="J628" s="1605">
        <f t="shared" si="47"/>
        <v>0</v>
      </c>
      <c r="K628" s="675"/>
      <c r="L628" s="1605">
        <f t="shared" si="48"/>
        <v>0</v>
      </c>
      <c r="M628" s="673">
        <f t="shared" si="49"/>
        <v>0</v>
      </c>
      <c r="N628" s="1332">
        <v>0.2</v>
      </c>
      <c r="O628" s="1333" t="str">
        <f t="shared" si="50"/>
        <v/>
      </c>
      <c r="P628" s="1573"/>
    </row>
    <row r="629" spans="2:16">
      <c r="B629" s="1390"/>
      <c r="C629" s="798"/>
      <c r="D629" s="678"/>
      <c r="E629" s="680"/>
      <c r="F629" s="679"/>
      <c r="G629" s="677"/>
      <c r="H629" s="677"/>
      <c r="I629" s="677"/>
      <c r="J629" s="1605">
        <f t="shared" si="47"/>
        <v>0</v>
      </c>
      <c r="K629" s="675"/>
      <c r="L629" s="1605">
        <f t="shared" si="48"/>
        <v>0</v>
      </c>
      <c r="M629" s="673">
        <f t="shared" si="49"/>
        <v>0</v>
      </c>
      <c r="N629" s="1332">
        <v>0.2</v>
      </c>
      <c r="O629" s="1333" t="str">
        <f t="shared" si="50"/>
        <v/>
      </c>
      <c r="P629" s="1573"/>
    </row>
    <row r="630" spans="2:16">
      <c r="B630" s="1390"/>
      <c r="C630" s="798"/>
      <c r="D630" s="678"/>
      <c r="E630" s="680"/>
      <c r="F630" s="679"/>
      <c r="G630" s="677"/>
      <c r="H630" s="677"/>
      <c r="I630" s="677"/>
      <c r="J630" s="1605">
        <f t="shared" si="47"/>
        <v>0</v>
      </c>
      <c r="K630" s="675"/>
      <c r="L630" s="1605">
        <f t="shared" si="48"/>
        <v>0</v>
      </c>
      <c r="M630" s="673">
        <f t="shared" si="49"/>
        <v>0</v>
      </c>
      <c r="N630" s="1332">
        <v>0.2</v>
      </c>
      <c r="O630" s="1333" t="str">
        <f t="shared" si="50"/>
        <v/>
      </c>
      <c r="P630" s="1573"/>
    </row>
    <row r="631" spans="2:16">
      <c r="B631" s="1390"/>
      <c r="C631" s="798"/>
      <c r="D631" s="678"/>
      <c r="E631" s="680"/>
      <c r="F631" s="679"/>
      <c r="G631" s="677"/>
      <c r="H631" s="677"/>
      <c r="I631" s="677"/>
      <c r="J631" s="1605">
        <f t="shared" si="47"/>
        <v>0</v>
      </c>
      <c r="K631" s="675"/>
      <c r="L631" s="1605">
        <f t="shared" si="48"/>
        <v>0</v>
      </c>
      <c r="M631" s="673">
        <f t="shared" si="49"/>
        <v>0</v>
      </c>
      <c r="N631" s="1332">
        <v>0.2</v>
      </c>
      <c r="O631" s="1333" t="str">
        <f t="shared" si="50"/>
        <v/>
      </c>
      <c r="P631" s="1573"/>
    </row>
    <row r="632" spans="2:16">
      <c r="B632" s="1390"/>
      <c r="C632" s="798"/>
      <c r="D632" s="678"/>
      <c r="E632" s="680"/>
      <c r="F632" s="679"/>
      <c r="G632" s="677"/>
      <c r="H632" s="677"/>
      <c r="I632" s="677"/>
      <c r="J632" s="1605">
        <f t="shared" si="47"/>
        <v>0</v>
      </c>
      <c r="K632" s="675"/>
      <c r="L632" s="1605">
        <f t="shared" si="48"/>
        <v>0</v>
      </c>
      <c r="M632" s="673">
        <f t="shared" si="49"/>
        <v>0</v>
      </c>
      <c r="N632" s="1332">
        <v>0.2</v>
      </c>
      <c r="O632" s="1333" t="str">
        <f t="shared" si="50"/>
        <v/>
      </c>
      <c r="P632" s="1573"/>
    </row>
    <row r="633" spans="2:16">
      <c r="B633" s="1390"/>
      <c r="C633" s="798"/>
      <c r="D633" s="678"/>
      <c r="E633" s="680"/>
      <c r="F633" s="679"/>
      <c r="G633" s="677"/>
      <c r="H633" s="677"/>
      <c r="I633" s="677"/>
      <c r="J633" s="1605">
        <f t="shared" si="47"/>
        <v>0</v>
      </c>
      <c r="K633" s="675"/>
      <c r="L633" s="1605">
        <f t="shared" si="48"/>
        <v>0</v>
      </c>
      <c r="M633" s="673">
        <f t="shared" si="49"/>
        <v>0</v>
      </c>
      <c r="N633" s="1332">
        <v>0.2</v>
      </c>
      <c r="O633" s="1333" t="str">
        <f t="shared" si="50"/>
        <v/>
      </c>
      <c r="P633" s="1573"/>
    </row>
    <row r="634" spans="2:16">
      <c r="B634" s="1390"/>
      <c r="C634" s="798"/>
      <c r="D634" s="678"/>
      <c r="E634" s="680"/>
      <c r="F634" s="679"/>
      <c r="G634" s="677"/>
      <c r="H634" s="677"/>
      <c r="I634" s="677"/>
      <c r="J634" s="1605">
        <f t="shared" si="47"/>
        <v>0</v>
      </c>
      <c r="K634" s="675"/>
      <c r="L634" s="1605">
        <f t="shared" si="48"/>
        <v>0</v>
      </c>
      <c r="M634" s="673">
        <f t="shared" si="49"/>
        <v>0</v>
      </c>
      <c r="N634" s="1332">
        <v>0.2</v>
      </c>
      <c r="O634" s="1333" t="str">
        <f t="shared" si="50"/>
        <v/>
      </c>
      <c r="P634" s="1573"/>
    </row>
    <row r="635" spans="2:16">
      <c r="B635" s="1390"/>
      <c r="C635" s="798"/>
      <c r="D635" s="678"/>
      <c r="E635" s="680"/>
      <c r="F635" s="679"/>
      <c r="G635" s="677"/>
      <c r="H635" s="677"/>
      <c r="I635" s="677"/>
      <c r="J635" s="1605">
        <f t="shared" si="47"/>
        <v>0</v>
      </c>
      <c r="K635" s="675"/>
      <c r="L635" s="1605">
        <f t="shared" si="48"/>
        <v>0</v>
      </c>
      <c r="M635" s="673">
        <f t="shared" si="49"/>
        <v>0</v>
      </c>
      <c r="N635" s="1332">
        <v>0.2</v>
      </c>
      <c r="O635" s="1333" t="str">
        <f t="shared" si="50"/>
        <v/>
      </c>
      <c r="P635" s="1573"/>
    </row>
    <row r="636" spans="2:16">
      <c r="B636" s="1390"/>
      <c r="C636" s="798"/>
      <c r="D636" s="678"/>
      <c r="E636" s="680"/>
      <c r="F636" s="679"/>
      <c r="G636" s="677"/>
      <c r="H636" s="677"/>
      <c r="I636" s="677"/>
      <c r="J636" s="1605">
        <f t="shared" si="47"/>
        <v>0</v>
      </c>
      <c r="K636" s="675"/>
      <c r="L636" s="1605">
        <f t="shared" si="48"/>
        <v>0</v>
      </c>
      <c r="M636" s="673">
        <f t="shared" si="49"/>
        <v>0</v>
      </c>
      <c r="N636" s="1332">
        <v>0.2</v>
      </c>
      <c r="O636" s="1333" t="str">
        <f t="shared" si="50"/>
        <v/>
      </c>
      <c r="P636" s="1573"/>
    </row>
    <row r="637" spans="2:16">
      <c r="B637" s="1390"/>
      <c r="C637" s="798"/>
      <c r="D637" s="678"/>
      <c r="E637" s="680"/>
      <c r="F637" s="679"/>
      <c r="G637" s="677"/>
      <c r="H637" s="677"/>
      <c r="I637" s="677"/>
      <c r="J637" s="1605">
        <f t="shared" si="47"/>
        <v>0</v>
      </c>
      <c r="K637" s="675"/>
      <c r="L637" s="1605">
        <f t="shared" si="48"/>
        <v>0</v>
      </c>
      <c r="M637" s="673">
        <f t="shared" si="49"/>
        <v>0</v>
      </c>
      <c r="N637" s="1332">
        <v>0.2</v>
      </c>
      <c r="O637" s="1333" t="str">
        <f t="shared" si="50"/>
        <v/>
      </c>
      <c r="P637" s="1573"/>
    </row>
    <row r="638" spans="2:16">
      <c r="B638" s="1390"/>
      <c r="C638" s="798"/>
      <c r="D638" s="678"/>
      <c r="E638" s="680"/>
      <c r="F638" s="679"/>
      <c r="G638" s="677"/>
      <c r="H638" s="677"/>
      <c r="I638" s="677"/>
      <c r="J638" s="1605">
        <f t="shared" si="47"/>
        <v>0</v>
      </c>
      <c r="K638" s="675"/>
      <c r="L638" s="1605">
        <f t="shared" si="48"/>
        <v>0</v>
      </c>
      <c r="M638" s="673">
        <f t="shared" si="49"/>
        <v>0</v>
      </c>
      <c r="N638" s="1332">
        <v>0.2</v>
      </c>
      <c r="O638" s="1333" t="str">
        <f t="shared" si="50"/>
        <v/>
      </c>
      <c r="P638" s="1573"/>
    </row>
    <row r="639" spans="2:16">
      <c r="B639" s="1390"/>
      <c r="C639" s="798"/>
      <c r="D639" s="678"/>
      <c r="E639" s="680"/>
      <c r="F639" s="679"/>
      <c r="G639" s="677"/>
      <c r="H639" s="677"/>
      <c r="I639" s="677"/>
      <c r="J639" s="1605">
        <f t="shared" si="47"/>
        <v>0</v>
      </c>
      <c r="K639" s="675"/>
      <c r="L639" s="1605">
        <f t="shared" si="48"/>
        <v>0</v>
      </c>
      <c r="M639" s="673">
        <f t="shared" si="49"/>
        <v>0</v>
      </c>
      <c r="N639" s="1332">
        <v>0.2</v>
      </c>
      <c r="O639" s="1333" t="str">
        <f t="shared" si="50"/>
        <v/>
      </c>
      <c r="P639" s="1573"/>
    </row>
    <row r="640" spans="2:16">
      <c r="B640" s="1390"/>
      <c r="C640" s="798"/>
      <c r="D640" s="678"/>
      <c r="E640" s="680"/>
      <c r="F640" s="679"/>
      <c r="G640" s="677"/>
      <c r="H640" s="677"/>
      <c r="I640" s="677"/>
      <c r="J640" s="1605">
        <f t="shared" si="47"/>
        <v>0</v>
      </c>
      <c r="K640" s="675"/>
      <c r="L640" s="1605">
        <f t="shared" si="48"/>
        <v>0</v>
      </c>
      <c r="M640" s="673">
        <f t="shared" si="49"/>
        <v>0</v>
      </c>
      <c r="N640" s="1332">
        <v>0.2</v>
      </c>
      <c r="O640" s="1333" t="str">
        <f t="shared" si="50"/>
        <v/>
      </c>
      <c r="P640" s="1573"/>
    </row>
    <row r="641" spans="2:16">
      <c r="B641" s="1390"/>
      <c r="C641" s="798"/>
      <c r="D641" s="678"/>
      <c r="E641" s="680"/>
      <c r="F641" s="679"/>
      <c r="G641" s="677"/>
      <c r="H641" s="677"/>
      <c r="I641" s="677"/>
      <c r="J641" s="1605">
        <f t="shared" si="47"/>
        <v>0</v>
      </c>
      <c r="K641" s="675"/>
      <c r="L641" s="1605">
        <f t="shared" si="48"/>
        <v>0</v>
      </c>
      <c r="M641" s="673">
        <f t="shared" si="49"/>
        <v>0</v>
      </c>
      <c r="N641" s="1332">
        <v>0.2</v>
      </c>
      <c r="O641" s="1333" t="str">
        <f t="shared" si="50"/>
        <v/>
      </c>
      <c r="P641" s="1573"/>
    </row>
    <row r="642" spans="2:16">
      <c r="B642" s="1390"/>
      <c r="C642" s="798"/>
      <c r="D642" s="678"/>
      <c r="E642" s="680"/>
      <c r="F642" s="679"/>
      <c r="G642" s="677"/>
      <c r="H642" s="677"/>
      <c r="I642" s="677"/>
      <c r="J642" s="1605">
        <f t="shared" si="47"/>
        <v>0</v>
      </c>
      <c r="K642" s="675"/>
      <c r="L642" s="1605">
        <f t="shared" si="48"/>
        <v>0</v>
      </c>
      <c r="M642" s="673">
        <f t="shared" si="49"/>
        <v>0</v>
      </c>
      <c r="N642" s="1332">
        <v>0.2</v>
      </c>
      <c r="O642" s="1333" t="str">
        <f t="shared" si="50"/>
        <v/>
      </c>
      <c r="P642" s="1573"/>
    </row>
    <row r="643" spans="2:16">
      <c r="B643" s="1390"/>
      <c r="C643" s="798"/>
      <c r="D643" s="678"/>
      <c r="E643" s="680"/>
      <c r="F643" s="679"/>
      <c r="G643" s="677"/>
      <c r="H643" s="677"/>
      <c r="I643" s="677"/>
      <c r="J643" s="1605">
        <f t="shared" si="47"/>
        <v>0</v>
      </c>
      <c r="K643" s="675"/>
      <c r="L643" s="1605">
        <f t="shared" si="48"/>
        <v>0</v>
      </c>
      <c r="M643" s="673">
        <f t="shared" si="49"/>
        <v>0</v>
      </c>
      <c r="N643" s="1332">
        <v>0.2</v>
      </c>
      <c r="O643" s="1333" t="str">
        <f t="shared" si="50"/>
        <v/>
      </c>
      <c r="P643" s="1573"/>
    </row>
    <row r="644" spans="2:16">
      <c r="B644" s="1390"/>
      <c r="C644" s="798"/>
      <c r="D644" s="678"/>
      <c r="E644" s="680"/>
      <c r="F644" s="679"/>
      <c r="G644" s="677"/>
      <c r="H644" s="677"/>
      <c r="I644" s="677"/>
      <c r="J644" s="1605">
        <f t="shared" si="47"/>
        <v>0</v>
      </c>
      <c r="K644" s="675"/>
      <c r="L644" s="1605">
        <f t="shared" si="48"/>
        <v>0</v>
      </c>
      <c r="M644" s="673">
        <f t="shared" si="49"/>
        <v>0</v>
      </c>
      <c r="N644" s="1332">
        <v>0.2</v>
      </c>
      <c r="O644" s="1333" t="str">
        <f t="shared" si="50"/>
        <v/>
      </c>
      <c r="P644" s="1573"/>
    </row>
    <row r="645" spans="2:16">
      <c r="B645" s="1390"/>
      <c r="C645" s="798"/>
      <c r="D645" s="678"/>
      <c r="E645" s="680"/>
      <c r="F645" s="679"/>
      <c r="G645" s="677"/>
      <c r="H645" s="677"/>
      <c r="I645" s="677"/>
      <c r="J645" s="1605">
        <f t="shared" si="47"/>
        <v>0</v>
      </c>
      <c r="K645" s="675"/>
      <c r="L645" s="1605">
        <f t="shared" si="48"/>
        <v>0</v>
      </c>
      <c r="M645" s="673">
        <f t="shared" si="49"/>
        <v>0</v>
      </c>
      <c r="N645" s="1332">
        <v>0.2</v>
      </c>
      <c r="O645" s="1333" t="str">
        <f t="shared" si="50"/>
        <v/>
      </c>
      <c r="P645" s="1573"/>
    </row>
    <row r="646" spans="2:16">
      <c r="B646" s="1390"/>
      <c r="C646" s="798"/>
      <c r="D646" s="678"/>
      <c r="E646" s="680"/>
      <c r="F646" s="679"/>
      <c r="G646" s="677"/>
      <c r="H646" s="677"/>
      <c r="I646" s="677"/>
      <c r="J646" s="1605">
        <f t="shared" si="47"/>
        <v>0</v>
      </c>
      <c r="K646" s="675"/>
      <c r="L646" s="1605">
        <f t="shared" si="48"/>
        <v>0</v>
      </c>
      <c r="M646" s="673">
        <f t="shared" si="49"/>
        <v>0</v>
      </c>
      <c r="N646" s="1332">
        <v>0.2</v>
      </c>
      <c r="O646" s="1333" t="str">
        <f t="shared" si="50"/>
        <v/>
      </c>
      <c r="P646" s="1573"/>
    </row>
    <row r="647" spans="2:16">
      <c r="B647" s="1390"/>
      <c r="C647" s="798"/>
      <c r="D647" s="678"/>
      <c r="E647" s="680"/>
      <c r="F647" s="679"/>
      <c r="G647" s="677"/>
      <c r="H647" s="677"/>
      <c r="I647" s="677"/>
      <c r="J647" s="1605">
        <f t="shared" si="47"/>
        <v>0</v>
      </c>
      <c r="K647" s="675"/>
      <c r="L647" s="1605">
        <f t="shared" si="48"/>
        <v>0</v>
      </c>
      <c r="M647" s="673">
        <f t="shared" si="49"/>
        <v>0</v>
      </c>
      <c r="N647" s="1332">
        <v>0.2</v>
      </c>
      <c r="O647" s="1333" t="str">
        <f t="shared" si="50"/>
        <v/>
      </c>
      <c r="P647" s="1573"/>
    </row>
    <row r="648" spans="2:16">
      <c r="B648" s="1390"/>
      <c r="C648" s="798"/>
      <c r="D648" s="678"/>
      <c r="E648" s="680"/>
      <c r="F648" s="679"/>
      <c r="G648" s="677"/>
      <c r="H648" s="677"/>
      <c r="I648" s="677"/>
      <c r="J648" s="1605">
        <f t="shared" si="47"/>
        <v>0</v>
      </c>
      <c r="K648" s="675"/>
      <c r="L648" s="1605">
        <f t="shared" si="48"/>
        <v>0</v>
      </c>
      <c r="M648" s="673">
        <f t="shared" si="49"/>
        <v>0</v>
      </c>
      <c r="N648" s="1332">
        <v>0.2</v>
      </c>
      <c r="O648" s="1333" t="str">
        <f t="shared" si="50"/>
        <v/>
      </c>
      <c r="P648" s="1573"/>
    </row>
    <row r="649" spans="2:16">
      <c r="B649" s="1390"/>
      <c r="C649" s="798"/>
      <c r="D649" s="678"/>
      <c r="E649" s="680"/>
      <c r="F649" s="679"/>
      <c r="G649" s="677"/>
      <c r="H649" s="677"/>
      <c r="I649" s="677"/>
      <c r="J649" s="1605">
        <f t="shared" si="47"/>
        <v>0</v>
      </c>
      <c r="K649" s="675"/>
      <c r="L649" s="1605">
        <f t="shared" si="48"/>
        <v>0</v>
      </c>
      <c r="M649" s="673">
        <f t="shared" si="49"/>
        <v>0</v>
      </c>
      <c r="N649" s="1332">
        <v>0.2</v>
      </c>
      <c r="O649" s="1333" t="str">
        <f t="shared" si="50"/>
        <v/>
      </c>
      <c r="P649" s="1573"/>
    </row>
    <row r="650" spans="2:16">
      <c r="B650" s="1390"/>
      <c r="C650" s="798"/>
      <c r="D650" s="678"/>
      <c r="E650" s="680"/>
      <c r="F650" s="679"/>
      <c r="G650" s="677"/>
      <c r="H650" s="677"/>
      <c r="I650" s="677"/>
      <c r="J650" s="1605">
        <f t="shared" si="47"/>
        <v>0</v>
      </c>
      <c r="K650" s="675"/>
      <c r="L650" s="1605">
        <f t="shared" si="48"/>
        <v>0</v>
      </c>
      <c r="M650" s="673">
        <f t="shared" si="49"/>
        <v>0</v>
      </c>
      <c r="N650" s="1332">
        <v>0.2</v>
      </c>
      <c r="O650" s="1333" t="str">
        <f t="shared" si="50"/>
        <v/>
      </c>
      <c r="P650" s="1573"/>
    </row>
    <row r="651" spans="2:16">
      <c r="B651" s="1390"/>
      <c r="C651" s="798"/>
      <c r="D651" s="678"/>
      <c r="E651" s="680"/>
      <c r="F651" s="679"/>
      <c r="G651" s="677"/>
      <c r="H651" s="677"/>
      <c r="I651" s="677"/>
      <c r="J651" s="1605">
        <f t="shared" si="47"/>
        <v>0</v>
      </c>
      <c r="K651" s="675"/>
      <c r="L651" s="1605">
        <f t="shared" si="48"/>
        <v>0</v>
      </c>
      <c r="M651" s="673">
        <f t="shared" si="49"/>
        <v>0</v>
      </c>
      <c r="N651" s="1332">
        <v>0.2</v>
      </c>
      <c r="O651" s="1333" t="str">
        <f t="shared" si="50"/>
        <v/>
      </c>
      <c r="P651" s="1573"/>
    </row>
    <row r="652" spans="2:16">
      <c r="B652" s="1390"/>
      <c r="C652" s="798"/>
      <c r="D652" s="678"/>
      <c r="E652" s="680"/>
      <c r="F652" s="679"/>
      <c r="G652" s="677"/>
      <c r="H652" s="677"/>
      <c r="I652" s="677"/>
      <c r="J652" s="1605">
        <f t="shared" si="47"/>
        <v>0</v>
      </c>
      <c r="K652" s="675"/>
      <c r="L652" s="1605">
        <f t="shared" si="48"/>
        <v>0</v>
      </c>
      <c r="M652" s="673">
        <f t="shared" si="49"/>
        <v>0</v>
      </c>
      <c r="N652" s="1332">
        <v>0.2</v>
      </c>
      <c r="O652" s="1333" t="str">
        <f t="shared" si="50"/>
        <v/>
      </c>
      <c r="P652" s="1573"/>
    </row>
    <row r="653" spans="2:16">
      <c r="B653" s="1390"/>
      <c r="C653" s="798"/>
      <c r="D653" s="678"/>
      <c r="E653" s="680"/>
      <c r="F653" s="679"/>
      <c r="G653" s="677"/>
      <c r="H653" s="677"/>
      <c r="I653" s="677"/>
      <c r="J653" s="1605">
        <f t="shared" si="47"/>
        <v>0</v>
      </c>
      <c r="K653" s="675"/>
      <c r="L653" s="1605">
        <f t="shared" si="48"/>
        <v>0</v>
      </c>
      <c r="M653" s="673">
        <f t="shared" si="49"/>
        <v>0</v>
      </c>
      <c r="N653" s="1332">
        <v>0.2</v>
      </c>
      <c r="O653" s="1333" t="str">
        <f t="shared" si="50"/>
        <v/>
      </c>
      <c r="P653" s="1573"/>
    </row>
    <row r="654" spans="2:16">
      <c r="B654" s="1390"/>
      <c r="C654" s="798"/>
      <c r="D654" s="678"/>
      <c r="E654" s="680"/>
      <c r="F654" s="679"/>
      <c r="G654" s="677"/>
      <c r="H654" s="677"/>
      <c r="I654" s="677"/>
      <c r="J654" s="1605">
        <f t="shared" si="47"/>
        <v>0</v>
      </c>
      <c r="K654" s="675"/>
      <c r="L654" s="1605">
        <f t="shared" si="48"/>
        <v>0</v>
      </c>
      <c r="M654" s="673">
        <f t="shared" si="49"/>
        <v>0</v>
      </c>
      <c r="N654" s="1332">
        <v>0.2</v>
      </c>
      <c r="O654" s="1333" t="str">
        <f t="shared" si="50"/>
        <v/>
      </c>
      <c r="P654" s="1573"/>
    </row>
    <row r="655" spans="2:16">
      <c r="B655" s="1390"/>
      <c r="C655" s="798"/>
      <c r="D655" s="678"/>
      <c r="E655" s="680"/>
      <c r="F655" s="679"/>
      <c r="G655" s="677"/>
      <c r="H655" s="677"/>
      <c r="I655" s="677"/>
      <c r="J655" s="1605">
        <f t="shared" si="47"/>
        <v>0</v>
      </c>
      <c r="K655" s="675"/>
      <c r="L655" s="1605">
        <f t="shared" si="48"/>
        <v>0</v>
      </c>
      <c r="M655" s="673">
        <f t="shared" si="49"/>
        <v>0</v>
      </c>
      <c r="N655" s="1332">
        <v>0.2</v>
      </c>
      <c r="O655" s="1333" t="str">
        <f t="shared" si="50"/>
        <v/>
      </c>
      <c r="P655" s="1573"/>
    </row>
    <row r="656" spans="2:16">
      <c r="B656" s="1390"/>
      <c r="C656" s="798"/>
      <c r="D656" s="678"/>
      <c r="E656" s="680"/>
      <c r="F656" s="679"/>
      <c r="G656" s="677"/>
      <c r="H656" s="677"/>
      <c r="I656" s="677"/>
      <c r="J656" s="1605">
        <f t="shared" si="47"/>
        <v>0</v>
      </c>
      <c r="K656" s="675"/>
      <c r="L656" s="1605">
        <f t="shared" si="48"/>
        <v>0</v>
      </c>
      <c r="M656" s="673">
        <f t="shared" si="49"/>
        <v>0</v>
      </c>
      <c r="N656" s="1332">
        <v>0.2</v>
      </c>
      <c r="O656" s="1333" t="str">
        <f t="shared" si="50"/>
        <v/>
      </c>
      <c r="P656" s="1573"/>
    </row>
    <row r="657" spans="2:16">
      <c r="B657" s="1390"/>
      <c r="C657" s="798"/>
      <c r="D657" s="678"/>
      <c r="E657" s="680"/>
      <c r="F657" s="679"/>
      <c r="G657" s="677"/>
      <c r="H657" s="677"/>
      <c r="I657" s="677"/>
      <c r="J657" s="1605">
        <f t="shared" si="47"/>
        <v>0</v>
      </c>
      <c r="K657" s="675"/>
      <c r="L657" s="1605">
        <f t="shared" si="48"/>
        <v>0</v>
      </c>
      <c r="M657" s="673">
        <f t="shared" si="49"/>
        <v>0</v>
      </c>
      <c r="N657" s="1332">
        <v>0.2</v>
      </c>
      <c r="O657" s="1333" t="str">
        <f t="shared" si="50"/>
        <v/>
      </c>
      <c r="P657" s="1573"/>
    </row>
    <row r="658" spans="2:16">
      <c r="B658" s="1390"/>
      <c r="C658" s="798"/>
      <c r="D658" s="678"/>
      <c r="E658" s="680"/>
      <c r="F658" s="679"/>
      <c r="G658" s="677"/>
      <c r="H658" s="677"/>
      <c r="I658" s="677"/>
      <c r="J658" s="1605">
        <f t="shared" si="47"/>
        <v>0</v>
      </c>
      <c r="K658" s="675"/>
      <c r="L658" s="1605">
        <f t="shared" si="48"/>
        <v>0</v>
      </c>
      <c r="M658" s="673">
        <f t="shared" si="49"/>
        <v>0</v>
      </c>
      <c r="N658" s="1332">
        <v>0.2</v>
      </c>
      <c r="O658" s="1333" t="str">
        <f t="shared" si="50"/>
        <v/>
      </c>
      <c r="P658" s="1573"/>
    </row>
    <row r="659" spans="2:16">
      <c r="B659" s="1390"/>
      <c r="C659" s="798"/>
      <c r="D659" s="678"/>
      <c r="E659" s="680"/>
      <c r="F659" s="679"/>
      <c r="G659" s="677"/>
      <c r="H659" s="677"/>
      <c r="I659" s="677"/>
      <c r="J659" s="1605">
        <f t="shared" si="47"/>
        <v>0</v>
      </c>
      <c r="K659" s="675"/>
      <c r="L659" s="1605">
        <f t="shared" si="48"/>
        <v>0</v>
      </c>
      <c r="M659" s="673">
        <f t="shared" si="49"/>
        <v>0</v>
      </c>
      <c r="N659" s="1332">
        <v>0.2</v>
      </c>
      <c r="O659" s="1333" t="str">
        <f t="shared" si="50"/>
        <v/>
      </c>
      <c r="P659" s="1573"/>
    </row>
    <row r="660" spans="2:16">
      <c r="B660" s="1390"/>
      <c r="C660" s="798"/>
      <c r="D660" s="678"/>
      <c r="E660" s="680"/>
      <c r="F660" s="679"/>
      <c r="G660" s="677"/>
      <c r="H660" s="677"/>
      <c r="I660" s="677"/>
      <c r="J660" s="1605">
        <f t="shared" si="47"/>
        <v>0</v>
      </c>
      <c r="K660" s="675"/>
      <c r="L660" s="1605">
        <f t="shared" si="48"/>
        <v>0</v>
      </c>
      <c r="M660" s="673">
        <f t="shared" si="49"/>
        <v>0</v>
      </c>
      <c r="N660" s="1332">
        <v>0.2</v>
      </c>
      <c r="O660" s="1333" t="str">
        <f t="shared" si="50"/>
        <v/>
      </c>
      <c r="P660" s="1573"/>
    </row>
    <row r="661" spans="2:16">
      <c r="B661" s="1390"/>
      <c r="C661" s="798"/>
      <c r="D661" s="678"/>
      <c r="E661" s="680"/>
      <c r="F661" s="679"/>
      <c r="G661" s="677"/>
      <c r="H661" s="677"/>
      <c r="I661" s="677"/>
      <c r="J661" s="1605">
        <f t="shared" si="47"/>
        <v>0</v>
      </c>
      <c r="K661" s="675"/>
      <c r="L661" s="1605">
        <f t="shared" si="48"/>
        <v>0</v>
      </c>
      <c r="M661" s="673">
        <f t="shared" si="49"/>
        <v>0</v>
      </c>
      <c r="N661" s="1332">
        <v>0.2</v>
      </c>
      <c r="O661" s="1333" t="str">
        <f t="shared" si="50"/>
        <v/>
      </c>
      <c r="P661" s="1573"/>
    </row>
    <row r="662" spans="2:16">
      <c r="B662" s="1390"/>
      <c r="C662" s="798"/>
      <c r="D662" s="678"/>
      <c r="E662" s="680"/>
      <c r="F662" s="679"/>
      <c r="G662" s="677"/>
      <c r="H662" s="677"/>
      <c r="I662" s="677"/>
      <c r="J662" s="1605">
        <f t="shared" si="47"/>
        <v>0</v>
      </c>
      <c r="K662" s="675"/>
      <c r="L662" s="1605">
        <f t="shared" si="48"/>
        <v>0</v>
      </c>
      <c r="M662" s="673">
        <f t="shared" si="49"/>
        <v>0</v>
      </c>
      <c r="N662" s="1332">
        <v>0.2</v>
      </c>
      <c r="O662" s="1333" t="str">
        <f t="shared" si="50"/>
        <v/>
      </c>
      <c r="P662" s="1573"/>
    </row>
    <row r="663" spans="2:16">
      <c r="B663" s="1390"/>
      <c r="C663" s="798"/>
      <c r="D663" s="678"/>
      <c r="E663" s="680"/>
      <c r="F663" s="679"/>
      <c r="G663" s="677"/>
      <c r="H663" s="677"/>
      <c r="I663" s="677"/>
      <c r="J663" s="1605">
        <f t="shared" si="47"/>
        <v>0</v>
      </c>
      <c r="K663" s="675"/>
      <c r="L663" s="1605">
        <f t="shared" si="48"/>
        <v>0</v>
      </c>
      <c r="M663" s="673">
        <f t="shared" si="49"/>
        <v>0</v>
      </c>
      <c r="N663" s="1332">
        <v>0.2</v>
      </c>
      <c r="O663" s="1333" t="str">
        <f t="shared" si="50"/>
        <v/>
      </c>
      <c r="P663" s="1573"/>
    </row>
    <row r="664" spans="2:16">
      <c r="B664" s="1390"/>
      <c r="C664" s="798"/>
      <c r="D664" s="678"/>
      <c r="E664" s="680"/>
      <c r="F664" s="679"/>
      <c r="G664" s="677"/>
      <c r="H664" s="677"/>
      <c r="I664" s="677"/>
      <c r="J664" s="1605">
        <f t="shared" si="47"/>
        <v>0</v>
      </c>
      <c r="K664" s="675"/>
      <c r="L664" s="1605">
        <f t="shared" si="48"/>
        <v>0</v>
      </c>
      <c r="M664" s="673">
        <f t="shared" si="49"/>
        <v>0</v>
      </c>
      <c r="N664" s="1332">
        <v>0.2</v>
      </c>
      <c r="O664" s="1333" t="str">
        <f t="shared" si="50"/>
        <v/>
      </c>
      <c r="P664" s="1573"/>
    </row>
    <row r="665" spans="2:16">
      <c r="B665" s="1390"/>
      <c r="C665" s="798"/>
      <c r="D665" s="678"/>
      <c r="E665" s="680"/>
      <c r="F665" s="679"/>
      <c r="G665" s="677"/>
      <c r="H665" s="677"/>
      <c r="I665" s="677"/>
      <c r="J665" s="1605">
        <f t="shared" si="47"/>
        <v>0</v>
      </c>
      <c r="K665" s="675"/>
      <c r="L665" s="1605">
        <f t="shared" si="48"/>
        <v>0</v>
      </c>
      <c r="M665" s="673">
        <f t="shared" si="49"/>
        <v>0</v>
      </c>
      <c r="N665" s="1332">
        <v>0.2</v>
      </c>
      <c r="O665" s="1333" t="str">
        <f t="shared" si="50"/>
        <v/>
      </c>
      <c r="P665" s="1573"/>
    </row>
    <row r="666" spans="2:16">
      <c r="B666" s="1390"/>
      <c r="C666" s="798"/>
      <c r="D666" s="678"/>
      <c r="E666" s="680"/>
      <c r="F666" s="679"/>
      <c r="G666" s="677"/>
      <c r="H666" s="677"/>
      <c r="I666" s="677"/>
      <c r="J666" s="1605">
        <f t="shared" si="47"/>
        <v>0</v>
      </c>
      <c r="K666" s="675"/>
      <c r="L666" s="1605">
        <f t="shared" si="48"/>
        <v>0</v>
      </c>
      <c r="M666" s="673">
        <f t="shared" si="49"/>
        <v>0</v>
      </c>
      <c r="N666" s="1332">
        <v>0.2</v>
      </c>
      <c r="O666" s="1333" t="str">
        <f t="shared" si="50"/>
        <v/>
      </c>
      <c r="P666" s="1573"/>
    </row>
    <row r="667" spans="2:16">
      <c r="B667" s="1390"/>
      <c r="C667" s="798"/>
      <c r="D667" s="678"/>
      <c r="E667" s="680"/>
      <c r="F667" s="679"/>
      <c r="G667" s="677"/>
      <c r="H667" s="677"/>
      <c r="I667" s="677"/>
      <c r="J667" s="1605">
        <f t="shared" si="47"/>
        <v>0</v>
      </c>
      <c r="K667" s="675"/>
      <c r="L667" s="1605">
        <f t="shared" si="48"/>
        <v>0</v>
      </c>
      <c r="M667" s="673">
        <f t="shared" si="49"/>
        <v>0</v>
      </c>
      <c r="N667" s="1332">
        <v>0.2</v>
      </c>
      <c r="O667" s="1333" t="str">
        <f t="shared" si="50"/>
        <v/>
      </c>
      <c r="P667" s="1573"/>
    </row>
    <row r="668" spans="2:16">
      <c r="B668" s="1390"/>
      <c r="C668" s="798"/>
      <c r="D668" s="678"/>
      <c r="E668" s="680"/>
      <c r="F668" s="679"/>
      <c r="G668" s="677"/>
      <c r="H668" s="677"/>
      <c r="I668" s="677"/>
      <c r="J668" s="1605">
        <f t="shared" si="47"/>
        <v>0</v>
      </c>
      <c r="K668" s="675"/>
      <c r="L668" s="1605">
        <f t="shared" si="48"/>
        <v>0</v>
      </c>
      <c r="M668" s="673">
        <f t="shared" si="49"/>
        <v>0</v>
      </c>
      <c r="N668" s="1332">
        <v>0.2</v>
      </c>
      <c r="O668" s="1333" t="str">
        <f t="shared" si="50"/>
        <v/>
      </c>
      <c r="P668" s="1573"/>
    </row>
    <row r="669" spans="2:16">
      <c r="B669" s="1390"/>
      <c r="C669" s="798"/>
      <c r="D669" s="678"/>
      <c r="E669" s="680"/>
      <c r="F669" s="679"/>
      <c r="G669" s="677"/>
      <c r="H669" s="677"/>
      <c r="I669" s="677"/>
      <c r="J669" s="1605">
        <f t="shared" si="47"/>
        <v>0</v>
      </c>
      <c r="K669" s="675"/>
      <c r="L669" s="1605">
        <f t="shared" si="48"/>
        <v>0</v>
      </c>
      <c r="M669" s="673">
        <f t="shared" si="49"/>
        <v>0</v>
      </c>
      <c r="N669" s="1332">
        <v>0.2</v>
      </c>
      <c r="O669" s="1333" t="str">
        <f t="shared" si="50"/>
        <v/>
      </c>
      <c r="P669" s="1573"/>
    </row>
    <row r="670" spans="2:16">
      <c r="B670" s="1390"/>
      <c r="C670" s="798"/>
      <c r="D670" s="678"/>
      <c r="E670" s="680"/>
      <c r="F670" s="679"/>
      <c r="G670" s="677"/>
      <c r="H670" s="677"/>
      <c r="I670" s="677"/>
      <c r="J670" s="1605">
        <f t="shared" si="47"/>
        <v>0</v>
      </c>
      <c r="K670" s="675"/>
      <c r="L670" s="1605">
        <f t="shared" si="48"/>
        <v>0</v>
      </c>
      <c r="M670" s="673">
        <f t="shared" si="49"/>
        <v>0</v>
      </c>
      <c r="N670" s="1332">
        <v>0.2</v>
      </c>
      <c r="O670" s="1333" t="str">
        <f t="shared" si="50"/>
        <v/>
      </c>
      <c r="P670" s="1573"/>
    </row>
    <row r="671" spans="2:16">
      <c r="B671" s="1390"/>
      <c r="C671" s="798"/>
      <c r="D671" s="678"/>
      <c r="E671" s="680"/>
      <c r="F671" s="679"/>
      <c r="G671" s="677"/>
      <c r="H671" s="677"/>
      <c r="I671" s="677"/>
      <c r="J671" s="1605">
        <f t="shared" si="47"/>
        <v>0</v>
      </c>
      <c r="K671" s="675"/>
      <c r="L671" s="1605">
        <f t="shared" si="48"/>
        <v>0</v>
      </c>
      <c r="M671" s="673">
        <f t="shared" si="49"/>
        <v>0</v>
      </c>
      <c r="N671" s="1332">
        <v>0.2</v>
      </c>
      <c r="O671" s="1333" t="str">
        <f t="shared" si="50"/>
        <v/>
      </c>
      <c r="P671" s="1573"/>
    </row>
    <row r="672" spans="2:16">
      <c r="B672" s="1390"/>
      <c r="C672" s="798"/>
      <c r="D672" s="678"/>
      <c r="E672" s="680"/>
      <c r="F672" s="679"/>
      <c r="G672" s="677"/>
      <c r="H672" s="677"/>
      <c r="I672" s="677"/>
      <c r="J672" s="1605">
        <f t="shared" si="47"/>
        <v>0</v>
      </c>
      <c r="K672" s="675"/>
      <c r="L672" s="1605">
        <f t="shared" si="48"/>
        <v>0</v>
      </c>
      <c r="M672" s="673">
        <f t="shared" si="49"/>
        <v>0</v>
      </c>
      <c r="N672" s="1332">
        <v>0.2</v>
      </c>
      <c r="O672" s="1333" t="str">
        <f t="shared" si="50"/>
        <v/>
      </c>
      <c r="P672" s="1573"/>
    </row>
    <row r="673" spans="2:16">
      <c r="B673" s="1390"/>
      <c r="C673" s="798"/>
      <c r="D673" s="678"/>
      <c r="E673" s="680"/>
      <c r="F673" s="679"/>
      <c r="G673" s="677"/>
      <c r="H673" s="677"/>
      <c r="I673" s="677"/>
      <c r="J673" s="1605">
        <f t="shared" si="47"/>
        <v>0</v>
      </c>
      <c r="K673" s="675"/>
      <c r="L673" s="1605">
        <f t="shared" si="48"/>
        <v>0</v>
      </c>
      <c r="M673" s="673">
        <f t="shared" si="49"/>
        <v>0</v>
      </c>
      <c r="N673" s="1332">
        <v>0.2</v>
      </c>
      <c r="O673" s="1333" t="str">
        <f t="shared" si="50"/>
        <v/>
      </c>
      <c r="P673" s="1573"/>
    </row>
    <row r="674" spans="2:16">
      <c r="B674" s="1390"/>
      <c r="C674" s="798"/>
      <c r="D674" s="678"/>
      <c r="E674" s="680"/>
      <c r="F674" s="679"/>
      <c r="G674" s="677"/>
      <c r="H674" s="677"/>
      <c r="I674" s="677"/>
      <c r="J674" s="1605">
        <f t="shared" si="47"/>
        <v>0</v>
      </c>
      <c r="K674" s="675"/>
      <c r="L674" s="1605">
        <f t="shared" si="48"/>
        <v>0</v>
      </c>
      <c r="M674" s="673">
        <f t="shared" si="49"/>
        <v>0</v>
      </c>
      <c r="N674" s="1332">
        <v>0.2</v>
      </c>
      <c r="O674" s="1333" t="str">
        <f t="shared" si="50"/>
        <v/>
      </c>
      <c r="P674" s="1573"/>
    </row>
    <row r="675" spans="2:16">
      <c r="B675" s="1390"/>
      <c r="C675" s="798"/>
      <c r="D675" s="678"/>
      <c r="E675" s="680"/>
      <c r="F675" s="679"/>
      <c r="G675" s="677"/>
      <c r="H675" s="677"/>
      <c r="I675" s="677"/>
      <c r="J675" s="1605">
        <f t="shared" si="47"/>
        <v>0</v>
      </c>
      <c r="K675" s="675"/>
      <c r="L675" s="1605">
        <f t="shared" si="48"/>
        <v>0</v>
      </c>
      <c r="M675" s="673">
        <f t="shared" si="49"/>
        <v>0</v>
      </c>
      <c r="N675" s="1332">
        <v>0.2</v>
      </c>
      <c r="O675" s="1333" t="str">
        <f t="shared" si="50"/>
        <v/>
      </c>
      <c r="P675" s="1573"/>
    </row>
    <row r="676" spans="2:16">
      <c r="B676" s="1390"/>
      <c r="C676" s="798"/>
      <c r="D676" s="678"/>
      <c r="E676" s="680"/>
      <c r="F676" s="679"/>
      <c r="G676" s="677"/>
      <c r="H676" s="677"/>
      <c r="I676" s="677"/>
      <c r="J676" s="1605">
        <f t="shared" si="47"/>
        <v>0</v>
      </c>
      <c r="K676" s="675"/>
      <c r="L676" s="1605">
        <f t="shared" si="48"/>
        <v>0</v>
      </c>
      <c r="M676" s="673">
        <f t="shared" si="49"/>
        <v>0</v>
      </c>
      <c r="N676" s="1332">
        <v>0.2</v>
      </c>
      <c r="O676" s="1333" t="str">
        <f t="shared" si="50"/>
        <v/>
      </c>
      <c r="P676" s="1573"/>
    </row>
    <row r="677" spans="2:16">
      <c r="B677" s="1390"/>
      <c r="C677" s="798"/>
      <c r="D677" s="678"/>
      <c r="E677" s="680"/>
      <c r="F677" s="679"/>
      <c r="G677" s="677"/>
      <c r="H677" s="677"/>
      <c r="I677" s="677"/>
      <c r="J677" s="1605">
        <f t="shared" si="47"/>
        <v>0</v>
      </c>
      <c r="K677" s="675"/>
      <c r="L677" s="1605">
        <f t="shared" si="48"/>
        <v>0</v>
      </c>
      <c r="M677" s="673">
        <f t="shared" si="49"/>
        <v>0</v>
      </c>
      <c r="N677" s="1332">
        <v>0.2</v>
      </c>
      <c r="O677" s="1333" t="str">
        <f t="shared" si="50"/>
        <v/>
      </c>
      <c r="P677" s="1573"/>
    </row>
    <row r="678" spans="2:16">
      <c r="B678" s="1390"/>
      <c r="C678" s="798"/>
      <c r="D678" s="678"/>
      <c r="E678" s="680"/>
      <c r="F678" s="679"/>
      <c r="G678" s="677"/>
      <c r="H678" s="677"/>
      <c r="I678" s="677"/>
      <c r="J678" s="1605">
        <f t="shared" si="47"/>
        <v>0</v>
      </c>
      <c r="K678" s="675"/>
      <c r="L678" s="1605">
        <f t="shared" si="48"/>
        <v>0</v>
      </c>
      <c r="M678" s="673">
        <f t="shared" si="49"/>
        <v>0</v>
      </c>
      <c r="N678" s="1332">
        <v>0.2</v>
      </c>
      <c r="O678" s="1333" t="str">
        <f t="shared" si="50"/>
        <v/>
      </c>
      <c r="P678" s="1573"/>
    </row>
    <row r="679" spans="2:16">
      <c r="B679" s="1390"/>
      <c r="C679" s="798"/>
      <c r="D679" s="678"/>
      <c r="E679" s="680"/>
      <c r="F679" s="679"/>
      <c r="G679" s="677"/>
      <c r="H679" s="677"/>
      <c r="I679" s="677"/>
      <c r="J679" s="1605">
        <f t="shared" si="47"/>
        <v>0</v>
      </c>
      <c r="K679" s="675"/>
      <c r="L679" s="1605">
        <f t="shared" si="48"/>
        <v>0</v>
      </c>
      <c r="M679" s="673">
        <f t="shared" si="49"/>
        <v>0</v>
      </c>
      <c r="N679" s="1332">
        <v>0.2</v>
      </c>
      <c r="O679" s="1333" t="str">
        <f t="shared" si="50"/>
        <v/>
      </c>
      <c r="P679" s="1573"/>
    </row>
    <row r="680" spans="2:16">
      <c r="B680" s="1390"/>
      <c r="C680" s="798"/>
      <c r="D680" s="678"/>
      <c r="E680" s="680"/>
      <c r="F680" s="679"/>
      <c r="G680" s="677"/>
      <c r="H680" s="677"/>
      <c r="I680" s="677"/>
      <c r="J680" s="1605">
        <f t="shared" si="47"/>
        <v>0</v>
      </c>
      <c r="K680" s="675"/>
      <c r="L680" s="1605">
        <f t="shared" si="48"/>
        <v>0</v>
      </c>
      <c r="M680" s="673">
        <f t="shared" si="49"/>
        <v>0</v>
      </c>
      <c r="N680" s="1332">
        <v>0.2</v>
      </c>
      <c r="O680" s="1333" t="str">
        <f t="shared" si="50"/>
        <v/>
      </c>
      <c r="P680" s="1573"/>
    </row>
    <row r="681" spans="2:16">
      <c r="B681" s="1390"/>
      <c r="C681" s="798"/>
      <c r="D681" s="678"/>
      <c r="E681" s="680"/>
      <c r="F681" s="679"/>
      <c r="G681" s="677"/>
      <c r="H681" s="677"/>
      <c r="I681" s="677"/>
      <c r="J681" s="1605">
        <f t="shared" si="47"/>
        <v>0</v>
      </c>
      <c r="K681" s="675"/>
      <c r="L681" s="1605">
        <f t="shared" si="48"/>
        <v>0</v>
      </c>
      <c r="M681" s="673">
        <f t="shared" si="49"/>
        <v>0</v>
      </c>
      <c r="N681" s="1332">
        <v>0.2</v>
      </c>
      <c r="O681" s="1333" t="str">
        <f t="shared" si="50"/>
        <v/>
      </c>
      <c r="P681" s="1573"/>
    </row>
    <row r="682" spans="2:16">
      <c r="B682" s="1390"/>
      <c r="C682" s="798"/>
      <c r="D682" s="678"/>
      <c r="E682" s="680"/>
      <c r="F682" s="679"/>
      <c r="G682" s="677"/>
      <c r="H682" s="677"/>
      <c r="I682" s="677"/>
      <c r="J682" s="1605">
        <f t="shared" si="47"/>
        <v>0</v>
      </c>
      <c r="K682" s="675"/>
      <c r="L682" s="1605">
        <f t="shared" si="48"/>
        <v>0</v>
      </c>
      <c r="M682" s="673">
        <f t="shared" si="49"/>
        <v>0</v>
      </c>
      <c r="N682" s="1332">
        <v>0.2</v>
      </c>
      <c r="O682" s="1333" t="str">
        <f t="shared" si="50"/>
        <v/>
      </c>
      <c r="P682" s="1573"/>
    </row>
    <row r="683" spans="2:16">
      <c r="B683" s="1390"/>
      <c r="C683" s="798"/>
      <c r="D683" s="678"/>
      <c r="E683" s="680"/>
      <c r="F683" s="679"/>
      <c r="G683" s="677"/>
      <c r="H683" s="677"/>
      <c r="I683" s="677"/>
      <c r="J683" s="1605">
        <f t="shared" si="47"/>
        <v>0</v>
      </c>
      <c r="K683" s="675"/>
      <c r="L683" s="1605">
        <f t="shared" si="48"/>
        <v>0</v>
      </c>
      <c r="M683" s="673">
        <f t="shared" si="49"/>
        <v>0</v>
      </c>
      <c r="N683" s="1332">
        <v>0.2</v>
      </c>
      <c r="O683" s="1333" t="str">
        <f t="shared" si="50"/>
        <v/>
      </c>
      <c r="P683" s="1573"/>
    </row>
    <row r="684" spans="2:16">
      <c r="B684" s="1390"/>
      <c r="C684" s="798"/>
      <c r="D684" s="678"/>
      <c r="E684" s="680"/>
      <c r="F684" s="679"/>
      <c r="G684" s="677"/>
      <c r="H684" s="677"/>
      <c r="I684" s="677"/>
      <c r="J684" s="1605">
        <f t="shared" ref="J684:J747" si="51">H684+I684</f>
        <v>0</v>
      </c>
      <c r="K684" s="675"/>
      <c r="L684" s="1605">
        <f t="shared" ref="L684:L747" si="52">J684*K684</f>
        <v>0</v>
      </c>
      <c r="M684" s="673">
        <f t="shared" ref="M684:M747" si="53">L684/$D$9</f>
        <v>0</v>
      </c>
      <c r="N684" s="1332">
        <v>0.2</v>
      </c>
      <c r="O684" s="1333" t="str">
        <f t="shared" ref="O684:O747" si="54">IF((M684-N684)&gt;0,M684-N684,"")</f>
        <v/>
      </c>
      <c r="P684" s="1573"/>
    </row>
    <row r="685" spans="2:16">
      <c r="B685" s="1390"/>
      <c r="C685" s="798"/>
      <c r="D685" s="678"/>
      <c r="E685" s="680"/>
      <c r="F685" s="679"/>
      <c r="G685" s="677"/>
      <c r="H685" s="677"/>
      <c r="I685" s="677"/>
      <c r="J685" s="1605">
        <f t="shared" si="51"/>
        <v>0</v>
      </c>
      <c r="K685" s="675"/>
      <c r="L685" s="1605">
        <f t="shared" si="52"/>
        <v>0</v>
      </c>
      <c r="M685" s="673">
        <f t="shared" si="53"/>
        <v>0</v>
      </c>
      <c r="N685" s="1332">
        <v>0.2</v>
      </c>
      <c r="O685" s="1333" t="str">
        <f t="shared" si="54"/>
        <v/>
      </c>
      <c r="P685" s="1573"/>
    </row>
    <row r="686" spans="2:16">
      <c r="B686" s="1390"/>
      <c r="C686" s="798"/>
      <c r="D686" s="678"/>
      <c r="E686" s="680"/>
      <c r="F686" s="679"/>
      <c r="G686" s="677"/>
      <c r="H686" s="677"/>
      <c r="I686" s="677"/>
      <c r="J686" s="1605">
        <f t="shared" si="51"/>
        <v>0</v>
      </c>
      <c r="K686" s="675"/>
      <c r="L686" s="1605">
        <f t="shared" si="52"/>
        <v>0</v>
      </c>
      <c r="M686" s="673">
        <f t="shared" si="53"/>
        <v>0</v>
      </c>
      <c r="N686" s="1332">
        <v>0.2</v>
      </c>
      <c r="O686" s="1333" t="str">
        <f t="shared" si="54"/>
        <v/>
      </c>
      <c r="P686" s="1573"/>
    </row>
    <row r="687" spans="2:16">
      <c r="B687" s="1390"/>
      <c r="C687" s="798"/>
      <c r="D687" s="678"/>
      <c r="E687" s="680"/>
      <c r="F687" s="679"/>
      <c r="G687" s="677"/>
      <c r="H687" s="677"/>
      <c r="I687" s="677"/>
      <c r="J687" s="1605">
        <f t="shared" si="51"/>
        <v>0</v>
      </c>
      <c r="K687" s="675"/>
      <c r="L687" s="1605">
        <f t="shared" si="52"/>
        <v>0</v>
      </c>
      <c r="M687" s="673">
        <f t="shared" si="53"/>
        <v>0</v>
      </c>
      <c r="N687" s="1332">
        <v>0.2</v>
      </c>
      <c r="O687" s="1333" t="str">
        <f t="shared" si="54"/>
        <v/>
      </c>
      <c r="P687" s="1573"/>
    </row>
    <row r="688" spans="2:16">
      <c r="B688" s="1390"/>
      <c r="C688" s="798"/>
      <c r="D688" s="678"/>
      <c r="E688" s="680"/>
      <c r="F688" s="679"/>
      <c r="G688" s="677"/>
      <c r="H688" s="677"/>
      <c r="I688" s="677"/>
      <c r="J688" s="1605">
        <f t="shared" si="51"/>
        <v>0</v>
      </c>
      <c r="K688" s="675"/>
      <c r="L688" s="1605">
        <f t="shared" si="52"/>
        <v>0</v>
      </c>
      <c r="M688" s="673">
        <f t="shared" si="53"/>
        <v>0</v>
      </c>
      <c r="N688" s="1332">
        <v>0.2</v>
      </c>
      <c r="O688" s="1333" t="str">
        <f t="shared" si="54"/>
        <v/>
      </c>
      <c r="P688" s="1573"/>
    </row>
    <row r="689" spans="2:16">
      <c r="B689" s="1390"/>
      <c r="C689" s="798"/>
      <c r="D689" s="678"/>
      <c r="E689" s="680"/>
      <c r="F689" s="679"/>
      <c r="G689" s="677"/>
      <c r="H689" s="677"/>
      <c r="I689" s="677"/>
      <c r="J689" s="1605">
        <f t="shared" si="51"/>
        <v>0</v>
      </c>
      <c r="K689" s="675"/>
      <c r="L689" s="1605">
        <f t="shared" si="52"/>
        <v>0</v>
      </c>
      <c r="M689" s="673">
        <f t="shared" si="53"/>
        <v>0</v>
      </c>
      <c r="N689" s="1332">
        <v>0.2</v>
      </c>
      <c r="O689" s="1333" t="str">
        <f t="shared" si="54"/>
        <v/>
      </c>
      <c r="P689" s="1573"/>
    </row>
    <row r="690" spans="2:16">
      <c r="B690" s="1390"/>
      <c r="C690" s="798"/>
      <c r="D690" s="678"/>
      <c r="E690" s="680"/>
      <c r="F690" s="679"/>
      <c r="G690" s="677"/>
      <c r="H690" s="677"/>
      <c r="I690" s="677"/>
      <c r="J690" s="1605">
        <f t="shared" si="51"/>
        <v>0</v>
      </c>
      <c r="K690" s="675"/>
      <c r="L690" s="1605">
        <f t="shared" si="52"/>
        <v>0</v>
      </c>
      <c r="M690" s="673">
        <f t="shared" si="53"/>
        <v>0</v>
      </c>
      <c r="N690" s="1332">
        <v>0.2</v>
      </c>
      <c r="O690" s="1333" t="str">
        <f t="shared" si="54"/>
        <v/>
      </c>
      <c r="P690" s="1573"/>
    </row>
    <row r="691" spans="2:16">
      <c r="B691" s="1390"/>
      <c r="C691" s="798"/>
      <c r="D691" s="678"/>
      <c r="E691" s="680"/>
      <c r="F691" s="679"/>
      <c r="G691" s="677"/>
      <c r="H691" s="677"/>
      <c r="I691" s="677"/>
      <c r="J691" s="1605">
        <f t="shared" si="51"/>
        <v>0</v>
      </c>
      <c r="K691" s="675"/>
      <c r="L691" s="1605">
        <f t="shared" si="52"/>
        <v>0</v>
      </c>
      <c r="M691" s="673">
        <f t="shared" si="53"/>
        <v>0</v>
      </c>
      <c r="N691" s="1332">
        <v>0.2</v>
      </c>
      <c r="O691" s="1333" t="str">
        <f t="shared" si="54"/>
        <v/>
      </c>
      <c r="P691" s="1573"/>
    </row>
    <row r="692" spans="2:16">
      <c r="B692" s="1390"/>
      <c r="C692" s="798"/>
      <c r="D692" s="678"/>
      <c r="E692" s="680"/>
      <c r="F692" s="679"/>
      <c r="G692" s="677"/>
      <c r="H692" s="677"/>
      <c r="I692" s="677"/>
      <c r="J692" s="1605">
        <f t="shared" si="51"/>
        <v>0</v>
      </c>
      <c r="K692" s="675"/>
      <c r="L692" s="1605">
        <f t="shared" si="52"/>
        <v>0</v>
      </c>
      <c r="M692" s="673">
        <f t="shared" si="53"/>
        <v>0</v>
      </c>
      <c r="N692" s="1332">
        <v>0.2</v>
      </c>
      <c r="O692" s="1333" t="str">
        <f t="shared" si="54"/>
        <v/>
      </c>
      <c r="P692" s="1573"/>
    </row>
    <row r="693" spans="2:16">
      <c r="B693" s="1390"/>
      <c r="C693" s="798"/>
      <c r="D693" s="678"/>
      <c r="E693" s="680"/>
      <c r="F693" s="679"/>
      <c r="G693" s="677"/>
      <c r="H693" s="677"/>
      <c r="I693" s="677"/>
      <c r="J693" s="1605">
        <f t="shared" si="51"/>
        <v>0</v>
      </c>
      <c r="K693" s="675"/>
      <c r="L693" s="1605">
        <f t="shared" si="52"/>
        <v>0</v>
      </c>
      <c r="M693" s="673">
        <f t="shared" si="53"/>
        <v>0</v>
      </c>
      <c r="N693" s="1332">
        <v>0.2</v>
      </c>
      <c r="O693" s="1333" t="str">
        <f t="shared" si="54"/>
        <v/>
      </c>
      <c r="P693" s="1573"/>
    </row>
    <row r="694" spans="2:16">
      <c r="B694" s="1390"/>
      <c r="C694" s="798"/>
      <c r="D694" s="678"/>
      <c r="E694" s="680"/>
      <c r="F694" s="679"/>
      <c r="G694" s="677"/>
      <c r="H694" s="677"/>
      <c r="I694" s="677"/>
      <c r="J694" s="1605">
        <f t="shared" si="51"/>
        <v>0</v>
      </c>
      <c r="K694" s="675"/>
      <c r="L694" s="1605">
        <f t="shared" si="52"/>
        <v>0</v>
      </c>
      <c r="M694" s="673">
        <f t="shared" si="53"/>
        <v>0</v>
      </c>
      <c r="N694" s="1332">
        <v>0.2</v>
      </c>
      <c r="O694" s="1333" t="str">
        <f t="shared" si="54"/>
        <v/>
      </c>
      <c r="P694" s="1573"/>
    </row>
    <row r="695" spans="2:16">
      <c r="B695" s="1390"/>
      <c r="C695" s="798"/>
      <c r="D695" s="678"/>
      <c r="E695" s="680"/>
      <c r="F695" s="679"/>
      <c r="G695" s="677"/>
      <c r="H695" s="677"/>
      <c r="I695" s="677"/>
      <c r="J695" s="1605">
        <f t="shared" si="51"/>
        <v>0</v>
      </c>
      <c r="K695" s="675"/>
      <c r="L695" s="1605">
        <f t="shared" si="52"/>
        <v>0</v>
      </c>
      <c r="M695" s="673">
        <f t="shared" si="53"/>
        <v>0</v>
      </c>
      <c r="N695" s="1332">
        <v>0.2</v>
      </c>
      <c r="O695" s="1333" t="str">
        <f t="shared" si="54"/>
        <v/>
      </c>
      <c r="P695" s="1573"/>
    </row>
    <row r="696" spans="2:16">
      <c r="B696" s="1390"/>
      <c r="C696" s="798"/>
      <c r="D696" s="678"/>
      <c r="E696" s="680"/>
      <c r="F696" s="679"/>
      <c r="G696" s="677"/>
      <c r="H696" s="677"/>
      <c r="I696" s="677"/>
      <c r="J696" s="1605">
        <f t="shared" si="51"/>
        <v>0</v>
      </c>
      <c r="K696" s="675"/>
      <c r="L696" s="1605">
        <f t="shared" si="52"/>
        <v>0</v>
      </c>
      <c r="M696" s="673">
        <f t="shared" si="53"/>
        <v>0</v>
      </c>
      <c r="N696" s="1332">
        <v>0.2</v>
      </c>
      <c r="O696" s="1333" t="str">
        <f t="shared" si="54"/>
        <v/>
      </c>
      <c r="P696" s="1573"/>
    </row>
    <row r="697" spans="2:16">
      <c r="B697" s="1390"/>
      <c r="C697" s="798"/>
      <c r="D697" s="678"/>
      <c r="E697" s="680"/>
      <c r="F697" s="679"/>
      <c r="G697" s="677"/>
      <c r="H697" s="677"/>
      <c r="I697" s="677"/>
      <c r="J697" s="1605">
        <f t="shared" si="51"/>
        <v>0</v>
      </c>
      <c r="K697" s="675"/>
      <c r="L697" s="1605">
        <f t="shared" si="52"/>
        <v>0</v>
      </c>
      <c r="M697" s="673">
        <f t="shared" si="53"/>
        <v>0</v>
      </c>
      <c r="N697" s="1332">
        <v>0.2</v>
      </c>
      <c r="O697" s="1333" t="str">
        <f t="shared" si="54"/>
        <v/>
      </c>
      <c r="P697" s="1573"/>
    </row>
    <row r="698" spans="2:16">
      <c r="B698" s="1390"/>
      <c r="C698" s="798"/>
      <c r="D698" s="678"/>
      <c r="E698" s="680"/>
      <c r="F698" s="679"/>
      <c r="G698" s="677"/>
      <c r="H698" s="677"/>
      <c r="I698" s="677"/>
      <c r="J698" s="1605">
        <f t="shared" si="51"/>
        <v>0</v>
      </c>
      <c r="K698" s="675"/>
      <c r="L698" s="1605">
        <f t="shared" si="52"/>
        <v>0</v>
      </c>
      <c r="M698" s="673">
        <f t="shared" si="53"/>
        <v>0</v>
      </c>
      <c r="N698" s="1332">
        <v>0.2</v>
      </c>
      <c r="O698" s="1333" t="str">
        <f t="shared" si="54"/>
        <v/>
      </c>
      <c r="P698" s="1573"/>
    </row>
    <row r="699" spans="2:16">
      <c r="B699" s="1390"/>
      <c r="C699" s="798"/>
      <c r="D699" s="678"/>
      <c r="E699" s="680"/>
      <c r="F699" s="679"/>
      <c r="G699" s="677"/>
      <c r="H699" s="677"/>
      <c r="I699" s="677"/>
      <c r="J699" s="1605">
        <f t="shared" si="51"/>
        <v>0</v>
      </c>
      <c r="K699" s="675"/>
      <c r="L699" s="1605">
        <f t="shared" si="52"/>
        <v>0</v>
      </c>
      <c r="M699" s="673">
        <f t="shared" si="53"/>
        <v>0</v>
      </c>
      <c r="N699" s="1332">
        <v>0.2</v>
      </c>
      <c r="O699" s="1333" t="str">
        <f t="shared" si="54"/>
        <v/>
      </c>
      <c r="P699" s="1573"/>
    </row>
    <row r="700" spans="2:16">
      <c r="B700" s="1390"/>
      <c r="C700" s="798"/>
      <c r="D700" s="678"/>
      <c r="E700" s="680"/>
      <c r="F700" s="679"/>
      <c r="G700" s="677"/>
      <c r="H700" s="677"/>
      <c r="I700" s="677"/>
      <c r="J700" s="1605">
        <f t="shared" si="51"/>
        <v>0</v>
      </c>
      <c r="K700" s="675"/>
      <c r="L700" s="1605">
        <f t="shared" si="52"/>
        <v>0</v>
      </c>
      <c r="M700" s="673">
        <f t="shared" si="53"/>
        <v>0</v>
      </c>
      <c r="N700" s="1332">
        <v>0.2</v>
      </c>
      <c r="O700" s="1333" t="str">
        <f t="shared" si="54"/>
        <v/>
      </c>
      <c r="P700" s="1573"/>
    </row>
    <row r="701" spans="2:16">
      <c r="B701" s="1390"/>
      <c r="C701" s="798"/>
      <c r="D701" s="678"/>
      <c r="E701" s="680"/>
      <c r="F701" s="679"/>
      <c r="G701" s="677"/>
      <c r="H701" s="677"/>
      <c r="I701" s="677"/>
      <c r="J701" s="1605">
        <f t="shared" si="51"/>
        <v>0</v>
      </c>
      <c r="K701" s="675"/>
      <c r="L701" s="1605">
        <f t="shared" si="52"/>
        <v>0</v>
      </c>
      <c r="M701" s="673">
        <f t="shared" si="53"/>
        <v>0</v>
      </c>
      <c r="N701" s="1332">
        <v>0.2</v>
      </c>
      <c r="O701" s="1333" t="str">
        <f t="shared" si="54"/>
        <v/>
      </c>
      <c r="P701" s="1573"/>
    </row>
    <row r="702" spans="2:16">
      <c r="B702" s="1390"/>
      <c r="C702" s="798"/>
      <c r="D702" s="678"/>
      <c r="E702" s="680"/>
      <c r="F702" s="679"/>
      <c r="G702" s="677"/>
      <c r="H702" s="677"/>
      <c r="I702" s="677"/>
      <c r="J702" s="1605">
        <f t="shared" si="51"/>
        <v>0</v>
      </c>
      <c r="K702" s="675"/>
      <c r="L702" s="1605">
        <f t="shared" si="52"/>
        <v>0</v>
      </c>
      <c r="M702" s="673">
        <f t="shared" si="53"/>
        <v>0</v>
      </c>
      <c r="N702" s="1332">
        <v>0.2</v>
      </c>
      <c r="O702" s="1333" t="str">
        <f t="shared" si="54"/>
        <v/>
      </c>
      <c r="P702" s="1573"/>
    </row>
    <row r="703" spans="2:16">
      <c r="B703" s="1390"/>
      <c r="C703" s="798"/>
      <c r="D703" s="678"/>
      <c r="E703" s="680"/>
      <c r="F703" s="679"/>
      <c r="G703" s="677"/>
      <c r="H703" s="677"/>
      <c r="I703" s="677"/>
      <c r="J703" s="1605">
        <f t="shared" si="51"/>
        <v>0</v>
      </c>
      <c r="K703" s="675"/>
      <c r="L703" s="1605">
        <f t="shared" si="52"/>
        <v>0</v>
      </c>
      <c r="M703" s="673">
        <f t="shared" si="53"/>
        <v>0</v>
      </c>
      <c r="N703" s="1332">
        <v>0.2</v>
      </c>
      <c r="O703" s="1333" t="str">
        <f t="shared" si="54"/>
        <v/>
      </c>
      <c r="P703" s="1573"/>
    </row>
    <row r="704" spans="2:16">
      <c r="B704" s="1390"/>
      <c r="C704" s="798"/>
      <c r="D704" s="678"/>
      <c r="E704" s="680"/>
      <c r="F704" s="679"/>
      <c r="G704" s="677"/>
      <c r="H704" s="677"/>
      <c r="I704" s="677"/>
      <c r="J704" s="1605">
        <f t="shared" si="51"/>
        <v>0</v>
      </c>
      <c r="K704" s="675"/>
      <c r="L704" s="1605">
        <f t="shared" si="52"/>
        <v>0</v>
      </c>
      <c r="M704" s="673">
        <f t="shared" si="53"/>
        <v>0</v>
      </c>
      <c r="N704" s="1332">
        <v>0.2</v>
      </c>
      <c r="O704" s="1333" t="str">
        <f t="shared" si="54"/>
        <v/>
      </c>
      <c r="P704" s="1573"/>
    </row>
    <row r="705" spans="2:16">
      <c r="B705" s="1390"/>
      <c r="C705" s="798"/>
      <c r="D705" s="678"/>
      <c r="E705" s="680"/>
      <c r="F705" s="679"/>
      <c r="G705" s="677"/>
      <c r="H705" s="677"/>
      <c r="I705" s="677"/>
      <c r="J705" s="1605">
        <f t="shared" si="51"/>
        <v>0</v>
      </c>
      <c r="K705" s="675"/>
      <c r="L705" s="1605">
        <f t="shared" si="52"/>
        <v>0</v>
      </c>
      <c r="M705" s="673">
        <f t="shared" si="53"/>
        <v>0</v>
      </c>
      <c r="N705" s="1332">
        <v>0.2</v>
      </c>
      <c r="O705" s="1333" t="str">
        <f t="shared" si="54"/>
        <v/>
      </c>
      <c r="P705" s="1573"/>
    </row>
    <row r="706" spans="2:16">
      <c r="B706" s="1390"/>
      <c r="C706" s="798"/>
      <c r="D706" s="678"/>
      <c r="E706" s="680"/>
      <c r="F706" s="679"/>
      <c r="G706" s="677"/>
      <c r="H706" s="677"/>
      <c r="I706" s="677"/>
      <c r="J706" s="1605">
        <f t="shared" si="51"/>
        <v>0</v>
      </c>
      <c r="K706" s="675"/>
      <c r="L706" s="1605">
        <f t="shared" si="52"/>
        <v>0</v>
      </c>
      <c r="M706" s="673">
        <f t="shared" si="53"/>
        <v>0</v>
      </c>
      <c r="N706" s="1332">
        <v>0.2</v>
      </c>
      <c r="O706" s="1333" t="str">
        <f t="shared" si="54"/>
        <v/>
      </c>
      <c r="P706" s="1573"/>
    </row>
    <row r="707" spans="2:16">
      <c r="B707" s="1390"/>
      <c r="C707" s="798"/>
      <c r="D707" s="678"/>
      <c r="E707" s="680"/>
      <c r="F707" s="679"/>
      <c r="G707" s="677"/>
      <c r="H707" s="677"/>
      <c r="I707" s="677"/>
      <c r="J707" s="1605">
        <f t="shared" si="51"/>
        <v>0</v>
      </c>
      <c r="K707" s="675"/>
      <c r="L707" s="1605">
        <f t="shared" si="52"/>
        <v>0</v>
      </c>
      <c r="M707" s="673">
        <f t="shared" si="53"/>
        <v>0</v>
      </c>
      <c r="N707" s="1332">
        <v>0.2</v>
      </c>
      <c r="O707" s="1333" t="str">
        <f t="shared" si="54"/>
        <v/>
      </c>
      <c r="P707" s="1573"/>
    </row>
    <row r="708" spans="2:16">
      <c r="B708" s="1390"/>
      <c r="C708" s="798"/>
      <c r="D708" s="678"/>
      <c r="E708" s="680"/>
      <c r="F708" s="679"/>
      <c r="G708" s="677"/>
      <c r="H708" s="677"/>
      <c r="I708" s="677"/>
      <c r="J708" s="1605">
        <f t="shared" si="51"/>
        <v>0</v>
      </c>
      <c r="K708" s="675"/>
      <c r="L708" s="1605">
        <f t="shared" si="52"/>
        <v>0</v>
      </c>
      <c r="M708" s="673">
        <f t="shared" si="53"/>
        <v>0</v>
      </c>
      <c r="N708" s="1332">
        <v>0.2</v>
      </c>
      <c r="O708" s="1333" t="str">
        <f t="shared" si="54"/>
        <v/>
      </c>
      <c r="P708" s="1573"/>
    </row>
    <row r="709" spans="2:16">
      <c r="B709" s="1390"/>
      <c r="C709" s="798"/>
      <c r="D709" s="678"/>
      <c r="E709" s="680"/>
      <c r="F709" s="679"/>
      <c r="G709" s="677"/>
      <c r="H709" s="677"/>
      <c r="I709" s="677"/>
      <c r="J709" s="1605">
        <f t="shared" si="51"/>
        <v>0</v>
      </c>
      <c r="K709" s="675"/>
      <c r="L709" s="1605">
        <f t="shared" si="52"/>
        <v>0</v>
      </c>
      <c r="M709" s="673">
        <f t="shared" si="53"/>
        <v>0</v>
      </c>
      <c r="N709" s="1332">
        <v>0.2</v>
      </c>
      <c r="O709" s="1333" t="str">
        <f t="shared" si="54"/>
        <v/>
      </c>
      <c r="P709" s="1573"/>
    </row>
    <row r="710" spans="2:16">
      <c r="B710" s="1390"/>
      <c r="C710" s="798"/>
      <c r="D710" s="678"/>
      <c r="E710" s="680"/>
      <c r="F710" s="679"/>
      <c r="G710" s="677"/>
      <c r="H710" s="677"/>
      <c r="I710" s="677"/>
      <c r="J710" s="1605">
        <f t="shared" si="51"/>
        <v>0</v>
      </c>
      <c r="K710" s="675"/>
      <c r="L710" s="1605">
        <f t="shared" si="52"/>
        <v>0</v>
      </c>
      <c r="M710" s="673">
        <f t="shared" si="53"/>
        <v>0</v>
      </c>
      <c r="N710" s="1332">
        <v>0.2</v>
      </c>
      <c r="O710" s="1333" t="str">
        <f t="shared" si="54"/>
        <v/>
      </c>
      <c r="P710" s="1573"/>
    </row>
    <row r="711" spans="2:16">
      <c r="B711" s="1390"/>
      <c r="C711" s="798"/>
      <c r="D711" s="678"/>
      <c r="E711" s="680"/>
      <c r="F711" s="679"/>
      <c r="G711" s="677"/>
      <c r="H711" s="677"/>
      <c r="I711" s="677"/>
      <c r="J711" s="1605">
        <f t="shared" si="51"/>
        <v>0</v>
      </c>
      <c r="K711" s="675"/>
      <c r="L711" s="1605">
        <f t="shared" si="52"/>
        <v>0</v>
      </c>
      <c r="M711" s="673">
        <f t="shared" si="53"/>
        <v>0</v>
      </c>
      <c r="N711" s="1332">
        <v>0.2</v>
      </c>
      <c r="O711" s="1333" t="str">
        <f t="shared" si="54"/>
        <v/>
      </c>
      <c r="P711" s="1573"/>
    </row>
    <row r="712" spans="2:16">
      <c r="B712" s="1390"/>
      <c r="C712" s="798"/>
      <c r="D712" s="678"/>
      <c r="E712" s="680"/>
      <c r="F712" s="679"/>
      <c r="G712" s="677"/>
      <c r="H712" s="677"/>
      <c r="I712" s="677"/>
      <c r="J712" s="1605">
        <f t="shared" si="51"/>
        <v>0</v>
      </c>
      <c r="K712" s="675"/>
      <c r="L712" s="1605">
        <f t="shared" si="52"/>
        <v>0</v>
      </c>
      <c r="M712" s="673">
        <f t="shared" si="53"/>
        <v>0</v>
      </c>
      <c r="N712" s="1332">
        <v>0.2</v>
      </c>
      <c r="O712" s="1333" t="str">
        <f t="shared" si="54"/>
        <v/>
      </c>
      <c r="P712" s="1573"/>
    </row>
    <row r="713" spans="2:16">
      <c r="B713" s="1390"/>
      <c r="C713" s="798"/>
      <c r="D713" s="678"/>
      <c r="E713" s="680"/>
      <c r="F713" s="679"/>
      <c r="G713" s="677"/>
      <c r="H713" s="677"/>
      <c r="I713" s="677"/>
      <c r="J713" s="1605">
        <f t="shared" si="51"/>
        <v>0</v>
      </c>
      <c r="K713" s="675"/>
      <c r="L713" s="1605">
        <f t="shared" si="52"/>
        <v>0</v>
      </c>
      <c r="M713" s="673">
        <f t="shared" si="53"/>
        <v>0</v>
      </c>
      <c r="N713" s="1332">
        <v>0.2</v>
      </c>
      <c r="O713" s="1333" t="str">
        <f t="shared" si="54"/>
        <v/>
      </c>
      <c r="P713" s="1573"/>
    </row>
    <row r="714" spans="2:16">
      <c r="B714" s="1390"/>
      <c r="C714" s="798"/>
      <c r="D714" s="678"/>
      <c r="E714" s="680"/>
      <c r="F714" s="679"/>
      <c r="G714" s="677"/>
      <c r="H714" s="677"/>
      <c r="I714" s="677"/>
      <c r="J714" s="1605">
        <f t="shared" si="51"/>
        <v>0</v>
      </c>
      <c r="K714" s="675"/>
      <c r="L714" s="1605">
        <f t="shared" si="52"/>
        <v>0</v>
      </c>
      <c r="M714" s="673">
        <f t="shared" si="53"/>
        <v>0</v>
      </c>
      <c r="N714" s="1332">
        <v>0.2</v>
      </c>
      <c r="O714" s="1333" t="str">
        <f t="shared" si="54"/>
        <v/>
      </c>
      <c r="P714" s="1573"/>
    </row>
    <row r="715" spans="2:16">
      <c r="B715" s="1390"/>
      <c r="C715" s="798"/>
      <c r="D715" s="678"/>
      <c r="E715" s="680"/>
      <c r="F715" s="679"/>
      <c r="G715" s="677"/>
      <c r="H715" s="677"/>
      <c r="I715" s="677"/>
      <c r="J715" s="1605">
        <f t="shared" si="51"/>
        <v>0</v>
      </c>
      <c r="K715" s="675"/>
      <c r="L715" s="1605">
        <f t="shared" si="52"/>
        <v>0</v>
      </c>
      <c r="M715" s="673">
        <f t="shared" si="53"/>
        <v>0</v>
      </c>
      <c r="N715" s="1332">
        <v>0.2</v>
      </c>
      <c r="O715" s="1333" t="str">
        <f t="shared" si="54"/>
        <v/>
      </c>
      <c r="P715" s="1573"/>
    </row>
    <row r="716" spans="2:16">
      <c r="B716" s="1390"/>
      <c r="C716" s="798"/>
      <c r="D716" s="678"/>
      <c r="E716" s="680"/>
      <c r="F716" s="679"/>
      <c r="G716" s="677"/>
      <c r="H716" s="677"/>
      <c r="I716" s="677"/>
      <c r="J716" s="1605">
        <f t="shared" si="51"/>
        <v>0</v>
      </c>
      <c r="K716" s="675"/>
      <c r="L716" s="1605">
        <f t="shared" si="52"/>
        <v>0</v>
      </c>
      <c r="M716" s="673">
        <f t="shared" si="53"/>
        <v>0</v>
      </c>
      <c r="N716" s="1332">
        <v>0.2</v>
      </c>
      <c r="O716" s="1333" t="str">
        <f t="shared" si="54"/>
        <v/>
      </c>
      <c r="P716" s="1573"/>
    </row>
    <row r="717" spans="2:16">
      <c r="B717" s="1390"/>
      <c r="C717" s="798"/>
      <c r="D717" s="678"/>
      <c r="E717" s="680"/>
      <c r="F717" s="679"/>
      <c r="G717" s="677"/>
      <c r="H717" s="677"/>
      <c r="I717" s="677"/>
      <c r="J717" s="1605">
        <f t="shared" si="51"/>
        <v>0</v>
      </c>
      <c r="K717" s="675"/>
      <c r="L717" s="1605">
        <f t="shared" si="52"/>
        <v>0</v>
      </c>
      <c r="M717" s="673">
        <f t="shared" si="53"/>
        <v>0</v>
      </c>
      <c r="N717" s="1332">
        <v>0.2</v>
      </c>
      <c r="O717" s="1333" t="str">
        <f t="shared" si="54"/>
        <v/>
      </c>
      <c r="P717" s="1573"/>
    </row>
    <row r="718" spans="2:16">
      <c r="B718" s="1390"/>
      <c r="C718" s="798"/>
      <c r="D718" s="678"/>
      <c r="E718" s="680"/>
      <c r="F718" s="679"/>
      <c r="G718" s="677"/>
      <c r="H718" s="677"/>
      <c r="I718" s="677"/>
      <c r="J718" s="1605">
        <f t="shared" si="51"/>
        <v>0</v>
      </c>
      <c r="K718" s="675"/>
      <c r="L718" s="1605">
        <f t="shared" si="52"/>
        <v>0</v>
      </c>
      <c r="M718" s="673">
        <f t="shared" si="53"/>
        <v>0</v>
      </c>
      <c r="N718" s="1332">
        <v>0.2</v>
      </c>
      <c r="O718" s="1333" t="str">
        <f t="shared" si="54"/>
        <v/>
      </c>
      <c r="P718" s="1573"/>
    </row>
    <row r="719" spans="2:16">
      <c r="B719" s="1390"/>
      <c r="C719" s="798"/>
      <c r="D719" s="678"/>
      <c r="E719" s="680"/>
      <c r="F719" s="679"/>
      <c r="G719" s="677"/>
      <c r="H719" s="677"/>
      <c r="I719" s="677"/>
      <c r="J719" s="1605">
        <f t="shared" si="51"/>
        <v>0</v>
      </c>
      <c r="K719" s="675"/>
      <c r="L719" s="1605">
        <f t="shared" si="52"/>
        <v>0</v>
      </c>
      <c r="M719" s="673">
        <f t="shared" si="53"/>
        <v>0</v>
      </c>
      <c r="N719" s="1332">
        <v>0.2</v>
      </c>
      <c r="O719" s="1333" t="str">
        <f t="shared" si="54"/>
        <v/>
      </c>
      <c r="P719" s="1573"/>
    </row>
    <row r="720" spans="2:16">
      <c r="B720" s="1390"/>
      <c r="C720" s="798"/>
      <c r="D720" s="678"/>
      <c r="E720" s="680"/>
      <c r="F720" s="679"/>
      <c r="G720" s="677"/>
      <c r="H720" s="677"/>
      <c r="I720" s="677"/>
      <c r="J720" s="1605">
        <f t="shared" si="51"/>
        <v>0</v>
      </c>
      <c r="K720" s="675"/>
      <c r="L720" s="1605">
        <f t="shared" si="52"/>
        <v>0</v>
      </c>
      <c r="M720" s="673">
        <f t="shared" si="53"/>
        <v>0</v>
      </c>
      <c r="N720" s="1332">
        <v>0.2</v>
      </c>
      <c r="O720" s="1333" t="str">
        <f t="shared" si="54"/>
        <v/>
      </c>
      <c r="P720" s="1573"/>
    </row>
    <row r="721" spans="2:16">
      <c r="B721" s="1390"/>
      <c r="C721" s="798"/>
      <c r="D721" s="678"/>
      <c r="E721" s="680"/>
      <c r="F721" s="679"/>
      <c r="G721" s="677"/>
      <c r="H721" s="677"/>
      <c r="I721" s="677"/>
      <c r="J721" s="1605">
        <f t="shared" si="51"/>
        <v>0</v>
      </c>
      <c r="K721" s="675"/>
      <c r="L721" s="1605">
        <f t="shared" si="52"/>
        <v>0</v>
      </c>
      <c r="M721" s="673">
        <f t="shared" si="53"/>
        <v>0</v>
      </c>
      <c r="N721" s="1332">
        <v>0.2</v>
      </c>
      <c r="O721" s="1333" t="str">
        <f t="shared" si="54"/>
        <v/>
      </c>
      <c r="P721" s="1573"/>
    </row>
    <row r="722" spans="2:16">
      <c r="B722" s="1390"/>
      <c r="C722" s="798"/>
      <c r="D722" s="678"/>
      <c r="E722" s="680"/>
      <c r="F722" s="679"/>
      <c r="G722" s="677"/>
      <c r="H722" s="677"/>
      <c r="I722" s="677"/>
      <c r="J722" s="1605">
        <f t="shared" si="51"/>
        <v>0</v>
      </c>
      <c r="K722" s="675"/>
      <c r="L722" s="1605">
        <f t="shared" si="52"/>
        <v>0</v>
      </c>
      <c r="M722" s="673">
        <f t="shared" si="53"/>
        <v>0</v>
      </c>
      <c r="N722" s="1332">
        <v>0.2</v>
      </c>
      <c r="O722" s="1333" t="str">
        <f t="shared" si="54"/>
        <v/>
      </c>
      <c r="P722" s="1573"/>
    </row>
    <row r="723" spans="2:16">
      <c r="B723" s="1390"/>
      <c r="C723" s="798"/>
      <c r="D723" s="678"/>
      <c r="E723" s="680"/>
      <c r="F723" s="679"/>
      <c r="G723" s="677"/>
      <c r="H723" s="677"/>
      <c r="I723" s="677"/>
      <c r="J723" s="1605">
        <f t="shared" si="51"/>
        <v>0</v>
      </c>
      <c r="K723" s="675"/>
      <c r="L723" s="1605">
        <f t="shared" si="52"/>
        <v>0</v>
      </c>
      <c r="M723" s="673">
        <f t="shared" si="53"/>
        <v>0</v>
      </c>
      <c r="N723" s="1332">
        <v>0.2</v>
      </c>
      <c r="O723" s="1333" t="str">
        <f t="shared" si="54"/>
        <v/>
      </c>
      <c r="P723" s="1573"/>
    </row>
    <row r="724" spans="2:16">
      <c r="B724" s="1390"/>
      <c r="C724" s="798"/>
      <c r="D724" s="678"/>
      <c r="E724" s="680"/>
      <c r="F724" s="679"/>
      <c r="G724" s="677"/>
      <c r="H724" s="677"/>
      <c r="I724" s="677"/>
      <c r="J724" s="1605">
        <f t="shared" si="51"/>
        <v>0</v>
      </c>
      <c r="K724" s="675"/>
      <c r="L724" s="1605">
        <f t="shared" si="52"/>
        <v>0</v>
      </c>
      <c r="M724" s="673">
        <f t="shared" si="53"/>
        <v>0</v>
      </c>
      <c r="N724" s="1332">
        <v>0.2</v>
      </c>
      <c r="O724" s="1333" t="str">
        <f t="shared" si="54"/>
        <v/>
      </c>
      <c r="P724" s="1573"/>
    </row>
    <row r="725" spans="2:16">
      <c r="B725" s="1390"/>
      <c r="C725" s="798"/>
      <c r="D725" s="678"/>
      <c r="E725" s="680"/>
      <c r="F725" s="679"/>
      <c r="G725" s="677"/>
      <c r="H725" s="677"/>
      <c r="I725" s="677"/>
      <c r="J725" s="1605">
        <f t="shared" si="51"/>
        <v>0</v>
      </c>
      <c r="K725" s="675"/>
      <c r="L725" s="1605">
        <f t="shared" si="52"/>
        <v>0</v>
      </c>
      <c r="M725" s="673">
        <f t="shared" si="53"/>
        <v>0</v>
      </c>
      <c r="N725" s="1332">
        <v>0.2</v>
      </c>
      <c r="O725" s="1333" t="str">
        <f t="shared" si="54"/>
        <v/>
      </c>
      <c r="P725" s="1573"/>
    </row>
    <row r="726" spans="2:16">
      <c r="B726" s="1390"/>
      <c r="C726" s="798"/>
      <c r="D726" s="678"/>
      <c r="E726" s="680"/>
      <c r="F726" s="679"/>
      <c r="G726" s="677"/>
      <c r="H726" s="677"/>
      <c r="I726" s="677"/>
      <c r="J726" s="1605">
        <f t="shared" si="51"/>
        <v>0</v>
      </c>
      <c r="K726" s="675"/>
      <c r="L726" s="1605">
        <f t="shared" si="52"/>
        <v>0</v>
      </c>
      <c r="M726" s="673">
        <f t="shared" si="53"/>
        <v>0</v>
      </c>
      <c r="N726" s="1332">
        <v>0.2</v>
      </c>
      <c r="O726" s="1333" t="str">
        <f t="shared" si="54"/>
        <v/>
      </c>
      <c r="P726" s="1573"/>
    </row>
    <row r="727" spans="2:16">
      <c r="B727" s="1390"/>
      <c r="C727" s="798"/>
      <c r="D727" s="678"/>
      <c r="E727" s="680"/>
      <c r="F727" s="679"/>
      <c r="G727" s="677"/>
      <c r="H727" s="677"/>
      <c r="I727" s="677"/>
      <c r="J727" s="1605">
        <f t="shared" si="51"/>
        <v>0</v>
      </c>
      <c r="K727" s="675"/>
      <c r="L727" s="1605">
        <f t="shared" si="52"/>
        <v>0</v>
      </c>
      <c r="M727" s="673">
        <f t="shared" si="53"/>
        <v>0</v>
      </c>
      <c r="N727" s="1332">
        <v>0.2</v>
      </c>
      <c r="O727" s="1333" t="str">
        <f t="shared" si="54"/>
        <v/>
      </c>
      <c r="P727" s="1573"/>
    </row>
    <row r="728" spans="2:16">
      <c r="B728" s="1390"/>
      <c r="C728" s="798"/>
      <c r="D728" s="678"/>
      <c r="E728" s="680"/>
      <c r="F728" s="679"/>
      <c r="G728" s="677"/>
      <c r="H728" s="677"/>
      <c r="I728" s="677"/>
      <c r="J728" s="1605">
        <f t="shared" si="51"/>
        <v>0</v>
      </c>
      <c r="K728" s="675"/>
      <c r="L728" s="1605">
        <f t="shared" si="52"/>
        <v>0</v>
      </c>
      <c r="M728" s="673">
        <f t="shared" si="53"/>
        <v>0</v>
      </c>
      <c r="N728" s="1332">
        <v>0.2</v>
      </c>
      <c r="O728" s="1333" t="str">
        <f t="shared" si="54"/>
        <v/>
      </c>
      <c r="P728" s="1573"/>
    </row>
    <row r="729" spans="2:16">
      <c r="B729" s="1390"/>
      <c r="C729" s="798"/>
      <c r="D729" s="678"/>
      <c r="E729" s="680"/>
      <c r="F729" s="679"/>
      <c r="G729" s="677"/>
      <c r="H729" s="677"/>
      <c r="I729" s="677"/>
      <c r="J729" s="1605">
        <f t="shared" si="51"/>
        <v>0</v>
      </c>
      <c r="K729" s="675"/>
      <c r="L729" s="1605">
        <f t="shared" si="52"/>
        <v>0</v>
      </c>
      <c r="M729" s="673">
        <f t="shared" si="53"/>
        <v>0</v>
      </c>
      <c r="N729" s="1332">
        <v>0.2</v>
      </c>
      <c r="O729" s="1333" t="str">
        <f t="shared" si="54"/>
        <v/>
      </c>
      <c r="P729" s="1573"/>
    </row>
    <row r="730" spans="2:16">
      <c r="B730" s="1390"/>
      <c r="C730" s="798"/>
      <c r="D730" s="678"/>
      <c r="E730" s="680"/>
      <c r="F730" s="679"/>
      <c r="G730" s="677"/>
      <c r="H730" s="677"/>
      <c r="I730" s="677"/>
      <c r="J730" s="1605">
        <f t="shared" si="51"/>
        <v>0</v>
      </c>
      <c r="K730" s="675"/>
      <c r="L730" s="1605">
        <f t="shared" si="52"/>
        <v>0</v>
      </c>
      <c r="M730" s="673">
        <f t="shared" si="53"/>
        <v>0</v>
      </c>
      <c r="N730" s="1332">
        <v>0.2</v>
      </c>
      <c r="O730" s="1333" t="str">
        <f t="shared" si="54"/>
        <v/>
      </c>
      <c r="P730" s="1573"/>
    </row>
    <row r="731" spans="2:16">
      <c r="B731" s="1390"/>
      <c r="C731" s="798"/>
      <c r="D731" s="678"/>
      <c r="E731" s="680"/>
      <c r="F731" s="679"/>
      <c r="G731" s="677"/>
      <c r="H731" s="677"/>
      <c r="I731" s="677"/>
      <c r="J731" s="1605">
        <f t="shared" si="51"/>
        <v>0</v>
      </c>
      <c r="K731" s="675"/>
      <c r="L731" s="1605">
        <f t="shared" si="52"/>
        <v>0</v>
      </c>
      <c r="M731" s="673">
        <f t="shared" si="53"/>
        <v>0</v>
      </c>
      <c r="N731" s="1332">
        <v>0.2</v>
      </c>
      <c r="O731" s="1333" t="str">
        <f t="shared" si="54"/>
        <v/>
      </c>
      <c r="P731" s="1573"/>
    </row>
    <row r="732" spans="2:16">
      <c r="B732" s="1390"/>
      <c r="C732" s="798"/>
      <c r="D732" s="678"/>
      <c r="E732" s="680"/>
      <c r="F732" s="679"/>
      <c r="G732" s="677"/>
      <c r="H732" s="677"/>
      <c r="I732" s="677"/>
      <c r="J732" s="1605">
        <f t="shared" si="51"/>
        <v>0</v>
      </c>
      <c r="K732" s="675"/>
      <c r="L732" s="1605">
        <f t="shared" si="52"/>
        <v>0</v>
      </c>
      <c r="M732" s="673">
        <f t="shared" si="53"/>
        <v>0</v>
      </c>
      <c r="N732" s="1332">
        <v>0.2</v>
      </c>
      <c r="O732" s="1333" t="str">
        <f t="shared" si="54"/>
        <v/>
      </c>
      <c r="P732" s="1573"/>
    </row>
    <row r="733" spans="2:16">
      <c r="B733" s="1390"/>
      <c r="C733" s="798"/>
      <c r="D733" s="678"/>
      <c r="E733" s="680"/>
      <c r="F733" s="679"/>
      <c r="G733" s="677"/>
      <c r="H733" s="677"/>
      <c r="I733" s="677"/>
      <c r="J733" s="1605">
        <f t="shared" si="51"/>
        <v>0</v>
      </c>
      <c r="K733" s="675"/>
      <c r="L733" s="1605">
        <f t="shared" si="52"/>
        <v>0</v>
      </c>
      <c r="M733" s="673">
        <f t="shared" si="53"/>
        <v>0</v>
      </c>
      <c r="N733" s="1332">
        <v>0.2</v>
      </c>
      <c r="O733" s="1333" t="str">
        <f t="shared" si="54"/>
        <v/>
      </c>
      <c r="P733" s="1573"/>
    </row>
    <row r="734" spans="2:16">
      <c r="B734" s="1390"/>
      <c r="C734" s="798"/>
      <c r="D734" s="678"/>
      <c r="E734" s="680"/>
      <c r="F734" s="679"/>
      <c r="G734" s="677"/>
      <c r="H734" s="677"/>
      <c r="I734" s="677"/>
      <c r="J734" s="1605">
        <f t="shared" si="51"/>
        <v>0</v>
      </c>
      <c r="K734" s="675"/>
      <c r="L734" s="1605">
        <f t="shared" si="52"/>
        <v>0</v>
      </c>
      <c r="M734" s="673">
        <f t="shared" si="53"/>
        <v>0</v>
      </c>
      <c r="N734" s="1332">
        <v>0.2</v>
      </c>
      <c r="O734" s="1333" t="str">
        <f t="shared" si="54"/>
        <v/>
      </c>
      <c r="P734" s="1573"/>
    </row>
    <row r="735" spans="2:16">
      <c r="B735" s="1390"/>
      <c r="C735" s="798"/>
      <c r="D735" s="678"/>
      <c r="E735" s="680"/>
      <c r="F735" s="679"/>
      <c r="G735" s="677"/>
      <c r="H735" s="677"/>
      <c r="I735" s="677"/>
      <c r="J735" s="1605">
        <f t="shared" si="51"/>
        <v>0</v>
      </c>
      <c r="K735" s="675"/>
      <c r="L735" s="1605">
        <f t="shared" si="52"/>
        <v>0</v>
      </c>
      <c r="M735" s="673">
        <f t="shared" si="53"/>
        <v>0</v>
      </c>
      <c r="N735" s="1332">
        <v>0.2</v>
      </c>
      <c r="O735" s="1333" t="str">
        <f t="shared" si="54"/>
        <v/>
      </c>
      <c r="P735" s="1573"/>
    </row>
    <row r="736" spans="2:16">
      <c r="B736" s="1390"/>
      <c r="C736" s="798"/>
      <c r="D736" s="678"/>
      <c r="E736" s="680"/>
      <c r="F736" s="679"/>
      <c r="G736" s="677"/>
      <c r="H736" s="677"/>
      <c r="I736" s="677"/>
      <c r="J736" s="1605">
        <f t="shared" si="51"/>
        <v>0</v>
      </c>
      <c r="K736" s="675"/>
      <c r="L736" s="1605">
        <f t="shared" si="52"/>
        <v>0</v>
      </c>
      <c r="M736" s="673">
        <f t="shared" si="53"/>
        <v>0</v>
      </c>
      <c r="N736" s="1332">
        <v>0.2</v>
      </c>
      <c r="O736" s="1333" t="str">
        <f t="shared" si="54"/>
        <v/>
      </c>
      <c r="P736" s="1573"/>
    </row>
    <row r="737" spans="2:16">
      <c r="B737" s="1390"/>
      <c r="C737" s="798"/>
      <c r="D737" s="678"/>
      <c r="E737" s="680"/>
      <c r="F737" s="679"/>
      <c r="G737" s="677"/>
      <c r="H737" s="677"/>
      <c r="I737" s="677"/>
      <c r="J737" s="1605">
        <f t="shared" si="51"/>
        <v>0</v>
      </c>
      <c r="K737" s="675"/>
      <c r="L737" s="1605">
        <f t="shared" si="52"/>
        <v>0</v>
      </c>
      <c r="M737" s="673">
        <f t="shared" si="53"/>
        <v>0</v>
      </c>
      <c r="N737" s="1332">
        <v>0.2</v>
      </c>
      <c r="O737" s="1333" t="str">
        <f t="shared" si="54"/>
        <v/>
      </c>
      <c r="P737" s="1573"/>
    </row>
    <row r="738" spans="2:16">
      <c r="B738" s="1390"/>
      <c r="C738" s="798"/>
      <c r="D738" s="678"/>
      <c r="E738" s="680"/>
      <c r="F738" s="679"/>
      <c r="G738" s="677"/>
      <c r="H738" s="677"/>
      <c r="I738" s="677"/>
      <c r="J738" s="1605">
        <f t="shared" si="51"/>
        <v>0</v>
      </c>
      <c r="K738" s="675"/>
      <c r="L738" s="1605">
        <f t="shared" si="52"/>
        <v>0</v>
      </c>
      <c r="M738" s="673">
        <f t="shared" si="53"/>
        <v>0</v>
      </c>
      <c r="N738" s="1332">
        <v>0.2</v>
      </c>
      <c r="O738" s="1333" t="str">
        <f t="shared" si="54"/>
        <v/>
      </c>
      <c r="P738" s="1573"/>
    </row>
    <row r="739" spans="2:16">
      <c r="B739" s="1390"/>
      <c r="C739" s="798"/>
      <c r="D739" s="678"/>
      <c r="E739" s="680"/>
      <c r="F739" s="679"/>
      <c r="G739" s="677"/>
      <c r="H739" s="677"/>
      <c r="I739" s="677"/>
      <c r="J739" s="1605">
        <f t="shared" si="51"/>
        <v>0</v>
      </c>
      <c r="K739" s="675"/>
      <c r="L739" s="1605">
        <f t="shared" si="52"/>
        <v>0</v>
      </c>
      <c r="M739" s="673">
        <f t="shared" si="53"/>
        <v>0</v>
      </c>
      <c r="N739" s="1332">
        <v>0.2</v>
      </c>
      <c r="O739" s="1333" t="str">
        <f t="shared" si="54"/>
        <v/>
      </c>
      <c r="P739" s="1573"/>
    </row>
    <row r="740" spans="2:16">
      <c r="B740" s="1390"/>
      <c r="C740" s="798"/>
      <c r="D740" s="678"/>
      <c r="E740" s="680"/>
      <c r="F740" s="679"/>
      <c r="G740" s="677"/>
      <c r="H740" s="677"/>
      <c r="I740" s="677"/>
      <c r="J740" s="1605">
        <f t="shared" si="51"/>
        <v>0</v>
      </c>
      <c r="K740" s="675"/>
      <c r="L740" s="1605">
        <f t="shared" si="52"/>
        <v>0</v>
      </c>
      <c r="M740" s="673">
        <f t="shared" si="53"/>
        <v>0</v>
      </c>
      <c r="N740" s="1332">
        <v>0.2</v>
      </c>
      <c r="O740" s="1333" t="str">
        <f t="shared" si="54"/>
        <v/>
      </c>
      <c r="P740" s="1573"/>
    </row>
    <row r="741" spans="2:16">
      <c r="B741" s="1390"/>
      <c r="C741" s="798"/>
      <c r="D741" s="678"/>
      <c r="E741" s="680"/>
      <c r="F741" s="679"/>
      <c r="G741" s="677"/>
      <c r="H741" s="677"/>
      <c r="I741" s="677"/>
      <c r="J741" s="1605">
        <f t="shared" si="51"/>
        <v>0</v>
      </c>
      <c r="K741" s="675"/>
      <c r="L741" s="1605">
        <f t="shared" si="52"/>
        <v>0</v>
      </c>
      <c r="M741" s="673">
        <f t="shared" si="53"/>
        <v>0</v>
      </c>
      <c r="N741" s="1332">
        <v>0.2</v>
      </c>
      <c r="O741" s="1333" t="str">
        <f t="shared" si="54"/>
        <v/>
      </c>
      <c r="P741" s="1573"/>
    </row>
    <row r="742" spans="2:16">
      <c r="B742" s="1390"/>
      <c r="C742" s="798"/>
      <c r="D742" s="678"/>
      <c r="E742" s="680"/>
      <c r="F742" s="679"/>
      <c r="G742" s="677"/>
      <c r="H742" s="677"/>
      <c r="I742" s="677"/>
      <c r="J742" s="1605">
        <f t="shared" si="51"/>
        <v>0</v>
      </c>
      <c r="K742" s="675"/>
      <c r="L742" s="1605">
        <f t="shared" si="52"/>
        <v>0</v>
      </c>
      <c r="M742" s="673">
        <f t="shared" si="53"/>
        <v>0</v>
      </c>
      <c r="N742" s="1332">
        <v>0.2</v>
      </c>
      <c r="O742" s="1333" t="str">
        <f t="shared" si="54"/>
        <v/>
      </c>
      <c r="P742" s="1573"/>
    </row>
    <row r="743" spans="2:16">
      <c r="B743" s="1390"/>
      <c r="C743" s="798"/>
      <c r="D743" s="678"/>
      <c r="E743" s="680"/>
      <c r="F743" s="679"/>
      <c r="G743" s="677"/>
      <c r="H743" s="677"/>
      <c r="I743" s="677"/>
      <c r="J743" s="1605">
        <f t="shared" si="51"/>
        <v>0</v>
      </c>
      <c r="K743" s="675"/>
      <c r="L743" s="1605">
        <f t="shared" si="52"/>
        <v>0</v>
      </c>
      <c r="M743" s="673">
        <f t="shared" si="53"/>
        <v>0</v>
      </c>
      <c r="N743" s="1332">
        <v>0.2</v>
      </c>
      <c r="O743" s="1333" t="str">
        <f t="shared" si="54"/>
        <v/>
      </c>
      <c r="P743" s="1573"/>
    </row>
    <row r="744" spans="2:16">
      <c r="B744" s="1390"/>
      <c r="C744" s="798"/>
      <c r="D744" s="678"/>
      <c r="E744" s="680"/>
      <c r="F744" s="679"/>
      <c r="G744" s="677"/>
      <c r="H744" s="677"/>
      <c r="I744" s="677"/>
      <c r="J744" s="1605">
        <f t="shared" si="51"/>
        <v>0</v>
      </c>
      <c r="K744" s="675"/>
      <c r="L744" s="1605">
        <f t="shared" si="52"/>
        <v>0</v>
      </c>
      <c r="M744" s="673">
        <f t="shared" si="53"/>
        <v>0</v>
      </c>
      <c r="N744" s="1332">
        <v>0.2</v>
      </c>
      <c r="O744" s="1333" t="str">
        <f t="shared" si="54"/>
        <v/>
      </c>
      <c r="P744" s="1573"/>
    </row>
    <row r="745" spans="2:16">
      <c r="B745" s="1390"/>
      <c r="C745" s="798"/>
      <c r="D745" s="678"/>
      <c r="E745" s="680"/>
      <c r="F745" s="679"/>
      <c r="G745" s="677"/>
      <c r="H745" s="677"/>
      <c r="I745" s="677"/>
      <c r="J745" s="1605">
        <f t="shared" si="51"/>
        <v>0</v>
      </c>
      <c r="K745" s="675"/>
      <c r="L745" s="1605">
        <f t="shared" si="52"/>
        <v>0</v>
      </c>
      <c r="M745" s="673">
        <f t="shared" si="53"/>
        <v>0</v>
      </c>
      <c r="N745" s="1332">
        <v>0.2</v>
      </c>
      <c r="O745" s="1333" t="str">
        <f t="shared" si="54"/>
        <v/>
      </c>
      <c r="P745" s="1573"/>
    </row>
    <row r="746" spans="2:16">
      <c r="B746" s="1390"/>
      <c r="C746" s="798"/>
      <c r="D746" s="678"/>
      <c r="E746" s="680"/>
      <c r="F746" s="679"/>
      <c r="G746" s="677"/>
      <c r="H746" s="677"/>
      <c r="I746" s="677"/>
      <c r="J746" s="1605">
        <f t="shared" si="51"/>
        <v>0</v>
      </c>
      <c r="K746" s="675"/>
      <c r="L746" s="1605">
        <f t="shared" si="52"/>
        <v>0</v>
      </c>
      <c r="M746" s="673">
        <f t="shared" si="53"/>
        <v>0</v>
      </c>
      <c r="N746" s="1332">
        <v>0.2</v>
      </c>
      <c r="O746" s="1333" t="str">
        <f t="shared" si="54"/>
        <v/>
      </c>
      <c r="P746" s="1573"/>
    </row>
    <row r="747" spans="2:16">
      <c r="B747" s="1390"/>
      <c r="C747" s="798"/>
      <c r="D747" s="678"/>
      <c r="E747" s="680"/>
      <c r="F747" s="679"/>
      <c r="G747" s="677"/>
      <c r="H747" s="677"/>
      <c r="I747" s="677"/>
      <c r="J747" s="1605">
        <f t="shared" si="51"/>
        <v>0</v>
      </c>
      <c r="K747" s="675"/>
      <c r="L747" s="1605">
        <f t="shared" si="52"/>
        <v>0</v>
      </c>
      <c r="M747" s="673">
        <f t="shared" si="53"/>
        <v>0</v>
      </c>
      <c r="N747" s="1332">
        <v>0.2</v>
      </c>
      <c r="O747" s="1333" t="str">
        <f t="shared" si="54"/>
        <v/>
      </c>
      <c r="P747" s="1573"/>
    </row>
    <row r="748" spans="2:16">
      <c r="B748" s="1390"/>
      <c r="C748" s="798"/>
      <c r="D748" s="678"/>
      <c r="E748" s="680"/>
      <c r="F748" s="679"/>
      <c r="G748" s="677"/>
      <c r="H748" s="677"/>
      <c r="I748" s="677"/>
      <c r="J748" s="1605">
        <f t="shared" ref="J748:J811" si="55">H748+I748</f>
        <v>0</v>
      </c>
      <c r="K748" s="675"/>
      <c r="L748" s="1605">
        <f t="shared" ref="L748:L811" si="56">J748*K748</f>
        <v>0</v>
      </c>
      <c r="M748" s="673">
        <f t="shared" ref="M748:M811" si="57">L748/$D$9</f>
        <v>0</v>
      </c>
      <c r="N748" s="1332">
        <v>0.2</v>
      </c>
      <c r="O748" s="1333" t="str">
        <f t="shared" ref="O748:O811" si="58">IF((M748-N748)&gt;0,M748-N748,"")</f>
        <v/>
      </c>
      <c r="P748" s="1573"/>
    </row>
    <row r="749" spans="2:16">
      <c r="B749" s="1390"/>
      <c r="C749" s="798"/>
      <c r="D749" s="678"/>
      <c r="E749" s="680"/>
      <c r="F749" s="679"/>
      <c r="G749" s="677"/>
      <c r="H749" s="677"/>
      <c r="I749" s="677"/>
      <c r="J749" s="1605">
        <f t="shared" si="55"/>
        <v>0</v>
      </c>
      <c r="K749" s="675"/>
      <c r="L749" s="1605">
        <f t="shared" si="56"/>
        <v>0</v>
      </c>
      <c r="M749" s="673">
        <f t="shared" si="57"/>
        <v>0</v>
      </c>
      <c r="N749" s="1332">
        <v>0.2</v>
      </c>
      <c r="O749" s="1333" t="str">
        <f t="shared" si="58"/>
        <v/>
      </c>
      <c r="P749" s="1573"/>
    </row>
    <row r="750" spans="2:16">
      <c r="B750" s="1390"/>
      <c r="C750" s="798"/>
      <c r="D750" s="678"/>
      <c r="E750" s="680"/>
      <c r="F750" s="679"/>
      <c r="G750" s="677"/>
      <c r="H750" s="677"/>
      <c r="I750" s="677"/>
      <c r="J750" s="1605">
        <f t="shared" si="55"/>
        <v>0</v>
      </c>
      <c r="K750" s="675"/>
      <c r="L750" s="1605">
        <f t="shared" si="56"/>
        <v>0</v>
      </c>
      <c r="M750" s="673">
        <f t="shared" si="57"/>
        <v>0</v>
      </c>
      <c r="N750" s="1332">
        <v>0.2</v>
      </c>
      <c r="O750" s="1333" t="str">
        <f t="shared" si="58"/>
        <v/>
      </c>
      <c r="P750" s="1573"/>
    </row>
    <row r="751" spans="2:16">
      <c r="B751" s="1390"/>
      <c r="C751" s="798"/>
      <c r="D751" s="678"/>
      <c r="E751" s="680"/>
      <c r="F751" s="679"/>
      <c r="G751" s="677"/>
      <c r="H751" s="677"/>
      <c r="I751" s="677"/>
      <c r="J751" s="1605">
        <f t="shared" si="55"/>
        <v>0</v>
      </c>
      <c r="K751" s="675"/>
      <c r="L751" s="1605">
        <f t="shared" si="56"/>
        <v>0</v>
      </c>
      <c r="M751" s="673">
        <f t="shared" si="57"/>
        <v>0</v>
      </c>
      <c r="N751" s="1332">
        <v>0.2</v>
      </c>
      <c r="O751" s="1333" t="str">
        <f t="shared" si="58"/>
        <v/>
      </c>
      <c r="P751" s="1573"/>
    </row>
    <row r="752" spans="2:16">
      <c r="B752" s="1390"/>
      <c r="C752" s="798"/>
      <c r="D752" s="678"/>
      <c r="E752" s="680"/>
      <c r="F752" s="679"/>
      <c r="G752" s="677"/>
      <c r="H752" s="677"/>
      <c r="I752" s="677"/>
      <c r="J752" s="1605">
        <f t="shared" si="55"/>
        <v>0</v>
      </c>
      <c r="K752" s="675"/>
      <c r="L752" s="1605">
        <f t="shared" si="56"/>
        <v>0</v>
      </c>
      <c r="M752" s="673">
        <f t="shared" si="57"/>
        <v>0</v>
      </c>
      <c r="N752" s="1332">
        <v>0.2</v>
      </c>
      <c r="O752" s="1333" t="str">
        <f t="shared" si="58"/>
        <v/>
      </c>
      <c r="P752" s="1573"/>
    </row>
    <row r="753" spans="2:16">
      <c r="B753" s="1390"/>
      <c r="C753" s="798"/>
      <c r="D753" s="678"/>
      <c r="E753" s="680"/>
      <c r="F753" s="679"/>
      <c r="G753" s="677"/>
      <c r="H753" s="677"/>
      <c r="I753" s="677"/>
      <c r="J753" s="1605">
        <f t="shared" si="55"/>
        <v>0</v>
      </c>
      <c r="K753" s="675"/>
      <c r="L753" s="1605">
        <f t="shared" si="56"/>
        <v>0</v>
      </c>
      <c r="M753" s="673">
        <f t="shared" si="57"/>
        <v>0</v>
      </c>
      <c r="N753" s="1332">
        <v>0.2</v>
      </c>
      <c r="O753" s="1333" t="str">
        <f t="shared" si="58"/>
        <v/>
      </c>
      <c r="P753" s="1573"/>
    </row>
    <row r="754" spans="2:16">
      <c r="B754" s="1390"/>
      <c r="C754" s="798"/>
      <c r="D754" s="678"/>
      <c r="E754" s="680"/>
      <c r="F754" s="679"/>
      <c r="G754" s="677"/>
      <c r="H754" s="677"/>
      <c r="I754" s="677"/>
      <c r="J754" s="1605">
        <f t="shared" si="55"/>
        <v>0</v>
      </c>
      <c r="K754" s="675"/>
      <c r="L754" s="1605">
        <f t="shared" si="56"/>
        <v>0</v>
      </c>
      <c r="M754" s="673">
        <f t="shared" si="57"/>
        <v>0</v>
      </c>
      <c r="N754" s="1332">
        <v>0.2</v>
      </c>
      <c r="O754" s="1333" t="str">
        <f t="shared" si="58"/>
        <v/>
      </c>
      <c r="P754" s="1573"/>
    </row>
    <row r="755" spans="2:16">
      <c r="B755" s="1390"/>
      <c r="C755" s="798"/>
      <c r="D755" s="678"/>
      <c r="E755" s="680"/>
      <c r="F755" s="679"/>
      <c r="G755" s="677"/>
      <c r="H755" s="677"/>
      <c r="I755" s="677"/>
      <c r="J755" s="1605">
        <f t="shared" si="55"/>
        <v>0</v>
      </c>
      <c r="K755" s="675"/>
      <c r="L755" s="1605">
        <f t="shared" si="56"/>
        <v>0</v>
      </c>
      <c r="M755" s="673">
        <f t="shared" si="57"/>
        <v>0</v>
      </c>
      <c r="N755" s="1332">
        <v>0.2</v>
      </c>
      <c r="O755" s="1333" t="str">
        <f t="shared" si="58"/>
        <v/>
      </c>
      <c r="P755" s="1573"/>
    </row>
    <row r="756" spans="2:16">
      <c r="B756" s="1390"/>
      <c r="C756" s="798"/>
      <c r="D756" s="678"/>
      <c r="E756" s="680"/>
      <c r="F756" s="679"/>
      <c r="G756" s="677"/>
      <c r="H756" s="677"/>
      <c r="I756" s="677"/>
      <c r="J756" s="1605">
        <f t="shared" si="55"/>
        <v>0</v>
      </c>
      <c r="K756" s="675"/>
      <c r="L756" s="1605">
        <f t="shared" si="56"/>
        <v>0</v>
      </c>
      <c r="M756" s="673">
        <f t="shared" si="57"/>
        <v>0</v>
      </c>
      <c r="N756" s="1332">
        <v>0.2</v>
      </c>
      <c r="O756" s="1333" t="str">
        <f t="shared" si="58"/>
        <v/>
      </c>
      <c r="P756" s="1573"/>
    </row>
    <row r="757" spans="2:16">
      <c r="B757" s="1390"/>
      <c r="C757" s="798"/>
      <c r="D757" s="678"/>
      <c r="E757" s="680"/>
      <c r="F757" s="679"/>
      <c r="G757" s="677"/>
      <c r="H757" s="677"/>
      <c r="I757" s="677"/>
      <c r="J757" s="1605">
        <f t="shared" si="55"/>
        <v>0</v>
      </c>
      <c r="K757" s="675"/>
      <c r="L757" s="1605">
        <f t="shared" si="56"/>
        <v>0</v>
      </c>
      <c r="M757" s="673">
        <f t="shared" si="57"/>
        <v>0</v>
      </c>
      <c r="N757" s="1332">
        <v>0.2</v>
      </c>
      <c r="O757" s="1333" t="str">
        <f t="shared" si="58"/>
        <v/>
      </c>
      <c r="P757" s="1573"/>
    </row>
    <row r="758" spans="2:16">
      <c r="B758" s="1390"/>
      <c r="C758" s="798"/>
      <c r="D758" s="678"/>
      <c r="E758" s="680"/>
      <c r="F758" s="679"/>
      <c r="G758" s="677"/>
      <c r="H758" s="677"/>
      <c r="I758" s="677"/>
      <c r="J758" s="1605">
        <f t="shared" si="55"/>
        <v>0</v>
      </c>
      <c r="K758" s="675"/>
      <c r="L758" s="1605">
        <f t="shared" si="56"/>
        <v>0</v>
      </c>
      <c r="M758" s="673">
        <f t="shared" si="57"/>
        <v>0</v>
      </c>
      <c r="N758" s="1332">
        <v>0.2</v>
      </c>
      <c r="O758" s="1333" t="str">
        <f t="shared" si="58"/>
        <v/>
      </c>
      <c r="P758" s="1573"/>
    </row>
    <row r="759" spans="2:16">
      <c r="B759" s="1390"/>
      <c r="C759" s="798"/>
      <c r="D759" s="678"/>
      <c r="E759" s="680"/>
      <c r="F759" s="679"/>
      <c r="G759" s="677"/>
      <c r="H759" s="677"/>
      <c r="I759" s="677"/>
      <c r="J759" s="1605">
        <f t="shared" si="55"/>
        <v>0</v>
      </c>
      <c r="K759" s="675"/>
      <c r="L759" s="1605">
        <f t="shared" si="56"/>
        <v>0</v>
      </c>
      <c r="M759" s="673">
        <f t="shared" si="57"/>
        <v>0</v>
      </c>
      <c r="N759" s="1332">
        <v>0.2</v>
      </c>
      <c r="O759" s="1333" t="str">
        <f t="shared" si="58"/>
        <v/>
      </c>
      <c r="P759" s="1573"/>
    </row>
    <row r="760" spans="2:16">
      <c r="B760" s="1390"/>
      <c r="C760" s="798"/>
      <c r="D760" s="678"/>
      <c r="E760" s="680"/>
      <c r="F760" s="679"/>
      <c r="G760" s="677"/>
      <c r="H760" s="677"/>
      <c r="I760" s="677"/>
      <c r="J760" s="1605">
        <f t="shared" si="55"/>
        <v>0</v>
      </c>
      <c r="K760" s="675"/>
      <c r="L760" s="1605">
        <f t="shared" si="56"/>
        <v>0</v>
      </c>
      <c r="M760" s="673">
        <f t="shared" si="57"/>
        <v>0</v>
      </c>
      <c r="N760" s="1332">
        <v>0.2</v>
      </c>
      <c r="O760" s="1333" t="str">
        <f t="shared" si="58"/>
        <v/>
      </c>
      <c r="P760" s="1573"/>
    </row>
    <row r="761" spans="2:16">
      <c r="B761" s="1390"/>
      <c r="C761" s="798"/>
      <c r="D761" s="678"/>
      <c r="E761" s="680"/>
      <c r="F761" s="679"/>
      <c r="G761" s="677"/>
      <c r="H761" s="677"/>
      <c r="I761" s="677"/>
      <c r="J761" s="1605">
        <f t="shared" si="55"/>
        <v>0</v>
      </c>
      <c r="K761" s="675"/>
      <c r="L761" s="1605">
        <f t="shared" si="56"/>
        <v>0</v>
      </c>
      <c r="M761" s="673">
        <f t="shared" si="57"/>
        <v>0</v>
      </c>
      <c r="N761" s="1332">
        <v>0.2</v>
      </c>
      <c r="O761" s="1333" t="str">
        <f t="shared" si="58"/>
        <v/>
      </c>
      <c r="P761" s="1573"/>
    </row>
    <row r="762" spans="2:16">
      <c r="B762" s="1390"/>
      <c r="C762" s="798"/>
      <c r="D762" s="678"/>
      <c r="E762" s="680"/>
      <c r="F762" s="679"/>
      <c r="G762" s="677"/>
      <c r="H762" s="677"/>
      <c r="I762" s="677"/>
      <c r="J762" s="1605">
        <f t="shared" si="55"/>
        <v>0</v>
      </c>
      <c r="K762" s="675"/>
      <c r="L762" s="1605">
        <f t="shared" si="56"/>
        <v>0</v>
      </c>
      <c r="M762" s="673">
        <f t="shared" si="57"/>
        <v>0</v>
      </c>
      <c r="N762" s="1332">
        <v>0.2</v>
      </c>
      <c r="O762" s="1333" t="str">
        <f t="shared" si="58"/>
        <v/>
      </c>
      <c r="P762" s="1573"/>
    </row>
    <row r="763" spans="2:16">
      <c r="B763" s="1390"/>
      <c r="C763" s="798"/>
      <c r="D763" s="678"/>
      <c r="E763" s="680"/>
      <c r="F763" s="679"/>
      <c r="G763" s="677"/>
      <c r="H763" s="677"/>
      <c r="I763" s="677"/>
      <c r="J763" s="1605">
        <f t="shared" si="55"/>
        <v>0</v>
      </c>
      <c r="K763" s="675"/>
      <c r="L763" s="1605">
        <f t="shared" si="56"/>
        <v>0</v>
      </c>
      <c r="M763" s="673">
        <f t="shared" si="57"/>
        <v>0</v>
      </c>
      <c r="N763" s="1332">
        <v>0.2</v>
      </c>
      <c r="O763" s="1333" t="str">
        <f t="shared" si="58"/>
        <v/>
      </c>
      <c r="P763" s="1573"/>
    </row>
    <row r="764" spans="2:16">
      <c r="B764" s="1390"/>
      <c r="C764" s="798"/>
      <c r="D764" s="678"/>
      <c r="E764" s="680"/>
      <c r="F764" s="679"/>
      <c r="G764" s="677"/>
      <c r="H764" s="677"/>
      <c r="I764" s="677"/>
      <c r="J764" s="1605">
        <f t="shared" si="55"/>
        <v>0</v>
      </c>
      <c r="K764" s="675"/>
      <c r="L764" s="1605">
        <f t="shared" si="56"/>
        <v>0</v>
      </c>
      <c r="M764" s="673">
        <f t="shared" si="57"/>
        <v>0</v>
      </c>
      <c r="N764" s="1332">
        <v>0.2</v>
      </c>
      <c r="O764" s="1333" t="str">
        <f t="shared" si="58"/>
        <v/>
      </c>
      <c r="P764" s="1573"/>
    </row>
    <row r="765" spans="2:16">
      <c r="B765" s="1390"/>
      <c r="C765" s="798"/>
      <c r="D765" s="678"/>
      <c r="E765" s="680"/>
      <c r="F765" s="679"/>
      <c r="G765" s="677"/>
      <c r="H765" s="677"/>
      <c r="I765" s="677"/>
      <c r="J765" s="1605">
        <f t="shared" si="55"/>
        <v>0</v>
      </c>
      <c r="K765" s="675"/>
      <c r="L765" s="1605">
        <f t="shared" si="56"/>
        <v>0</v>
      </c>
      <c r="M765" s="673">
        <f t="shared" si="57"/>
        <v>0</v>
      </c>
      <c r="N765" s="1332">
        <v>0.2</v>
      </c>
      <c r="O765" s="1333" t="str">
        <f t="shared" si="58"/>
        <v/>
      </c>
      <c r="P765" s="1573"/>
    </row>
    <row r="766" spans="2:16">
      <c r="B766" s="1390"/>
      <c r="C766" s="798"/>
      <c r="D766" s="678"/>
      <c r="E766" s="680"/>
      <c r="F766" s="679"/>
      <c r="G766" s="677"/>
      <c r="H766" s="677"/>
      <c r="I766" s="677"/>
      <c r="J766" s="1605">
        <f t="shared" si="55"/>
        <v>0</v>
      </c>
      <c r="K766" s="675"/>
      <c r="L766" s="1605">
        <f t="shared" si="56"/>
        <v>0</v>
      </c>
      <c r="M766" s="673">
        <f t="shared" si="57"/>
        <v>0</v>
      </c>
      <c r="N766" s="1332">
        <v>0.2</v>
      </c>
      <c r="O766" s="1333" t="str">
        <f t="shared" si="58"/>
        <v/>
      </c>
      <c r="P766" s="1573"/>
    </row>
    <row r="767" spans="2:16">
      <c r="B767" s="1390"/>
      <c r="C767" s="798"/>
      <c r="D767" s="678"/>
      <c r="E767" s="680"/>
      <c r="F767" s="679"/>
      <c r="G767" s="677"/>
      <c r="H767" s="677"/>
      <c r="I767" s="677"/>
      <c r="J767" s="1605">
        <f t="shared" si="55"/>
        <v>0</v>
      </c>
      <c r="K767" s="675"/>
      <c r="L767" s="1605">
        <f t="shared" si="56"/>
        <v>0</v>
      </c>
      <c r="M767" s="673">
        <f t="shared" si="57"/>
        <v>0</v>
      </c>
      <c r="N767" s="1332">
        <v>0.2</v>
      </c>
      <c r="O767" s="1333" t="str">
        <f t="shared" si="58"/>
        <v/>
      </c>
      <c r="P767" s="1573"/>
    </row>
    <row r="768" spans="2:16">
      <c r="B768" s="1390"/>
      <c r="C768" s="798"/>
      <c r="D768" s="678"/>
      <c r="E768" s="680"/>
      <c r="F768" s="679"/>
      <c r="G768" s="677"/>
      <c r="H768" s="677"/>
      <c r="I768" s="677"/>
      <c r="J768" s="1605">
        <f t="shared" si="55"/>
        <v>0</v>
      </c>
      <c r="K768" s="675"/>
      <c r="L768" s="1605">
        <f t="shared" si="56"/>
        <v>0</v>
      </c>
      <c r="M768" s="673">
        <f t="shared" si="57"/>
        <v>0</v>
      </c>
      <c r="N768" s="1332">
        <v>0.2</v>
      </c>
      <c r="O768" s="1333" t="str">
        <f t="shared" si="58"/>
        <v/>
      </c>
      <c r="P768" s="1573"/>
    </row>
    <row r="769" spans="2:16">
      <c r="B769" s="1390"/>
      <c r="C769" s="798"/>
      <c r="D769" s="678"/>
      <c r="E769" s="680"/>
      <c r="F769" s="679"/>
      <c r="G769" s="677"/>
      <c r="H769" s="677"/>
      <c r="I769" s="677"/>
      <c r="J769" s="1605">
        <f t="shared" si="55"/>
        <v>0</v>
      </c>
      <c r="K769" s="675"/>
      <c r="L769" s="1605">
        <f t="shared" si="56"/>
        <v>0</v>
      </c>
      <c r="M769" s="673">
        <f t="shared" si="57"/>
        <v>0</v>
      </c>
      <c r="N769" s="1332">
        <v>0.2</v>
      </c>
      <c r="O769" s="1333" t="str">
        <f t="shared" si="58"/>
        <v/>
      </c>
      <c r="P769" s="1573"/>
    </row>
    <row r="770" spans="2:16">
      <c r="B770" s="1390"/>
      <c r="C770" s="798"/>
      <c r="D770" s="678"/>
      <c r="E770" s="680"/>
      <c r="F770" s="679"/>
      <c r="G770" s="677"/>
      <c r="H770" s="677"/>
      <c r="I770" s="677"/>
      <c r="J770" s="1605">
        <f t="shared" si="55"/>
        <v>0</v>
      </c>
      <c r="K770" s="675"/>
      <c r="L770" s="1605">
        <f t="shared" si="56"/>
        <v>0</v>
      </c>
      <c r="M770" s="673">
        <f t="shared" si="57"/>
        <v>0</v>
      </c>
      <c r="N770" s="1332">
        <v>0.2</v>
      </c>
      <c r="O770" s="1333" t="str">
        <f t="shared" si="58"/>
        <v/>
      </c>
      <c r="P770" s="1573"/>
    </row>
    <row r="771" spans="2:16">
      <c r="B771" s="1390"/>
      <c r="C771" s="798"/>
      <c r="D771" s="678"/>
      <c r="E771" s="680"/>
      <c r="F771" s="679"/>
      <c r="G771" s="677"/>
      <c r="H771" s="677"/>
      <c r="I771" s="677"/>
      <c r="J771" s="1605">
        <f t="shared" si="55"/>
        <v>0</v>
      </c>
      <c r="K771" s="675"/>
      <c r="L771" s="1605">
        <f t="shared" si="56"/>
        <v>0</v>
      </c>
      <c r="M771" s="673">
        <f t="shared" si="57"/>
        <v>0</v>
      </c>
      <c r="N771" s="1332">
        <v>0.2</v>
      </c>
      <c r="O771" s="1333" t="str">
        <f t="shared" si="58"/>
        <v/>
      </c>
      <c r="P771" s="1573"/>
    </row>
    <row r="772" spans="2:16">
      <c r="B772" s="1390"/>
      <c r="C772" s="798"/>
      <c r="D772" s="678"/>
      <c r="E772" s="680"/>
      <c r="F772" s="679"/>
      <c r="G772" s="677"/>
      <c r="H772" s="677"/>
      <c r="I772" s="677"/>
      <c r="J772" s="1605">
        <f t="shared" si="55"/>
        <v>0</v>
      </c>
      <c r="K772" s="675"/>
      <c r="L772" s="1605">
        <f t="shared" si="56"/>
        <v>0</v>
      </c>
      <c r="M772" s="673">
        <f t="shared" si="57"/>
        <v>0</v>
      </c>
      <c r="N772" s="1332">
        <v>0.2</v>
      </c>
      <c r="O772" s="1333" t="str">
        <f t="shared" si="58"/>
        <v/>
      </c>
      <c r="P772" s="1573"/>
    </row>
    <row r="773" spans="2:16">
      <c r="B773" s="1390"/>
      <c r="C773" s="798"/>
      <c r="D773" s="678"/>
      <c r="E773" s="680"/>
      <c r="F773" s="679"/>
      <c r="G773" s="677"/>
      <c r="H773" s="677"/>
      <c r="I773" s="677"/>
      <c r="J773" s="1605">
        <f t="shared" si="55"/>
        <v>0</v>
      </c>
      <c r="K773" s="675"/>
      <c r="L773" s="1605">
        <f t="shared" si="56"/>
        <v>0</v>
      </c>
      <c r="M773" s="673">
        <f t="shared" si="57"/>
        <v>0</v>
      </c>
      <c r="N773" s="1332">
        <v>0.2</v>
      </c>
      <c r="O773" s="1333" t="str">
        <f t="shared" si="58"/>
        <v/>
      </c>
      <c r="P773" s="1573"/>
    </row>
    <row r="774" spans="2:16">
      <c r="B774" s="1390"/>
      <c r="C774" s="798"/>
      <c r="D774" s="678"/>
      <c r="E774" s="680"/>
      <c r="F774" s="679"/>
      <c r="G774" s="677"/>
      <c r="H774" s="677"/>
      <c r="I774" s="677"/>
      <c r="J774" s="1605">
        <f t="shared" si="55"/>
        <v>0</v>
      </c>
      <c r="K774" s="675"/>
      <c r="L774" s="1605">
        <f t="shared" si="56"/>
        <v>0</v>
      </c>
      <c r="M774" s="673">
        <f t="shared" si="57"/>
        <v>0</v>
      </c>
      <c r="N774" s="1332">
        <v>0.2</v>
      </c>
      <c r="O774" s="1333" t="str">
        <f t="shared" si="58"/>
        <v/>
      </c>
      <c r="P774" s="1573"/>
    </row>
    <row r="775" spans="2:16">
      <c r="B775" s="1390"/>
      <c r="C775" s="798"/>
      <c r="D775" s="678"/>
      <c r="E775" s="680"/>
      <c r="F775" s="679"/>
      <c r="G775" s="677"/>
      <c r="H775" s="677"/>
      <c r="I775" s="677"/>
      <c r="J775" s="1605">
        <f t="shared" si="55"/>
        <v>0</v>
      </c>
      <c r="K775" s="675"/>
      <c r="L775" s="1605">
        <f t="shared" si="56"/>
        <v>0</v>
      </c>
      <c r="M775" s="673">
        <f t="shared" si="57"/>
        <v>0</v>
      </c>
      <c r="N775" s="1332">
        <v>0.2</v>
      </c>
      <c r="O775" s="1333" t="str">
        <f t="shared" si="58"/>
        <v/>
      </c>
      <c r="P775" s="1573"/>
    </row>
    <row r="776" spans="2:16">
      <c r="B776" s="1390"/>
      <c r="C776" s="798"/>
      <c r="D776" s="678"/>
      <c r="E776" s="680"/>
      <c r="F776" s="679"/>
      <c r="G776" s="677"/>
      <c r="H776" s="677"/>
      <c r="I776" s="677"/>
      <c r="J776" s="1605">
        <f t="shared" si="55"/>
        <v>0</v>
      </c>
      <c r="K776" s="675"/>
      <c r="L776" s="1605">
        <f t="shared" si="56"/>
        <v>0</v>
      </c>
      <c r="M776" s="673">
        <f t="shared" si="57"/>
        <v>0</v>
      </c>
      <c r="N776" s="1332">
        <v>0.2</v>
      </c>
      <c r="O776" s="1333" t="str">
        <f t="shared" si="58"/>
        <v/>
      </c>
      <c r="P776" s="1573"/>
    </row>
    <row r="777" spans="2:16">
      <c r="B777" s="1390"/>
      <c r="C777" s="798"/>
      <c r="D777" s="678"/>
      <c r="E777" s="680"/>
      <c r="F777" s="679"/>
      <c r="G777" s="677"/>
      <c r="H777" s="677"/>
      <c r="I777" s="677"/>
      <c r="J777" s="1605">
        <f t="shared" si="55"/>
        <v>0</v>
      </c>
      <c r="K777" s="675"/>
      <c r="L777" s="1605">
        <f t="shared" si="56"/>
        <v>0</v>
      </c>
      <c r="M777" s="673">
        <f t="shared" si="57"/>
        <v>0</v>
      </c>
      <c r="N777" s="1332">
        <v>0.2</v>
      </c>
      <c r="O777" s="1333" t="str">
        <f t="shared" si="58"/>
        <v/>
      </c>
      <c r="P777" s="1573"/>
    </row>
    <row r="778" spans="2:16">
      <c r="B778" s="1390"/>
      <c r="C778" s="798"/>
      <c r="D778" s="678"/>
      <c r="E778" s="680"/>
      <c r="F778" s="679"/>
      <c r="G778" s="677"/>
      <c r="H778" s="677"/>
      <c r="I778" s="677"/>
      <c r="J778" s="1605">
        <f t="shared" si="55"/>
        <v>0</v>
      </c>
      <c r="K778" s="675"/>
      <c r="L778" s="1605">
        <f t="shared" si="56"/>
        <v>0</v>
      </c>
      <c r="M778" s="673">
        <f t="shared" si="57"/>
        <v>0</v>
      </c>
      <c r="N778" s="1332">
        <v>0.2</v>
      </c>
      <c r="O778" s="1333" t="str">
        <f t="shared" si="58"/>
        <v/>
      </c>
      <c r="P778" s="1573"/>
    </row>
    <row r="779" spans="2:16">
      <c r="B779" s="1390"/>
      <c r="C779" s="798"/>
      <c r="D779" s="678"/>
      <c r="E779" s="680"/>
      <c r="F779" s="679"/>
      <c r="G779" s="677"/>
      <c r="H779" s="677"/>
      <c r="I779" s="677"/>
      <c r="J779" s="1605">
        <f t="shared" si="55"/>
        <v>0</v>
      </c>
      <c r="K779" s="675"/>
      <c r="L779" s="1605">
        <f t="shared" si="56"/>
        <v>0</v>
      </c>
      <c r="M779" s="673">
        <f t="shared" si="57"/>
        <v>0</v>
      </c>
      <c r="N779" s="1332">
        <v>0.2</v>
      </c>
      <c r="O779" s="1333" t="str">
        <f t="shared" si="58"/>
        <v/>
      </c>
      <c r="P779" s="1573"/>
    </row>
    <row r="780" spans="2:16">
      <c r="B780" s="1390"/>
      <c r="C780" s="798"/>
      <c r="D780" s="678"/>
      <c r="E780" s="680"/>
      <c r="F780" s="679"/>
      <c r="G780" s="677"/>
      <c r="H780" s="677"/>
      <c r="I780" s="677"/>
      <c r="J780" s="1605">
        <f t="shared" si="55"/>
        <v>0</v>
      </c>
      <c r="K780" s="675"/>
      <c r="L780" s="1605">
        <f t="shared" si="56"/>
        <v>0</v>
      </c>
      <c r="M780" s="673">
        <f t="shared" si="57"/>
        <v>0</v>
      </c>
      <c r="N780" s="1332">
        <v>0.2</v>
      </c>
      <c r="O780" s="1333" t="str">
        <f t="shared" si="58"/>
        <v/>
      </c>
      <c r="P780" s="1573"/>
    </row>
    <row r="781" spans="2:16">
      <c r="B781" s="1390"/>
      <c r="C781" s="798"/>
      <c r="D781" s="678"/>
      <c r="E781" s="680"/>
      <c r="F781" s="679"/>
      <c r="G781" s="677"/>
      <c r="H781" s="677"/>
      <c r="I781" s="677"/>
      <c r="J781" s="1605">
        <f t="shared" si="55"/>
        <v>0</v>
      </c>
      <c r="K781" s="675"/>
      <c r="L781" s="1605">
        <f t="shared" si="56"/>
        <v>0</v>
      </c>
      <c r="M781" s="673">
        <f t="shared" si="57"/>
        <v>0</v>
      </c>
      <c r="N781" s="1332">
        <v>0.2</v>
      </c>
      <c r="O781" s="1333" t="str">
        <f t="shared" si="58"/>
        <v/>
      </c>
      <c r="P781" s="1573"/>
    </row>
    <row r="782" spans="2:16">
      <c r="B782" s="1390"/>
      <c r="C782" s="798"/>
      <c r="D782" s="678"/>
      <c r="E782" s="680"/>
      <c r="F782" s="679"/>
      <c r="G782" s="677"/>
      <c r="H782" s="677"/>
      <c r="I782" s="677"/>
      <c r="J782" s="1605">
        <f t="shared" si="55"/>
        <v>0</v>
      </c>
      <c r="K782" s="675"/>
      <c r="L782" s="1605">
        <f t="shared" si="56"/>
        <v>0</v>
      </c>
      <c r="M782" s="673">
        <f t="shared" si="57"/>
        <v>0</v>
      </c>
      <c r="N782" s="1332">
        <v>0.2</v>
      </c>
      <c r="O782" s="1333" t="str">
        <f t="shared" si="58"/>
        <v/>
      </c>
      <c r="P782" s="1573"/>
    </row>
    <row r="783" spans="2:16">
      <c r="B783" s="1390"/>
      <c r="C783" s="798"/>
      <c r="D783" s="678"/>
      <c r="E783" s="680"/>
      <c r="F783" s="679"/>
      <c r="G783" s="677"/>
      <c r="H783" s="677"/>
      <c r="I783" s="677"/>
      <c r="J783" s="1605">
        <f t="shared" si="55"/>
        <v>0</v>
      </c>
      <c r="K783" s="675"/>
      <c r="L783" s="1605">
        <f t="shared" si="56"/>
        <v>0</v>
      </c>
      <c r="M783" s="673">
        <f t="shared" si="57"/>
        <v>0</v>
      </c>
      <c r="N783" s="1332">
        <v>0.2</v>
      </c>
      <c r="O783" s="1333" t="str">
        <f t="shared" si="58"/>
        <v/>
      </c>
      <c r="P783" s="1573"/>
    </row>
    <row r="784" spans="2:16">
      <c r="B784" s="1390"/>
      <c r="C784" s="798"/>
      <c r="D784" s="678"/>
      <c r="E784" s="680"/>
      <c r="F784" s="679"/>
      <c r="G784" s="677"/>
      <c r="H784" s="677"/>
      <c r="I784" s="677"/>
      <c r="J784" s="1605">
        <f t="shared" si="55"/>
        <v>0</v>
      </c>
      <c r="K784" s="675"/>
      <c r="L784" s="1605">
        <f t="shared" si="56"/>
        <v>0</v>
      </c>
      <c r="M784" s="673">
        <f t="shared" si="57"/>
        <v>0</v>
      </c>
      <c r="N784" s="1332">
        <v>0.2</v>
      </c>
      <c r="O784" s="1333" t="str">
        <f t="shared" si="58"/>
        <v/>
      </c>
      <c r="P784" s="1573"/>
    </row>
    <row r="785" spans="2:16">
      <c r="B785" s="1390"/>
      <c r="C785" s="798"/>
      <c r="D785" s="678"/>
      <c r="E785" s="680"/>
      <c r="F785" s="679"/>
      <c r="G785" s="677"/>
      <c r="H785" s="677"/>
      <c r="I785" s="677"/>
      <c r="J785" s="1605">
        <f t="shared" si="55"/>
        <v>0</v>
      </c>
      <c r="K785" s="675"/>
      <c r="L785" s="1605">
        <f t="shared" si="56"/>
        <v>0</v>
      </c>
      <c r="M785" s="673">
        <f t="shared" si="57"/>
        <v>0</v>
      </c>
      <c r="N785" s="1332">
        <v>0.2</v>
      </c>
      <c r="O785" s="1333" t="str">
        <f t="shared" si="58"/>
        <v/>
      </c>
      <c r="P785" s="1573"/>
    </row>
    <row r="786" spans="2:16">
      <c r="B786" s="1390"/>
      <c r="C786" s="798"/>
      <c r="D786" s="678"/>
      <c r="E786" s="680"/>
      <c r="F786" s="679"/>
      <c r="G786" s="677"/>
      <c r="H786" s="677"/>
      <c r="I786" s="677"/>
      <c r="J786" s="1605">
        <f t="shared" si="55"/>
        <v>0</v>
      </c>
      <c r="K786" s="675"/>
      <c r="L786" s="1605">
        <f t="shared" si="56"/>
        <v>0</v>
      </c>
      <c r="M786" s="673">
        <f t="shared" si="57"/>
        <v>0</v>
      </c>
      <c r="N786" s="1332">
        <v>0.2</v>
      </c>
      <c r="O786" s="1333" t="str">
        <f t="shared" si="58"/>
        <v/>
      </c>
      <c r="P786" s="1573"/>
    </row>
    <row r="787" spans="2:16">
      <c r="B787" s="1390"/>
      <c r="C787" s="798"/>
      <c r="D787" s="678"/>
      <c r="E787" s="680"/>
      <c r="F787" s="679"/>
      <c r="G787" s="677"/>
      <c r="H787" s="677"/>
      <c r="I787" s="677"/>
      <c r="J787" s="1605">
        <f t="shared" si="55"/>
        <v>0</v>
      </c>
      <c r="K787" s="675"/>
      <c r="L787" s="1605">
        <f t="shared" si="56"/>
        <v>0</v>
      </c>
      <c r="M787" s="673">
        <f t="shared" si="57"/>
        <v>0</v>
      </c>
      <c r="N787" s="1332">
        <v>0.2</v>
      </c>
      <c r="O787" s="1333" t="str">
        <f t="shared" si="58"/>
        <v/>
      </c>
      <c r="P787" s="1573"/>
    </row>
    <row r="788" spans="2:16">
      <c r="B788" s="1390"/>
      <c r="C788" s="798"/>
      <c r="D788" s="678"/>
      <c r="E788" s="680"/>
      <c r="F788" s="679"/>
      <c r="G788" s="677"/>
      <c r="H788" s="677"/>
      <c r="I788" s="677"/>
      <c r="J788" s="1605">
        <f t="shared" si="55"/>
        <v>0</v>
      </c>
      <c r="K788" s="675"/>
      <c r="L788" s="1605">
        <f t="shared" si="56"/>
        <v>0</v>
      </c>
      <c r="M788" s="673">
        <f t="shared" si="57"/>
        <v>0</v>
      </c>
      <c r="N788" s="1332">
        <v>0.2</v>
      </c>
      <c r="O788" s="1333" t="str">
        <f t="shared" si="58"/>
        <v/>
      </c>
      <c r="P788" s="1573"/>
    </row>
    <row r="789" spans="2:16">
      <c r="B789" s="1390"/>
      <c r="C789" s="798"/>
      <c r="D789" s="678"/>
      <c r="E789" s="680"/>
      <c r="F789" s="679"/>
      <c r="G789" s="677"/>
      <c r="H789" s="677"/>
      <c r="I789" s="677"/>
      <c r="J789" s="1605">
        <f t="shared" si="55"/>
        <v>0</v>
      </c>
      <c r="K789" s="675"/>
      <c r="L789" s="1605">
        <f t="shared" si="56"/>
        <v>0</v>
      </c>
      <c r="M789" s="673">
        <f t="shared" si="57"/>
        <v>0</v>
      </c>
      <c r="N789" s="1332">
        <v>0.2</v>
      </c>
      <c r="O789" s="1333" t="str">
        <f t="shared" si="58"/>
        <v/>
      </c>
      <c r="P789" s="1573"/>
    </row>
    <row r="790" spans="2:16">
      <c r="B790" s="1390"/>
      <c r="C790" s="798"/>
      <c r="D790" s="678"/>
      <c r="E790" s="680"/>
      <c r="F790" s="679"/>
      <c r="G790" s="677"/>
      <c r="H790" s="677"/>
      <c r="I790" s="677"/>
      <c r="J790" s="1605">
        <f t="shared" si="55"/>
        <v>0</v>
      </c>
      <c r="K790" s="675"/>
      <c r="L790" s="1605">
        <f t="shared" si="56"/>
        <v>0</v>
      </c>
      <c r="M790" s="673">
        <f t="shared" si="57"/>
        <v>0</v>
      </c>
      <c r="N790" s="1332">
        <v>0.2</v>
      </c>
      <c r="O790" s="1333" t="str">
        <f t="shared" si="58"/>
        <v/>
      </c>
      <c r="P790" s="1573"/>
    </row>
    <row r="791" spans="2:16">
      <c r="B791" s="1390"/>
      <c r="C791" s="798"/>
      <c r="D791" s="678"/>
      <c r="E791" s="680"/>
      <c r="F791" s="679"/>
      <c r="G791" s="677"/>
      <c r="H791" s="677"/>
      <c r="I791" s="677"/>
      <c r="J791" s="1605">
        <f t="shared" si="55"/>
        <v>0</v>
      </c>
      <c r="K791" s="675"/>
      <c r="L791" s="1605">
        <f t="shared" si="56"/>
        <v>0</v>
      </c>
      <c r="M791" s="673">
        <f t="shared" si="57"/>
        <v>0</v>
      </c>
      <c r="N791" s="1332">
        <v>0.2</v>
      </c>
      <c r="O791" s="1333" t="str">
        <f t="shared" si="58"/>
        <v/>
      </c>
      <c r="P791" s="1573"/>
    </row>
    <row r="792" spans="2:16">
      <c r="B792" s="1390"/>
      <c r="C792" s="798"/>
      <c r="D792" s="678"/>
      <c r="E792" s="680"/>
      <c r="F792" s="679"/>
      <c r="G792" s="677"/>
      <c r="H792" s="677"/>
      <c r="I792" s="677"/>
      <c r="J792" s="1605">
        <f t="shared" si="55"/>
        <v>0</v>
      </c>
      <c r="K792" s="675"/>
      <c r="L792" s="1605">
        <f t="shared" si="56"/>
        <v>0</v>
      </c>
      <c r="M792" s="673">
        <f t="shared" si="57"/>
        <v>0</v>
      </c>
      <c r="N792" s="1332">
        <v>0.2</v>
      </c>
      <c r="O792" s="1333" t="str">
        <f t="shared" si="58"/>
        <v/>
      </c>
      <c r="P792" s="1573"/>
    </row>
    <row r="793" spans="2:16">
      <c r="B793" s="1390"/>
      <c r="C793" s="798"/>
      <c r="D793" s="678"/>
      <c r="E793" s="680"/>
      <c r="F793" s="679"/>
      <c r="G793" s="677"/>
      <c r="H793" s="677"/>
      <c r="I793" s="677"/>
      <c r="J793" s="1605">
        <f t="shared" si="55"/>
        <v>0</v>
      </c>
      <c r="K793" s="675"/>
      <c r="L793" s="1605">
        <f t="shared" si="56"/>
        <v>0</v>
      </c>
      <c r="M793" s="673">
        <f t="shared" si="57"/>
        <v>0</v>
      </c>
      <c r="N793" s="1332">
        <v>0.2</v>
      </c>
      <c r="O793" s="1333" t="str">
        <f t="shared" si="58"/>
        <v/>
      </c>
      <c r="P793" s="1573"/>
    </row>
    <row r="794" spans="2:16">
      <c r="B794" s="1390"/>
      <c r="C794" s="798"/>
      <c r="D794" s="678"/>
      <c r="E794" s="680"/>
      <c r="F794" s="679"/>
      <c r="G794" s="677"/>
      <c r="H794" s="677"/>
      <c r="I794" s="677"/>
      <c r="J794" s="1605">
        <f t="shared" si="55"/>
        <v>0</v>
      </c>
      <c r="K794" s="675"/>
      <c r="L794" s="1605">
        <f t="shared" si="56"/>
        <v>0</v>
      </c>
      <c r="M794" s="673">
        <f t="shared" si="57"/>
        <v>0</v>
      </c>
      <c r="N794" s="1332">
        <v>0.2</v>
      </c>
      <c r="O794" s="1333" t="str">
        <f t="shared" si="58"/>
        <v/>
      </c>
      <c r="P794" s="1573"/>
    </row>
    <row r="795" spans="2:16">
      <c r="B795" s="1390"/>
      <c r="C795" s="798"/>
      <c r="D795" s="678"/>
      <c r="E795" s="680"/>
      <c r="F795" s="679"/>
      <c r="G795" s="677"/>
      <c r="H795" s="677"/>
      <c r="I795" s="677"/>
      <c r="J795" s="1605">
        <f t="shared" si="55"/>
        <v>0</v>
      </c>
      <c r="K795" s="675"/>
      <c r="L795" s="1605">
        <f t="shared" si="56"/>
        <v>0</v>
      </c>
      <c r="M795" s="673">
        <f t="shared" si="57"/>
        <v>0</v>
      </c>
      <c r="N795" s="1332">
        <v>0.2</v>
      </c>
      <c r="O795" s="1333" t="str">
        <f t="shared" si="58"/>
        <v/>
      </c>
      <c r="P795" s="1573"/>
    </row>
    <row r="796" spans="2:16">
      <c r="B796" s="1390"/>
      <c r="C796" s="798"/>
      <c r="D796" s="678"/>
      <c r="E796" s="680"/>
      <c r="F796" s="679"/>
      <c r="G796" s="677"/>
      <c r="H796" s="677"/>
      <c r="I796" s="677"/>
      <c r="J796" s="1605">
        <f t="shared" si="55"/>
        <v>0</v>
      </c>
      <c r="K796" s="675"/>
      <c r="L796" s="1605">
        <f t="shared" si="56"/>
        <v>0</v>
      </c>
      <c r="M796" s="673">
        <f t="shared" si="57"/>
        <v>0</v>
      </c>
      <c r="N796" s="1332">
        <v>0.2</v>
      </c>
      <c r="O796" s="1333" t="str">
        <f t="shared" si="58"/>
        <v/>
      </c>
      <c r="P796" s="1573"/>
    </row>
    <row r="797" spans="2:16">
      <c r="B797" s="1390"/>
      <c r="C797" s="798"/>
      <c r="D797" s="678"/>
      <c r="E797" s="680"/>
      <c r="F797" s="679"/>
      <c r="G797" s="677"/>
      <c r="H797" s="677"/>
      <c r="I797" s="677"/>
      <c r="J797" s="1605">
        <f t="shared" si="55"/>
        <v>0</v>
      </c>
      <c r="K797" s="675"/>
      <c r="L797" s="1605">
        <f t="shared" si="56"/>
        <v>0</v>
      </c>
      <c r="M797" s="673">
        <f t="shared" si="57"/>
        <v>0</v>
      </c>
      <c r="N797" s="1332">
        <v>0.2</v>
      </c>
      <c r="O797" s="1333" t="str">
        <f t="shared" si="58"/>
        <v/>
      </c>
      <c r="P797" s="1573"/>
    </row>
    <row r="798" spans="2:16">
      <c r="B798" s="1390"/>
      <c r="C798" s="798"/>
      <c r="D798" s="678"/>
      <c r="E798" s="680"/>
      <c r="F798" s="679"/>
      <c r="G798" s="677"/>
      <c r="H798" s="677"/>
      <c r="I798" s="677"/>
      <c r="J798" s="1605">
        <f t="shared" si="55"/>
        <v>0</v>
      </c>
      <c r="K798" s="675"/>
      <c r="L798" s="1605">
        <f t="shared" si="56"/>
        <v>0</v>
      </c>
      <c r="M798" s="673">
        <f t="shared" si="57"/>
        <v>0</v>
      </c>
      <c r="N798" s="1332">
        <v>0.2</v>
      </c>
      <c r="O798" s="1333" t="str">
        <f t="shared" si="58"/>
        <v/>
      </c>
      <c r="P798" s="1573"/>
    </row>
    <row r="799" spans="2:16">
      <c r="B799" s="1390"/>
      <c r="C799" s="798"/>
      <c r="D799" s="678"/>
      <c r="E799" s="680"/>
      <c r="F799" s="679"/>
      <c r="G799" s="677"/>
      <c r="H799" s="677"/>
      <c r="I799" s="677"/>
      <c r="J799" s="1605">
        <f t="shared" si="55"/>
        <v>0</v>
      </c>
      <c r="K799" s="675"/>
      <c r="L799" s="1605">
        <f t="shared" si="56"/>
        <v>0</v>
      </c>
      <c r="M799" s="673">
        <f t="shared" si="57"/>
        <v>0</v>
      </c>
      <c r="N799" s="1332">
        <v>0.2</v>
      </c>
      <c r="O799" s="1333" t="str">
        <f t="shared" si="58"/>
        <v/>
      </c>
      <c r="P799" s="1573"/>
    </row>
    <row r="800" spans="2:16">
      <c r="B800" s="1390"/>
      <c r="C800" s="798"/>
      <c r="D800" s="678"/>
      <c r="E800" s="680"/>
      <c r="F800" s="679"/>
      <c r="G800" s="677"/>
      <c r="H800" s="677"/>
      <c r="I800" s="677"/>
      <c r="J800" s="1605">
        <f t="shared" si="55"/>
        <v>0</v>
      </c>
      <c r="K800" s="675"/>
      <c r="L800" s="1605">
        <f t="shared" si="56"/>
        <v>0</v>
      </c>
      <c r="M800" s="673">
        <f t="shared" si="57"/>
        <v>0</v>
      </c>
      <c r="N800" s="1332">
        <v>0.2</v>
      </c>
      <c r="O800" s="1333" t="str">
        <f t="shared" si="58"/>
        <v/>
      </c>
      <c r="P800" s="1573"/>
    </row>
    <row r="801" spans="2:16">
      <c r="B801" s="1390"/>
      <c r="C801" s="798"/>
      <c r="D801" s="678"/>
      <c r="E801" s="680"/>
      <c r="F801" s="679"/>
      <c r="G801" s="677"/>
      <c r="H801" s="677"/>
      <c r="I801" s="677"/>
      <c r="J801" s="1605">
        <f t="shared" si="55"/>
        <v>0</v>
      </c>
      <c r="K801" s="675"/>
      <c r="L801" s="1605">
        <f t="shared" si="56"/>
        <v>0</v>
      </c>
      <c r="M801" s="673">
        <f t="shared" si="57"/>
        <v>0</v>
      </c>
      <c r="N801" s="1332">
        <v>0.2</v>
      </c>
      <c r="O801" s="1333" t="str">
        <f t="shared" si="58"/>
        <v/>
      </c>
      <c r="P801" s="1573"/>
    </row>
    <row r="802" spans="2:16">
      <c r="B802" s="1390"/>
      <c r="C802" s="798"/>
      <c r="D802" s="678"/>
      <c r="E802" s="680"/>
      <c r="F802" s="679"/>
      <c r="G802" s="677"/>
      <c r="H802" s="677"/>
      <c r="I802" s="677"/>
      <c r="J802" s="1605">
        <f t="shared" si="55"/>
        <v>0</v>
      </c>
      <c r="K802" s="675"/>
      <c r="L802" s="1605">
        <f t="shared" si="56"/>
        <v>0</v>
      </c>
      <c r="M802" s="673">
        <f t="shared" si="57"/>
        <v>0</v>
      </c>
      <c r="N802" s="1332">
        <v>0.2</v>
      </c>
      <c r="O802" s="1333" t="str">
        <f t="shared" si="58"/>
        <v/>
      </c>
      <c r="P802" s="1573"/>
    </row>
    <row r="803" spans="2:16">
      <c r="B803" s="1390"/>
      <c r="C803" s="798"/>
      <c r="D803" s="678"/>
      <c r="E803" s="680"/>
      <c r="F803" s="679"/>
      <c r="G803" s="677"/>
      <c r="H803" s="677"/>
      <c r="I803" s="677"/>
      <c r="J803" s="1605">
        <f t="shared" si="55"/>
        <v>0</v>
      </c>
      <c r="K803" s="675"/>
      <c r="L803" s="1605">
        <f t="shared" si="56"/>
        <v>0</v>
      </c>
      <c r="M803" s="673">
        <f t="shared" si="57"/>
        <v>0</v>
      </c>
      <c r="N803" s="1332">
        <v>0.2</v>
      </c>
      <c r="O803" s="1333" t="str">
        <f t="shared" si="58"/>
        <v/>
      </c>
      <c r="P803" s="1573"/>
    </row>
    <row r="804" spans="2:16">
      <c r="B804" s="1390"/>
      <c r="C804" s="798"/>
      <c r="D804" s="678"/>
      <c r="E804" s="680"/>
      <c r="F804" s="679"/>
      <c r="G804" s="677"/>
      <c r="H804" s="677"/>
      <c r="I804" s="677"/>
      <c r="J804" s="1605">
        <f t="shared" si="55"/>
        <v>0</v>
      </c>
      <c r="K804" s="675"/>
      <c r="L804" s="1605">
        <f t="shared" si="56"/>
        <v>0</v>
      </c>
      <c r="M804" s="673">
        <f t="shared" si="57"/>
        <v>0</v>
      </c>
      <c r="N804" s="1332">
        <v>0.2</v>
      </c>
      <c r="O804" s="1333" t="str">
        <f t="shared" si="58"/>
        <v/>
      </c>
      <c r="P804" s="1573"/>
    </row>
    <row r="805" spans="2:16">
      <c r="B805" s="1390"/>
      <c r="C805" s="798"/>
      <c r="D805" s="678"/>
      <c r="E805" s="680"/>
      <c r="F805" s="679"/>
      <c r="G805" s="677"/>
      <c r="H805" s="677"/>
      <c r="I805" s="677"/>
      <c r="J805" s="1605">
        <f t="shared" si="55"/>
        <v>0</v>
      </c>
      <c r="K805" s="675"/>
      <c r="L805" s="1605">
        <f t="shared" si="56"/>
        <v>0</v>
      </c>
      <c r="M805" s="673">
        <f t="shared" si="57"/>
        <v>0</v>
      </c>
      <c r="N805" s="1332">
        <v>0.2</v>
      </c>
      <c r="O805" s="1333" t="str">
        <f t="shared" si="58"/>
        <v/>
      </c>
      <c r="P805" s="1573"/>
    </row>
    <row r="806" spans="2:16">
      <c r="B806" s="1390"/>
      <c r="C806" s="798"/>
      <c r="D806" s="678"/>
      <c r="E806" s="680"/>
      <c r="F806" s="679"/>
      <c r="G806" s="677"/>
      <c r="H806" s="677"/>
      <c r="I806" s="677"/>
      <c r="J806" s="1605">
        <f t="shared" si="55"/>
        <v>0</v>
      </c>
      <c r="K806" s="675"/>
      <c r="L806" s="1605">
        <f t="shared" si="56"/>
        <v>0</v>
      </c>
      <c r="M806" s="673">
        <f t="shared" si="57"/>
        <v>0</v>
      </c>
      <c r="N806" s="1332">
        <v>0.2</v>
      </c>
      <c r="O806" s="1333" t="str">
        <f t="shared" si="58"/>
        <v/>
      </c>
      <c r="P806" s="1573"/>
    </row>
    <row r="807" spans="2:16">
      <c r="B807" s="1390"/>
      <c r="C807" s="798"/>
      <c r="D807" s="678"/>
      <c r="E807" s="680"/>
      <c r="F807" s="679"/>
      <c r="G807" s="677"/>
      <c r="H807" s="677"/>
      <c r="I807" s="677"/>
      <c r="J807" s="1605">
        <f t="shared" si="55"/>
        <v>0</v>
      </c>
      <c r="K807" s="675"/>
      <c r="L807" s="1605">
        <f t="shared" si="56"/>
        <v>0</v>
      </c>
      <c r="M807" s="673">
        <f t="shared" si="57"/>
        <v>0</v>
      </c>
      <c r="N807" s="1332">
        <v>0.2</v>
      </c>
      <c r="O807" s="1333" t="str">
        <f t="shared" si="58"/>
        <v/>
      </c>
      <c r="P807" s="1573"/>
    </row>
    <row r="808" spans="2:16">
      <c r="B808" s="1390"/>
      <c r="C808" s="798"/>
      <c r="D808" s="678"/>
      <c r="E808" s="680"/>
      <c r="F808" s="679"/>
      <c r="G808" s="677"/>
      <c r="H808" s="677"/>
      <c r="I808" s="677"/>
      <c r="J808" s="1605">
        <f t="shared" si="55"/>
        <v>0</v>
      </c>
      <c r="K808" s="675"/>
      <c r="L808" s="1605">
        <f t="shared" si="56"/>
        <v>0</v>
      </c>
      <c r="M808" s="673">
        <f t="shared" si="57"/>
        <v>0</v>
      </c>
      <c r="N808" s="1332">
        <v>0.2</v>
      </c>
      <c r="O808" s="1333" t="str">
        <f t="shared" si="58"/>
        <v/>
      </c>
      <c r="P808" s="1573"/>
    </row>
    <row r="809" spans="2:16">
      <c r="B809" s="1390"/>
      <c r="C809" s="798"/>
      <c r="D809" s="678"/>
      <c r="E809" s="680"/>
      <c r="F809" s="679"/>
      <c r="G809" s="677"/>
      <c r="H809" s="677"/>
      <c r="I809" s="677"/>
      <c r="J809" s="1605">
        <f t="shared" si="55"/>
        <v>0</v>
      </c>
      <c r="K809" s="675"/>
      <c r="L809" s="1605">
        <f t="shared" si="56"/>
        <v>0</v>
      </c>
      <c r="M809" s="673">
        <f t="shared" si="57"/>
        <v>0</v>
      </c>
      <c r="N809" s="1332">
        <v>0.2</v>
      </c>
      <c r="O809" s="1333" t="str">
        <f t="shared" si="58"/>
        <v/>
      </c>
      <c r="P809" s="1573"/>
    </row>
    <row r="810" spans="2:16">
      <c r="B810" s="1390"/>
      <c r="C810" s="798"/>
      <c r="D810" s="678"/>
      <c r="E810" s="680"/>
      <c r="F810" s="679"/>
      <c r="G810" s="677"/>
      <c r="H810" s="677"/>
      <c r="I810" s="677"/>
      <c r="J810" s="1605">
        <f t="shared" si="55"/>
        <v>0</v>
      </c>
      <c r="K810" s="675"/>
      <c r="L810" s="1605">
        <f t="shared" si="56"/>
        <v>0</v>
      </c>
      <c r="M810" s="673">
        <f t="shared" si="57"/>
        <v>0</v>
      </c>
      <c r="N810" s="1332">
        <v>0.2</v>
      </c>
      <c r="O810" s="1333" t="str">
        <f t="shared" si="58"/>
        <v/>
      </c>
      <c r="P810" s="1573"/>
    </row>
    <row r="811" spans="2:16">
      <c r="B811" s="1390"/>
      <c r="C811" s="798"/>
      <c r="D811" s="678"/>
      <c r="E811" s="680"/>
      <c r="F811" s="679"/>
      <c r="G811" s="677"/>
      <c r="H811" s="677"/>
      <c r="I811" s="677"/>
      <c r="J811" s="1605">
        <f t="shared" si="55"/>
        <v>0</v>
      </c>
      <c r="K811" s="675"/>
      <c r="L811" s="1605">
        <f t="shared" si="56"/>
        <v>0</v>
      </c>
      <c r="M811" s="673">
        <f t="shared" si="57"/>
        <v>0</v>
      </c>
      <c r="N811" s="1332">
        <v>0.2</v>
      </c>
      <c r="O811" s="1333" t="str">
        <f t="shared" si="58"/>
        <v/>
      </c>
      <c r="P811" s="1573"/>
    </row>
    <row r="812" spans="2:16">
      <c r="B812" s="1390"/>
      <c r="C812" s="798"/>
      <c r="D812" s="678"/>
      <c r="E812" s="680"/>
      <c r="F812" s="679"/>
      <c r="G812" s="677"/>
      <c r="H812" s="677"/>
      <c r="I812" s="677"/>
      <c r="J812" s="1605">
        <f t="shared" ref="J812:J875" si="59">H812+I812</f>
        <v>0</v>
      </c>
      <c r="K812" s="675"/>
      <c r="L812" s="1605">
        <f t="shared" ref="L812:L875" si="60">J812*K812</f>
        <v>0</v>
      </c>
      <c r="M812" s="673">
        <f t="shared" ref="M812:M875" si="61">L812/$D$9</f>
        <v>0</v>
      </c>
      <c r="N812" s="1332">
        <v>0.2</v>
      </c>
      <c r="O812" s="1333" t="str">
        <f t="shared" ref="O812:O875" si="62">IF((M812-N812)&gt;0,M812-N812,"")</f>
        <v/>
      </c>
      <c r="P812" s="1573"/>
    </row>
    <row r="813" spans="2:16">
      <c r="B813" s="1390"/>
      <c r="C813" s="798"/>
      <c r="D813" s="678"/>
      <c r="E813" s="680"/>
      <c r="F813" s="679"/>
      <c r="G813" s="677"/>
      <c r="H813" s="677"/>
      <c r="I813" s="677"/>
      <c r="J813" s="1605">
        <f t="shared" si="59"/>
        <v>0</v>
      </c>
      <c r="K813" s="675"/>
      <c r="L813" s="1605">
        <f t="shared" si="60"/>
        <v>0</v>
      </c>
      <c r="M813" s="673">
        <f t="shared" si="61"/>
        <v>0</v>
      </c>
      <c r="N813" s="1332">
        <v>0.2</v>
      </c>
      <c r="O813" s="1333" t="str">
        <f t="shared" si="62"/>
        <v/>
      </c>
      <c r="P813" s="1573"/>
    </row>
    <row r="814" spans="2:16">
      <c r="B814" s="1390"/>
      <c r="C814" s="798"/>
      <c r="D814" s="678"/>
      <c r="E814" s="680"/>
      <c r="F814" s="679"/>
      <c r="G814" s="677"/>
      <c r="H814" s="677"/>
      <c r="I814" s="677"/>
      <c r="J814" s="1605">
        <f t="shared" si="59"/>
        <v>0</v>
      </c>
      <c r="K814" s="675"/>
      <c r="L814" s="1605">
        <f t="shared" si="60"/>
        <v>0</v>
      </c>
      <c r="M814" s="673">
        <f t="shared" si="61"/>
        <v>0</v>
      </c>
      <c r="N814" s="1332">
        <v>0.2</v>
      </c>
      <c r="O814" s="1333" t="str">
        <f t="shared" si="62"/>
        <v/>
      </c>
      <c r="P814" s="1573"/>
    </row>
    <row r="815" spans="2:16">
      <c r="B815" s="1390"/>
      <c r="C815" s="798"/>
      <c r="D815" s="678"/>
      <c r="E815" s="680"/>
      <c r="F815" s="679"/>
      <c r="G815" s="677"/>
      <c r="H815" s="677"/>
      <c r="I815" s="677"/>
      <c r="J815" s="1605">
        <f t="shared" si="59"/>
        <v>0</v>
      </c>
      <c r="K815" s="675"/>
      <c r="L815" s="1605">
        <f t="shared" si="60"/>
        <v>0</v>
      </c>
      <c r="M815" s="673">
        <f t="shared" si="61"/>
        <v>0</v>
      </c>
      <c r="N815" s="1332">
        <v>0.2</v>
      </c>
      <c r="O815" s="1333" t="str">
        <f t="shared" si="62"/>
        <v/>
      </c>
      <c r="P815" s="1573"/>
    </row>
    <row r="816" spans="2:16">
      <c r="B816" s="1390"/>
      <c r="C816" s="798"/>
      <c r="D816" s="678"/>
      <c r="E816" s="680"/>
      <c r="F816" s="679"/>
      <c r="G816" s="677"/>
      <c r="H816" s="677"/>
      <c r="I816" s="677"/>
      <c r="J816" s="1605">
        <f t="shared" si="59"/>
        <v>0</v>
      </c>
      <c r="K816" s="675"/>
      <c r="L816" s="1605">
        <f t="shared" si="60"/>
        <v>0</v>
      </c>
      <c r="M816" s="673">
        <f t="shared" si="61"/>
        <v>0</v>
      </c>
      <c r="N816" s="1332">
        <v>0.2</v>
      </c>
      <c r="O816" s="1333" t="str">
        <f t="shared" si="62"/>
        <v/>
      </c>
      <c r="P816" s="1573"/>
    </row>
    <row r="817" spans="2:16">
      <c r="B817" s="1390"/>
      <c r="C817" s="798"/>
      <c r="D817" s="678"/>
      <c r="E817" s="680"/>
      <c r="F817" s="679"/>
      <c r="G817" s="677"/>
      <c r="H817" s="677"/>
      <c r="I817" s="677"/>
      <c r="J817" s="1605">
        <f t="shared" si="59"/>
        <v>0</v>
      </c>
      <c r="K817" s="675"/>
      <c r="L817" s="1605">
        <f t="shared" si="60"/>
        <v>0</v>
      </c>
      <c r="M817" s="673">
        <f t="shared" si="61"/>
        <v>0</v>
      </c>
      <c r="N817" s="1332">
        <v>0.2</v>
      </c>
      <c r="O817" s="1333" t="str">
        <f t="shared" si="62"/>
        <v/>
      </c>
      <c r="P817" s="1573"/>
    </row>
    <row r="818" spans="2:16">
      <c r="B818" s="1390"/>
      <c r="C818" s="798"/>
      <c r="D818" s="678"/>
      <c r="E818" s="680"/>
      <c r="F818" s="679"/>
      <c r="G818" s="677"/>
      <c r="H818" s="677"/>
      <c r="I818" s="677"/>
      <c r="J818" s="1605">
        <f t="shared" si="59"/>
        <v>0</v>
      </c>
      <c r="K818" s="675"/>
      <c r="L818" s="1605">
        <f t="shared" si="60"/>
        <v>0</v>
      </c>
      <c r="M818" s="673">
        <f t="shared" si="61"/>
        <v>0</v>
      </c>
      <c r="N818" s="1332">
        <v>0.2</v>
      </c>
      <c r="O818" s="1333" t="str">
        <f t="shared" si="62"/>
        <v/>
      </c>
      <c r="P818" s="1573"/>
    </row>
    <row r="819" spans="2:16">
      <c r="B819" s="1390"/>
      <c r="C819" s="798"/>
      <c r="D819" s="678"/>
      <c r="E819" s="680"/>
      <c r="F819" s="679"/>
      <c r="G819" s="677"/>
      <c r="H819" s="677"/>
      <c r="I819" s="677"/>
      <c r="J819" s="1605">
        <f t="shared" si="59"/>
        <v>0</v>
      </c>
      <c r="K819" s="675"/>
      <c r="L819" s="1605">
        <f t="shared" si="60"/>
        <v>0</v>
      </c>
      <c r="M819" s="673">
        <f t="shared" si="61"/>
        <v>0</v>
      </c>
      <c r="N819" s="1332">
        <v>0.2</v>
      </c>
      <c r="O819" s="1333" t="str">
        <f t="shared" si="62"/>
        <v/>
      </c>
      <c r="P819" s="1573"/>
    </row>
    <row r="820" spans="2:16">
      <c r="B820" s="1390"/>
      <c r="C820" s="798"/>
      <c r="D820" s="678"/>
      <c r="E820" s="680"/>
      <c r="F820" s="679"/>
      <c r="G820" s="677"/>
      <c r="H820" s="677"/>
      <c r="I820" s="677"/>
      <c r="J820" s="1605">
        <f t="shared" si="59"/>
        <v>0</v>
      </c>
      <c r="K820" s="675"/>
      <c r="L820" s="1605">
        <f t="shared" si="60"/>
        <v>0</v>
      </c>
      <c r="M820" s="673">
        <f t="shared" si="61"/>
        <v>0</v>
      </c>
      <c r="N820" s="1332">
        <v>0.2</v>
      </c>
      <c r="O820" s="1333" t="str">
        <f t="shared" si="62"/>
        <v/>
      </c>
      <c r="P820" s="1573"/>
    </row>
    <row r="821" spans="2:16">
      <c r="B821" s="1390"/>
      <c r="C821" s="798"/>
      <c r="D821" s="678"/>
      <c r="E821" s="680"/>
      <c r="F821" s="679"/>
      <c r="G821" s="677"/>
      <c r="H821" s="677"/>
      <c r="I821" s="677"/>
      <c r="J821" s="1605">
        <f t="shared" si="59"/>
        <v>0</v>
      </c>
      <c r="K821" s="675"/>
      <c r="L821" s="1605">
        <f t="shared" si="60"/>
        <v>0</v>
      </c>
      <c r="M821" s="673">
        <f t="shared" si="61"/>
        <v>0</v>
      </c>
      <c r="N821" s="1332">
        <v>0.2</v>
      </c>
      <c r="O821" s="1333" t="str">
        <f t="shared" si="62"/>
        <v/>
      </c>
      <c r="P821" s="1573"/>
    </row>
    <row r="822" spans="2:16">
      <c r="B822" s="1390"/>
      <c r="C822" s="798"/>
      <c r="D822" s="678"/>
      <c r="E822" s="680"/>
      <c r="F822" s="679"/>
      <c r="G822" s="677"/>
      <c r="H822" s="677"/>
      <c r="I822" s="677"/>
      <c r="J822" s="1605">
        <f t="shared" si="59"/>
        <v>0</v>
      </c>
      <c r="K822" s="675"/>
      <c r="L822" s="1605">
        <f t="shared" si="60"/>
        <v>0</v>
      </c>
      <c r="M822" s="673">
        <f t="shared" si="61"/>
        <v>0</v>
      </c>
      <c r="N822" s="1332">
        <v>0.2</v>
      </c>
      <c r="O822" s="1333" t="str">
        <f t="shared" si="62"/>
        <v/>
      </c>
      <c r="P822" s="1573"/>
    </row>
    <row r="823" spans="2:16">
      <c r="B823" s="1390"/>
      <c r="C823" s="798"/>
      <c r="D823" s="678"/>
      <c r="E823" s="680"/>
      <c r="F823" s="679"/>
      <c r="G823" s="677"/>
      <c r="H823" s="677"/>
      <c r="I823" s="677"/>
      <c r="J823" s="1605">
        <f t="shared" si="59"/>
        <v>0</v>
      </c>
      <c r="K823" s="675"/>
      <c r="L823" s="1605">
        <f t="shared" si="60"/>
        <v>0</v>
      </c>
      <c r="M823" s="673">
        <f t="shared" si="61"/>
        <v>0</v>
      </c>
      <c r="N823" s="1332">
        <v>0.2</v>
      </c>
      <c r="O823" s="1333" t="str">
        <f t="shared" si="62"/>
        <v/>
      </c>
      <c r="P823" s="1573"/>
    </row>
    <row r="824" spans="2:16">
      <c r="B824" s="1390"/>
      <c r="C824" s="798"/>
      <c r="D824" s="678"/>
      <c r="E824" s="680"/>
      <c r="F824" s="679"/>
      <c r="G824" s="677"/>
      <c r="H824" s="677"/>
      <c r="I824" s="677"/>
      <c r="J824" s="1605">
        <f t="shared" si="59"/>
        <v>0</v>
      </c>
      <c r="K824" s="675"/>
      <c r="L824" s="1605">
        <f t="shared" si="60"/>
        <v>0</v>
      </c>
      <c r="M824" s="673">
        <f t="shared" si="61"/>
        <v>0</v>
      </c>
      <c r="N824" s="1332">
        <v>0.2</v>
      </c>
      <c r="O824" s="1333" t="str">
        <f t="shared" si="62"/>
        <v/>
      </c>
      <c r="P824" s="1573"/>
    </row>
    <row r="825" spans="2:16">
      <c r="B825" s="1390"/>
      <c r="C825" s="798"/>
      <c r="D825" s="678"/>
      <c r="E825" s="680"/>
      <c r="F825" s="679"/>
      <c r="G825" s="677"/>
      <c r="H825" s="677"/>
      <c r="I825" s="677"/>
      <c r="J825" s="1605">
        <f t="shared" si="59"/>
        <v>0</v>
      </c>
      <c r="K825" s="675"/>
      <c r="L825" s="1605">
        <f t="shared" si="60"/>
        <v>0</v>
      </c>
      <c r="M825" s="673">
        <f t="shared" si="61"/>
        <v>0</v>
      </c>
      <c r="N825" s="1332">
        <v>0.2</v>
      </c>
      <c r="O825" s="1333" t="str">
        <f t="shared" si="62"/>
        <v/>
      </c>
      <c r="P825" s="1573"/>
    </row>
    <row r="826" spans="2:16">
      <c r="B826" s="1390"/>
      <c r="C826" s="798"/>
      <c r="D826" s="678"/>
      <c r="E826" s="680"/>
      <c r="F826" s="679"/>
      <c r="G826" s="677"/>
      <c r="H826" s="677"/>
      <c r="I826" s="677"/>
      <c r="J826" s="1605">
        <f t="shared" si="59"/>
        <v>0</v>
      </c>
      <c r="K826" s="675"/>
      <c r="L826" s="1605">
        <f t="shared" si="60"/>
        <v>0</v>
      </c>
      <c r="M826" s="673">
        <f t="shared" si="61"/>
        <v>0</v>
      </c>
      <c r="N826" s="1332">
        <v>0.2</v>
      </c>
      <c r="O826" s="1333" t="str">
        <f t="shared" si="62"/>
        <v/>
      </c>
      <c r="P826" s="1573"/>
    </row>
    <row r="827" spans="2:16">
      <c r="B827" s="1390"/>
      <c r="C827" s="798"/>
      <c r="D827" s="678"/>
      <c r="E827" s="680"/>
      <c r="F827" s="679"/>
      <c r="G827" s="677"/>
      <c r="H827" s="677"/>
      <c r="I827" s="677"/>
      <c r="J827" s="1605">
        <f t="shared" si="59"/>
        <v>0</v>
      </c>
      <c r="K827" s="675"/>
      <c r="L827" s="1605">
        <f t="shared" si="60"/>
        <v>0</v>
      </c>
      <c r="M827" s="673">
        <f t="shared" si="61"/>
        <v>0</v>
      </c>
      <c r="N827" s="1332">
        <v>0.2</v>
      </c>
      <c r="O827" s="1333" t="str">
        <f t="shared" si="62"/>
        <v/>
      </c>
      <c r="P827" s="1573"/>
    </row>
    <row r="828" spans="2:16">
      <c r="B828" s="1390"/>
      <c r="C828" s="798"/>
      <c r="D828" s="678"/>
      <c r="E828" s="680"/>
      <c r="F828" s="679"/>
      <c r="G828" s="677"/>
      <c r="H828" s="677"/>
      <c r="I828" s="677"/>
      <c r="J828" s="1605">
        <f t="shared" si="59"/>
        <v>0</v>
      </c>
      <c r="K828" s="675"/>
      <c r="L828" s="1605">
        <f t="shared" si="60"/>
        <v>0</v>
      </c>
      <c r="M828" s="673">
        <f t="shared" si="61"/>
        <v>0</v>
      </c>
      <c r="N828" s="1332">
        <v>0.2</v>
      </c>
      <c r="O828" s="1333" t="str">
        <f t="shared" si="62"/>
        <v/>
      </c>
      <c r="P828" s="1573"/>
    </row>
    <row r="829" spans="2:16">
      <c r="B829" s="1390"/>
      <c r="C829" s="798"/>
      <c r="D829" s="678"/>
      <c r="E829" s="680"/>
      <c r="F829" s="679"/>
      <c r="G829" s="677"/>
      <c r="H829" s="677"/>
      <c r="I829" s="677"/>
      <c r="J829" s="1605">
        <f t="shared" si="59"/>
        <v>0</v>
      </c>
      <c r="K829" s="675"/>
      <c r="L829" s="1605">
        <f t="shared" si="60"/>
        <v>0</v>
      </c>
      <c r="M829" s="673">
        <f t="shared" si="61"/>
        <v>0</v>
      </c>
      <c r="N829" s="1332">
        <v>0.2</v>
      </c>
      <c r="O829" s="1333" t="str">
        <f t="shared" si="62"/>
        <v/>
      </c>
      <c r="P829" s="1573"/>
    </row>
    <row r="830" spans="2:16">
      <c r="B830" s="1390"/>
      <c r="C830" s="798"/>
      <c r="D830" s="678"/>
      <c r="E830" s="680"/>
      <c r="F830" s="679"/>
      <c r="G830" s="677"/>
      <c r="H830" s="677"/>
      <c r="I830" s="677"/>
      <c r="J830" s="1605">
        <f t="shared" si="59"/>
        <v>0</v>
      </c>
      <c r="K830" s="675"/>
      <c r="L830" s="1605">
        <f t="shared" si="60"/>
        <v>0</v>
      </c>
      <c r="M830" s="673">
        <f t="shared" si="61"/>
        <v>0</v>
      </c>
      <c r="N830" s="1332">
        <v>0.2</v>
      </c>
      <c r="O830" s="1333" t="str">
        <f t="shared" si="62"/>
        <v/>
      </c>
      <c r="P830" s="1573"/>
    </row>
    <row r="831" spans="2:16">
      <c r="B831" s="1390"/>
      <c r="C831" s="798"/>
      <c r="D831" s="678"/>
      <c r="E831" s="680"/>
      <c r="F831" s="679"/>
      <c r="G831" s="677"/>
      <c r="H831" s="677"/>
      <c r="I831" s="677"/>
      <c r="J831" s="1605">
        <f t="shared" si="59"/>
        <v>0</v>
      </c>
      <c r="K831" s="675"/>
      <c r="L831" s="1605">
        <f t="shared" si="60"/>
        <v>0</v>
      </c>
      <c r="M831" s="673">
        <f t="shared" si="61"/>
        <v>0</v>
      </c>
      <c r="N831" s="1332">
        <v>0.2</v>
      </c>
      <c r="O831" s="1333" t="str">
        <f t="shared" si="62"/>
        <v/>
      </c>
      <c r="P831" s="1573"/>
    </row>
    <row r="832" spans="2:16">
      <c r="B832" s="1390"/>
      <c r="C832" s="798"/>
      <c r="D832" s="678"/>
      <c r="E832" s="680"/>
      <c r="F832" s="679"/>
      <c r="G832" s="677"/>
      <c r="H832" s="677"/>
      <c r="I832" s="677"/>
      <c r="J832" s="1605">
        <f t="shared" si="59"/>
        <v>0</v>
      </c>
      <c r="K832" s="675"/>
      <c r="L832" s="1605">
        <f t="shared" si="60"/>
        <v>0</v>
      </c>
      <c r="M832" s="673">
        <f t="shared" si="61"/>
        <v>0</v>
      </c>
      <c r="N832" s="1332">
        <v>0.2</v>
      </c>
      <c r="O832" s="1333" t="str">
        <f t="shared" si="62"/>
        <v/>
      </c>
      <c r="P832" s="1573"/>
    </row>
    <row r="833" spans="2:16">
      <c r="B833" s="1390"/>
      <c r="C833" s="798"/>
      <c r="D833" s="678"/>
      <c r="E833" s="680"/>
      <c r="F833" s="679"/>
      <c r="G833" s="677"/>
      <c r="H833" s="677"/>
      <c r="I833" s="677"/>
      <c r="J833" s="1605">
        <f t="shared" si="59"/>
        <v>0</v>
      </c>
      <c r="K833" s="675"/>
      <c r="L833" s="1605">
        <f t="shared" si="60"/>
        <v>0</v>
      </c>
      <c r="M833" s="673">
        <f t="shared" si="61"/>
        <v>0</v>
      </c>
      <c r="N833" s="1332">
        <v>0.2</v>
      </c>
      <c r="O833" s="1333" t="str">
        <f t="shared" si="62"/>
        <v/>
      </c>
      <c r="P833" s="1573"/>
    </row>
    <row r="834" spans="2:16">
      <c r="B834" s="1390"/>
      <c r="C834" s="798"/>
      <c r="D834" s="678"/>
      <c r="E834" s="680"/>
      <c r="F834" s="679"/>
      <c r="G834" s="677"/>
      <c r="H834" s="677"/>
      <c r="I834" s="677"/>
      <c r="J834" s="1605">
        <f t="shared" si="59"/>
        <v>0</v>
      </c>
      <c r="K834" s="675"/>
      <c r="L834" s="1605">
        <f t="shared" si="60"/>
        <v>0</v>
      </c>
      <c r="M834" s="673">
        <f t="shared" si="61"/>
        <v>0</v>
      </c>
      <c r="N834" s="1332">
        <v>0.2</v>
      </c>
      <c r="O834" s="1333" t="str">
        <f t="shared" si="62"/>
        <v/>
      </c>
      <c r="P834" s="1573"/>
    </row>
    <row r="835" spans="2:16">
      <c r="B835" s="1390"/>
      <c r="C835" s="798"/>
      <c r="D835" s="678"/>
      <c r="E835" s="680"/>
      <c r="F835" s="679"/>
      <c r="G835" s="677"/>
      <c r="H835" s="677"/>
      <c r="I835" s="677"/>
      <c r="J835" s="1605">
        <f t="shared" si="59"/>
        <v>0</v>
      </c>
      <c r="K835" s="675"/>
      <c r="L835" s="1605">
        <f t="shared" si="60"/>
        <v>0</v>
      </c>
      <c r="M835" s="673">
        <f t="shared" si="61"/>
        <v>0</v>
      </c>
      <c r="N835" s="1332">
        <v>0.2</v>
      </c>
      <c r="O835" s="1333" t="str">
        <f t="shared" si="62"/>
        <v/>
      </c>
      <c r="P835" s="1573"/>
    </row>
    <row r="836" spans="2:16">
      <c r="B836" s="1390"/>
      <c r="C836" s="798"/>
      <c r="D836" s="678"/>
      <c r="E836" s="680"/>
      <c r="F836" s="679"/>
      <c r="G836" s="677"/>
      <c r="H836" s="677"/>
      <c r="I836" s="677"/>
      <c r="J836" s="1605">
        <f t="shared" si="59"/>
        <v>0</v>
      </c>
      <c r="K836" s="675"/>
      <c r="L836" s="1605">
        <f t="shared" si="60"/>
        <v>0</v>
      </c>
      <c r="M836" s="673">
        <f t="shared" si="61"/>
        <v>0</v>
      </c>
      <c r="N836" s="1332">
        <v>0.2</v>
      </c>
      <c r="O836" s="1333" t="str">
        <f t="shared" si="62"/>
        <v/>
      </c>
      <c r="P836" s="1573"/>
    </row>
    <row r="837" spans="2:16">
      <c r="B837" s="1390"/>
      <c r="C837" s="798"/>
      <c r="D837" s="678"/>
      <c r="E837" s="680"/>
      <c r="F837" s="679"/>
      <c r="G837" s="677"/>
      <c r="H837" s="677"/>
      <c r="I837" s="677"/>
      <c r="J837" s="1605">
        <f t="shared" si="59"/>
        <v>0</v>
      </c>
      <c r="K837" s="675"/>
      <c r="L837" s="1605">
        <f t="shared" si="60"/>
        <v>0</v>
      </c>
      <c r="M837" s="673">
        <f t="shared" si="61"/>
        <v>0</v>
      </c>
      <c r="N837" s="1332">
        <v>0.2</v>
      </c>
      <c r="O837" s="1333" t="str">
        <f t="shared" si="62"/>
        <v/>
      </c>
      <c r="P837" s="1573"/>
    </row>
    <row r="838" spans="2:16">
      <c r="B838" s="1390"/>
      <c r="C838" s="798"/>
      <c r="D838" s="678"/>
      <c r="E838" s="680"/>
      <c r="F838" s="679"/>
      <c r="G838" s="677"/>
      <c r="H838" s="677"/>
      <c r="I838" s="677"/>
      <c r="J838" s="1605">
        <f t="shared" si="59"/>
        <v>0</v>
      </c>
      <c r="K838" s="675"/>
      <c r="L838" s="1605">
        <f t="shared" si="60"/>
        <v>0</v>
      </c>
      <c r="M838" s="673">
        <f t="shared" si="61"/>
        <v>0</v>
      </c>
      <c r="N838" s="1332">
        <v>0.2</v>
      </c>
      <c r="O838" s="1333" t="str">
        <f t="shared" si="62"/>
        <v/>
      </c>
      <c r="P838" s="1573"/>
    </row>
    <row r="839" spans="2:16">
      <c r="B839" s="1390"/>
      <c r="C839" s="798"/>
      <c r="D839" s="678"/>
      <c r="E839" s="680"/>
      <c r="F839" s="679"/>
      <c r="G839" s="677"/>
      <c r="H839" s="677"/>
      <c r="I839" s="677"/>
      <c r="J839" s="1605">
        <f t="shared" si="59"/>
        <v>0</v>
      </c>
      <c r="K839" s="675"/>
      <c r="L839" s="1605">
        <f t="shared" si="60"/>
        <v>0</v>
      </c>
      <c r="M839" s="673">
        <f t="shared" si="61"/>
        <v>0</v>
      </c>
      <c r="N839" s="1332">
        <v>0.2</v>
      </c>
      <c r="O839" s="1333" t="str">
        <f t="shared" si="62"/>
        <v/>
      </c>
      <c r="P839" s="1573"/>
    </row>
    <row r="840" spans="2:16">
      <c r="B840" s="1390"/>
      <c r="C840" s="798"/>
      <c r="D840" s="678"/>
      <c r="E840" s="680"/>
      <c r="F840" s="679"/>
      <c r="G840" s="677"/>
      <c r="H840" s="677"/>
      <c r="I840" s="677"/>
      <c r="J840" s="1605">
        <f t="shared" si="59"/>
        <v>0</v>
      </c>
      <c r="K840" s="675"/>
      <c r="L840" s="1605">
        <f t="shared" si="60"/>
        <v>0</v>
      </c>
      <c r="M840" s="673">
        <f t="shared" si="61"/>
        <v>0</v>
      </c>
      <c r="N840" s="1332">
        <v>0.2</v>
      </c>
      <c r="O840" s="1333" t="str">
        <f t="shared" si="62"/>
        <v/>
      </c>
      <c r="P840" s="1573"/>
    </row>
    <row r="841" spans="2:16">
      <c r="B841" s="1390"/>
      <c r="C841" s="798"/>
      <c r="D841" s="678"/>
      <c r="E841" s="680"/>
      <c r="F841" s="679"/>
      <c r="G841" s="677"/>
      <c r="H841" s="677"/>
      <c r="I841" s="677"/>
      <c r="J841" s="1605">
        <f t="shared" si="59"/>
        <v>0</v>
      </c>
      <c r="K841" s="675"/>
      <c r="L841" s="1605">
        <f t="shared" si="60"/>
        <v>0</v>
      </c>
      <c r="M841" s="673">
        <f t="shared" si="61"/>
        <v>0</v>
      </c>
      <c r="N841" s="1332">
        <v>0.2</v>
      </c>
      <c r="O841" s="1333" t="str">
        <f t="shared" si="62"/>
        <v/>
      </c>
      <c r="P841" s="1573"/>
    </row>
    <row r="842" spans="2:16">
      <c r="B842" s="1390"/>
      <c r="C842" s="798"/>
      <c r="D842" s="678"/>
      <c r="E842" s="680"/>
      <c r="F842" s="679"/>
      <c r="G842" s="677"/>
      <c r="H842" s="677"/>
      <c r="I842" s="677"/>
      <c r="J842" s="1605">
        <f t="shared" si="59"/>
        <v>0</v>
      </c>
      <c r="K842" s="675"/>
      <c r="L842" s="1605">
        <f t="shared" si="60"/>
        <v>0</v>
      </c>
      <c r="M842" s="673">
        <f t="shared" si="61"/>
        <v>0</v>
      </c>
      <c r="N842" s="1332">
        <v>0.2</v>
      </c>
      <c r="O842" s="1333" t="str">
        <f t="shared" si="62"/>
        <v/>
      </c>
      <c r="P842" s="1573"/>
    </row>
    <row r="843" spans="2:16">
      <c r="B843" s="1390"/>
      <c r="C843" s="798"/>
      <c r="D843" s="678"/>
      <c r="E843" s="680"/>
      <c r="F843" s="679"/>
      <c r="G843" s="677"/>
      <c r="H843" s="677"/>
      <c r="I843" s="677"/>
      <c r="J843" s="1605">
        <f t="shared" si="59"/>
        <v>0</v>
      </c>
      <c r="K843" s="675"/>
      <c r="L843" s="1605">
        <f t="shared" si="60"/>
        <v>0</v>
      </c>
      <c r="M843" s="673">
        <f t="shared" si="61"/>
        <v>0</v>
      </c>
      <c r="N843" s="1332">
        <v>0.2</v>
      </c>
      <c r="O843" s="1333" t="str">
        <f t="shared" si="62"/>
        <v/>
      </c>
      <c r="P843" s="1573"/>
    </row>
    <row r="844" spans="2:16">
      <c r="B844" s="1390"/>
      <c r="C844" s="798"/>
      <c r="D844" s="678"/>
      <c r="E844" s="680"/>
      <c r="F844" s="679"/>
      <c r="G844" s="677"/>
      <c r="H844" s="677"/>
      <c r="I844" s="677"/>
      <c r="J844" s="1605">
        <f t="shared" si="59"/>
        <v>0</v>
      </c>
      <c r="K844" s="675"/>
      <c r="L844" s="1605">
        <f t="shared" si="60"/>
        <v>0</v>
      </c>
      <c r="M844" s="673">
        <f t="shared" si="61"/>
        <v>0</v>
      </c>
      <c r="N844" s="1332">
        <v>0.2</v>
      </c>
      <c r="O844" s="1333" t="str">
        <f t="shared" si="62"/>
        <v/>
      </c>
      <c r="P844" s="1573"/>
    </row>
    <row r="845" spans="2:16">
      <c r="B845" s="1390"/>
      <c r="C845" s="798"/>
      <c r="D845" s="678"/>
      <c r="E845" s="680"/>
      <c r="F845" s="679"/>
      <c r="G845" s="677"/>
      <c r="H845" s="677"/>
      <c r="I845" s="677"/>
      <c r="J845" s="1605">
        <f t="shared" si="59"/>
        <v>0</v>
      </c>
      <c r="K845" s="675"/>
      <c r="L845" s="1605">
        <f t="shared" si="60"/>
        <v>0</v>
      </c>
      <c r="M845" s="673">
        <f t="shared" si="61"/>
        <v>0</v>
      </c>
      <c r="N845" s="1332">
        <v>0.2</v>
      </c>
      <c r="O845" s="1333" t="str">
        <f t="shared" si="62"/>
        <v/>
      </c>
      <c r="P845" s="1573"/>
    </row>
    <row r="846" spans="2:16">
      <c r="B846" s="1390"/>
      <c r="C846" s="798"/>
      <c r="D846" s="678"/>
      <c r="E846" s="680"/>
      <c r="F846" s="679"/>
      <c r="G846" s="677"/>
      <c r="H846" s="677"/>
      <c r="I846" s="677"/>
      <c r="J846" s="1605">
        <f t="shared" si="59"/>
        <v>0</v>
      </c>
      <c r="K846" s="675"/>
      <c r="L846" s="1605">
        <f t="shared" si="60"/>
        <v>0</v>
      </c>
      <c r="M846" s="673">
        <f t="shared" si="61"/>
        <v>0</v>
      </c>
      <c r="N846" s="1332">
        <v>0.2</v>
      </c>
      <c r="O846" s="1333" t="str">
        <f t="shared" si="62"/>
        <v/>
      </c>
      <c r="P846" s="1573"/>
    </row>
    <row r="847" spans="2:16">
      <c r="B847" s="1390"/>
      <c r="C847" s="798"/>
      <c r="D847" s="678"/>
      <c r="E847" s="680"/>
      <c r="F847" s="679"/>
      <c r="G847" s="677"/>
      <c r="H847" s="677"/>
      <c r="I847" s="677"/>
      <c r="J847" s="1605">
        <f t="shared" si="59"/>
        <v>0</v>
      </c>
      <c r="K847" s="675"/>
      <c r="L847" s="1605">
        <f t="shared" si="60"/>
        <v>0</v>
      </c>
      <c r="M847" s="673">
        <f t="shared" si="61"/>
        <v>0</v>
      </c>
      <c r="N847" s="1332">
        <v>0.2</v>
      </c>
      <c r="O847" s="1333" t="str">
        <f t="shared" si="62"/>
        <v/>
      </c>
      <c r="P847" s="1573"/>
    </row>
    <row r="848" spans="2:16">
      <c r="B848" s="1390"/>
      <c r="C848" s="798"/>
      <c r="D848" s="678"/>
      <c r="E848" s="680"/>
      <c r="F848" s="679"/>
      <c r="G848" s="677"/>
      <c r="H848" s="677"/>
      <c r="I848" s="677"/>
      <c r="J848" s="1605">
        <f t="shared" si="59"/>
        <v>0</v>
      </c>
      <c r="K848" s="675"/>
      <c r="L848" s="1605">
        <f t="shared" si="60"/>
        <v>0</v>
      </c>
      <c r="M848" s="673">
        <f t="shared" si="61"/>
        <v>0</v>
      </c>
      <c r="N848" s="1332">
        <v>0.2</v>
      </c>
      <c r="O848" s="1333" t="str">
        <f t="shared" si="62"/>
        <v/>
      </c>
      <c r="P848" s="1573"/>
    </row>
    <row r="849" spans="2:16">
      <c r="B849" s="1390"/>
      <c r="C849" s="798"/>
      <c r="D849" s="678"/>
      <c r="E849" s="680"/>
      <c r="F849" s="679"/>
      <c r="G849" s="677"/>
      <c r="H849" s="677"/>
      <c r="I849" s="677"/>
      <c r="J849" s="1605">
        <f t="shared" si="59"/>
        <v>0</v>
      </c>
      <c r="K849" s="675"/>
      <c r="L849" s="1605">
        <f t="shared" si="60"/>
        <v>0</v>
      </c>
      <c r="M849" s="673">
        <f t="shared" si="61"/>
        <v>0</v>
      </c>
      <c r="N849" s="1332">
        <v>0.2</v>
      </c>
      <c r="O849" s="1333" t="str">
        <f t="shared" si="62"/>
        <v/>
      </c>
      <c r="P849" s="1573"/>
    </row>
    <row r="850" spans="2:16">
      <c r="B850" s="1390"/>
      <c r="C850" s="798"/>
      <c r="D850" s="678"/>
      <c r="E850" s="680"/>
      <c r="F850" s="679"/>
      <c r="G850" s="677"/>
      <c r="H850" s="677"/>
      <c r="I850" s="677"/>
      <c r="J850" s="1605">
        <f t="shared" si="59"/>
        <v>0</v>
      </c>
      <c r="K850" s="675"/>
      <c r="L850" s="1605">
        <f t="shared" si="60"/>
        <v>0</v>
      </c>
      <c r="M850" s="673">
        <f t="shared" si="61"/>
        <v>0</v>
      </c>
      <c r="N850" s="1332">
        <v>0.2</v>
      </c>
      <c r="O850" s="1333" t="str">
        <f t="shared" si="62"/>
        <v/>
      </c>
      <c r="P850" s="1573"/>
    </row>
    <row r="851" spans="2:16">
      <c r="B851" s="1390"/>
      <c r="C851" s="798"/>
      <c r="D851" s="678"/>
      <c r="E851" s="680"/>
      <c r="F851" s="679"/>
      <c r="G851" s="677"/>
      <c r="H851" s="677"/>
      <c r="I851" s="677"/>
      <c r="J851" s="1605">
        <f t="shared" si="59"/>
        <v>0</v>
      </c>
      <c r="K851" s="675"/>
      <c r="L851" s="1605">
        <f t="shared" si="60"/>
        <v>0</v>
      </c>
      <c r="M851" s="673">
        <f t="shared" si="61"/>
        <v>0</v>
      </c>
      <c r="N851" s="1332">
        <v>0.2</v>
      </c>
      <c r="O851" s="1333" t="str">
        <f t="shared" si="62"/>
        <v/>
      </c>
      <c r="P851" s="1573"/>
    </row>
    <row r="852" spans="2:16">
      <c r="B852" s="1390"/>
      <c r="C852" s="798"/>
      <c r="D852" s="678"/>
      <c r="E852" s="680"/>
      <c r="F852" s="679"/>
      <c r="G852" s="677"/>
      <c r="H852" s="677"/>
      <c r="I852" s="677"/>
      <c r="J852" s="1605">
        <f t="shared" si="59"/>
        <v>0</v>
      </c>
      <c r="K852" s="675"/>
      <c r="L852" s="1605">
        <f t="shared" si="60"/>
        <v>0</v>
      </c>
      <c r="M852" s="673">
        <f t="shared" si="61"/>
        <v>0</v>
      </c>
      <c r="N852" s="1332">
        <v>0.2</v>
      </c>
      <c r="O852" s="1333" t="str">
        <f t="shared" si="62"/>
        <v/>
      </c>
      <c r="P852" s="1573"/>
    </row>
    <row r="853" spans="2:16">
      <c r="B853" s="1390"/>
      <c r="C853" s="798"/>
      <c r="D853" s="678"/>
      <c r="E853" s="680"/>
      <c r="F853" s="679"/>
      <c r="G853" s="677"/>
      <c r="H853" s="677"/>
      <c r="I853" s="677"/>
      <c r="J853" s="1605">
        <f t="shared" si="59"/>
        <v>0</v>
      </c>
      <c r="K853" s="675"/>
      <c r="L853" s="1605">
        <f t="shared" si="60"/>
        <v>0</v>
      </c>
      <c r="M853" s="673">
        <f t="shared" si="61"/>
        <v>0</v>
      </c>
      <c r="N853" s="1332">
        <v>0.2</v>
      </c>
      <c r="O853" s="1333" t="str">
        <f t="shared" si="62"/>
        <v/>
      </c>
      <c r="P853" s="1573"/>
    </row>
    <row r="854" spans="2:16">
      <c r="B854" s="1390"/>
      <c r="C854" s="798"/>
      <c r="D854" s="678"/>
      <c r="E854" s="680"/>
      <c r="F854" s="679"/>
      <c r="G854" s="677"/>
      <c r="H854" s="677"/>
      <c r="I854" s="677"/>
      <c r="J854" s="1605">
        <f t="shared" si="59"/>
        <v>0</v>
      </c>
      <c r="K854" s="675"/>
      <c r="L854" s="1605">
        <f t="shared" si="60"/>
        <v>0</v>
      </c>
      <c r="M854" s="673">
        <f t="shared" si="61"/>
        <v>0</v>
      </c>
      <c r="N854" s="1332">
        <v>0.2</v>
      </c>
      <c r="O854" s="1333" t="str">
        <f t="shared" si="62"/>
        <v/>
      </c>
      <c r="P854" s="1573"/>
    </row>
    <row r="855" spans="2:16">
      <c r="B855" s="1390"/>
      <c r="C855" s="798"/>
      <c r="D855" s="678"/>
      <c r="E855" s="680"/>
      <c r="F855" s="679"/>
      <c r="G855" s="677"/>
      <c r="H855" s="677"/>
      <c r="I855" s="677"/>
      <c r="J855" s="1605">
        <f t="shared" si="59"/>
        <v>0</v>
      </c>
      <c r="K855" s="675"/>
      <c r="L855" s="1605">
        <f t="shared" si="60"/>
        <v>0</v>
      </c>
      <c r="M855" s="673">
        <f t="shared" si="61"/>
        <v>0</v>
      </c>
      <c r="N855" s="1332">
        <v>0.2</v>
      </c>
      <c r="O855" s="1333" t="str">
        <f t="shared" si="62"/>
        <v/>
      </c>
      <c r="P855" s="1573"/>
    </row>
    <row r="856" spans="2:16">
      <c r="B856" s="1390"/>
      <c r="C856" s="798"/>
      <c r="D856" s="678"/>
      <c r="E856" s="680"/>
      <c r="F856" s="679"/>
      <c r="G856" s="677"/>
      <c r="H856" s="677"/>
      <c r="I856" s="677"/>
      <c r="J856" s="1605">
        <f t="shared" si="59"/>
        <v>0</v>
      </c>
      <c r="K856" s="675"/>
      <c r="L856" s="1605">
        <f t="shared" si="60"/>
        <v>0</v>
      </c>
      <c r="M856" s="673">
        <f t="shared" si="61"/>
        <v>0</v>
      </c>
      <c r="N856" s="1332">
        <v>0.2</v>
      </c>
      <c r="O856" s="1333" t="str">
        <f t="shared" si="62"/>
        <v/>
      </c>
      <c r="P856" s="1573"/>
    </row>
    <row r="857" spans="2:16">
      <c r="B857" s="1390"/>
      <c r="C857" s="798"/>
      <c r="D857" s="678"/>
      <c r="E857" s="680"/>
      <c r="F857" s="679"/>
      <c r="G857" s="677"/>
      <c r="H857" s="677"/>
      <c r="I857" s="677"/>
      <c r="J857" s="1605">
        <f t="shared" si="59"/>
        <v>0</v>
      </c>
      <c r="K857" s="675"/>
      <c r="L857" s="1605">
        <f t="shared" si="60"/>
        <v>0</v>
      </c>
      <c r="M857" s="673">
        <f t="shared" si="61"/>
        <v>0</v>
      </c>
      <c r="N857" s="1332">
        <v>0.2</v>
      </c>
      <c r="O857" s="1333" t="str">
        <f t="shared" si="62"/>
        <v/>
      </c>
      <c r="P857" s="1573"/>
    </row>
    <row r="858" spans="2:16">
      <c r="B858" s="1390"/>
      <c r="C858" s="798"/>
      <c r="D858" s="678"/>
      <c r="E858" s="680"/>
      <c r="F858" s="679"/>
      <c r="G858" s="677"/>
      <c r="H858" s="677"/>
      <c r="I858" s="677"/>
      <c r="J858" s="1605">
        <f t="shared" si="59"/>
        <v>0</v>
      </c>
      <c r="K858" s="675"/>
      <c r="L858" s="1605">
        <f t="shared" si="60"/>
        <v>0</v>
      </c>
      <c r="M858" s="673">
        <f t="shared" si="61"/>
        <v>0</v>
      </c>
      <c r="N858" s="1332">
        <v>0.2</v>
      </c>
      <c r="O858" s="1333" t="str">
        <f t="shared" si="62"/>
        <v/>
      </c>
      <c r="P858" s="1573"/>
    </row>
    <row r="859" spans="2:16">
      <c r="B859" s="1390"/>
      <c r="C859" s="798"/>
      <c r="D859" s="678"/>
      <c r="E859" s="680"/>
      <c r="F859" s="679"/>
      <c r="G859" s="677"/>
      <c r="H859" s="677"/>
      <c r="I859" s="677"/>
      <c r="J859" s="1605">
        <f t="shared" si="59"/>
        <v>0</v>
      </c>
      <c r="K859" s="675"/>
      <c r="L859" s="1605">
        <f t="shared" si="60"/>
        <v>0</v>
      </c>
      <c r="M859" s="673">
        <f t="shared" si="61"/>
        <v>0</v>
      </c>
      <c r="N859" s="1332">
        <v>0.2</v>
      </c>
      <c r="O859" s="1333" t="str">
        <f t="shared" si="62"/>
        <v/>
      </c>
      <c r="P859" s="1573"/>
    </row>
    <row r="860" spans="2:16">
      <c r="B860" s="1390"/>
      <c r="C860" s="798"/>
      <c r="D860" s="678"/>
      <c r="E860" s="680"/>
      <c r="F860" s="679"/>
      <c r="G860" s="677"/>
      <c r="H860" s="677"/>
      <c r="I860" s="677"/>
      <c r="J860" s="1605">
        <f t="shared" si="59"/>
        <v>0</v>
      </c>
      <c r="K860" s="675"/>
      <c r="L860" s="1605">
        <f t="shared" si="60"/>
        <v>0</v>
      </c>
      <c r="M860" s="673">
        <f t="shared" si="61"/>
        <v>0</v>
      </c>
      <c r="N860" s="1332">
        <v>0.2</v>
      </c>
      <c r="O860" s="1333" t="str">
        <f t="shared" si="62"/>
        <v/>
      </c>
      <c r="P860" s="1573"/>
    </row>
    <row r="861" spans="2:16">
      <c r="B861" s="1390"/>
      <c r="C861" s="798"/>
      <c r="D861" s="678"/>
      <c r="E861" s="680"/>
      <c r="F861" s="679"/>
      <c r="G861" s="677"/>
      <c r="H861" s="677"/>
      <c r="I861" s="677"/>
      <c r="J861" s="1605">
        <f t="shared" si="59"/>
        <v>0</v>
      </c>
      <c r="K861" s="675"/>
      <c r="L861" s="1605">
        <f t="shared" si="60"/>
        <v>0</v>
      </c>
      <c r="M861" s="673">
        <f t="shared" si="61"/>
        <v>0</v>
      </c>
      <c r="N861" s="1332">
        <v>0.2</v>
      </c>
      <c r="O861" s="1333" t="str">
        <f t="shared" si="62"/>
        <v/>
      </c>
      <c r="P861" s="1573"/>
    </row>
    <row r="862" spans="2:16">
      <c r="B862" s="1390"/>
      <c r="C862" s="798"/>
      <c r="D862" s="678"/>
      <c r="E862" s="680"/>
      <c r="F862" s="679"/>
      <c r="G862" s="677"/>
      <c r="H862" s="677"/>
      <c r="I862" s="677"/>
      <c r="J862" s="1605">
        <f t="shared" si="59"/>
        <v>0</v>
      </c>
      <c r="K862" s="675"/>
      <c r="L862" s="1605">
        <f t="shared" si="60"/>
        <v>0</v>
      </c>
      <c r="M862" s="673">
        <f t="shared" si="61"/>
        <v>0</v>
      </c>
      <c r="N862" s="1332">
        <v>0.2</v>
      </c>
      <c r="O862" s="1333" t="str">
        <f t="shared" si="62"/>
        <v/>
      </c>
      <c r="P862" s="1573"/>
    </row>
    <row r="863" spans="2:16">
      <c r="B863" s="1390"/>
      <c r="C863" s="798"/>
      <c r="D863" s="678"/>
      <c r="E863" s="680"/>
      <c r="F863" s="679"/>
      <c r="G863" s="677"/>
      <c r="H863" s="677"/>
      <c r="I863" s="677"/>
      <c r="J863" s="1605">
        <f t="shared" si="59"/>
        <v>0</v>
      </c>
      <c r="K863" s="675"/>
      <c r="L863" s="1605">
        <f t="shared" si="60"/>
        <v>0</v>
      </c>
      <c r="M863" s="673">
        <f t="shared" si="61"/>
        <v>0</v>
      </c>
      <c r="N863" s="1332">
        <v>0.2</v>
      </c>
      <c r="O863" s="1333" t="str">
        <f t="shared" si="62"/>
        <v/>
      </c>
      <c r="P863" s="1573"/>
    </row>
    <row r="864" spans="2:16">
      <c r="B864" s="1390"/>
      <c r="C864" s="798"/>
      <c r="D864" s="678"/>
      <c r="E864" s="680"/>
      <c r="F864" s="679"/>
      <c r="G864" s="677"/>
      <c r="H864" s="677"/>
      <c r="I864" s="677"/>
      <c r="J864" s="1605">
        <f t="shared" si="59"/>
        <v>0</v>
      </c>
      <c r="K864" s="675"/>
      <c r="L864" s="1605">
        <f t="shared" si="60"/>
        <v>0</v>
      </c>
      <c r="M864" s="673">
        <f t="shared" si="61"/>
        <v>0</v>
      </c>
      <c r="N864" s="1332">
        <v>0.2</v>
      </c>
      <c r="O864" s="1333" t="str">
        <f t="shared" si="62"/>
        <v/>
      </c>
      <c r="P864" s="1573"/>
    </row>
    <row r="865" spans="2:16">
      <c r="B865" s="1390"/>
      <c r="C865" s="798"/>
      <c r="D865" s="678"/>
      <c r="E865" s="680"/>
      <c r="F865" s="679"/>
      <c r="G865" s="677"/>
      <c r="H865" s="677"/>
      <c r="I865" s="677"/>
      <c r="J865" s="1605">
        <f t="shared" si="59"/>
        <v>0</v>
      </c>
      <c r="K865" s="675"/>
      <c r="L865" s="1605">
        <f t="shared" si="60"/>
        <v>0</v>
      </c>
      <c r="M865" s="673">
        <f t="shared" si="61"/>
        <v>0</v>
      </c>
      <c r="N865" s="1332">
        <v>0.2</v>
      </c>
      <c r="O865" s="1333" t="str">
        <f t="shared" si="62"/>
        <v/>
      </c>
      <c r="P865" s="1573"/>
    </row>
    <row r="866" spans="2:16">
      <c r="B866" s="1390"/>
      <c r="C866" s="798"/>
      <c r="D866" s="678"/>
      <c r="E866" s="680"/>
      <c r="F866" s="679"/>
      <c r="G866" s="677"/>
      <c r="H866" s="677"/>
      <c r="I866" s="677"/>
      <c r="J866" s="1605">
        <f t="shared" si="59"/>
        <v>0</v>
      </c>
      <c r="K866" s="675"/>
      <c r="L866" s="1605">
        <f t="shared" si="60"/>
        <v>0</v>
      </c>
      <c r="M866" s="673">
        <f t="shared" si="61"/>
        <v>0</v>
      </c>
      <c r="N866" s="1332">
        <v>0.2</v>
      </c>
      <c r="O866" s="1333" t="str">
        <f t="shared" si="62"/>
        <v/>
      </c>
      <c r="P866" s="1573"/>
    </row>
    <row r="867" spans="2:16">
      <c r="B867" s="1390"/>
      <c r="C867" s="798"/>
      <c r="D867" s="678"/>
      <c r="E867" s="680"/>
      <c r="F867" s="679"/>
      <c r="G867" s="677"/>
      <c r="H867" s="677"/>
      <c r="I867" s="677"/>
      <c r="J867" s="1605">
        <f t="shared" si="59"/>
        <v>0</v>
      </c>
      <c r="K867" s="675"/>
      <c r="L867" s="1605">
        <f t="shared" si="60"/>
        <v>0</v>
      </c>
      <c r="M867" s="673">
        <f t="shared" si="61"/>
        <v>0</v>
      </c>
      <c r="N867" s="1332">
        <v>0.2</v>
      </c>
      <c r="O867" s="1333" t="str">
        <f t="shared" si="62"/>
        <v/>
      </c>
      <c r="P867" s="1573"/>
    </row>
    <row r="868" spans="2:16">
      <c r="B868" s="1390"/>
      <c r="C868" s="798"/>
      <c r="D868" s="678"/>
      <c r="E868" s="680"/>
      <c r="F868" s="679"/>
      <c r="G868" s="677"/>
      <c r="H868" s="677"/>
      <c r="I868" s="677"/>
      <c r="J868" s="1605">
        <f t="shared" si="59"/>
        <v>0</v>
      </c>
      <c r="K868" s="675"/>
      <c r="L868" s="1605">
        <f t="shared" si="60"/>
        <v>0</v>
      </c>
      <c r="M868" s="673">
        <f t="shared" si="61"/>
        <v>0</v>
      </c>
      <c r="N868" s="1332">
        <v>0.2</v>
      </c>
      <c r="O868" s="1333" t="str">
        <f t="shared" si="62"/>
        <v/>
      </c>
      <c r="P868" s="1573"/>
    </row>
    <row r="869" spans="2:16">
      <c r="B869" s="1390"/>
      <c r="C869" s="798"/>
      <c r="D869" s="678"/>
      <c r="E869" s="680"/>
      <c r="F869" s="679"/>
      <c r="G869" s="677"/>
      <c r="H869" s="677"/>
      <c r="I869" s="677"/>
      <c r="J869" s="1605">
        <f t="shared" si="59"/>
        <v>0</v>
      </c>
      <c r="K869" s="675"/>
      <c r="L869" s="1605">
        <f t="shared" si="60"/>
        <v>0</v>
      </c>
      <c r="M869" s="673">
        <f t="shared" si="61"/>
        <v>0</v>
      </c>
      <c r="N869" s="1332">
        <v>0.2</v>
      </c>
      <c r="O869" s="1333" t="str">
        <f t="shared" si="62"/>
        <v/>
      </c>
      <c r="P869" s="1573"/>
    </row>
    <row r="870" spans="2:16">
      <c r="B870" s="1390"/>
      <c r="C870" s="798"/>
      <c r="D870" s="678"/>
      <c r="E870" s="680"/>
      <c r="F870" s="679"/>
      <c r="G870" s="677"/>
      <c r="H870" s="677"/>
      <c r="I870" s="677"/>
      <c r="J870" s="1605">
        <f t="shared" si="59"/>
        <v>0</v>
      </c>
      <c r="K870" s="675"/>
      <c r="L870" s="1605">
        <f t="shared" si="60"/>
        <v>0</v>
      </c>
      <c r="M870" s="673">
        <f t="shared" si="61"/>
        <v>0</v>
      </c>
      <c r="N870" s="1332">
        <v>0.2</v>
      </c>
      <c r="O870" s="1333" t="str">
        <f t="shared" si="62"/>
        <v/>
      </c>
      <c r="P870" s="1573"/>
    </row>
    <row r="871" spans="2:16">
      <c r="B871" s="1390"/>
      <c r="C871" s="798"/>
      <c r="D871" s="678"/>
      <c r="E871" s="680"/>
      <c r="F871" s="679"/>
      <c r="G871" s="677"/>
      <c r="H871" s="677"/>
      <c r="I871" s="677"/>
      <c r="J871" s="1605">
        <f t="shared" si="59"/>
        <v>0</v>
      </c>
      <c r="K871" s="675"/>
      <c r="L871" s="1605">
        <f t="shared" si="60"/>
        <v>0</v>
      </c>
      <c r="M871" s="673">
        <f t="shared" si="61"/>
        <v>0</v>
      </c>
      <c r="N871" s="1332">
        <v>0.2</v>
      </c>
      <c r="O871" s="1333" t="str">
        <f t="shared" si="62"/>
        <v/>
      </c>
      <c r="P871" s="1573"/>
    </row>
    <row r="872" spans="2:16">
      <c r="B872" s="1390"/>
      <c r="C872" s="798"/>
      <c r="D872" s="678"/>
      <c r="E872" s="680"/>
      <c r="F872" s="679"/>
      <c r="G872" s="677"/>
      <c r="H872" s="677"/>
      <c r="I872" s="677"/>
      <c r="J872" s="1605">
        <f t="shared" si="59"/>
        <v>0</v>
      </c>
      <c r="K872" s="675"/>
      <c r="L872" s="1605">
        <f t="shared" si="60"/>
        <v>0</v>
      </c>
      <c r="M872" s="673">
        <f t="shared" si="61"/>
        <v>0</v>
      </c>
      <c r="N872" s="1332">
        <v>0.2</v>
      </c>
      <c r="O872" s="1333" t="str">
        <f t="shared" si="62"/>
        <v/>
      </c>
      <c r="P872" s="1573"/>
    </row>
    <row r="873" spans="2:16">
      <c r="B873" s="1390"/>
      <c r="C873" s="798"/>
      <c r="D873" s="678"/>
      <c r="E873" s="680"/>
      <c r="F873" s="679"/>
      <c r="G873" s="677"/>
      <c r="H873" s="677"/>
      <c r="I873" s="677"/>
      <c r="J873" s="1605">
        <f t="shared" si="59"/>
        <v>0</v>
      </c>
      <c r="K873" s="675"/>
      <c r="L873" s="1605">
        <f t="shared" si="60"/>
        <v>0</v>
      </c>
      <c r="M873" s="673">
        <f t="shared" si="61"/>
        <v>0</v>
      </c>
      <c r="N873" s="1332">
        <v>0.2</v>
      </c>
      <c r="O873" s="1333" t="str">
        <f t="shared" si="62"/>
        <v/>
      </c>
      <c r="P873" s="1573"/>
    </row>
    <row r="874" spans="2:16">
      <c r="B874" s="1390"/>
      <c r="C874" s="798"/>
      <c r="D874" s="678"/>
      <c r="E874" s="680"/>
      <c r="F874" s="679"/>
      <c r="G874" s="677"/>
      <c r="H874" s="677"/>
      <c r="I874" s="677"/>
      <c r="J874" s="1605">
        <f t="shared" si="59"/>
        <v>0</v>
      </c>
      <c r="K874" s="675"/>
      <c r="L874" s="1605">
        <f t="shared" si="60"/>
        <v>0</v>
      </c>
      <c r="M874" s="673">
        <f t="shared" si="61"/>
        <v>0</v>
      </c>
      <c r="N874" s="1332">
        <v>0.2</v>
      </c>
      <c r="O874" s="1333" t="str">
        <f t="shared" si="62"/>
        <v/>
      </c>
      <c r="P874" s="1573"/>
    </row>
    <row r="875" spans="2:16">
      <c r="B875" s="1390"/>
      <c r="C875" s="798"/>
      <c r="D875" s="678"/>
      <c r="E875" s="680"/>
      <c r="F875" s="679"/>
      <c r="G875" s="677"/>
      <c r="H875" s="677"/>
      <c r="I875" s="677"/>
      <c r="J875" s="1605">
        <f t="shared" si="59"/>
        <v>0</v>
      </c>
      <c r="K875" s="675"/>
      <c r="L875" s="1605">
        <f t="shared" si="60"/>
        <v>0</v>
      </c>
      <c r="M875" s="673">
        <f t="shared" si="61"/>
        <v>0</v>
      </c>
      <c r="N875" s="1332">
        <v>0.2</v>
      </c>
      <c r="O875" s="1333" t="str">
        <f t="shared" si="62"/>
        <v/>
      </c>
      <c r="P875" s="1573"/>
    </row>
    <row r="876" spans="2:16">
      <c r="B876" s="1390"/>
      <c r="C876" s="798"/>
      <c r="D876" s="678"/>
      <c r="E876" s="680"/>
      <c r="F876" s="679"/>
      <c r="G876" s="677"/>
      <c r="H876" s="677"/>
      <c r="I876" s="677"/>
      <c r="J876" s="1605">
        <f t="shared" ref="J876:J939" si="63">H876+I876</f>
        <v>0</v>
      </c>
      <c r="K876" s="675"/>
      <c r="L876" s="1605">
        <f t="shared" ref="L876:L939" si="64">J876*K876</f>
        <v>0</v>
      </c>
      <c r="M876" s="673">
        <f t="shared" ref="M876:M939" si="65">L876/$D$9</f>
        <v>0</v>
      </c>
      <c r="N876" s="1332">
        <v>0.2</v>
      </c>
      <c r="O876" s="1333" t="str">
        <f t="shared" ref="O876:O939" si="66">IF((M876-N876)&gt;0,M876-N876,"")</f>
        <v/>
      </c>
      <c r="P876" s="1573"/>
    </row>
    <row r="877" spans="2:16">
      <c r="B877" s="1390"/>
      <c r="C877" s="798"/>
      <c r="D877" s="678"/>
      <c r="E877" s="680"/>
      <c r="F877" s="679"/>
      <c r="G877" s="677"/>
      <c r="H877" s="677"/>
      <c r="I877" s="677"/>
      <c r="J877" s="1605">
        <f t="shared" si="63"/>
        <v>0</v>
      </c>
      <c r="K877" s="675"/>
      <c r="L877" s="1605">
        <f t="shared" si="64"/>
        <v>0</v>
      </c>
      <c r="M877" s="673">
        <f t="shared" si="65"/>
        <v>0</v>
      </c>
      <c r="N877" s="1332">
        <v>0.2</v>
      </c>
      <c r="O877" s="1333" t="str">
        <f t="shared" si="66"/>
        <v/>
      </c>
      <c r="P877" s="1573"/>
    </row>
    <row r="878" spans="2:16">
      <c r="B878" s="1390"/>
      <c r="C878" s="798"/>
      <c r="D878" s="678"/>
      <c r="E878" s="680"/>
      <c r="F878" s="679"/>
      <c r="G878" s="677"/>
      <c r="H878" s="677"/>
      <c r="I878" s="677"/>
      <c r="J878" s="1605">
        <f t="shared" si="63"/>
        <v>0</v>
      </c>
      <c r="K878" s="675"/>
      <c r="L878" s="1605">
        <f t="shared" si="64"/>
        <v>0</v>
      </c>
      <c r="M878" s="673">
        <f t="shared" si="65"/>
        <v>0</v>
      </c>
      <c r="N878" s="1332">
        <v>0.2</v>
      </c>
      <c r="O878" s="1333" t="str">
        <f t="shared" si="66"/>
        <v/>
      </c>
      <c r="P878" s="1573"/>
    </row>
    <row r="879" spans="2:16">
      <c r="B879" s="1390"/>
      <c r="C879" s="798"/>
      <c r="D879" s="678"/>
      <c r="E879" s="680"/>
      <c r="F879" s="679"/>
      <c r="G879" s="677"/>
      <c r="H879" s="677"/>
      <c r="I879" s="677"/>
      <c r="J879" s="1605">
        <f t="shared" si="63"/>
        <v>0</v>
      </c>
      <c r="K879" s="675"/>
      <c r="L879" s="1605">
        <f t="shared" si="64"/>
        <v>0</v>
      </c>
      <c r="M879" s="673">
        <f t="shared" si="65"/>
        <v>0</v>
      </c>
      <c r="N879" s="1332">
        <v>0.2</v>
      </c>
      <c r="O879" s="1333" t="str">
        <f t="shared" si="66"/>
        <v/>
      </c>
      <c r="P879" s="1573"/>
    </row>
    <row r="880" spans="2:16">
      <c r="B880" s="1390"/>
      <c r="C880" s="798"/>
      <c r="D880" s="678"/>
      <c r="E880" s="680"/>
      <c r="F880" s="679"/>
      <c r="G880" s="677"/>
      <c r="H880" s="677"/>
      <c r="I880" s="677"/>
      <c r="J880" s="1605">
        <f t="shared" si="63"/>
        <v>0</v>
      </c>
      <c r="K880" s="675"/>
      <c r="L880" s="1605">
        <f t="shared" si="64"/>
        <v>0</v>
      </c>
      <c r="M880" s="673">
        <f t="shared" si="65"/>
        <v>0</v>
      </c>
      <c r="N880" s="1332">
        <v>0.2</v>
      </c>
      <c r="O880" s="1333" t="str">
        <f t="shared" si="66"/>
        <v/>
      </c>
      <c r="P880" s="1573"/>
    </row>
    <row r="881" spans="2:16">
      <c r="B881" s="1390"/>
      <c r="C881" s="798"/>
      <c r="D881" s="678"/>
      <c r="E881" s="680"/>
      <c r="F881" s="679"/>
      <c r="G881" s="677"/>
      <c r="H881" s="677"/>
      <c r="I881" s="677"/>
      <c r="J881" s="1605">
        <f t="shared" si="63"/>
        <v>0</v>
      </c>
      <c r="K881" s="675"/>
      <c r="L881" s="1605">
        <f t="shared" si="64"/>
        <v>0</v>
      </c>
      <c r="M881" s="673">
        <f t="shared" si="65"/>
        <v>0</v>
      </c>
      <c r="N881" s="1332">
        <v>0.2</v>
      </c>
      <c r="O881" s="1333" t="str">
        <f t="shared" si="66"/>
        <v/>
      </c>
      <c r="P881" s="1573"/>
    </row>
    <row r="882" spans="2:16">
      <c r="B882" s="1390"/>
      <c r="C882" s="798"/>
      <c r="D882" s="678"/>
      <c r="E882" s="680"/>
      <c r="F882" s="679"/>
      <c r="G882" s="677"/>
      <c r="H882" s="677"/>
      <c r="I882" s="677"/>
      <c r="J882" s="1605">
        <f t="shared" si="63"/>
        <v>0</v>
      </c>
      <c r="K882" s="675"/>
      <c r="L882" s="1605">
        <f t="shared" si="64"/>
        <v>0</v>
      </c>
      <c r="M882" s="673">
        <f t="shared" si="65"/>
        <v>0</v>
      </c>
      <c r="N882" s="1332">
        <v>0.2</v>
      </c>
      <c r="O882" s="1333" t="str">
        <f t="shared" si="66"/>
        <v/>
      </c>
      <c r="P882" s="1573"/>
    </row>
    <row r="883" spans="2:16">
      <c r="B883" s="1390"/>
      <c r="C883" s="798"/>
      <c r="D883" s="678"/>
      <c r="E883" s="680"/>
      <c r="F883" s="679"/>
      <c r="G883" s="677"/>
      <c r="H883" s="677"/>
      <c r="I883" s="677"/>
      <c r="J883" s="1605">
        <f t="shared" si="63"/>
        <v>0</v>
      </c>
      <c r="K883" s="675"/>
      <c r="L883" s="1605">
        <f t="shared" si="64"/>
        <v>0</v>
      </c>
      <c r="M883" s="673">
        <f t="shared" si="65"/>
        <v>0</v>
      </c>
      <c r="N883" s="1332">
        <v>0.2</v>
      </c>
      <c r="O883" s="1333" t="str">
        <f t="shared" si="66"/>
        <v/>
      </c>
      <c r="P883" s="1573"/>
    </row>
    <row r="884" spans="2:16">
      <c r="B884" s="1390"/>
      <c r="C884" s="798"/>
      <c r="D884" s="678"/>
      <c r="E884" s="680"/>
      <c r="F884" s="679"/>
      <c r="G884" s="677"/>
      <c r="H884" s="677"/>
      <c r="I884" s="677"/>
      <c r="J884" s="1605">
        <f t="shared" si="63"/>
        <v>0</v>
      </c>
      <c r="K884" s="675"/>
      <c r="L884" s="1605">
        <f t="shared" si="64"/>
        <v>0</v>
      </c>
      <c r="M884" s="673">
        <f t="shared" si="65"/>
        <v>0</v>
      </c>
      <c r="N884" s="1332">
        <v>0.2</v>
      </c>
      <c r="O884" s="1333" t="str">
        <f t="shared" si="66"/>
        <v/>
      </c>
      <c r="P884" s="1573"/>
    </row>
    <row r="885" spans="2:16">
      <c r="B885" s="1390"/>
      <c r="C885" s="798"/>
      <c r="D885" s="678"/>
      <c r="E885" s="680"/>
      <c r="F885" s="679"/>
      <c r="G885" s="677"/>
      <c r="H885" s="677"/>
      <c r="I885" s="677"/>
      <c r="J885" s="1605">
        <f t="shared" si="63"/>
        <v>0</v>
      </c>
      <c r="K885" s="675"/>
      <c r="L885" s="1605">
        <f t="shared" si="64"/>
        <v>0</v>
      </c>
      <c r="M885" s="673">
        <f t="shared" si="65"/>
        <v>0</v>
      </c>
      <c r="N885" s="1332">
        <v>0.2</v>
      </c>
      <c r="O885" s="1333" t="str">
        <f t="shared" si="66"/>
        <v/>
      </c>
      <c r="P885" s="1573"/>
    </row>
    <row r="886" spans="2:16">
      <c r="B886" s="1390"/>
      <c r="C886" s="798"/>
      <c r="D886" s="678"/>
      <c r="E886" s="680"/>
      <c r="F886" s="679"/>
      <c r="G886" s="677"/>
      <c r="H886" s="677"/>
      <c r="I886" s="677"/>
      <c r="J886" s="1605">
        <f t="shared" si="63"/>
        <v>0</v>
      </c>
      <c r="K886" s="675"/>
      <c r="L886" s="1605">
        <f t="shared" si="64"/>
        <v>0</v>
      </c>
      <c r="M886" s="673">
        <f t="shared" si="65"/>
        <v>0</v>
      </c>
      <c r="N886" s="1332">
        <v>0.2</v>
      </c>
      <c r="O886" s="1333" t="str">
        <f t="shared" si="66"/>
        <v/>
      </c>
      <c r="P886" s="1573"/>
    </row>
    <row r="887" spans="2:16">
      <c r="B887" s="1390"/>
      <c r="C887" s="798"/>
      <c r="D887" s="678"/>
      <c r="E887" s="680"/>
      <c r="F887" s="679"/>
      <c r="G887" s="677"/>
      <c r="H887" s="677"/>
      <c r="I887" s="677"/>
      <c r="J887" s="1605">
        <f t="shared" si="63"/>
        <v>0</v>
      </c>
      <c r="K887" s="675"/>
      <c r="L887" s="1605">
        <f t="shared" si="64"/>
        <v>0</v>
      </c>
      <c r="M887" s="673">
        <f t="shared" si="65"/>
        <v>0</v>
      </c>
      <c r="N887" s="1332">
        <v>0.2</v>
      </c>
      <c r="O887" s="1333" t="str">
        <f t="shared" si="66"/>
        <v/>
      </c>
      <c r="P887" s="1573"/>
    </row>
    <row r="888" spans="2:16">
      <c r="B888" s="1390"/>
      <c r="C888" s="798"/>
      <c r="D888" s="678"/>
      <c r="E888" s="680"/>
      <c r="F888" s="679"/>
      <c r="G888" s="677"/>
      <c r="H888" s="677"/>
      <c r="I888" s="677"/>
      <c r="J888" s="1605">
        <f t="shared" si="63"/>
        <v>0</v>
      </c>
      <c r="K888" s="675"/>
      <c r="L888" s="1605">
        <f t="shared" si="64"/>
        <v>0</v>
      </c>
      <c r="M888" s="673">
        <f t="shared" si="65"/>
        <v>0</v>
      </c>
      <c r="N888" s="1332">
        <v>0.2</v>
      </c>
      <c r="O888" s="1333" t="str">
        <f t="shared" si="66"/>
        <v/>
      </c>
      <c r="P888" s="1573"/>
    </row>
    <row r="889" spans="2:16">
      <c r="B889" s="1390"/>
      <c r="C889" s="798"/>
      <c r="D889" s="678"/>
      <c r="E889" s="680"/>
      <c r="F889" s="679"/>
      <c r="G889" s="677"/>
      <c r="H889" s="677"/>
      <c r="I889" s="677"/>
      <c r="J889" s="1605">
        <f t="shared" si="63"/>
        <v>0</v>
      </c>
      <c r="K889" s="675"/>
      <c r="L889" s="1605">
        <f t="shared" si="64"/>
        <v>0</v>
      </c>
      <c r="M889" s="673">
        <f t="shared" si="65"/>
        <v>0</v>
      </c>
      <c r="N889" s="1332">
        <v>0.2</v>
      </c>
      <c r="O889" s="1333" t="str">
        <f t="shared" si="66"/>
        <v/>
      </c>
      <c r="P889" s="1573"/>
    </row>
    <row r="890" spans="2:16">
      <c r="B890" s="1390"/>
      <c r="C890" s="798"/>
      <c r="D890" s="678"/>
      <c r="E890" s="680"/>
      <c r="F890" s="679"/>
      <c r="G890" s="677"/>
      <c r="H890" s="677"/>
      <c r="I890" s="677"/>
      <c r="J890" s="1605">
        <f t="shared" si="63"/>
        <v>0</v>
      </c>
      <c r="K890" s="675"/>
      <c r="L890" s="1605">
        <f t="shared" si="64"/>
        <v>0</v>
      </c>
      <c r="M890" s="673">
        <f t="shared" si="65"/>
        <v>0</v>
      </c>
      <c r="N890" s="1332">
        <v>0.2</v>
      </c>
      <c r="O890" s="1333" t="str">
        <f t="shared" si="66"/>
        <v/>
      </c>
      <c r="P890" s="1573"/>
    </row>
    <row r="891" spans="2:16">
      <c r="B891" s="1390"/>
      <c r="C891" s="798"/>
      <c r="D891" s="678"/>
      <c r="E891" s="680"/>
      <c r="F891" s="679"/>
      <c r="G891" s="677"/>
      <c r="H891" s="677"/>
      <c r="I891" s="677"/>
      <c r="J891" s="1605">
        <f t="shared" si="63"/>
        <v>0</v>
      </c>
      <c r="K891" s="675"/>
      <c r="L891" s="1605">
        <f t="shared" si="64"/>
        <v>0</v>
      </c>
      <c r="M891" s="673">
        <f t="shared" si="65"/>
        <v>0</v>
      </c>
      <c r="N891" s="1332">
        <v>0.2</v>
      </c>
      <c r="O891" s="1333" t="str">
        <f t="shared" si="66"/>
        <v/>
      </c>
      <c r="P891" s="1573"/>
    </row>
    <row r="892" spans="2:16">
      <c r="B892" s="1390"/>
      <c r="C892" s="798"/>
      <c r="D892" s="678"/>
      <c r="E892" s="680"/>
      <c r="F892" s="679"/>
      <c r="G892" s="677"/>
      <c r="H892" s="677"/>
      <c r="I892" s="677"/>
      <c r="J892" s="1605">
        <f t="shared" si="63"/>
        <v>0</v>
      </c>
      <c r="K892" s="675"/>
      <c r="L892" s="1605">
        <f t="shared" si="64"/>
        <v>0</v>
      </c>
      <c r="M892" s="673">
        <f t="shared" si="65"/>
        <v>0</v>
      </c>
      <c r="N892" s="1332">
        <v>0.2</v>
      </c>
      <c r="O892" s="1333" t="str">
        <f t="shared" si="66"/>
        <v/>
      </c>
      <c r="P892" s="1573"/>
    </row>
    <row r="893" spans="2:16">
      <c r="B893" s="1390"/>
      <c r="C893" s="798"/>
      <c r="D893" s="678"/>
      <c r="E893" s="680"/>
      <c r="F893" s="679"/>
      <c r="G893" s="677"/>
      <c r="H893" s="677"/>
      <c r="I893" s="677"/>
      <c r="J893" s="1605">
        <f t="shared" si="63"/>
        <v>0</v>
      </c>
      <c r="K893" s="675"/>
      <c r="L893" s="1605">
        <f t="shared" si="64"/>
        <v>0</v>
      </c>
      <c r="M893" s="673">
        <f t="shared" si="65"/>
        <v>0</v>
      </c>
      <c r="N893" s="1332">
        <v>0.2</v>
      </c>
      <c r="O893" s="1333" t="str">
        <f t="shared" si="66"/>
        <v/>
      </c>
      <c r="P893" s="1573"/>
    </row>
    <row r="894" spans="2:16">
      <c r="B894" s="1390"/>
      <c r="C894" s="798"/>
      <c r="D894" s="678"/>
      <c r="E894" s="680"/>
      <c r="F894" s="679"/>
      <c r="G894" s="677"/>
      <c r="H894" s="677"/>
      <c r="I894" s="677"/>
      <c r="J894" s="1605">
        <f t="shared" si="63"/>
        <v>0</v>
      </c>
      <c r="K894" s="675"/>
      <c r="L894" s="1605">
        <f t="shared" si="64"/>
        <v>0</v>
      </c>
      <c r="M894" s="673">
        <f t="shared" si="65"/>
        <v>0</v>
      </c>
      <c r="N894" s="1332">
        <v>0.2</v>
      </c>
      <c r="O894" s="1333" t="str">
        <f t="shared" si="66"/>
        <v/>
      </c>
      <c r="P894" s="1573"/>
    </row>
    <row r="895" spans="2:16">
      <c r="B895" s="1390"/>
      <c r="C895" s="798"/>
      <c r="D895" s="678"/>
      <c r="E895" s="680"/>
      <c r="F895" s="679"/>
      <c r="G895" s="677"/>
      <c r="H895" s="677"/>
      <c r="I895" s="677"/>
      <c r="J895" s="1605">
        <f t="shared" si="63"/>
        <v>0</v>
      </c>
      <c r="K895" s="675"/>
      <c r="L895" s="1605">
        <f t="shared" si="64"/>
        <v>0</v>
      </c>
      <c r="M895" s="673">
        <f t="shared" si="65"/>
        <v>0</v>
      </c>
      <c r="N895" s="1332">
        <v>0.2</v>
      </c>
      <c r="O895" s="1333" t="str">
        <f t="shared" si="66"/>
        <v/>
      </c>
      <c r="P895" s="1573"/>
    </row>
    <row r="896" spans="2:16">
      <c r="B896" s="1390"/>
      <c r="C896" s="798"/>
      <c r="D896" s="678"/>
      <c r="E896" s="680"/>
      <c r="F896" s="679"/>
      <c r="G896" s="677"/>
      <c r="H896" s="677"/>
      <c r="I896" s="677"/>
      <c r="J896" s="1605">
        <f t="shared" si="63"/>
        <v>0</v>
      </c>
      <c r="K896" s="675"/>
      <c r="L896" s="1605">
        <f t="shared" si="64"/>
        <v>0</v>
      </c>
      <c r="M896" s="673">
        <f t="shared" si="65"/>
        <v>0</v>
      </c>
      <c r="N896" s="1332">
        <v>0.2</v>
      </c>
      <c r="O896" s="1333" t="str">
        <f t="shared" si="66"/>
        <v/>
      </c>
      <c r="P896" s="1573"/>
    </row>
    <row r="897" spans="2:16">
      <c r="B897" s="1390"/>
      <c r="C897" s="798"/>
      <c r="D897" s="678"/>
      <c r="E897" s="680"/>
      <c r="F897" s="679"/>
      <c r="G897" s="677"/>
      <c r="H897" s="677"/>
      <c r="I897" s="677"/>
      <c r="J897" s="1605">
        <f t="shared" si="63"/>
        <v>0</v>
      </c>
      <c r="K897" s="675"/>
      <c r="L897" s="1605">
        <f t="shared" si="64"/>
        <v>0</v>
      </c>
      <c r="M897" s="673">
        <f t="shared" si="65"/>
        <v>0</v>
      </c>
      <c r="N897" s="1332">
        <v>0.2</v>
      </c>
      <c r="O897" s="1333" t="str">
        <f t="shared" si="66"/>
        <v/>
      </c>
      <c r="P897" s="1573"/>
    </row>
    <row r="898" spans="2:16">
      <c r="B898" s="1390"/>
      <c r="C898" s="798"/>
      <c r="D898" s="678"/>
      <c r="E898" s="680"/>
      <c r="F898" s="679"/>
      <c r="G898" s="677"/>
      <c r="H898" s="677"/>
      <c r="I898" s="677"/>
      <c r="J898" s="1605">
        <f t="shared" si="63"/>
        <v>0</v>
      </c>
      <c r="K898" s="675"/>
      <c r="L898" s="1605">
        <f t="shared" si="64"/>
        <v>0</v>
      </c>
      <c r="M898" s="673">
        <f t="shared" si="65"/>
        <v>0</v>
      </c>
      <c r="N898" s="1332">
        <v>0.2</v>
      </c>
      <c r="O898" s="1333" t="str">
        <f t="shared" si="66"/>
        <v/>
      </c>
      <c r="P898" s="1573"/>
    </row>
    <row r="899" spans="2:16">
      <c r="B899" s="1390"/>
      <c r="C899" s="798"/>
      <c r="D899" s="678"/>
      <c r="E899" s="680"/>
      <c r="F899" s="679"/>
      <c r="G899" s="677"/>
      <c r="H899" s="677"/>
      <c r="I899" s="677"/>
      <c r="J899" s="1605">
        <f t="shared" si="63"/>
        <v>0</v>
      </c>
      <c r="K899" s="675"/>
      <c r="L899" s="1605">
        <f t="shared" si="64"/>
        <v>0</v>
      </c>
      <c r="M899" s="673">
        <f t="shared" si="65"/>
        <v>0</v>
      </c>
      <c r="N899" s="1332">
        <v>0.2</v>
      </c>
      <c r="O899" s="1333" t="str">
        <f t="shared" si="66"/>
        <v/>
      </c>
      <c r="P899" s="1573"/>
    </row>
    <row r="900" spans="2:16">
      <c r="B900" s="1390"/>
      <c r="C900" s="798"/>
      <c r="D900" s="678"/>
      <c r="E900" s="680"/>
      <c r="F900" s="679"/>
      <c r="G900" s="677"/>
      <c r="H900" s="677"/>
      <c r="I900" s="677"/>
      <c r="J900" s="1605">
        <f t="shared" si="63"/>
        <v>0</v>
      </c>
      <c r="K900" s="675"/>
      <c r="L900" s="1605">
        <f t="shared" si="64"/>
        <v>0</v>
      </c>
      <c r="M900" s="673">
        <f t="shared" si="65"/>
        <v>0</v>
      </c>
      <c r="N900" s="1332">
        <v>0.2</v>
      </c>
      <c r="O900" s="1333" t="str">
        <f t="shared" si="66"/>
        <v/>
      </c>
      <c r="P900" s="1573"/>
    </row>
    <row r="901" spans="2:16">
      <c r="B901" s="1390"/>
      <c r="C901" s="798"/>
      <c r="D901" s="678"/>
      <c r="E901" s="680"/>
      <c r="F901" s="679"/>
      <c r="G901" s="677"/>
      <c r="H901" s="677"/>
      <c r="I901" s="677"/>
      <c r="J901" s="1605">
        <f t="shared" si="63"/>
        <v>0</v>
      </c>
      <c r="K901" s="675"/>
      <c r="L901" s="1605">
        <f t="shared" si="64"/>
        <v>0</v>
      </c>
      <c r="M901" s="673">
        <f t="shared" si="65"/>
        <v>0</v>
      </c>
      <c r="N901" s="1332">
        <v>0.2</v>
      </c>
      <c r="O901" s="1333" t="str">
        <f t="shared" si="66"/>
        <v/>
      </c>
      <c r="P901" s="1573"/>
    </row>
    <row r="902" spans="2:16">
      <c r="B902" s="1390"/>
      <c r="C902" s="798"/>
      <c r="D902" s="678"/>
      <c r="E902" s="680"/>
      <c r="F902" s="679"/>
      <c r="G902" s="677"/>
      <c r="H902" s="677"/>
      <c r="I902" s="677"/>
      <c r="J902" s="1605">
        <f t="shared" si="63"/>
        <v>0</v>
      </c>
      <c r="K902" s="675"/>
      <c r="L902" s="1605">
        <f t="shared" si="64"/>
        <v>0</v>
      </c>
      <c r="M902" s="673">
        <f t="shared" si="65"/>
        <v>0</v>
      </c>
      <c r="N902" s="1332">
        <v>0.2</v>
      </c>
      <c r="O902" s="1333" t="str">
        <f t="shared" si="66"/>
        <v/>
      </c>
      <c r="P902" s="1573"/>
    </row>
    <row r="903" spans="2:16">
      <c r="B903" s="1390"/>
      <c r="C903" s="798"/>
      <c r="D903" s="678"/>
      <c r="E903" s="680"/>
      <c r="F903" s="679"/>
      <c r="G903" s="677"/>
      <c r="H903" s="677"/>
      <c r="I903" s="677"/>
      <c r="J903" s="1605">
        <f t="shared" si="63"/>
        <v>0</v>
      </c>
      <c r="K903" s="675"/>
      <c r="L903" s="1605">
        <f t="shared" si="64"/>
        <v>0</v>
      </c>
      <c r="M903" s="673">
        <f t="shared" si="65"/>
        <v>0</v>
      </c>
      <c r="N903" s="1332">
        <v>0.2</v>
      </c>
      <c r="O903" s="1333" t="str">
        <f t="shared" si="66"/>
        <v/>
      </c>
      <c r="P903" s="1573"/>
    </row>
    <row r="904" spans="2:16">
      <c r="B904" s="1390"/>
      <c r="C904" s="798"/>
      <c r="D904" s="678"/>
      <c r="E904" s="680"/>
      <c r="F904" s="679"/>
      <c r="G904" s="677"/>
      <c r="H904" s="677"/>
      <c r="I904" s="677"/>
      <c r="J904" s="1605">
        <f t="shared" si="63"/>
        <v>0</v>
      </c>
      <c r="K904" s="675"/>
      <c r="L904" s="1605">
        <f t="shared" si="64"/>
        <v>0</v>
      </c>
      <c r="M904" s="673">
        <f t="shared" si="65"/>
        <v>0</v>
      </c>
      <c r="N904" s="1332">
        <v>0.2</v>
      </c>
      <c r="O904" s="1333" t="str">
        <f t="shared" si="66"/>
        <v/>
      </c>
      <c r="P904" s="1573"/>
    </row>
    <row r="905" spans="2:16">
      <c r="B905" s="1390"/>
      <c r="C905" s="798"/>
      <c r="D905" s="678"/>
      <c r="E905" s="680"/>
      <c r="F905" s="679"/>
      <c r="G905" s="677"/>
      <c r="H905" s="677"/>
      <c r="I905" s="677"/>
      <c r="J905" s="1605">
        <f t="shared" si="63"/>
        <v>0</v>
      </c>
      <c r="K905" s="675"/>
      <c r="L905" s="1605">
        <f t="shared" si="64"/>
        <v>0</v>
      </c>
      <c r="M905" s="673">
        <f t="shared" si="65"/>
        <v>0</v>
      </c>
      <c r="N905" s="1332">
        <v>0.2</v>
      </c>
      <c r="O905" s="1333" t="str">
        <f t="shared" si="66"/>
        <v/>
      </c>
      <c r="P905" s="1573"/>
    </row>
    <row r="906" spans="2:16">
      <c r="B906" s="1390"/>
      <c r="C906" s="798"/>
      <c r="D906" s="678"/>
      <c r="E906" s="680"/>
      <c r="F906" s="679"/>
      <c r="G906" s="677"/>
      <c r="H906" s="677"/>
      <c r="I906" s="677"/>
      <c r="J906" s="1605">
        <f t="shared" si="63"/>
        <v>0</v>
      </c>
      <c r="K906" s="675"/>
      <c r="L906" s="1605">
        <f t="shared" si="64"/>
        <v>0</v>
      </c>
      <c r="M906" s="673">
        <f t="shared" si="65"/>
        <v>0</v>
      </c>
      <c r="N906" s="1332">
        <v>0.2</v>
      </c>
      <c r="O906" s="1333" t="str">
        <f t="shared" si="66"/>
        <v/>
      </c>
      <c r="P906" s="1573"/>
    </row>
    <row r="907" spans="2:16">
      <c r="B907" s="1390"/>
      <c r="C907" s="798"/>
      <c r="D907" s="678"/>
      <c r="E907" s="680"/>
      <c r="F907" s="679"/>
      <c r="G907" s="677"/>
      <c r="H907" s="677"/>
      <c r="I907" s="677"/>
      <c r="J907" s="1605">
        <f t="shared" si="63"/>
        <v>0</v>
      </c>
      <c r="K907" s="675"/>
      <c r="L907" s="1605">
        <f t="shared" si="64"/>
        <v>0</v>
      </c>
      <c r="M907" s="673">
        <f t="shared" si="65"/>
        <v>0</v>
      </c>
      <c r="N907" s="1332">
        <v>0.2</v>
      </c>
      <c r="O907" s="1333" t="str">
        <f t="shared" si="66"/>
        <v/>
      </c>
      <c r="P907" s="1573"/>
    </row>
    <row r="908" spans="2:16">
      <c r="B908" s="1390"/>
      <c r="C908" s="798"/>
      <c r="D908" s="678"/>
      <c r="E908" s="680"/>
      <c r="F908" s="679"/>
      <c r="G908" s="677"/>
      <c r="H908" s="677"/>
      <c r="I908" s="677"/>
      <c r="J908" s="1605">
        <f t="shared" si="63"/>
        <v>0</v>
      </c>
      <c r="K908" s="675"/>
      <c r="L908" s="1605">
        <f t="shared" si="64"/>
        <v>0</v>
      </c>
      <c r="M908" s="673">
        <f t="shared" si="65"/>
        <v>0</v>
      </c>
      <c r="N908" s="1332">
        <v>0.2</v>
      </c>
      <c r="O908" s="1333" t="str">
        <f t="shared" si="66"/>
        <v/>
      </c>
      <c r="P908" s="1573"/>
    </row>
    <row r="909" spans="2:16">
      <c r="B909" s="1390"/>
      <c r="C909" s="798"/>
      <c r="D909" s="678"/>
      <c r="E909" s="680"/>
      <c r="F909" s="679"/>
      <c r="G909" s="677"/>
      <c r="H909" s="677"/>
      <c r="I909" s="677"/>
      <c r="J909" s="1605">
        <f t="shared" si="63"/>
        <v>0</v>
      </c>
      <c r="K909" s="675"/>
      <c r="L909" s="1605">
        <f t="shared" si="64"/>
        <v>0</v>
      </c>
      <c r="M909" s="673">
        <f t="shared" si="65"/>
        <v>0</v>
      </c>
      <c r="N909" s="1332">
        <v>0.2</v>
      </c>
      <c r="O909" s="1333" t="str">
        <f t="shared" si="66"/>
        <v/>
      </c>
      <c r="P909" s="1573"/>
    </row>
    <row r="910" spans="2:16">
      <c r="B910" s="1390"/>
      <c r="C910" s="798"/>
      <c r="D910" s="678"/>
      <c r="E910" s="680"/>
      <c r="F910" s="679"/>
      <c r="G910" s="677"/>
      <c r="H910" s="677"/>
      <c r="I910" s="677"/>
      <c r="J910" s="1605">
        <f t="shared" si="63"/>
        <v>0</v>
      </c>
      <c r="K910" s="675"/>
      <c r="L910" s="1605">
        <f t="shared" si="64"/>
        <v>0</v>
      </c>
      <c r="M910" s="673">
        <f t="shared" si="65"/>
        <v>0</v>
      </c>
      <c r="N910" s="1332">
        <v>0.2</v>
      </c>
      <c r="O910" s="1333" t="str">
        <f t="shared" si="66"/>
        <v/>
      </c>
      <c r="P910" s="1573"/>
    </row>
    <row r="911" spans="2:16">
      <c r="B911" s="1390"/>
      <c r="C911" s="798"/>
      <c r="D911" s="678"/>
      <c r="E911" s="680"/>
      <c r="F911" s="679"/>
      <c r="G911" s="677"/>
      <c r="H911" s="677"/>
      <c r="I911" s="677"/>
      <c r="J911" s="1605">
        <f t="shared" si="63"/>
        <v>0</v>
      </c>
      <c r="K911" s="675"/>
      <c r="L911" s="1605">
        <f t="shared" si="64"/>
        <v>0</v>
      </c>
      <c r="M911" s="673">
        <f t="shared" si="65"/>
        <v>0</v>
      </c>
      <c r="N911" s="1332">
        <v>0.2</v>
      </c>
      <c r="O911" s="1333" t="str">
        <f t="shared" si="66"/>
        <v/>
      </c>
      <c r="P911" s="1573"/>
    </row>
    <row r="912" spans="2:16">
      <c r="B912" s="1390"/>
      <c r="C912" s="798"/>
      <c r="D912" s="678"/>
      <c r="E912" s="680"/>
      <c r="F912" s="679"/>
      <c r="G912" s="677"/>
      <c r="H912" s="677"/>
      <c r="I912" s="677"/>
      <c r="J912" s="1605">
        <f t="shared" si="63"/>
        <v>0</v>
      </c>
      <c r="K912" s="675"/>
      <c r="L912" s="1605">
        <f t="shared" si="64"/>
        <v>0</v>
      </c>
      <c r="M912" s="673">
        <f t="shared" si="65"/>
        <v>0</v>
      </c>
      <c r="N912" s="1332">
        <v>0.2</v>
      </c>
      <c r="O912" s="1333" t="str">
        <f t="shared" si="66"/>
        <v/>
      </c>
      <c r="P912" s="1573"/>
    </row>
    <row r="913" spans="2:16">
      <c r="B913" s="1390"/>
      <c r="C913" s="798"/>
      <c r="D913" s="678"/>
      <c r="E913" s="680"/>
      <c r="F913" s="679"/>
      <c r="G913" s="677"/>
      <c r="H913" s="677"/>
      <c r="I913" s="677"/>
      <c r="J913" s="1605">
        <f t="shared" si="63"/>
        <v>0</v>
      </c>
      <c r="K913" s="675"/>
      <c r="L913" s="1605">
        <f t="shared" si="64"/>
        <v>0</v>
      </c>
      <c r="M913" s="673">
        <f t="shared" si="65"/>
        <v>0</v>
      </c>
      <c r="N913" s="1332">
        <v>0.2</v>
      </c>
      <c r="O913" s="1333" t="str">
        <f t="shared" si="66"/>
        <v/>
      </c>
      <c r="P913" s="1573"/>
    </row>
    <row r="914" spans="2:16">
      <c r="B914" s="1390"/>
      <c r="C914" s="798"/>
      <c r="D914" s="678"/>
      <c r="E914" s="680"/>
      <c r="F914" s="679"/>
      <c r="G914" s="677"/>
      <c r="H914" s="677"/>
      <c r="I914" s="677"/>
      <c r="J914" s="1605">
        <f t="shared" si="63"/>
        <v>0</v>
      </c>
      <c r="K914" s="675"/>
      <c r="L914" s="1605">
        <f t="shared" si="64"/>
        <v>0</v>
      </c>
      <c r="M914" s="673">
        <f t="shared" si="65"/>
        <v>0</v>
      </c>
      <c r="N914" s="1332">
        <v>0.2</v>
      </c>
      <c r="O914" s="1333" t="str">
        <f t="shared" si="66"/>
        <v/>
      </c>
      <c r="P914" s="1573"/>
    </row>
    <row r="915" spans="2:16">
      <c r="B915" s="1390"/>
      <c r="C915" s="798"/>
      <c r="D915" s="678"/>
      <c r="E915" s="680"/>
      <c r="F915" s="679"/>
      <c r="G915" s="677"/>
      <c r="H915" s="677"/>
      <c r="I915" s="677"/>
      <c r="J915" s="1605">
        <f t="shared" si="63"/>
        <v>0</v>
      </c>
      <c r="K915" s="675"/>
      <c r="L915" s="1605">
        <f t="shared" si="64"/>
        <v>0</v>
      </c>
      <c r="M915" s="673">
        <f t="shared" si="65"/>
        <v>0</v>
      </c>
      <c r="N915" s="1332">
        <v>0.2</v>
      </c>
      <c r="O915" s="1333" t="str">
        <f t="shared" si="66"/>
        <v/>
      </c>
      <c r="P915" s="1573"/>
    </row>
    <row r="916" spans="2:16">
      <c r="B916" s="1390"/>
      <c r="C916" s="798"/>
      <c r="D916" s="678"/>
      <c r="E916" s="680"/>
      <c r="F916" s="679"/>
      <c r="G916" s="677"/>
      <c r="H916" s="677"/>
      <c r="I916" s="677"/>
      <c r="J916" s="1605">
        <f t="shared" si="63"/>
        <v>0</v>
      </c>
      <c r="K916" s="675"/>
      <c r="L916" s="1605">
        <f t="shared" si="64"/>
        <v>0</v>
      </c>
      <c r="M916" s="673">
        <f t="shared" si="65"/>
        <v>0</v>
      </c>
      <c r="N916" s="1332">
        <v>0.2</v>
      </c>
      <c r="O916" s="1333" t="str">
        <f t="shared" si="66"/>
        <v/>
      </c>
      <c r="P916" s="1573"/>
    </row>
    <row r="917" spans="2:16">
      <c r="B917" s="1390"/>
      <c r="C917" s="798"/>
      <c r="D917" s="678"/>
      <c r="E917" s="680"/>
      <c r="F917" s="679"/>
      <c r="G917" s="677"/>
      <c r="H917" s="677"/>
      <c r="I917" s="677"/>
      <c r="J917" s="1605">
        <f t="shared" si="63"/>
        <v>0</v>
      </c>
      <c r="K917" s="675"/>
      <c r="L917" s="1605">
        <f t="shared" si="64"/>
        <v>0</v>
      </c>
      <c r="M917" s="673">
        <f t="shared" si="65"/>
        <v>0</v>
      </c>
      <c r="N917" s="1332">
        <v>0.2</v>
      </c>
      <c r="O917" s="1333" t="str">
        <f t="shared" si="66"/>
        <v/>
      </c>
      <c r="P917" s="1573"/>
    </row>
    <row r="918" spans="2:16">
      <c r="B918" s="1390"/>
      <c r="C918" s="798"/>
      <c r="D918" s="678"/>
      <c r="E918" s="680"/>
      <c r="F918" s="679"/>
      <c r="G918" s="677"/>
      <c r="H918" s="677"/>
      <c r="I918" s="677"/>
      <c r="J918" s="1605">
        <f t="shared" si="63"/>
        <v>0</v>
      </c>
      <c r="K918" s="675"/>
      <c r="L918" s="1605">
        <f t="shared" si="64"/>
        <v>0</v>
      </c>
      <c r="M918" s="673">
        <f t="shared" si="65"/>
        <v>0</v>
      </c>
      <c r="N918" s="1332">
        <v>0.2</v>
      </c>
      <c r="O918" s="1333" t="str">
        <f t="shared" si="66"/>
        <v/>
      </c>
      <c r="P918" s="1573"/>
    </row>
    <row r="919" spans="2:16">
      <c r="B919" s="1390"/>
      <c r="C919" s="798"/>
      <c r="D919" s="678"/>
      <c r="E919" s="680"/>
      <c r="F919" s="679"/>
      <c r="G919" s="677"/>
      <c r="H919" s="677"/>
      <c r="I919" s="677"/>
      <c r="J919" s="1605">
        <f t="shared" si="63"/>
        <v>0</v>
      </c>
      <c r="K919" s="675"/>
      <c r="L919" s="1605">
        <f t="shared" si="64"/>
        <v>0</v>
      </c>
      <c r="M919" s="673">
        <f t="shared" si="65"/>
        <v>0</v>
      </c>
      <c r="N919" s="1332">
        <v>0.2</v>
      </c>
      <c r="O919" s="1333" t="str">
        <f t="shared" si="66"/>
        <v/>
      </c>
      <c r="P919" s="1573"/>
    </row>
    <row r="920" spans="2:16">
      <c r="B920" s="1390"/>
      <c r="C920" s="798"/>
      <c r="D920" s="678"/>
      <c r="E920" s="680"/>
      <c r="F920" s="679"/>
      <c r="G920" s="677"/>
      <c r="H920" s="677"/>
      <c r="I920" s="677"/>
      <c r="J920" s="1605">
        <f t="shared" si="63"/>
        <v>0</v>
      </c>
      <c r="K920" s="675"/>
      <c r="L920" s="1605">
        <f t="shared" si="64"/>
        <v>0</v>
      </c>
      <c r="M920" s="673">
        <f t="shared" si="65"/>
        <v>0</v>
      </c>
      <c r="N920" s="1332">
        <v>0.2</v>
      </c>
      <c r="O920" s="1333" t="str">
        <f t="shared" si="66"/>
        <v/>
      </c>
      <c r="P920" s="1573"/>
    </row>
    <row r="921" spans="2:16">
      <c r="B921" s="1390"/>
      <c r="C921" s="798"/>
      <c r="D921" s="678"/>
      <c r="E921" s="680"/>
      <c r="F921" s="679"/>
      <c r="G921" s="677"/>
      <c r="H921" s="677"/>
      <c r="I921" s="677"/>
      <c r="J921" s="1605">
        <f t="shared" si="63"/>
        <v>0</v>
      </c>
      <c r="K921" s="675"/>
      <c r="L921" s="1605">
        <f t="shared" si="64"/>
        <v>0</v>
      </c>
      <c r="M921" s="673">
        <f t="shared" si="65"/>
        <v>0</v>
      </c>
      <c r="N921" s="1332">
        <v>0.2</v>
      </c>
      <c r="O921" s="1333" t="str">
        <f t="shared" si="66"/>
        <v/>
      </c>
      <c r="P921" s="1573"/>
    </row>
    <row r="922" spans="2:16">
      <c r="B922" s="1390"/>
      <c r="C922" s="798"/>
      <c r="D922" s="678"/>
      <c r="E922" s="680"/>
      <c r="F922" s="679"/>
      <c r="G922" s="677"/>
      <c r="H922" s="677"/>
      <c r="I922" s="677"/>
      <c r="J922" s="1605">
        <f t="shared" si="63"/>
        <v>0</v>
      </c>
      <c r="K922" s="675"/>
      <c r="L922" s="1605">
        <f t="shared" si="64"/>
        <v>0</v>
      </c>
      <c r="M922" s="673">
        <f t="shared" si="65"/>
        <v>0</v>
      </c>
      <c r="N922" s="1332">
        <v>0.2</v>
      </c>
      <c r="O922" s="1333" t="str">
        <f t="shared" si="66"/>
        <v/>
      </c>
      <c r="P922" s="1573"/>
    </row>
    <row r="923" spans="2:16">
      <c r="B923" s="1390"/>
      <c r="C923" s="798"/>
      <c r="D923" s="678"/>
      <c r="E923" s="680"/>
      <c r="F923" s="679"/>
      <c r="G923" s="677"/>
      <c r="H923" s="677"/>
      <c r="I923" s="677"/>
      <c r="J923" s="1605">
        <f t="shared" si="63"/>
        <v>0</v>
      </c>
      <c r="K923" s="675"/>
      <c r="L923" s="1605">
        <f t="shared" si="64"/>
        <v>0</v>
      </c>
      <c r="M923" s="673">
        <f t="shared" si="65"/>
        <v>0</v>
      </c>
      <c r="N923" s="1332">
        <v>0.2</v>
      </c>
      <c r="O923" s="1333" t="str">
        <f t="shared" si="66"/>
        <v/>
      </c>
      <c r="P923" s="1573"/>
    </row>
    <row r="924" spans="2:16">
      <c r="B924" s="1390"/>
      <c r="C924" s="798"/>
      <c r="D924" s="678"/>
      <c r="E924" s="680"/>
      <c r="F924" s="679"/>
      <c r="G924" s="677"/>
      <c r="H924" s="677"/>
      <c r="I924" s="677"/>
      <c r="J924" s="1605">
        <f t="shared" si="63"/>
        <v>0</v>
      </c>
      <c r="K924" s="675"/>
      <c r="L924" s="1605">
        <f t="shared" si="64"/>
        <v>0</v>
      </c>
      <c r="M924" s="673">
        <f t="shared" si="65"/>
        <v>0</v>
      </c>
      <c r="N924" s="1332">
        <v>0.2</v>
      </c>
      <c r="O924" s="1333" t="str">
        <f t="shared" si="66"/>
        <v/>
      </c>
      <c r="P924" s="1573"/>
    </row>
    <row r="925" spans="2:16">
      <c r="B925" s="1390"/>
      <c r="C925" s="798"/>
      <c r="D925" s="678"/>
      <c r="E925" s="680"/>
      <c r="F925" s="679"/>
      <c r="G925" s="677"/>
      <c r="H925" s="677"/>
      <c r="I925" s="677"/>
      <c r="J925" s="1605">
        <f t="shared" si="63"/>
        <v>0</v>
      </c>
      <c r="K925" s="675"/>
      <c r="L925" s="1605">
        <f t="shared" si="64"/>
        <v>0</v>
      </c>
      <c r="M925" s="673">
        <f t="shared" si="65"/>
        <v>0</v>
      </c>
      <c r="N925" s="1332">
        <v>0.2</v>
      </c>
      <c r="O925" s="1333" t="str">
        <f t="shared" si="66"/>
        <v/>
      </c>
      <c r="P925" s="1573"/>
    </row>
    <row r="926" spans="2:16">
      <c r="B926" s="1390"/>
      <c r="C926" s="798"/>
      <c r="D926" s="678"/>
      <c r="E926" s="680"/>
      <c r="F926" s="679"/>
      <c r="G926" s="677"/>
      <c r="H926" s="677"/>
      <c r="I926" s="677"/>
      <c r="J926" s="1605">
        <f t="shared" si="63"/>
        <v>0</v>
      </c>
      <c r="K926" s="675"/>
      <c r="L926" s="1605">
        <f t="shared" si="64"/>
        <v>0</v>
      </c>
      <c r="M926" s="673">
        <f t="shared" si="65"/>
        <v>0</v>
      </c>
      <c r="N926" s="1332">
        <v>0.2</v>
      </c>
      <c r="O926" s="1333" t="str">
        <f t="shared" si="66"/>
        <v/>
      </c>
      <c r="P926" s="1573"/>
    </row>
    <row r="927" spans="2:16">
      <c r="B927" s="1390"/>
      <c r="C927" s="798"/>
      <c r="D927" s="678"/>
      <c r="E927" s="680"/>
      <c r="F927" s="679"/>
      <c r="G927" s="677"/>
      <c r="H927" s="677"/>
      <c r="I927" s="677"/>
      <c r="J927" s="1605">
        <f t="shared" si="63"/>
        <v>0</v>
      </c>
      <c r="K927" s="675"/>
      <c r="L927" s="1605">
        <f t="shared" si="64"/>
        <v>0</v>
      </c>
      <c r="M927" s="673">
        <f t="shared" si="65"/>
        <v>0</v>
      </c>
      <c r="N927" s="1332">
        <v>0.2</v>
      </c>
      <c r="O927" s="1333" t="str">
        <f t="shared" si="66"/>
        <v/>
      </c>
      <c r="P927" s="1573"/>
    </row>
    <row r="928" spans="2:16">
      <c r="B928" s="1390"/>
      <c r="C928" s="798"/>
      <c r="D928" s="678"/>
      <c r="E928" s="680"/>
      <c r="F928" s="679"/>
      <c r="G928" s="677"/>
      <c r="H928" s="677"/>
      <c r="I928" s="677"/>
      <c r="J928" s="1605">
        <f t="shared" si="63"/>
        <v>0</v>
      </c>
      <c r="K928" s="675"/>
      <c r="L928" s="1605">
        <f t="shared" si="64"/>
        <v>0</v>
      </c>
      <c r="M928" s="673">
        <f t="shared" si="65"/>
        <v>0</v>
      </c>
      <c r="N928" s="1332">
        <v>0.2</v>
      </c>
      <c r="O928" s="1333" t="str">
        <f t="shared" si="66"/>
        <v/>
      </c>
      <c r="P928" s="1573"/>
    </row>
    <row r="929" spans="2:16">
      <c r="B929" s="1390"/>
      <c r="C929" s="798"/>
      <c r="D929" s="678"/>
      <c r="E929" s="680"/>
      <c r="F929" s="679"/>
      <c r="G929" s="677"/>
      <c r="H929" s="677"/>
      <c r="I929" s="677"/>
      <c r="J929" s="1605">
        <f t="shared" si="63"/>
        <v>0</v>
      </c>
      <c r="K929" s="675"/>
      <c r="L929" s="1605">
        <f t="shared" si="64"/>
        <v>0</v>
      </c>
      <c r="M929" s="673">
        <f t="shared" si="65"/>
        <v>0</v>
      </c>
      <c r="N929" s="1332">
        <v>0.2</v>
      </c>
      <c r="O929" s="1333" t="str">
        <f t="shared" si="66"/>
        <v/>
      </c>
      <c r="P929" s="1573"/>
    </row>
    <row r="930" spans="2:16">
      <c r="B930" s="1390"/>
      <c r="C930" s="798"/>
      <c r="D930" s="678"/>
      <c r="E930" s="680"/>
      <c r="F930" s="679"/>
      <c r="G930" s="677"/>
      <c r="H930" s="677"/>
      <c r="I930" s="677"/>
      <c r="J930" s="1605">
        <f t="shared" si="63"/>
        <v>0</v>
      </c>
      <c r="K930" s="675"/>
      <c r="L930" s="1605">
        <f t="shared" si="64"/>
        <v>0</v>
      </c>
      <c r="M930" s="673">
        <f t="shared" si="65"/>
        <v>0</v>
      </c>
      <c r="N930" s="1332">
        <v>0.2</v>
      </c>
      <c r="O930" s="1333" t="str">
        <f t="shared" si="66"/>
        <v/>
      </c>
      <c r="P930" s="1573"/>
    </row>
    <row r="931" spans="2:16">
      <c r="B931" s="1390"/>
      <c r="C931" s="798"/>
      <c r="D931" s="678"/>
      <c r="E931" s="680"/>
      <c r="F931" s="679"/>
      <c r="G931" s="677"/>
      <c r="H931" s="677"/>
      <c r="I931" s="677"/>
      <c r="J931" s="1605">
        <f t="shared" si="63"/>
        <v>0</v>
      </c>
      <c r="K931" s="675"/>
      <c r="L931" s="1605">
        <f t="shared" si="64"/>
        <v>0</v>
      </c>
      <c r="M931" s="673">
        <f t="shared" si="65"/>
        <v>0</v>
      </c>
      <c r="N931" s="1332">
        <v>0.2</v>
      </c>
      <c r="O931" s="1333" t="str">
        <f t="shared" si="66"/>
        <v/>
      </c>
      <c r="P931" s="1573"/>
    </row>
    <row r="932" spans="2:16">
      <c r="B932" s="1390"/>
      <c r="C932" s="798"/>
      <c r="D932" s="678"/>
      <c r="E932" s="680"/>
      <c r="F932" s="679"/>
      <c r="G932" s="677"/>
      <c r="H932" s="677"/>
      <c r="I932" s="677"/>
      <c r="J932" s="1605">
        <f t="shared" si="63"/>
        <v>0</v>
      </c>
      <c r="K932" s="675"/>
      <c r="L932" s="1605">
        <f t="shared" si="64"/>
        <v>0</v>
      </c>
      <c r="M932" s="673">
        <f t="shared" si="65"/>
        <v>0</v>
      </c>
      <c r="N932" s="1332">
        <v>0.2</v>
      </c>
      <c r="O932" s="1333" t="str">
        <f t="shared" si="66"/>
        <v/>
      </c>
      <c r="P932" s="1573"/>
    </row>
    <row r="933" spans="2:16">
      <c r="B933" s="1390"/>
      <c r="C933" s="798"/>
      <c r="D933" s="678"/>
      <c r="E933" s="680"/>
      <c r="F933" s="679"/>
      <c r="G933" s="677"/>
      <c r="H933" s="677"/>
      <c r="I933" s="677"/>
      <c r="J933" s="1605">
        <f t="shared" si="63"/>
        <v>0</v>
      </c>
      <c r="K933" s="675"/>
      <c r="L933" s="1605">
        <f t="shared" si="64"/>
        <v>0</v>
      </c>
      <c r="M933" s="673">
        <f t="shared" si="65"/>
        <v>0</v>
      </c>
      <c r="N933" s="1332">
        <v>0.2</v>
      </c>
      <c r="O933" s="1333" t="str">
        <f t="shared" si="66"/>
        <v/>
      </c>
      <c r="P933" s="1573"/>
    </row>
    <row r="934" spans="2:16">
      <c r="B934" s="1390"/>
      <c r="C934" s="798"/>
      <c r="D934" s="678"/>
      <c r="E934" s="680"/>
      <c r="F934" s="679"/>
      <c r="G934" s="677"/>
      <c r="H934" s="677"/>
      <c r="I934" s="677"/>
      <c r="J934" s="1605">
        <f t="shared" si="63"/>
        <v>0</v>
      </c>
      <c r="K934" s="675"/>
      <c r="L934" s="1605">
        <f t="shared" si="64"/>
        <v>0</v>
      </c>
      <c r="M934" s="673">
        <f t="shared" si="65"/>
        <v>0</v>
      </c>
      <c r="N934" s="1332">
        <v>0.2</v>
      </c>
      <c r="O934" s="1333" t="str">
        <f t="shared" si="66"/>
        <v/>
      </c>
      <c r="P934" s="1573"/>
    </row>
    <row r="935" spans="2:16">
      <c r="B935" s="1390"/>
      <c r="C935" s="798"/>
      <c r="D935" s="678"/>
      <c r="E935" s="680"/>
      <c r="F935" s="679"/>
      <c r="G935" s="677"/>
      <c r="H935" s="677"/>
      <c r="I935" s="677"/>
      <c r="J935" s="1605">
        <f t="shared" si="63"/>
        <v>0</v>
      </c>
      <c r="K935" s="675"/>
      <c r="L935" s="1605">
        <f t="shared" si="64"/>
        <v>0</v>
      </c>
      <c r="M935" s="673">
        <f t="shared" si="65"/>
        <v>0</v>
      </c>
      <c r="N935" s="1332">
        <v>0.2</v>
      </c>
      <c r="O935" s="1333" t="str">
        <f t="shared" si="66"/>
        <v/>
      </c>
      <c r="P935" s="1573"/>
    </row>
    <row r="936" spans="2:16">
      <c r="B936" s="1390"/>
      <c r="C936" s="798"/>
      <c r="D936" s="678"/>
      <c r="E936" s="680"/>
      <c r="F936" s="679"/>
      <c r="G936" s="677"/>
      <c r="H936" s="677"/>
      <c r="I936" s="677"/>
      <c r="J936" s="1605">
        <f t="shared" si="63"/>
        <v>0</v>
      </c>
      <c r="K936" s="675"/>
      <c r="L936" s="1605">
        <f t="shared" si="64"/>
        <v>0</v>
      </c>
      <c r="M936" s="673">
        <f t="shared" si="65"/>
        <v>0</v>
      </c>
      <c r="N936" s="1332">
        <v>0.2</v>
      </c>
      <c r="O936" s="1333" t="str">
        <f t="shared" si="66"/>
        <v/>
      </c>
      <c r="P936" s="1573"/>
    </row>
    <row r="937" spans="2:16">
      <c r="B937" s="1390"/>
      <c r="C937" s="798"/>
      <c r="D937" s="678"/>
      <c r="E937" s="680"/>
      <c r="F937" s="679"/>
      <c r="G937" s="677"/>
      <c r="H937" s="677"/>
      <c r="I937" s="677"/>
      <c r="J937" s="1605">
        <f t="shared" si="63"/>
        <v>0</v>
      </c>
      <c r="K937" s="675"/>
      <c r="L937" s="1605">
        <f t="shared" si="64"/>
        <v>0</v>
      </c>
      <c r="M937" s="673">
        <f t="shared" si="65"/>
        <v>0</v>
      </c>
      <c r="N937" s="1332">
        <v>0.2</v>
      </c>
      <c r="O937" s="1333" t="str">
        <f t="shared" si="66"/>
        <v/>
      </c>
      <c r="P937" s="1573"/>
    </row>
    <row r="938" spans="2:16">
      <c r="B938" s="1390"/>
      <c r="C938" s="798"/>
      <c r="D938" s="678"/>
      <c r="E938" s="680"/>
      <c r="F938" s="679"/>
      <c r="G938" s="677"/>
      <c r="H938" s="677"/>
      <c r="I938" s="677"/>
      <c r="J938" s="1605">
        <f t="shared" si="63"/>
        <v>0</v>
      </c>
      <c r="K938" s="675"/>
      <c r="L938" s="1605">
        <f t="shared" si="64"/>
        <v>0</v>
      </c>
      <c r="M938" s="673">
        <f t="shared" si="65"/>
        <v>0</v>
      </c>
      <c r="N938" s="1332">
        <v>0.2</v>
      </c>
      <c r="O938" s="1333" t="str">
        <f t="shared" si="66"/>
        <v/>
      </c>
      <c r="P938" s="1573"/>
    </row>
    <row r="939" spans="2:16">
      <c r="B939" s="1390"/>
      <c r="C939" s="798"/>
      <c r="D939" s="678"/>
      <c r="E939" s="680"/>
      <c r="F939" s="679"/>
      <c r="G939" s="677"/>
      <c r="H939" s="677"/>
      <c r="I939" s="677"/>
      <c r="J939" s="1605">
        <f t="shared" si="63"/>
        <v>0</v>
      </c>
      <c r="K939" s="675"/>
      <c r="L939" s="1605">
        <f t="shared" si="64"/>
        <v>0</v>
      </c>
      <c r="M939" s="673">
        <f t="shared" si="65"/>
        <v>0</v>
      </c>
      <c r="N939" s="1332">
        <v>0.2</v>
      </c>
      <c r="O939" s="1333" t="str">
        <f t="shared" si="66"/>
        <v/>
      </c>
      <c r="P939" s="1573"/>
    </row>
    <row r="940" spans="2:16">
      <c r="B940" s="1390"/>
      <c r="C940" s="798"/>
      <c r="D940" s="678"/>
      <c r="E940" s="680"/>
      <c r="F940" s="679"/>
      <c r="G940" s="677"/>
      <c r="H940" s="677"/>
      <c r="I940" s="677"/>
      <c r="J940" s="1605">
        <f t="shared" ref="J940:J999" si="67">H940+I940</f>
        <v>0</v>
      </c>
      <c r="K940" s="675"/>
      <c r="L940" s="1605">
        <f t="shared" ref="L940:L999" si="68">J940*K940</f>
        <v>0</v>
      </c>
      <c r="M940" s="673">
        <f t="shared" ref="M940:M999" si="69">L940/$D$9</f>
        <v>0</v>
      </c>
      <c r="N940" s="1332">
        <v>0.2</v>
      </c>
      <c r="O940" s="1333" t="str">
        <f t="shared" ref="O940:O999" si="70">IF((M940-N940)&gt;0,M940-N940,"")</f>
        <v/>
      </c>
      <c r="P940" s="1573"/>
    </row>
    <row r="941" spans="2:16">
      <c r="B941" s="1390"/>
      <c r="C941" s="798"/>
      <c r="D941" s="678"/>
      <c r="E941" s="680"/>
      <c r="F941" s="679"/>
      <c r="G941" s="677"/>
      <c r="H941" s="677"/>
      <c r="I941" s="677"/>
      <c r="J941" s="1605">
        <f t="shared" si="67"/>
        <v>0</v>
      </c>
      <c r="K941" s="675"/>
      <c r="L941" s="1605">
        <f t="shared" si="68"/>
        <v>0</v>
      </c>
      <c r="M941" s="673">
        <f t="shared" si="69"/>
        <v>0</v>
      </c>
      <c r="N941" s="1332">
        <v>0.2</v>
      </c>
      <c r="O941" s="1333" t="str">
        <f t="shared" si="70"/>
        <v/>
      </c>
      <c r="P941" s="1573"/>
    </row>
    <row r="942" spans="2:16">
      <c r="B942" s="1390"/>
      <c r="C942" s="798"/>
      <c r="D942" s="678"/>
      <c r="E942" s="680"/>
      <c r="F942" s="679"/>
      <c r="G942" s="677"/>
      <c r="H942" s="677"/>
      <c r="I942" s="677"/>
      <c r="J942" s="1605">
        <f t="shared" si="67"/>
        <v>0</v>
      </c>
      <c r="K942" s="675"/>
      <c r="L942" s="1605">
        <f t="shared" si="68"/>
        <v>0</v>
      </c>
      <c r="M942" s="673">
        <f t="shared" si="69"/>
        <v>0</v>
      </c>
      <c r="N942" s="1332">
        <v>0.2</v>
      </c>
      <c r="O942" s="1333" t="str">
        <f t="shared" si="70"/>
        <v/>
      </c>
      <c r="P942" s="1573"/>
    </row>
    <row r="943" spans="2:16">
      <c r="B943" s="1390"/>
      <c r="C943" s="798"/>
      <c r="D943" s="678"/>
      <c r="E943" s="680"/>
      <c r="F943" s="679"/>
      <c r="G943" s="677"/>
      <c r="H943" s="677"/>
      <c r="I943" s="677"/>
      <c r="J943" s="1605">
        <f t="shared" si="67"/>
        <v>0</v>
      </c>
      <c r="K943" s="675"/>
      <c r="L943" s="1605">
        <f t="shared" si="68"/>
        <v>0</v>
      </c>
      <c r="M943" s="673">
        <f t="shared" si="69"/>
        <v>0</v>
      </c>
      <c r="N943" s="1332">
        <v>0.2</v>
      </c>
      <c r="O943" s="1333" t="str">
        <f t="shared" si="70"/>
        <v/>
      </c>
      <c r="P943" s="1573"/>
    </row>
    <row r="944" spans="2:16">
      <c r="B944" s="1390"/>
      <c r="C944" s="798"/>
      <c r="D944" s="678"/>
      <c r="E944" s="680"/>
      <c r="F944" s="679"/>
      <c r="G944" s="677"/>
      <c r="H944" s="677"/>
      <c r="I944" s="677"/>
      <c r="J944" s="1605">
        <f t="shared" si="67"/>
        <v>0</v>
      </c>
      <c r="K944" s="675"/>
      <c r="L944" s="1605">
        <f t="shared" si="68"/>
        <v>0</v>
      </c>
      <c r="M944" s="673">
        <f t="shared" si="69"/>
        <v>0</v>
      </c>
      <c r="N944" s="1332">
        <v>0.2</v>
      </c>
      <c r="O944" s="1333" t="str">
        <f t="shared" si="70"/>
        <v/>
      </c>
      <c r="P944" s="1573"/>
    </row>
    <row r="945" spans="2:16">
      <c r="B945" s="1390"/>
      <c r="C945" s="798"/>
      <c r="D945" s="678"/>
      <c r="E945" s="680"/>
      <c r="F945" s="679"/>
      <c r="G945" s="677"/>
      <c r="H945" s="677"/>
      <c r="I945" s="677"/>
      <c r="J945" s="1605">
        <f t="shared" si="67"/>
        <v>0</v>
      </c>
      <c r="K945" s="675"/>
      <c r="L945" s="1605">
        <f t="shared" si="68"/>
        <v>0</v>
      </c>
      <c r="M945" s="673">
        <f t="shared" si="69"/>
        <v>0</v>
      </c>
      <c r="N945" s="1332">
        <v>0.2</v>
      </c>
      <c r="O945" s="1333" t="str">
        <f t="shared" si="70"/>
        <v/>
      </c>
      <c r="P945" s="1573"/>
    </row>
    <row r="946" spans="2:16">
      <c r="B946" s="1390"/>
      <c r="C946" s="798"/>
      <c r="D946" s="678"/>
      <c r="E946" s="680"/>
      <c r="F946" s="679"/>
      <c r="G946" s="677"/>
      <c r="H946" s="677"/>
      <c r="I946" s="677"/>
      <c r="J946" s="1605">
        <f t="shared" si="67"/>
        <v>0</v>
      </c>
      <c r="K946" s="675"/>
      <c r="L946" s="1605">
        <f t="shared" si="68"/>
        <v>0</v>
      </c>
      <c r="M946" s="673">
        <f t="shared" si="69"/>
        <v>0</v>
      </c>
      <c r="N946" s="1332">
        <v>0.2</v>
      </c>
      <c r="O946" s="1333" t="str">
        <f t="shared" si="70"/>
        <v/>
      </c>
      <c r="P946" s="1573"/>
    </row>
    <row r="947" spans="2:16">
      <c r="B947" s="1390"/>
      <c r="C947" s="798"/>
      <c r="D947" s="678"/>
      <c r="E947" s="680"/>
      <c r="F947" s="679"/>
      <c r="G947" s="677"/>
      <c r="H947" s="677"/>
      <c r="I947" s="677"/>
      <c r="J947" s="1605">
        <f t="shared" si="67"/>
        <v>0</v>
      </c>
      <c r="K947" s="675"/>
      <c r="L947" s="1605">
        <f t="shared" si="68"/>
        <v>0</v>
      </c>
      <c r="M947" s="673">
        <f t="shared" si="69"/>
        <v>0</v>
      </c>
      <c r="N947" s="1332">
        <v>0.2</v>
      </c>
      <c r="O947" s="1333" t="str">
        <f t="shared" si="70"/>
        <v/>
      </c>
      <c r="P947" s="1573"/>
    </row>
    <row r="948" spans="2:16">
      <c r="B948" s="1390"/>
      <c r="C948" s="798"/>
      <c r="D948" s="678"/>
      <c r="E948" s="680"/>
      <c r="F948" s="679"/>
      <c r="G948" s="677"/>
      <c r="H948" s="677"/>
      <c r="I948" s="677"/>
      <c r="J948" s="1605">
        <f t="shared" si="67"/>
        <v>0</v>
      </c>
      <c r="K948" s="675"/>
      <c r="L948" s="1605">
        <f t="shared" si="68"/>
        <v>0</v>
      </c>
      <c r="M948" s="673">
        <f t="shared" si="69"/>
        <v>0</v>
      </c>
      <c r="N948" s="1332">
        <v>0.2</v>
      </c>
      <c r="O948" s="1333" t="str">
        <f t="shared" si="70"/>
        <v/>
      </c>
      <c r="P948" s="1573"/>
    </row>
    <row r="949" spans="2:16">
      <c r="B949" s="1390"/>
      <c r="C949" s="798"/>
      <c r="D949" s="678"/>
      <c r="E949" s="680"/>
      <c r="F949" s="679"/>
      <c r="G949" s="677"/>
      <c r="H949" s="677"/>
      <c r="I949" s="677"/>
      <c r="J949" s="1605">
        <f t="shared" si="67"/>
        <v>0</v>
      </c>
      <c r="K949" s="675"/>
      <c r="L949" s="1605">
        <f t="shared" si="68"/>
        <v>0</v>
      </c>
      <c r="M949" s="673">
        <f t="shared" si="69"/>
        <v>0</v>
      </c>
      <c r="N949" s="1332">
        <v>0.2</v>
      </c>
      <c r="O949" s="1333" t="str">
        <f t="shared" si="70"/>
        <v/>
      </c>
      <c r="P949" s="1573"/>
    </row>
    <row r="950" spans="2:16">
      <c r="B950" s="1390"/>
      <c r="C950" s="798"/>
      <c r="D950" s="678"/>
      <c r="E950" s="680"/>
      <c r="F950" s="679"/>
      <c r="G950" s="677"/>
      <c r="H950" s="677"/>
      <c r="I950" s="677"/>
      <c r="J950" s="1605">
        <f t="shared" si="67"/>
        <v>0</v>
      </c>
      <c r="K950" s="675"/>
      <c r="L950" s="1605">
        <f t="shared" si="68"/>
        <v>0</v>
      </c>
      <c r="M950" s="673">
        <f t="shared" si="69"/>
        <v>0</v>
      </c>
      <c r="N950" s="1332">
        <v>0.2</v>
      </c>
      <c r="O950" s="1333" t="str">
        <f t="shared" si="70"/>
        <v/>
      </c>
      <c r="P950" s="1573"/>
    </row>
    <row r="951" spans="2:16">
      <c r="B951" s="1390"/>
      <c r="C951" s="798"/>
      <c r="D951" s="678"/>
      <c r="E951" s="680"/>
      <c r="F951" s="679"/>
      <c r="G951" s="677"/>
      <c r="H951" s="677"/>
      <c r="I951" s="677"/>
      <c r="J951" s="1605">
        <f t="shared" si="67"/>
        <v>0</v>
      </c>
      <c r="K951" s="675"/>
      <c r="L951" s="1605">
        <f t="shared" si="68"/>
        <v>0</v>
      </c>
      <c r="M951" s="673">
        <f t="shared" si="69"/>
        <v>0</v>
      </c>
      <c r="N951" s="1332">
        <v>0.2</v>
      </c>
      <c r="O951" s="1333" t="str">
        <f t="shared" si="70"/>
        <v/>
      </c>
      <c r="P951" s="1573"/>
    </row>
    <row r="952" spans="2:16">
      <c r="B952" s="1390"/>
      <c r="C952" s="798"/>
      <c r="D952" s="678"/>
      <c r="E952" s="680"/>
      <c r="F952" s="679"/>
      <c r="G952" s="677"/>
      <c r="H952" s="677"/>
      <c r="I952" s="677"/>
      <c r="J952" s="1605">
        <f t="shared" si="67"/>
        <v>0</v>
      </c>
      <c r="K952" s="675"/>
      <c r="L952" s="1605">
        <f t="shared" si="68"/>
        <v>0</v>
      </c>
      <c r="M952" s="673">
        <f t="shared" si="69"/>
        <v>0</v>
      </c>
      <c r="N952" s="1332">
        <v>0.2</v>
      </c>
      <c r="O952" s="1333" t="str">
        <f t="shared" si="70"/>
        <v/>
      </c>
      <c r="P952" s="1573"/>
    </row>
    <row r="953" spans="2:16">
      <c r="B953" s="1390"/>
      <c r="C953" s="798"/>
      <c r="D953" s="678"/>
      <c r="E953" s="680"/>
      <c r="F953" s="679"/>
      <c r="G953" s="677"/>
      <c r="H953" s="677"/>
      <c r="I953" s="677"/>
      <c r="J953" s="1605">
        <f t="shared" si="67"/>
        <v>0</v>
      </c>
      <c r="K953" s="675"/>
      <c r="L953" s="1605">
        <f t="shared" si="68"/>
        <v>0</v>
      </c>
      <c r="M953" s="673">
        <f t="shared" si="69"/>
        <v>0</v>
      </c>
      <c r="N953" s="1332">
        <v>0.2</v>
      </c>
      <c r="O953" s="1333" t="str">
        <f t="shared" si="70"/>
        <v/>
      </c>
      <c r="P953" s="1573"/>
    </row>
    <row r="954" spans="2:16">
      <c r="B954" s="1390"/>
      <c r="C954" s="798"/>
      <c r="D954" s="678"/>
      <c r="E954" s="680"/>
      <c r="F954" s="679"/>
      <c r="G954" s="677"/>
      <c r="H954" s="677"/>
      <c r="I954" s="677"/>
      <c r="J954" s="1605">
        <f t="shared" si="67"/>
        <v>0</v>
      </c>
      <c r="K954" s="675"/>
      <c r="L954" s="1605">
        <f t="shared" si="68"/>
        <v>0</v>
      </c>
      <c r="M954" s="673">
        <f t="shared" si="69"/>
        <v>0</v>
      </c>
      <c r="N954" s="1332">
        <v>0.2</v>
      </c>
      <c r="O954" s="1333" t="str">
        <f t="shared" si="70"/>
        <v/>
      </c>
      <c r="P954" s="1573"/>
    </row>
    <row r="955" spans="2:16">
      <c r="B955" s="1390"/>
      <c r="C955" s="798"/>
      <c r="D955" s="678"/>
      <c r="E955" s="680"/>
      <c r="F955" s="679"/>
      <c r="G955" s="677"/>
      <c r="H955" s="677"/>
      <c r="I955" s="677"/>
      <c r="J955" s="1605">
        <f t="shared" si="67"/>
        <v>0</v>
      </c>
      <c r="K955" s="675"/>
      <c r="L955" s="1605">
        <f t="shared" si="68"/>
        <v>0</v>
      </c>
      <c r="M955" s="673">
        <f t="shared" si="69"/>
        <v>0</v>
      </c>
      <c r="N955" s="1332">
        <v>0.2</v>
      </c>
      <c r="O955" s="1333" t="str">
        <f t="shared" si="70"/>
        <v/>
      </c>
      <c r="P955" s="1573"/>
    </row>
    <row r="956" spans="2:16">
      <c r="B956" s="1390"/>
      <c r="C956" s="798"/>
      <c r="D956" s="678"/>
      <c r="E956" s="680"/>
      <c r="F956" s="679"/>
      <c r="G956" s="677"/>
      <c r="H956" s="677"/>
      <c r="I956" s="677"/>
      <c r="J956" s="1605">
        <f t="shared" si="67"/>
        <v>0</v>
      </c>
      <c r="K956" s="675"/>
      <c r="L956" s="1605">
        <f t="shared" si="68"/>
        <v>0</v>
      </c>
      <c r="M956" s="673">
        <f t="shared" si="69"/>
        <v>0</v>
      </c>
      <c r="N956" s="1332">
        <v>0.2</v>
      </c>
      <c r="O956" s="1333" t="str">
        <f t="shared" si="70"/>
        <v/>
      </c>
      <c r="P956" s="1573"/>
    </row>
    <row r="957" spans="2:16">
      <c r="B957" s="1390"/>
      <c r="C957" s="798"/>
      <c r="D957" s="678"/>
      <c r="E957" s="680"/>
      <c r="F957" s="679"/>
      <c r="G957" s="677"/>
      <c r="H957" s="677"/>
      <c r="I957" s="677"/>
      <c r="J957" s="1605">
        <f t="shared" si="67"/>
        <v>0</v>
      </c>
      <c r="K957" s="675"/>
      <c r="L957" s="1605">
        <f t="shared" si="68"/>
        <v>0</v>
      </c>
      <c r="M957" s="673">
        <f t="shared" si="69"/>
        <v>0</v>
      </c>
      <c r="N957" s="1332">
        <v>0.2</v>
      </c>
      <c r="O957" s="1333" t="str">
        <f t="shared" si="70"/>
        <v/>
      </c>
      <c r="P957" s="1573"/>
    </row>
    <row r="958" spans="2:16">
      <c r="B958" s="1390"/>
      <c r="C958" s="798"/>
      <c r="D958" s="678"/>
      <c r="E958" s="680"/>
      <c r="F958" s="679"/>
      <c r="G958" s="677"/>
      <c r="H958" s="677"/>
      <c r="I958" s="677"/>
      <c r="J958" s="1605">
        <f t="shared" si="67"/>
        <v>0</v>
      </c>
      <c r="K958" s="675"/>
      <c r="L958" s="1605">
        <f t="shared" si="68"/>
        <v>0</v>
      </c>
      <c r="M958" s="673">
        <f t="shared" si="69"/>
        <v>0</v>
      </c>
      <c r="N958" s="1332">
        <v>0.2</v>
      </c>
      <c r="O958" s="1333" t="str">
        <f t="shared" si="70"/>
        <v/>
      </c>
      <c r="P958" s="1573"/>
    </row>
    <row r="959" spans="2:16">
      <c r="B959" s="1390"/>
      <c r="C959" s="798"/>
      <c r="D959" s="678"/>
      <c r="E959" s="680"/>
      <c r="F959" s="679"/>
      <c r="G959" s="677"/>
      <c r="H959" s="677"/>
      <c r="I959" s="677"/>
      <c r="J959" s="1605">
        <f t="shared" si="67"/>
        <v>0</v>
      </c>
      <c r="K959" s="675"/>
      <c r="L959" s="1605">
        <f t="shared" si="68"/>
        <v>0</v>
      </c>
      <c r="M959" s="673">
        <f t="shared" si="69"/>
        <v>0</v>
      </c>
      <c r="N959" s="1332">
        <v>0.2</v>
      </c>
      <c r="O959" s="1333" t="str">
        <f t="shared" si="70"/>
        <v/>
      </c>
      <c r="P959" s="1573"/>
    </row>
    <row r="960" spans="2:16">
      <c r="B960" s="1390"/>
      <c r="C960" s="798"/>
      <c r="D960" s="678"/>
      <c r="E960" s="680"/>
      <c r="F960" s="679"/>
      <c r="G960" s="677"/>
      <c r="H960" s="677"/>
      <c r="I960" s="677"/>
      <c r="J960" s="1605">
        <f t="shared" si="67"/>
        <v>0</v>
      </c>
      <c r="K960" s="675"/>
      <c r="L960" s="1605">
        <f t="shared" si="68"/>
        <v>0</v>
      </c>
      <c r="M960" s="673">
        <f t="shared" si="69"/>
        <v>0</v>
      </c>
      <c r="N960" s="1332">
        <v>0.2</v>
      </c>
      <c r="O960" s="1333" t="str">
        <f t="shared" si="70"/>
        <v/>
      </c>
      <c r="P960" s="1573"/>
    </row>
    <row r="961" spans="2:16">
      <c r="B961" s="1390"/>
      <c r="C961" s="798"/>
      <c r="D961" s="678"/>
      <c r="E961" s="680"/>
      <c r="F961" s="679"/>
      <c r="G961" s="677"/>
      <c r="H961" s="677"/>
      <c r="I961" s="677"/>
      <c r="J961" s="1605">
        <f t="shared" si="67"/>
        <v>0</v>
      </c>
      <c r="K961" s="675"/>
      <c r="L961" s="1605">
        <f t="shared" si="68"/>
        <v>0</v>
      </c>
      <c r="M961" s="673">
        <f t="shared" si="69"/>
        <v>0</v>
      </c>
      <c r="N961" s="1332">
        <v>0.2</v>
      </c>
      <c r="O961" s="1333" t="str">
        <f t="shared" si="70"/>
        <v/>
      </c>
      <c r="P961" s="1573"/>
    </row>
    <row r="962" spans="2:16">
      <c r="B962" s="1390"/>
      <c r="C962" s="798"/>
      <c r="D962" s="678"/>
      <c r="E962" s="680"/>
      <c r="F962" s="679"/>
      <c r="G962" s="677"/>
      <c r="H962" s="677"/>
      <c r="I962" s="677"/>
      <c r="J962" s="1605">
        <f t="shared" si="67"/>
        <v>0</v>
      </c>
      <c r="K962" s="675"/>
      <c r="L962" s="1605">
        <f t="shared" si="68"/>
        <v>0</v>
      </c>
      <c r="M962" s="673">
        <f t="shared" si="69"/>
        <v>0</v>
      </c>
      <c r="N962" s="1332">
        <v>0.2</v>
      </c>
      <c r="O962" s="1333" t="str">
        <f t="shared" si="70"/>
        <v/>
      </c>
      <c r="P962" s="1573"/>
    </row>
    <row r="963" spans="2:16">
      <c r="B963" s="1390"/>
      <c r="C963" s="798"/>
      <c r="D963" s="678"/>
      <c r="E963" s="680"/>
      <c r="F963" s="679"/>
      <c r="G963" s="677"/>
      <c r="H963" s="677"/>
      <c r="I963" s="677"/>
      <c r="J963" s="1605">
        <f t="shared" si="67"/>
        <v>0</v>
      </c>
      <c r="K963" s="675"/>
      <c r="L963" s="1605">
        <f t="shared" si="68"/>
        <v>0</v>
      </c>
      <c r="M963" s="673">
        <f t="shared" si="69"/>
        <v>0</v>
      </c>
      <c r="N963" s="1332">
        <v>0.2</v>
      </c>
      <c r="O963" s="1333" t="str">
        <f t="shared" si="70"/>
        <v/>
      </c>
      <c r="P963" s="1573"/>
    </row>
    <row r="964" spans="2:16">
      <c r="B964" s="1390"/>
      <c r="C964" s="798"/>
      <c r="D964" s="678"/>
      <c r="E964" s="680"/>
      <c r="F964" s="679"/>
      <c r="G964" s="677"/>
      <c r="H964" s="677"/>
      <c r="I964" s="677"/>
      <c r="J964" s="1605">
        <f t="shared" si="67"/>
        <v>0</v>
      </c>
      <c r="K964" s="675"/>
      <c r="L964" s="1605">
        <f t="shared" si="68"/>
        <v>0</v>
      </c>
      <c r="M964" s="673">
        <f t="shared" si="69"/>
        <v>0</v>
      </c>
      <c r="N964" s="1332">
        <v>0.2</v>
      </c>
      <c r="O964" s="1333" t="str">
        <f t="shared" si="70"/>
        <v/>
      </c>
      <c r="P964" s="1573"/>
    </row>
    <row r="965" spans="2:16">
      <c r="B965" s="1390"/>
      <c r="C965" s="798"/>
      <c r="D965" s="678"/>
      <c r="E965" s="680"/>
      <c r="F965" s="679"/>
      <c r="G965" s="677"/>
      <c r="H965" s="677"/>
      <c r="I965" s="677"/>
      <c r="J965" s="1605">
        <f t="shared" si="67"/>
        <v>0</v>
      </c>
      <c r="K965" s="675"/>
      <c r="L965" s="1605">
        <f t="shared" si="68"/>
        <v>0</v>
      </c>
      <c r="M965" s="673">
        <f t="shared" si="69"/>
        <v>0</v>
      </c>
      <c r="N965" s="1332">
        <v>0.2</v>
      </c>
      <c r="O965" s="1333" t="str">
        <f t="shared" si="70"/>
        <v/>
      </c>
      <c r="P965" s="1573"/>
    </row>
    <row r="966" spans="2:16">
      <c r="B966" s="1390"/>
      <c r="C966" s="798"/>
      <c r="D966" s="678"/>
      <c r="E966" s="680"/>
      <c r="F966" s="679"/>
      <c r="G966" s="677"/>
      <c r="H966" s="677"/>
      <c r="I966" s="677"/>
      <c r="J966" s="1605">
        <f t="shared" si="67"/>
        <v>0</v>
      </c>
      <c r="K966" s="675"/>
      <c r="L966" s="1605">
        <f t="shared" si="68"/>
        <v>0</v>
      </c>
      <c r="M966" s="673">
        <f t="shared" si="69"/>
        <v>0</v>
      </c>
      <c r="N966" s="1332">
        <v>0.2</v>
      </c>
      <c r="O966" s="1333" t="str">
        <f t="shared" si="70"/>
        <v/>
      </c>
      <c r="P966" s="1573"/>
    </row>
    <row r="967" spans="2:16">
      <c r="B967" s="1390"/>
      <c r="C967" s="798"/>
      <c r="D967" s="678"/>
      <c r="E967" s="680"/>
      <c r="F967" s="679"/>
      <c r="G967" s="677"/>
      <c r="H967" s="677"/>
      <c r="I967" s="677"/>
      <c r="J967" s="1605">
        <f t="shared" si="67"/>
        <v>0</v>
      </c>
      <c r="K967" s="675"/>
      <c r="L967" s="1605">
        <f t="shared" si="68"/>
        <v>0</v>
      </c>
      <c r="M967" s="673">
        <f t="shared" si="69"/>
        <v>0</v>
      </c>
      <c r="N967" s="1332">
        <v>0.2</v>
      </c>
      <c r="O967" s="1333" t="str">
        <f t="shared" si="70"/>
        <v/>
      </c>
      <c r="P967" s="1573"/>
    </row>
    <row r="968" spans="2:16">
      <c r="B968" s="1390"/>
      <c r="C968" s="798"/>
      <c r="D968" s="678"/>
      <c r="E968" s="680"/>
      <c r="F968" s="679"/>
      <c r="G968" s="677"/>
      <c r="H968" s="677"/>
      <c r="I968" s="677"/>
      <c r="J968" s="1605">
        <f t="shared" si="67"/>
        <v>0</v>
      </c>
      <c r="K968" s="675"/>
      <c r="L968" s="1605">
        <f t="shared" si="68"/>
        <v>0</v>
      </c>
      <c r="M968" s="673">
        <f t="shared" si="69"/>
        <v>0</v>
      </c>
      <c r="N968" s="1332">
        <v>0.2</v>
      </c>
      <c r="O968" s="1333" t="str">
        <f t="shared" si="70"/>
        <v/>
      </c>
      <c r="P968" s="1573"/>
    </row>
    <row r="969" spans="2:16">
      <c r="B969" s="1390"/>
      <c r="C969" s="798"/>
      <c r="D969" s="678"/>
      <c r="E969" s="680"/>
      <c r="F969" s="679"/>
      <c r="G969" s="677"/>
      <c r="H969" s="677"/>
      <c r="I969" s="677"/>
      <c r="J969" s="1605">
        <f t="shared" si="67"/>
        <v>0</v>
      </c>
      <c r="K969" s="675"/>
      <c r="L969" s="1605">
        <f t="shared" si="68"/>
        <v>0</v>
      </c>
      <c r="M969" s="673">
        <f t="shared" si="69"/>
        <v>0</v>
      </c>
      <c r="N969" s="1332">
        <v>0.2</v>
      </c>
      <c r="O969" s="1333" t="str">
        <f t="shared" si="70"/>
        <v/>
      </c>
      <c r="P969" s="1573"/>
    </row>
    <row r="970" spans="2:16">
      <c r="B970" s="1390"/>
      <c r="C970" s="798"/>
      <c r="D970" s="678"/>
      <c r="E970" s="680"/>
      <c r="F970" s="679"/>
      <c r="G970" s="677"/>
      <c r="H970" s="677"/>
      <c r="I970" s="677"/>
      <c r="J970" s="1605">
        <f t="shared" si="67"/>
        <v>0</v>
      </c>
      <c r="K970" s="675"/>
      <c r="L970" s="1605">
        <f t="shared" si="68"/>
        <v>0</v>
      </c>
      <c r="M970" s="673">
        <f t="shared" si="69"/>
        <v>0</v>
      </c>
      <c r="N970" s="1332">
        <v>0.2</v>
      </c>
      <c r="O970" s="1333" t="str">
        <f t="shared" si="70"/>
        <v/>
      </c>
      <c r="P970" s="1573"/>
    </row>
    <row r="971" spans="2:16">
      <c r="B971" s="1390"/>
      <c r="C971" s="798"/>
      <c r="D971" s="678"/>
      <c r="E971" s="680"/>
      <c r="F971" s="679"/>
      <c r="G971" s="677"/>
      <c r="H971" s="677"/>
      <c r="I971" s="677"/>
      <c r="J971" s="1605">
        <f t="shared" si="67"/>
        <v>0</v>
      </c>
      <c r="K971" s="675"/>
      <c r="L971" s="1605">
        <f t="shared" si="68"/>
        <v>0</v>
      </c>
      <c r="M971" s="673">
        <f t="shared" si="69"/>
        <v>0</v>
      </c>
      <c r="N971" s="1332">
        <v>0.2</v>
      </c>
      <c r="O971" s="1333" t="str">
        <f t="shared" si="70"/>
        <v/>
      </c>
      <c r="P971" s="1573"/>
    </row>
    <row r="972" spans="2:16">
      <c r="B972" s="1390"/>
      <c r="C972" s="798"/>
      <c r="D972" s="678"/>
      <c r="E972" s="680"/>
      <c r="F972" s="679"/>
      <c r="G972" s="677"/>
      <c r="H972" s="677"/>
      <c r="I972" s="677"/>
      <c r="J972" s="1605">
        <f t="shared" si="67"/>
        <v>0</v>
      </c>
      <c r="K972" s="675"/>
      <c r="L972" s="1605">
        <f t="shared" si="68"/>
        <v>0</v>
      </c>
      <c r="M972" s="673">
        <f t="shared" si="69"/>
        <v>0</v>
      </c>
      <c r="N972" s="1332">
        <v>0.2</v>
      </c>
      <c r="O972" s="1333" t="str">
        <f t="shared" si="70"/>
        <v/>
      </c>
      <c r="P972" s="1573"/>
    </row>
    <row r="973" spans="2:16">
      <c r="B973" s="1390"/>
      <c r="C973" s="798"/>
      <c r="D973" s="678"/>
      <c r="E973" s="680"/>
      <c r="F973" s="679"/>
      <c r="G973" s="677"/>
      <c r="H973" s="677"/>
      <c r="I973" s="677"/>
      <c r="J973" s="1605">
        <f t="shared" si="67"/>
        <v>0</v>
      </c>
      <c r="K973" s="675"/>
      <c r="L973" s="1605">
        <f t="shared" si="68"/>
        <v>0</v>
      </c>
      <c r="M973" s="673">
        <f t="shared" si="69"/>
        <v>0</v>
      </c>
      <c r="N973" s="1332">
        <v>0.2</v>
      </c>
      <c r="O973" s="1333" t="str">
        <f t="shared" si="70"/>
        <v/>
      </c>
      <c r="P973" s="1573"/>
    </row>
    <row r="974" spans="2:16">
      <c r="B974" s="1390"/>
      <c r="C974" s="798"/>
      <c r="D974" s="678"/>
      <c r="E974" s="680"/>
      <c r="F974" s="679"/>
      <c r="G974" s="677"/>
      <c r="H974" s="677"/>
      <c r="I974" s="677"/>
      <c r="J974" s="1605">
        <f t="shared" si="67"/>
        <v>0</v>
      </c>
      <c r="K974" s="675"/>
      <c r="L974" s="1605">
        <f t="shared" si="68"/>
        <v>0</v>
      </c>
      <c r="M974" s="673">
        <f t="shared" si="69"/>
        <v>0</v>
      </c>
      <c r="N974" s="1332">
        <v>0.2</v>
      </c>
      <c r="O974" s="1333" t="str">
        <f t="shared" si="70"/>
        <v/>
      </c>
      <c r="P974" s="1573"/>
    </row>
    <row r="975" spans="2:16">
      <c r="B975" s="1390"/>
      <c r="C975" s="798"/>
      <c r="D975" s="678"/>
      <c r="E975" s="680"/>
      <c r="F975" s="679"/>
      <c r="G975" s="677"/>
      <c r="H975" s="677"/>
      <c r="I975" s="677"/>
      <c r="J975" s="1605">
        <f t="shared" si="67"/>
        <v>0</v>
      </c>
      <c r="K975" s="675"/>
      <c r="L975" s="1605">
        <f t="shared" si="68"/>
        <v>0</v>
      </c>
      <c r="M975" s="673">
        <f t="shared" si="69"/>
        <v>0</v>
      </c>
      <c r="N975" s="1332">
        <v>0.2</v>
      </c>
      <c r="O975" s="1333" t="str">
        <f t="shared" si="70"/>
        <v/>
      </c>
      <c r="P975" s="1573"/>
    </row>
    <row r="976" spans="2:16">
      <c r="B976" s="1390"/>
      <c r="C976" s="798"/>
      <c r="D976" s="678"/>
      <c r="E976" s="680"/>
      <c r="F976" s="679"/>
      <c r="G976" s="677"/>
      <c r="H976" s="677"/>
      <c r="I976" s="677"/>
      <c r="J976" s="1605">
        <f t="shared" si="67"/>
        <v>0</v>
      </c>
      <c r="K976" s="675"/>
      <c r="L976" s="1605">
        <f t="shared" si="68"/>
        <v>0</v>
      </c>
      <c r="M976" s="673">
        <f t="shared" si="69"/>
        <v>0</v>
      </c>
      <c r="N976" s="1332">
        <v>0.2</v>
      </c>
      <c r="O976" s="1333" t="str">
        <f t="shared" si="70"/>
        <v/>
      </c>
      <c r="P976" s="1573"/>
    </row>
    <row r="977" spans="2:16">
      <c r="B977" s="1390"/>
      <c r="C977" s="798"/>
      <c r="D977" s="678"/>
      <c r="E977" s="680"/>
      <c r="F977" s="679"/>
      <c r="G977" s="677"/>
      <c r="H977" s="677"/>
      <c r="I977" s="677"/>
      <c r="J977" s="1605">
        <f t="shared" si="67"/>
        <v>0</v>
      </c>
      <c r="K977" s="675"/>
      <c r="L977" s="1605">
        <f t="shared" si="68"/>
        <v>0</v>
      </c>
      <c r="M977" s="673">
        <f t="shared" si="69"/>
        <v>0</v>
      </c>
      <c r="N977" s="1332">
        <v>0.2</v>
      </c>
      <c r="O977" s="1333" t="str">
        <f t="shared" si="70"/>
        <v/>
      </c>
      <c r="P977" s="1573"/>
    </row>
    <row r="978" spans="2:16">
      <c r="B978" s="1390"/>
      <c r="C978" s="798"/>
      <c r="D978" s="678"/>
      <c r="E978" s="680"/>
      <c r="F978" s="679"/>
      <c r="G978" s="677"/>
      <c r="H978" s="677"/>
      <c r="I978" s="677"/>
      <c r="J978" s="1605">
        <f t="shared" si="67"/>
        <v>0</v>
      </c>
      <c r="K978" s="675"/>
      <c r="L978" s="1605">
        <f t="shared" si="68"/>
        <v>0</v>
      </c>
      <c r="M978" s="673">
        <f t="shared" si="69"/>
        <v>0</v>
      </c>
      <c r="N978" s="1332">
        <v>0.2</v>
      </c>
      <c r="O978" s="1333" t="str">
        <f t="shared" si="70"/>
        <v/>
      </c>
      <c r="P978" s="1573"/>
    </row>
    <row r="979" spans="2:16">
      <c r="B979" s="1390"/>
      <c r="C979" s="798"/>
      <c r="D979" s="678"/>
      <c r="E979" s="680"/>
      <c r="F979" s="679"/>
      <c r="G979" s="677"/>
      <c r="H979" s="677"/>
      <c r="I979" s="677"/>
      <c r="J979" s="1605">
        <f t="shared" si="67"/>
        <v>0</v>
      </c>
      <c r="K979" s="675"/>
      <c r="L979" s="1605">
        <f t="shared" si="68"/>
        <v>0</v>
      </c>
      <c r="M979" s="673">
        <f t="shared" si="69"/>
        <v>0</v>
      </c>
      <c r="N979" s="1332">
        <v>0.2</v>
      </c>
      <c r="O979" s="1333" t="str">
        <f t="shared" si="70"/>
        <v/>
      </c>
      <c r="P979" s="1573"/>
    </row>
    <row r="980" spans="2:16">
      <c r="B980" s="1390"/>
      <c r="C980" s="798"/>
      <c r="D980" s="678"/>
      <c r="E980" s="680"/>
      <c r="F980" s="679"/>
      <c r="G980" s="677"/>
      <c r="H980" s="677"/>
      <c r="I980" s="677"/>
      <c r="J980" s="1605">
        <f t="shared" si="67"/>
        <v>0</v>
      </c>
      <c r="K980" s="675"/>
      <c r="L980" s="1605">
        <f t="shared" si="68"/>
        <v>0</v>
      </c>
      <c r="M980" s="673">
        <f t="shared" si="69"/>
        <v>0</v>
      </c>
      <c r="N980" s="1332">
        <v>0.2</v>
      </c>
      <c r="O980" s="1333" t="str">
        <f t="shared" si="70"/>
        <v/>
      </c>
      <c r="P980" s="1573"/>
    </row>
    <row r="981" spans="2:16">
      <c r="B981" s="1390"/>
      <c r="C981" s="798"/>
      <c r="D981" s="678"/>
      <c r="E981" s="680"/>
      <c r="F981" s="679"/>
      <c r="G981" s="677"/>
      <c r="H981" s="677"/>
      <c r="I981" s="677"/>
      <c r="J981" s="1605">
        <f t="shared" si="67"/>
        <v>0</v>
      </c>
      <c r="K981" s="675"/>
      <c r="L981" s="1605">
        <f t="shared" si="68"/>
        <v>0</v>
      </c>
      <c r="M981" s="673">
        <f t="shared" si="69"/>
        <v>0</v>
      </c>
      <c r="N981" s="1332">
        <v>0.2</v>
      </c>
      <c r="O981" s="1333" t="str">
        <f t="shared" si="70"/>
        <v/>
      </c>
      <c r="P981" s="1573"/>
    </row>
    <row r="982" spans="2:16">
      <c r="B982" s="1390"/>
      <c r="C982" s="798"/>
      <c r="D982" s="678"/>
      <c r="E982" s="680"/>
      <c r="F982" s="679"/>
      <c r="G982" s="677"/>
      <c r="H982" s="677"/>
      <c r="I982" s="677"/>
      <c r="J982" s="1605">
        <f t="shared" si="67"/>
        <v>0</v>
      </c>
      <c r="K982" s="675"/>
      <c r="L982" s="1605">
        <f t="shared" si="68"/>
        <v>0</v>
      </c>
      <c r="M982" s="673">
        <f t="shared" si="69"/>
        <v>0</v>
      </c>
      <c r="N982" s="1332">
        <v>0.2</v>
      </c>
      <c r="O982" s="1333" t="str">
        <f t="shared" si="70"/>
        <v/>
      </c>
      <c r="P982" s="1573"/>
    </row>
    <row r="983" spans="2:16">
      <c r="B983" s="1390"/>
      <c r="C983" s="798"/>
      <c r="D983" s="678"/>
      <c r="E983" s="680"/>
      <c r="F983" s="679"/>
      <c r="G983" s="677"/>
      <c r="H983" s="677"/>
      <c r="I983" s="677"/>
      <c r="J983" s="1605">
        <f t="shared" si="67"/>
        <v>0</v>
      </c>
      <c r="K983" s="675"/>
      <c r="L983" s="1605">
        <f t="shared" si="68"/>
        <v>0</v>
      </c>
      <c r="M983" s="673">
        <f t="shared" si="69"/>
        <v>0</v>
      </c>
      <c r="N983" s="1332">
        <v>0.2</v>
      </c>
      <c r="O983" s="1333" t="str">
        <f t="shared" si="70"/>
        <v/>
      </c>
      <c r="P983" s="1573"/>
    </row>
    <row r="984" spans="2:16">
      <c r="B984" s="1390"/>
      <c r="C984" s="798"/>
      <c r="D984" s="678"/>
      <c r="E984" s="680"/>
      <c r="F984" s="679"/>
      <c r="G984" s="677"/>
      <c r="H984" s="677"/>
      <c r="I984" s="677"/>
      <c r="J984" s="1605">
        <f t="shared" si="67"/>
        <v>0</v>
      </c>
      <c r="K984" s="675"/>
      <c r="L984" s="1605">
        <f t="shared" si="68"/>
        <v>0</v>
      </c>
      <c r="M984" s="673">
        <f t="shared" si="69"/>
        <v>0</v>
      </c>
      <c r="N984" s="1332">
        <v>0.2</v>
      </c>
      <c r="O984" s="1333" t="str">
        <f t="shared" si="70"/>
        <v/>
      </c>
      <c r="P984" s="1573"/>
    </row>
    <row r="985" spans="2:16">
      <c r="B985" s="1390"/>
      <c r="C985" s="798"/>
      <c r="D985" s="678"/>
      <c r="E985" s="680"/>
      <c r="F985" s="679"/>
      <c r="G985" s="677"/>
      <c r="H985" s="677"/>
      <c r="I985" s="677"/>
      <c r="J985" s="1605">
        <f t="shared" si="67"/>
        <v>0</v>
      </c>
      <c r="K985" s="675"/>
      <c r="L985" s="1605">
        <f t="shared" si="68"/>
        <v>0</v>
      </c>
      <c r="M985" s="673">
        <f t="shared" si="69"/>
        <v>0</v>
      </c>
      <c r="N985" s="1332">
        <v>0.2</v>
      </c>
      <c r="O985" s="1333" t="str">
        <f t="shared" si="70"/>
        <v/>
      </c>
      <c r="P985" s="1573"/>
    </row>
    <row r="986" spans="2:16">
      <c r="B986" s="1390"/>
      <c r="C986" s="798"/>
      <c r="D986" s="678"/>
      <c r="E986" s="680"/>
      <c r="F986" s="679"/>
      <c r="G986" s="677"/>
      <c r="H986" s="677"/>
      <c r="I986" s="677"/>
      <c r="J986" s="1605">
        <f t="shared" si="67"/>
        <v>0</v>
      </c>
      <c r="K986" s="675"/>
      <c r="L986" s="1605">
        <f t="shared" si="68"/>
        <v>0</v>
      </c>
      <c r="M986" s="673">
        <f t="shared" si="69"/>
        <v>0</v>
      </c>
      <c r="N986" s="1332">
        <v>0.2</v>
      </c>
      <c r="O986" s="1333" t="str">
        <f t="shared" si="70"/>
        <v/>
      </c>
      <c r="P986" s="1573"/>
    </row>
    <row r="987" spans="2:16">
      <c r="B987" s="1390"/>
      <c r="C987" s="798"/>
      <c r="D987" s="678"/>
      <c r="E987" s="680"/>
      <c r="F987" s="679"/>
      <c r="G987" s="677"/>
      <c r="H987" s="677"/>
      <c r="I987" s="677"/>
      <c r="J987" s="1605">
        <f t="shared" si="67"/>
        <v>0</v>
      </c>
      <c r="K987" s="675"/>
      <c r="L987" s="1605">
        <f t="shared" si="68"/>
        <v>0</v>
      </c>
      <c r="M987" s="673">
        <f t="shared" si="69"/>
        <v>0</v>
      </c>
      <c r="N987" s="1332">
        <v>0.2</v>
      </c>
      <c r="O987" s="1333" t="str">
        <f t="shared" si="70"/>
        <v/>
      </c>
      <c r="P987" s="1573"/>
    </row>
    <row r="988" spans="2:16">
      <c r="B988" s="1390"/>
      <c r="C988" s="798"/>
      <c r="D988" s="678"/>
      <c r="E988" s="680"/>
      <c r="F988" s="679"/>
      <c r="G988" s="677"/>
      <c r="H988" s="677"/>
      <c r="I988" s="677"/>
      <c r="J988" s="1605">
        <f t="shared" si="67"/>
        <v>0</v>
      </c>
      <c r="K988" s="675"/>
      <c r="L988" s="1605">
        <f t="shared" si="68"/>
        <v>0</v>
      </c>
      <c r="M988" s="673">
        <f t="shared" si="69"/>
        <v>0</v>
      </c>
      <c r="N988" s="1332">
        <v>0.2</v>
      </c>
      <c r="O988" s="1333" t="str">
        <f t="shared" si="70"/>
        <v/>
      </c>
      <c r="P988" s="1573"/>
    </row>
    <row r="989" spans="2:16">
      <c r="B989" s="1390"/>
      <c r="C989" s="798"/>
      <c r="D989" s="678"/>
      <c r="E989" s="680"/>
      <c r="F989" s="679"/>
      <c r="G989" s="677"/>
      <c r="H989" s="677"/>
      <c r="I989" s="677"/>
      <c r="J989" s="1605">
        <f t="shared" si="67"/>
        <v>0</v>
      </c>
      <c r="K989" s="675"/>
      <c r="L989" s="1605">
        <f t="shared" si="68"/>
        <v>0</v>
      </c>
      <c r="M989" s="673">
        <f t="shared" si="69"/>
        <v>0</v>
      </c>
      <c r="N989" s="1332">
        <v>0.2</v>
      </c>
      <c r="O989" s="1333" t="str">
        <f t="shared" si="70"/>
        <v/>
      </c>
      <c r="P989" s="1573"/>
    </row>
    <row r="990" spans="2:16">
      <c r="B990" s="1390"/>
      <c r="C990" s="798"/>
      <c r="D990" s="678"/>
      <c r="E990" s="680"/>
      <c r="F990" s="679"/>
      <c r="G990" s="677"/>
      <c r="H990" s="677"/>
      <c r="I990" s="677"/>
      <c r="J990" s="1605">
        <f t="shared" si="67"/>
        <v>0</v>
      </c>
      <c r="K990" s="675"/>
      <c r="L990" s="1605">
        <f t="shared" si="68"/>
        <v>0</v>
      </c>
      <c r="M990" s="673">
        <f t="shared" si="69"/>
        <v>0</v>
      </c>
      <c r="N990" s="1332">
        <v>0.2</v>
      </c>
      <c r="O990" s="1333" t="str">
        <f t="shared" si="70"/>
        <v/>
      </c>
      <c r="P990" s="1573"/>
    </row>
    <row r="991" spans="2:16">
      <c r="B991" s="1390"/>
      <c r="C991" s="798"/>
      <c r="D991" s="678"/>
      <c r="E991" s="680"/>
      <c r="F991" s="679"/>
      <c r="G991" s="677"/>
      <c r="H991" s="677"/>
      <c r="I991" s="677"/>
      <c r="J991" s="1605">
        <f t="shared" si="67"/>
        <v>0</v>
      </c>
      <c r="K991" s="675"/>
      <c r="L991" s="1605">
        <f t="shared" si="68"/>
        <v>0</v>
      </c>
      <c r="M991" s="673">
        <f t="shared" si="69"/>
        <v>0</v>
      </c>
      <c r="N991" s="1332">
        <v>0.2</v>
      </c>
      <c r="O991" s="1333" t="str">
        <f t="shared" si="70"/>
        <v/>
      </c>
      <c r="P991" s="1573"/>
    </row>
    <row r="992" spans="2:16">
      <c r="B992" s="1390"/>
      <c r="C992" s="798"/>
      <c r="D992" s="678"/>
      <c r="E992" s="680"/>
      <c r="F992" s="679"/>
      <c r="G992" s="677"/>
      <c r="H992" s="677"/>
      <c r="I992" s="677"/>
      <c r="J992" s="1605">
        <f t="shared" si="67"/>
        <v>0</v>
      </c>
      <c r="K992" s="675"/>
      <c r="L992" s="1605">
        <f t="shared" si="68"/>
        <v>0</v>
      </c>
      <c r="M992" s="673">
        <f t="shared" si="69"/>
        <v>0</v>
      </c>
      <c r="N992" s="1332">
        <v>0.2</v>
      </c>
      <c r="O992" s="1333" t="str">
        <f t="shared" si="70"/>
        <v/>
      </c>
      <c r="P992" s="1573"/>
    </row>
    <row r="993" spans="2:18">
      <c r="B993" s="1390"/>
      <c r="C993" s="798"/>
      <c r="D993" s="678"/>
      <c r="E993" s="680"/>
      <c r="F993" s="679"/>
      <c r="G993" s="677"/>
      <c r="H993" s="677"/>
      <c r="I993" s="677"/>
      <c r="J993" s="1605">
        <f t="shared" si="67"/>
        <v>0</v>
      </c>
      <c r="K993" s="675"/>
      <c r="L993" s="1605">
        <f t="shared" si="68"/>
        <v>0</v>
      </c>
      <c r="M993" s="673">
        <f t="shared" si="69"/>
        <v>0</v>
      </c>
      <c r="N993" s="1332">
        <v>0.2</v>
      </c>
      <c r="O993" s="1333" t="str">
        <f t="shared" si="70"/>
        <v/>
      </c>
      <c r="P993" s="1573"/>
    </row>
    <row r="994" spans="2:18">
      <c r="B994" s="1390"/>
      <c r="C994" s="798"/>
      <c r="D994" s="678"/>
      <c r="E994" s="680"/>
      <c r="F994" s="679"/>
      <c r="G994" s="677"/>
      <c r="H994" s="677"/>
      <c r="I994" s="677"/>
      <c r="J994" s="1605">
        <f t="shared" si="67"/>
        <v>0</v>
      </c>
      <c r="K994" s="675"/>
      <c r="L994" s="1605">
        <f t="shared" si="68"/>
        <v>0</v>
      </c>
      <c r="M994" s="673">
        <f t="shared" si="69"/>
        <v>0</v>
      </c>
      <c r="N994" s="1332">
        <v>0.2</v>
      </c>
      <c r="O994" s="1333" t="str">
        <f t="shared" si="70"/>
        <v/>
      </c>
      <c r="P994" s="1573"/>
    </row>
    <row r="995" spans="2:18">
      <c r="B995" s="1390"/>
      <c r="C995" s="798"/>
      <c r="D995" s="678"/>
      <c r="E995" s="680"/>
      <c r="F995" s="679"/>
      <c r="G995" s="677"/>
      <c r="H995" s="677"/>
      <c r="I995" s="677"/>
      <c r="J995" s="1605">
        <f t="shared" si="67"/>
        <v>0</v>
      </c>
      <c r="K995" s="675"/>
      <c r="L995" s="1605">
        <f t="shared" si="68"/>
        <v>0</v>
      </c>
      <c r="M995" s="673">
        <f t="shared" si="69"/>
        <v>0</v>
      </c>
      <c r="N995" s="1332">
        <v>0.2</v>
      </c>
      <c r="O995" s="1333" t="str">
        <f t="shared" si="70"/>
        <v/>
      </c>
      <c r="P995" s="1573"/>
    </row>
    <row r="996" spans="2:18">
      <c r="B996" s="1390"/>
      <c r="C996" s="798"/>
      <c r="D996" s="678"/>
      <c r="E996" s="680"/>
      <c r="F996" s="679"/>
      <c r="G996" s="677"/>
      <c r="H996" s="677"/>
      <c r="I996" s="677"/>
      <c r="J996" s="1605">
        <f t="shared" si="67"/>
        <v>0</v>
      </c>
      <c r="K996" s="675"/>
      <c r="L996" s="1605">
        <f t="shared" si="68"/>
        <v>0</v>
      </c>
      <c r="M996" s="673">
        <f t="shared" si="69"/>
        <v>0</v>
      </c>
      <c r="N996" s="1332">
        <v>0.2</v>
      </c>
      <c r="O996" s="1333" t="str">
        <f t="shared" si="70"/>
        <v/>
      </c>
      <c r="P996" s="1573"/>
    </row>
    <row r="997" spans="2:18">
      <c r="B997" s="1390"/>
      <c r="C997" s="798"/>
      <c r="D997" s="678"/>
      <c r="E997" s="680"/>
      <c r="F997" s="679"/>
      <c r="G997" s="677"/>
      <c r="H997" s="677"/>
      <c r="I997" s="677"/>
      <c r="J997" s="1605">
        <f t="shared" si="67"/>
        <v>0</v>
      </c>
      <c r="K997" s="675"/>
      <c r="L997" s="1605">
        <f t="shared" si="68"/>
        <v>0</v>
      </c>
      <c r="M997" s="673">
        <f t="shared" si="69"/>
        <v>0</v>
      </c>
      <c r="N997" s="1332">
        <v>0.2</v>
      </c>
      <c r="O997" s="1333" t="str">
        <f t="shared" si="70"/>
        <v/>
      </c>
      <c r="P997" s="1573"/>
    </row>
    <row r="998" spans="2:18">
      <c r="B998" s="1390"/>
      <c r="C998" s="798"/>
      <c r="D998" s="678"/>
      <c r="E998" s="680"/>
      <c r="F998" s="679"/>
      <c r="G998" s="677"/>
      <c r="H998" s="677"/>
      <c r="I998" s="677"/>
      <c r="J998" s="1605">
        <f t="shared" si="67"/>
        <v>0</v>
      </c>
      <c r="K998" s="675"/>
      <c r="L998" s="1605">
        <f t="shared" si="68"/>
        <v>0</v>
      </c>
      <c r="M998" s="673">
        <f t="shared" si="69"/>
        <v>0</v>
      </c>
      <c r="N998" s="1332">
        <v>0.2</v>
      </c>
      <c r="O998" s="1333" t="str">
        <f t="shared" si="70"/>
        <v/>
      </c>
      <c r="P998" s="1573"/>
    </row>
    <row r="999" spans="2:18">
      <c r="B999" s="1390"/>
      <c r="C999" s="798"/>
      <c r="D999" s="678"/>
      <c r="E999" s="680"/>
      <c r="F999" s="679"/>
      <c r="G999" s="677"/>
      <c r="H999" s="677"/>
      <c r="I999" s="677"/>
      <c r="J999" s="1605">
        <f t="shared" si="67"/>
        <v>0</v>
      </c>
      <c r="K999" s="675"/>
      <c r="L999" s="1605">
        <f t="shared" si="68"/>
        <v>0</v>
      </c>
      <c r="M999" s="673">
        <f t="shared" si="69"/>
        <v>0</v>
      </c>
      <c r="N999" s="1332">
        <v>0.2</v>
      </c>
      <c r="O999" s="1333" t="str">
        <f t="shared" si="70"/>
        <v/>
      </c>
      <c r="P999" s="1573"/>
    </row>
    <row r="1000" spans="2:18">
      <c r="B1000" s="1390"/>
      <c r="C1000" s="798"/>
      <c r="D1000" s="678"/>
      <c r="E1000" s="680"/>
      <c r="F1000" s="679"/>
      <c r="G1000" s="677"/>
      <c r="H1000" s="677"/>
      <c r="I1000" s="677"/>
      <c r="J1000" s="1605">
        <f t="shared" si="7"/>
        <v>0</v>
      </c>
      <c r="K1000" s="675"/>
      <c r="L1000" s="1605">
        <f t="shared" si="8"/>
        <v>0</v>
      </c>
      <c r="M1000" s="673">
        <f t="shared" si="9"/>
        <v>0</v>
      </c>
      <c r="N1000" s="1332">
        <v>0.2</v>
      </c>
      <c r="O1000" s="1333" t="str">
        <f t="shared" si="10"/>
        <v/>
      </c>
      <c r="P1000" s="1573"/>
    </row>
    <row r="1001" spans="2:18" ht="13.5" thickBot="1">
      <c r="B1001" s="2579" t="s">
        <v>47</v>
      </c>
      <c r="C1001" s="2580"/>
      <c r="D1001" s="2580"/>
      <c r="E1001" s="2580"/>
      <c r="F1001" s="2581"/>
      <c r="G1001" s="802">
        <f>SUM(G14:G1000)</f>
        <v>0</v>
      </c>
      <c r="H1001" s="802">
        <f>SUM(H14:H1000)</f>
        <v>0</v>
      </c>
      <c r="I1001" s="802">
        <f>SUM(I14:I1000)</f>
        <v>0</v>
      </c>
      <c r="J1001" s="1606">
        <f>SUM(J14:J1000)</f>
        <v>0</v>
      </c>
      <c r="K1001" s="665"/>
      <c r="L1001" s="1606">
        <f>SUM(L14:L1000)</f>
        <v>0</v>
      </c>
      <c r="M1001" s="1334">
        <f>SUM(M14:M1000)</f>
        <v>0</v>
      </c>
      <c r="N1001" s="1334">
        <v>3</v>
      </c>
      <c r="O1001" s="665" t="str">
        <f>IF((M1001-N1001)&gt;0,M1001-N1001,"")</f>
        <v/>
      </c>
      <c r="P1001" s="1574"/>
    </row>
    <row r="1002" spans="2:18" s="681" customFormat="1" ht="13.5" thickTop="1">
      <c r="J1002" s="1599"/>
      <c r="L1002" s="1599"/>
      <c r="P1002" s="1566"/>
    </row>
    <row r="1003" spans="2:18" s="681" customFormat="1">
      <c r="B1003" s="955" t="s">
        <v>465</v>
      </c>
      <c r="C1003" s="955"/>
      <c r="E1003" s="955"/>
      <c r="F1003" s="955"/>
      <c r="J1003" s="1599"/>
      <c r="L1003" s="1599"/>
      <c r="P1003" s="1566"/>
    </row>
    <row r="1004" spans="2:18" s="681" customFormat="1">
      <c r="B1004" s="956" t="s">
        <v>397</v>
      </c>
      <c r="C1004" s="956"/>
      <c r="E1004" s="956"/>
      <c r="F1004" s="956"/>
      <c r="J1004" s="1599"/>
      <c r="L1004" s="1599"/>
      <c r="P1004" s="1566"/>
    </row>
    <row r="1005" spans="2:18" s="681" customFormat="1" ht="21">
      <c r="B1005" s="681" t="s">
        <v>937</v>
      </c>
      <c r="J1005" s="1599"/>
      <c r="K1005" s="957"/>
      <c r="L1005" s="1609"/>
      <c r="M1005" s="2582" t="s">
        <v>48</v>
      </c>
      <c r="N1005" s="2582"/>
      <c r="O1005" s="2582"/>
      <c r="P1005" s="2582"/>
      <c r="Q1005" s="958"/>
      <c r="R1005" s="958"/>
    </row>
    <row r="1006" spans="2:18" s="681" customFormat="1">
      <c r="B1006" s="681" t="s">
        <v>938</v>
      </c>
      <c r="J1006" s="1599"/>
      <c r="L1006" s="1599"/>
      <c r="N1006" s="2578" t="s">
        <v>398</v>
      </c>
      <c r="O1006" s="2578"/>
      <c r="P1006" s="1575"/>
      <c r="Q1006" s="959"/>
      <c r="R1006" s="959"/>
    </row>
    <row r="1007" spans="2:18" s="681" customFormat="1" ht="21">
      <c r="B1007" s="960" t="s">
        <v>939</v>
      </c>
      <c r="C1007" s="960"/>
      <c r="F1007" s="2582" t="s">
        <v>399</v>
      </c>
      <c r="G1007" s="2582"/>
      <c r="I1007" s="957" t="s">
        <v>468</v>
      </c>
      <c r="J1007" s="1599"/>
      <c r="L1007" s="1599"/>
      <c r="N1007" s="2582" t="s">
        <v>469</v>
      </c>
      <c r="O1007" s="2582"/>
      <c r="P1007" s="1566"/>
      <c r="Q1007" s="958"/>
      <c r="R1007" s="958"/>
    </row>
    <row r="1008" spans="2:18" s="681" customFormat="1">
      <c r="B1008" s="681" t="s">
        <v>940</v>
      </c>
      <c r="F1008" s="2578" t="s">
        <v>402</v>
      </c>
      <c r="G1008" s="2578"/>
      <c r="I1008" s="961" t="s">
        <v>497</v>
      </c>
      <c r="J1008" s="1599"/>
      <c r="L1008" s="1599"/>
      <c r="N1008" s="2578" t="s">
        <v>471</v>
      </c>
      <c r="O1008" s="2578"/>
      <c r="P1008" s="1566"/>
      <c r="Q1008" s="959"/>
      <c r="R1008" s="959"/>
    </row>
    <row r="1009" spans="2:16" s="681" customFormat="1">
      <c r="B1009" s="681" t="s">
        <v>941</v>
      </c>
      <c r="J1009" s="1599"/>
      <c r="L1009" s="1599"/>
      <c r="P1009" s="1566"/>
    </row>
    <row r="1010" spans="2:16" s="681" customFormat="1">
      <c r="B1010" s="681" t="s">
        <v>942</v>
      </c>
      <c r="J1010" s="1599"/>
      <c r="L1010" s="1599"/>
      <c r="P1010" s="1566"/>
    </row>
    <row r="1011" spans="2:16" s="681" customFormat="1">
      <c r="B1011" s="681" t="s">
        <v>943</v>
      </c>
      <c r="J1011" s="1599"/>
      <c r="L1011" s="1599"/>
      <c r="P1011" s="1566"/>
    </row>
    <row r="1012" spans="2:16" s="681" customFormat="1">
      <c r="B1012" s="681" t="s">
        <v>944</v>
      </c>
      <c r="J1012" s="1599"/>
      <c r="L1012" s="1599"/>
      <c r="P1012" s="1566"/>
    </row>
    <row r="1013" spans="2:16" s="681" customFormat="1">
      <c r="J1013" s="1599"/>
      <c r="L1013" s="1599"/>
      <c r="P1013" s="1566"/>
    </row>
    <row r="1014" spans="2:16" s="681" customFormat="1">
      <c r="B1014" s="681" t="s">
        <v>1796</v>
      </c>
      <c r="J1014" s="1599"/>
      <c r="L1014" s="1599"/>
      <c r="P1014" s="1566"/>
    </row>
    <row r="1015" spans="2:16" s="681" customFormat="1">
      <c r="J1015" s="1599"/>
      <c r="L1015" s="1599"/>
      <c r="P1015" s="1566"/>
    </row>
    <row r="1016" spans="2:16" s="681" customFormat="1">
      <c r="J1016" s="1599"/>
      <c r="L1016" s="1599"/>
      <c r="P1016" s="1566"/>
    </row>
    <row r="1017" spans="2:16" s="681" customFormat="1">
      <c r="J1017" s="1599"/>
      <c r="L1017" s="1599"/>
      <c r="P1017" s="1566"/>
    </row>
    <row r="1018" spans="2:16" hidden="1"/>
    <row r="1019" spans="2:16" hidden="1"/>
    <row r="1020" spans="2:16" hidden="1"/>
    <row r="1021" spans="2:16" hidden="1"/>
    <row r="1022" spans="2:16" hidden="1"/>
    <row r="1023" spans="2:16" hidden="1"/>
    <row r="1024" spans="2:16"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spans="2:2" hidden="1"/>
    <row r="1042" spans="2:2" hidden="1"/>
    <row r="1043" spans="2:2" hidden="1"/>
    <row r="1044" spans="2:2" hidden="1"/>
    <row r="1045" spans="2:2" hidden="1"/>
    <row r="1046" spans="2:2"/>
    <row r="1047" spans="2:2">
      <c r="B1047" s="662" t="s">
        <v>1877</v>
      </c>
    </row>
    <row r="1048" spans="2:2"/>
    <row r="1049" spans="2:2"/>
    <row r="1050" spans="2:2"/>
    <row r="1051" spans="2:2"/>
    <row r="1052" spans="2:2"/>
    <row r="1053" spans="2:2"/>
    <row r="1054" spans="2:2"/>
    <row r="1055" spans="2:2"/>
    <row r="1056" spans="2:2"/>
    <row r="1057"/>
    <row r="1058"/>
    <row r="1059"/>
    <row r="1060"/>
    <row r="1061"/>
    <row r="1062"/>
    <row r="1063"/>
    <row r="1064"/>
    <row r="1065"/>
    <row r="1066"/>
    <row r="1067"/>
    <row r="1068"/>
    <row r="1069"/>
    <row r="1070"/>
    <row r="1071"/>
    <row r="1072"/>
    <row r="1073"/>
    <row r="1074"/>
    <row r="1075"/>
    <row r="1076"/>
    <row r="1077"/>
    <row r="1078"/>
    <row r="1079"/>
    <row r="1080"/>
    <row r="1081"/>
    <row r="1082"/>
    <row r="1083"/>
    <row r="1084"/>
    <row r="1085"/>
    <row r="1086"/>
    <row r="1087"/>
    <row r="1088"/>
    <row r="1089"/>
    <row r="1090"/>
    <row r="1091"/>
    <row r="1092"/>
    <row r="1093"/>
    <row r="1094"/>
    <row r="1095"/>
    <row r="1096"/>
    <row r="1097"/>
    <row r="1098"/>
    <row r="1099"/>
    <row r="1100"/>
    <row r="1101"/>
    <row r="1102"/>
    <row r="1103"/>
    <row r="1104"/>
    <row r="1105"/>
    <row r="1106"/>
    <row r="1107"/>
    <row r="1108"/>
    <row r="1109"/>
    <row r="1110"/>
    <row r="1111"/>
    <row r="1112"/>
    <row r="1113"/>
    <row r="1114"/>
    <row r="1115"/>
    <row r="1116"/>
    <row r="1117"/>
    <row r="1118"/>
    <row r="1119"/>
    <row r="1120"/>
    <row r="1121"/>
    <row r="1122"/>
    <row r="1123"/>
    <row r="1124"/>
    <row r="1125"/>
    <row r="1126"/>
    <row r="1127"/>
    <row r="1128"/>
    <row r="1129"/>
    <row r="1130"/>
    <row r="1131"/>
    <row r="1132"/>
    <row r="1133"/>
    <row r="1134"/>
    <row r="1135"/>
    <row r="1136"/>
    <row r="1137"/>
    <row r="1138"/>
    <row r="1139"/>
    <row r="1140"/>
    <row r="1141"/>
    <row r="1142"/>
    <row r="1143"/>
    <row r="1144"/>
    <row r="1145"/>
    <row r="1146"/>
    <row r="1147"/>
    <row r="1148"/>
    <row r="1149"/>
    <row r="1150"/>
    <row r="1151"/>
    <row r="1152"/>
    <row r="1153"/>
    <row r="1154"/>
    <row r="1155"/>
    <row r="1156"/>
    <row r="1157"/>
    <row r="1158"/>
    <row r="1159"/>
    <row r="1160"/>
    <row r="1161"/>
    <row r="1162"/>
    <row r="1163"/>
    <row r="1164"/>
    <row r="1165"/>
    <row r="1166"/>
    <row r="1167"/>
    <row r="1168"/>
    <row r="1169"/>
    <row r="1170"/>
    <row r="1171"/>
    <row r="1172"/>
    <row r="1173"/>
    <row r="1174"/>
    <row r="1175"/>
    <row r="1176"/>
    <row r="1177"/>
    <row r="1178"/>
    <row r="1179"/>
    <row r="1180"/>
    <row r="1181"/>
    <row r="1182"/>
    <row r="1183"/>
    <row r="1184"/>
    <row r="1185"/>
    <row r="1186"/>
    <row r="1187"/>
    <row r="1188"/>
    <row r="1189"/>
    <row r="1190"/>
    <row r="1191"/>
    <row r="1192"/>
    <row r="1193"/>
    <row r="1194"/>
    <row r="1195"/>
    <row r="1196"/>
    <row r="1197"/>
    <row r="1198"/>
    <row r="1199"/>
    <row r="1200"/>
    <row r="1201"/>
    <row r="1202"/>
    <row r="1203"/>
    <row r="1204"/>
    <row r="1205"/>
    <row r="1206"/>
    <row r="1207"/>
    <row r="1208"/>
    <row r="1209"/>
    <row r="1210"/>
    <row r="1211"/>
    <row r="1212"/>
    <row r="1213"/>
    <row r="1214"/>
    <row r="1215"/>
    <row r="1216"/>
    <row r="1217"/>
    <row r="1218"/>
    <row r="1219"/>
    <row r="1220"/>
    <row r="1221"/>
    <row r="1222"/>
    <row r="1223"/>
    <row r="1224"/>
    <row r="1225"/>
    <row r="1226"/>
    <row r="1227"/>
    <row r="1228"/>
    <row r="1229"/>
    <row r="1230"/>
    <row r="1231"/>
    <row r="1232"/>
    <row r="1233"/>
    <row r="1234"/>
    <row r="1235"/>
    <row r="1236"/>
    <row r="1237"/>
    <row r="1238"/>
    <row r="1239"/>
    <row r="1240"/>
    <row r="1241"/>
    <row r="1242"/>
    <row r="1243"/>
    <row r="1244"/>
    <row r="1245"/>
    <row r="1246"/>
    <row r="1247"/>
    <row r="1248"/>
    <row r="1249"/>
    <row r="1250"/>
    <row r="1251"/>
    <row r="1252"/>
    <row r="1253"/>
    <row r="1254"/>
    <row r="1255"/>
    <row r="1256"/>
    <row r="1257"/>
    <row r="1258"/>
    <row r="1259"/>
    <row r="1260"/>
    <row r="1261"/>
    <row r="1262"/>
    <row r="1263"/>
    <row r="1264"/>
    <row r="1265"/>
    <row r="1266"/>
    <row r="1267"/>
    <row r="1268"/>
    <row r="1269"/>
    <row r="1270"/>
    <row r="1271"/>
    <row r="1272"/>
    <row r="1273"/>
    <row r="1274"/>
    <row r="1275"/>
    <row r="1276"/>
    <row r="1277"/>
    <row r="1278"/>
    <row r="1279"/>
    <row r="1280"/>
    <row r="1281"/>
    <row r="1282"/>
    <row r="1283"/>
    <row r="1284"/>
    <row r="1285"/>
    <row r="1286"/>
    <row r="1287"/>
    <row r="1288"/>
    <row r="1289"/>
    <row r="1290"/>
    <row r="1291"/>
    <row r="1292"/>
    <row r="1293"/>
    <row r="1294"/>
    <row r="1295"/>
    <row r="1296"/>
    <row r="1297"/>
    <row r="1298"/>
    <row r="1299"/>
    <row r="1300"/>
    <row r="1301"/>
    <row r="1302"/>
    <row r="1303"/>
    <row r="1304"/>
    <row r="1305"/>
    <row r="1306"/>
    <row r="1307"/>
    <row r="1308"/>
    <row r="1309"/>
    <row r="1310"/>
    <row r="1311"/>
    <row r="1312"/>
    <row r="1313"/>
    <row r="1314"/>
    <row r="1315"/>
    <row r="1316"/>
    <row r="1317"/>
    <row r="1318"/>
    <row r="1319"/>
    <row r="1320"/>
    <row r="1321"/>
    <row r="1322"/>
    <row r="1323"/>
    <row r="1324"/>
    <row r="1325"/>
    <row r="1326"/>
    <row r="1327"/>
    <row r="1328"/>
    <row r="1329"/>
    <row r="1330"/>
    <row r="1331"/>
    <row r="1332"/>
    <row r="1333"/>
    <row r="1334"/>
    <row r="1335"/>
    <row r="1336"/>
    <row r="1337"/>
    <row r="1338"/>
    <row r="1339"/>
    <row r="1340"/>
    <row r="1341"/>
    <row r="1342"/>
    <row r="1343"/>
    <row r="1344"/>
    <row r="1345"/>
    <row r="1346"/>
    <row r="1347"/>
    <row r="1348"/>
    <row r="1349"/>
    <row r="1350"/>
    <row r="1351"/>
    <row r="1352"/>
    <row r="1353"/>
    <row r="1354"/>
    <row r="1355"/>
    <row r="1356"/>
    <row r="1357"/>
    <row r="1358"/>
    <row r="1359"/>
    <row r="1360"/>
    <row r="1361"/>
    <row r="1362"/>
    <row r="1363"/>
    <row r="1364"/>
    <row r="1365"/>
    <row r="1366"/>
    <row r="1367"/>
    <row r="1368"/>
    <row r="1369"/>
    <row r="1370"/>
    <row r="1371"/>
    <row r="1372"/>
    <row r="1373"/>
    <row r="1374"/>
    <row r="1375"/>
    <row r="1376"/>
    <row r="1377"/>
    <row r="1378"/>
    <row r="1379"/>
    <row r="1380"/>
    <row r="1381"/>
    <row r="1382"/>
    <row r="1383"/>
    <row r="1384"/>
    <row r="1385"/>
    <row r="1386"/>
    <row r="1387"/>
    <row r="1388"/>
    <row r="1389"/>
    <row r="1390"/>
    <row r="1391"/>
    <row r="1392"/>
    <row r="1393"/>
    <row r="1394"/>
    <row r="1395"/>
    <row r="1396"/>
    <row r="1397"/>
    <row r="1398"/>
    <row r="1399"/>
    <row r="1400"/>
    <row r="1401"/>
    <row r="1402"/>
    <row r="1403"/>
    <row r="1404"/>
    <row r="1405"/>
    <row r="1406"/>
    <row r="1407"/>
    <row r="1408"/>
    <row r="1409"/>
    <row r="1410"/>
    <row r="1411"/>
    <row r="1412"/>
    <row r="1413"/>
    <row r="1414"/>
    <row r="1415"/>
    <row r="1416"/>
    <row r="1417"/>
    <row r="1418"/>
    <row r="1419"/>
    <row r="1420"/>
    <row r="1421"/>
    <row r="1422"/>
    <row r="1423"/>
    <row r="1424"/>
    <row r="1425"/>
    <row r="1426"/>
    <row r="1427"/>
    <row r="1428"/>
    <row r="1429"/>
    <row r="1430"/>
    <row r="1431"/>
    <row r="1432"/>
    <row r="1433"/>
    <row r="1434"/>
    <row r="1435"/>
    <row r="1436"/>
    <row r="1437"/>
    <row r="1438"/>
    <row r="1439"/>
    <row r="1440"/>
    <row r="1441"/>
    <row r="1442"/>
    <row r="1443"/>
    <row r="1444"/>
    <row r="1445"/>
    <row r="1446"/>
    <row r="1447"/>
    <row r="1448"/>
    <row r="1449"/>
    <row r="1450"/>
    <row r="1451"/>
    <row r="1452"/>
    <row r="1453"/>
    <row r="1454"/>
    <row r="1455"/>
    <row r="1456"/>
    <row r="1457"/>
    <row r="1458"/>
    <row r="1459"/>
    <row r="1460"/>
    <row r="1461"/>
    <row r="1462"/>
    <row r="1463"/>
    <row r="1464"/>
    <row r="1465"/>
    <row r="1466"/>
    <row r="1467"/>
    <row r="1468"/>
    <row r="1469"/>
    <row r="1470"/>
    <row r="1471"/>
    <row r="1472"/>
    <row r="1473"/>
    <row r="1474"/>
    <row r="1475"/>
    <row r="1476"/>
    <row r="1477"/>
    <row r="1478"/>
    <row r="1479"/>
    <row r="1480"/>
    <row r="1481"/>
    <row r="1482"/>
    <row r="1483"/>
    <row r="1484"/>
    <row r="1485"/>
    <row r="1486"/>
    <row r="1487"/>
    <row r="1488"/>
    <row r="1489"/>
    <row r="1490"/>
    <row r="1491"/>
    <row r="1492"/>
    <row r="1493"/>
    <row r="1494"/>
    <row r="1495"/>
    <row r="1496"/>
    <row r="1497"/>
    <row r="1498"/>
    <row r="1499"/>
    <row r="1500"/>
    <row r="1501"/>
    <row r="1502"/>
    <row r="1503"/>
    <row r="1504"/>
    <row r="1505"/>
    <row r="1506"/>
    <row r="1507"/>
    <row r="1508"/>
    <row r="1509"/>
    <row r="1510"/>
    <row r="1511"/>
    <row r="1512"/>
    <row r="1513"/>
    <row r="1514"/>
    <row r="1515"/>
    <row r="1516"/>
    <row r="1517"/>
    <row r="1518"/>
    <row r="1519"/>
    <row r="1520"/>
    <row r="1521"/>
    <row r="1522"/>
    <row r="1523"/>
    <row r="1524"/>
    <row r="1525"/>
    <row r="1526"/>
    <row r="1527"/>
    <row r="1528"/>
    <row r="1529"/>
    <row r="1530"/>
    <row r="1531"/>
    <row r="1532"/>
    <row r="1533"/>
    <row r="1534"/>
    <row r="1535"/>
    <row r="1536"/>
    <row r="1537"/>
    <row r="1538"/>
    <row r="1539"/>
    <row r="1540"/>
    <row r="1541"/>
    <row r="1542"/>
    <row r="1543"/>
    <row r="1544"/>
    <row r="1545"/>
    <row r="1546"/>
    <row r="1547"/>
    <row r="1548"/>
    <row r="1549"/>
    <row r="1550"/>
    <row r="1551"/>
    <row r="1552"/>
    <row r="1553"/>
    <row r="1554"/>
    <row r="1555"/>
    <row r="1556"/>
    <row r="1557"/>
    <row r="1558"/>
    <row r="1559"/>
    <row r="1560"/>
    <row r="1561"/>
    <row r="1562"/>
    <row r="1563"/>
    <row r="1564"/>
    <row r="1565"/>
    <row r="1566"/>
    <row r="1567"/>
    <row r="1568"/>
    <row r="1569"/>
    <row r="1570"/>
    <row r="1571"/>
    <row r="1572"/>
    <row r="1573"/>
    <row r="1574"/>
    <row r="1575"/>
    <row r="1576"/>
    <row r="1577"/>
    <row r="1578"/>
    <row r="1579"/>
    <row r="1580"/>
    <row r="1581"/>
    <row r="1582"/>
    <row r="1583"/>
    <row r="1584"/>
    <row r="1585"/>
    <row r="1586"/>
    <row r="1587"/>
    <row r="1588"/>
    <row r="1589"/>
    <row r="1590"/>
    <row r="1591"/>
    <row r="1592"/>
    <row r="1593"/>
    <row r="1594"/>
    <row r="1595"/>
    <row r="1596"/>
    <row r="1597"/>
    <row r="1598"/>
    <row r="1599"/>
    <row r="1600"/>
    <row r="1601"/>
    <row r="1602"/>
    <row r="1603"/>
    <row r="1604"/>
    <row r="1605"/>
    <row r="1606"/>
    <row r="1607"/>
    <row r="1608"/>
    <row r="1609"/>
    <row r="1610"/>
    <row r="1611"/>
    <row r="1612"/>
    <row r="1613"/>
    <row r="1614"/>
    <row r="1615"/>
    <row r="1616"/>
    <row r="1617"/>
    <row r="1618"/>
    <row r="1619"/>
    <row r="1620"/>
    <row r="1621"/>
    <row r="1622"/>
    <row r="1623"/>
    <row r="1624"/>
    <row r="1625"/>
    <row r="1626"/>
    <row r="1627"/>
    <row r="1628"/>
    <row r="1629"/>
    <row r="1630"/>
    <row r="1631"/>
    <row r="1632"/>
    <row r="1633"/>
    <row r="1634"/>
    <row r="1635"/>
    <row r="1636"/>
    <row r="1637"/>
    <row r="1638"/>
    <row r="1639"/>
    <row r="1640"/>
    <row r="1641"/>
    <row r="1642"/>
    <row r="1643"/>
    <row r="1644"/>
    <row r="1645"/>
    <row r="1646"/>
    <row r="1647"/>
    <row r="1648"/>
    <row r="1649"/>
    <row r="1650"/>
    <row r="1651"/>
    <row r="1652"/>
    <row r="1653"/>
    <row r="1654"/>
    <row r="1655"/>
    <row r="1656"/>
    <row r="1657"/>
    <row r="1658"/>
    <row r="1659"/>
    <row r="1660"/>
    <row r="1661"/>
    <row r="1662"/>
    <row r="1663"/>
    <row r="1664"/>
    <row r="1665"/>
    <row r="1666"/>
    <row r="1667"/>
    <row r="1668"/>
    <row r="1669"/>
    <row r="1670"/>
    <row r="1671"/>
    <row r="1672"/>
    <row r="1673"/>
    <row r="1674"/>
    <row r="1675"/>
    <row r="1676"/>
    <row r="1677"/>
    <row r="1678"/>
    <row r="1679"/>
    <row r="1680"/>
    <row r="1681"/>
    <row r="1682"/>
    <row r="1683"/>
    <row r="1684"/>
    <row r="1685"/>
    <row r="1686"/>
    <row r="1687"/>
    <row r="1688"/>
    <row r="1689"/>
    <row r="1690"/>
    <row r="1691"/>
    <row r="1692"/>
    <row r="1693"/>
    <row r="1694"/>
    <row r="1695"/>
    <row r="1696"/>
    <row r="1697"/>
    <row r="1698"/>
    <row r="1699"/>
    <row r="1700"/>
    <row r="1701"/>
    <row r="1702"/>
    <row r="1703"/>
    <row r="1704"/>
    <row r="1705"/>
    <row r="1706"/>
    <row r="1707"/>
    <row r="1708"/>
    <row r="1709"/>
    <row r="1710"/>
    <row r="1711"/>
    <row r="1712"/>
    <row r="1713"/>
    <row r="1714"/>
    <row r="1715"/>
    <row r="1716"/>
    <row r="1717"/>
    <row r="1718"/>
    <row r="1719"/>
    <row r="1720"/>
    <row r="1721"/>
    <row r="1722"/>
    <row r="1723"/>
    <row r="1724"/>
    <row r="1725"/>
    <row r="1726"/>
    <row r="1727"/>
    <row r="1728"/>
    <row r="1729"/>
    <row r="1730"/>
    <row r="1731"/>
    <row r="1732"/>
    <row r="1733"/>
    <row r="1734"/>
    <row r="1735"/>
    <row r="1736"/>
    <row r="1737"/>
    <row r="1738"/>
    <row r="1739"/>
    <row r="1740"/>
    <row r="1741"/>
    <row r="1742"/>
    <row r="1743"/>
    <row r="1744"/>
    <row r="1745"/>
    <row r="1746"/>
    <row r="1747"/>
    <row r="1748"/>
    <row r="1749"/>
    <row r="1750"/>
    <row r="1751"/>
    <row r="1752"/>
    <row r="1753"/>
    <row r="1754"/>
    <row r="1755"/>
    <row r="1756"/>
    <row r="1757"/>
    <row r="1758"/>
    <row r="1759"/>
    <row r="1760"/>
    <row r="1761"/>
    <row r="1762"/>
    <row r="1763"/>
    <row r="1764"/>
    <row r="1765"/>
    <row r="1766"/>
    <row r="1767"/>
    <row r="1768"/>
    <row r="1769"/>
    <row r="1770"/>
    <row r="1771"/>
    <row r="1772"/>
    <row r="1773"/>
    <row r="1774"/>
    <row r="1775"/>
    <row r="1776"/>
    <row r="1777"/>
    <row r="1778"/>
    <row r="1779"/>
    <row r="1780"/>
    <row r="1781"/>
    <row r="1782"/>
    <row r="1783"/>
    <row r="1784"/>
    <row r="1785"/>
    <row r="1786"/>
    <row r="1787"/>
    <row r="1788"/>
    <row r="1789"/>
    <row r="1790"/>
    <row r="1791"/>
    <row r="1792"/>
    <row r="1793"/>
    <row r="1794"/>
    <row r="1795"/>
    <row r="1796"/>
    <row r="1797"/>
    <row r="1798"/>
    <row r="1799"/>
    <row r="1800"/>
    <row r="1801"/>
    <row r="1802"/>
    <row r="1803"/>
    <row r="1804"/>
    <row r="1805"/>
    <row r="1806"/>
    <row r="1807"/>
    <row r="1808"/>
    <row r="1809"/>
    <row r="1810"/>
    <row r="1811"/>
    <row r="1812"/>
    <row r="1813"/>
    <row r="1814"/>
    <row r="1815"/>
    <row r="1816"/>
    <row r="1817"/>
    <row r="1818"/>
    <row r="1819"/>
    <row r="1820"/>
    <row r="1821"/>
    <row r="1822"/>
    <row r="1823"/>
    <row r="1824"/>
    <row r="1825"/>
    <row r="1826"/>
    <row r="1827"/>
    <row r="1828"/>
    <row r="1829"/>
    <row r="1830"/>
    <row r="1831"/>
    <row r="1832"/>
    <row r="1833"/>
    <row r="1834"/>
    <row r="1835"/>
    <row r="1836"/>
    <row r="1837"/>
    <row r="1838"/>
    <row r="1839"/>
    <row r="1840"/>
    <row r="1841"/>
    <row r="1842"/>
    <row r="1843"/>
    <row r="1844"/>
    <row r="1845"/>
    <row r="1846"/>
    <row r="1847"/>
    <row r="1848"/>
    <row r="1849"/>
    <row r="1850"/>
    <row r="1851"/>
    <row r="1852"/>
    <row r="1853"/>
    <row r="1854"/>
    <row r="1855"/>
    <row r="1856"/>
    <row r="1857"/>
    <row r="1858"/>
    <row r="1859"/>
    <row r="1860"/>
    <row r="1861"/>
    <row r="1862"/>
    <row r="1863"/>
    <row r="1864"/>
    <row r="1865"/>
    <row r="1866"/>
    <row r="1867"/>
    <row r="1868"/>
    <row r="1869"/>
    <row r="1870"/>
    <row r="1871"/>
    <row r="1872"/>
    <row r="1873"/>
    <row r="1874"/>
    <row r="1875"/>
    <row r="1876"/>
    <row r="1877"/>
    <row r="1878"/>
    <row r="1879"/>
    <row r="1880"/>
    <row r="1881"/>
    <row r="1882"/>
    <row r="1883"/>
    <row r="1884"/>
    <row r="1885"/>
    <row r="1886"/>
    <row r="1887"/>
    <row r="1888"/>
    <row r="1889"/>
    <row r="1890"/>
    <row r="1891"/>
    <row r="1892"/>
    <row r="1893"/>
    <row r="1894"/>
    <row r="1895"/>
    <row r="1896"/>
    <row r="1897"/>
    <row r="1898"/>
    <row r="1899"/>
    <row r="1900"/>
    <row r="1901"/>
    <row r="1902"/>
    <row r="1903"/>
    <row r="1904"/>
    <row r="1905"/>
    <row r="1906"/>
    <row r="1907"/>
    <row r="1908"/>
    <row r="1909"/>
    <row r="1910"/>
    <row r="1911"/>
    <row r="1912"/>
    <row r="1913"/>
    <row r="1914"/>
    <row r="1915"/>
    <row r="1916"/>
    <row r="1917"/>
    <row r="1918"/>
    <row r="1919"/>
    <row r="1920"/>
    <row r="1921"/>
    <row r="1922"/>
    <row r="1923"/>
    <row r="1924"/>
    <row r="1925"/>
    <row r="1926"/>
    <row r="1927"/>
    <row r="1928"/>
    <row r="1929"/>
    <row r="1930"/>
    <row r="1931"/>
    <row r="1932"/>
    <row r="1933"/>
    <row r="1934"/>
    <row r="1935"/>
    <row r="1936"/>
    <row r="1937"/>
    <row r="1938"/>
    <row r="1939"/>
    <row r="1940"/>
    <row r="1941"/>
    <row r="1942"/>
    <row r="1943"/>
    <row r="1944"/>
    <row r="1945"/>
    <row r="1946"/>
    <row r="1947"/>
    <row r="1948"/>
    <row r="1949"/>
    <row r="1950"/>
    <row r="1951"/>
    <row r="1952"/>
    <row r="1953"/>
    <row r="1954"/>
    <row r="1955"/>
    <row r="1956"/>
    <row r="1957"/>
    <row r="1958"/>
    <row r="1959"/>
    <row r="1960"/>
    <row r="1961"/>
    <row r="1962"/>
    <row r="1963"/>
    <row r="1964"/>
    <row r="1965"/>
    <row r="1966"/>
    <row r="1967"/>
    <row r="1968"/>
    <row r="1969"/>
    <row r="1970"/>
    <row r="1971"/>
    <row r="1972"/>
    <row r="1973"/>
    <row r="1974"/>
    <row r="1975"/>
    <row r="1976"/>
    <row r="1977"/>
    <row r="1978"/>
    <row r="1979"/>
    <row r="1980"/>
    <row r="1981"/>
    <row r="1982"/>
    <row r="1983"/>
    <row r="1984"/>
    <row r="1985"/>
    <row r="1986"/>
    <row r="1987"/>
    <row r="1988"/>
    <row r="1989"/>
    <row r="1990"/>
    <row r="1991"/>
    <row r="1992"/>
    <row r="1993"/>
    <row r="1994"/>
    <row r="1995"/>
    <row r="1996"/>
    <row r="1997"/>
    <row r="1998"/>
    <row r="1999"/>
    <row r="2000"/>
    <row r="2001"/>
    <row r="2002"/>
    <row r="2003"/>
    <row r="2004"/>
    <row r="2005"/>
    <row r="2006"/>
    <row r="2007"/>
    <row r="2008"/>
    <row r="2009"/>
    <row r="2010"/>
    <row r="2011"/>
    <row r="2012"/>
    <row r="2013"/>
    <row r="2014"/>
    <row r="2015"/>
    <row r="2016"/>
    <row r="2017"/>
    <row r="2018"/>
    <row r="2019"/>
    <row r="2020"/>
    <row r="2021"/>
    <row r="2022"/>
    <row r="2023"/>
    <row r="2024"/>
    <row r="2025"/>
    <row r="2026"/>
    <row r="2027"/>
    <row r="2028"/>
    <row r="2029"/>
    <row r="2030"/>
    <row r="2031"/>
    <row r="2032"/>
    <row r="2033"/>
    <row r="2034"/>
    <row r="2035"/>
    <row r="2036"/>
    <row r="2037"/>
    <row r="2038"/>
    <row r="2039"/>
    <row r="2040"/>
    <row r="2041"/>
    <row r="2042"/>
    <row r="2043"/>
    <row r="2044"/>
    <row r="2045"/>
    <row r="2046"/>
    <row r="2047"/>
    <row r="2048"/>
    <row r="2049"/>
    <row r="2050"/>
    <row r="2051"/>
    <row r="2052"/>
    <row r="2053"/>
    <row r="2054"/>
    <row r="2055"/>
    <row r="2056"/>
    <row r="2057"/>
    <row r="2058"/>
    <row r="2059"/>
    <row r="2060"/>
    <row r="2061"/>
    <row r="2062"/>
    <row r="2063"/>
    <row r="2064"/>
    <row r="2065"/>
    <row r="2066"/>
    <row r="2067"/>
    <row r="2068"/>
    <row r="2069"/>
    <row r="2070"/>
    <row r="2071"/>
    <row r="2072"/>
    <row r="2073"/>
    <row r="2074"/>
    <row r="2075"/>
    <row r="2076"/>
    <row r="2077"/>
    <row r="2078"/>
    <row r="2079"/>
    <row r="2080"/>
    <row r="2081"/>
    <row r="2082"/>
    <row r="2083"/>
    <row r="2084"/>
    <row r="2085"/>
    <row r="2086"/>
    <row r="2087"/>
    <row r="2088"/>
    <row r="2089"/>
    <row r="2090"/>
    <row r="2091"/>
    <row r="2092"/>
    <row r="2093"/>
    <row r="2094"/>
    <row r="2095"/>
    <row r="2096"/>
    <row r="2097"/>
    <row r="2098"/>
    <row r="2099"/>
    <row r="2100"/>
    <row r="2101"/>
    <row r="2102"/>
    <row r="2103"/>
    <row r="2104"/>
    <row r="2105"/>
    <row r="2106"/>
    <row r="2107"/>
    <row r="2108"/>
    <row r="2109"/>
    <row r="2110"/>
    <row r="2111"/>
    <row r="2112"/>
    <row r="2113"/>
    <row r="2114"/>
    <row r="2115"/>
    <row r="2116"/>
    <row r="2117"/>
    <row r="2118"/>
    <row r="2119"/>
    <row r="2120"/>
    <row r="2121"/>
    <row r="2122"/>
    <row r="2123"/>
    <row r="2124"/>
    <row r="2125"/>
    <row r="2126"/>
    <row r="2127"/>
    <row r="2128"/>
    <row r="2129"/>
    <row r="2130"/>
    <row r="2131"/>
    <row r="2132"/>
    <row r="2133"/>
    <row r="2134"/>
    <row r="2135"/>
    <row r="2136"/>
    <row r="2137"/>
    <row r="2138"/>
    <row r="2139"/>
    <row r="2140"/>
    <row r="2141"/>
    <row r="2142"/>
    <row r="2143"/>
    <row r="2144"/>
    <row r="2145"/>
    <row r="2146"/>
    <row r="2147"/>
    <row r="2148"/>
    <row r="2149"/>
    <row r="2150"/>
    <row r="2151"/>
    <row r="2152"/>
    <row r="2153"/>
    <row r="2154"/>
    <row r="2155"/>
    <row r="2156"/>
    <row r="2157"/>
    <row r="2158"/>
    <row r="2159"/>
    <row r="2160"/>
    <row r="2161"/>
    <row r="2162"/>
    <row r="2163"/>
    <row r="2164"/>
    <row r="2165"/>
    <row r="2166"/>
    <row r="2167"/>
    <row r="2168"/>
    <row r="2169"/>
    <row r="2170"/>
    <row r="2171"/>
    <row r="2172"/>
    <row r="2173"/>
    <row r="2174"/>
    <row r="2175"/>
    <row r="2176"/>
    <row r="2177"/>
    <row r="2178"/>
    <row r="2179"/>
    <row r="2180"/>
    <row r="2181"/>
    <row r="2182"/>
    <row r="2183"/>
    <row r="2184"/>
    <row r="2185"/>
    <row r="2186"/>
    <row r="2187"/>
    <row r="2188"/>
    <row r="2189"/>
    <row r="2190"/>
    <row r="2191"/>
    <row r="2192"/>
    <row r="2193"/>
    <row r="2194"/>
    <row r="2195"/>
    <row r="2196"/>
    <row r="2197"/>
    <row r="2198"/>
    <row r="2199"/>
    <row r="2200"/>
    <row r="2201"/>
    <row r="2202"/>
    <row r="2203"/>
    <row r="2204"/>
    <row r="2205"/>
    <row r="2206"/>
    <row r="2207"/>
    <row r="2208"/>
    <row r="2209"/>
    <row r="2210"/>
    <row r="2211"/>
    <row r="2212"/>
    <row r="2213"/>
    <row r="2214"/>
    <row r="2215"/>
    <row r="2216"/>
    <row r="2217"/>
    <row r="2218"/>
    <row r="2219"/>
    <row r="2220"/>
    <row r="2221"/>
    <row r="2222"/>
    <row r="2223"/>
    <row r="2224"/>
    <row r="2225"/>
    <row r="2226"/>
    <row r="2227"/>
    <row r="2228"/>
    <row r="2229"/>
    <row r="2230"/>
    <row r="2231"/>
    <row r="2232"/>
    <row r="2233"/>
    <row r="2234"/>
    <row r="2235"/>
    <row r="2236"/>
    <row r="2237"/>
    <row r="2238"/>
    <row r="2239"/>
    <row r="2240"/>
    <row r="2241"/>
    <row r="2242"/>
    <row r="2243"/>
    <row r="2244"/>
    <row r="2245"/>
    <row r="2246"/>
    <row r="2247"/>
    <row r="2248"/>
    <row r="2249"/>
    <row r="2250"/>
    <row r="2251"/>
    <row r="2252"/>
    <row r="2253"/>
    <row r="2254"/>
    <row r="2255"/>
    <row r="2256"/>
    <row r="2257"/>
    <row r="2258"/>
    <row r="2259"/>
    <row r="2260"/>
    <row r="2261"/>
    <row r="2262"/>
    <row r="2263"/>
    <row r="2264"/>
    <row r="2265"/>
    <row r="2266"/>
    <row r="2267"/>
    <row r="2268"/>
    <row r="2269"/>
    <row r="2270"/>
    <row r="2271"/>
    <row r="2272"/>
    <row r="2273"/>
    <row r="2274"/>
    <row r="2275"/>
    <row r="2276"/>
    <row r="2277"/>
    <row r="2278"/>
    <row r="2279"/>
    <row r="2280"/>
    <row r="2281"/>
    <row r="2282"/>
    <row r="2283"/>
    <row r="2284"/>
    <row r="2285"/>
    <row r="2286"/>
    <row r="2287"/>
    <row r="2288"/>
    <row r="2289"/>
    <row r="2290"/>
    <row r="2291"/>
    <row r="2292"/>
    <row r="2293"/>
    <row r="2294"/>
    <row r="2295"/>
    <row r="2296"/>
    <row r="2297"/>
    <row r="2298"/>
    <row r="2299"/>
    <row r="2300"/>
    <row r="2301"/>
    <row r="2302"/>
    <row r="2303"/>
    <row r="2304"/>
    <row r="2305"/>
    <row r="2306"/>
    <row r="2307"/>
    <row r="2308"/>
    <row r="2309"/>
    <row r="2310"/>
    <row r="2311"/>
    <row r="2312"/>
    <row r="2313"/>
    <row r="2314"/>
    <row r="2315"/>
    <row r="2316"/>
    <row r="2317"/>
    <row r="2318"/>
    <row r="2319"/>
    <row r="2320"/>
    <row r="2321"/>
    <row r="2322"/>
    <row r="2323"/>
    <row r="2324"/>
    <row r="2325"/>
    <row r="2326"/>
    <row r="2327"/>
    <row r="2328"/>
    <row r="2329"/>
    <row r="2330"/>
    <row r="2331"/>
    <row r="2332"/>
    <row r="2333"/>
    <row r="2334"/>
    <row r="2335"/>
    <row r="2336"/>
    <row r="2337"/>
    <row r="2338"/>
    <row r="2339"/>
    <row r="2340"/>
  </sheetData>
  <sheetProtection password="C5F7" sheet="1" objects="1" scenarios="1" formatCells="0" formatRows="0" insertRows="0" deleteRows="0" sort="0" autoFilter="0"/>
  <protectedRanges>
    <protectedRange password="CF0E" sqref="B7:C8" name="Range1"/>
  </protectedRanges>
  <dataConsolidate topLabels="1">
    <dataRefs count="1">
      <dataRef ref="J38" sheet="Large Exp."/>
    </dataRefs>
  </dataConsolidate>
  <mergeCells count="12">
    <mergeCell ref="B1:N1"/>
    <mergeCell ref="B2:N2"/>
    <mergeCell ref="B3:N3"/>
    <mergeCell ref="B4:N4"/>
    <mergeCell ref="D9:E9"/>
    <mergeCell ref="F1008:G1008"/>
    <mergeCell ref="N1008:O1008"/>
    <mergeCell ref="B1001:F1001"/>
    <mergeCell ref="M1005:P1005"/>
    <mergeCell ref="N1006:O1006"/>
    <mergeCell ref="F1007:G1007"/>
    <mergeCell ref="N1007:O1007"/>
  </mergeCells>
  <dataValidations count="5">
    <dataValidation type="decimal" operator="greaterThanOrEqual" allowBlank="1" showInputMessage="1" showErrorMessage="1" sqref="D9:E9 L10">
      <formula1>0</formula1>
    </dataValidation>
    <dataValidation type="whole" operator="greaterThanOrEqual" allowBlank="1" showInputMessage="1" showErrorMessage="1" errorTitle="Validation Rule" error="Number only" sqref="B14:B1000">
      <formula1>0</formula1>
    </dataValidation>
    <dataValidation type="list" allowBlank="1" showInputMessage="1" showErrorMessage="1" sqref="F14:F1000">
      <formula1>"Overdraft, Term Loan, Trust Receipt, Bill of Exchange, Financing Commitment, Guarantee, Others"</formula1>
    </dataValidation>
    <dataValidation type="decimal" operator="greaterThanOrEqual" allowBlank="1" showInputMessage="1" showErrorMessage="1" errorTitle="Validation Rule" error="Allow only number" sqref="G14:I1000 K14:K1000 N14:N1000">
      <formula1>0</formula1>
    </dataValidation>
    <dataValidation operator="greaterThanOrEqual" allowBlank="1" showInputMessage="1" showErrorMessage="1" sqref="P14:P1000"/>
  </dataValidations>
  <pageMargins left="0.7" right="0.7" top="0.75" bottom="0.75" header="0.3" footer="0.3"/>
  <pageSetup scale="55" orientation="landscape" horizontalDpi="300" verticalDpi="30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sheetPr>
  <dimension ref="A1:Z1014"/>
  <sheetViews>
    <sheetView showGridLines="0" topLeftCell="E1" workbookViewId="0">
      <selection activeCell="B13" sqref="B13:I13"/>
    </sheetView>
  </sheetViews>
  <sheetFormatPr defaultColWidth="0" defaultRowHeight="12.75"/>
  <cols>
    <col min="1" max="1" width="3.7109375" style="183" customWidth="1"/>
    <col min="2" max="2" width="17.28515625" style="183" customWidth="1"/>
    <col min="3" max="3" width="20" style="183" customWidth="1"/>
    <col min="4" max="4" width="13.42578125" style="183" customWidth="1"/>
    <col min="5" max="5" width="25.28515625" style="183" customWidth="1"/>
    <col min="6" max="6" width="20" style="183" customWidth="1"/>
    <col min="7" max="7" width="17.7109375" style="183" customWidth="1"/>
    <col min="8" max="8" width="13.7109375" style="183" customWidth="1"/>
    <col min="9" max="9" width="15.5703125" style="183" customWidth="1"/>
    <col min="10" max="10" width="16.140625" style="872" customWidth="1"/>
    <col min="11" max="13" width="13.42578125" style="183" customWidth="1"/>
    <col min="14" max="14" width="15.7109375" style="183" customWidth="1"/>
    <col min="15" max="15" width="9.140625" style="183" customWidth="1"/>
    <col min="16" max="16384" width="0" style="183" hidden="1"/>
  </cols>
  <sheetData>
    <row r="1" spans="1:26" s="191" customFormat="1" ht="33.75" customHeight="1">
      <c r="A1" s="2588" t="s">
        <v>850</v>
      </c>
      <c r="B1" s="2588"/>
      <c r="C1" s="2588"/>
      <c r="D1" s="2588"/>
      <c r="E1" s="2588"/>
      <c r="F1" s="2588"/>
      <c r="G1" s="2588"/>
      <c r="H1" s="2588"/>
      <c r="I1" s="2588"/>
      <c r="J1" s="2588"/>
      <c r="K1" s="2588"/>
      <c r="L1" s="2588"/>
      <c r="M1" s="2588"/>
      <c r="N1" s="2588"/>
      <c r="O1" s="3017"/>
      <c r="P1" s="1199"/>
      <c r="Q1" s="1199"/>
      <c r="R1" s="1199"/>
      <c r="S1" s="1199"/>
      <c r="T1" s="1199"/>
      <c r="U1" s="1199"/>
      <c r="V1" s="1199"/>
      <c r="W1" s="1199"/>
      <c r="X1" s="1199"/>
      <c r="Y1" s="1199"/>
      <c r="Z1" s="1199"/>
    </row>
    <row r="2" spans="1:26" s="191" customFormat="1" ht="18" customHeight="1">
      <c r="A2" s="2589" t="s">
        <v>851</v>
      </c>
      <c r="B2" s="2589"/>
      <c r="C2" s="2589"/>
      <c r="D2" s="2589"/>
      <c r="E2" s="2589"/>
      <c r="F2" s="2589"/>
      <c r="G2" s="2589"/>
      <c r="H2" s="2589"/>
      <c r="I2" s="2589"/>
      <c r="J2" s="2589"/>
      <c r="K2" s="2589"/>
      <c r="L2" s="2589"/>
      <c r="M2" s="2589"/>
      <c r="N2" s="2589"/>
      <c r="O2" s="3018"/>
      <c r="P2" s="1200"/>
      <c r="Q2" s="1200"/>
      <c r="R2" s="1200"/>
      <c r="S2" s="1200"/>
      <c r="T2" s="1200"/>
      <c r="U2" s="1200"/>
      <c r="V2" s="1200"/>
      <c r="W2" s="1200"/>
      <c r="X2" s="1200"/>
      <c r="Y2" s="1200"/>
      <c r="Z2" s="1200"/>
    </row>
    <row r="3" spans="1:26" ht="15.75" customHeight="1">
      <c r="A3" s="2590" t="s">
        <v>36</v>
      </c>
      <c r="B3" s="2590"/>
      <c r="C3" s="2590"/>
      <c r="D3" s="2590"/>
      <c r="E3" s="2590"/>
      <c r="F3" s="2590"/>
      <c r="G3" s="2590"/>
      <c r="H3" s="2590"/>
      <c r="I3" s="2590"/>
      <c r="J3" s="2590"/>
      <c r="K3" s="2590"/>
      <c r="L3" s="2590"/>
      <c r="M3" s="2590"/>
      <c r="N3" s="2590"/>
      <c r="O3" s="963"/>
      <c r="P3" s="963"/>
      <c r="Q3" s="963"/>
      <c r="R3" s="963"/>
      <c r="S3" s="963"/>
      <c r="T3" s="963"/>
      <c r="U3" s="963"/>
      <c r="V3" s="963"/>
      <c r="W3" s="963"/>
      <c r="X3" s="963"/>
      <c r="Y3" s="963"/>
      <c r="Z3" s="963"/>
    </row>
    <row r="4" spans="1:26" ht="15.75" customHeight="1">
      <c r="A4" s="2590" t="s">
        <v>360</v>
      </c>
      <c r="B4" s="2590"/>
      <c r="C4" s="2590"/>
      <c r="D4" s="2590"/>
      <c r="E4" s="2590"/>
      <c r="F4" s="2590"/>
      <c r="G4" s="2590"/>
      <c r="H4" s="2590"/>
      <c r="I4" s="2590"/>
      <c r="J4" s="2590"/>
      <c r="K4" s="2590"/>
      <c r="L4" s="2590"/>
      <c r="M4" s="2590"/>
      <c r="N4" s="2590"/>
      <c r="U4" s="840"/>
      <c r="V4" s="963"/>
      <c r="W4" s="963"/>
      <c r="X4" s="963"/>
      <c r="Y4" s="963"/>
      <c r="Z4" s="963"/>
    </row>
    <row r="5" spans="1:26" ht="15.75" customHeight="1">
      <c r="A5" s="840"/>
      <c r="B5" s="964"/>
      <c r="C5" s="840"/>
      <c r="D5" s="840"/>
      <c r="E5" s="840"/>
      <c r="F5" s="840"/>
      <c r="G5" s="840"/>
      <c r="H5" s="840"/>
      <c r="I5" s="840"/>
      <c r="J5" s="1610"/>
      <c r="K5" s="840"/>
      <c r="L5" s="840"/>
      <c r="M5" s="840"/>
      <c r="N5" s="840"/>
      <c r="U5" s="840"/>
      <c r="V5" s="963"/>
      <c r="W5" s="963"/>
      <c r="X5" s="963"/>
      <c r="Y5" s="963"/>
      <c r="Z5" s="963"/>
    </row>
    <row r="6" spans="1:26" ht="18.75" customHeight="1">
      <c r="A6" s="965" t="s">
        <v>472</v>
      </c>
      <c r="B6" s="966"/>
      <c r="C6" s="840"/>
      <c r="D6" s="840"/>
      <c r="E6" s="840"/>
      <c r="F6" s="840"/>
      <c r="G6" s="840"/>
      <c r="H6" s="840"/>
      <c r="I6" s="840"/>
      <c r="K6" s="840"/>
      <c r="L6" s="840"/>
      <c r="M6" s="840"/>
      <c r="N6" s="890" t="s">
        <v>869</v>
      </c>
      <c r="U6" s="840"/>
    </row>
    <row r="7" spans="1:26" ht="15.75" customHeight="1">
      <c r="A7" s="274" t="s">
        <v>429</v>
      </c>
      <c r="B7" s="966"/>
      <c r="C7" s="840"/>
      <c r="D7" s="840"/>
      <c r="E7" s="840"/>
      <c r="F7" s="840"/>
      <c r="N7" s="967"/>
    </row>
    <row r="8" spans="1:26" s="970" customFormat="1" ht="15" customHeight="1" thickBot="1">
      <c r="A8" s="966" t="s">
        <v>37</v>
      </c>
      <c r="B8" s="968"/>
      <c r="C8" s="803">
        <v>1000</v>
      </c>
      <c r="D8" s="603"/>
      <c r="E8" s="603"/>
      <c r="F8" s="969"/>
      <c r="J8" s="1611" t="s">
        <v>38</v>
      </c>
      <c r="K8" s="206"/>
      <c r="L8" s="972" t="s">
        <v>431</v>
      </c>
      <c r="M8" s="973"/>
      <c r="N8" s="974" t="s">
        <v>365</v>
      </c>
    </row>
    <row r="9" spans="1:26" s="267" customFormat="1" ht="21.75" customHeight="1" thickBot="1">
      <c r="A9" s="975"/>
      <c r="B9" s="976"/>
      <c r="C9" s="977"/>
      <c r="D9" s="977"/>
      <c r="E9" s="977"/>
      <c r="F9" s="849"/>
      <c r="G9" s="849"/>
      <c r="H9" s="849"/>
      <c r="I9" s="849"/>
      <c r="J9" s="1612" t="s">
        <v>617</v>
      </c>
      <c r="K9" s="900">
        <v>4000</v>
      </c>
      <c r="L9" s="978" t="s">
        <v>433</v>
      </c>
      <c r="M9" s="268"/>
      <c r="N9" s="268" t="s">
        <v>434</v>
      </c>
      <c r="O9" s="2229"/>
    </row>
    <row r="10" spans="1:26" s="1" customFormat="1" ht="7.5" customHeight="1" thickBot="1">
      <c r="A10" s="103"/>
      <c r="B10" s="104"/>
      <c r="C10" s="105"/>
      <c r="D10" s="105"/>
      <c r="E10" s="105"/>
      <c r="F10" s="842"/>
      <c r="G10" s="842"/>
      <c r="H10" s="842"/>
      <c r="I10" s="842"/>
      <c r="J10" s="1613"/>
      <c r="K10" s="962"/>
      <c r="L10" s="602"/>
      <c r="M10" s="70"/>
      <c r="N10" s="70"/>
      <c r="O10" s="2229"/>
    </row>
    <row r="11" spans="1:26" s="1" customFormat="1" ht="67.5" customHeight="1" thickTop="1">
      <c r="A11" s="592" t="s">
        <v>64</v>
      </c>
      <c r="B11" s="2593" t="s">
        <v>65</v>
      </c>
      <c r="C11" s="2594"/>
      <c r="D11" s="593" t="s">
        <v>66</v>
      </c>
      <c r="E11" s="593" t="s">
        <v>67</v>
      </c>
      <c r="F11" s="593" t="s">
        <v>68</v>
      </c>
      <c r="G11" s="551" t="s">
        <v>52</v>
      </c>
      <c r="H11" s="593" t="s">
        <v>69</v>
      </c>
      <c r="I11" s="551" t="s">
        <v>55</v>
      </c>
      <c r="J11" s="1614" t="s">
        <v>70</v>
      </c>
      <c r="K11" s="2595" t="s">
        <v>71</v>
      </c>
      <c r="L11" s="2596"/>
      <c r="M11" s="2597"/>
      <c r="N11" s="594" t="s">
        <v>72</v>
      </c>
      <c r="O11" s="267"/>
    </row>
    <row r="12" spans="1:26" s="55" customFormat="1" ht="29.25" customHeight="1">
      <c r="A12" s="595"/>
      <c r="B12" s="596" t="s">
        <v>73</v>
      </c>
      <c r="C12" s="445" t="s">
        <v>74</v>
      </c>
      <c r="D12" s="597"/>
      <c r="E12" s="597"/>
      <c r="F12" s="597"/>
      <c r="G12" s="597"/>
      <c r="H12" s="598" t="s">
        <v>62</v>
      </c>
      <c r="I12" s="598" t="s">
        <v>62</v>
      </c>
      <c r="J12" s="1615"/>
      <c r="K12" s="599" t="s">
        <v>75</v>
      </c>
      <c r="L12" s="599" t="s">
        <v>76</v>
      </c>
      <c r="M12" s="599" t="s">
        <v>79</v>
      </c>
      <c r="N12" s="600"/>
      <c r="O12" s="1278"/>
    </row>
    <row r="13" spans="1:26" s="1" customFormat="1" ht="24.75" customHeight="1">
      <c r="A13" s="1331"/>
      <c r="B13" s="1478"/>
      <c r="C13" s="1478"/>
      <c r="D13" s="590"/>
      <c r="E13" s="1477"/>
      <c r="F13" s="607"/>
      <c r="G13" s="607"/>
      <c r="H13" s="608"/>
      <c r="I13" s="608"/>
      <c r="J13" s="1616">
        <f t="shared" ref="J13:J999" si="0">G13*I13</f>
        <v>0</v>
      </c>
      <c r="K13" s="607"/>
      <c r="L13" s="607"/>
      <c r="M13" s="607"/>
      <c r="N13" s="1479"/>
      <c r="O13" s="267"/>
    </row>
    <row r="14" spans="1:26" s="1" customFormat="1" ht="18" customHeight="1">
      <c r="A14" s="1331"/>
      <c r="B14" s="609"/>
      <c r="C14" s="610"/>
      <c r="D14" s="590"/>
      <c r="E14" s="610"/>
      <c r="F14" s="611"/>
      <c r="G14" s="611"/>
      <c r="H14" s="612"/>
      <c r="I14" s="612"/>
      <c r="J14" s="1616">
        <f t="shared" si="0"/>
        <v>0</v>
      </c>
      <c r="K14" s="611"/>
      <c r="L14" s="611"/>
      <c r="M14" s="611"/>
      <c r="N14" s="616"/>
      <c r="O14" s="267"/>
    </row>
    <row r="15" spans="1:26" s="1" customFormat="1" ht="18" customHeight="1">
      <c r="A15" s="1331"/>
      <c r="B15" s="605"/>
      <c r="C15" s="606"/>
      <c r="D15" s="590"/>
      <c r="E15" s="606"/>
      <c r="F15" s="607"/>
      <c r="G15" s="607"/>
      <c r="H15" s="608"/>
      <c r="I15" s="608"/>
      <c r="J15" s="1616">
        <f t="shared" si="0"/>
        <v>0</v>
      </c>
      <c r="K15" s="607"/>
      <c r="L15" s="607"/>
      <c r="M15" s="607"/>
      <c r="N15" s="615"/>
      <c r="O15" s="267"/>
    </row>
    <row r="16" spans="1:26" s="1" customFormat="1" ht="18" customHeight="1">
      <c r="A16" s="1331"/>
      <c r="B16" s="605"/>
      <c r="C16" s="606"/>
      <c r="D16" s="590"/>
      <c r="E16" s="606"/>
      <c r="F16" s="607"/>
      <c r="G16" s="607"/>
      <c r="H16" s="608"/>
      <c r="I16" s="608"/>
      <c r="J16" s="1616">
        <f t="shared" si="0"/>
        <v>0</v>
      </c>
      <c r="K16" s="607"/>
      <c r="L16" s="607"/>
      <c r="M16" s="607"/>
      <c r="N16" s="615"/>
      <c r="O16" s="267"/>
    </row>
    <row r="17" spans="1:15" s="1" customFormat="1" ht="18" customHeight="1">
      <c r="A17" s="1331"/>
      <c r="B17" s="605"/>
      <c r="C17" s="606"/>
      <c r="D17" s="590"/>
      <c r="E17" s="606"/>
      <c r="F17" s="607"/>
      <c r="G17" s="607"/>
      <c r="H17" s="608"/>
      <c r="I17" s="608"/>
      <c r="J17" s="1616">
        <f t="shared" si="0"/>
        <v>0</v>
      </c>
      <c r="K17" s="607"/>
      <c r="L17" s="607"/>
      <c r="M17" s="607"/>
      <c r="N17" s="615"/>
      <c r="O17" s="267"/>
    </row>
    <row r="18" spans="1:15" s="1" customFormat="1" ht="18" customHeight="1">
      <c r="A18" s="1331"/>
      <c r="B18" s="605"/>
      <c r="C18" s="606"/>
      <c r="D18" s="590"/>
      <c r="E18" s="606"/>
      <c r="F18" s="607"/>
      <c r="G18" s="607"/>
      <c r="H18" s="608"/>
      <c r="I18" s="608"/>
      <c r="J18" s="1616">
        <f t="shared" si="0"/>
        <v>0</v>
      </c>
      <c r="K18" s="607"/>
      <c r="L18" s="607"/>
      <c r="M18" s="607"/>
      <c r="N18" s="615"/>
      <c r="O18" s="267"/>
    </row>
    <row r="19" spans="1:15" s="1" customFormat="1" ht="18" customHeight="1">
      <c r="A19" s="1331"/>
      <c r="B19" s="605"/>
      <c r="C19" s="606"/>
      <c r="D19" s="590"/>
      <c r="E19" s="606"/>
      <c r="F19" s="607"/>
      <c r="G19" s="607"/>
      <c r="H19" s="608"/>
      <c r="I19" s="608"/>
      <c r="J19" s="3020">
        <f t="shared" si="0"/>
        <v>0</v>
      </c>
      <c r="K19" s="607"/>
      <c r="L19" s="607"/>
      <c r="M19" s="607"/>
      <c r="N19" s="615"/>
      <c r="O19" s="267"/>
    </row>
    <row r="20" spans="1:15" s="1" customFormat="1" ht="18" customHeight="1">
      <c r="A20" s="1331"/>
      <c r="B20" s="605"/>
      <c r="C20" s="606"/>
      <c r="D20" s="590"/>
      <c r="E20" s="606"/>
      <c r="F20" s="607"/>
      <c r="G20" s="607"/>
      <c r="H20" s="608"/>
      <c r="I20" s="608"/>
      <c r="J20" s="1616">
        <f t="shared" si="0"/>
        <v>0</v>
      </c>
      <c r="K20" s="607"/>
      <c r="L20" s="607"/>
      <c r="M20" s="607"/>
      <c r="N20" s="615"/>
      <c r="O20" s="267"/>
    </row>
    <row r="21" spans="1:15" s="1" customFormat="1" ht="18" customHeight="1">
      <c r="A21" s="1331"/>
      <c r="B21" s="605"/>
      <c r="C21" s="606"/>
      <c r="D21" s="590"/>
      <c r="E21" s="606"/>
      <c r="F21" s="607"/>
      <c r="G21" s="607"/>
      <c r="H21" s="608"/>
      <c r="I21" s="608"/>
      <c r="J21" s="1616">
        <f t="shared" si="0"/>
        <v>0</v>
      </c>
      <c r="K21" s="607"/>
      <c r="L21" s="607"/>
      <c r="M21" s="607"/>
      <c r="N21" s="615"/>
      <c r="O21" s="267"/>
    </row>
    <row r="22" spans="1:15" s="1" customFormat="1" ht="18" customHeight="1">
      <c r="A22" s="1331"/>
      <c r="B22" s="605"/>
      <c r="C22" s="606"/>
      <c r="D22" s="590"/>
      <c r="E22" s="606"/>
      <c r="F22" s="607"/>
      <c r="G22" s="607"/>
      <c r="H22" s="608"/>
      <c r="I22" s="608"/>
      <c r="J22" s="1616">
        <f t="shared" si="0"/>
        <v>0</v>
      </c>
      <c r="K22" s="607"/>
      <c r="L22" s="607"/>
      <c r="M22" s="607"/>
      <c r="N22" s="615"/>
      <c r="O22" s="267"/>
    </row>
    <row r="23" spans="1:15" s="1" customFormat="1" ht="18" customHeight="1">
      <c r="A23" s="1331"/>
      <c r="B23" s="609"/>
      <c r="C23" s="610"/>
      <c r="D23" s="590"/>
      <c r="E23" s="610"/>
      <c r="F23" s="611"/>
      <c r="G23" s="611"/>
      <c r="H23" s="612"/>
      <c r="I23" s="612"/>
      <c r="J23" s="1616">
        <f t="shared" ref="J23:J42" si="1">G23*I23</f>
        <v>0</v>
      </c>
      <c r="K23" s="611"/>
      <c r="L23" s="611"/>
      <c r="M23" s="611"/>
      <c r="N23" s="616"/>
      <c r="O23" s="267"/>
    </row>
    <row r="24" spans="1:15" s="1" customFormat="1" ht="18" customHeight="1">
      <c r="A24" s="1331"/>
      <c r="B24" s="605"/>
      <c r="C24" s="606"/>
      <c r="D24" s="590"/>
      <c r="E24" s="606"/>
      <c r="F24" s="607"/>
      <c r="G24" s="607"/>
      <c r="H24" s="608"/>
      <c r="I24" s="608"/>
      <c r="J24" s="1616">
        <f t="shared" si="1"/>
        <v>0</v>
      </c>
      <c r="K24" s="607"/>
      <c r="L24" s="607"/>
      <c r="M24" s="607"/>
      <c r="N24" s="615"/>
      <c r="O24" s="267"/>
    </row>
    <row r="25" spans="1:15" s="1" customFormat="1" ht="18" customHeight="1">
      <c r="A25" s="1331"/>
      <c r="B25" s="605"/>
      <c r="C25" s="606"/>
      <c r="D25" s="590"/>
      <c r="E25" s="606"/>
      <c r="F25" s="607"/>
      <c r="G25" s="607"/>
      <c r="H25" s="608"/>
      <c r="I25" s="608"/>
      <c r="J25" s="1616">
        <f t="shared" si="1"/>
        <v>0</v>
      </c>
      <c r="K25" s="607"/>
      <c r="L25" s="607"/>
      <c r="M25" s="607"/>
      <c r="N25" s="615"/>
      <c r="O25" s="267"/>
    </row>
    <row r="26" spans="1:15" s="1" customFormat="1" ht="18" customHeight="1">
      <c r="A26" s="1331"/>
      <c r="B26" s="605"/>
      <c r="C26" s="606"/>
      <c r="D26" s="590"/>
      <c r="E26" s="606"/>
      <c r="F26" s="607"/>
      <c r="G26" s="607"/>
      <c r="H26" s="608"/>
      <c r="I26" s="608"/>
      <c r="J26" s="1616">
        <f t="shared" si="1"/>
        <v>0</v>
      </c>
      <c r="K26" s="607"/>
      <c r="L26" s="607"/>
      <c r="M26" s="614"/>
      <c r="N26" s="615"/>
      <c r="O26" s="267"/>
    </row>
    <row r="27" spans="1:15" s="1" customFormat="1" ht="18" customHeight="1">
      <c r="A27" s="1331"/>
      <c r="B27" s="605"/>
      <c r="C27" s="606"/>
      <c r="D27" s="590"/>
      <c r="E27" s="606"/>
      <c r="F27" s="607"/>
      <c r="G27" s="607"/>
      <c r="H27" s="608"/>
      <c r="I27" s="608"/>
      <c r="J27" s="1616">
        <f t="shared" si="1"/>
        <v>0</v>
      </c>
      <c r="K27" s="607"/>
      <c r="L27" s="607"/>
      <c r="M27" s="607"/>
      <c r="N27" s="615"/>
      <c r="O27" s="267"/>
    </row>
    <row r="28" spans="1:15" s="1" customFormat="1" ht="18" customHeight="1">
      <c r="A28" s="1331"/>
      <c r="B28" s="605"/>
      <c r="C28" s="606"/>
      <c r="D28" s="590"/>
      <c r="E28" s="606"/>
      <c r="F28" s="607"/>
      <c r="G28" s="607"/>
      <c r="H28" s="608"/>
      <c r="I28" s="608"/>
      <c r="J28" s="1616">
        <f t="shared" si="1"/>
        <v>0</v>
      </c>
      <c r="K28" s="607"/>
      <c r="L28" s="607"/>
      <c r="M28" s="607"/>
      <c r="N28" s="615"/>
      <c r="O28" s="267"/>
    </row>
    <row r="29" spans="1:15" s="1" customFormat="1" ht="18" customHeight="1">
      <c r="A29" s="1331"/>
      <c r="B29" s="605"/>
      <c r="C29" s="606"/>
      <c r="D29" s="590"/>
      <c r="E29" s="606"/>
      <c r="F29" s="607"/>
      <c r="G29" s="607"/>
      <c r="H29" s="608"/>
      <c r="I29" s="608"/>
      <c r="J29" s="1616">
        <f t="shared" si="1"/>
        <v>0</v>
      </c>
      <c r="K29" s="607"/>
      <c r="L29" s="607"/>
      <c r="M29" s="607"/>
      <c r="N29" s="615"/>
      <c r="O29" s="267"/>
    </row>
    <row r="30" spans="1:15" s="1" customFormat="1" ht="18" customHeight="1">
      <c r="A30" s="1331"/>
      <c r="B30" s="605"/>
      <c r="C30" s="606"/>
      <c r="D30" s="590"/>
      <c r="E30" s="606"/>
      <c r="F30" s="607"/>
      <c r="G30" s="607"/>
      <c r="H30" s="608"/>
      <c r="I30" s="608"/>
      <c r="J30" s="1616">
        <f t="shared" si="1"/>
        <v>0</v>
      </c>
      <c r="K30" s="607"/>
      <c r="L30" s="607"/>
      <c r="M30" s="607"/>
      <c r="N30" s="615"/>
      <c r="O30" s="267"/>
    </row>
    <row r="31" spans="1:15" s="1" customFormat="1" ht="18" customHeight="1">
      <c r="A31" s="1331"/>
      <c r="B31" s="605"/>
      <c r="C31" s="606"/>
      <c r="D31" s="590"/>
      <c r="E31" s="606"/>
      <c r="F31" s="607"/>
      <c r="G31" s="607"/>
      <c r="H31" s="608"/>
      <c r="I31" s="608"/>
      <c r="J31" s="1616">
        <f t="shared" si="1"/>
        <v>0</v>
      </c>
      <c r="K31" s="607"/>
      <c r="L31" s="607"/>
      <c r="M31" s="607"/>
      <c r="N31" s="615"/>
      <c r="O31" s="267"/>
    </row>
    <row r="32" spans="1:15" s="1" customFormat="1" ht="18" customHeight="1">
      <c r="A32" s="1331"/>
      <c r="B32" s="605"/>
      <c r="C32" s="606"/>
      <c r="D32" s="590"/>
      <c r="E32" s="606"/>
      <c r="F32" s="607"/>
      <c r="G32" s="607"/>
      <c r="H32" s="608"/>
      <c r="I32" s="608"/>
      <c r="J32" s="1616">
        <f t="shared" si="1"/>
        <v>0</v>
      </c>
      <c r="K32" s="607"/>
      <c r="L32" s="607"/>
      <c r="M32" s="607"/>
      <c r="N32" s="615"/>
      <c r="O32" s="267"/>
    </row>
    <row r="33" spans="1:15" s="1" customFormat="1" ht="18" customHeight="1">
      <c r="A33" s="1331"/>
      <c r="B33" s="609"/>
      <c r="C33" s="610"/>
      <c r="D33" s="590"/>
      <c r="E33" s="610"/>
      <c r="F33" s="611"/>
      <c r="G33" s="611"/>
      <c r="H33" s="612"/>
      <c r="I33" s="612"/>
      <c r="J33" s="1616">
        <f t="shared" si="1"/>
        <v>0</v>
      </c>
      <c r="K33" s="611"/>
      <c r="L33" s="611"/>
      <c r="M33" s="611"/>
      <c r="N33" s="616"/>
      <c r="O33" s="267"/>
    </row>
    <row r="34" spans="1:15" s="1" customFormat="1" ht="18" customHeight="1">
      <c r="A34" s="1331"/>
      <c r="B34" s="605"/>
      <c r="C34" s="606"/>
      <c r="D34" s="590"/>
      <c r="E34" s="606"/>
      <c r="F34" s="607"/>
      <c r="G34" s="607"/>
      <c r="H34" s="608"/>
      <c r="I34" s="608"/>
      <c r="J34" s="1616">
        <f t="shared" si="1"/>
        <v>0</v>
      </c>
      <c r="K34" s="607"/>
      <c r="L34" s="607"/>
      <c r="M34" s="607"/>
      <c r="N34" s="615"/>
      <c r="O34" s="267"/>
    </row>
    <row r="35" spans="1:15" s="1" customFormat="1" ht="18" customHeight="1">
      <c r="A35" s="1331"/>
      <c r="B35" s="605"/>
      <c r="C35" s="606"/>
      <c r="D35" s="590"/>
      <c r="E35" s="606"/>
      <c r="F35" s="607"/>
      <c r="G35" s="607"/>
      <c r="H35" s="608"/>
      <c r="I35" s="608"/>
      <c r="J35" s="1616">
        <f t="shared" si="1"/>
        <v>0</v>
      </c>
      <c r="K35" s="607"/>
      <c r="L35" s="607"/>
      <c r="M35" s="607"/>
      <c r="N35" s="615"/>
      <c r="O35" s="267"/>
    </row>
    <row r="36" spans="1:15" s="1" customFormat="1" ht="18" customHeight="1">
      <c r="A36" s="1331"/>
      <c r="B36" s="605"/>
      <c r="C36" s="606"/>
      <c r="D36" s="590"/>
      <c r="E36" s="606"/>
      <c r="F36" s="607"/>
      <c r="G36" s="607"/>
      <c r="H36" s="608"/>
      <c r="I36" s="608"/>
      <c r="J36" s="1616">
        <f t="shared" si="1"/>
        <v>0</v>
      </c>
      <c r="K36" s="607"/>
      <c r="L36" s="607"/>
      <c r="M36" s="614"/>
      <c r="N36" s="615"/>
      <c r="O36" s="267"/>
    </row>
    <row r="37" spans="1:15" s="1" customFormat="1" ht="18" customHeight="1">
      <c r="A37" s="1331"/>
      <c r="B37" s="605"/>
      <c r="C37" s="606"/>
      <c r="D37" s="590"/>
      <c r="E37" s="606"/>
      <c r="F37" s="607"/>
      <c r="G37" s="607"/>
      <c r="H37" s="608"/>
      <c r="I37" s="608"/>
      <c r="J37" s="1616">
        <f t="shared" si="1"/>
        <v>0</v>
      </c>
      <c r="K37" s="607"/>
      <c r="L37" s="607"/>
      <c r="M37" s="607"/>
      <c r="N37" s="615"/>
      <c r="O37" s="267"/>
    </row>
    <row r="38" spans="1:15" s="1" customFormat="1" ht="18" customHeight="1">
      <c r="A38" s="1331"/>
      <c r="B38" s="605"/>
      <c r="C38" s="606"/>
      <c r="D38" s="590"/>
      <c r="E38" s="606"/>
      <c r="F38" s="607"/>
      <c r="G38" s="607"/>
      <c r="H38" s="608"/>
      <c r="I38" s="608"/>
      <c r="J38" s="1616">
        <f t="shared" si="1"/>
        <v>0</v>
      </c>
      <c r="K38" s="607"/>
      <c r="L38" s="607"/>
      <c r="M38" s="607"/>
      <c r="N38" s="615"/>
      <c r="O38" s="267"/>
    </row>
    <row r="39" spans="1:15" s="1" customFormat="1" ht="18" customHeight="1">
      <c r="A39" s="1331"/>
      <c r="B39" s="605"/>
      <c r="C39" s="606"/>
      <c r="D39" s="590"/>
      <c r="E39" s="606"/>
      <c r="F39" s="607"/>
      <c r="G39" s="607"/>
      <c r="H39" s="608"/>
      <c r="I39" s="608"/>
      <c r="J39" s="1616">
        <f t="shared" si="1"/>
        <v>0</v>
      </c>
      <c r="K39" s="607"/>
      <c r="L39" s="607"/>
      <c r="M39" s="607"/>
      <c r="N39" s="615"/>
      <c r="O39" s="267"/>
    </row>
    <row r="40" spans="1:15" s="1" customFormat="1" ht="18" customHeight="1">
      <c r="A40" s="1331"/>
      <c r="B40" s="605"/>
      <c r="C40" s="606"/>
      <c r="D40" s="590"/>
      <c r="E40" s="606"/>
      <c r="F40" s="607"/>
      <c r="G40" s="607"/>
      <c r="H40" s="608"/>
      <c r="I40" s="608"/>
      <c r="J40" s="1616">
        <f t="shared" si="1"/>
        <v>0</v>
      </c>
      <c r="K40" s="607"/>
      <c r="L40" s="607"/>
      <c r="M40" s="607"/>
      <c r="N40" s="615"/>
      <c r="O40" s="267"/>
    </row>
    <row r="41" spans="1:15" s="1" customFormat="1" ht="18" customHeight="1">
      <c r="A41" s="1331"/>
      <c r="B41" s="605"/>
      <c r="C41" s="606"/>
      <c r="D41" s="590"/>
      <c r="E41" s="606"/>
      <c r="F41" s="607"/>
      <c r="G41" s="607"/>
      <c r="H41" s="608"/>
      <c r="I41" s="608"/>
      <c r="J41" s="1616">
        <f t="shared" si="1"/>
        <v>0</v>
      </c>
      <c r="K41" s="607"/>
      <c r="L41" s="607"/>
      <c r="M41" s="607"/>
      <c r="N41" s="615"/>
      <c r="O41" s="267"/>
    </row>
    <row r="42" spans="1:15" s="1" customFormat="1" ht="18" customHeight="1">
      <c r="A42" s="1331"/>
      <c r="B42" s="605"/>
      <c r="C42" s="606"/>
      <c r="D42" s="590"/>
      <c r="E42" s="606"/>
      <c r="F42" s="607"/>
      <c r="G42" s="607"/>
      <c r="H42" s="608"/>
      <c r="I42" s="608"/>
      <c r="J42" s="1616">
        <f t="shared" si="1"/>
        <v>0</v>
      </c>
      <c r="K42" s="607"/>
      <c r="L42" s="607"/>
      <c r="M42" s="607"/>
      <c r="N42" s="615"/>
      <c r="O42" s="267"/>
    </row>
    <row r="43" spans="1:15" s="1" customFormat="1" ht="18" customHeight="1">
      <c r="A43" s="1331"/>
      <c r="B43" s="609"/>
      <c r="C43" s="610"/>
      <c r="D43" s="590"/>
      <c r="E43" s="610"/>
      <c r="F43" s="611"/>
      <c r="G43" s="611"/>
      <c r="H43" s="612"/>
      <c r="I43" s="612"/>
      <c r="J43" s="1616">
        <f t="shared" ref="J43:J52" si="2">G43*I43</f>
        <v>0</v>
      </c>
      <c r="K43" s="611"/>
      <c r="L43" s="611"/>
      <c r="M43" s="611"/>
      <c r="N43" s="616"/>
      <c r="O43" s="267"/>
    </row>
    <row r="44" spans="1:15" s="1" customFormat="1" ht="18" customHeight="1">
      <c r="A44" s="1331"/>
      <c r="B44" s="605"/>
      <c r="C44" s="606"/>
      <c r="D44" s="590"/>
      <c r="E44" s="606"/>
      <c r="F44" s="607"/>
      <c r="G44" s="607"/>
      <c r="H44" s="608"/>
      <c r="I44" s="608"/>
      <c r="J44" s="1616">
        <f t="shared" si="2"/>
        <v>0</v>
      </c>
      <c r="K44" s="607"/>
      <c r="L44" s="607"/>
      <c r="M44" s="607"/>
      <c r="N44" s="615"/>
      <c r="O44" s="267"/>
    </row>
    <row r="45" spans="1:15" s="1" customFormat="1" ht="18" customHeight="1">
      <c r="A45" s="1331"/>
      <c r="B45" s="605"/>
      <c r="C45" s="606"/>
      <c r="D45" s="590"/>
      <c r="E45" s="606"/>
      <c r="F45" s="607"/>
      <c r="G45" s="607"/>
      <c r="H45" s="608"/>
      <c r="I45" s="608"/>
      <c r="J45" s="1616">
        <f t="shared" si="2"/>
        <v>0</v>
      </c>
      <c r="K45" s="607"/>
      <c r="L45" s="607"/>
      <c r="M45" s="607"/>
      <c r="N45" s="615"/>
      <c r="O45" s="267"/>
    </row>
    <row r="46" spans="1:15" s="1" customFormat="1" ht="18" customHeight="1">
      <c r="A46" s="1331"/>
      <c r="B46" s="605"/>
      <c r="C46" s="606"/>
      <c r="D46" s="590"/>
      <c r="E46" s="606"/>
      <c r="F46" s="607"/>
      <c r="G46" s="607"/>
      <c r="H46" s="608"/>
      <c r="I46" s="608"/>
      <c r="J46" s="1616">
        <f t="shared" si="2"/>
        <v>0</v>
      </c>
      <c r="K46" s="607"/>
      <c r="L46" s="607"/>
      <c r="M46" s="614"/>
      <c r="N46" s="615"/>
      <c r="O46" s="267"/>
    </row>
    <row r="47" spans="1:15" s="1" customFormat="1" ht="18" customHeight="1">
      <c r="A47" s="1331"/>
      <c r="B47" s="605"/>
      <c r="C47" s="606"/>
      <c r="D47" s="590"/>
      <c r="E47" s="606"/>
      <c r="F47" s="607"/>
      <c r="G47" s="607"/>
      <c r="H47" s="608"/>
      <c r="I47" s="608"/>
      <c r="J47" s="1616">
        <f t="shared" si="2"/>
        <v>0</v>
      </c>
      <c r="K47" s="607"/>
      <c r="L47" s="607"/>
      <c r="M47" s="607"/>
      <c r="N47" s="615"/>
      <c r="O47" s="267"/>
    </row>
    <row r="48" spans="1:15" s="1" customFormat="1" ht="18" customHeight="1">
      <c r="A48" s="1331"/>
      <c r="B48" s="605"/>
      <c r="C48" s="606"/>
      <c r="D48" s="590"/>
      <c r="E48" s="606"/>
      <c r="F48" s="607"/>
      <c r="G48" s="607"/>
      <c r="H48" s="608"/>
      <c r="I48" s="608"/>
      <c r="J48" s="1616">
        <f t="shared" si="2"/>
        <v>0</v>
      </c>
      <c r="K48" s="607"/>
      <c r="L48" s="607"/>
      <c r="M48" s="607"/>
      <c r="N48" s="615"/>
      <c r="O48" s="267"/>
    </row>
    <row r="49" spans="1:15" s="1" customFormat="1" ht="18" customHeight="1">
      <c r="A49" s="1331"/>
      <c r="B49" s="605"/>
      <c r="C49" s="606"/>
      <c r="D49" s="590"/>
      <c r="E49" s="606"/>
      <c r="F49" s="607"/>
      <c r="G49" s="607"/>
      <c r="H49" s="608"/>
      <c r="I49" s="608"/>
      <c r="J49" s="1616">
        <f t="shared" si="2"/>
        <v>0</v>
      </c>
      <c r="K49" s="607"/>
      <c r="L49" s="607"/>
      <c r="M49" s="607"/>
      <c r="N49" s="615"/>
      <c r="O49" s="267"/>
    </row>
    <row r="50" spans="1:15" s="1" customFormat="1" ht="18" customHeight="1">
      <c r="A50" s="1331"/>
      <c r="B50" s="605"/>
      <c r="C50" s="606"/>
      <c r="D50" s="590"/>
      <c r="E50" s="606"/>
      <c r="F50" s="607"/>
      <c r="G50" s="607"/>
      <c r="H50" s="608"/>
      <c r="I50" s="608"/>
      <c r="J50" s="1616">
        <f t="shared" si="2"/>
        <v>0</v>
      </c>
      <c r="K50" s="607"/>
      <c r="L50" s="607"/>
      <c r="M50" s="607"/>
      <c r="N50" s="615"/>
      <c r="O50" s="267"/>
    </row>
    <row r="51" spans="1:15" s="1" customFormat="1" ht="18" customHeight="1">
      <c r="A51" s="1331"/>
      <c r="B51" s="605"/>
      <c r="C51" s="606"/>
      <c r="D51" s="590"/>
      <c r="E51" s="606"/>
      <c r="F51" s="607"/>
      <c r="G51" s="607"/>
      <c r="H51" s="608"/>
      <c r="I51" s="608"/>
      <c r="J51" s="1616">
        <f t="shared" si="2"/>
        <v>0</v>
      </c>
      <c r="K51" s="607"/>
      <c r="L51" s="607"/>
      <c r="M51" s="607"/>
      <c r="N51" s="615"/>
      <c r="O51" s="267"/>
    </row>
    <row r="52" spans="1:15" s="1" customFormat="1" ht="18" customHeight="1">
      <c r="A52" s="1331"/>
      <c r="B52" s="605"/>
      <c r="C52" s="606"/>
      <c r="D52" s="590"/>
      <c r="E52" s="606"/>
      <c r="F52" s="607"/>
      <c r="G52" s="607"/>
      <c r="H52" s="608"/>
      <c r="I52" s="608"/>
      <c r="J52" s="1616">
        <f t="shared" si="2"/>
        <v>0</v>
      </c>
      <c r="K52" s="607"/>
      <c r="L52" s="607"/>
      <c r="M52" s="607"/>
      <c r="N52" s="615"/>
      <c r="O52" s="267"/>
    </row>
    <row r="53" spans="1:15" s="1" customFormat="1" ht="18" customHeight="1">
      <c r="A53" s="1331"/>
      <c r="B53" s="609"/>
      <c r="C53" s="610"/>
      <c r="D53" s="590"/>
      <c r="E53" s="610"/>
      <c r="F53" s="611"/>
      <c r="G53" s="611"/>
      <c r="H53" s="612"/>
      <c r="I53" s="612"/>
      <c r="J53" s="1616">
        <f t="shared" ref="J53:J60" si="3">G53*I53</f>
        <v>0</v>
      </c>
      <c r="K53" s="611"/>
      <c r="L53" s="611"/>
      <c r="M53" s="611"/>
      <c r="N53" s="616"/>
      <c r="O53" s="267"/>
    </row>
    <row r="54" spans="1:15" s="1" customFormat="1" ht="18" customHeight="1">
      <c r="A54" s="1331"/>
      <c r="B54" s="605"/>
      <c r="C54" s="606"/>
      <c r="D54" s="590"/>
      <c r="E54" s="606"/>
      <c r="F54" s="607"/>
      <c r="G54" s="607"/>
      <c r="H54" s="608"/>
      <c r="I54" s="608"/>
      <c r="J54" s="1616">
        <f t="shared" si="3"/>
        <v>0</v>
      </c>
      <c r="K54" s="607"/>
      <c r="L54" s="607"/>
      <c r="M54" s="607"/>
      <c r="N54" s="615"/>
      <c r="O54" s="267"/>
    </row>
    <row r="55" spans="1:15" s="1" customFormat="1" ht="18" customHeight="1">
      <c r="A55" s="1331"/>
      <c r="B55" s="605"/>
      <c r="C55" s="606"/>
      <c r="D55" s="590"/>
      <c r="E55" s="606"/>
      <c r="F55" s="607"/>
      <c r="G55" s="607"/>
      <c r="H55" s="608"/>
      <c r="I55" s="608"/>
      <c r="J55" s="1616">
        <f t="shared" si="3"/>
        <v>0</v>
      </c>
      <c r="K55" s="607"/>
      <c r="L55" s="607"/>
      <c r="M55" s="607"/>
      <c r="N55" s="615"/>
      <c r="O55" s="267"/>
    </row>
    <row r="56" spans="1:15" s="1" customFormat="1" ht="18" customHeight="1">
      <c r="A56" s="1331"/>
      <c r="B56" s="605"/>
      <c r="C56" s="606"/>
      <c r="D56" s="590"/>
      <c r="E56" s="606"/>
      <c r="F56" s="607"/>
      <c r="G56" s="607"/>
      <c r="H56" s="608"/>
      <c r="I56" s="608"/>
      <c r="J56" s="1616">
        <f t="shared" si="3"/>
        <v>0</v>
      </c>
      <c r="K56" s="607"/>
      <c r="L56" s="607"/>
      <c r="M56" s="614"/>
      <c r="N56" s="615"/>
      <c r="O56" s="267"/>
    </row>
    <row r="57" spans="1:15" s="1" customFormat="1" ht="18" customHeight="1">
      <c r="A57" s="1331"/>
      <c r="B57" s="605"/>
      <c r="C57" s="606"/>
      <c r="D57" s="590"/>
      <c r="E57" s="606"/>
      <c r="F57" s="607"/>
      <c r="G57" s="607"/>
      <c r="H57" s="608"/>
      <c r="I57" s="608"/>
      <c r="J57" s="1616">
        <f t="shared" si="3"/>
        <v>0</v>
      </c>
      <c r="K57" s="607"/>
      <c r="L57" s="607"/>
      <c r="M57" s="607"/>
      <c r="N57" s="615"/>
      <c r="O57" s="267"/>
    </row>
    <row r="58" spans="1:15" s="1" customFormat="1" ht="18" customHeight="1">
      <c r="A58" s="1331"/>
      <c r="B58" s="605"/>
      <c r="C58" s="606"/>
      <c r="D58" s="590"/>
      <c r="E58" s="606"/>
      <c r="F58" s="607"/>
      <c r="G58" s="607"/>
      <c r="H58" s="608"/>
      <c r="I58" s="608"/>
      <c r="J58" s="1616">
        <f t="shared" si="3"/>
        <v>0</v>
      </c>
      <c r="K58" s="607"/>
      <c r="L58" s="607"/>
      <c r="M58" s="607"/>
      <c r="N58" s="615"/>
      <c r="O58" s="267"/>
    </row>
    <row r="59" spans="1:15" s="1" customFormat="1" ht="18" customHeight="1">
      <c r="A59" s="1331"/>
      <c r="B59" s="605"/>
      <c r="C59" s="606"/>
      <c r="D59" s="590"/>
      <c r="E59" s="606"/>
      <c r="F59" s="607"/>
      <c r="G59" s="607"/>
      <c r="H59" s="608"/>
      <c r="I59" s="608"/>
      <c r="J59" s="1616">
        <f t="shared" si="3"/>
        <v>0</v>
      </c>
      <c r="K59" s="607"/>
      <c r="L59" s="607"/>
      <c r="M59" s="607"/>
      <c r="N59" s="615"/>
      <c r="O59" s="267"/>
    </row>
    <row r="60" spans="1:15" s="1" customFormat="1" ht="18" customHeight="1">
      <c r="A60" s="1331"/>
      <c r="B60" s="605"/>
      <c r="C60" s="606"/>
      <c r="D60" s="590"/>
      <c r="E60" s="606"/>
      <c r="F60" s="607"/>
      <c r="G60" s="607"/>
      <c r="H60" s="608"/>
      <c r="I60" s="608"/>
      <c r="J60" s="1616">
        <f t="shared" si="3"/>
        <v>0</v>
      </c>
      <c r="K60" s="607"/>
      <c r="L60" s="607"/>
      <c r="M60" s="607"/>
      <c r="N60" s="615"/>
      <c r="O60" s="267"/>
    </row>
    <row r="61" spans="1:15" s="1" customFormat="1" ht="18" customHeight="1">
      <c r="A61" s="1331"/>
      <c r="B61" s="605"/>
      <c r="C61" s="606"/>
      <c r="D61" s="590"/>
      <c r="E61" s="606"/>
      <c r="F61" s="607"/>
      <c r="G61" s="607"/>
      <c r="H61" s="608"/>
      <c r="I61" s="608"/>
      <c r="J61" s="1616">
        <f t="shared" ref="J61:J98" si="4">G61*I61</f>
        <v>0</v>
      </c>
      <c r="K61" s="613"/>
      <c r="L61" s="613"/>
      <c r="M61" s="613"/>
      <c r="N61" s="617"/>
      <c r="O61" s="267"/>
    </row>
    <row r="62" spans="1:15" s="1" customFormat="1" ht="18" customHeight="1">
      <c r="A62" s="1331"/>
      <c r="B62" s="605"/>
      <c r="C62" s="606"/>
      <c r="D62" s="590"/>
      <c r="E62" s="606"/>
      <c r="F62" s="607"/>
      <c r="G62" s="607"/>
      <c r="H62" s="608"/>
      <c r="I62" s="608"/>
      <c r="J62" s="1616">
        <f t="shared" si="4"/>
        <v>0</v>
      </c>
      <c r="K62" s="613"/>
      <c r="L62" s="613"/>
      <c r="M62" s="613"/>
      <c r="N62" s="617"/>
      <c r="O62" s="267"/>
    </row>
    <row r="63" spans="1:15" s="1" customFormat="1" ht="18" customHeight="1">
      <c r="A63" s="1331"/>
      <c r="B63" s="605"/>
      <c r="C63" s="606"/>
      <c r="D63" s="590"/>
      <c r="E63" s="606"/>
      <c r="F63" s="607"/>
      <c r="G63" s="607"/>
      <c r="H63" s="608"/>
      <c r="I63" s="608"/>
      <c r="J63" s="1616">
        <f t="shared" si="4"/>
        <v>0</v>
      </c>
      <c r="K63" s="613"/>
      <c r="L63" s="613"/>
      <c r="M63" s="613"/>
      <c r="N63" s="617"/>
      <c r="O63" s="267"/>
    </row>
    <row r="64" spans="1:15" s="1" customFormat="1" ht="18" customHeight="1">
      <c r="A64" s="1331"/>
      <c r="B64" s="605"/>
      <c r="C64" s="606"/>
      <c r="D64" s="590"/>
      <c r="E64" s="606"/>
      <c r="F64" s="607"/>
      <c r="G64" s="607"/>
      <c r="H64" s="608"/>
      <c r="I64" s="608"/>
      <c r="J64" s="1616">
        <f t="shared" si="4"/>
        <v>0</v>
      </c>
      <c r="K64" s="613"/>
      <c r="L64" s="613"/>
      <c r="M64" s="613"/>
      <c r="N64" s="617"/>
      <c r="O64" s="267"/>
    </row>
    <row r="65" spans="1:15" s="1" customFormat="1" ht="18" customHeight="1">
      <c r="A65" s="1331"/>
      <c r="B65" s="605"/>
      <c r="C65" s="606"/>
      <c r="D65" s="590"/>
      <c r="E65" s="606"/>
      <c r="F65" s="607"/>
      <c r="G65" s="607"/>
      <c r="H65" s="608"/>
      <c r="I65" s="608"/>
      <c r="J65" s="1616">
        <f t="shared" si="4"/>
        <v>0</v>
      </c>
      <c r="K65" s="613"/>
      <c r="L65" s="613"/>
      <c r="M65" s="613"/>
      <c r="N65" s="617"/>
      <c r="O65" s="267"/>
    </row>
    <row r="66" spans="1:15" s="1" customFormat="1" ht="18" customHeight="1">
      <c r="A66" s="1331"/>
      <c r="B66" s="605"/>
      <c r="C66" s="606"/>
      <c r="D66" s="590"/>
      <c r="E66" s="606"/>
      <c r="F66" s="607"/>
      <c r="G66" s="607"/>
      <c r="H66" s="608"/>
      <c r="I66" s="608"/>
      <c r="J66" s="1616">
        <f t="shared" si="4"/>
        <v>0</v>
      </c>
      <c r="K66" s="613"/>
      <c r="L66" s="613"/>
      <c r="M66" s="613"/>
      <c r="N66" s="617"/>
      <c r="O66" s="267"/>
    </row>
    <row r="67" spans="1:15" s="1" customFormat="1" ht="18" customHeight="1">
      <c r="A67" s="1331"/>
      <c r="B67" s="605"/>
      <c r="C67" s="606"/>
      <c r="D67" s="590"/>
      <c r="E67" s="606"/>
      <c r="F67" s="607"/>
      <c r="G67" s="607"/>
      <c r="H67" s="608"/>
      <c r="I67" s="608"/>
      <c r="J67" s="1616">
        <f t="shared" si="4"/>
        <v>0</v>
      </c>
      <c r="K67" s="613"/>
      <c r="L67" s="613"/>
      <c r="M67" s="613"/>
      <c r="N67" s="617"/>
      <c r="O67" s="267"/>
    </row>
    <row r="68" spans="1:15" s="1" customFormat="1" ht="18" customHeight="1">
      <c r="A68" s="1331"/>
      <c r="B68" s="605"/>
      <c r="C68" s="606"/>
      <c r="D68" s="590"/>
      <c r="E68" s="606"/>
      <c r="F68" s="607"/>
      <c r="G68" s="607"/>
      <c r="H68" s="608"/>
      <c r="I68" s="608"/>
      <c r="J68" s="1616">
        <f t="shared" si="4"/>
        <v>0</v>
      </c>
      <c r="K68" s="613"/>
      <c r="L68" s="613"/>
      <c r="M68" s="613"/>
      <c r="N68" s="617"/>
      <c r="O68" s="267"/>
    </row>
    <row r="69" spans="1:15" s="1" customFormat="1" ht="18" customHeight="1">
      <c r="A69" s="1331"/>
      <c r="B69" s="605"/>
      <c r="C69" s="606"/>
      <c r="D69" s="590"/>
      <c r="E69" s="606"/>
      <c r="F69" s="607"/>
      <c r="G69" s="607"/>
      <c r="H69" s="608"/>
      <c r="I69" s="608"/>
      <c r="J69" s="1616">
        <f t="shared" si="4"/>
        <v>0</v>
      </c>
      <c r="K69" s="613"/>
      <c r="L69" s="613"/>
      <c r="M69" s="613"/>
      <c r="N69" s="617"/>
      <c r="O69" s="267"/>
    </row>
    <row r="70" spans="1:15" s="1" customFormat="1" ht="18" customHeight="1">
      <c r="A70" s="1331"/>
      <c r="B70" s="605"/>
      <c r="C70" s="606"/>
      <c r="D70" s="590"/>
      <c r="E70" s="606"/>
      <c r="F70" s="607"/>
      <c r="G70" s="607"/>
      <c r="H70" s="608"/>
      <c r="I70" s="608"/>
      <c r="J70" s="1616">
        <f t="shared" si="4"/>
        <v>0</v>
      </c>
      <c r="K70" s="613"/>
      <c r="L70" s="613"/>
      <c r="M70" s="613"/>
      <c r="N70" s="617"/>
      <c r="O70" s="267"/>
    </row>
    <row r="71" spans="1:15" s="1" customFormat="1" ht="18" customHeight="1">
      <c r="A71" s="1331"/>
      <c r="B71" s="605"/>
      <c r="C71" s="606"/>
      <c r="D71" s="590"/>
      <c r="E71" s="606"/>
      <c r="F71" s="607"/>
      <c r="G71" s="607"/>
      <c r="H71" s="608"/>
      <c r="I71" s="608"/>
      <c r="J71" s="1616">
        <f t="shared" si="4"/>
        <v>0</v>
      </c>
      <c r="K71" s="613"/>
      <c r="L71" s="613"/>
      <c r="M71" s="613"/>
      <c r="N71" s="617"/>
      <c r="O71" s="267"/>
    </row>
    <row r="72" spans="1:15" s="1" customFormat="1" ht="18" customHeight="1">
      <c r="A72" s="1331"/>
      <c r="B72" s="605"/>
      <c r="C72" s="606"/>
      <c r="D72" s="590"/>
      <c r="E72" s="606"/>
      <c r="F72" s="607"/>
      <c r="G72" s="607"/>
      <c r="H72" s="608"/>
      <c r="I72" s="608"/>
      <c r="J72" s="1616">
        <f t="shared" si="4"/>
        <v>0</v>
      </c>
      <c r="K72" s="613"/>
      <c r="L72" s="613"/>
      <c r="M72" s="613"/>
      <c r="N72" s="617"/>
      <c r="O72" s="267"/>
    </row>
    <row r="73" spans="1:15" s="1" customFormat="1" ht="18" customHeight="1">
      <c r="A73" s="1331"/>
      <c r="B73" s="605"/>
      <c r="C73" s="606"/>
      <c r="D73" s="590"/>
      <c r="E73" s="606"/>
      <c r="F73" s="607"/>
      <c r="G73" s="607"/>
      <c r="H73" s="608"/>
      <c r="I73" s="608"/>
      <c r="J73" s="1616">
        <f t="shared" si="4"/>
        <v>0</v>
      </c>
      <c r="K73" s="613"/>
      <c r="L73" s="613"/>
      <c r="M73" s="613"/>
      <c r="N73" s="617"/>
      <c r="O73" s="267"/>
    </row>
    <row r="74" spans="1:15" s="1" customFormat="1" ht="18" customHeight="1">
      <c r="A74" s="1331"/>
      <c r="B74" s="605"/>
      <c r="C74" s="606"/>
      <c r="D74" s="590"/>
      <c r="E74" s="606"/>
      <c r="F74" s="607"/>
      <c r="G74" s="607"/>
      <c r="H74" s="608"/>
      <c r="I74" s="608"/>
      <c r="J74" s="1616">
        <f t="shared" si="4"/>
        <v>0</v>
      </c>
      <c r="K74" s="613"/>
      <c r="L74" s="613"/>
      <c r="M74" s="613"/>
      <c r="N74" s="617"/>
      <c r="O74" s="267"/>
    </row>
    <row r="75" spans="1:15" s="1" customFormat="1" ht="18" customHeight="1">
      <c r="A75" s="1331"/>
      <c r="B75" s="605"/>
      <c r="C75" s="606"/>
      <c r="D75" s="590"/>
      <c r="E75" s="606"/>
      <c r="F75" s="607"/>
      <c r="G75" s="607"/>
      <c r="H75" s="608"/>
      <c r="I75" s="608"/>
      <c r="J75" s="1616">
        <f t="shared" si="4"/>
        <v>0</v>
      </c>
      <c r="K75" s="613"/>
      <c r="L75" s="613"/>
      <c r="M75" s="613"/>
      <c r="N75" s="617"/>
      <c r="O75" s="267"/>
    </row>
    <row r="76" spans="1:15" s="1" customFormat="1" ht="18" customHeight="1">
      <c r="A76" s="1331"/>
      <c r="B76" s="605"/>
      <c r="C76" s="606"/>
      <c r="D76" s="590"/>
      <c r="E76" s="606"/>
      <c r="F76" s="607"/>
      <c r="G76" s="607"/>
      <c r="H76" s="608"/>
      <c r="I76" s="608"/>
      <c r="J76" s="1616">
        <f t="shared" si="4"/>
        <v>0</v>
      </c>
      <c r="K76" s="613"/>
      <c r="L76" s="613"/>
      <c r="M76" s="613"/>
      <c r="N76" s="617"/>
      <c r="O76" s="267"/>
    </row>
    <row r="77" spans="1:15" s="1" customFormat="1" ht="18" customHeight="1">
      <c r="A77" s="1331"/>
      <c r="B77" s="605"/>
      <c r="C77" s="606"/>
      <c r="D77" s="590"/>
      <c r="E77" s="606"/>
      <c r="F77" s="607"/>
      <c r="G77" s="607"/>
      <c r="H77" s="608"/>
      <c r="I77" s="608"/>
      <c r="J77" s="1616">
        <f t="shared" si="4"/>
        <v>0</v>
      </c>
      <c r="K77" s="613"/>
      <c r="L77" s="613"/>
      <c r="M77" s="613"/>
      <c r="N77" s="617"/>
      <c r="O77" s="267"/>
    </row>
    <row r="78" spans="1:15" s="1" customFormat="1" ht="18" customHeight="1">
      <c r="A78" s="1331"/>
      <c r="B78" s="605"/>
      <c r="C78" s="606"/>
      <c r="D78" s="590"/>
      <c r="E78" s="606"/>
      <c r="F78" s="607"/>
      <c r="G78" s="607"/>
      <c r="H78" s="608"/>
      <c r="I78" s="608"/>
      <c r="J78" s="1616">
        <f t="shared" si="4"/>
        <v>0</v>
      </c>
      <c r="K78" s="613"/>
      <c r="L78" s="613"/>
      <c r="M78" s="613"/>
      <c r="N78" s="617"/>
      <c r="O78" s="267"/>
    </row>
    <row r="79" spans="1:15" s="1" customFormat="1" ht="18" customHeight="1">
      <c r="A79" s="1331"/>
      <c r="B79" s="605"/>
      <c r="C79" s="606"/>
      <c r="D79" s="590"/>
      <c r="E79" s="606"/>
      <c r="F79" s="607"/>
      <c r="G79" s="607"/>
      <c r="H79" s="608"/>
      <c r="I79" s="608"/>
      <c r="J79" s="1616">
        <f t="shared" si="4"/>
        <v>0</v>
      </c>
      <c r="K79" s="613"/>
      <c r="L79" s="613"/>
      <c r="M79" s="613"/>
      <c r="N79" s="617"/>
      <c r="O79" s="267"/>
    </row>
    <row r="80" spans="1:15" s="1" customFormat="1" ht="18" customHeight="1">
      <c r="A80" s="1331"/>
      <c r="B80" s="605"/>
      <c r="C80" s="606"/>
      <c r="D80" s="590"/>
      <c r="E80" s="606"/>
      <c r="F80" s="607"/>
      <c r="G80" s="607"/>
      <c r="H80" s="608"/>
      <c r="I80" s="608"/>
      <c r="J80" s="1616">
        <f t="shared" si="4"/>
        <v>0</v>
      </c>
      <c r="K80" s="613"/>
      <c r="L80" s="613"/>
      <c r="M80" s="613"/>
      <c r="N80" s="617"/>
      <c r="O80" s="267"/>
    </row>
    <row r="81" spans="1:15" s="1" customFormat="1" ht="18" customHeight="1">
      <c r="A81" s="1331"/>
      <c r="B81" s="605"/>
      <c r="C81" s="606"/>
      <c r="D81" s="590"/>
      <c r="E81" s="606"/>
      <c r="F81" s="607"/>
      <c r="G81" s="607"/>
      <c r="H81" s="608"/>
      <c r="I81" s="608"/>
      <c r="J81" s="1616">
        <f t="shared" si="4"/>
        <v>0</v>
      </c>
      <c r="K81" s="613"/>
      <c r="L81" s="613"/>
      <c r="M81" s="613"/>
      <c r="N81" s="617"/>
      <c r="O81" s="267"/>
    </row>
    <row r="82" spans="1:15" s="1" customFormat="1" ht="18" customHeight="1">
      <c r="A82" s="1331"/>
      <c r="B82" s="605"/>
      <c r="C82" s="606"/>
      <c r="D82" s="590"/>
      <c r="E82" s="606"/>
      <c r="F82" s="607"/>
      <c r="G82" s="607"/>
      <c r="H82" s="608"/>
      <c r="I82" s="608"/>
      <c r="J82" s="1616">
        <f t="shared" si="4"/>
        <v>0</v>
      </c>
      <c r="K82" s="613"/>
      <c r="L82" s="613"/>
      <c r="M82" s="613"/>
      <c r="N82" s="617"/>
      <c r="O82" s="267"/>
    </row>
    <row r="83" spans="1:15" s="1" customFormat="1" ht="18" customHeight="1">
      <c r="A83" s="1331"/>
      <c r="B83" s="605"/>
      <c r="C83" s="606"/>
      <c r="D83" s="590"/>
      <c r="E83" s="606"/>
      <c r="F83" s="607"/>
      <c r="G83" s="607"/>
      <c r="H83" s="608"/>
      <c r="I83" s="608"/>
      <c r="J83" s="1616">
        <f t="shared" si="4"/>
        <v>0</v>
      </c>
      <c r="K83" s="613"/>
      <c r="L83" s="613"/>
      <c r="M83" s="613"/>
      <c r="N83" s="617"/>
      <c r="O83" s="267"/>
    </row>
    <row r="84" spans="1:15" s="1" customFormat="1" ht="18" customHeight="1">
      <c r="A84" s="1331"/>
      <c r="B84" s="605"/>
      <c r="C84" s="606"/>
      <c r="D84" s="590"/>
      <c r="E84" s="606"/>
      <c r="F84" s="607"/>
      <c r="G84" s="607"/>
      <c r="H84" s="608"/>
      <c r="I84" s="608"/>
      <c r="J84" s="1616">
        <f t="shared" si="4"/>
        <v>0</v>
      </c>
      <c r="K84" s="613"/>
      <c r="L84" s="613"/>
      <c r="M84" s="613"/>
      <c r="N84" s="617"/>
      <c r="O84" s="267"/>
    </row>
    <row r="85" spans="1:15" s="1" customFormat="1" ht="18" customHeight="1">
      <c r="A85" s="1331"/>
      <c r="B85" s="605"/>
      <c r="C85" s="606"/>
      <c r="D85" s="590"/>
      <c r="E85" s="606"/>
      <c r="F85" s="607"/>
      <c r="G85" s="607"/>
      <c r="H85" s="608"/>
      <c r="I85" s="608"/>
      <c r="J85" s="1616">
        <f t="shared" si="4"/>
        <v>0</v>
      </c>
      <c r="K85" s="613"/>
      <c r="L85" s="613"/>
      <c r="M85" s="613"/>
      <c r="N85" s="617"/>
      <c r="O85" s="267"/>
    </row>
    <row r="86" spans="1:15" s="1" customFormat="1" ht="18" customHeight="1">
      <c r="A86" s="1331"/>
      <c r="B86" s="605"/>
      <c r="C86" s="606"/>
      <c r="D86" s="590"/>
      <c r="E86" s="606"/>
      <c r="F86" s="607"/>
      <c r="G86" s="607"/>
      <c r="H86" s="608"/>
      <c r="I86" s="608"/>
      <c r="J86" s="1616">
        <f t="shared" si="4"/>
        <v>0</v>
      </c>
      <c r="K86" s="613"/>
      <c r="L86" s="613"/>
      <c r="M86" s="613"/>
      <c r="N86" s="617"/>
      <c r="O86" s="267"/>
    </row>
    <row r="87" spans="1:15" s="1" customFormat="1" ht="18" customHeight="1">
      <c r="A87" s="1331"/>
      <c r="B87" s="605"/>
      <c r="C87" s="606"/>
      <c r="D87" s="590"/>
      <c r="E87" s="606"/>
      <c r="F87" s="607"/>
      <c r="G87" s="607"/>
      <c r="H87" s="608"/>
      <c r="I87" s="608"/>
      <c r="J87" s="1616">
        <f t="shared" si="4"/>
        <v>0</v>
      </c>
      <c r="K87" s="613"/>
      <c r="L87" s="613"/>
      <c r="M87" s="613"/>
      <c r="N87" s="617"/>
      <c r="O87" s="267"/>
    </row>
    <row r="88" spans="1:15" s="1" customFormat="1" ht="18" customHeight="1">
      <c r="A88" s="1331"/>
      <c r="B88" s="605"/>
      <c r="C88" s="606"/>
      <c r="D88" s="590"/>
      <c r="E88" s="606"/>
      <c r="F88" s="607"/>
      <c r="G88" s="607"/>
      <c r="H88" s="608"/>
      <c r="I88" s="608"/>
      <c r="J88" s="1616">
        <f t="shared" si="4"/>
        <v>0</v>
      </c>
      <c r="K88" s="613"/>
      <c r="L88" s="613"/>
      <c r="M88" s="613"/>
      <c r="N88" s="617"/>
      <c r="O88" s="267"/>
    </row>
    <row r="89" spans="1:15" s="1" customFormat="1" ht="18" customHeight="1">
      <c r="A89" s="1331"/>
      <c r="B89" s="605"/>
      <c r="C89" s="606"/>
      <c r="D89" s="590"/>
      <c r="E89" s="606"/>
      <c r="F89" s="607"/>
      <c r="G89" s="607"/>
      <c r="H89" s="608"/>
      <c r="I89" s="608"/>
      <c r="J89" s="1616">
        <f t="shared" si="4"/>
        <v>0</v>
      </c>
      <c r="K89" s="613"/>
      <c r="L89" s="613"/>
      <c r="M89" s="613"/>
      <c r="N89" s="617"/>
      <c r="O89" s="267"/>
    </row>
    <row r="90" spans="1:15" s="1" customFormat="1" ht="18" customHeight="1">
      <c r="A90" s="1331"/>
      <c r="B90" s="605"/>
      <c r="C90" s="606"/>
      <c r="D90" s="590"/>
      <c r="E90" s="606"/>
      <c r="F90" s="607"/>
      <c r="G90" s="607"/>
      <c r="H90" s="608"/>
      <c r="I90" s="608"/>
      <c r="J90" s="1616">
        <f t="shared" si="4"/>
        <v>0</v>
      </c>
      <c r="K90" s="613"/>
      <c r="L90" s="613"/>
      <c r="M90" s="613"/>
      <c r="N90" s="617"/>
      <c r="O90" s="267"/>
    </row>
    <row r="91" spans="1:15" s="1" customFormat="1" ht="18" customHeight="1">
      <c r="A91" s="1331"/>
      <c r="B91" s="605"/>
      <c r="C91" s="606"/>
      <c r="D91" s="590"/>
      <c r="E91" s="606"/>
      <c r="F91" s="607"/>
      <c r="G91" s="607"/>
      <c r="H91" s="608"/>
      <c r="I91" s="608"/>
      <c r="J91" s="1616">
        <f t="shared" si="4"/>
        <v>0</v>
      </c>
      <c r="K91" s="613"/>
      <c r="L91" s="613"/>
      <c r="M91" s="613"/>
      <c r="N91" s="617"/>
      <c r="O91" s="267"/>
    </row>
    <row r="92" spans="1:15" s="1" customFormat="1" ht="18" customHeight="1">
      <c r="A92" s="1331"/>
      <c r="B92" s="605"/>
      <c r="C92" s="606"/>
      <c r="D92" s="590"/>
      <c r="E92" s="606"/>
      <c r="F92" s="607"/>
      <c r="G92" s="607"/>
      <c r="H92" s="608"/>
      <c r="I92" s="608"/>
      <c r="J92" s="1616">
        <f t="shared" si="4"/>
        <v>0</v>
      </c>
      <c r="K92" s="613"/>
      <c r="L92" s="613"/>
      <c r="M92" s="613"/>
      <c r="N92" s="617"/>
      <c r="O92" s="267"/>
    </row>
    <row r="93" spans="1:15" s="1" customFormat="1" ht="18" customHeight="1">
      <c r="A93" s="1331"/>
      <c r="B93" s="605"/>
      <c r="C93" s="606"/>
      <c r="D93" s="590"/>
      <c r="E93" s="606"/>
      <c r="F93" s="607"/>
      <c r="G93" s="607"/>
      <c r="H93" s="608"/>
      <c r="I93" s="608"/>
      <c r="J93" s="1616">
        <f t="shared" si="4"/>
        <v>0</v>
      </c>
      <c r="K93" s="613"/>
      <c r="L93" s="613"/>
      <c r="M93" s="613"/>
      <c r="N93" s="617"/>
      <c r="O93" s="267"/>
    </row>
    <row r="94" spans="1:15" s="1" customFormat="1" ht="18" customHeight="1">
      <c r="A94" s="1331"/>
      <c r="B94" s="605"/>
      <c r="C94" s="606"/>
      <c r="D94" s="590"/>
      <c r="E94" s="606"/>
      <c r="F94" s="607"/>
      <c r="G94" s="607"/>
      <c r="H94" s="608"/>
      <c r="I94" s="608"/>
      <c r="J94" s="1616">
        <f t="shared" si="4"/>
        <v>0</v>
      </c>
      <c r="K94" s="613"/>
      <c r="L94" s="613"/>
      <c r="M94" s="613"/>
      <c r="N94" s="617"/>
      <c r="O94" s="267"/>
    </row>
    <row r="95" spans="1:15" s="1" customFormat="1" ht="18" customHeight="1">
      <c r="A95" s="1331"/>
      <c r="B95" s="605"/>
      <c r="C95" s="606"/>
      <c r="D95" s="590"/>
      <c r="E95" s="606"/>
      <c r="F95" s="607"/>
      <c r="G95" s="607"/>
      <c r="H95" s="608"/>
      <c r="I95" s="608"/>
      <c r="J95" s="1616">
        <f t="shared" si="4"/>
        <v>0</v>
      </c>
      <c r="K95" s="613"/>
      <c r="L95" s="613"/>
      <c r="M95" s="613"/>
      <c r="N95" s="617"/>
      <c r="O95" s="267"/>
    </row>
    <row r="96" spans="1:15" s="1" customFormat="1" ht="18" customHeight="1">
      <c r="A96" s="1331"/>
      <c r="B96" s="605"/>
      <c r="C96" s="606"/>
      <c r="D96" s="590"/>
      <c r="E96" s="606"/>
      <c r="F96" s="607"/>
      <c r="G96" s="607"/>
      <c r="H96" s="608"/>
      <c r="I96" s="608"/>
      <c r="J96" s="1616">
        <f t="shared" si="4"/>
        <v>0</v>
      </c>
      <c r="K96" s="613"/>
      <c r="L96" s="613"/>
      <c r="M96" s="613"/>
      <c r="N96" s="617"/>
      <c r="O96" s="267"/>
    </row>
    <row r="97" spans="1:15" s="1" customFormat="1" ht="18" customHeight="1">
      <c r="A97" s="1331"/>
      <c r="B97" s="605"/>
      <c r="C97" s="606"/>
      <c r="D97" s="590"/>
      <c r="E97" s="606"/>
      <c r="F97" s="607"/>
      <c r="G97" s="607"/>
      <c r="H97" s="608"/>
      <c r="I97" s="608"/>
      <c r="J97" s="1616">
        <f t="shared" si="4"/>
        <v>0</v>
      </c>
      <c r="K97" s="613"/>
      <c r="L97" s="613"/>
      <c r="M97" s="613"/>
      <c r="N97" s="617"/>
      <c r="O97" s="267"/>
    </row>
    <row r="98" spans="1:15" s="1" customFormat="1" ht="18" customHeight="1">
      <c r="A98" s="1331"/>
      <c r="B98" s="605"/>
      <c r="C98" s="606"/>
      <c r="D98" s="590"/>
      <c r="E98" s="606"/>
      <c r="F98" s="607"/>
      <c r="G98" s="607"/>
      <c r="H98" s="608"/>
      <c r="I98" s="608"/>
      <c r="J98" s="1616">
        <f t="shared" si="4"/>
        <v>0</v>
      </c>
      <c r="K98" s="613"/>
      <c r="L98" s="613"/>
      <c r="M98" s="613"/>
      <c r="N98" s="617"/>
      <c r="O98" s="267"/>
    </row>
    <row r="99" spans="1:15" s="1" customFormat="1" ht="18" customHeight="1">
      <c r="A99" s="1331"/>
      <c r="B99" s="605"/>
      <c r="C99" s="606"/>
      <c r="D99" s="590"/>
      <c r="E99" s="606"/>
      <c r="F99" s="607"/>
      <c r="G99" s="607"/>
      <c r="H99" s="608"/>
      <c r="I99" s="608"/>
      <c r="J99" s="1616">
        <f t="shared" ref="J99:J162" si="5">G99*I99</f>
        <v>0</v>
      </c>
      <c r="K99" s="613"/>
      <c r="L99" s="613"/>
      <c r="M99" s="613"/>
      <c r="N99" s="617"/>
      <c r="O99" s="267"/>
    </row>
    <row r="100" spans="1:15" s="1" customFormat="1" ht="18" customHeight="1">
      <c r="A100" s="1331"/>
      <c r="B100" s="605"/>
      <c r="C100" s="606"/>
      <c r="D100" s="590"/>
      <c r="E100" s="606"/>
      <c r="F100" s="607"/>
      <c r="G100" s="607"/>
      <c r="H100" s="608"/>
      <c r="I100" s="608"/>
      <c r="J100" s="1616">
        <f t="shared" si="5"/>
        <v>0</v>
      </c>
      <c r="K100" s="613"/>
      <c r="L100" s="613"/>
      <c r="M100" s="613"/>
      <c r="N100" s="617"/>
      <c r="O100" s="267"/>
    </row>
    <row r="101" spans="1:15" s="1" customFormat="1" ht="18" customHeight="1">
      <c r="A101" s="1331"/>
      <c r="B101" s="605"/>
      <c r="C101" s="606"/>
      <c r="D101" s="590"/>
      <c r="E101" s="606"/>
      <c r="F101" s="607"/>
      <c r="G101" s="607"/>
      <c r="H101" s="608"/>
      <c r="I101" s="608"/>
      <c r="J101" s="1616">
        <f t="shared" si="5"/>
        <v>0</v>
      </c>
      <c r="K101" s="613"/>
      <c r="L101" s="613"/>
      <c r="M101" s="613"/>
      <c r="N101" s="617"/>
      <c r="O101" s="267"/>
    </row>
    <row r="102" spans="1:15" s="1" customFormat="1" ht="18" customHeight="1">
      <c r="A102" s="1331"/>
      <c r="B102" s="605"/>
      <c r="C102" s="606"/>
      <c r="D102" s="590"/>
      <c r="E102" s="606"/>
      <c r="F102" s="607"/>
      <c r="G102" s="607"/>
      <c r="H102" s="608"/>
      <c r="I102" s="608"/>
      <c r="J102" s="1616">
        <f t="shared" si="5"/>
        <v>0</v>
      </c>
      <c r="K102" s="613"/>
      <c r="L102" s="613"/>
      <c r="M102" s="613"/>
      <c r="N102" s="617"/>
      <c r="O102" s="267"/>
    </row>
    <row r="103" spans="1:15" s="1" customFormat="1" ht="18" customHeight="1">
      <c r="A103" s="1331"/>
      <c r="B103" s="605"/>
      <c r="C103" s="606"/>
      <c r="D103" s="590"/>
      <c r="E103" s="606"/>
      <c r="F103" s="607"/>
      <c r="G103" s="607"/>
      <c r="H103" s="608"/>
      <c r="I103" s="608"/>
      <c r="J103" s="1616">
        <f t="shared" si="5"/>
        <v>0</v>
      </c>
      <c r="K103" s="613"/>
      <c r="L103" s="613"/>
      <c r="M103" s="613"/>
      <c r="N103" s="617"/>
      <c r="O103" s="267"/>
    </row>
    <row r="104" spans="1:15" s="1" customFormat="1" ht="18" customHeight="1">
      <c r="A104" s="1331"/>
      <c r="B104" s="605"/>
      <c r="C104" s="606"/>
      <c r="D104" s="590"/>
      <c r="E104" s="606"/>
      <c r="F104" s="607"/>
      <c r="G104" s="607"/>
      <c r="H104" s="608"/>
      <c r="I104" s="608"/>
      <c r="J104" s="1616">
        <f t="shared" si="5"/>
        <v>0</v>
      </c>
      <c r="K104" s="613"/>
      <c r="L104" s="613"/>
      <c r="M104" s="613"/>
      <c r="N104" s="617"/>
      <c r="O104" s="267"/>
    </row>
    <row r="105" spans="1:15" s="1" customFormat="1" ht="18" customHeight="1">
      <c r="A105" s="1331"/>
      <c r="B105" s="605"/>
      <c r="C105" s="606"/>
      <c r="D105" s="590"/>
      <c r="E105" s="606"/>
      <c r="F105" s="607"/>
      <c r="G105" s="607"/>
      <c r="H105" s="608"/>
      <c r="I105" s="608"/>
      <c r="J105" s="1616">
        <f t="shared" si="5"/>
        <v>0</v>
      </c>
      <c r="K105" s="613"/>
      <c r="L105" s="613"/>
      <c r="M105" s="613"/>
      <c r="N105" s="617"/>
      <c r="O105" s="267"/>
    </row>
    <row r="106" spans="1:15" s="1" customFormat="1" ht="18" customHeight="1">
      <c r="A106" s="1331"/>
      <c r="B106" s="605"/>
      <c r="C106" s="606"/>
      <c r="D106" s="590"/>
      <c r="E106" s="606"/>
      <c r="F106" s="607"/>
      <c r="G106" s="607"/>
      <c r="H106" s="608"/>
      <c r="I106" s="608"/>
      <c r="J106" s="1616">
        <f t="shared" si="5"/>
        <v>0</v>
      </c>
      <c r="K106" s="613"/>
      <c r="L106" s="613"/>
      <c r="M106" s="613"/>
      <c r="N106" s="617"/>
      <c r="O106" s="267"/>
    </row>
    <row r="107" spans="1:15" s="1" customFormat="1" ht="18" customHeight="1">
      <c r="A107" s="1331"/>
      <c r="B107" s="605"/>
      <c r="C107" s="606"/>
      <c r="D107" s="590"/>
      <c r="E107" s="606"/>
      <c r="F107" s="607"/>
      <c r="G107" s="607"/>
      <c r="H107" s="608"/>
      <c r="I107" s="608"/>
      <c r="J107" s="1616">
        <f t="shared" si="5"/>
        <v>0</v>
      </c>
      <c r="K107" s="613"/>
      <c r="L107" s="613"/>
      <c r="M107" s="613"/>
      <c r="N107" s="617"/>
      <c r="O107" s="267"/>
    </row>
    <row r="108" spans="1:15" s="1" customFormat="1" ht="18" customHeight="1">
      <c r="A108" s="1331"/>
      <c r="B108" s="605"/>
      <c r="C108" s="606"/>
      <c r="D108" s="590"/>
      <c r="E108" s="606"/>
      <c r="F108" s="607"/>
      <c r="G108" s="607"/>
      <c r="H108" s="608"/>
      <c r="I108" s="608"/>
      <c r="J108" s="1616">
        <f t="shared" si="5"/>
        <v>0</v>
      </c>
      <c r="K108" s="613"/>
      <c r="L108" s="613"/>
      <c r="M108" s="613"/>
      <c r="N108" s="617"/>
      <c r="O108" s="267"/>
    </row>
    <row r="109" spans="1:15" s="1" customFormat="1" ht="18" customHeight="1">
      <c r="A109" s="1331"/>
      <c r="B109" s="605"/>
      <c r="C109" s="606"/>
      <c r="D109" s="590"/>
      <c r="E109" s="606"/>
      <c r="F109" s="607"/>
      <c r="G109" s="607"/>
      <c r="H109" s="608"/>
      <c r="I109" s="608"/>
      <c r="J109" s="1616">
        <f t="shared" si="5"/>
        <v>0</v>
      </c>
      <c r="K109" s="613"/>
      <c r="L109" s="613"/>
      <c r="M109" s="613"/>
      <c r="N109" s="617"/>
      <c r="O109" s="267"/>
    </row>
    <row r="110" spans="1:15" s="1" customFormat="1" ht="18" customHeight="1">
      <c r="A110" s="1331"/>
      <c r="B110" s="605"/>
      <c r="C110" s="606"/>
      <c r="D110" s="590"/>
      <c r="E110" s="606"/>
      <c r="F110" s="607"/>
      <c r="G110" s="607"/>
      <c r="H110" s="608"/>
      <c r="I110" s="608"/>
      <c r="J110" s="1616">
        <f t="shared" si="5"/>
        <v>0</v>
      </c>
      <c r="K110" s="613"/>
      <c r="L110" s="613"/>
      <c r="M110" s="613"/>
      <c r="N110" s="617"/>
      <c r="O110" s="267"/>
    </row>
    <row r="111" spans="1:15" s="1" customFormat="1" ht="18" customHeight="1">
      <c r="A111" s="1331"/>
      <c r="B111" s="605"/>
      <c r="C111" s="606"/>
      <c r="D111" s="590"/>
      <c r="E111" s="606"/>
      <c r="F111" s="607"/>
      <c r="G111" s="607"/>
      <c r="H111" s="608"/>
      <c r="I111" s="608"/>
      <c r="J111" s="1616">
        <f t="shared" si="5"/>
        <v>0</v>
      </c>
      <c r="K111" s="613"/>
      <c r="L111" s="613"/>
      <c r="M111" s="613"/>
      <c r="N111" s="617"/>
      <c r="O111" s="267"/>
    </row>
    <row r="112" spans="1:15" s="1" customFormat="1" ht="18" customHeight="1">
      <c r="A112" s="1331"/>
      <c r="B112" s="605"/>
      <c r="C112" s="606"/>
      <c r="D112" s="590"/>
      <c r="E112" s="606"/>
      <c r="F112" s="607"/>
      <c r="G112" s="607"/>
      <c r="H112" s="608"/>
      <c r="I112" s="608"/>
      <c r="J112" s="1616">
        <f t="shared" si="5"/>
        <v>0</v>
      </c>
      <c r="K112" s="613"/>
      <c r="L112" s="613"/>
      <c r="M112" s="613"/>
      <c r="N112" s="617"/>
      <c r="O112" s="267"/>
    </row>
    <row r="113" spans="1:15" s="1" customFormat="1" ht="18" customHeight="1">
      <c r="A113" s="1331"/>
      <c r="B113" s="605"/>
      <c r="C113" s="606"/>
      <c r="D113" s="590"/>
      <c r="E113" s="606"/>
      <c r="F113" s="607"/>
      <c r="G113" s="607"/>
      <c r="H113" s="608"/>
      <c r="I113" s="608"/>
      <c r="J113" s="1616">
        <f t="shared" si="5"/>
        <v>0</v>
      </c>
      <c r="K113" s="613"/>
      <c r="L113" s="613"/>
      <c r="M113" s="613"/>
      <c r="N113" s="617"/>
      <c r="O113" s="267"/>
    </row>
    <row r="114" spans="1:15" s="1" customFormat="1" ht="18" customHeight="1">
      <c r="A114" s="1331"/>
      <c r="B114" s="605"/>
      <c r="C114" s="606"/>
      <c r="D114" s="590"/>
      <c r="E114" s="606"/>
      <c r="F114" s="607"/>
      <c r="G114" s="607"/>
      <c r="H114" s="608"/>
      <c r="I114" s="608"/>
      <c r="J114" s="1616">
        <f t="shared" si="5"/>
        <v>0</v>
      </c>
      <c r="K114" s="613"/>
      <c r="L114" s="613"/>
      <c r="M114" s="613"/>
      <c r="N114" s="617"/>
      <c r="O114" s="267"/>
    </row>
    <row r="115" spans="1:15" s="1" customFormat="1" ht="18" customHeight="1">
      <c r="A115" s="1331"/>
      <c r="B115" s="605"/>
      <c r="C115" s="606"/>
      <c r="D115" s="590"/>
      <c r="E115" s="606"/>
      <c r="F115" s="607"/>
      <c r="G115" s="607"/>
      <c r="H115" s="608"/>
      <c r="I115" s="608"/>
      <c r="J115" s="1616">
        <f t="shared" si="5"/>
        <v>0</v>
      </c>
      <c r="K115" s="613"/>
      <c r="L115" s="613"/>
      <c r="M115" s="613"/>
      <c r="N115" s="617"/>
      <c r="O115" s="267"/>
    </row>
    <row r="116" spans="1:15" s="1" customFormat="1" ht="18" customHeight="1">
      <c r="A116" s="1331"/>
      <c r="B116" s="605"/>
      <c r="C116" s="606"/>
      <c r="D116" s="590"/>
      <c r="E116" s="606"/>
      <c r="F116" s="607"/>
      <c r="G116" s="607"/>
      <c r="H116" s="608"/>
      <c r="I116" s="608"/>
      <c r="J116" s="1616">
        <f t="shared" si="5"/>
        <v>0</v>
      </c>
      <c r="K116" s="613"/>
      <c r="L116" s="613"/>
      <c r="M116" s="613"/>
      <c r="N116" s="617"/>
      <c r="O116" s="267"/>
    </row>
    <row r="117" spans="1:15" s="1" customFormat="1" ht="18" customHeight="1">
      <c r="A117" s="1331"/>
      <c r="B117" s="605"/>
      <c r="C117" s="606"/>
      <c r="D117" s="590"/>
      <c r="E117" s="606"/>
      <c r="F117" s="607"/>
      <c r="G117" s="607"/>
      <c r="H117" s="608"/>
      <c r="I117" s="608"/>
      <c r="J117" s="1616">
        <f t="shared" si="5"/>
        <v>0</v>
      </c>
      <c r="K117" s="613"/>
      <c r="L117" s="613"/>
      <c r="M117" s="613"/>
      <c r="N117" s="617"/>
      <c r="O117" s="267"/>
    </row>
    <row r="118" spans="1:15" s="1" customFormat="1" ht="18" customHeight="1">
      <c r="A118" s="1331"/>
      <c r="B118" s="605"/>
      <c r="C118" s="606"/>
      <c r="D118" s="590"/>
      <c r="E118" s="606"/>
      <c r="F118" s="607"/>
      <c r="G118" s="607"/>
      <c r="H118" s="608"/>
      <c r="I118" s="608"/>
      <c r="J118" s="1616">
        <f t="shared" si="5"/>
        <v>0</v>
      </c>
      <c r="K118" s="613"/>
      <c r="L118" s="613"/>
      <c r="M118" s="613"/>
      <c r="N118" s="617"/>
      <c r="O118" s="267"/>
    </row>
    <row r="119" spans="1:15" s="1" customFormat="1" ht="18" customHeight="1">
      <c r="A119" s="1331"/>
      <c r="B119" s="605"/>
      <c r="C119" s="606"/>
      <c r="D119" s="590"/>
      <c r="E119" s="606"/>
      <c r="F119" s="607"/>
      <c r="G119" s="607"/>
      <c r="H119" s="608"/>
      <c r="I119" s="608"/>
      <c r="J119" s="1616">
        <f t="shared" si="5"/>
        <v>0</v>
      </c>
      <c r="K119" s="613"/>
      <c r="L119" s="613"/>
      <c r="M119" s="613"/>
      <c r="N119" s="617"/>
      <c r="O119" s="267"/>
    </row>
    <row r="120" spans="1:15" s="1" customFormat="1" ht="18" customHeight="1">
      <c r="A120" s="1331"/>
      <c r="B120" s="605"/>
      <c r="C120" s="606"/>
      <c r="D120" s="590"/>
      <c r="E120" s="606"/>
      <c r="F120" s="607"/>
      <c r="G120" s="607"/>
      <c r="H120" s="608"/>
      <c r="I120" s="608"/>
      <c r="J120" s="1616">
        <f t="shared" si="5"/>
        <v>0</v>
      </c>
      <c r="K120" s="613"/>
      <c r="L120" s="613"/>
      <c r="M120" s="613"/>
      <c r="N120" s="617"/>
      <c r="O120" s="267"/>
    </row>
    <row r="121" spans="1:15" s="1" customFormat="1" ht="18" customHeight="1">
      <c r="A121" s="1331"/>
      <c r="B121" s="605"/>
      <c r="C121" s="606"/>
      <c r="D121" s="590"/>
      <c r="E121" s="606"/>
      <c r="F121" s="607"/>
      <c r="G121" s="607"/>
      <c r="H121" s="608"/>
      <c r="I121" s="608"/>
      <c r="J121" s="1616">
        <f t="shared" si="5"/>
        <v>0</v>
      </c>
      <c r="K121" s="613"/>
      <c r="L121" s="613"/>
      <c r="M121" s="613"/>
      <c r="N121" s="617"/>
      <c r="O121" s="267"/>
    </row>
    <row r="122" spans="1:15" s="1" customFormat="1" ht="18" customHeight="1">
      <c r="A122" s="1331"/>
      <c r="B122" s="605"/>
      <c r="C122" s="606"/>
      <c r="D122" s="590"/>
      <c r="E122" s="606"/>
      <c r="F122" s="607"/>
      <c r="G122" s="607"/>
      <c r="H122" s="608"/>
      <c r="I122" s="608"/>
      <c r="J122" s="1616">
        <f t="shared" si="5"/>
        <v>0</v>
      </c>
      <c r="K122" s="613"/>
      <c r="L122" s="613"/>
      <c r="M122" s="613"/>
      <c r="N122" s="617"/>
      <c r="O122" s="267"/>
    </row>
    <row r="123" spans="1:15" s="1" customFormat="1" ht="18" customHeight="1">
      <c r="A123" s="1331"/>
      <c r="B123" s="605"/>
      <c r="C123" s="606"/>
      <c r="D123" s="590"/>
      <c r="E123" s="606"/>
      <c r="F123" s="607"/>
      <c r="G123" s="607"/>
      <c r="H123" s="608"/>
      <c r="I123" s="608"/>
      <c r="J123" s="1616">
        <f t="shared" si="5"/>
        <v>0</v>
      </c>
      <c r="K123" s="613"/>
      <c r="L123" s="613"/>
      <c r="M123" s="613"/>
      <c r="N123" s="617"/>
      <c r="O123" s="267"/>
    </row>
    <row r="124" spans="1:15" s="1" customFormat="1" ht="18" customHeight="1">
      <c r="A124" s="1331"/>
      <c r="B124" s="605"/>
      <c r="C124" s="606"/>
      <c r="D124" s="590"/>
      <c r="E124" s="606"/>
      <c r="F124" s="607"/>
      <c r="G124" s="607"/>
      <c r="H124" s="608"/>
      <c r="I124" s="608"/>
      <c r="J124" s="1616">
        <f t="shared" si="5"/>
        <v>0</v>
      </c>
      <c r="K124" s="613"/>
      <c r="L124" s="613"/>
      <c r="M124" s="613"/>
      <c r="N124" s="617"/>
      <c r="O124" s="267"/>
    </row>
    <row r="125" spans="1:15" s="1" customFormat="1" ht="18" customHeight="1">
      <c r="A125" s="1331"/>
      <c r="B125" s="605"/>
      <c r="C125" s="606"/>
      <c r="D125" s="590"/>
      <c r="E125" s="606"/>
      <c r="F125" s="607"/>
      <c r="G125" s="607"/>
      <c r="H125" s="608"/>
      <c r="I125" s="608"/>
      <c r="J125" s="1616">
        <f t="shared" si="5"/>
        <v>0</v>
      </c>
      <c r="K125" s="613"/>
      <c r="L125" s="613"/>
      <c r="M125" s="613"/>
      <c r="N125" s="617"/>
      <c r="O125" s="267"/>
    </row>
    <row r="126" spans="1:15" s="1" customFormat="1" ht="18" customHeight="1">
      <c r="A126" s="1331"/>
      <c r="B126" s="605"/>
      <c r="C126" s="606"/>
      <c r="D126" s="590"/>
      <c r="E126" s="606"/>
      <c r="F126" s="607"/>
      <c r="G126" s="607"/>
      <c r="H126" s="608"/>
      <c r="I126" s="608"/>
      <c r="J126" s="1616">
        <f t="shared" si="5"/>
        <v>0</v>
      </c>
      <c r="K126" s="613"/>
      <c r="L126" s="613"/>
      <c r="M126" s="613"/>
      <c r="N126" s="617"/>
      <c r="O126" s="267"/>
    </row>
    <row r="127" spans="1:15" s="1" customFormat="1" ht="18" customHeight="1">
      <c r="A127" s="1331"/>
      <c r="B127" s="605"/>
      <c r="C127" s="606"/>
      <c r="D127" s="590"/>
      <c r="E127" s="606"/>
      <c r="F127" s="607"/>
      <c r="G127" s="607"/>
      <c r="H127" s="608"/>
      <c r="I127" s="608"/>
      <c r="J127" s="1616">
        <f t="shared" si="5"/>
        <v>0</v>
      </c>
      <c r="K127" s="613"/>
      <c r="L127" s="613"/>
      <c r="M127" s="613"/>
      <c r="N127" s="617"/>
      <c r="O127" s="267"/>
    </row>
    <row r="128" spans="1:15" s="1" customFormat="1" ht="18" customHeight="1">
      <c r="A128" s="1331"/>
      <c r="B128" s="605"/>
      <c r="C128" s="606"/>
      <c r="D128" s="590"/>
      <c r="E128" s="606"/>
      <c r="F128" s="607"/>
      <c r="G128" s="607"/>
      <c r="H128" s="608"/>
      <c r="I128" s="608"/>
      <c r="J128" s="1616">
        <f t="shared" si="5"/>
        <v>0</v>
      </c>
      <c r="K128" s="613"/>
      <c r="L128" s="613"/>
      <c r="M128" s="613"/>
      <c r="N128" s="617"/>
      <c r="O128" s="267"/>
    </row>
    <row r="129" spans="1:15" s="1" customFormat="1" ht="18" customHeight="1">
      <c r="A129" s="1331"/>
      <c r="B129" s="605"/>
      <c r="C129" s="606"/>
      <c r="D129" s="590"/>
      <c r="E129" s="606"/>
      <c r="F129" s="607"/>
      <c r="G129" s="607"/>
      <c r="H129" s="608"/>
      <c r="I129" s="608"/>
      <c r="J129" s="1616">
        <f t="shared" si="5"/>
        <v>0</v>
      </c>
      <c r="K129" s="613"/>
      <c r="L129" s="613"/>
      <c r="M129" s="613"/>
      <c r="N129" s="617"/>
      <c r="O129" s="267"/>
    </row>
    <row r="130" spans="1:15" s="1" customFormat="1" ht="18" customHeight="1">
      <c r="A130" s="1331"/>
      <c r="B130" s="605"/>
      <c r="C130" s="606"/>
      <c r="D130" s="590"/>
      <c r="E130" s="606"/>
      <c r="F130" s="607"/>
      <c r="G130" s="607"/>
      <c r="H130" s="608"/>
      <c r="I130" s="608"/>
      <c r="J130" s="1616">
        <f t="shared" si="5"/>
        <v>0</v>
      </c>
      <c r="K130" s="613"/>
      <c r="L130" s="613"/>
      <c r="M130" s="613"/>
      <c r="N130" s="617"/>
      <c r="O130" s="267"/>
    </row>
    <row r="131" spans="1:15" s="1" customFormat="1" ht="18" customHeight="1">
      <c r="A131" s="1331"/>
      <c r="B131" s="605"/>
      <c r="C131" s="606"/>
      <c r="D131" s="590"/>
      <c r="E131" s="606"/>
      <c r="F131" s="607"/>
      <c r="G131" s="607"/>
      <c r="H131" s="608"/>
      <c r="I131" s="608"/>
      <c r="J131" s="1616">
        <f t="shared" si="5"/>
        <v>0</v>
      </c>
      <c r="K131" s="613"/>
      <c r="L131" s="613"/>
      <c r="M131" s="613"/>
      <c r="N131" s="617"/>
      <c r="O131" s="267"/>
    </row>
    <row r="132" spans="1:15" s="1" customFormat="1" ht="18" customHeight="1">
      <c r="A132" s="1331"/>
      <c r="B132" s="605"/>
      <c r="C132" s="606"/>
      <c r="D132" s="590"/>
      <c r="E132" s="606"/>
      <c r="F132" s="607"/>
      <c r="G132" s="607"/>
      <c r="H132" s="608"/>
      <c r="I132" s="608"/>
      <c r="J132" s="1616">
        <f t="shared" si="5"/>
        <v>0</v>
      </c>
      <c r="K132" s="613"/>
      <c r="L132" s="613"/>
      <c r="M132" s="613"/>
      <c r="N132" s="617"/>
      <c r="O132" s="267"/>
    </row>
    <row r="133" spans="1:15" s="1" customFormat="1" ht="18" customHeight="1">
      <c r="A133" s="1331"/>
      <c r="B133" s="605"/>
      <c r="C133" s="606"/>
      <c r="D133" s="590"/>
      <c r="E133" s="606"/>
      <c r="F133" s="607"/>
      <c r="G133" s="607"/>
      <c r="H133" s="608"/>
      <c r="I133" s="608"/>
      <c r="J133" s="1616">
        <f t="shared" si="5"/>
        <v>0</v>
      </c>
      <c r="K133" s="613"/>
      <c r="L133" s="613"/>
      <c r="M133" s="613"/>
      <c r="N133" s="617"/>
      <c r="O133" s="267"/>
    </row>
    <row r="134" spans="1:15" s="1" customFormat="1" ht="18" customHeight="1">
      <c r="A134" s="1331"/>
      <c r="B134" s="605"/>
      <c r="C134" s="606"/>
      <c r="D134" s="590"/>
      <c r="E134" s="606"/>
      <c r="F134" s="607"/>
      <c r="G134" s="607"/>
      <c r="H134" s="608"/>
      <c r="I134" s="608"/>
      <c r="J134" s="1616">
        <f t="shared" si="5"/>
        <v>0</v>
      </c>
      <c r="K134" s="613"/>
      <c r="L134" s="613"/>
      <c r="M134" s="613"/>
      <c r="N134" s="617"/>
      <c r="O134" s="267"/>
    </row>
    <row r="135" spans="1:15" s="1" customFormat="1" ht="18" customHeight="1">
      <c r="A135" s="1331"/>
      <c r="B135" s="605"/>
      <c r="C135" s="606"/>
      <c r="D135" s="590"/>
      <c r="E135" s="606"/>
      <c r="F135" s="607"/>
      <c r="G135" s="607"/>
      <c r="H135" s="608"/>
      <c r="I135" s="608"/>
      <c r="J135" s="1616">
        <f t="shared" si="5"/>
        <v>0</v>
      </c>
      <c r="K135" s="613"/>
      <c r="L135" s="613"/>
      <c r="M135" s="613"/>
      <c r="N135" s="617"/>
      <c r="O135" s="267"/>
    </row>
    <row r="136" spans="1:15" s="1" customFormat="1" ht="18" customHeight="1">
      <c r="A136" s="1331"/>
      <c r="B136" s="605"/>
      <c r="C136" s="606"/>
      <c r="D136" s="590"/>
      <c r="E136" s="606"/>
      <c r="F136" s="607"/>
      <c r="G136" s="607"/>
      <c r="H136" s="608"/>
      <c r="I136" s="608"/>
      <c r="J136" s="1616">
        <f t="shared" si="5"/>
        <v>0</v>
      </c>
      <c r="K136" s="613"/>
      <c r="L136" s="613"/>
      <c r="M136" s="613"/>
      <c r="N136" s="617"/>
      <c r="O136" s="267"/>
    </row>
    <row r="137" spans="1:15" s="1" customFormat="1" ht="18" customHeight="1">
      <c r="A137" s="1331"/>
      <c r="B137" s="605"/>
      <c r="C137" s="606"/>
      <c r="D137" s="590"/>
      <c r="E137" s="606"/>
      <c r="F137" s="607"/>
      <c r="G137" s="607"/>
      <c r="H137" s="608"/>
      <c r="I137" s="608"/>
      <c r="J137" s="1616">
        <f t="shared" si="5"/>
        <v>0</v>
      </c>
      <c r="K137" s="613"/>
      <c r="L137" s="613"/>
      <c r="M137" s="613"/>
      <c r="N137" s="617"/>
      <c r="O137" s="267"/>
    </row>
    <row r="138" spans="1:15" s="1" customFormat="1" ht="18" customHeight="1">
      <c r="A138" s="1331"/>
      <c r="B138" s="605"/>
      <c r="C138" s="606"/>
      <c r="D138" s="590"/>
      <c r="E138" s="606"/>
      <c r="F138" s="607"/>
      <c r="G138" s="607"/>
      <c r="H138" s="608"/>
      <c r="I138" s="608"/>
      <c r="J138" s="1616">
        <f t="shared" si="5"/>
        <v>0</v>
      </c>
      <c r="K138" s="613"/>
      <c r="L138" s="613"/>
      <c r="M138" s="613"/>
      <c r="N138" s="617"/>
      <c r="O138" s="267"/>
    </row>
    <row r="139" spans="1:15" s="1" customFormat="1" ht="18" customHeight="1">
      <c r="A139" s="1331"/>
      <c r="B139" s="605"/>
      <c r="C139" s="606"/>
      <c r="D139" s="590"/>
      <c r="E139" s="606"/>
      <c r="F139" s="607"/>
      <c r="G139" s="607"/>
      <c r="H139" s="608"/>
      <c r="I139" s="608"/>
      <c r="J139" s="1616">
        <f t="shared" si="5"/>
        <v>0</v>
      </c>
      <c r="K139" s="613"/>
      <c r="L139" s="613"/>
      <c r="M139" s="613"/>
      <c r="N139" s="617"/>
      <c r="O139" s="267"/>
    </row>
    <row r="140" spans="1:15" s="1" customFormat="1" ht="18" customHeight="1">
      <c r="A140" s="1331"/>
      <c r="B140" s="605"/>
      <c r="C140" s="606"/>
      <c r="D140" s="590"/>
      <c r="E140" s="606"/>
      <c r="F140" s="607"/>
      <c r="G140" s="607"/>
      <c r="H140" s="608"/>
      <c r="I140" s="608"/>
      <c r="J140" s="1616">
        <f t="shared" si="5"/>
        <v>0</v>
      </c>
      <c r="K140" s="613"/>
      <c r="L140" s="613"/>
      <c r="M140" s="613"/>
      <c r="N140" s="617"/>
      <c r="O140" s="267"/>
    </row>
    <row r="141" spans="1:15" s="1" customFormat="1" ht="18" customHeight="1">
      <c r="A141" s="1331"/>
      <c r="B141" s="605"/>
      <c r="C141" s="606"/>
      <c r="D141" s="590"/>
      <c r="E141" s="606"/>
      <c r="F141" s="607"/>
      <c r="G141" s="607"/>
      <c r="H141" s="608"/>
      <c r="I141" s="608"/>
      <c r="J141" s="1616">
        <f t="shared" si="5"/>
        <v>0</v>
      </c>
      <c r="K141" s="613"/>
      <c r="L141" s="613"/>
      <c r="M141" s="613"/>
      <c r="N141" s="617"/>
      <c r="O141" s="267"/>
    </row>
    <row r="142" spans="1:15" s="1" customFormat="1" ht="18" customHeight="1">
      <c r="A142" s="1331"/>
      <c r="B142" s="605"/>
      <c r="C142" s="606"/>
      <c r="D142" s="590"/>
      <c r="E142" s="606"/>
      <c r="F142" s="607"/>
      <c r="G142" s="607"/>
      <c r="H142" s="608"/>
      <c r="I142" s="608"/>
      <c r="J142" s="1616">
        <f t="shared" si="5"/>
        <v>0</v>
      </c>
      <c r="K142" s="613"/>
      <c r="L142" s="613"/>
      <c r="M142" s="613"/>
      <c r="N142" s="617"/>
      <c r="O142" s="267"/>
    </row>
    <row r="143" spans="1:15" s="1" customFormat="1" ht="18" customHeight="1">
      <c r="A143" s="1331"/>
      <c r="B143" s="605"/>
      <c r="C143" s="606"/>
      <c r="D143" s="590"/>
      <c r="E143" s="606"/>
      <c r="F143" s="607"/>
      <c r="G143" s="607"/>
      <c r="H143" s="608"/>
      <c r="I143" s="608"/>
      <c r="J143" s="1616">
        <f t="shared" si="5"/>
        <v>0</v>
      </c>
      <c r="K143" s="613"/>
      <c r="L143" s="613"/>
      <c r="M143" s="613"/>
      <c r="N143" s="617"/>
      <c r="O143" s="267"/>
    </row>
    <row r="144" spans="1:15" s="1" customFormat="1" ht="18" customHeight="1">
      <c r="A144" s="1331"/>
      <c r="B144" s="605"/>
      <c r="C144" s="606"/>
      <c r="D144" s="590"/>
      <c r="E144" s="606"/>
      <c r="F144" s="607"/>
      <c r="G144" s="607"/>
      <c r="H144" s="608"/>
      <c r="I144" s="608"/>
      <c r="J144" s="1616">
        <f t="shared" si="5"/>
        <v>0</v>
      </c>
      <c r="K144" s="613"/>
      <c r="L144" s="613"/>
      <c r="M144" s="613"/>
      <c r="N144" s="617"/>
      <c r="O144" s="267"/>
    </row>
    <row r="145" spans="1:15" s="1" customFormat="1" ht="18" customHeight="1">
      <c r="A145" s="1331"/>
      <c r="B145" s="605"/>
      <c r="C145" s="606"/>
      <c r="D145" s="590"/>
      <c r="E145" s="606"/>
      <c r="F145" s="607"/>
      <c r="G145" s="607"/>
      <c r="H145" s="608"/>
      <c r="I145" s="608"/>
      <c r="J145" s="1616">
        <f t="shared" si="5"/>
        <v>0</v>
      </c>
      <c r="K145" s="613"/>
      <c r="L145" s="613"/>
      <c r="M145" s="613"/>
      <c r="N145" s="617"/>
      <c r="O145" s="267"/>
    </row>
    <row r="146" spans="1:15" s="1" customFormat="1" ht="18" customHeight="1">
      <c r="A146" s="1331"/>
      <c r="B146" s="605"/>
      <c r="C146" s="606"/>
      <c r="D146" s="590"/>
      <c r="E146" s="606"/>
      <c r="F146" s="607"/>
      <c r="G146" s="607"/>
      <c r="H146" s="608"/>
      <c r="I146" s="608"/>
      <c r="J146" s="1616">
        <f t="shared" si="5"/>
        <v>0</v>
      </c>
      <c r="K146" s="613"/>
      <c r="L146" s="613"/>
      <c r="M146" s="613"/>
      <c r="N146" s="617"/>
      <c r="O146" s="267"/>
    </row>
    <row r="147" spans="1:15" s="1" customFormat="1" ht="18" customHeight="1">
      <c r="A147" s="1331"/>
      <c r="B147" s="605"/>
      <c r="C147" s="606"/>
      <c r="D147" s="590"/>
      <c r="E147" s="606"/>
      <c r="F147" s="607"/>
      <c r="G147" s="607"/>
      <c r="H147" s="608"/>
      <c r="I147" s="608"/>
      <c r="J147" s="1616">
        <f t="shared" si="5"/>
        <v>0</v>
      </c>
      <c r="K147" s="613"/>
      <c r="L147" s="613"/>
      <c r="M147" s="613"/>
      <c r="N147" s="617"/>
      <c r="O147" s="267"/>
    </row>
    <row r="148" spans="1:15" s="1" customFormat="1" ht="18" customHeight="1">
      <c r="A148" s="1331"/>
      <c r="B148" s="605"/>
      <c r="C148" s="606"/>
      <c r="D148" s="590"/>
      <c r="E148" s="606"/>
      <c r="F148" s="607"/>
      <c r="G148" s="607"/>
      <c r="H148" s="608"/>
      <c r="I148" s="608"/>
      <c r="J148" s="1616">
        <f t="shared" si="5"/>
        <v>0</v>
      </c>
      <c r="K148" s="613"/>
      <c r="L148" s="613"/>
      <c r="M148" s="613"/>
      <c r="N148" s="617"/>
      <c r="O148" s="267"/>
    </row>
    <row r="149" spans="1:15" s="1" customFormat="1" ht="18" customHeight="1">
      <c r="A149" s="1331"/>
      <c r="B149" s="605"/>
      <c r="C149" s="606"/>
      <c r="D149" s="590"/>
      <c r="E149" s="606"/>
      <c r="F149" s="607"/>
      <c r="G149" s="607"/>
      <c r="H149" s="608"/>
      <c r="I149" s="608"/>
      <c r="J149" s="1616">
        <f t="shared" si="5"/>
        <v>0</v>
      </c>
      <c r="K149" s="613"/>
      <c r="L149" s="613"/>
      <c r="M149" s="613"/>
      <c r="N149" s="617"/>
      <c r="O149" s="267"/>
    </row>
    <row r="150" spans="1:15" s="1" customFormat="1" ht="18" customHeight="1">
      <c r="A150" s="1331"/>
      <c r="B150" s="605"/>
      <c r="C150" s="606"/>
      <c r="D150" s="590"/>
      <c r="E150" s="606"/>
      <c r="F150" s="607"/>
      <c r="G150" s="607"/>
      <c r="H150" s="608"/>
      <c r="I150" s="608"/>
      <c r="J150" s="1616">
        <f t="shared" si="5"/>
        <v>0</v>
      </c>
      <c r="K150" s="613"/>
      <c r="L150" s="613"/>
      <c r="M150" s="613"/>
      <c r="N150" s="617"/>
      <c r="O150" s="267"/>
    </row>
    <row r="151" spans="1:15" s="1" customFormat="1" ht="18" customHeight="1">
      <c r="A151" s="1331"/>
      <c r="B151" s="605"/>
      <c r="C151" s="606"/>
      <c r="D151" s="590"/>
      <c r="E151" s="606"/>
      <c r="F151" s="607"/>
      <c r="G151" s="607"/>
      <c r="H151" s="608"/>
      <c r="I151" s="608"/>
      <c r="J151" s="1616">
        <f t="shared" si="5"/>
        <v>0</v>
      </c>
      <c r="K151" s="613"/>
      <c r="L151" s="613"/>
      <c r="M151" s="613"/>
      <c r="N151" s="617"/>
      <c r="O151" s="267"/>
    </row>
    <row r="152" spans="1:15" s="1" customFormat="1" ht="18" customHeight="1">
      <c r="A152" s="1331"/>
      <c r="B152" s="605"/>
      <c r="C152" s="606"/>
      <c r="D152" s="590"/>
      <c r="E152" s="606"/>
      <c r="F152" s="607"/>
      <c r="G152" s="607"/>
      <c r="H152" s="608"/>
      <c r="I152" s="608"/>
      <c r="J152" s="1616">
        <f t="shared" si="5"/>
        <v>0</v>
      </c>
      <c r="K152" s="613"/>
      <c r="L152" s="613"/>
      <c r="M152" s="613"/>
      <c r="N152" s="617"/>
      <c r="O152" s="267"/>
    </row>
    <row r="153" spans="1:15" s="1" customFormat="1" ht="18" customHeight="1">
      <c r="A153" s="1331"/>
      <c r="B153" s="605"/>
      <c r="C153" s="606"/>
      <c r="D153" s="590"/>
      <c r="E153" s="606"/>
      <c r="F153" s="607"/>
      <c r="G153" s="607"/>
      <c r="H153" s="608"/>
      <c r="I153" s="608"/>
      <c r="J153" s="1616">
        <f t="shared" si="5"/>
        <v>0</v>
      </c>
      <c r="K153" s="613"/>
      <c r="L153" s="613"/>
      <c r="M153" s="613"/>
      <c r="N153" s="617"/>
      <c r="O153" s="267"/>
    </row>
    <row r="154" spans="1:15" s="1" customFormat="1" ht="18" customHeight="1">
      <c r="A154" s="1331"/>
      <c r="B154" s="605"/>
      <c r="C154" s="606"/>
      <c r="D154" s="590"/>
      <c r="E154" s="606"/>
      <c r="F154" s="607"/>
      <c r="G154" s="607"/>
      <c r="H154" s="608"/>
      <c r="I154" s="608"/>
      <c r="J154" s="1616">
        <f t="shared" si="5"/>
        <v>0</v>
      </c>
      <c r="K154" s="613"/>
      <c r="L154" s="613"/>
      <c r="M154" s="613"/>
      <c r="N154" s="617"/>
      <c r="O154" s="267"/>
    </row>
    <row r="155" spans="1:15" s="1" customFormat="1" ht="18" customHeight="1">
      <c r="A155" s="1331"/>
      <c r="B155" s="605"/>
      <c r="C155" s="606"/>
      <c r="D155" s="590"/>
      <c r="E155" s="606"/>
      <c r="F155" s="607"/>
      <c r="G155" s="607"/>
      <c r="H155" s="608"/>
      <c r="I155" s="608"/>
      <c r="J155" s="1616">
        <f t="shared" si="5"/>
        <v>0</v>
      </c>
      <c r="K155" s="613"/>
      <c r="L155" s="613"/>
      <c r="M155" s="613"/>
      <c r="N155" s="617"/>
      <c r="O155" s="267"/>
    </row>
    <row r="156" spans="1:15" s="1" customFormat="1" ht="18" customHeight="1">
      <c r="A156" s="1331"/>
      <c r="B156" s="605"/>
      <c r="C156" s="606"/>
      <c r="D156" s="590"/>
      <c r="E156" s="606"/>
      <c r="F156" s="607"/>
      <c r="G156" s="607"/>
      <c r="H156" s="608"/>
      <c r="I156" s="608"/>
      <c r="J156" s="1616">
        <f t="shared" si="5"/>
        <v>0</v>
      </c>
      <c r="K156" s="613"/>
      <c r="L156" s="613"/>
      <c r="M156" s="613"/>
      <c r="N156" s="617"/>
      <c r="O156" s="267"/>
    </row>
    <row r="157" spans="1:15" s="1" customFormat="1" ht="18" customHeight="1">
      <c r="A157" s="1331"/>
      <c r="B157" s="605"/>
      <c r="C157" s="606"/>
      <c r="D157" s="590"/>
      <c r="E157" s="606"/>
      <c r="F157" s="607"/>
      <c r="G157" s="607"/>
      <c r="H157" s="608"/>
      <c r="I157" s="608"/>
      <c r="J157" s="1616">
        <f t="shared" si="5"/>
        <v>0</v>
      </c>
      <c r="K157" s="613"/>
      <c r="L157" s="613"/>
      <c r="M157" s="613"/>
      <c r="N157" s="617"/>
      <c r="O157" s="267"/>
    </row>
    <row r="158" spans="1:15" s="1" customFormat="1" ht="18" customHeight="1">
      <c r="A158" s="1331"/>
      <c r="B158" s="605"/>
      <c r="C158" s="606"/>
      <c r="D158" s="590"/>
      <c r="E158" s="606"/>
      <c r="F158" s="607"/>
      <c r="G158" s="607"/>
      <c r="H158" s="608"/>
      <c r="I158" s="608"/>
      <c r="J158" s="1616">
        <f t="shared" si="5"/>
        <v>0</v>
      </c>
      <c r="K158" s="613"/>
      <c r="L158" s="613"/>
      <c r="M158" s="613"/>
      <c r="N158" s="617"/>
      <c r="O158" s="267"/>
    </row>
    <row r="159" spans="1:15" s="1" customFormat="1" ht="18" customHeight="1">
      <c r="A159" s="1331"/>
      <c r="B159" s="605"/>
      <c r="C159" s="606"/>
      <c r="D159" s="590"/>
      <c r="E159" s="606"/>
      <c r="F159" s="607"/>
      <c r="G159" s="607"/>
      <c r="H159" s="608"/>
      <c r="I159" s="608"/>
      <c r="J159" s="1616">
        <f t="shared" si="5"/>
        <v>0</v>
      </c>
      <c r="K159" s="613"/>
      <c r="L159" s="613"/>
      <c r="M159" s="613"/>
      <c r="N159" s="617"/>
      <c r="O159" s="267"/>
    </row>
    <row r="160" spans="1:15" s="1" customFormat="1" ht="18" customHeight="1">
      <c r="A160" s="1331"/>
      <c r="B160" s="605"/>
      <c r="C160" s="606"/>
      <c r="D160" s="590"/>
      <c r="E160" s="606"/>
      <c r="F160" s="607"/>
      <c r="G160" s="607"/>
      <c r="H160" s="608"/>
      <c r="I160" s="608"/>
      <c r="J160" s="1616">
        <f t="shared" si="5"/>
        <v>0</v>
      </c>
      <c r="K160" s="613"/>
      <c r="L160" s="613"/>
      <c r="M160" s="613"/>
      <c r="N160" s="617"/>
      <c r="O160" s="267"/>
    </row>
    <row r="161" spans="1:15" s="1" customFormat="1" ht="18" customHeight="1">
      <c r="A161" s="1331"/>
      <c r="B161" s="605"/>
      <c r="C161" s="606"/>
      <c r="D161" s="590"/>
      <c r="E161" s="606"/>
      <c r="F161" s="607"/>
      <c r="G161" s="607"/>
      <c r="H161" s="608"/>
      <c r="I161" s="608"/>
      <c r="J161" s="1616">
        <f t="shared" si="5"/>
        <v>0</v>
      </c>
      <c r="K161" s="613"/>
      <c r="L161" s="613"/>
      <c r="M161" s="613"/>
      <c r="N161" s="617"/>
      <c r="O161" s="267"/>
    </row>
    <row r="162" spans="1:15" s="1" customFormat="1" ht="18" customHeight="1">
      <c r="A162" s="1331"/>
      <c r="B162" s="605"/>
      <c r="C162" s="606"/>
      <c r="D162" s="590"/>
      <c r="E162" s="606"/>
      <c r="F162" s="607"/>
      <c r="G162" s="607"/>
      <c r="H162" s="608"/>
      <c r="I162" s="608"/>
      <c r="J162" s="1616">
        <f t="shared" si="5"/>
        <v>0</v>
      </c>
      <c r="K162" s="613"/>
      <c r="L162" s="613"/>
      <c r="M162" s="613"/>
      <c r="N162" s="617"/>
      <c r="O162" s="267"/>
    </row>
    <row r="163" spans="1:15" s="1" customFormat="1" ht="18" customHeight="1">
      <c r="A163" s="1331"/>
      <c r="B163" s="605"/>
      <c r="C163" s="606"/>
      <c r="D163" s="590"/>
      <c r="E163" s="606"/>
      <c r="F163" s="607"/>
      <c r="G163" s="607"/>
      <c r="H163" s="608"/>
      <c r="I163" s="608"/>
      <c r="J163" s="1616">
        <f t="shared" ref="J163:J226" si="6">G163*I163</f>
        <v>0</v>
      </c>
      <c r="K163" s="613"/>
      <c r="L163" s="613"/>
      <c r="M163" s="613"/>
      <c r="N163" s="617"/>
      <c r="O163" s="267"/>
    </row>
    <row r="164" spans="1:15" s="1" customFormat="1" ht="18" customHeight="1">
      <c r="A164" s="1331"/>
      <c r="B164" s="605"/>
      <c r="C164" s="606"/>
      <c r="D164" s="590"/>
      <c r="E164" s="606"/>
      <c r="F164" s="607"/>
      <c r="G164" s="607"/>
      <c r="H164" s="608"/>
      <c r="I164" s="608"/>
      <c r="J164" s="1616">
        <f t="shared" si="6"/>
        <v>0</v>
      </c>
      <c r="K164" s="613"/>
      <c r="L164" s="613"/>
      <c r="M164" s="613"/>
      <c r="N164" s="617"/>
      <c r="O164" s="267"/>
    </row>
    <row r="165" spans="1:15" s="1" customFormat="1" ht="18" customHeight="1">
      <c r="A165" s="1331"/>
      <c r="B165" s="605"/>
      <c r="C165" s="606"/>
      <c r="D165" s="590"/>
      <c r="E165" s="606"/>
      <c r="F165" s="607"/>
      <c r="G165" s="607"/>
      <c r="H165" s="608"/>
      <c r="I165" s="608"/>
      <c r="J165" s="1616">
        <f t="shared" si="6"/>
        <v>0</v>
      </c>
      <c r="K165" s="613"/>
      <c r="L165" s="613"/>
      <c r="M165" s="613"/>
      <c r="N165" s="617"/>
      <c r="O165" s="267"/>
    </row>
    <row r="166" spans="1:15" s="1" customFormat="1" ht="18" customHeight="1">
      <c r="A166" s="1331"/>
      <c r="B166" s="605"/>
      <c r="C166" s="606"/>
      <c r="D166" s="590"/>
      <c r="E166" s="606"/>
      <c r="F166" s="607"/>
      <c r="G166" s="607"/>
      <c r="H166" s="608"/>
      <c r="I166" s="608"/>
      <c r="J166" s="1616">
        <f t="shared" si="6"/>
        <v>0</v>
      </c>
      <c r="K166" s="613"/>
      <c r="L166" s="613"/>
      <c r="M166" s="613"/>
      <c r="N166" s="617"/>
      <c r="O166" s="267"/>
    </row>
    <row r="167" spans="1:15" s="1" customFormat="1" ht="18" customHeight="1">
      <c r="A167" s="1331"/>
      <c r="B167" s="605"/>
      <c r="C167" s="606"/>
      <c r="D167" s="590"/>
      <c r="E167" s="606"/>
      <c r="F167" s="607"/>
      <c r="G167" s="607"/>
      <c r="H167" s="608"/>
      <c r="I167" s="608"/>
      <c r="J167" s="1616">
        <f t="shared" si="6"/>
        <v>0</v>
      </c>
      <c r="K167" s="613"/>
      <c r="L167" s="613"/>
      <c r="M167" s="613"/>
      <c r="N167" s="617"/>
      <c r="O167" s="267"/>
    </row>
    <row r="168" spans="1:15" s="1" customFormat="1" ht="18" customHeight="1">
      <c r="A168" s="1331"/>
      <c r="B168" s="605"/>
      <c r="C168" s="606"/>
      <c r="D168" s="590"/>
      <c r="E168" s="606"/>
      <c r="F168" s="607"/>
      <c r="G168" s="607"/>
      <c r="H168" s="608"/>
      <c r="I168" s="608"/>
      <c r="J168" s="1616">
        <f t="shared" si="6"/>
        <v>0</v>
      </c>
      <c r="K168" s="613"/>
      <c r="L168" s="613"/>
      <c r="M168" s="613"/>
      <c r="N168" s="617"/>
      <c r="O168" s="267"/>
    </row>
    <row r="169" spans="1:15" s="1" customFormat="1" ht="18" customHeight="1">
      <c r="A169" s="1331"/>
      <c r="B169" s="605"/>
      <c r="C169" s="606"/>
      <c r="D169" s="590"/>
      <c r="E169" s="606"/>
      <c r="F169" s="607"/>
      <c r="G169" s="607"/>
      <c r="H169" s="608"/>
      <c r="I169" s="608"/>
      <c r="J169" s="1616">
        <f t="shared" si="6"/>
        <v>0</v>
      </c>
      <c r="K169" s="613"/>
      <c r="L169" s="613"/>
      <c r="M169" s="613"/>
      <c r="N169" s="617"/>
      <c r="O169" s="267"/>
    </row>
    <row r="170" spans="1:15" s="1" customFormat="1" ht="18" customHeight="1">
      <c r="A170" s="1331"/>
      <c r="B170" s="605"/>
      <c r="C170" s="606"/>
      <c r="D170" s="590"/>
      <c r="E170" s="606"/>
      <c r="F170" s="607"/>
      <c r="G170" s="607"/>
      <c r="H170" s="608"/>
      <c r="I170" s="608"/>
      <c r="J170" s="1616">
        <f t="shared" si="6"/>
        <v>0</v>
      </c>
      <c r="K170" s="613"/>
      <c r="L170" s="613"/>
      <c r="M170" s="613"/>
      <c r="N170" s="617"/>
      <c r="O170" s="267"/>
    </row>
    <row r="171" spans="1:15" s="1" customFormat="1" ht="18" customHeight="1">
      <c r="A171" s="1331"/>
      <c r="B171" s="605"/>
      <c r="C171" s="606"/>
      <c r="D171" s="590"/>
      <c r="E171" s="606"/>
      <c r="F171" s="607"/>
      <c r="G171" s="607"/>
      <c r="H171" s="608"/>
      <c r="I171" s="608"/>
      <c r="J171" s="1616">
        <f t="shared" si="6"/>
        <v>0</v>
      </c>
      <c r="K171" s="613"/>
      <c r="L171" s="613"/>
      <c r="M171" s="613"/>
      <c r="N171" s="617"/>
      <c r="O171" s="267"/>
    </row>
    <row r="172" spans="1:15" s="1" customFormat="1" ht="18" customHeight="1">
      <c r="A172" s="1331"/>
      <c r="B172" s="605"/>
      <c r="C172" s="606"/>
      <c r="D172" s="590"/>
      <c r="E172" s="606"/>
      <c r="F172" s="607"/>
      <c r="G172" s="607"/>
      <c r="H172" s="608"/>
      <c r="I172" s="608"/>
      <c r="J172" s="1616">
        <f t="shared" si="6"/>
        <v>0</v>
      </c>
      <c r="K172" s="613"/>
      <c r="L172" s="613"/>
      <c r="M172" s="613"/>
      <c r="N172" s="617"/>
      <c r="O172" s="267"/>
    </row>
    <row r="173" spans="1:15" s="1" customFormat="1" ht="18" customHeight="1">
      <c r="A173" s="1331"/>
      <c r="B173" s="605"/>
      <c r="C173" s="606"/>
      <c r="D173" s="590"/>
      <c r="E173" s="606"/>
      <c r="F173" s="607"/>
      <c r="G173" s="607"/>
      <c r="H173" s="608"/>
      <c r="I173" s="608"/>
      <c r="J173" s="1616">
        <f t="shared" si="6"/>
        <v>0</v>
      </c>
      <c r="K173" s="613"/>
      <c r="L173" s="613"/>
      <c r="M173" s="613"/>
      <c r="N173" s="617"/>
      <c r="O173" s="267"/>
    </row>
    <row r="174" spans="1:15" s="1" customFormat="1" ht="18" customHeight="1">
      <c r="A174" s="1331"/>
      <c r="B174" s="605"/>
      <c r="C174" s="606"/>
      <c r="D174" s="590"/>
      <c r="E174" s="606"/>
      <c r="F174" s="607"/>
      <c r="G174" s="607"/>
      <c r="H174" s="608"/>
      <c r="I174" s="608"/>
      <c r="J174" s="1616">
        <f t="shared" si="6"/>
        <v>0</v>
      </c>
      <c r="K174" s="613"/>
      <c r="L174" s="613"/>
      <c r="M174" s="613"/>
      <c r="N174" s="617"/>
      <c r="O174" s="267"/>
    </row>
    <row r="175" spans="1:15" s="1" customFormat="1" ht="18" customHeight="1">
      <c r="A175" s="1331"/>
      <c r="B175" s="605"/>
      <c r="C175" s="606"/>
      <c r="D175" s="590"/>
      <c r="E175" s="606"/>
      <c r="F175" s="607"/>
      <c r="G175" s="607"/>
      <c r="H175" s="608"/>
      <c r="I175" s="608"/>
      <c r="J175" s="1616">
        <f t="shared" si="6"/>
        <v>0</v>
      </c>
      <c r="K175" s="613"/>
      <c r="L175" s="613"/>
      <c r="M175" s="613"/>
      <c r="N175" s="617"/>
      <c r="O175" s="267"/>
    </row>
    <row r="176" spans="1:15" s="1" customFormat="1" ht="18" customHeight="1">
      <c r="A176" s="1331"/>
      <c r="B176" s="605"/>
      <c r="C176" s="606"/>
      <c r="D176" s="590"/>
      <c r="E176" s="606"/>
      <c r="F176" s="607"/>
      <c r="G176" s="607"/>
      <c r="H176" s="608"/>
      <c r="I176" s="608"/>
      <c r="J176" s="1616">
        <f t="shared" si="6"/>
        <v>0</v>
      </c>
      <c r="K176" s="613"/>
      <c r="L176" s="613"/>
      <c r="M176" s="613"/>
      <c r="N176" s="617"/>
      <c r="O176" s="267"/>
    </row>
    <row r="177" spans="1:15" s="1" customFormat="1" ht="18" customHeight="1">
      <c r="A177" s="1331"/>
      <c r="B177" s="605"/>
      <c r="C177" s="606"/>
      <c r="D177" s="590"/>
      <c r="E177" s="606"/>
      <c r="F177" s="607"/>
      <c r="G177" s="607"/>
      <c r="H177" s="608"/>
      <c r="I177" s="608"/>
      <c r="J177" s="1616">
        <f t="shared" si="6"/>
        <v>0</v>
      </c>
      <c r="K177" s="613"/>
      <c r="L177" s="613"/>
      <c r="M177" s="613"/>
      <c r="N177" s="617"/>
      <c r="O177" s="267"/>
    </row>
    <row r="178" spans="1:15" s="1" customFormat="1" ht="18" customHeight="1">
      <c r="A178" s="1331"/>
      <c r="B178" s="605"/>
      <c r="C178" s="606"/>
      <c r="D178" s="590"/>
      <c r="E178" s="606"/>
      <c r="F178" s="607"/>
      <c r="G178" s="607"/>
      <c r="H178" s="608"/>
      <c r="I178" s="608"/>
      <c r="J178" s="1616">
        <f t="shared" si="6"/>
        <v>0</v>
      </c>
      <c r="K178" s="613"/>
      <c r="L178" s="613"/>
      <c r="M178" s="613"/>
      <c r="N178" s="617"/>
      <c r="O178" s="267"/>
    </row>
    <row r="179" spans="1:15" s="1" customFormat="1" ht="18" customHeight="1">
      <c r="A179" s="1331"/>
      <c r="B179" s="605"/>
      <c r="C179" s="606"/>
      <c r="D179" s="590"/>
      <c r="E179" s="606"/>
      <c r="F179" s="607"/>
      <c r="G179" s="607"/>
      <c r="H179" s="608"/>
      <c r="I179" s="608"/>
      <c r="J179" s="1616">
        <f t="shared" si="6"/>
        <v>0</v>
      </c>
      <c r="K179" s="613"/>
      <c r="L179" s="613"/>
      <c r="M179" s="613"/>
      <c r="N179" s="617"/>
      <c r="O179" s="267"/>
    </row>
    <row r="180" spans="1:15" s="1" customFormat="1" ht="18" customHeight="1">
      <c r="A180" s="1331"/>
      <c r="B180" s="605"/>
      <c r="C180" s="606"/>
      <c r="D180" s="590"/>
      <c r="E180" s="606"/>
      <c r="F180" s="607"/>
      <c r="G180" s="607"/>
      <c r="H180" s="608"/>
      <c r="I180" s="608"/>
      <c r="J180" s="1616">
        <f t="shared" si="6"/>
        <v>0</v>
      </c>
      <c r="K180" s="613"/>
      <c r="L180" s="613"/>
      <c r="M180" s="613"/>
      <c r="N180" s="617"/>
      <c r="O180" s="267"/>
    </row>
    <row r="181" spans="1:15" s="1" customFormat="1" ht="18" customHeight="1">
      <c r="A181" s="1331"/>
      <c r="B181" s="605"/>
      <c r="C181" s="606"/>
      <c r="D181" s="590"/>
      <c r="E181" s="606"/>
      <c r="F181" s="607"/>
      <c r="G181" s="607"/>
      <c r="H181" s="608"/>
      <c r="I181" s="608"/>
      <c r="J181" s="1616">
        <f t="shared" si="6"/>
        <v>0</v>
      </c>
      <c r="K181" s="613"/>
      <c r="L181" s="613"/>
      <c r="M181" s="613"/>
      <c r="N181" s="617"/>
      <c r="O181" s="267"/>
    </row>
    <row r="182" spans="1:15" s="1" customFormat="1" ht="18" customHeight="1">
      <c r="A182" s="1331"/>
      <c r="B182" s="605"/>
      <c r="C182" s="606"/>
      <c r="D182" s="590"/>
      <c r="E182" s="606"/>
      <c r="F182" s="607"/>
      <c r="G182" s="607"/>
      <c r="H182" s="608"/>
      <c r="I182" s="608"/>
      <c r="J182" s="1616">
        <f t="shared" si="6"/>
        <v>0</v>
      </c>
      <c r="K182" s="613"/>
      <c r="L182" s="613"/>
      <c r="M182" s="613"/>
      <c r="N182" s="617"/>
      <c r="O182" s="267"/>
    </row>
    <row r="183" spans="1:15" s="1" customFormat="1" ht="18" customHeight="1">
      <c r="A183" s="1331"/>
      <c r="B183" s="605"/>
      <c r="C183" s="606"/>
      <c r="D183" s="590"/>
      <c r="E183" s="606"/>
      <c r="F183" s="607"/>
      <c r="G183" s="607"/>
      <c r="H183" s="608"/>
      <c r="I183" s="608"/>
      <c r="J183" s="1616">
        <f t="shared" si="6"/>
        <v>0</v>
      </c>
      <c r="K183" s="613"/>
      <c r="L183" s="613"/>
      <c r="M183" s="613"/>
      <c r="N183" s="617"/>
      <c r="O183" s="267"/>
    </row>
    <row r="184" spans="1:15" s="1" customFormat="1" ht="18" customHeight="1">
      <c r="A184" s="1331"/>
      <c r="B184" s="605"/>
      <c r="C184" s="606"/>
      <c r="D184" s="590"/>
      <c r="E184" s="606"/>
      <c r="F184" s="607"/>
      <c r="G184" s="607"/>
      <c r="H184" s="608"/>
      <c r="I184" s="608"/>
      <c r="J184" s="1616">
        <f t="shared" si="6"/>
        <v>0</v>
      </c>
      <c r="K184" s="613"/>
      <c r="L184" s="613"/>
      <c r="M184" s="613"/>
      <c r="N184" s="617"/>
      <c r="O184" s="267"/>
    </row>
    <row r="185" spans="1:15" s="1" customFormat="1" ht="18" customHeight="1">
      <c r="A185" s="1331"/>
      <c r="B185" s="605"/>
      <c r="C185" s="606"/>
      <c r="D185" s="590"/>
      <c r="E185" s="606"/>
      <c r="F185" s="607"/>
      <c r="G185" s="607"/>
      <c r="H185" s="608"/>
      <c r="I185" s="608"/>
      <c r="J185" s="1616">
        <f t="shared" si="6"/>
        <v>0</v>
      </c>
      <c r="K185" s="613"/>
      <c r="L185" s="613"/>
      <c r="M185" s="613"/>
      <c r="N185" s="617"/>
      <c r="O185" s="267"/>
    </row>
    <row r="186" spans="1:15" s="1" customFormat="1" ht="18" customHeight="1">
      <c r="A186" s="1331"/>
      <c r="B186" s="605"/>
      <c r="C186" s="606"/>
      <c r="D186" s="590"/>
      <c r="E186" s="606"/>
      <c r="F186" s="607"/>
      <c r="G186" s="607"/>
      <c r="H186" s="608"/>
      <c r="I186" s="608"/>
      <c r="J186" s="1616">
        <f t="shared" si="6"/>
        <v>0</v>
      </c>
      <c r="K186" s="613"/>
      <c r="L186" s="613"/>
      <c r="M186" s="613"/>
      <c r="N186" s="617"/>
      <c r="O186" s="267"/>
    </row>
    <row r="187" spans="1:15" s="1" customFormat="1" ht="18" customHeight="1">
      <c r="A187" s="1331"/>
      <c r="B187" s="605"/>
      <c r="C187" s="606"/>
      <c r="D187" s="590"/>
      <c r="E187" s="606"/>
      <c r="F187" s="607"/>
      <c r="G187" s="607"/>
      <c r="H187" s="608"/>
      <c r="I187" s="608"/>
      <c r="J187" s="1616">
        <f t="shared" si="6"/>
        <v>0</v>
      </c>
      <c r="K187" s="613"/>
      <c r="L187" s="613"/>
      <c r="M187" s="613"/>
      <c r="N187" s="617"/>
      <c r="O187" s="267"/>
    </row>
    <row r="188" spans="1:15" s="1" customFormat="1" ht="18" customHeight="1">
      <c r="A188" s="1331"/>
      <c r="B188" s="605"/>
      <c r="C188" s="606"/>
      <c r="D188" s="590"/>
      <c r="E188" s="606"/>
      <c r="F188" s="607"/>
      <c r="G188" s="607"/>
      <c r="H188" s="608"/>
      <c r="I188" s="608"/>
      <c r="J188" s="1616">
        <f t="shared" si="6"/>
        <v>0</v>
      </c>
      <c r="K188" s="613"/>
      <c r="L188" s="613"/>
      <c r="M188" s="613"/>
      <c r="N188" s="617"/>
      <c r="O188" s="267"/>
    </row>
    <row r="189" spans="1:15" s="1" customFormat="1" ht="18" customHeight="1">
      <c r="A189" s="1331"/>
      <c r="B189" s="605"/>
      <c r="C189" s="606"/>
      <c r="D189" s="590"/>
      <c r="E189" s="606"/>
      <c r="F189" s="607"/>
      <c r="G189" s="607"/>
      <c r="H189" s="608"/>
      <c r="I189" s="608"/>
      <c r="J189" s="1616">
        <f t="shared" si="6"/>
        <v>0</v>
      </c>
      <c r="K189" s="613"/>
      <c r="L189" s="613"/>
      <c r="M189" s="613"/>
      <c r="N189" s="617"/>
      <c r="O189" s="267"/>
    </row>
    <row r="190" spans="1:15" s="1" customFormat="1" ht="18" customHeight="1">
      <c r="A190" s="1331"/>
      <c r="B190" s="605"/>
      <c r="C190" s="606"/>
      <c r="D190" s="590"/>
      <c r="E190" s="606"/>
      <c r="F190" s="607"/>
      <c r="G190" s="607"/>
      <c r="H190" s="608"/>
      <c r="I190" s="608"/>
      <c r="J190" s="1616">
        <f t="shared" si="6"/>
        <v>0</v>
      </c>
      <c r="K190" s="613"/>
      <c r="L190" s="613"/>
      <c r="M190" s="613"/>
      <c r="N190" s="617"/>
      <c r="O190" s="267"/>
    </row>
    <row r="191" spans="1:15" s="1" customFormat="1" ht="18" customHeight="1">
      <c r="A191" s="1331"/>
      <c r="B191" s="605"/>
      <c r="C191" s="606"/>
      <c r="D191" s="590"/>
      <c r="E191" s="606"/>
      <c r="F191" s="607"/>
      <c r="G191" s="607"/>
      <c r="H191" s="608"/>
      <c r="I191" s="608"/>
      <c r="J191" s="1616">
        <f t="shared" si="6"/>
        <v>0</v>
      </c>
      <c r="K191" s="613"/>
      <c r="L191" s="613"/>
      <c r="M191" s="613"/>
      <c r="N191" s="617"/>
      <c r="O191" s="267"/>
    </row>
    <row r="192" spans="1:15" s="1" customFormat="1" ht="18" customHeight="1">
      <c r="A192" s="1331"/>
      <c r="B192" s="605"/>
      <c r="C192" s="606"/>
      <c r="D192" s="590"/>
      <c r="E192" s="606"/>
      <c r="F192" s="607"/>
      <c r="G192" s="607"/>
      <c r="H192" s="608"/>
      <c r="I192" s="608"/>
      <c r="J192" s="1616">
        <f t="shared" si="6"/>
        <v>0</v>
      </c>
      <c r="K192" s="613"/>
      <c r="L192" s="613"/>
      <c r="M192" s="613"/>
      <c r="N192" s="617"/>
      <c r="O192" s="267"/>
    </row>
    <row r="193" spans="1:15" s="1" customFormat="1" ht="18" customHeight="1">
      <c r="A193" s="1331"/>
      <c r="B193" s="605"/>
      <c r="C193" s="606"/>
      <c r="D193" s="590"/>
      <c r="E193" s="606"/>
      <c r="F193" s="607"/>
      <c r="G193" s="607"/>
      <c r="H193" s="608"/>
      <c r="I193" s="608"/>
      <c r="J193" s="1616">
        <f t="shared" si="6"/>
        <v>0</v>
      </c>
      <c r="K193" s="613"/>
      <c r="L193" s="613"/>
      <c r="M193" s="613"/>
      <c r="N193" s="617"/>
      <c r="O193" s="267"/>
    </row>
    <row r="194" spans="1:15" s="1" customFormat="1" ht="18" customHeight="1">
      <c r="A194" s="1331"/>
      <c r="B194" s="605"/>
      <c r="C194" s="606"/>
      <c r="D194" s="590"/>
      <c r="E194" s="606"/>
      <c r="F194" s="607"/>
      <c r="G194" s="607"/>
      <c r="H194" s="608"/>
      <c r="I194" s="608"/>
      <c r="J194" s="1616">
        <f t="shared" si="6"/>
        <v>0</v>
      </c>
      <c r="K194" s="613"/>
      <c r="L194" s="613"/>
      <c r="M194" s="613"/>
      <c r="N194" s="617"/>
      <c r="O194" s="267"/>
    </row>
    <row r="195" spans="1:15" s="1" customFormat="1" ht="18" customHeight="1">
      <c r="A195" s="1331"/>
      <c r="B195" s="605"/>
      <c r="C195" s="606"/>
      <c r="D195" s="590"/>
      <c r="E195" s="606"/>
      <c r="F195" s="607"/>
      <c r="G195" s="607"/>
      <c r="H195" s="608"/>
      <c r="I195" s="608"/>
      <c r="J195" s="1616">
        <f t="shared" si="6"/>
        <v>0</v>
      </c>
      <c r="K195" s="613"/>
      <c r="L195" s="613"/>
      <c r="M195" s="613"/>
      <c r="N195" s="617"/>
      <c r="O195" s="267"/>
    </row>
    <row r="196" spans="1:15" s="1" customFormat="1" ht="18" customHeight="1">
      <c r="A196" s="1331"/>
      <c r="B196" s="605"/>
      <c r="C196" s="606"/>
      <c r="D196" s="590"/>
      <c r="E196" s="606"/>
      <c r="F196" s="607"/>
      <c r="G196" s="607"/>
      <c r="H196" s="608"/>
      <c r="I196" s="608"/>
      <c r="J196" s="1616">
        <f t="shared" si="6"/>
        <v>0</v>
      </c>
      <c r="K196" s="613"/>
      <c r="L196" s="613"/>
      <c r="M196" s="613"/>
      <c r="N196" s="617"/>
      <c r="O196" s="267"/>
    </row>
    <row r="197" spans="1:15" s="1" customFormat="1" ht="18" customHeight="1">
      <c r="A197" s="1331"/>
      <c r="B197" s="605"/>
      <c r="C197" s="606"/>
      <c r="D197" s="590"/>
      <c r="E197" s="606"/>
      <c r="F197" s="607"/>
      <c r="G197" s="607"/>
      <c r="H197" s="608"/>
      <c r="I197" s="608"/>
      <c r="J197" s="1616">
        <f t="shared" si="6"/>
        <v>0</v>
      </c>
      <c r="K197" s="613"/>
      <c r="L197" s="613"/>
      <c r="M197" s="613"/>
      <c r="N197" s="617"/>
      <c r="O197" s="267"/>
    </row>
    <row r="198" spans="1:15" s="1" customFormat="1" ht="18" customHeight="1">
      <c r="A198" s="1331"/>
      <c r="B198" s="605"/>
      <c r="C198" s="606"/>
      <c r="D198" s="590"/>
      <c r="E198" s="606"/>
      <c r="F198" s="607"/>
      <c r="G198" s="607"/>
      <c r="H198" s="608"/>
      <c r="I198" s="608"/>
      <c r="J198" s="1616">
        <f t="shared" si="6"/>
        <v>0</v>
      </c>
      <c r="K198" s="613"/>
      <c r="L198" s="613"/>
      <c r="M198" s="613"/>
      <c r="N198" s="617"/>
      <c r="O198" s="267"/>
    </row>
    <row r="199" spans="1:15" s="1" customFormat="1" ht="18" customHeight="1">
      <c r="A199" s="1331"/>
      <c r="B199" s="605"/>
      <c r="C199" s="606"/>
      <c r="D199" s="590"/>
      <c r="E199" s="606"/>
      <c r="F199" s="607"/>
      <c r="G199" s="607"/>
      <c r="H199" s="608"/>
      <c r="I199" s="608"/>
      <c r="J199" s="1616">
        <f t="shared" si="6"/>
        <v>0</v>
      </c>
      <c r="K199" s="613"/>
      <c r="L199" s="613"/>
      <c r="M199" s="613"/>
      <c r="N199" s="617"/>
      <c r="O199" s="267"/>
    </row>
    <row r="200" spans="1:15" s="1" customFormat="1" ht="18" customHeight="1">
      <c r="A200" s="1331"/>
      <c r="B200" s="605"/>
      <c r="C200" s="606"/>
      <c r="D200" s="590"/>
      <c r="E200" s="606"/>
      <c r="F200" s="607"/>
      <c r="G200" s="607"/>
      <c r="H200" s="608"/>
      <c r="I200" s="608"/>
      <c r="J200" s="1616">
        <f t="shared" si="6"/>
        <v>0</v>
      </c>
      <c r="K200" s="613"/>
      <c r="L200" s="613"/>
      <c r="M200" s="613"/>
      <c r="N200" s="617"/>
      <c r="O200" s="267"/>
    </row>
    <row r="201" spans="1:15" s="1" customFormat="1" ht="18" customHeight="1">
      <c r="A201" s="1331"/>
      <c r="B201" s="605"/>
      <c r="C201" s="606"/>
      <c r="D201" s="590"/>
      <c r="E201" s="606"/>
      <c r="F201" s="607"/>
      <c r="G201" s="607"/>
      <c r="H201" s="608"/>
      <c r="I201" s="608"/>
      <c r="J201" s="1616">
        <f t="shared" si="6"/>
        <v>0</v>
      </c>
      <c r="K201" s="613"/>
      <c r="L201" s="613"/>
      <c r="M201" s="613"/>
      <c r="N201" s="617"/>
      <c r="O201" s="267"/>
    </row>
    <row r="202" spans="1:15" s="1" customFormat="1" ht="18" customHeight="1">
      <c r="A202" s="1331"/>
      <c r="B202" s="605"/>
      <c r="C202" s="606"/>
      <c r="D202" s="590"/>
      <c r="E202" s="606"/>
      <c r="F202" s="607"/>
      <c r="G202" s="607"/>
      <c r="H202" s="608"/>
      <c r="I202" s="608"/>
      <c r="J202" s="1616">
        <f t="shared" si="6"/>
        <v>0</v>
      </c>
      <c r="K202" s="613"/>
      <c r="L202" s="613"/>
      <c r="M202" s="613"/>
      <c r="N202" s="617"/>
      <c r="O202" s="267"/>
    </row>
    <row r="203" spans="1:15" s="1" customFormat="1" ht="18" customHeight="1">
      <c r="A203" s="1331"/>
      <c r="B203" s="605"/>
      <c r="C203" s="606"/>
      <c r="D203" s="590"/>
      <c r="E203" s="606"/>
      <c r="F203" s="607"/>
      <c r="G203" s="607"/>
      <c r="H203" s="608"/>
      <c r="I203" s="608"/>
      <c r="J203" s="1616">
        <f t="shared" si="6"/>
        <v>0</v>
      </c>
      <c r="K203" s="613"/>
      <c r="L203" s="613"/>
      <c r="M203" s="613"/>
      <c r="N203" s="617"/>
      <c r="O203" s="267"/>
    </row>
    <row r="204" spans="1:15" s="1" customFormat="1" ht="18" customHeight="1">
      <c r="A204" s="1331"/>
      <c r="B204" s="605"/>
      <c r="C204" s="606"/>
      <c r="D204" s="590"/>
      <c r="E204" s="606"/>
      <c r="F204" s="607"/>
      <c r="G204" s="607"/>
      <c r="H204" s="608"/>
      <c r="I204" s="608"/>
      <c r="J204" s="1616">
        <f t="shared" si="6"/>
        <v>0</v>
      </c>
      <c r="K204" s="613"/>
      <c r="L204" s="613"/>
      <c r="M204" s="613"/>
      <c r="N204" s="617"/>
      <c r="O204" s="267"/>
    </row>
    <row r="205" spans="1:15" s="1" customFormat="1" ht="18" customHeight="1">
      <c r="A205" s="1331"/>
      <c r="B205" s="605"/>
      <c r="C205" s="606"/>
      <c r="D205" s="590"/>
      <c r="E205" s="606"/>
      <c r="F205" s="607"/>
      <c r="G205" s="607"/>
      <c r="H205" s="608"/>
      <c r="I205" s="608"/>
      <c r="J205" s="1616">
        <f t="shared" si="6"/>
        <v>0</v>
      </c>
      <c r="K205" s="613"/>
      <c r="L205" s="613"/>
      <c r="M205" s="613"/>
      <c r="N205" s="617"/>
      <c r="O205" s="267"/>
    </row>
    <row r="206" spans="1:15" s="1" customFormat="1" ht="18" customHeight="1">
      <c r="A206" s="1331"/>
      <c r="B206" s="605"/>
      <c r="C206" s="606"/>
      <c r="D206" s="590"/>
      <c r="E206" s="606"/>
      <c r="F206" s="607"/>
      <c r="G206" s="607"/>
      <c r="H206" s="608"/>
      <c r="I206" s="608"/>
      <c r="J206" s="1616">
        <f t="shared" si="6"/>
        <v>0</v>
      </c>
      <c r="K206" s="613"/>
      <c r="L206" s="613"/>
      <c r="M206" s="613"/>
      <c r="N206" s="617"/>
      <c r="O206" s="267"/>
    </row>
    <row r="207" spans="1:15" s="1" customFormat="1" ht="18" customHeight="1">
      <c r="A207" s="1331"/>
      <c r="B207" s="605"/>
      <c r="C207" s="606"/>
      <c r="D207" s="590"/>
      <c r="E207" s="606"/>
      <c r="F207" s="607"/>
      <c r="G207" s="607"/>
      <c r="H207" s="608"/>
      <c r="I207" s="608"/>
      <c r="J207" s="1616">
        <f t="shared" si="6"/>
        <v>0</v>
      </c>
      <c r="K207" s="613"/>
      <c r="L207" s="613"/>
      <c r="M207" s="613"/>
      <c r="N207" s="617"/>
      <c r="O207" s="267"/>
    </row>
    <row r="208" spans="1:15" s="1" customFormat="1" ht="18" customHeight="1">
      <c r="A208" s="1331"/>
      <c r="B208" s="605"/>
      <c r="C208" s="606"/>
      <c r="D208" s="590"/>
      <c r="E208" s="606"/>
      <c r="F208" s="607"/>
      <c r="G208" s="607"/>
      <c r="H208" s="608"/>
      <c r="I208" s="608"/>
      <c r="J208" s="1616">
        <f t="shared" si="6"/>
        <v>0</v>
      </c>
      <c r="K208" s="613"/>
      <c r="L208" s="613"/>
      <c r="M208" s="613"/>
      <c r="N208" s="617"/>
      <c r="O208" s="267"/>
    </row>
    <row r="209" spans="1:15" s="1" customFormat="1" ht="18" customHeight="1">
      <c r="A209" s="1331"/>
      <c r="B209" s="605"/>
      <c r="C209" s="606"/>
      <c r="D209" s="590"/>
      <c r="E209" s="606"/>
      <c r="F209" s="607"/>
      <c r="G209" s="607"/>
      <c r="H209" s="608"/>
      <c r="I209" s="608"/>
      <c r="J209" s="1616">
        <f t="shared" si="6"/>
        <v>0</v>
      </c>
      <c r="K209" s="613"/>
      <c r="L209" s="613"/>
      <c r="M209" s="613"/>
      <c r="N209" s="617"/>
      <c r="O209" s="267"/>
    </row>
    <row r="210" spans="1:15" s="1" customFormat="1" ht="18" customHeight="1">
      <c r="A210" s="1331"/>
      <c r="B210" s="605"/>
      <c r="C210" s="606"/>
      <c r="D210" s="590"/>
      <c r="E210" s="606"/>
      <c r="F210" s="607"/>
      <c r="G210" s="607"/>
      <c r="H210" s="608"/>
      <c r="I210" s="608"/>
      <c r="J210" s="1616">
        <f t="shared" si="6"/>
        <v>0</v>
      </c>
      <c r="K210" s="613"/>
      <c r="L210" s="613"/>
      <c r="M210" s="613"/>
      <c r="N210" s="617"/>
      <c r="O210" s="267"/>
    </row>
    <row r="211" spans="1:15" s="1" customFormat="1" ht="18" customHeight="1">
      <c r="A211" s="1331"/>
      <c r="B211" s="605"/>
      <c r="C211" s="606"/>
      <c r="D211" s="590"/>
      <c r="E211" s="606"/>
      <c r="F211" s="607"/>
      <c r="G211" s="607"/>
      <c r="H211" s="608"/>
      <c r="I211" s="608"/>
      <c r="J211" s="1616">
        <f t="shared" si="6"/>
        <v>0</v>
      </c>
      <c r="K211" s="613"/>
      <c r="L211" s="613"/>
      <c r="M211" s="613"/>
      <c r="N211" s="617"/>
      <c r="O211" s="267"/>
    </row>
    <row r="212" spans="1:15" s="1" customFormat="1" ht="18" customHeight="1">
      <c r="A212" s="1331"/>
      <c r="B212" s="605"/>
      <c r="C212" s="606"/>
      <c r="D212" s="590"/>
      <c r="E212" s="606"/>
      <c r="F212" s="607"/>
      <c r="G212" s="607"/>
      <c r="H212" s="608"/>
      <c r="I212" s="608"/>
      <c r="J212" s="1616">
        <f t="shared" si="6"/>
        <v>0</v>
      </c>
      <c r="K212" s="613"/>
      <c r="L212" s="613"/>
      <c r="M212" s="613"/>
      <c r="N212" s="617"/>
      <c r="O212" s="267"/>
    </row>
    <row r="213" spans="1:15" s="1" customFormat="1" ht="18" customHeight="1">
      <c r="A213" s="1331"/>
      <c r="B213" s="605"/>
      <c r="C213" s="606"/>
      <c r="D213" s="590"/>
      <c r="E213" s="606"/>
      <c r="F213" s="607"/>
      <c r="G213" s="607"/>
      <c r="H213" s="608"/>
      <c r="I213" s="608"/>
      <c r="J213" s="1616">
        <f t="shared" si="6"/>
        <v>0</v>
      </c>
      <c r="K213" s="613"/>
      <c r="L213" s="613"/>
      <c r="M213" s="613"/>
      <c r="N213" s="617"/>
      <c r="O213" s="267"/>
    </row>
    <row r="214" spans="1:15" s="1" customFormat="1" ht="18" customHeight="1">
      <c r="A214" s="1331"/>
      <c r="B214" s="605"/>
      <c r="C214" s="606"/>
      <c r="D214" s="590"/>
      <c r="E214" s="606"/>
      <c r="F214" s="607"/>
      <c r="G214" s="607"/>
      <c r="H214" s="608"/>
      <c r="I214" s="608"/>
      <c r="J214" s="1616">
        <f t="shared" si="6"/>
        <v>0</v>
      </c>
      <c r="K214" s="613"/>
      <c r="L214" s="613"/>
      <c r="M214" s="613"/>
      <c r="N214" s="617"/>
      <c r="O214" s="267"/>
    </row>
    <row r="215" spans="1:15" s="1" customFormat="1" ht="18" customHeight="1">
      <c r="A215" s="1331"/>
      <c r="B215" s="605"/>
      <c r="C215" s="606"/>
      <c r="D215" s="590"/>
      <c r="E215" s="606"/>
      <c r="F215" s="607"/>
      <c r="G215" s="607"/>
      <c r="H215" s="608"/>
      <c r="I215" s="608"/>
      <c r="J215" s="1616">
        <f t="shared" si="6"/>
        <v>0</v>
      </c>
      <c r="K215" s="613"/>
      <c r="L215" s="613"/>
      <c r="M215" s="613"/>
      <c r="N215" s="617"/>
      <c r="O215" s="267"/>
    </row>
    <row r="216" spans="1:15" s="1" customFormat="1" ht="18" customHeight="1">
      <c r="A216" s="1331"/>
      <c r="B216" s="605"/>
      <c r="C216" s="606"/>
      <c r="D216" s="590"/>
      <c r="E216" s="606"/>
      <c r="F216" s="607"/>
      <c r="G216" s="607"/>
      <c r="H216" s="608"/>
      <c r="I216" s="608"/>
      <c r="J216" s="1616">
        <f t="shared" si="6"/>
        <v>0</v>
      </c>
      <c r="K216" s="613"/>
      <c r="L216" s="613"/>
      <c r="M216" s="613"/>
      <c r="N216" s="617"/>
      <c r="O216" s="267"/>
    </row>
    <row r="217" spans="1:15" s="1" customFormat="1" ht="18" customHeight="1">
      <c r="A217" s="1331"/>
      <c r="B217" s="605"/>
      <c r="C217" s="606"/>
      <c r="D217" s="590"/>
      <c r="E217" s="606"/>
      <c r="F217" s="607"/>
      <c r="G217" s="607"/>
      <c r="H217" s="608"/>
      <c r="I217" s="608"/>
      <c r="J217" s="1616">
        <f t="shared" si="6"/>
        <v>0</v>
      </c>
      <c r="K217" s="613"/>
      <c r="L217" s="613"/>
      <c r="M217" s="613"/>
      <c r="N217" s="617"/>
      <c r="O217" s="267"/>
    </row>
    <row r="218" spans="1:15" s="1" customFormat="1" ht="18" customHeight="1">
      <c r="A218" s="1331"/>
      <c r="B218" s="605"/>
      <c r="C218" s="606"/>
      <c r="D218" s="590"/>
      <c r="E218" s="606"/>
      <c r="F218" s="607"/>
      <c r="G218" s="607"/>
      <c r="H218" s="608"/>
      <c r="I218" s="608"/>
      <c r="J218" s="1616">
        <f t="shared" si="6"/>
        <v>0</v>
      </c>
      <c r="K218" s="613"/>
      <c r="L218" s="613"/>
      <c r="M218" s="613"/>
      <c r="N218" s="617"/>
      <c r="O218" s="267"/>
    </row>
    <row r="219" spans="1:15" s="1" customFormat="1" ht="18" customHeight="1">
      <c r="A219" s="1331"/>
      <c r="B219" s="605"/>
      <c r="C219" s="606"/>
      <c r="D219" s="590"/>
      <c r="E219" s="606"/>
      <c r="F219" s="607"/>
      <c r="G219" s="607"/>
      <c r="H219" s="608"/>
      <c r="I219" s="608"/>
      <c r="J219" s="1616">
        <f t="shared" si="6"/>
        <v>0</v>
      </c>
      <c r="K219" s="613"/>
      <c r="L219" s="613"/>
      <c r="M219" s="613"/>
      <c r="N219" s="617"/>
      <c r="O219" s="267"/>
    </row>
    <row r="220" spans="1:15" s="1" customFormat="1" ht="18" customHeight="1">
      <c r="A220" s="1331"/>
      <c r="B220" s="605"/>
      <c r="C220" s="606"/>
      <c r="D220" s="590"/>
      <c r="E220" s="606"/>
      <c r="F220" s="607"/>
      <c r="G220" s="607"/>
      <c r="H220" s="608"/>
      <c r="I220" s="608"/>
      <c r="J220" s="1616">
        <f t="shared" si="6"/>
        <v>0</v>
      </c>
      <c r="K220" s="613"/>
      <c r="L220" s="613"/>
      <c r="M220" s="613"/>
      <c r="N220" s="617"/>
      <c r="O220" s="267"/>
    </row>
    <row r="221" spans="1:15" s="1" customFormat="1" ht="18" customHeight="1">
      <c r="A221" s="1331"/>
      <c r="B221" s="605"/>
      <c r="C221" s="606"/>
      <c r="D221" s="590"/>
      <c r="E221" s="606"/>
      <c r="F221" s="607"/>
      <c r="G221" s="607"/>
      <c r="H221" s="608"/>
      <c r="I221" s="608"/>
      <c r="J221" s="1616">
        <f t="shared" si="6"/>
        <v>0</v>
      </c>
      <c r="K221" s="613"/>
      <c r="L221" s="613"/>
      <c r="M221" s="613"/>
      <c r="N221" s="617"/>
      <c r="O221" s="267"/>
    </row>
    <row r="222" spans="1:15" s="1" customFormat="1" ht="18" customHeight="1">
      <c r="A222" s="1331"/>
      <c r="B222" s="605"/>
      <c r="C222" s="606"/>
      <c r="D222" s="590"/>
      <c r="E222" s="606"/>
      <c r="F222" s="607"/>
      <c r="G222" s="607"/>
      <c r="H222" s="608"/>
      <c r="I222" s="608"/>
      <c r="J222" s="1616">
        <f t="shared" si="6"/>
        <v>0</v>
      </c>
      <c r="K222" s="613"/>
      <c r="L222" s="613"/>
      <c r="M222" s="613"/>
      <c r="N222" s="617"/>
      <c r="O222" s="267"/>
    </row>
    <row r="223" spans="1:15" s="1" customFormat="1" ht="18" customHeight="1">
      <c r="A223" s="1331"/>
      <c r="B223" s="605"/>
      <c r="C223" s="606"/>
      <c r="D223" s="590"/>
      <c r="E223" s="606"/>
      <c r="F223" s="607"/>
      <c r="G223" s="607"/>
      <c r="H223" s="608"/>
      <c r="I223" s="608"/>
      <c r="J223" s="1616">
        <f t="shared" si="6"/>
        <v>0</v>
      </c>
      <c r="K223" s="613"/>
      <c r="L223" s="613"/>
      <c r="M223" s="613"/>
      <c r="N223" s="617"/>
      <c r="O223" s="267"/>
    </row>
    <row r="224" spans="1:15" s="1" customFormat="1" ht="18" customHeight="1">
      <c r="A224" s="1331"/>
      <c r="B224" s="605"/>
      <c r="C224" s="606"/>
      <c r="D224" s="590"/>
      <c r="E224" s="606"/>
      <c r="F224" s="607"/>
      <c r="G224" s="607"/>
      <c r="H224" s="608"/>
      <c r="I224" s="608"/>
      <c r="J224" s="1616">
        <f t="shared" si="6"/>
        <v>0</v>
      </c>
      <c r="K224" s="613"/>
      <c r="L224" s="613"/>
      <c r="M224" s="613"/>
      <c r="N224" s="617"/>
      <c r="O224" s="267"/>
    </row>
    <row r="225" spans="1:15" s="1" customFormat="1" ht="18" customHeight="1">
      <c r="A225" s="1331"/>
      <c r="B225" s="605"/>
      <c r="C225" s="606"/>
      <c r="D225" s="590"/>
      <c r="E225" s="606"/>
      <c r="F225" s="607"/>
      <c r="G225" s="607"/>
      <c r="H225" s="608"/>
      <c r="I225" s="608"/>
      <c r="J225" s="1616">
        <f t="shared" si="6"/>
        <v>0</v>
      </c>
      <c r="K225" s="613"/>
      <c r="L225" s="613"/>
      <c r="M225" s="613"/>
      <c r="N225" s="617"/>
      <c r="O225" s="267"/>
    </row>
    <row r="226" spans="1:15" s="1" customFormat="1" ht="18" customHeight="1">
      <c r="A226" s="1331"/>
      <c r="B226" s="605"/>
      <c r="C226" s="606"/>
      <c r="D226" s="590"/>
      <c r="E226" s="606"/>
      <c r="F226" s="607"/>
      <c r="G226" s="607"/>
      <c r="H226" s="608"/>
      <c r="I226" s="608"/>
      <c r="J226" s="1616">
        <f t="shared" si="6"/>
        <v>0</v>
      </c>
      <c r="K226" s="613"/>
      <c r="L226" s="613"/>
      <c r="M226" s="613"/>
      <c r="N226" s="617"/>
      <c r="O226" s="267"/>
    </row>
    <row r="227" spans="1:15" s="1" customFormat="1" ht="18" customHeight="1">
      <c r="A227" s="1331"/>
      <c r="B227" s="605"/>
      <c r="C227" s="606"/>
      <c r="D227" s="590"/>
      <c r="E227" s="606"/>
      <c r="F227" s="607"/>
      <c r="G227" s="607"/>
      <c r="H227" s="608"/>
      <c r="I227" s="608"/>
      <c r="J227" s="1616">
        <f t="shared" ref="J227:J290" si="7">G227*I227</f>
        <v>0</v>
      </c>
      <c r="K227" s="613"/>
      <c r="L227" s="613"/>
      <c r="M227" s="613"/>
      <c r="N227" s="617"/>
      <c r="O227" s="267"/>
    </row>
    <row r="228" spans="1:15" s="1" customFormat="1" ht="18" customHeight="1">
      <c r="A228" s="1331"/>
      <c r="B228" s="605"/>
      <c r="C228" s="606"/>
      <c r="D228" s="590"/>
      <c r="E228" s="606"/>
      <c r="F228" s="607"/>
      <c r="G228" s="607"/>
      <c r="H228" s="608"/>
      <c r="I228" s="608"/>
      <c r="J228" s="1616">
        <f t="shared" si="7"/>
        <v>0</v>
      </c>
      <c r="K228" s="613"/>
      <c r="L228" s="613"/>
      <c r="M228" s="613"/>
      <c r="N228" s="617"/>
      <c r="O228" s="267"/>
    </row>
    <row r="229" spans="1:15" s="1" customFormat="1" ht="18" customHeight="1">
      <c r="A229" s="1331"/>
      <c r="B229" s="605"/>
      <c r="C229" s="606"/>
      <c r="D229" s="590"/>
      <c r="E229" s="606"/>
      <c r="F229" s="607"/>
      <c r="G229" s="607"/>
      <c r="H229" s="608"/>
      <c r="I229" s="608"/>
      <c r="J229" s="1616">
        <f t="shared" si="7"/>
        <v>0</v>
      </c>
      <c r="K229" s="613"/>
      <c r="L229" s="613"/>
      <c r="M229" s="613"/>
      <c r="N229" s="617"/>
      <c r="O229" s="267"/>
    </row>
    <row r="230" spans="1:15" s="1" customFormat="1" ht="18" customHeight="1">
      <c r="A230" s="1331"/>
      <c r="B230" s="605"/>
      <c r="C230" s="606"/>
      <c r="D230" s="590"/>
      <c r="E230" s="606"/>
      <c r="F230" s="607"/>
      <c r="G230" s="607"/>
      <c r="H230" s="608"/>
      <c r="I230" s="608"/>
      <c r="J230" s="1616">
        <f t="shared" si="7"/>
        <v>0</v>
      </c>
      <c r="K230" s="613"/>
      <c r="L230" s="613"/>
      <c r="M230" s="613"/>
      <c r="N230" s="617"/>
      <c r="O230" s="267"/>
    </row>
    <row r="231" spans="1:15" s="1" customFormat="1" ht="18" customHeight="1">
      <c r="A231" s="1331"/>
      <c r="B231" s="605"/>
      <c r="C231" s="606"/>
      <c r="D231" s="590"/>
      <c r="E231" s="606"/>
      <c r="F231" s="607"/>
      <c r="G231" s="607"/>
      <c r="H231" s="608"/>
      <c r="I231" s="608"/>
      <c r="J231" s="1616">
        <f t="shared" si="7"/>
        <v>0</v>
      </c>
      <c r="K231" s="613"/>
      <c r="L231" s="613"/>
      <c r="M231" s="613"/>
      <c r="N231" s="617"/>
      <c r="O231" s="267"/>
    </row>
    <row r="232" spans="1:15" s="1" customFormat="1" ht="18" customHeight="1">
      <c r="A232" s="1331"/>
      <c r="B232" s="605"/>
      <c r="C232" s="606"/>
      <c r="D232" s="590"/>
      <c r="E232" s="606"/>
      <c r="F232" s="607"/>
      <c r="G232" s="607"/>
      <c r="H232" s="608"/>
      <c r="I232" s="608"/>
      <c r="J232" s="1616">
        <f t="shared" si="7"/>
        <v>0</v>
      </c>
      <c r="K232" s="613"/>
      <c r="L232" s="613"/>
      <c r="M232" s="613"/>
      <c r="N232" s="617"/>
      <c r="O232" s="267"/>
    </row>
    <row r="233" spans="1:15" s="1" customFormat="1" ht="18" customHeight="1">
      <c r="A233" s="1331"/>
      <c r="B233" s="605"/>
      <c r="C233" s="606"/>
      <c r="D233" s="590"/>
      <c r="E233" s="606"/>
      <c r="F233" s="607"/>
      <c r="G233" s="607"/>
      <c r="H233" s="608"/>
      <c r="I233" s="608"/>
      <c r="J233" s="1616">
        <f t="shared" si="7"/>
        <v>0</v>
      </c>
      <c r="K233" s="613"/>
      <c r="L233" s="613"/>
      <c r="M233" s="613"/>
      <c r="N233" s="617"/>
      <c r="O233" s="267"/>
    </row>
    <row r="234" spans="1:15" s="1" customFormat="1" ht="18" customHeight="1">
      <c r="A234" s="1331"/>
      <c r="B234" s="605"/>
      <c r="C234" s="606"/>
      <c r="D234" s="590"/>
      <c r="E234" s="606"/>
      <c r="F234" s="607"/>
      <c r="G234" s="607"/>
      <c r="H234" s="608"/>
      <c r="I234" s="608"/>
      <c r="J234" s="1616">
        <f t="shared" si="7"/>
        <v>0</v>
      </c>
      <c r="K234" s="613"/>
      <c r="L234" s="613"/>
      <c r="M234" s="613"/>
      <c r="N234" s="617"/>
      <c r="O234" s="267"/>
    </row>
    <row r="235" spans="1:15" s="1" customFormat="1" ht="18" customHeight="1">
      <c r="A235" s="1331"/>
      <c r="B235" s="605"/>
      <c r="C235" s="606"/>
      <c r="D235" s="590"/>
      <c r="E235" s="606"/>
      <c r="F235" s="607"/>
      <c r="G235" s="607"/>
      <c r="H235" s="608"/>
      <c r="I235" s="608"/>
      <c r="J235" s="1616">
        <f t="shared" si="7"/>
        <v>0</v>
      </c>
      <c r="K235" s="613"/>
      <c r="L235" s="613"/>
      <c r="M235" s="613"/>
      <c r="N235" s="617"/>
      <c r="O235" s="267"/>
    </row>
    <row r="236" spans="1:15" s="1" customFormat="1" ht="18" customHeight="1">
      <c r="A236" s="1331"/>
      <c r="B236" s="605"/>
      <c r="C236" s="606"/>
      <c r="D236" s="590"/>
      <c r="E236" s="606"/>
      <c r="F236" s="607"/>
      <c r="G236" s="607"/>
      <c r="H236" s="608"/>
      <c r="I236" s="608"/>
      <c r="J236" s="1616">
        <f t="shared" si="7"/>
        <v>0</v>
      </c>
      <c r="K236" s="613"/>
      <c r="L236" s="613"/>
      <c r="M236" s="613"/>
      <c r="N236" s="617"/>
      <c r="O236" s="267"/>
    </row>
    <row r="237" spans="1:15" s="1" customFormat="1" ht="18" customHeight="1">
      <c r="A237" s="1331"/>
      <c r="B237" s="605"/>
      <c r="C237" s="606"/>
      <c r="D237" s="590"/>
      <c r="E237" s="606"/>
      <c r="F237" s="607"/>
      <c r="G237" s="607"/>
      <c r="H237" s="608"/>
      <c r="I237" s="608"/>
      <c r="J237" s="1616">
        <f t="shared" si="7"/>
        <v>0</v>
      </c>
      <c r="K237" s="613"/>
      <c r="L237" s="613"/>
      <c r="M237" s="613"/>
      <c r="N237" s="617"/>
      <c r="O237" s="267"/>
    </row>
    <row r="238" spans="1:15" s="1" customFormat="1" ht="18" customHeight="1">
      <c r="A238" s="1331"/>
      <c r="B238" s="605"/>
      <c r="C238" s="606"/>
      <c r="D238" s="590"/>
      <c r="E238" s="606"/>
      <c r="F238" s="607"/>
      <c r="G238" s="607"/>
      <c r="H238" s="608"/>
      <c r="I238" s="608"/>
      <c r="J238" s="1616">
        <f t="shared" si="7"/>
        <v>0</v>
      </c>
      <c r="K238" s="613"/>
      <c r="L238" s="613"/>
      <c r="M238" s="613"/>
      <c r="N238" s="617"/>
      <c r="O238" s="267"/>
    </row>
    <row r="239" spans="1:15" s="1" customFormat="1" ht="18" customHeight="1">
      <c r="A239" s="1331"/>
      <c r="B239" s="605"/>
      <c r="C239" s="606"/>
      <c r="D239" s="590"/>
      <c r="E239" s="606"/>
      <c r="F239" s="607"/>
      <c r="G239" s="607"/>
      <c r="H239" s="608"/>
      <c r="I239" s="608"/>
      <c r="J239" s="1616">
        <f t="shared" si="7"/>
        <v>0</v>
      </c>
      <c r="K239" s="613"/>
      <c r="L239" s="613"/>
      <c r="M239" s="613"/>
      <c r="N239" s="617"/>
      <c r="O239" s="267"/>
    </row>
    <row r="240" spans="1:15" s="1" customFormat="1" ht="18" customHeight="1">
      <c r="A240" s="1331"/>
      <c r="B240" s="605"/>
      <c r="C240" s="606"/>
      <c r="D240" s="590"/>
      <c r="E240" s="606"/>
      <c r="F240" s="607"/>
      <c r="G240" s="607"/>
      <c r="H240" s="608"/>
      <c r="I240" s="608"/>
      <c r="J240" s="1616">
        <f t="shared" si="7"/>
        <v>0</v>
      </c>
      <c r="K240" s="613"/>
      <c r="L240" s="613"/>
      <c r="M240" s="613"/>
      <c r="N240" s="617"/>
      <c r="O240" s="267"/>
    </row>
    <row r="241" spans="1:15" s="1" customFormat="1" ht="18" customHeight="1">
      <c r="A241" s="1331"/>
      <c r="B241" s="605"/>
      <c r="C241" s="606"/>
      <c r="D241" s="590"/>
      <c r="E241" s="606"/>
      <c r="F241" s="607"/>
      <c r="G241" s="607"/>
      <c r="H241" s="608"/>
      <c r="I241" s="608"/>
      <c r="J241" s="1616">
        <f t="shared" si="7"/>
        <v>0</v>
      </c>
      <c r="K241" s="613"/>
      <c r="L241" s="613"/>
      <c r="M241" s="613"/>
      <c r="N241" s="617"/>
      <c r="O241" s="267"/>
    </row>
    <row r="242" spans="1:15" s="1" customFormat="1" ht="18" customHeight="1">
      <c r="A242" s="1331"/>
      <c r="B242" s="605"/>
      <c r="C242" s="606"/>
      <c r="D242" s="590"/>
      <c r="E242" s="606"/>
      <c r="F242" s="607"/>
      <c r="G242" s="607"/>
      <c r="H242" s="608"/>
      <c r="I242" s="608"/>
      <c r="J242" s="1616">
        <f t="shared" si="7"/>
        <v>0</v>
      </c>
      <c r="K242" s="613"/>
      <c r="L242" s="613"/>
      <c r="M242" s="613"/>
      <c r="N242" s="617"/>
      <c r="O242" s="267"/>
    </row>
    <row r="243" spans="1:15" s="1" customFormat="1" ht="18" customHeight="1">
      <c r="A243" s="1331"/>
      <c r="B243" s="605"/>
      <c r="C243" s="606"/>
      <c r="D243" s="590"/>
      <c r="E243" s="606"/>
      <c r="F243" s="607"/>
      <c r="G243" s="607"/>
      <c r="H243" s="608"/>
      <c r="I243" s="608"/>
      <c r="J243" s="1616">
        <f t="shared" si="7"/>
        <v>0</v>
      </c>
      <c r="K243" s="613"/>
      <c r="L243" s="613"/>
      <c r="M243" s="613"/>
      <c r="N243" s="617"/>
      <c r="O243" s="267"/>
    </row>
    <row r="244" spans="1:15" s="1" customFormat="1" ht="18" customHeight="1">
      <c r="A244" s="1331"/>
      <c r="B244" s="605"/>
      <c r="C244" s="606"/>
      <c r="D244" s="590"/>
      <c r="E244" s="606"/>
      <c r="F244" s="607"/>
      <c r="G244" s="607"/>
      <c r="H244" s="608"/>
      <c r="I244" s="608"/>
      <c r="J244" s="1616">
        <f t="shared" si="7"/>
        <v>0</v>
      </c>
      <c r="K244" s="613"/>
      <c r="L244" s="613"/>
      <c r="M244" s="613"/>
      <c r="N244" s="617"/>
      <c r="O244" s="267"/>
    </row>
    <row r="245" spans="1:15" s="1" customFormat="1" ht="18" customHeight="1">
      <c r="A245" s="1331"/>
      <c r="B245" s="605"/>
      <c r="C245" s="606"/>
      <c r="D245" s="590"/>
      <c r="E245" s="606"/>
      <c r="F245" s="607"/>
      <c r="G245" s="607"/>
      <c r="H245" s="608"/>
      <c r="I245" s="608"/>
      <c r="J245" s="1616">
        <f t="shared" si="7"/>
        <v>0</v>
      </c>
      <c r="K245" s="613"/>
      <c r="L245" s="613"/>
      <c r="M245" s="613"/>
      <c r="N245" s="617"/>
      <c r="O245" s="267"/>
    </row>
    <row r="246" spans="1:15" s="1" customFormat="1" ht="18" customHeight="1">
      <c r="A246" s="1331"/>
      <c r="B246" s="605"/>
      <c r="C246" s="606"/>
      <c r="D246" s="590"/>
      <c r="E246" s="606"/>
      <c r="F246" s="607"/>
      <c r="G246" s="607"/>
      <c r="H246" s="608"/>
      <c r="I246" s="608"/>
      <c r="J246" s="1616">
        <f t="shared" si="7"/>
        <v>0</v>
      </c>
      <c r="K246" s="613"/>
      <c r="L246" s="613"/>
      <c r="M246" s="613"/>
      <c r="N246" s="617"/>
      <c r="O246" s="267"/>
    </row>
    <row r="247" spans="1:15" s="1" customFormat="1" ht="18" customHeight="1">
      <c r="A247" s="1331"/>
      <c r="B247" s="605"/>
      <c r="C247" s="606"/>
      <c r="D247" s="590"/>
      <c r="E247" s="606"/>
      <c r="F247" s="607"/>
      <c r="G247" s="607"/>
      <c r="H247" s="608"/>
      <c r="I247" s="608"/>
      <c r="J247" s="1616">
        <f t="shared" si="7"/>
        <v>0</v>
      </c>
      <c r="K247" s="613"/>
      <c r="L247" s="613"/>
      <c r="M247" s="613"/>
      <c r="N247" s="617"/>
      <c r="O247" s="267"/>
    </row>
    <row r="248" spans="1:15" s="1" customFormat="1" ht="18" customHeight="1">
      <c r="A248" s="1331"/>
      <c r="B248" s="605"/>
      <c r="C248" s="606"/>
      <c r="D248" s="590"/>
      <c r="E248" s="606"/>
      <c r="F248" s="607"/>
      <c r="G248" s="607"/>
      <c r="H248" s="608"/>
      <c r="I248" s="608"/>
      <c r="J248" s="1616">
        <f t="shared" si="7"/>
        <v>0</v>
      </c>
      <c r="K248" s="613"/>
      <c r="L248" s="613"/>
      <c r="M248" s="613"/>
      <c r="N248" s="617"/>
      <c r="O248" s="267"/>
    </row>
    <row r="249" spans="1:15" s="1" customFormat="1" ht="18" customHeight="1">
      <c r="A249" s="1331"/>
      <c r="B249" s="605"/>
      <c r="C249" s="606"/>
      <c r="D249" s="590"/>
      <c r="E249" s="606"/>
      <c r="F249" s="607"/>
      <c r="G249" s="607"/>
      <c r="H249" s="608"/>
      <c r="I249" s="608"/>
      <c r="J249" s="1616">
        <f t="shared" si="7"/>
        <v>0</v>
      </c>
      <c r="K249" s="613"/>
      <c r="L249" s="613"/>
      <c r="M249" s="613"/>
      <c r="N249" s="617"/>
      <c r="O249" s="267"/>
    </row>
    <row r="250" spans="1:15" s="1" customFormat="1" ht="18" customHeight="1">
      <c r="A250" s="1331"/>
      <c r="B250" s="605"/>
      <c r="C250" s="606"/>
      <c r="D250" s="590"/>
      <c r="E250" s="606"/>
      <c r="F250" s="607"/>
      <c r="G250" s="607"/>
      <c r="H250" s="608"/>
      <c r="I250" s="608"/>
      <c r="J250" s="1616">
        <f t="shared" si="7"/>
        <v>0</v>
      </c>
      <c r="K250" s="613"/>
      <c r="L250" s="613"/>
      <c r="M250" s="613"/>
      <c r="N250" s="617"/>
      <c r="O250" s="267"/>
    </row>
    <row r="251" spans="1:15" s="1" customFormat="1" ht="18" customHeight="1">
      <c r="A251" s="1331"/>
      <c r="B251" s="605"/>
      <c r="C251" s="606"/>
      <c r="D251" s="590"/>
      <c r="E251" s="606"/>
      <c r="F251" s="607"/>
      <c r="G251" s="607"/>
      <c r="H251" s="608"/>
      <c r="I251" s="608"/>
      <c r="J251" s="1616">
        <f t="shared" si="7"/>
        <v>0</v>
      </c>
      <c r="K251" s="613"/>
      <c r="L251" s="613"/>
      <c r="M251" s="613"/>
      <c r="N251" s="617"/>
      <c r="O251" s="267"/>
    </row>
    <row r="252" spans="1:15" s="1" customFormat="1" ht="18" customHeight="1">
      <c r="A252" s="1331"/>
      <c r="B252" s="605"/>
      <c r="C252" s="606"/>
      <c r="D252" s="590"/>
      <c r="E252" s="606"/>
      <c r="F252" s="607"/>
      <c r="G252" s="607"/>
      <c r="H252" s="608"/>
      <c r="I252" s="608"/>
      <c r="J252" s="1616">
        <f t="shared" si="7"/>
        <v>0</v>
      </c>
      <c r="K252" s="613"/>
      <c r="L252" s="613"/>
      <c r="M252" s="613"/>
      <c r="N252" s="617"/>
      <c r="O252" s="267"/>
    </row>
    <row r="253" spans="1:15" s="1" customFormat="1" ht="18" customHeight="1">
      <c r="A253" s="1331"/>
      <c r="B253" s="605"/>
      <c r="C253" s="606"/>
      <c r="D253" s="590"/>
      <c r="E253" s="606"/>
      <c r="F253" s="607"/>
      <c r="G253" s="607"/>
      <c r="H253" s="608"/>
      <c r="I253" s="608"/>
      <c r="J253" s="1616">
        <f t="shared" si="7"/>
        <v>0</v>
      </c>
      <c r="K253" s="613"/>
      <c r="L253" s="613"/>
      <c r="M253" s="613"/>
      <c r="N253" s="617"/>
      <c r="O253" s="267"/>
    </row>
    <row r="254" spans="1:15" s="1" customFormat="1" ht="18" customHeight="1">
      <c r="A254" s="1331"/>
      <c r="B254" s="605"/>
      <c r="C254" s="606"/>
      <c r="D254" s="590"/>
      <c r="E254" s="606"/>
      <c r="F254" s="607"/>
      <c r="G254" s="607"/>
      <c r="H254" s="608"/>
      <c r="I254" s="608"/>
      <c r="J254" s="1616">
        <f t="shared" si="7"/>
        <v>0</v>
      </c>
      <c r="K254" s="613"/>
      <c r="L254" s="613"/>
      <c r="M254" s="613"/>
      <c r="N254" s="617"/>
      <c r="O254" s="267"/>
    </row>
    <row r="255" spans="1:15" s="1" customFormat="1" ht="18" customHeight="1">
      <c r="A255" s="1331"/>
      <c r="B255" s="605"/>
      <c r="C255" s="606"/>
      <c r="D255" s="590"/>
      <c r="E255" s="606"/>
      <c r="F255" s="607"/>
      <c r="G255" s="607"/>
      <c r="H255" s="608"/>
      <c r="I255" s="608"/>
      <c r="J255" s="1616">
        <f t="shared" si="7"/>
        <v>0</v>
      </c>
      <c r="K255" s="613"/>
      <c r="L255" s="613"/>
      <c r="M255" s="613"/>
      <c r="N255" s="617"/>
      <c r="O255" s="267"/>
    </row>
    <row r="256" spans="1:15" s="1" customFormat="1" ht="18" customHeight="1">
      <c r="A256" s="1331"/>
      <c r="B256" s="605"/>
      <c r="C256" s="606"/>
      <c r="D256" s="590"/>
      <c r="E256" s="606"/>
      <c r="F256" s="607"/>
      <c r="G256" s="607"/>
      <c r="H256" s="608"/>
      <c r="I256" s="608"/>
      <c r="J256" s="1616">
        <f t="shared" si="7"/>
        <v>0</v>
      </c>
      <c r="K256" s="613"/>
      <c r="L256" s="613"/>
      <c r="M256" s="613"/>
      <c r="N256" s="617"/>
      <c r="O256" s="267"/>
    </row>
    <row r="257" spans="1:15" s="1" customFormat="1" ht="18" customHeight="1">
      <c r="A257" s="1331"/>
      <c r="B257" s="605"/>
      <c r="C257" s="606"/>
      <c r="D257" s="590"/>
      <c r="E257" s="606"/>
      <c r="F257" s="607"/>
      <c r="G257" s="607"/>
      <c r="H257" s="608"/>
      <c r="I257" s="608"/>
      <c r="J257" s="1616">
        <f t="shared" si="7"/>
        <v>0</v>
      </c>
      <c r="K257" s="613"/>
      <c r="L257" s="613"/>
      <c r="M257" s="613"/>
      <c r="N257" s="617"/>
      <c r="O257" s="267"/>
    </row>
    <row r="258" spans="1:15" s="1" customFormat="1" ht="18" customHeight="1">
      <c r="A258" s="1331"/>
      <c r="B258" s="605"/>
      <c r="C258" s="606"/>
      <c r="D258" s="590"/>
      <c r="E258" s="606"/>
      <c r="F258" s="607"/>
      <c r="G258" s="607"/>
      <c r="H258" s="608"/>
      <c r="I258" s="608"/>
      <c r="J258" s="1616">
        <f t="shared" si="7"/>
        <v>0</v>
      </c>
      <c r="K258" s="613"/>
      <c r="L258" s="613"/>
      <c r="M258" s="613"/>
      <c r="N258" s="617"/>
      <c r="O258" s="267"/>
    </row>
    <row r="259" spans="1:15" s="1" customFormat="1" ht="18" customHeight="1">
      <c r="A259" s="1331"/>
      <c r="B259" s="605"/>
      <c r="C259" s="606"/>
      <c r="D259" s="590"/>
      <c r="E259" s="606"/>
      <c r="F259" s="607"/>
      <c r="G259" s="607"/>
      <c r="H259" s="608"/>
      <c r="I259" s="608"/>
      <c r="J259" s="1616">
        <f t="shared" si="7"/>
        <v>0</v>
      </c>
      <c r="K259" s="613"/>
      <c r="L259" s="613"/>
      <c r="M259" s="613"/>
      <c r="N259" s="617"/>
      <c r="O259" s="267"/>
    </row>
    <row r="260" spans="1:15" s="1" customFormat="1" ht="18" customHeight="1">
      <c r="A260" s="1331"/>
      <c r="B260" s="605"/>
      <c r="C260" s="606"/>
      <c r="D260" s="590"/>
      <c r="E260" s="606"/>
      <c r="F260" s="607"/>
      <c r="G260" s="607"/>
      <c r="H260" s="608"/>
      <c r="I260" s="608"/>
      <c r="J260" s="1616">
        <f t="shared" si="7"/>
        <v>0</v>
      </c>
      <c r="K260" s="613"/>
      <c r="L260" s="613"/>
      <c r="M260" s="613"/>
      <c r="N260" s="617"/>
      <c r="O260" s="267"/>
    </row>
    <row r="261" spans="1:15" s="1" customFormat="1" ht="18" customHeight="1">
      <c r="A261" s="1331"/>
      <c r="B261" s="605"/>
      <c r="C261" s="606"/>
      <c r="D261" s="590"/>
      <c r="E261" s="606"/>
      <c r="F261" s="607"/>
      <c r="G261" s="607"/>
      <c r="H261" s="608"/>
      <c r="I261" s="608"/>
      <c r="J261" s="1616">
        <f t="shared" si="7"/>
        <v>0</v>
      </c>
      <c r="K261" s="613"/>
      <c r="L261" s="613"/>
      <c r="M261" s="613"/>
      <c r="N261" s="617"/>
      <c r="O261" s="267"/>
    </row>
    <row r="262" spans="1:15" s="1" customFormat="1" ht="18" customHeight="1">
      <c r="A262" s="1331"/>
      <c r="B262" s="605"/>
      <c r="C262" s="606"/>
      <c r="D262" s="590"/>
      <c r="E262" s="606"/>
      <c r="F262" s="607"/>
      <c r="G262" s="607"/>
      <c r="H262" s="608"/>
      <c r="I262" s="608"/>
      <c r="J262" s="1616">
        <f t="shared" si="7"/>
        <v>0</v>
      </c>
      <c r="K262" s="613"/>
      <c r="L262" s="613"/>
      <c r="M262" s="613"/>
      <c r="N262" s="617"/>
      <c r="O262" s="267"/>
    </row>
    <row r="263" spans="1:15" s="1" customFormat="1" ht="18" customHeight="1">
      <c r="A263" s="1331"/>
      <c r="B263" s="605"/>
      <c r="C263" s="606"/>
      <c r="D263" s="590"/>
      <c r="E263" s="606"/>
      <c r="F263" s="607"/>
      <c r="G263" s="607"/>
      <c r="H263" s="608"/>
      <c r="I263" s="608"/>
      <c r="J263" s="1616">
        <f t="shared" si="7"/>
        <v>0</v>
      </c>
      <c r="K263" s="613"/>
      <c r="L263" s="613"/>
      <c r="M263" s="613"/>
      <c r="N263" s="617"/>
      <c r="O263" s="267"/>
    </row>
    <row r="264" spans="1:15" s="1" customFormat="1" ht="18" customHeight="1">
      <c r="A264" s="1331"/>
      <c r="B264" s="605"/>
      <c r="C264" s="606"/>
      <c r="D264" s="590"/>
      <c r="E264" s="606"/>
      <c r="F264" s="607"/>
      <c r="G264" s="607"/>
      <c r="H264" s="608"/>
      <c r="I264" s="608"/>
      <c r="J264" s="1616">
        <f t="shared" si="7"/>
        <v>0</v>
      </c>
      <c r="K264" s="613"/>
      <c r="L264" s="613"/>
      <c r="M264" s="613"/>
      <c r="N264" s="617"/>
      <c r="O264" s="267"/>
    </row>
    <row r="265" spans="1:15" s="1" customFormat="1" ht="18" customHeight="1">
      <c r="A265" s="1331"/>
      <c r="B265" s="605"/>
      <c r="C265" s="606"/>
      <c r="D265" s="590"/>
      <c r="E265" s="606"/>
      <c r="F265" s="607"/>
      <c r="G265" s="607"/>
      <c r="H265" s="608"/>
      <c r="I265" s="608"/>
      <c r="J265" s="1616">
        <f t="shared" si="7"/>
        <v>0</v>
      </c>
      <c r="K265" s="613"/>
      <c r="L265" s="613"/>
      <c r="M265" s="613"/>
      <c r="N265" s="617"/>
      <c r="O265" s="267"/>
    </row>
    <row r="266" spans="1:15" s="1" customFormat="1" ht="18" customHeight="1">
      <c r="A266" s="1331"/>
      <c r="B266" s="605"/>
      <c r="C266" s="606"/>
      <c r="D266" s="590"/>
      <c r="E266" s="606"/>
      <c r="F266" s="607"/>
      <c r="G266" s="607"/>
      <c r="H266" s="608"/>
      <c r="I266" s="608"/>
      <c r="J266" s="1616">
        <f t="shared" si="7"/>
        <v>0</v>
      </c>
      <c r="K266" s="613"/>
      <c r="L266" s="613"/>
      <c r="M266" s="613"/>
      <c r="N266" s="617"/>
      <c r="O266" s="267"/>
    </row>
    <row r="267" spans="1:15" s="1" customFormat="1" ht="18" customHeight="1">
      <c r="A267" s="1331"/>
      <c r="B267" s="605"/>
      <c r="C267" s="606"/>
      <c r="D267" s="590"/>
      <c r="E267" s="606"/>
      <c r="F267" s="607"/>
      <c r="G267" s="607"/>
      <c r="H267" s="608"/>
      <c r="I267" s="608"/>
      <c r="J267" s="1616">
        <f t="shared" si="7"/>
        <v>0</v>
      </c>
      <c r="K267" s="613"/>
      <c r="L267" s="613"/>
      <c r="M267" s="613"/>
      <c r="N267" s="617"/>
      <c r="O267" s="267"/>
    </row>
    <row r="268" spans="1:15" s="1" customFormat="1" ht="18" customHeight="1">
      <c r="A268" s="1331"/>
      <c r="B268" s="605"/>
      <c r="C268" s="606"/>
      <c r="D268" s="590"/>
      <c r="E268" s="606"/>
      <c r="F268" s="607"/>
      <c r="G268" s="607"/>
      <c r="H268" s="608"/>
      <c r="I268" s="608"/>
      <c r="J268" s="1616">
        <f t="shared" si="7"/>
        <v>0</v>
      </c>
      <c r="K268" s="613"/>
      <c r="L268" s="613"/>
      <c r="M268" s="613"/>
      <c r="N268" s="617"/>
      <c r="O268" s="267"/>
    </row>
    <row r="269" spans="1:15" s="1" customFormat="1" ht="18" customHeight="1">
      <c r="A269" s="1331"/>
      <c r="B269" s="605"/>
      <c r="C269" s="606"/>
      <c r="D269" s="590"/>
      <c r="E269" s="606"/>
      <c r="F269" s="607"/>
      <c r="G269" s="607"/>
      <c r="H269" s="608"/>
      <c r="I269" s="608"/>
      <c r="J269" s="1616">
        <f t="shared" si="7"/>
        <v>0</v>
      </c>
      <c r="K269" s="613"/>
      <c r="L269" s="613"/>
      <c r="M269" s="613"/>
      <c r="N269" s="617"/>
      <c r="O269" s="267"/>
    </row>
    <row r="270" spans="1:15" s="1" customFormat="1" ht="18" customHeight="1">
      <c r="A270" s="1331"/>
      <c r="B270" s="605"/>
      <c r="C270" s="606"/>
      <c r="D270" s="590"/>
      <c r="E270" s="606"/>
      <c r="F270" s="607"/>
      <c r="G270" s="607"/>
      <c r="H270" s="608"/>
      <c r="I270" s="608"/>
      <c r="J270" s="1616">
        <f t="shared" si="7"/>
        <v>0</v>
      </c>
      <c r="K270" s="613"/>
      <c r="L270" s="613"/>
      <c r="M270" s="613"/>
      <c r="N270" s="617"/>
      <c r="O270" s="267"/>
    </row>
    <row r="271" spans="1:15" s="1" customFormat="1" ht="18" customHeight="1">
      <c r="A271" s="1331"/>
      <c r="B271" s="605"/>
      <c r="C271" s="606"/>
      <c r="D271" s="590"/>
      <c r="E271" s="606"/>
      <c r="F271" s="607"/>
      <c r="G271" s="607"/>
      <c r="H271" s="608"/>
      <c r="I271" s="608"/>
      <c r="J271" s="1616">
        <f t="shared" si="7"/>
        <v>0</v>
      </c>
      <c r="K271" s="613"/>
      <c r="L271" s="613"/>
      <c r="M271" s="613"/>
      <c r="N271" s="617"/>
      <c r="O271" s="267"/>
    </row>
    <row r="272" spans="1:15" s="1" customFormat="1" ht="18" customHeight="1">
      <c r="A272" s="1331"/>
      <c r="B272" s="605"/>
      <c r="C272" s="606"/>
      <c r="D272" s="590"/>
      <c r="E272" s="606"/>
      <c r="F272" s="607"/>
      <c r="G272" s="607"/>
      <c r="H272" s="608"/>
      <c r="I272" s="608"/>
      <c r="J272" s="1616">
        <f t="shared" si="7"/>
        <v>0</v>
      </c>
      <c r="K272" s="613"/>
      <c r="L272" s="613"/>
      <c r="M272" s="613"/>
      <c r="N272" s="617"/>
      <c r="O272" s="267"/>
    </row>
    <row r="273" spans="1:15" s="1" customFormat="1" ht="18" customHeight="1">
      <c r="A273" s="1331"/>
      <c r="B273" s="605"/>
      <c r="C273" s="606"/>
      <c r="D273" s="590"/>
      <c r="E273" s="606"/>
      <c r="F273" s="607"/>
      <c r="G273" s="607"/>
      <c r="H273" s="608"/>
      <c r="I273" s="608"/>
      <c r="J273" s="1616">
        <f t="shared" si="7"/>
        <v>0</v>
      </c>
      <c r="K273" s="613"/>
      <c r="L273" s="613"/>
      <c r="M273" s="613"/>
      <c r="N273" s="617"/>
      <c r="O273" s="267"/>
    </row>
    <row r="274" spans="1:15" s="1" customFormat="1" ht="18" customHeight="1">
      <c r="A274" s="1331"/>
      <c r="B274" s="605"/>
      <c r="C274" s="606"/>
      <c r="D274" s="590"/>
      <c r="E274" s="606"/>
      <c r="F274" s="607"/>
      <c r="G274" s="607"/>
      <c r="H274" s="608"/>
      <c r="I274" s="608"/>
      <c r="J274" s="1616">
        <f t="shared" si="7"/>
        <v>0</v>
      </c>
      <c r="K274" s="613"/>
      <c r="L274" s="613"/>
      <c r="M274" s="613"/>
      <c r="N274" s="617"/>
      <c r="O274" s="267"/>
    </row>
    <row r="275" spans="1:15" s="1" customFormat="1" ht="18" customHeight="1">
      <c r="A275" s="1331"/>
      <c r="B275" s="605"/>
      <c r="C275" s="606"/>
      <c r="D275" s="590"/>
      <c r="E275" s="606"/>
      <c r="F275" s="607"/>
      <c r="G275" s="607"/>
      <c r="H275" s="608"/>
      <c r="I275" s="608"/>
      <c r="J275" s="1616">
        <f t="shared" si="7"/>
        <v>0</v>
      </c>
      <c r="K275" s="613"/>
      <c r="L275" s="613"/>
      <c r="M275" s="613"/>
      <c r="N275" s="617"/>
      <c r="O275" s="267"/>
    </row>
    <row r="276" spans="1:15" s="1" customFormat="1" ht="18" customHeight="1">
      <c r="A276" s="1331"/>
      <c r="B276" s="605"/>
      <c r="C276" s="606"/>
      <c r="D276" s="590"/>
      <c r="E276" s="606"/>
      <c r="F276" s="607"/>
      <c r="G276" s="607"/>
      <c r="H276" s="608"/>
      <c r="I276" s="608"/>
      <c r="J276" s="1616">
        <f t="shared" si="7"/>
        <v>0</v>
      </c>
      <c r="K276" s="613"/>
      <c r="L276" s="613"/>
      <c r="M276" s="613"/>
      <c r="N276" s="617"/>
      <c r="O276" s="267"/>
    </row>
    <row r="277" spans="1:15" s="1" customFormat="1" ht="18" customHeight="1">
      <c r="A277" s="1331"/>
      <c r="B277" s="605"/>
      <c r="C277" s="606"/>
      <c r="D277" s="590"/>
      <c r="E277" s="606"/>
      <c r="F277" s="607"/>
      <c r="G277" s="607"/>
      <c r="H277" s="608"/>
      <c r="I277" s="608"/>
      <c r="J277" s="1616">
        <f t="shared" si="7"/>
        <v>0</v>
      </c>
      <c r="K277" s="613"/>
      <c r="L277" s="613"/>
      <c r="M277" s="613"/>
      <c r="N277" s="617"/>
      <c r="O277" s="267"/>
    </row>
    <row r="278" spans="1:15" s="1" customFormat="1" ht="18" customHeight="1">
      <c r="A278" s="1331"/>
      <c r="B278" s="605"/>
      <c r="C278" s="606"/>
      <c r="D278" s="590"/>
      <c r="E278" s="606"/>
      <c r="F278" s="607"/>
      <c r="G278" s="607"/>
      <c r="H278" s="608"/>
      <c r="I278" s="608"/>
      <c r="J278" s="1616">
        <f t="shared" si="7"/>
        <v>0</v>
      </c>
      <c r="K278" s="613"/>
      <c r="L278" s="613"/>
      <c r="M278" s="613"/>
      <c r="N278" s="617"/>
      <c r="O278" s="267"/>
    </row>
    <row r="279" spans="1:15" s="1" customFormat="1" ht="18" customHeight="1">
      <c r="A279" s="1331"/>
      <c r="B279" s="605"/>
      <c r="C279" s="606"/>
      <c r="D279" s="590"/>
      <c r="E279" s="606"/>
      <c r="F279" s="607"/>
      <c r="G279" s="607"/>
      <c r="H279" s="608"/>
      <c r="I279" s="608"/>
      <c r="J279" s="1616">
        <f t="shared" si="7"/>
        <v>0</v>
      </c>
      <c r="K279" s="613"/>
      <c r="L279" s="613"/>
      <c r="M279" s="613"/>
      <c r="N279" s="617"/>
      <c r="O279" s="267"/>
    </row>
    <row r="280" spans="1:15" s="1" customFormat="1" ht="18" customHeight="1">
      <c r="A280" s="1331"/>
      <c r="B280" s="605"/>
      <c r="C280" s="606"/>
      <c r="D280" s="590"/>
      <c r="E280" s="606"/>
      <c r="F280" s="607"/>
      <c r="G280" s="607"/>
      <c r="H280" s="608"/>
      <c r="I280" s="608"/>
      <c r="J280" s="1616">
        <f t="shared" si="7"/>
        <v>0</v>
      </c>
      <c r="K280" s="613"/>
      <c r="L280" s="613"/>
      <c r="M280" s="613"/>
      <c r="N280" s="617"/>
      <c r="O280" s="267"/>
    </row>
    <row r="281" spans="1:15" s="1" customFormat="1" ht="18" customHeight="1">
      <c r="A281" s="1331"/>
      <c r="B281" s="605"/>
      <c r="C281" s="606"/>
      <c r="D281" s="590"/>
      <c r="E281" s="606"/>
      <c r="F281" s="607"/>
      <c r="G281" s="607"/>
      <c r="H281" s="608"/>
      <c r="I281" s="608"/>
      <c r="J281" s="1616">
        <f t="shared" si="7"/>
        <v>0</v>
      </c>
      <c r="K281" s="613"/>
      <c r="L281" s="613"/>
      <c r="M281" s="613"/>
      <c r="N281" s="617"/>
      <c r="O281" s="267"/>
    </row>
    <row r="282" spans="1:15" s="1" customFormat="1" ht="18" customHeight="1">
      <c r="A282" s="1331"/>
      <c r="B282" s="605"/>
      <c r="C282" s="606"/>
      <c r="D282" s="590"/>
      <c r="E282" s="606"/>
      <c r="F282" s="607"/>
      <c r="G282" s="607"/>
      <c r="H282" s="608"/>
      <c r="I282" s="608"/>
      <c r="J282" s="1616">
        <f t="shared" si="7"/>
        <v>0</v>
      </c>
      <c r="K282" s="613"/>
      <c r="L282" s="613"/>
      <c r="M282" s="613"/>
      <c r="N282" s="617"/>
      <c r="O282" s="267"/>
    </row>
    <row r="283" spans="1:15" s="1" customFormat="1" ht="18" customHeight="1">
      <c r="A283" s="1331"/>
      <c r="B283" s="605"/>
      <c r="C283" s="606"/>
      <c r="D283" s="590"/>
      <c r="E283" s="606"/>
      <c r="F283" s="607"/>
      <c r="G283" s="607"/>
      <c r="H283" s="608"/>
      <c r="I283" s="608"/>
      <c r="J283" s="1616">
        <f t="shared" si="7"/>
        <v>0</v>
      </c>
      <c r="K283" s="613"/>
      <c r="L283" s="613"/>
      <c r="M283" s="613"/>
      <c r="N283" s="617"/>
      <c r="O283" s="267"/>
    </row>
    <row r="284" spans="1:15" s="1" customFormat="1" ht="18" customHeight="1">
      <c r="A284" s="1331"/>
      <c r="B284" s="605"/>
      <c r="C284" s="606"/>
      <c r="D284" s="590"/>
      <c r="E284" s="606"/>
      <c r="F284" s="607"/>
      <c r="G284" s="607"/>
      <c r="H284" s="608"/>
      <c r="I284" s="608"/>
      <c r="J284" s="1616">
        <f t="shared" si="7"/>
        <v>0</v>
      </c>
      <c r="K284" s="613"/>
      <c r="L284" s="613"/>
      <c r="M284" s="613"/>
      <c r="N284" s="617"/>
      <c r="O284" s="267"/>
    </row>
    <row r="285" spans="1:15" s="1" customFormat="1" ht="18" customHeight="1">
      <c r="A285" s="1331"/>
      <c r="B285" s="605"/>
      <c r="C285" s="606"/>
      <c r="D285" s="590"/>
      <c r="E285" s="606"/>
      <c r="F285" s="607"/>
      <c r="G285" s="607"/>
      <c r="H285" s="608"/>
      <c r="I285" s="608"/>
      <c r="J285" s="1616">
        <f t="shared" si="7"/>
        <v>0</v>
      </c>
      <c r="K285" s="613"/>
      <c r="L285" s="613"/>
      <c r="M285" s="613"/>
      <c r="N285" s="617"/>
      <c r="O285" s="267"/>
    </row>
    <row r="286" spans="1:15" s="1" customFormat="1" ht="18" customHeight="1">
      <c r="A286" s="1331"/>
      <c r="B286" s="605"/>
      <c r="C286" s="606"/>
      <c r="D286" s="590"/>
      <c r="E286" s="606"/>
      <c r="F286" s="607"/>
      <c r="G286" s="607"/>
      <c r="H286" s="608"/>
      <c r="I286" s="608"/>
      <c r="J286" s="1616">
        <f t="shared" si="7"/>
        <v>0</v>
      </c>
      <c r="K286" s="613"/>
      <c r="L286" s="613"/>
      <c r="M286" s="613"/>
      <c r="N286" s="617"/>
      <c r="O286" s="267"/>
    </row>
    <row r="287" spans="1:15" s="1" customFormat="1" ht="18" customHeight="1">
      <c r="A287" s="1331"/>
      <c r="B287" s="605"/>
      <c r="C287" s="606"/>
      <c r="D287" s="590"/>
      <c r="E287" s="606"/>
      <c r="F287" s="607"/>
      <c r="G287" s="607"/>
      <c r="H287" s="608"/>
      <c r="I287" s="608"/>
      <c r="J287" s="1616">
        <f t="shared" si="7"/>
        <v>0</v>
      </c>
      <c r="K287" s="613"/>
      <c r="L287" s="613"/>
      <c r="M287" s="613"/>
      <c r="N287" s="617"/>
      <c r="O287" s="267"/>
    </row>
    <row r="288" spans="1:15" s="1" customFormat="1" ht="18" customHeight="1">
      <c r="A288" s="1331"/>
      <c r="B288" s="605"/>
      <c r="C288" s="606"/>
      <c r="D288" s="590"/>
      <c r="E288" s="606"/>
      <c r="F288" s="607"/>
      <c r="G288" s="607"/>
      <c r="H288" s="608"/>
      <c r="I288" s="608"/>
      <c r="J288" s="1616">
        <f t="shared" si="7"/>
        <v>0</v>
      </c>
      <c r="K288" s="613"/>
      <c r="L288" s="613"/>
      <c r="M288" s="613"/>
      <c r="N288" s="617"/>
      <c r="O288" s="267"/>
    </row>
    <row r="289" spans="1:15" s="1" customFormat="1" ht="18" customHeight="1">
      <c r="A289" s="1331"/>
      <c r="B289" s="605"/>
      <c r="C289" s="606"/>
      <c r="D289" s="590"/>
      <c r="E289" s="606"/>
      <c r="F289" s="607"/>
      <c r="G289" s="607"/>
      <c r="H289" s="608"/>
      <c r="I289" s="608"/>
      <c r="J289" s="1616">
        <f t="shared" si="7"/>
        <v>0</v>
      </c>
      <c r="K289" s="613"/>
      <c r="L289" s="613"/>
      <c r="M289" s="613"/>
      <c r="N289" s="617"/>
      <c r="O289" s="267"/>
    </row>
    <row r="290" spans="1:15" s="1" customFormat="1" ht="18" customHeight="1">
      <c r="A290" s="1331"/>
      <c r="B290" s="605"/>
      <c r="C290" s="606"/>
      <c r="D290" s="590"/>
      <c r="E290" s="606"/>
      <c r="F290" s="607"/>
      <c r="G290" s="607"/>
      <c r="H290" s="608"/>
      <c r="I290" s="608"/>
      <c r="J290" s="1616">
        <f t="shared" si="7"/>
        <v>0</v>
      </c>
      <c r="K290" s="613"/>
      <c r="L290" s="613"/>
      <c r="M290" s="613"/>
      <c r="N290" s="617"/>
      <c r="O290" s="267"/>
    </row>
    <row r="291" spans="1:15" s="1" customFormat="1" ht="18" customHeight="1">
      <c r="A291" s="1331"/>
      <c r="B291" s="605"/>
      <c r="C291" s="606"/>
      <c r="D291" s="590"/>
      <c r="E291" s="606"/>
      <c r="F291" s="607"/>
      <c r="G291" s="607"/>
      <c r="H291" s="608"/>
      <c r="I291" s="608"/>
      <c r="J291" s="1616">
        <f t="shared" ref="J291:J354" si="8">G291*I291</f>
        <v>0</v>
      </c>
      <c r="K291" s="613"/>
      <c r="L291" s="613"/>
      <c r="M291" s="613"/>
      <c r="N291" s="617"/>
      <c r="O291" s="267"/>
    </row>
    <row r="292" spans="1:15" s="1" customFormat="1" ht="18" customHeight="1">
      <c r="A292" s="1331"/>
      <c r="B292" s="605"/>
      <c r="C292" s="606"/>
      <c r="D292" s="590"/>
      <c r="E292" s="606"/>
      <c r="F292" s="607"/>
      <c r="G292" s="607"/>
      <c r="H292" s="608"/>
      <c r="I292" s="608"/>
      <c r="J292" s="1616">
        <f t="shared" si="8"/>
        <v>0</v>
      </c>
      <c r="K292" s="613"/>
      <c r="L292" s="613"/>
      <c r="M292" s="613"/>
      <c r="N292" s="617"/>
      <c r="O292" s="267"/>
    </row>
    <row r="293" spans="1:15" s="1" customFormat="1" ht="18" customHeight="1">
      <c r="A293" s="1331"/>
      <c r="B293" s="605"/>
      <c r="C293" s="606"/>
      <c r="D293" s="590"/>
      <c r="E293" s="606"/>
      <c r="F293" s="607"/>
      <c r="G293" s="607"/>
      <c r="H293" s="608"/>
      <c r="I293" s="608"/>
      <c r="J293" s="1616">
        <f t="shared" si="8"/>
        <v>0</v>
      </c>
      <c r="K293" s="613"/>
      <c r="L293" s="613"/>
      <c r="M293" s="613"/>
      <c r="N293" s="617"/>
      <c r="O293" s="267"/>
    </row>
    <row r="294" spans="1:15" s="1" customFormat="1" ht="18" customHeight="1">
      <c r="A294" s="1331"/>
      <c r="B294" s="605"/>
      <c r="C294" s="606"/>
      <c r="D294" s="590"/>
      <c r="E294" s="606"/>
      <c r="F294" s="607"/>
      <c r="G294" s="607"/>
      <c r="H294" s="608"/>
      <c r="I294" s="608"/>
      <c r="J294" s="1616">
        <f t="shared" si="8"/>
        <v>0</v>
      </c>
      <c r="K294" s="613"/>
      <c r="L294" s="613"/>
      <c r="M294" s="613"/>
      <c r="N294" s="617"/>
      <c r="O294" s="267"/>
    </row>
    <row r="295" spans="1:15" s="1" customFormat="1" ht="18" customHeight="1">
      <c r="A295" s="1331"/>
      <c r="B295" s="605"/>
      <c r="C295" s="606"/>
      <c r="D295" s="590"/>
      <c r="E295" s="606"/>
      <c r="F295" s="607"/>
      <c r="G295" s="607"/>
      <c r="H295" s="608"/>
      <c r="I295" s="608"/>
      <c r="J295" s="1616">
        <f t="shared" si="8"/>
        <v>0</v>
      </c>
      <c r="K295" s="613"/>
      <c r="L295" s="613"/>
      <c r="M295" s="613"/>
      <c r="N295" s="617"/>
      <c r="O295" s="267"/>
    </row>
    <row r="296" spans="1:15" s="1" customFormat="1" ht="18" customHeight="1">
      <c r="A296" s="1331"/>
      <c r="B296" s="605"/>
      <c r="C296" s="606"/>
      <c r="D296" s="590"/>
      <c r="E296" s="606"/>
      <c r="F296" s="607"/>
      <c r="G296" s="607"/>
      <c r="H296" s="608"/>
      <c r="I296" s="608"/>
      <c r="J296" s="1616">
        <f t="shared" si="8"/>
        <v>0</v>
      </c>
      <c r="K296" s="613"/>
      <c r="L296" s="613"/>
      <c r="M296" s="613"/>
      <c r="N296" s="617"/>
      <c r="O296" s="267"/>
    </row>
    <row r="297" spans="1:15" s="1" customFormat="1" ht="18" customHeight="1">
      <c r="A297" s="1331"/>
      <c r="B297" s="605"/>
      <c r="C297" s="606"/>
      <c r="D297" s="590"/>
      <c r="E297" s="606"/>
      <c r="F297" s="607"/>
      <c r="G297" s="607"/>
      <c r="H297" s="608"/>
      <c r="I297" s="608"/>
      <c r="J297" s="1616">
        <f t="shared" si="8"/>
        <v>0</v>
      </c>
      <c r="K297" s="613"/>
      <c r="L297" s="613"/>
      <c r="M297" s="613"/>
      <c r="N297" s="617"/>
      <c r="O297" s="267"/>
    </row>
    <row r="298" spans="1:15" s="1" customFormat="1" ht="18" customHeight="1">
      <c r="A298" s="1331"/>
      <c r="B298" s="605"/>
      <c r="C298" s="606"/>
      <c r="D298" s="590"/>
      <c r="E298" s="606"/>
      <c r="F298" s="607"/>
      <c r="G298" s="607"/>
      <c r="H298" s="608"/>
      <c r="I298" s="608"/>
      <c r="J298" s="1616">
        <f t="shared" si="8"/>
        <v>0</v>
      </c>
      <c r="K298" s="613"/>
      <c r="L298" s="613"/>
      <c r="M298" s="613"/>
      <c r="N298" s="617"/>
      <c r="O298" s="267"/>
    </row>
    <row r="299" spans="1:15" s="1" customFormat="1" ht="18" customHeight="1">
      <c r="A299" s="1331"/>
      <c r="B299" s="605"/>
      <c r="C299" s="606"/>
      <c r="D299" s="590"/>
      <c r="E299" s="606"/>
      <c r="F299" s="607"/>
      <c r="G299" s="607"/>
      <c r="H299" s="608"/>
      <c r="I299" s="608"/>
      <c r="J299" s="1616">
        <f t="shared" si="8"/>
        <v>0</v>
      </c>
      <c r="K299" s="613"/>
      <c r="L299" s="613"/>
      <c r="M299" s="613"/>
      <c r="N299" s="617"/>
      <c r="O299" s="267"/>
    </row>
    <row r="300" spans="1:15" s="1" customFormat="1" ht="18" customHeight="1">
      <c r="A300" s="1331"/>
      <c r="B300" s="605"/>
      <c r="C300" s="606"/>
      <c r="D300" s="590"/>
      <c r="E300" s="606"/>
      <c r="F300" s="607"/>
      <c r="G300" s="607"/>
      <c r="H300" s="608"/>
      <c r="I300" s="608"/>
      <c r="J300" s="1616">
        <f t="shared" si="8"/>
        <v>0</v>
      </c>
      <c r="K300" s="613"/>
      <c r="L300" s="613"/>
      <c r="M300" s="613"/>
      <c r="N300" s="617"/>
      <c r="O300" s="267"/>
    </row>
    <row r="301" spans="1:15" s="1" customFormat="1" ht="18" customHeight="1">
      <c r="A301" s="1331"/>
      <c r="B301" s="605"/>
      <c r="C301" s="606"/>
      <c r="D301" s="590"/>
      <c r="E301" s="606"/>
      <c r="F301" s="607"/>
      <c r="G301" s="607"/>
      <c r="H301" s="608"/>
      <c r="I301" s="608"/>
      <c r="J301" s="1616">
        <f t="shared" si="8"/>
        <v>0</v>
      </c>
      <c r="K301" s="613"/>
      <c r="L301" s="613"/>
      <c r="M301" s="613"/>
      <c r="N301" s="617"/>
      <c r="O301" s="267"/>
    </row>
    <row r="302" spans="1:15" s="1" customFormat="1" ht="18" customHeight="1">
      <c r="A302" s="1331"/>
      <c r="B302" s="605"/>
      <c r="C302" s="606"/>
      <c r="D302" s="590"/>
      <c r="E302" s="606"/>
      <c r="F302" s="607"/>
      <c r="G302" s="607"/>
      <c r="H302" s="608"/>
      <c r="I302" s="608"/>
      <c r="J302" s="1616">
        <f t="shared" si="8"/>
        <v>0</v>
      </c>
      <c r="K302" s="613"/>
      <c r="L302" s="613"/>
      <c r="M302" s="613"/>
      <c r="N302" s="617"/>
      <c r="O302" s="267"/>
    </row>
    <row r="303" spans="1:15" s="1" customFormat="1" ht="18" customHeight="1">
      <c r="A303" s="1331"/>
      <c r="B303" s="605"/>
      <c r="C303" s="606"/>
      <c r="D303" s="590"/>
      <c r="E303" s="606"/>
      <c r="F303" s="607"/>
      <c r="G303" s="607"/>
      <c r="H303" s="608"/>
      <c r="I303" s="608"/>
      <c r="J303" s="1616">
        <f t="shared" si="8"/>
        <v>0</v>
      </c>
      <c r="K303" s="613"/>
      <c r="L303" s="613"/>
      <c r="M303" s="613"/>
      <c r="N303" s="617"/>
      <c r="O303" s="267"/>
    </row>
    <row r="304" spans="1:15" s="1" customFormat="1" ht="18" customHeight="1">
      <c r="A304" s="1331"/>
      <c r="B304" s="605"/>
      <c r="C304" s="606"/>
      <c r="D304" s="590"/>
      <c r="E304" s="606"/>
      <c r="F304" s="607"/>
      <c r="G304" s="607"/>
      <c r="H304" s="608"/>
      <c r="I304" s="608"/>
      <c r="J304" s="1616">
        <f t="shared" si="8"/>
        <v>0</v>
      </c>
      <c r="K304" s="613"/>
      <c r="L304" s="613"/>
      <c r="M304" s="613"/>
      <c r="N304" s="617"/>
      <c r="O304" s="267"/>
    </row>
    <row r="305" spans="1:15" s="1" customFormat="1" ht="18" customHeight="1">
      <c r="A305" s="1331"/>
      <c r="B305" s="605"/>
      <c r="C305" s="606"/>
      <c r="D305" s="590"/>
      <c r="E305" s="606"/>
      <c r="F305" s="607"/>
      <c r="G305" s="607"/>
      <c r="H305" s="608"/>
      <c r="I305" s="608"/>
      <c r="J305" s="1616">
        <f t="shared" si="8"/>
        <v>0</v>
      </c>
      <c r="K305" s="613"/>
      <c r="L305" s="613"/>
      <c r="M305" s="613"/>
      <c r="N305" s="617"/>
      <c r="O305" s="267"/>
    </row>
    <row r="306" spans="1:15" s="1" customFormat="1" ht="18" customHeight="1">
      <c r="A306" s="1331"/>
      <c r="B306" s="605"/>
      <c r="C306" s="606"/>
      <c r="D306" s="590"/>
      <c r="E306" s="606"/>
      <c r="F306" s="607"/>
      <c r="G306" s="607"/>
      <c r="H306" s="608"/>
      <c r="I306" s="608"/>
      <c r="J306" s="1616">
        <f t="shared" si="8"/>
        <v>0</v>
      </c>
      <c r="K306" s="613"/>
      <c r="L306" s="613"/>
      <c r="M306" s="613"/>
      <c r="N306" s="617"/>
      <c r="O306" s="267"/>
    </row>
    <row r="307" spans="1:15" s="1" customFormat="1" ht="18" customHeight="1">
      <c r="A307" s="1331"/>
      <c r="B307" s="605"/>
      <c r="C307" s="606"/>
      <c r="D307" s="590"/>
      <c r="E307" s="606"/>
      <c r="F307" s="607"/>
      <c r="G307" s="607"/>
      <c r="H307" s="608"/>
      <c r="I307" s="608"/>
      <c r="J307" s="1616">
        <f t="shared" si="8"/>
        <v>0</v>
      </c>
      <c r="K307" s="613"/>
      <c r="L307" s="613"/>
      <c r="M307" s="613"/>
      <c r="N307" s="617"/>
      <c r="O307" s="267"/>
    </row>
    <row r="308" spans="1:15" s="1" customFormat="1" ht="18" customHeight="1">
      <c r="A308" s="1331"/>
      <c r="B308" s="605"/>
      <c r="C308" s="606"/>
      <c r="D308" s="590"/>
      <c r="E308" s="606"/>
      <c r="F308" s="607"/>
      <c r="G308" s="607"/>
      <c r="H308" s="608"/>
      <c r="I308" s="608"/>
      <c r="J308" s="1616">
        <f t="shared" si="8"/>
        <v>0</v>
      </c>
      <c r="K308" s="613"/>
      <c r="L308" s="613"/>
      <c r="M308" s="613"/>
      <c r="N308" s="617"/>
      <c r="O308" s="267"/>
    </row>
    <row r="309" spans="1:15" s="1" customFormat="1" ht="18" customHeight="1">
      <c r="A309" s="1331"/>
      <c r="B309" s="605"/>
      <c r="C309" s="606"/>
      <c r="D309" s="590"/>
      <c r="E309" s="606"/>
      <c r="F309" s="607"/>
      <c r="G309" s="607"/>
      <c r="H309" s="608"/>
      <c r="I309" s="608"/>
      <c r="J309" s="1616">
        <f t="shared" si="8"/>
        <v>0</v>
      </c>
      <c r="K309" s="613"/>
      <c r="L309" s="613"/>
      <c r="M309" s="613"/>
      <c r="N309" s="617"/>
      <c r="O309" s="267"/>
    </row>
    <row r="310" spans="1:15" s="1" customFormat="1" ht="18" customHeight="1">
      <c r="A310" s="1331"/>
      <c r="B310" s="605"/>
      <c r="C310" s="606"/>
      <c r="D310" s="590"/>
      <c r="E310" s="606"/>
      <c r="F310" s="607"/>
      <c r="G310" s="607"/>
      <c r="H310" s="608"/>
      <c r="I310" s="608"/>
      <c r="J310" s="1616">
        <f t="shared" si="8"/>
        <v>0</v>
      </c>
      <c r="K310" s="613"/>
      <c r="L310" s="613"/>
      <c r="M310" s="613"/>
      <c r="N310" s="617"/>
      <c r="O310" s="267"/>
    </row>
    <row r="311" spans="1:15" s="1" customFormat="1" ht="18" customHeight="1">
      <c r="A311" s="1331"/>
      <c r="B311" s="605"/>
      <c r="C311" s="606"/>
      <c r="D311" s="590"/>
      <c r="E311" s="606"/>
      <c r="F311" s="607"/>
      <c r="G311" s="607"/>
      <c r="H311" s="608"/>
      <c r="I311" s="608"/>
      <c r="J311" s="1616">
        <f t="shared" si="8"/>
        <v>0</v>
      </c>
      <c r="K311" s="613"/>
      <c r="L311" s="613"/>
      <c r="M311" s="613"/>
      <c r="N311" s="617"/>
      <c r="O311" s="267"/>
    </row>
    <row r="312" spans="1:15" s="1" customFormat="1" ht="18" customHeight="1">
      <c r="A312" s="1331"/>
      <c r="B312" s="605"/>
      <c r="C312" s="606"/>
      <c r="D312" s="590"/>
      <c r="E312" s="606"/>
      <c r="F312" s="607"/>
      <c r="G312" s="607"/>
      <c r="H312" s="608"/>
      <c r="I312" s="608"/>
      <c r="J312" s="1616">
        <f t="shared" si="8"/>
        <v>0</v>
      </c>
      <c r="K312" s="613"/>
      <c r="L312" s="613"/>
      <c r="M312" s="613"/>
      <c r="N312" s="617"/>
      <c r="O312" s="267"/>
    </row>
    <row r="313" spans="1:15" s="1" customFormat="1" ht="18" customHeight="1">
      <c r="A313" s="1331"/>
      <c r="B313" s="605"/>
      <c r="C313" s="606"/>
      <c r="D313" s="590"/>
      <c r="E313" s="606"/>
      <c r="F313" s="607"/>
      <c r="G313" s="607"/>
      <c r="H313" s="608"/>
      <c r="I313" s="608"/>
      <c r="J313" s="1616">
        <f t="shared" si="8"/>
        <v>0</v>
      </c>
      <c r="K313" s="613"/>
      <c r="L313" s="613"/>
      <c r="M313" s="613"/>
      <c r="N313" s="617"/>
      <c r="O313" s="267"/>
    </row>
    <row r="314" spans="1:15" s="1" customFormat="1" ht="18" customHeight="1">
      <c r="A314" s="1331"/>
      <c r="B314" s="605"/>
      <c r="C314" s="606"/>
      <c r="D314" s="590"/>
      <c r="E314" s="606"/>
      <c r="F314" s="607"/>
      <c r="G314" s="607"/>
      <c r="H314" s="608"/>
      <c r="I314" s="608"/>
      <c r="J314" s="1616">
        <f t="shared" si="8"/>
        <v>0</v>
      </c>
      <c r="K314" s="613"/>
      <c r="L314" s="613"/>
      <c r="M314" s="613"/>
      <c r="N314" s="617"/>
      <c r="O314" s="267"/>
    </row>
    <row r="315" spans="1:15" s="1" customFormat="1" ht="18" customHeight="1">
      <c r="A315" s="1331"/>
      <c r="B315" s="605"/>
      <c r="C315" s="606"/>
      <c r="D315" s="590"/>
      <c r="E315" s="606"/>
      <c r="F315" s="607"/>
      <c r="G315" s="607"/>
      <c r="H315" s="608"/>
      <c r="I315" s="608"/>
      <c r="J315" s="1616">
        <f t="shared" si="8"/>
        <v>0</v>
      </c>
      <c r="K315" s="613"/>
      <c r="L315" s="613"/>
      <c r="M315" s="613"/>
      <c r="N315" s="617"/>
      <c r="O315" s="267"/>
    </row>
    <row r="316" spans="1:15" s="1" customFormat="1" ht="18" customHeight="1">
      <c r="A316" s="1331"/>
      <c r="B316" s="605"/>
      <c r="C316" s="606"/>
      <c r="D316" s="590"/>
      <c r="E316" s="606"/>
      <c r="F316" s="607"/>
      <c r="G316" s="607"/>
      <c r="H316" s="608"/>
      <c r="I316" s="608"/>
      <c r="J316" s="1616">
        <f t="shared" si="8"/>
        <v>0</v>
      </c>
      <c r="K316" s="613"/>
      <c r="L316" s="613"/>
      <c r="M316" s="613"/>
      <c r="N316" s="617"/>
      <c r="O316" s="267"/>
    </row>
    <row r="317" spans="1:15" s="1" customFormat="1" ht="18" customHeight="1">
      <c r="A317" s="1331"/>
      <c r="B317" s="605"/>
      <c r="C317" s="606"/>
      <c r="D317" s="590"/>
      <c r="E317" s="606"/>
      <c r="F317" s="607"/>
      <c r="G317" s="607"/>
      <c r="H317" s="608"/>
      <c r="I317" s="608"/>
      <c r="J317" s="1616">
        <f t="shared" si="8"/>
        <v>0</v>
      </c>
      <c r="K317" s="613"/>
      <c r="L317" s="613"/>
      <c r="M317" s="613"/>
      <c r="N317" s="617"/>
      <c r="O317" s="267"/>
    </row>
    <row r="318" spans="1:15" s="1" customFormat="1" ht="18" customHeight="1">
      <c r="A318" s="1331"/>
      <c r="B318" s="605"/>
      <c r="C318" s="606"/>
      <c r="D318" s="590"/>
      <c r="E318" s="606"/>
      <c r="F318" s="607"/>
      <c r="G318" s="607"/>
      <c r="H318" s="608"/>
      <c r="I318" s="608"/>
      <c r="J318" s="1616">
        <f t="shared" si="8"/>
        <v>0</v>
      </c>
      <c r="K318" s="613"/>
      <c r="L318" s="613"/>
      <c r="M318" s="613"/>
      <c r="N318" s="617"/>
      <c r="O318" s="267"/>
    </row>
    <row r="319" spans="1:15" s="1" customFormat="1" ht="18" customHeight="1">
      <c r="A319" s="1331"/>
      <c r="B319" s="605"/>
      <c r="C319" s="606"/>
      <c r="D319" s="590"/>
      <c r="E319" s="606"/>
      <c r="F319" s="607"/>
      <c r="G319" s="607"/>
      <c r="H319" s="608"/>
      <c r="I319" s="608"/>
      <c r="J319" s="1616">
        <f t="shared" si="8"/>
        <v>0</v>
      </c>
      <c r="K319" s="613"/>
      <c r="L319" s="613"/>
      <c r="M319" s="613"/>
      <c r="N319" s="617"/>
      <c r="O319" s="267"/>
    </row>
    <row r="320" spans="1:15" s="1" customFormat="1" ht="18" customHeight="1">
      <c r="A320" s="1331"/>
      <c r="B320" s="605"/>
      <c r="C320" s="606"/>
      <c r="D320" s="590"/>
      <c r="E320" s="606"/>
      <c r="F320" s="607"/>
      <c r="G320" s="607"/>
      <c r="H320" s="608"/>
      <c r="I320" s="608"/>
      <c r="J320" s="1616">
        <f t="shared" si="8"/>
        <v>0</v>
      </c>
      <c r="K320" s="613"/>
      <c r="L320" s="613"/>
      <c r="M320" s="613"/>
      <c r="N320" s="617"/>
      <c r="O320" s="267"/>
    </row>
    <row r="321" spans="1:15" s="1" customFormat="1" ht="18" customHeight="1">
      <c r="A321" s="1331"/>
      <c r="B321" s="605"/>
      <c r="C321" s="606"/>
      <c r="D321" s="590"/>
      <c r="E321" s="606"/>
      <c r="F321" s="607"/>
      <c r="G321" s="607"/>
      <c r="H321" s="608"/>
      <c r="I321" s="608"/>
      <c r="J321" s="1616">
        <f t="shared" si="8"/>
        <v>0</v>
      </c>
      <c r="K321" s="613"/>
      <c r="L321" s="613"/>
      <c r="M321" s="613"/>
      <c r="N321" s="617"/>
      <c r="O321" s="267"/>
    </row>
    <row r="322" spans="1:15" s="1" customFormat="1" ht="18" customHeight="1">
      <c r="A322" s="1331"/>
      <c r="B322" s="605"/>
      <c r="C322" s="606"/>
      <c r="D322" s="590"/>
      <c r="E322" s="606"/>
      <c r="F322" s="607"/>
      <c r="G322" s="607"/>
      <c r="H322" s="608"/>
      <c r="I322" s="608"/>
      <c r="J322" s="1616">
        <f t="shared" si="8"/>
        <v>0</v>
      </c>
      <c r="K322" s="613"/>
      <c r="L322" s="613"/>
      <c r="M322" s="613"/>
      <c r="N322" s="617"/>
      <c r="O322" s="267"/>
    </row>
    <row r="323" spans="1:15" s="1" customFormat="1" ht="18" customHeight="1">
      <c r="A323" s="1331"/>
      <c r="B323" s="605"/>
      <c r="C323" s="606"/>
      <c r="D323" s="590"/>
      <c r="E323" s="606"/>
      <c r="F323" s="607"/>
      <c r="G323" s="607"/>
      <c r="H323" s="608"/>
      <c r="I323" s="608"/>
      <c r="J323" s="1616">
        <f t="shared" si="8"/>
        <v>0</v>
      </c>
      <c r="K323" s="613"/>
      <c r="L323" s="613"/>
      <c r="M323" s="613"/>
      <c r="N323" s="617"/>
      <c r="O323" s="267"/>
    </row>
    <row r="324" spans="1:15" s="1" customFormat="1" ht="18" customHeight="1">
      <c r="A324" s="1331"/>
      <c r="B324" s="605"/>
      <c r="C324" s="606"/>
      <c r="D324" s="590"/>
      <c r="E324" s="606"/>
      <c r="F324" s="607"/>
      <c r="G324" s="607"/>
      <c r="H324" s="608"/>
      <c r="I324" s="608"/>
      <c r="J324" s="1616">
        <f t="shared" si="8"/>
        <v>0</v>
      </c>
      <c r="K324" s="613"/>
      <c r="L324" s="613"/>
      <c r="M324" s="613"/>
      <c r="N324" s="617"/>
      <c r="O324" s="267"/>
    </row>
    <row r="325" spans="1:15" s="1" customFormat="1" ht="18" customHeight="1">
      <c r="A325" s="1331"/>
      <c r="B325" s="605"/>
      <c r="C325" s="606"/>
      <c r="D325" s="590"/>
      <c r="E325" s="606"/>
      <c r="F325" s="607"/>
      <c r="G325" s="607"/>
      <c r="H325" s="608"/>
      <c r="I325" s="608"/>
      <c r="J325" s="1616">
        <f t="shared" si="8"/>
        <v>0</v>
      </c>
      <c r="K325" s="613"/>
      <c r="L325" s="613"/>
      <c r="M325" s="613"/>
      <c r="N325" s="617"/>
      <c r="O325" s="267"/>
    </row>
    <row r="326" spans="1:15" s="1" customFormat="1" ht="18" customHeight="1">
      <c r="A326" s="1331"/>
      <c r="B326" s="605"/>
      <c r="C326" s="606"/>
      <c r="D326" s="590"/>
      <c r="E326" s="606"/>
      <c r="F326" s="607"/>
      <c r="G326" s="607"/>
      <c r="H326" s="608"/>
      <c r="I326" s="608"/>
      <c r="J326" s="1616">
        <f t="shared" si="8"/>
        <v>0</v>
      </c>
      <c r="K326" s="613"/>
      <c r="L326" s="613"/>
      <c r="M326" s="613"/>
      <c r="N326" s="617"/>
      <c r="O326" s="267"/>
    </row>
    <row r="327" spans="1:15" s="1" customFormat="1" ht="18" customHeight="1">
      <c r="A327" s="1331"/>
      <c r="B327" s="605"/>
      <c r="C327" s="606"/>
      <c r="D327" s="590"/>
      <c r="E327" s="606"/>
      <c r="F327" s="607"/>
      <c r="G327" s="607"/>
      <c r="H327" s="608"/>
      <c r="I327" s="608"/>
      <c r="J327" s="1616">
        <f t="shared" si="8"/>
        <v>0</v>
      </c>
      <c r="K327" s="613"/>
      <c r="L327" s="613"/>
      <c r="M327" s="613"/>
      <c r="N327" s="617"/>
      <c r="O327" s="267"/>
    </row>
    <row r="328" spans="1:15" s="1" customFormat="1" ht="18" customHeight="1">
      <c r="A328" s="1331"/>
      <c r="B328" s="605"/>
      <c r="C328" s="606"/>
      <c r="D328" s="590"/>
      <c r="E328" s="606"/>
      <c r="F328" s="607"/>
      <c r="G328" s="607"/>
      <c r="H328" s="608"/>
      <c r="I328" s="608"/>
      <c r="J328" s="1616">
        <f t="shared" si="8"/>
        <v>0</v>
      </c>
      <c r="K328" s="613"/>
      <c r="L328" s="613"/>
      <c r="M328" s="613"/>
      <c r="N328" s="617"/>
      <c r="O328" s="267"/>
    </row>
    <row r="329" spans="1:15" s="1" customFormat="1" ht="18" customHeight="1">
      <c r="A329" s="1331"/>
      <c r="B329" s="605"/>
      <c r="C329" s="606"/>
      <c r="D329" s="590"/>
      <c r="E329" s="606"/>
      <c r="F329" s="607"/>
      <c r="G329" s="607"/>
      <c r="H329" s="608"/>
      <c r="I329" s="608"/>
      <c r="J329" s="1616">
        <f t="shared" si="8"/>
        <v>0</v>
      </c>
      <c r="K329" s="613"/>
      <c r="L329" s="613"/>
      <c r="M329" s="613"/>
      <c r="N329" s="617"/>
      <c r="O329" s="267"/>
    </row>
    <row r="330" spans="1:15" s="1" customFormat="1" ht="18" customHeight="1">
      <c r="A330" s="1331"/>
      <c r="B330" s="605"/>
      <c r="C330" s="606"/>
      <c r="D330" s="590"/>
      <c r="E330" s="606"/>
      <c r="F330" s="607"/>
      <c r="G330" s="607"/>
      <c r="H330" s="608"/>
      <c r="I330" s="608"/>
      <c r="J330" s="1616">
        <f t="shared" si="8"/>
        <v>0</v>
      </c>
      <c r="K330" s="613"/>
      <c r="L330" s="613"/>
      <c r="M330" s="613"/>
      <c r="N330" s="617"/>
      <c r="O330" s="267"/>
    </row>
    <row r="331" spans="1:15" s="1" customFormat="1" ht="18" customHeight="1">
      <c r="A331" s="1331"/>
      <c r="B331" s="605"/>
      <c r="C331" s="606"/>
      <c r="D331" s="590"/>
      <c r="E331" s="606"/>
      <c r="F331" s="607"/>
      <c r="G331" s="607"/>
      <c r="H331" s="608"/>
      <c r="I331" s="608"/>
      <c r="J331" s="1616">
        <f t="shared" si="8"/>
        <v>0</v>
      </c>
      <c r="K331" s="613"/>
      <c r="L331" s="613"/>
      <c r="M331" s="613"/>
      <c r="N331" s="617"/>
      <c r="O331" s="267"/>
    </row>
    <row r="332" spans="1:15" s="1" customFormat="1" ht="18" customHeight="1">
      <c r="A332" s="1331"/>
      <c r="B332" s="605"/>
      <c r="C332" s="606"/>
      <c r="D332" s="590"/>
      <c r="E332" s="606"/>
      <c r="F332" s="607"/>
      <c r="G332" s="607"/>
      <c r="H332" s="608"/>
      <c r="I332" s="608"/>
      <c r="J332" s="1616">
        <f t="shared" si="8"/>
        <v>0</v>
      </c>
      <c r="K332" s="613"/>
      <c r="L332" s="613"/>
      <c r="M332" s="613"/>
      <c r="N332" s="617"/>
      <c r="O332" s="267"/>
    </row>
    <row r="333" spans="1:15" s="1" customFormat="1" ht="18" customHeight="1">
      <c r="A333" s="1331"/>
      <c r="B333" s="605"/>
      <c r="C333" s="606"/>
      <c r="D333" s="590"/>
      <c r="E333" s="606"/>
      <c r="F333" s="607"/>
      <c r="G333" s="607"/>
      <c r="H333" s="608"/>
      <c r="I333" s="608"/>
      <c r="J333" s="1616">
        <f t="shared" si="8"/>
        <v>0</v>
      </c>
      <c r="K333" s="613"/>
      <c r="L333" s="613"/>
      <c r="M333" s="613"/>
      <c r="N333" s="617"/>
      <c r="O333" s="267"/>
    </row>
    <row r="334" spans="1:15" s="1" customFormat="1" ht="18" customHeight="1">
      <c r="A334" s="1331"/>
      <c r="B334" s="605"/>
      <c r="C334" s="606"/>
      <c r="D334" s="590"/>
      <c r="E334" s="606"/>
      <c r="F334" s="607"/>
      <c r="G334" s="607"/>
      <c r="H334" s="608"/>
      <c r="I334" s="608"/>
      <c r="J334" s="1616">
        <f t="shared" si="8"/>
        <v>0</v>
      </c>
      <c r="K334" s="613"/>
      <c r="L334" s="613"/>
      <c r="M334" s="613"/>
      <c r="N334" s="617"/>
      <c r="O334" s="267"/>
    </row>
    <row r="335" spans="1:15" s="1" customFormat="1" ht="18" customHeight="1">
      <c r="A335" s="1331"/>
      <c r="B335" s="605"/>
      <c r="C335" s="606"/>
      <c r="D335" s="590"/>
      <c r="E335" s="606"/>
      <c r="F335" s="607"/>
      <c r="G335" s="607"/>
      <c r="H335" s="608"/>
      <c r="I335" s="608"/>
      <c r="J335" s="1616">
        <f t="shared" si="8"/>
        <v>0</v>
      </c>
      <c r="K335" s="613"/>
      <c r="L335" s="613"/>
      <c r="M335" s="613"/>
      <c r="N335" s="617"/>
      <c r="O335" s="267"/>
    </row>
    <row r="336" spans="1:15" s="1" customFormat="1" ht="18" customHeight="1">
      <c r="A336" s="1331"/>
      <c r="B336" s="605"/>
      <c r="C336" s="606"/>
      <c r="D336" s="590"/>
      <c r="E336" s="606"/>
      <c r="F336" s="607"/>
      <c r="G336" s="607"/>
      <c r="H336" s="608"/>
      <c r="I336" s="608"/>
      <c r="J336" s="1616">
        <f t="shared" si="8"/>
        <v>0</v>
      </c>
      <c r="K336" s="613"/>
      <c r="L336" s="613"/>
      <c r="M336" s="613"/>
      <c r="N336" s="617"/>
      <c r="O336" s="267"/>
    </row>
    <row r="337" spans="1:15" s="1" customFormat="1" ht="18" customHeight="1">
      <c r="A337" s="1331"/>
      <c r="B337" s="605"/>
      <c r="C337" s="606"/>
      <c r="D337" s="590"/>
      <c r="E337" s="606"/>
      <c r="F337" s="607"/>
      <c r="G337" s="607"/>
      <c r="H337" s="608"/>
      <c r="I337" s="608"/>
      <c r="J337" s="1616">
        <f t="shared" si="8"/>
        <v>0</v>
      </c>
      <c r="K337" s="613"/>
      <c r="L337" s="613"/>
      <c r="M337" s="613"/>
      <c r="N337" s="617"/>
      <c r="O337" s="267"/>
    </row>
    <row r="338" spans="1:15" s="1" customFormat="1" ht="18" customHeight="1">
      <c r="A338" s="1331"/>
      <c r="B338" s="605"/>
      <c r="C338" s="606"/>
      <c r="D338" s="590"/>
      <c r="E338" s="606"/>
      <c r="F338" s="607"/>
      <c r="G338" s="607"/>
      <c r="H338" s="608"/>
      <c r="I338" s="608"/>
      <c r="J338" s="1616">
        <f t="shared" si="8"/>
        <v>0</v>
      </c>
      <c r="K338" s="613"/>
      <c r="L338" s="613"/>
      <c r="M338" s="613"/>
      <c r="N338" s="617"/>
      <c r="O338" s="267"/>
    </row>
    <row r="339" spans="1:15" s="1" customFormat="1" ht="18" customHeight="1">
      <c r="A339" s="1331"/>
      <c r="B339" s="605"/>
      <c r="C339" s="606"/>
      <c r="D339" s="590"/>
      <c r="E339" s="606"/>
      <c r="F339" s="607"/>
      <c r="G339" s="607"/>
      <c r="H339" s="608"/>
      <c r="I339" s="608"/>
      <c r="J339" s="1616">
        <f t="shared" si="8"/>
        <v>0</v>
      </c>
      <c r="K339" s="613"/>
      <c r="L339" s="613"/>
      <c r="M339" s="613"/>
      <c r="N339" s="617"/>
      <c r="O339" s="267"/>
    </row>
    <row r="340" spans="1:15" s="1" customFormat="1" ht="18" customHeight="1">
      <c r="A340" s="1331"/>
      <c r="B340" s="605"/>
      <c r="C340" s="606"/>
      <c r="D340" s="590"/>
      <c r="E340" s="606"/>
      <c r="F340" s="607"/>
      <c r="G340" s="607"/>
      <c r="H340" s="608"/>
      <c r="I340" s="608"/>
      <c r="J340" s="1616">
        <f t="shared" si="8"/>
        <v>0</v>
      </c>
      <c r="K340" s="613"/>
      <c r="L340" s="613"/>
      <c r="M340" s="613"/>
      <c r="N340" s="617"/>
      <c r="O340" s="267"/>
    </row>
    <row r="341" spans="1:15" s="1" customFormat="1" ht="18" customHeight="1">
      <c r="A341" s="1331"/>
      <c r="B341" s="605"/>
      <c r="C341" s="606"/>
      <c r="D341" s="590"/>
      <c r="E341" s="606"/>
      <c r="F341" s="607"/>
      <c r="G341" s="607"/>
      <c r="H341" s="608"/>
      <c r="I341" s="608"/>
      <c r="J341" s="1616">
        <f t="shared" si="8"/>
        <v>0</v>
      </c>
      <c r="K341" s="613"/>
      <c r="L341" s="613"/>
      <c r="M341" s="613"/>
      <c r="N341" s="617"/>
      <c r="O341" s="267"/>
    </row>
    <row r="342" spans="1:15" s="1" customFormat="1" ht="18" customHeight="1">
      <c r="A342" s="1331"/>
      <c r="B342" s="605"/>
      <c r="C342" s="606"/>
      <c r="D342" s="590"/>
      <c r="E342" s="606"/>
      <c r="F342" s="607"/>
      <c r="G342" s="607"/>
      <c r="H342" s="608"/>
      <c r="I342" s="608"/>
      <c r="J342" s="1616">
        <f t="shared" si="8"/>
        <v>0</v>
      </c>
      <c r="K342" s="613"/>
      <c r="L342" s="613"/>
      <c r="M342" s="613"/>
      <c r="N342" s="617"/>
      <c r="O342" s="267"/>
    </row>
    <row r="343" spans="1:15" s="1" customFormat="1" ht="18" customHeight="1">
      <c r="A343" s="1331"/>
      <c r="B343" s="605"/>
      <c r="C343" s="606"/>
      <c r="D343" s="590"/>
      <c r="E343" s="606"/>
      <c r="F343" s="607"/>
      <c r="G343" s="607"/>
      <c r="H343" s="608"/>
      <c r="I343" s="608"/>
      <c r="J343" s="1616">
        <f t="shared" si="8"/>
        <v>0</v>
      </c>
      <c r="K343" s="613"/>
      <c r="L343" s="613"/>
      <c r="M343" s="613"/>
      <c r="N343" s="617"/>
      <c r="O343" s="267"/>
    </row>
    <row r="344" spans="1:15" s="1" customFormat="1" ht="18" customHeight="1">
      <c r="A344" s="1331"/>
      <c r="B344" s="605"/>
      <c r="C344" s="606"/>
      <c r="D344" s="590"/>
      <c r="E344" s="606"/>
      <c r="F344" s="607"/>
      <c r="G344" s="607"/>
      <c r="H344" s="608"/>
      <c r="I344" s="608"/>
      <c r="J344" s="1616">
        <f t="shared" si="8"/>
        <v>0</v>
      </c>
      <c r="K344" s="613"/>
      <c r="L344" s="613"/>
      <c r="M344" s="613"/>
      <c r="N344" s="617"/>
      <c r="O344" s="267"/>
    </row>
    <row r="345" spans="1:15" s="1" customFormat="1" ht="18" customHeight="1">
      <c r="A345" s="1331"/>
      <c r="B345" s="605"/>
      <c r="C345" s="606"/>
      <c r="D345" s="590"/>
      <c r="E345" s="606"/>
      <c r="F345" s="607"/>
      <c r="G345" s="607"/>
      <c r="H345" s="608"/>
      <c r="I345" s="608"/>
      <c r="J345" s="1616">
        <f t="shared" si="8"/>
        <v>0</v>
      </c>
      <c r="K345" s="613"/>
      <c r="L345" s="613"/>
      <c r="M345" s="613"/>
      <c r="N345" s="617"/>
      <c r="O345" s="267"/>
    </row>
    <row r="346" spans="1:15" s="1" customFormat="1" ht="18" customHeight="1">
      <c r="A346" s="1331"/>
      <c r="B346" s="605"/>
      <c r="C346" s="606"/>
      <c r="D346" s="590"/>
      <c r="E346" s="606"/>
      <c r="F346" s="607"/>
      <c r="G346" s="607"/>
      <c r="H346" s="608"/>
      <c r="I346" s="608"/>
      <c r="J346" s="1616">
        <f t="shared" si="8"/>
        <v>0</v>
      </c>
      <c r="K346" s="613"/>
      <c r="L346" s="613"/>
      <c r="M346" s="613"/>
      <c r="N346" s="617"/>
      <c r="O346" s="267"/>
    </row>
    <row r="347" spans="1:15" s="1" customFormat="1" ht="18" customHeight="1">
      <c r="A347" s="1331"/>
      <c r="B347" s="605"/>
      <c r="C347" s="606"/>
      <c r="D347" s="590"/>
      <c r="E347" s="606"/>
      <c r="F347" s="607"/>
      <c r="G347" s="607"/>
      <c r="H347" s="608"/>
      <c r="I347" s="608"/>
      <c r="J347" s="1616">
        <f t="shared" si="8"/>
        <v>0</v>
      </c>
      <c r="K347" s="613"/>
      <c r="L347" s="613"/>
      <c r="M347" s="613"/>
      <c r="N347" s="617"/>
      <c r="O347" s="267"/>
    </row>
    <row r="348" spans="1:15" s="1" customFormat="1" ht="18" customHeight="1">
      <c r="A348" s="1331"/>
      <c r="B348" s="605"/>
      <c r="C348" s="606"/>
      <c r="D348" s="590"/>
      <c r="E348" s="606"/>
      <c r="F348" s="607"/>
      <c r="G348" s="607"/>
      <c r="H348" s="608"/>
      <c r="I348" s="608"/>
      <c r="J348" s="1616">
        <f t="shared" si="8"/>
        <v>0</v>
      </c>
      <c r="K348" s="613"/>
      <c r="L348" s="613"/>
      <c r="M348" s="613"/>
      <c r="N348" s="617"/>
      <c r="O348" s="267"/>
    </row>
    <row r="349" spans="1:15" s="1" customFormat="1" ht="18" customHeight="1">
      <c r="A349" s="1331"/>
      <c r="B349" s="605"/>
      <c r="C349" s="606"/>
      <c r="D349" s="590"/>
      <c r="E349" s="606"/>
      <c r="F349" s="607"/>
      <c r="G349" s="607"/>
      <c r="H349" s="608"/>
      <c r="I349" s="608"/>
      <c r="J349" s="1616">
        <f t="shared" si="8"/>
        <v>0</v>
      </c>
      <c r="K349" s="613"/>
      <c r="L349" s="613"/>
      <c r="M349" s="613"/>
      <c r="N349" s="617"/>
      <c r="O349" s="267"/>
    </row>
    <row r="350" spans="1:15" s="1" customFormat="1" ht="18" customHeight="1">
      <c r="A350" s="1331"/>
      <c r="B350" s="605"/>
      <c r="C350" s="606"/>
      <c r="D350" s="590"/>
      <c r="E350" s="606"/>
      <c r="F350" s="607"/>
      <c r="G350" s="607"/>
      <c r="H350" s="608"/>
      <c r="I350" s="608"/>
      <c r="J350" s="1616">
        <f t="shared" si="8"/>
        <v>0</v>
      </c>
      <c r="K350" s="613"/>
      <c r="L350" s="613"/>
      <c r="M350" s="613"/>
      <c r="N350" s="617"/>
      <c r="O350" s="267"/>
    </row>
    <row r="351" spans="1:15" s="1" customFormat="1" ht="18" customHeight="1">
      <c r="A351" s="1331"/>
      <c r="B351" s="605"/>
      <c r="C351" s="606"/>
      <c r="D351" s="590"/>
      <c r="E351" s="606"/>
      <c r="F351" s="607"/>
      <c r="G351" s="607"/>
      <c r="H351" s="608"/>
      <c r="I351" s="608"/>
      <c r="J351" s="1616">
        <f t="shared" si="8"/>
        <v>0</v>
      </c>
      <c r="K351" s="613"/>
      <c r="L351" s="613"/>
      <c r="M351" s="613"/>
      <c r="N351" s="617"/>
      <c r="O351" s="267"/>
    </row>
    <row r="352" spans="1:15" s="1" customFormat="1" ht="18" customHeight="1">
      <c r="A352" s="1331"/>
      <c r="B352" s="605"/>
      <c r="C352" s="606"/>
      <c r="D352" s="590"/>
      <c r="E352" s="606"/>
      <c r="F352" s="607"/>
      <c r="G352" s="607"/>
      <c r="H352" s="608"/>
      <c r="I352" s="608"/>
      <c r="J352" s="1616">
        <f t="shared" si="8"/>
        <v>0</v>
      </c>
      <c r="K352" s="613"/>
      <c r="L352" s="613"/>
      <c r="M352" s="613"/>
      <c r="N352" s="617"/>
      <c r="O352" s="267"/>
    </row>
    <row r="353" spans="1:15" s="1" customFormat="1" ht="18" customHeight="1">
      <c r="A353" s="1331"/>
      <c r="B353" s="605"/>
      <c r="C353" s="606"/>
      <c r="D353" s="590"/>
      <c r="E353" s="606"/>
      <c r="F353" s="607"/>
      <c r="G353" s="607"/>
      <c r="H353" s="608"/>
      <c r="I353" s="608"/>
      <c r="J353" s="1616">
        <f t="shared" si="8"/>
        <v>0</v>
      </c>
      <c r="K353" s="613"/>
      <c r="L353" s="613"/>
      <c r="M353" s="613"/>
      <c r="N353" s="617"/>
      <c r="O353" s="267"/>
    </row>
    <row r="354" spans="1:15" s="1" customFormat="1" ht="18" customHeight="1">
      <c r="A354" s="1331"/>
      <c r="B354" s="605"/>
      <c r="C354" s="606"/>
      <c r="D354" s="590"/>
      <c r="E354" s="606"/>
      <c r="F354" s="607"/>
      <c r="G354" s="607"/>
      <c r="H354" s="608"/>
      <c r="I354" s="608"/>
      <c r="J354" s="1616">
        <f t="shared" si="8"/>
        <v>0</v>
      </c>
      <c r="K354" s="613"/>
      <c r="L354" s="613"/>
      <c r="M354" s="613"/>
      <c r="N354" s="617"/>
      <c r="O354" s="267"/>
    </row>
    <row r="355" spans="1:15" s="1" customFormat="1" ht="18" customHeight="1">
      <c r="A355" s="1331"/>
      <c r="B355" s="605"/>
      <c r="C355" s="606"/>
      <c r="D355" s="590"/>
      <c r="E355" s="606"/>
      <c r="F355" s="607"/>
      <c r="G355" s="607"/>
      <c r="H355" s="608"/>
      <c r="I355" s="608"/>
      <c r="J355" s="1616">
        <f t="shared" ref="J355:J418" si="9">G355*I355</f>
        <v>0</v>
      </c>
      <c r="K355" s="613"/>
      <c r="L355" s="613"/>
      <c r="M355" s="613"/>
      <c r="N355" s="617"/>
      <c r="O355" s="267"/>
    </row>
    <row r="356" spans="1:15" s="1" customFormat="1" ht="18" customHeight="1">
      <c r="A356" s="1331"/>
      <c r="B356" s="605"/>
      <c r="C356" s="606"/>
      <c r="D356" s="590"/>
      <c r="E356" s="606"/>
      <c r="F356" s="607"/>
      <c r="G356" s="607"/>
      <c r="H356" s="608"/>
      <c r="I356" s="608"/>
      <c r="J356" s="1616">
        <f t="shared" si="9"/>
        <v>0</v>
      </c>
      <c r="K356" s="613"/>
      <c r="L356" s="613"/>
      <c r="M356" s="613"/>
      <c r="N356" s="617"/>
      <c r="O356" s="267"/>
    </row>
    <row r="357" spans="1:15" s="1" customFormat="1" ht="18" customHeight="1">
      <c r="A357" s="1331"/>
      <c r="B357" s="605"/>
      <c r="C357" s="606"/>
      <c r="D357" s="590"/>
      <c r="E357" s="606"/>
      <c r="F357" s="607"/>
      <c r="G357" s="607"/>
      <c r="H357" s="608"/>
      <c r="I357" s="608"/>
      <c r="J357" s="1616">
        <f t="shared" si="9"/>
        <v>0</v>
      </c>
      <c r="K357" s="613"/>
      <c r="L357" s="613"/>
      <c r="M357" s="613"/>
      <c r="N357" s="617"/>
      <c r="O357" s="267"/>
    </row>
    <row r="358" spans="1:15" s="1" customFormat="1" ht="18" customHeight="1">
      <c r="A358" s="1331"/>
      <c r="B358" s="605"/>
      <c r="C358" s="606"/>
      <c r="D358" s="590"/>
      <c r="E358" s="606"/>
      <c r="F358" s="607"/>
      <c r="G358" s="607"/>
      <c r="H358" s="608"/>
      <c r="I358" s="608"/>
      <c r="J358" s="1616">
        <f t="shared" si="9"/>
        <v>0</v>
      </c>
      <c r="K358" s="613"/>
      <c r="L358" s="613"/>
      <c r="M358" s="613"/>
      <c r="N358" s="617"/>
      <c r="O358" s="267"/>
    </row>
    <row r="359" spans="1:15" s="1" customFormat="1" ht="18" customHeight="1">
      <c r="A359" s="1331"/>
      <c r="B359" s="605"/>
      <c r="C359" s="606"/>
      <c r="D359" s="590"/>
      <c r="E359" s="606"/>
      <c r="F359" s="607"/>
      <c r="G359" s="607"/>
      <c r="H359" s="608"/>
      <c r="I359" s="608"/>
      <c r="J359" s="1616">
        <f t="shared" si="9"/>
        <v>0</v>
      </c>
      <c r="K359" s="613"/>
      <c r="L359" s="613"/>
      <c r="M359" s="613"/>
      <c r="N359" s="617"/>
      <c r="O359" s="267"/>
    </row>
    <row r="360" spans="1:15" s="1" customFormat="1" ht="18" customHeight="1">
      <c r="A360" s="1331"/>
      <c r="B360" s="605"/>
      <c r="C360" s="606"/>
      <c r="D360" s="590"/>
      <c r="E360" s="606"/>
      <c r="F360" s="607"/>
      <c r="G360" s="607"/>
      <c r="H360" s="608"/>
      <c r="I360" s="608"/>
      <c r="J360" s="1616">
        <f t="shared" si="9"/>
        <v>0</v>
      </c>
      <c r="K360" s="613"/>
      <c r="L360" s="613"/>
      <c r="M360" s="613"/>
      <c r="N360" s="617"/>
      <c r="O360" s="267"/>
    </row>
    <row r="361" spans="1:15" s="1" customFormat="1" ht="18" customHeight="1">
      <c r="A361" s="1331"/>
      <c r="B361" s="605"/>
      <c r="C361" s="606"/>
      <c r="D361" s="590"/>
      <c r="E361" s="606"/>
      <c r="F361" s="607"/>
      <c r="G361" s="607"/>
      <c r="H361" s="608"/>
      <c r="I361" s="608"/>
      <c r="J361" s="1616">
        <f t="shared" si="9"/>
        <v>0</v>
      </c>
      <c r="K361" s="613"/>
      <c r="L361" s="613"/>
      <c r="M361" s="613"/>
      <c r="N361" s="617"/>
      <c r="O361" s="267"/>
    </row>
    <row r="362" spans="1:15" s="1" customFormat="1" ht="18" customHeight="1">
      <c r="A362" s="1331"/>
      <c r="B362" s="605"/>
      <c r="C362" s="606"/>
      <c r="D362" s="590"/>
      <c r="E362" s="606"/>
      <c r="F362" s="607"/>
      <c r="G362" s="607"/>
      <c r="H362" s="608"/>
      <c r="I362" s="608"/>
      <c r="J362" s="1616">
        <f t="shared" si="9"/>
        <v>0</v>
      </c>
      <c r="K362" s="613"/>
      <c r="L362" s="613"/>
      <c r="M362" s="613"/>
      <c r="N362" s="617"/>
      <c r="O362" s="267"/>
    </row>
    <row r="363" spans="1:15" s="1" customFormat="1" ht="18" customHeight="1">
      <c r="A363" s="1331"/>
      <c r="B363" s="605"/>
      <c r="C363" s="606"/>
      <c r="D363" s="590"/>
      <c r="E363" s="606"/>
      <c r="F363" s="607"/>
      <c r="G363" s="607"/>
      <c r="H363" s="608"/>
      <c r="I363" s="608"/>
      <c r="J363" s="1616">
        <f t="shared" si="9"/>
        <v>0</v>
      </c>
      <c r="K363" s="613"/>
      <c r="L363" s="613"/>
      <c r="M363" s="613"/>
      <c r="N363" s="617"/>
      <c r="O363" s="267"/>
    </row>
    <row r="364" spans="1:15" s="1" customFormat="1" ht="18" customHeight="1">
      <c r="A364" s="1331"/>
      <c r="B364" s="605"/>
      <c r="C364" s="606"/>
      <c r="D364" s="590"/>
      <c r="E364" s="606"/>
      <c r="F364" s="607"/>
      <c r="G364" s="607"/>
      <c r="H364" s="608"/>
      <c r="I364" s="608"/>
      <c r="J364" s="1616">
        <f t="shared" si="9"/>
        <v>0</v>
      </c>
      <c r="K364" s="613"/>
      <c r="L364" s="613"/>
      <c r="M364" s="613"/>
      <c r="N364" s="617"/>
      <c r="O364" s="267"/>
    </row>
    <row r="365" spans="1:15" s="1" customFormat="1" ht="18" customHeight="1">
      <c r="A365" s="1331"/>
      <c r="B365" s="605"/>
      <c r="C365" s="606"/>
      <c r="D365" s="590"/>
      <c r="E365" s="606"/>
      <c r="F365" s="607"/>
      <c r="G365" s="607"/>
      <c r="H365" s="608"/>
      <c r="I365" s="608"/>
      <c r="J365" s="1616">
        <f t="shared" si="9"/>
        <v>0</v>
      </c>
      <c r="K365" s="613"/>
      <c r="L365" s="613"/>
      <c r="M365" s="613"/>
      <c r="N365" s="617"/>
      <c r="O365" s="267"/>
    </row>
    <row r="366" spans="1:15" s="1" customFormat="1" ht="18" customHeight="1">
      <c r="A366" s="1331"/>
      <c r="B366" s="605"/>
      <c r="C366" s="606"/>
      <c r="D366" s="590"/>
      <c r="E366" s="606"/>
      <c r="F366" s="607"/>
      <c r="G366" s="607"/>
      <c r="H366" s="608"/>
      <c r="I366" s="608"/>
      <c r="J366" s="1616">
        <f t="shared" si="9"/>
        <v>0</v>
      </c>
      <c r="K366" s="613"/>
      <c r="L366" s="613"/>
      <c r="M366" s="613"/>
      <c r="N366" s="617"/>
      <c r="O366" s="267"/>
    </row>
    <row r="367" spans="1:15" s="1" customFormat="1" ht="18" customHeight="1">
      <c r="A367" s="1331"/>
      <c r="B367" s="605"/>
      <c r="C367" s="606"/>
      <c r="D367" s="590"/>
      <c r="E367" s="606"/>
      <c r="F367" s="607"/>
      <c r="G367" s="607"/>
      <c r="H367" s="608"/>
      <c r="I367" s="608"/>
      <c r="J367" s="1616">
        <f t="shared" si="9"/>
        <v>0</v>
      </c>
      <c r="K367" s="613"/>
      <c r="L367" s="613"/>
      <c r="M367" s="613"/>
      <c r="N367" s="617"/>
      <c r="O367" s="267"/>
    </row>
    <row r="368" spans="1:15" s="1" customFormat="1" ht="18" customHeight="1">
      <c r="A368" s="1331"/>
      <c r="B368" s="605"/>
      <c r="C368" s="606"/>
      <c r="D368" s="590"/>
      <c r="E368" s="606"/>
      <c r="F368" s="607"/>
      <c r="G368" s="607"/>
      <c r="H368" s="608"/>
      <c r="I368" s="608"/>
      <c r="J368" s="1616">
        <f t="shared" si="9"/>
        <v>0</v>
      </c>
      <c r="K368" s="613"/>
      <c r="L368" s="613"/>
      <c r="M368" s="613"/>
      <c r="N368" s="617"/>
      <c r="O368" s="267"/>
    </row>
    <row r="369" spans="1:15" s="1" customFormat="1" ht="18" customHeight="1">
      <c r="A369" s="1331"/>
      <c r="B369" s="605"/>
      <c r="C369" s="606"/>
      <c r="D369" s="590"/>
      <c r="E369" s="606"/>
      <c r="F369" s="607"/>
      <c r="G369" s="607"/>
      <c r="H369" s="608"/>
      <c r="I369" s="608"/>
      <c r="J369" s="1616">
        <f t="shared" si="9"/>
        <v>0</v>
      </c>
      <c r="K369" s="613"/>
      <c r="L369" s="613"/>
      <c r="M369" s="613"/>
      <c r="N369" s="617"/>
      <c r="O369" s="267"/>
    </row>
    <row r="370" spans="1:15" s="1" customFormat="1" ht="18" customHeight="1">
      <c r="A370" s="1331"/>
      <c r="B370" s="605"/>
      <c r="C370" s="606"/>
      <c r="D370" s="590"/>
      <c r="E370" s="606"/>
      <c r="F370" s="607"/>
      <c r="G370" s="607"/>
      <c r="H370" s="608"/>
      <c r="I370" s="608"/>
      <c r="J370" s="1616">
        <f t="shared" si="9"/>
        <v>0</v>
      </c>
      <c r="K370" s="613"/>
      <c r="L370" s="613"/>
      <c r="M370" s="613"/>
      <c r="N370" s="617"/>
      <c r="O370" s="267"/>
    </row>
    <row r="371" spans="1:15" s="1" customFormat="1" ht="18" customHeight="1">
      <c r="A371" s="1331"/>
      <c r="B371" s="605"/>
      <c r="C371" s="606"/>
      <c r="D371" s="590"/>
      <c r="E371" s="606"/>
      <c r="F371" s="607"/>
      <c r="G371" s="607"/>
      <c r="H371" s="608"/>
      <c r="I371" s="608"/>
      <c r="J371" s="1616">
        <f t="shared" si="9"/>
        <v>0</v>
      </c>
      <c r="K371" s="613"/>
      <c r="L371" s="613"/>
      <c r="M371" s="613"/>
      <c r="N371" s="617"/>
      <c r="O371" s="267"/>
    </row>
    <row r="372" spans="1:15" s="1" customFormat="1" ht="18" customHeight="1">
      <c r="A372" s="1331"/>
      <c r="B372" s="605"/>
      <c r="C372" s="606"/>
      <c r="D372" s="590"/>
      <c r="E372" s="606"/>
      <c r="F372" s="607"/>
      <c r="G372" s="607"/>
      <c r="H372" s="608"/>
      <c r="I372" s="608"/>
      <c r="J372" s="1616">
        <f t="shared" si="9"/>
        <v>0</v>
      </c>
      <c r="K372" s="613"/>
      <c r="L372" s="613"/>
      <c r="M372" s="613"/>
      <c r="N372" s="617"/>
      <c r="O372" s="267"/>
    </row>
    <row r="373" spans="1:15" s="1" customFormat="1" ht="18" customHeight="1">
      <c r="A373" s="1331"/>
      <c r="B373" s="605"/>
      <c r="C373" s="606"/>
      <c r="D373" s="590"/>
      <c r="E373" s="606"/>
      <c r="F373" s="607"/>
      <c r="G373" s="607"/>
      <c r="H373" s="608"/>
      <c r="I373" s="608"/>
      <c r="J373" s="1616">
        <f t="shared" si="9"/>
        <v>0</v>
      </c>
      <c r="K373" s="613"/>
      <c r="L373" s="613"/>
      <c r="M373" s="613"/>
      <c r="N373" s="617"/>
      <c r="O373" s="267"/>
    </row>
    <row r="374" spans="1:15" s="1" customFormat="1" ht="18" customHeight="1">
      <c r="A374" s="1331"/>
      <c r="B374" s="605"/>
      <c r="C374" s="606"/>
      <c r="D374" s="590"/>
      <c r="E374" s="606"/>
      <c r="F374" s="607"/>
      <c r="G374" s="607"/>
      <c r="H374" s="608"/>
      <c r="I374" s="608"/>
      <c r="J374" s="1616">
        <f t="shared" si="9"/>
        <v>0</v>
      </c>
      <c r="K374" s="613"/>
      <c r="L374" s="613"/>
      <c r="M374" s="613"/>
      <c r="N374" s="617"/>
      <c r="O374" s="267"/>
    </row>
    <row r="375" spans="1:15" s="1" customFormat="1" ht="18" customHeight="1">
      <c r="A375" s="1331"/>
      <c r="B375" s="605"/>
      <c r="C375" s="606"/>
      <c r="D375" s="590"/>
      <c r="E375" s="606"/>
      <c r="F375" s="607"/>
      <c r="G375" s="607"/>
      <c r="H375" s="608"/>
      <c r="I375" s="608"/>
      <c r="J375" s="1616">
        <f t="shared" si="9"/>
        <v>0</v>
      </c>
      <c r="K375" s="613"/>
      <c r="L375" s="613"/>
      <c r="M375" s="613"/>
      <c r="N375" s="617"/>
      <c r="O375" s="267"/>
    </row>
    <row r="376" spans="1:15" s="1" customFormat="1" ht="18" customHeight="1">
      <c r="A376" s="1331"/>
      <c r="B376" s="605"/>
      <c r="C376" s="606"/>
      <c r="D376" s="590"/>
      <c r="E376" s="606"/>
      <c r="F376" s="607"/>
      <c r="G376" s="607"/>
      <c r="H376" s="608"/>
      <c r="I376" s="608"/>
      <c r="J376" s="1616">
        <f t="shared" si="9"/>
        <v>0</v>
      </c>
      <c r="K376" s="613"/>
      <c r="L376" s="613"/>
      <c r="M376" s="613"/>
      <c r="N376" s="617"/>
      <c r="O376" s="267"/>
    </row>
    <row r="377" spans="1:15" s="1" customFormat="1" ht="18" customHeight="1">
      <c r="A377" s="1331"/>
      <c r="B377" s="605"/>
      <c r="C377" s="606"/>
      <c r="D377" s="590"/>
      <c r="E377" s="606"/>
      <c r="F377" s="607"/>
      <c r="G377" s="607"/>
      <c r="H377" s="608"/>
      <c r="I377" s="608"/>
      <c r="J377" s="1616">
        <f t="shared" si="9"/>
        <v>0</v>
      </c>
      <c r="K377" s="613"/>
      <c r="L377" s="613"/>
      <c r="M377" s="613"/>
      <c r="N377" s="617"/>
      <c r="O377" s="267"/>
    </row>
    <row r="378" spans="1:15" s="1" customFormat="1" ht="18" customHeight="1">
      <c r="A378" s="1331"/>
      <c r="B378" s="605"/>
      <c r="C378" s="606"/>
      <c r="D378" s="590"/>
      <c r="E378" s="606"/>
      <c r="F378" s="607"/>
      <c r="G378" s="607"/>
      <c r="H378" s="608"/>
      <c r="I378" s="608"/>
      <c r="J378" s="1616">
        <f t="shared" si="9"/>
        <v>0</v>
      </c>
      <c r="K378" s="613"/>
      <c r="L378" s="613"/>
      <c r="M378" s="613"/>
      <c r="N378" s="617"/>
      <c r="O378" s="267"/>
    </row>
    <row r="379" spans="1:15" s="1" customFormat="1" ht="18" customHeight="1">
      <c r="A379" s="1331"/>
      <c r="B379" s="605"/>
      <c r="C379" s="606"/>
      <c r="D379" s="590"/>
      <c r="E379" s="606"/>
      <c r="F379" s="607"/>
      <c r="G379" s="607"/>
      <c r="H379" s="608"/>
      <c r="I379" s="608"/>
      <c r="J379" s="1616">
        <f t="shared" si="9"/>
        <v>0</v>
      </c>
      <c r="K379" s="613"/>
      <c r="L379" s="613"/>
      <c r="M379" s="613"/>
      <c r="N379" s="617"/>
      <c r="O379" s="267"/>
    </row>
    <row r="380" spans="1:15" s="1" customFormat="1" ht="18" customHeight="1">
      <c r="A380" s="1331"/>
      <c r="B380" s="605"/>
      <c r="C380" s="606"/>
      <c r="D380" s="590"/>
      <c r="E380" s="606"/>
      <c r="F380" s="607"/>
      <c r="G380" s="607"/>
      <c r="H380" s="608"/>
      <c r="I380" s="608"/>
      <c r="J380" s="1616">
        <f t="shared" si="9"/>
        <v>0</v>
      </c>
      <c r="K380" s="613"/>
      <c r="L380" s="613"/>
      <c r="M380" s="613"/>
      <c r="N380" s="617"/>
      <c r="O380" s="267"/>
    </row>
    <row r="381" spans="1:15" s="1" customFormat="1" ht="18" customHeight="1">
      <c r="A381" s="1331"/>
      <c r="B381" s="605"/>
      <c r="C381" s="606"/>
      <c r="D381" s="590"/>
      <c r="E381" s="606"/>
      <c r="F381" s="607"/>
      <c r="G381" s="607"/>
      <c r="H381" s="608"/>
      <c r="I381" s="608"/>
      <c r="J381" s="1616">
        <f t="shared" si="9"/>
        <v>0</v>
      </c>
      <c r="K381" s="613"/>
      <c r="L381" s="613"/>
      <c r="M381" s="613"/>
      <c r="N381" s="617"/>
      <c r="O381" s="267"/>
    </row>
    <row r="382" spans="1:15" s="1" customFormat="1" ht="18" customHeight="1">
      <c r="A382" s="1331"/>
      <c r="B382" s="605"/>
      <c r="C382" s="606"/>
      <c r="D382" s="590"/>
      <c r="E382" s="606"/>
      <c r="F382" s="607"/>
      <c r="G382" s="607"/>
      <c r="H382" s="608"/>
      <c r="I382" s="608"/>
      <c r="J382" s="1616">
        <f t="shared" si="9"/>
        <v>0</v>
      </c>
      <c r="K382" s="613"/>
      <c r="L382" s="613"/>
      <c r="M382" s="613"/>
      <c r="N382" s="617"/>
      <c r="O382" s="267"/>
    </row>
    <row r="383" spans="1:15" s="1" customFormat="1" ht="18" customHeight="1">
      <c r="A383" s="1331"/>
      <c r="B383" s="605"/>
      <c r="C383" s="606"/>
      <c r="D383" s="590"/>
      <c r="E383" s="606"/>
      <c r="F383" s="607"/>
      <c r="G383" s="607"/>
      <c r="H383" s="608"/>
      <c r="I383" s="608"/>
      <c r="J383" s="1616">
        <f t="shared" si="9"/>
        <v>0</v>
      </c>
      <c r="K383" s="613"/>
      <c r="L383" s="613"/>
      <c r="M383" s="613"/>
      <c r="N383" s="617"/>
      <c r="O383" s="267"/>
    </row>
    <row r="384" spans="1:15" s="1" customFormat="1" ht="18" customHeight="1">
      <c r="A384" s="1331"/>
      <c r="B384" s="605"/>
      <c r="C384" s="606"/>
      <c r="D384" s="590"/>
      <c r="E384" s="606"/>
      <c r="F384" s="607"/>
      <c r="G384" s="607"/>
      <c r="H384" s="608"/>
      <c r="I384" s="608"/>
      <c r="J384" s="1616">
        <f t="shared" si="9"/>
        <v>0</v>
      </c>
      <c r="K384" s="613"/>
      <c r="L384" s="613"/>
      <c r="M384" s="613"/>
      <c r="N384" s="617"/>
      <c r="O384" s="267"/>
    </row>
    <row r="385" spans="1:15" s="1" customFormat="1" ht="18" customHeight="1">
      <c r="A385" s="1331"/>
      <c r="B385" s="605"/>
      <c r="C385" s="606"/>
      <c r="D385" s="590"/>
      <c r="E385" s="606"/>
      <c r="F385" s="607"/>
      <c r="G385" s="607"/>
      <c r="H385" s="608"/>
      <c r="I385" s="608"/>
      <c r="J385" s="1616">
        <f t="shared" si="9"/>
        <v>0</v>
      </c>
      <c r="K385" s="613"/>
      <c r="L385" s="613"/>
      <c r="M385" s="613"/>
      <c r="N385" s="617"/>
      <c r="O385" s="267"/>
    </row>
    <row r="386" spans="1:15" s="1" customFormat="1" ht="18" customHeight="1">
      <c r="A386" s="1331"/>
      <c r="B386" s="605"/>
      <c r="C386" s="606"/>
      <c r="D386" s="590"/>
      <c r="E386" s="606"/>
      <c r="F386" s="607"/>
      <c r="G386" s="607"/>
      <c r="H386" s="608"/>
      <c r="I386" s="608"/>
      <c r="J386" s="1616">
        <f t="shared" si="9"/>
        <v>0</v>
      </c>
      <c r="K386" s="613"/>
      <c r="L386" s="613"/>
      <c r="M386" s="613"/>
      <c r="N386" s="617"/>
      <c r="O386" s="267"/>
    </row>
    <row r="387" spans="1:15" s="1" customFormat="1" ht="18" customHeight="1">
      <c r="A387" s="1331"/>
      <c r="B387" s="605"/>
      <c r="C387" s="606"/>
      <c r="D387" s="590"/>
      <c r="E387" s="606"/>
      <c r="F387" s="607"/>
      <c r="G387" s="607"/>
      <c r="H387" s="608"/>
      <c r="I387" s="608"/>
      <c r="J387" s="1616">
        <f t="shared" si="9"/>
        <v>0</v>
      </c>
      <c r="K387" s="613"/>
      <c r="L387" s="613"/>
      <c r="M387" s="613"/>
      <c r="N387" s="617"/>
      <c r="O387" s="267"/>
    </row>
    <row r="388" spans="1:15" s="1" customFormat="1" ht="18" customHeight="1">
      <c r="A388" s="1331"/>
      <c r="B388" s="605"/>
      <c r="C388" s="606"/>
      <c r="D388" s="590"/>
      <c r="E388" s="606"/>
      <c r="F388" s="607"/>
      <c r="G388" s="607"/>
      <c r="H388" s="608"/>
      <c r="I388" s="608"/>
      <c r="J388" s="1616">
        <f t="shared" si="9"/>
        <v>0</v>
      </c>
      <c r="K388" s="613"/>
      <c r="L388" s="613"/>
      <c r="M388" s="613"/>
      <c r="N388" s="617"/>
      <c r="O388" s="267"/>
    </row>
    <row r="389" spans="1:15" s="1" customFormat="1" ht="18" customHeight="1">
      <c r="A389" s="1331"/>
      <c r="B389" s="605"/>
      <c r="C389" s="606"/>
      <c r="D389" s="590"/>
      <c r="E389" s="606"/>
      <c r="F389" s="607"/>
      <c r="G389" s="607"/>
      <c r="H389" s="608"/>
      <c r="I389" s="608"/>
      <c r="J389" s="1616">
        <f t="shared" si="9"/>
        <v>0</v>
      </c>
      <c r="K389" s="613"/>
      <c r="L389" s="613"/>
      <c r="M389" s="613"/>
      <c r="N389" s="617"/>
      <c r="O389" s="267"/>
    </row>
    <row r="390" spans="1:15" s="1" customFormat="1" ht="18" customHeight="1">
      <c r="A390" s="1331"/>
      <c r="B390" s="605"/>
      <c r="C390" s="606"/>
      <c r="D390" s="590"/>
      <c r="E390" s="606"/>
      <c r="F390" s="607"/>
      <c r="G390" s="607"/>
      <c r="H390" s="608"/>
      <c r="I390" s="608"/>
      <c r="J390" s="1616">
        <f t="shared" si="9"/>
        <v>0</v>
      </c>
      <c r="K390" s="613"/>
      <c r="L390" s="613"/>
      <c r="M390" s="613"/>
      <c r="N390" s="617"/>
      <c r="O390" s="267"/>
    </row>
    <row r="391" spans="1:15" s="1" customFormat="1" ht="18" customHeight="1">
      <c r="A391" s="1331"/>
      <c r="B391" s="605"/>
      <c r="C391" s="606"/>
      <c r="D391" s="590"/>
      <c r="E391" s="606"/>
      <c r="F391" s="607"/>
      <c r="G391" s="607"/>
      <c r="H391" s="608"/>
      <c r="I391" s="608"/>
      <c r="J391" s="1616">
        <f t="shared" si="9"/>
        <v>0</v>
      </c>
      <c r="K391" s="613"/>
      <c r="L391" s="613"/>
      <c r="M391" s="613"/>
      <c r="N391" s="617"/>
      <c r="O391" s="267"/>
    </row>
    <row r="392" spans="1:15" s="1" customFormat="1" ht="18" customHeight="1">
      <c r="A392" s="1331"/>
      <c r="B392" s="605"/>
      <c r="C392" s="606"/>
      <c r="D392" s="590"/>
      <c r="E392" s="606"/>
      <c r="F392" s="607"/>
      <c r="G392" s="607"/>
      <c r="H392" s="608"/>
      <c r="I392" s="608"/>
      <c r="J392" s="1616">
        <f t="shared" si="9"/>
        <v>0</v>
      </c>
      <c r="K392" s="613"/>
      <c r="L392" s="613"/>
      <c r="M392" s="613"/>
      <c r="N392" s="617"/>
      <c r="O392" s="267"/>
    </row>
    <row r="393" spans="1:15" s="1" customFormat="1" ht="18" customHeight="1">
      <c r="A393" s="1331"/>
      <c r="B393" s="605"/>
      <c r="C393" s="606"/>
      <c r="D393" s="590"/>
      <c r="E393" s="606"/>
      <c r="F393" s="607"/>
      <c r="G393" s="607"/>
      <c r="H393" s="608"/>
      <c r="I393" s="608"/>
      <c r="J393" s="1616">
        <f t="shared" si="9"/>
        <v>0</v>
      </c>
      <c r="K393" s="613"/>
      <c r="L393" s="613"/>
      <c r="M393" s="613"/>
      <c r="N393" s="617"/>
      <c r="O393" s="267"/>
    </row>
    <row r="394" spans="1:15" s="1" customFormat="1" ht="18" customHeight="1">
      <c r="A394" s="1331"/>
      <c r="B394" s="605"/>
      <c r="C394" s="606"/>
      <c r="D394" s="590"/>
      <c r="E394" s="606"/>
      <c r="F394" s="607"/>
      <c r="G394" s="607"/>
      <c r="H394" s="608"/>
      <c r="I394" s="608"/>
      <c r="J394" s="1616">
        <f t="shared" si="9"/>
        <v>0</v>
      </c>
      <c r="K394" s="613"/>
      <c r="L394" s="613"/>
      <c r="M394" s="613"/>
      <c r="N394" s="617"/>
      <c r="O394" s="267"/>
    </row>
    <row r="395" spans="1:15" s="1" customFormat="1" ht="18" customHeight="1">
      <c r="A395" s="1331"/>
      <c r="B395" s="605"/>
      <c r="C395" s="606"/>
      <c r="D395" s="590"/>
      <c r="E395" s="606"/>
      <c r="F395" s="607"/>
      <c r="G395" s="607"/>
      <c r="H395" s="608"/>
      <c r="I395" s="608"/>
      <c r="J395" s="1616">
        <f t="shared" si="9"/>
        <v>0</v>
      </c>
      <c r="K395" s="613"/>
      <c r="L395" s="613"/>
      <c r="M395" s="613"/>
      <c r="N395" s="617"/>
      <c r="O395" s="267"/>
    </row>
    <row r="396" spans="1:15" s="1" customFormat="1" ht="18" customHeight="1">
      <c r="A396" s="1331"/>
      <c r="B396" s="605"/>
      <c r="C396" s="606"/>
      <c r="D396" s="590"/>
      <c r="E396" s="606"/>
      <c r="F396" s="607"/>
      <c r="G396" s="607"/>
      <c r="H396" s="608"/>
      <c r="I396" s="608"/>
      <c r="J396" s="1616">
        <f t="shared" si="9"/>
        <v>0</v>
      </c>
      <c r="K396" s="613"/>
      <c r="L396" s="613"/>
      <c r="M396" s="613"/>
      <c r="N396" s="617"/>
      <c r="O396" s="267"/>
    </row>
    <row r="397" spans="1:15" s="1" customFormat="1" ht="18" customHeight="1">
      <c r="A397" s="1331"/>
      <c r="B397" s="605"/>
      <c r="C397" s="606"/>
      <c r="D397" s="590"/>
      <c r="E397" s="606"/>
      <c r="F397" s="607"/>
      <c r="G397" s="607"/>
      <c r="H397" s="608"/>
      <c r="I397" s="608"/>
      <c r="J397" s="1616">
        <f t="shared" si="9"/>
        <v>0</v>
      </c>
      <c r="K397" s="613"/>
      <c r="L397" s="613"/>
      <c r="M397" s="613"/>
      <c r="N397" s="617"/>
      <c r="O397" s="267"/>
    </row>
    <row r="398" spans="1:15" s="1" customFormat="1" ht="18" customHeight="1">
      <c r="A398" s="1331"/>
      <c r="B398" s="605"/>
      <c r="C398" s="606"/>
      <c r="D398" s="590"/>
      <c r="E398" s="606"/>
      <c r="F398" s="607"/>
      <c r="G398" s="607"/>
      <c r="H398" s="608"/>
      <c r="I398" s="608"/>
      <c r="J398" s="1616">
        <f t="shared" si="9"/>
        <v>0</v>
      </c>
      <c r="K398" s="613"/>
      <c r="L398" s="613"/>
      <c r="M398" s="613"/>
      <c r="N398" s="617"/>
      <c r="O398" s="267"/>
    </row>
    <row r="399" spans="1:15" s="1" customFormat="1" ht="18" customHeight="1">
      <c r="A399" s="1331"/>
      <c r="B399" s="605"/>
      <c r="C399" s="606"/>
      <c r="D399" s="590"/>
      <c r="E399" s="606"/>
      <c r="F399" s="607"/>
      <c r="G399" s="607"/>
      <c r="H399" s="608"/>
      <c r="I399" s="608"/>
      <c r="J399" s="1616">
        <f t="shared" si="9"/>
        <v>0</v>
      </c>
      <c r="K399" s="613"/>
      <c r="L399" s="613"/>
      <c r="M399" s="613"/>
      <c r="N399" s="617"/>
      <c r="O399" s="267"/>
    </row>
    <row r="400" spans="1:15" s="1" customFormat="1" ht="18" customHeight="1">
      <c r="A400" s="1331"/>
      <c r="B400" s="605"/>
      <c r="C400" s="606"/>
      <c r="D400" s="590"/>
      <c r="E400" s="606"/>
      <c r="F400" s="607"/>
      <c r="G400" s="607"/>
      <c r="H400" s="608"/>
      <c r="I400" s="608"/>
      <c r="J400" s="1616">
        <f t="shared" si="9"/>
        <v>0</v>
      </c>
      <c r="K400" s="613"/>
      <c r="L400" s="613"/>
      <c r="M400" s="613"/>
      <c r="N400" s="617"/>
      <c r="O400" s="267"/>
    </row>
    <row r="401" spans="1:15" s="1" customFormat="1" ht="18" customHeight="1">
      <c r="A401" s="1331"/>
      <c r="B401" s="605"/>
      <c r="C401" s="606"/>
      <c r="D401" s="590"/>
      <c r="E401" s="606"/>
      <c r="F401" s="607"/>
      <c r="G401" s="607"/>
      <c r="H401" s="608"/>
      <c r="I401" s="608"/>
      <c r="J401" s="1616">
        <f t="shared" si="9"/>
        <v>0</v>
      </c>
      <c r="K401" s="613"/>
      <c r="L401" s="613"/>
      <c r="M401" s="613"/>
      <c r="N401" s="617"/>
      <c r="O401" s="267"/>
    </row>
    <row r="402" spans="1:15" s="1" customFormat="1" ht="18" customHeight="1">
      <c r="A402" s="1331"/>
      <c r="B402" s="605"/>
      <c r="C402" s="606"/>
      <c r="D402" s="590"/>
      <c r="E402" s="606"/>
      <c r="F402" s="607"/>
      <c r="G402" s="607"/>
      <c r="H402" s="608"/>
      <c r="I402" s="608"/>
      <c r="J402" s="1616">
        <f t="shared" si="9"/>
        <v>0</v>
      </c>
      <c r="K402" s="613"/>
      <c r="L402" s="613"/>
      <c r="M402" s="613"/>
      <c r="N402" s="617"/>
      <c r="O402" s="267"/>
    </row>
    <row r="403" spans="1:15" s="1" customFormat="1" ht="18" customHeight="1">
      <c r="A403" s="1331"/>
      <c r="B403" s="605"/>
      <c r="C403" s="606"/>
      <c r="D403" s="590"/>
      <c r="E403" s="606"/>
      <c r="F403" s="607"/>
      <c r="G403" s="607"/>
      <c r="H403" s="608"/>
      <c r="I403" s="608"/>
      <c r="J403" s="1616">
        <f t="shared" si="9"/>
        <v>0</v>
      </c>
      <c r="K403" s="613"/>
      <c r="L403" s="613"/>
      <c r="M403" s="613"/>
      <c r="N403" s="617"/>
      <c r="O403" s="267"/>
    </row>
    <row r="404" spans="1:15" s="1" customFormat="1" ht="18" customHeight="1">
      <c r="A404" s="1331"/>
      <c r="B404" s="605"/>
      <c r="C404" s="606"/>
      <c r="D404" s="590"/>
      <c r="E404" s="606"/>
      <c r="F404" s="607"/>
      <c r="G404" s="607"/>
      <c r="H404" s="608"/>
      <c r="I404" s="608"/>
      <c r="J404" s="1616">
        <f t="shared" si="9"/>
        <v>0</v>
      </c>
      <c r="K404" s="613"/>
      <c r="L404" s="613"/>
      <c r="M404" s="613"/>
      <c r="N404" s="617"/>
      <c r="O404" s="267"/>
    </row>
    <row r="405" spans="1:15" s="1" customFormat="1" ht="18" customHeight="1">
      <c r="A405" s="1331"/>
      <c r="B405" s="605"/>
      <c r="C405" s="606"/>
      <c r="D405" s="590"/>
      <c r="E405" s="606"/>
      <c r="F405" s="607"/>
      <c r="G405" s="607"/>
      <c r="H405" s="608"/>
      <c r="I405" s="608"/>
      <c r="J405" s="1616">
        <f t="shared" si="9"/>
        <v>0</v>
      </c>
      <c r="K405" s="613"/>
      <c r="L405" s="613"/>
      <c r="M405" s="613"/>
      <c r="N405" s="617"/>
      <c r="O405" s="267"/>
    </row>
    <row r="406" spans="1:15" s="1" customFormat="1" ht="18" customHeight="1">
      <c r="A406" s="1331"/>
      <c r="B406" s="605"/>
      <c r="C406" s="606"/>
      <c r="D406" s="590"/>
      <c r="E406" s="606"/>
      <c r="F406" s="607"/>
      <c r="G406" s="607"/>
      <c r="H406" s="608"/>
      <c r="I406" s="608"/>
      <c r="J406" s="1616">
        <f t="shared" si="9"/>
        <v>0</v>
      </c>
      <c r="K406" s="613"/>
      <c r="L406" s="613"/>
      <c r="M406" s="613"/>
      <c r="N406" s="617"/>
      <c r="O406" s="267"/>
    </row>
    <row r="407" spans="1:15" s="1" customFormat="1" ht="18" customHeight="1">
      <c r="A407" s="1331"/>
      <c r="B407" s="605"/>
      <c r="C407" s="606"/>
      <c r="D407" s="590"/>
      <c r="E407" s="606"/>
      <c r="F407" s="607"/>
      <c r="G407" s="607"/>
      <c r="H407" s="608"/>
      <c r="I407" s="608"/>
      <c r="J407" s="1616">
        <f t="shared" si="9"/>
        <v>0</v>
      </c>
      <c r="K407" s="613"/>
      <c r="L407" s="613"/>
      <c r="M407" s="613"/>
      <c r="N407" s="617"/>
      <c r="O407" s="267"/>
    </row>
    <row r="408" spans="1:15" s="1" customFormat="1" ht="18" customHeight="1">
      <c r="A408" s="1331"/>
      <c r="B408" s="605"/>
      <c r="C408" s="606"/>
      <c r="D408" s="590"/>
      <c r="E408" s="606"/>
      <c r="F408" s="607"/>
      <c r="G408" s="607"/>
      <c r="H408" s="608"/>
      <c r="I408" s="608"/>
      <c r="J408" s="1616">
        <f t="shared" si="9"/>
        <v>0</v>
      </c>
      <c r="K408" s="613"/>
      <c r="L408" s="613"/>
      <c r="M408" s="613"/>
      <c r="N408" s="617"/>
      <c r="O408" s="267"/>
    </row>
    <row r="409" spans="1:15" s="1" customFormat="1" ht="18" customHeight="1">
      <c r="A409" s="1331"/>
      <c r="B409" s="605"/>
      <c r="C409" s="606"/>
      <c r="D409" s="590"/>
      <c r="E409" s="606"/>
      <c r="F409" s="607"/>
      <c r="G409" s="607"/>
      <c r="H409" s="608"/>
      <c r="I409" s="608"/>
      <c r="J409" s="1616">
        <f t="shared" si="9"/>
        <v>0</v>
      </c>
      <c r="K409" s="613"/>
      <c r="L409" s="613"/>
      <c r="M409" s="613"/>
      <c r="N409" s="617"/>
      <c r="O409" s="267"/>
    </row>
    <row r="410" spans="1:15" s="1" customFormat="1" ht="18" customHeight="1">
      <c r="A410" s="1331"/>
      <c r="B410" s="605"/>
      <c r="C410" s="606"/>
      <c r="D410" s="590"/>
      <c r="E410" s="606"/>
      <c r="F410" s="607"/>
      <c r="G410" s="607"/>
      <c r="H410" s="608"/>
      <c r="I410" s="608"/>
      <c r="J410" s="1616">
        <f t="shared" si="9"/>
        <v>0</v>
      </c>
      <c r="K410" s="613"/>
      <c r="L410" s="613"/>
      <c r="M410" s="613"/>
      <c r="N410" s="617"/>
      <c r="O410" s="267"/>
    </row>
    <row r="411" spans="1:15" s="1" customFormat="1" ht="18" customHeight="1">
      <c r="A411" s="1331"/>
      <c r="B411" s="605"/>
      <c r="C411" s="606"/>
      <c r="D411" s="590"/>
      <c r="E411" s="606"/>
      <c r="F411" s="607"/>
      <c r="G411" s="607"/>
      <c r="H411" s="608"/>
      <c r="I411" s="608"/>
      <c r="J411" s="1616">
        <f t="shared" si="9"/>
        <v>0</v>
      </c>
      <c r="K411" s="613"/>
      <c r="L411" s="613"/>
      <c r="M411" s="613"/>
      <c r="N411" s="617"/>
      <c r="O411" s="267"/>
    </row>
    <row r="412" spans="1:15" s="1" customFormat="1" ht="18" customHeight="1">
      <c r="A412" s="1331"/>
      <c r="B412" s="605"/>
      <c r="C412" s="606"/>
      <c r="D412" s="590"/>
      <c r="E412" s="606"/>
      <c r="F412" s="607"/>
      <c r="G412" s="607"/>
      <c r="H412" s="608"/>
      <c r="I412" s="608"/>
      <c r="J412" s="1616">
        <f t="shared" si="9"/>
        <v>0</v>
      </c>
      <c r="K412" s="613"/>
      <c r="L412" s="613"/>
      <c r="M412" s="613"/>
      <c r="N412" s="617"/>
      <c r="O412" s="267"/>
    </row>
    <row r="413" spans="1:15" s="1" customFormat="1" ht="18" customHeight="1">
      <c r="A413" s="1331"/>
      <c r="B413" s="605"/>
      <c r="C413" s="606"/>
      <c r="D413" s="590"/>
      <c r="E413" s="606"/>
      <c r="F413" s="607"/>
      <c r="G413" s="607"/>
      <c r="H413" s="608"/>
      <c r="I413" s="608"/>
      <c r="J413" s="1616">
        <f t="shared" si="9"/>
        <v>0</v>
      </c>
      <c r="K413" s="613"/>
      <c r="L413" s="613"/>
      <c r="M413" s="613"/>
      <c r="N413" s="617"/>
      <c r="O413" s="267"/>
    </row>
    <row r="414" spans="1:15" s="1" customFormat="1" ht="18" customHeight="1">
      <c r="A414" s="1331"/>
      <c r="B414" s="605"/>
      <c r="C414" s="606"/>
      <c r="D414" s="590"/>
      <c r="E414" s="606"/>
      <c r="F414" s="607"/>
      <c r="G414" s="607"/>
      <c r="H414" s="608"/>
      <c r="I414" s="608"/>
      <c r="J414" s="1616">
        <f t="shared" si="9"/>
        <v>0</v>
      </c>
      <c r="K414" s="613"/>
      <c r="L414" s="613"/>
      <c r="M414" s="613"/>
      <c r="N414" s="617"/>
      <c r="O414" s="267"/>
    </row>
    <row r="415" spans="1:15" s="1" customFormat="1" ht="18" customHeight="1">
      <c r="A415" s="1331"/>
      <c r="B415" s="605"/>
      <c r="C415" s="606"/>
      <c r="D415" s="590"/>
      <c r="E415" s="606"/>
      <c r="F415" s="607"/>
      <c r="G415" s="607"/>
      <c r="H415" s="608"/>
      <c r="I415" s="608"/>
      <c r="J415" s="1616">
        <f t="shared" si="9"/>
        <v>0</v>
      </c>
      <c r="K415" s="613"/>
      <c r="L415" s="613"/>
      <c r="M415" s="613"/>
      <c r="N415" s="617"/>
      <c r="O415" s="267"/>
    </row>
    <row r="416" spans="1:15" s="1" customFormat="1" ht="18" customHeight="1">
      <c r="A416" s="1331"/>
      <c r="B416" s="605"/>
      <c r="C416" s="606"/>
      <c r="D416" s="590"/>
      <c r="E416" s="606"/>
      <c r="F416" s="607"/>
      <c r="G416" s="607"/>
      <c r="H416" s="608"/>
      <c r="I416" s="608"/>
      <c r="J416" s="1616">
        <f t="shared" si="9"/>
        <v>0</v>
      </c>
      <c r="K416" s="613"/>
      <c r="L416" s="613"/>
      <c r="M416" s="613"/>
      <c r="N416" s="617"/>
      <c r="O416" s="267"/>
    </row>
    <row r="417" spans="1:15" s="1" customFormat="1" ht="18" customHeight="1">
      <c r="A417" s="1331"/>
      <c r="B417" s="605"/>
      <c r="C417" s="606"/>
      <c r="D417" s="590"/>
      <c r="E417" s="606"/>
      <c r="F417" s="607"/>
      <c r="G417" s="607"/>
      <c r="H417" s="608"/>
      <c r="I417" s="608"/>
      <c r="J417" s="1616">
        <f t="shared" si="9"/>
        <v>0</v>
      </c>
      <c r="K417" s="613"/>
      <c r="L417" s="613"/>
      <c r="M417" s="613"/>
      <c r="N417" s="617"/>
      <c r="O417" s="267"/>
    </row>
    <row r="418" spans="1:15" s="1" customFormat="1" ht="18" customHeight="1">
      <c r="A418" s="1331"/>
      <c r="B418" s="605"/>
      <c r="C418" s="606"/>
      <c r="D418" s="590"/>
      <c r="E418" s="606"/>
      <c r="F418" s="607"/>
      <c r="G418" s="607"/>
      <c r="H418" s="608"/>
      <c r="I418" s="608"/>
      <c r="J418" s="1616">
        <f t="shared" si="9"/>
        <v>0</v>
      </c>
      <c r="K418" s="613"/>
      <c r="L418" s="613"/>
      <c r="M418" s="613"/>
      <c r="N418" s="617"/>
      <c r="O418" s="267"/>
    </row>
    <row r="419" spans="1:15" s="1" customFormat="1" ht="18" customHeight="1">
      <c r="A419" s="1331"/>
      <c r="B419" s="605"/>
      <c r="C419" s="606"/>
      <c r="D419" s="590"/>
      <c r="E419" s="606"/>
      <c r="F419" s="607"/>
      <c r="G419" s="607"/>
      <c r="H419" s="608"/>
      <c r="I419" s="608"/>
      <c r="J419" s="1616">
        <f t="shared" ref="J419:J482" si="10">G419*I419</f>
        <v>0</v>
      </c>
      <c r="K419" s="613"/>
      <c r="L419" s="613"/>
      <c r="M419" s="613"/>
      <c r="N419" s="617"/>
      <c r="O419" s="267"/>
    </row>
    <row r="420" spans="1:15" s="1" customFormat="1" ht="18" customHeight="1">
      <c r="A420" s="1331"/>
      <c r="B420" s="605"/>
      <c r="C420" s="606"/>
      <c r="D420" s="590"/>
      <c r="E420" s="606"/>
      <c r="F420" s="607"/>
      <c r="G420" s="607"/>
      <c r="H420" s="608"/>
      <c r="I420" s="608"/>
      <c r="J420" s="1616">
        <f t="shared" si="10"/>
        <v>0</v>
      </c>
      <c r="K420" s="613"/>
      <c r="L420" s="613"/>
      <c r="M420" s="613"/>
      <c r="N420" s="617"/>
      <c r="O420" s="267"/>
    </row>
    <row r="421" spans="1:15" s="1" customFormat="1" ht="18" customHeight="1">
      <c r="A421" s="1331"/>
      <c r="B421" s="605"/>
      <c r="C421" s="606"/>
      <c r="D421" s="590"/>
      <c r="E421" s="606"/>
      <c r="F421" s="607"/>
      <c r="G421" s="607"/>
      <c r="H421" s="608"/>
      <c r="I421" s="608"/>
      <c r="J421" s="1616">
        <f t="shared" si="10"/>
        <v>0</v>
      </c>
      <c r="K421" s="613"/>
      <c r="L421" s="613"/>
      <c r="M421" s="613"/>
      <c r="N421" s="617"/>
      <c r="O421" s="267"/>
    </row>
    <row r="422" spans="1:15" s="1" customFormat="1" ht="18" customHeight="1">
      <c r="A422" s="1331"/>
      <c r="B422" s="605"/>
      <c r="C422" s="606"/>
      <c r="D422" s="590"/>
      <c r="E422" s="606"/>
      <c r="F422" s="607"/>
      <c r="G422" s="607"/>
      <c r="H422" s="608"/>
      <c r="I422" s="608"/>
      <c r="J422" s="1616">
        <f t="shared" si="10"/>
        <v>0</v>
      </c>
      <c r="K422" s="613"/>
      <c r="L422" s="613"/>
      <c r="M422" s="613"/>
      <c r="N422" s="617"/>
      <c r="O422" s="267"/>
    </row>
    <row r="423" spans="1:15" s="1" customFormat="1" ht="18" customHeight="1">
      <c r="A423" s="1331"/>
      <c r="B423" s="605"/>
      <c r="C423" s="606"/>
      <c r="D423" s="590"/>
      <c r="E423" s="606"/>
      <c r="F423" s="607"/>
      <c r="G423" s="607"/>
      <c r="H423" s="608"/>
      <c r="I423" s="608"/>
      <c r="J423" s="1616">
        <f t="shared" si="10"/>
        <v>0</v>
      </c>
      <c r="K423" s="613"/>
      <c r="L423" s="613"/>
      <c r="M423" s="613"/>
      <c r="N423" s="617"/>
      <c r="O423" s="267"/>
    </row>
    <row r="424" spans="1:15" s="1" customFormat="1" ht="18" customHeight="1">
      <c r="A424" s="1331"/>
      <c r="B424" s="605"/>
      <c r="C424" s="606"/>
      <c r="D424" s="590"/>
      <c r="E424" s="606"/>
      <c r="F424" s="607"/>
      <c r="G424" s="607"/>
      <c r="H424" s="608"/>
      <c r="I424" s="608"/>
      <c r="J424" s="1616">
        <f t="shared" si="10"/>
        <v>0</v>
      </c>
      <c r="K424" s="613"/>
      <c r="L424" s="613"/>
      <c r="M424" s="613"/>
      <c r="N424" s="617"/>
      <c r="O424" s="267"/>
    </row>
    <row r="425" spans="1:15" s="1" customFormat="1" ht="18" customHeight="1">
      <c r="A425" s="1331"/>
      <c r="B425" s="605"/>
      <c r="C425" s="606"/>
      <c r="D425" s="590"/>
      <c r="E425" s="606"/>
      <c r="F425" s="607"/>
      <c r="G425" s="607"/>
      <c r="H425" s="608"/>
      <c r="I425" s="608"/>
      <c r="J425" s="1616">
        <f t="shared" si="10"/>
        <v>0</v>
      </c>
      <c r="K425" s="613"/>
      <c r="L425" s="613"/>
      <c r="M425" s="613"/>
      <c r="N425" s="617"/>
      <c r="O425" s="267"/>
    </row>
    <row r="426" spans="1:15" s="1" customFormat="1" ht="18" customHeight="1">
      <c r="A426" s="1331"/>
      <c r="B426" s="605"/>
      <c r="C426" s="606"/>
      <c r="D426" s="590"/>
      <c r="E426" s="606"/>
      <c r="F426" s="607"/>
      <c r="G426" s="607"/>
      <c r="H426" s="608"/>
      <c r="I426" s="608"/>
      <c r="J426" s="1616">
        <f t="shared" si="10"/>
        <v>0</v>
      </c>
      <c r="K426" s="613"/>
      <c r="L426" s="613"/>
      <c r="M426" s="613"/>
      <c r="N426" s="617"/>
      <c r="O426" s="267"/>
    </row>
    <row r="427" spans="1:15" s="1" customFormat="1" ht="18" customHeight="1">
      <c r="A427" s="1331"/>
      <c r="B427" s="605"/>
      <c r="C427" s="606"/>
      <c r="D427" s="590"/>
      <c r="E427" s="606"/>
      <c r="F427" s="607"/>
      <c r="G427" s="607"/>
      <c r="H427" s="608"/>
      <c r="I427" s="608"/>
      <c r="J427" s="1616">
        <f t="shared" si="10"/>
        <v>0</v>
      </c>
      <c r="K427" s="613"/>
      <c r="L427" s="613"/>
      <c r="M427" s="613"/>
      <c r="N427" s="617"/>
      <c r="O427" s="267"/>
    </row>
    <row r="428" spans="1:15" s="1" customFormat="1" ht="18" customHeight="1">
      <c r="A428" s="1331"/>
      <c r="B428" s="605"/>
      <c r="C428" s="606"/>
      <c r="D428" s="590"/>
      <c r="E428" s="606"/>
      <c r="F428" s="607"/>
      <c r="G428" s="607"/>
      <c r="H428" s="608"/>
      <c r="I428" s="608"/>
      <c r="J428" s="1616">
        <f t="shared" si="10"/>
        <v>0</v>
      </c>
      <c r="K428" s="613"/>
      <c r="L428" s="613"/>
      <c r="M428" s="613"/>
      <c r="N428" s="617"/>
      <c r="O428" s="267"/>
    </row>
    <row r="429" spans="1:15" s="1" customFormat="1" ht="18" customHeight="1">
      <c r="A429" s="1331"/>
      <c r="B429" s="605"/>
      <c r="C429" s="606"/>
      <c r="D429" s="590"/>
      <c r="E429" s="606"/>
      <c r="F429" s="607"/>
      <c r="G429" s="607"/>
      <c r="H429" s="608"/>
      <c r="I429" s="608"/>
      <c r="J429" s="1616">
        <f t="shared" si="10"/>
        <v>0</v>
      </c>
      <c r="K429" s="613"/>
      <c r="L429" s="613"/>
      <c r="M429" s="613"/>
      <c r="N429" s="617"/>
      <c r="O429" s="267"/>
    </row>
    <row r="430" spans="1:15" s="1" customFormat="1" ht="18" customHeight="1">
      <c r="A430" s="1331"/>
      <c r="B430" s="605"/>
      <c r="C430" s="606"/>
      <c r="D430" s="590"/>
      <c r="E430" s="606"/>
      <c r="F430" s="607"/>
      <c r="G430" s="607"/>
      <c r="H430" s="608"/>
      <c r="I430" s="608"/>
      <c r="J430" s="1616">
        <f t="shared" si="10"/>
        <v>0</v>
      </c>
      <c r="K430" s="613"/>
      <c r="L430" s="613"/>
      <c r="M430" s="613"/>
      <c r="N430" s="617"/>
      <c r="O430" s="267"/>
    </row>
    <row r="431" spans="1:15" s="1" customFormat="1" ht="18" customHeight="1">
      <c r="A431" s="1331"/>
      <c r="B431" s="605"/>
      <c r="C431" s="606"/>
      <c r="D431" s="590"/>
      <c r="E431" s="606"/>
      <c r="F431" s="607"/>
      <c r="G431" s="607"/>
      <c r="H431" s="608"/>
      <c r="I431" s="608"/>
      <c r="J431" s="1616">
        <f t="shared" si="10"/>
        <v>0</v>
      </c>
      <c r="K431" s="613"/>
      <c r="L431" s="613"/>
      <c r="M431" s="613"/>
      <c r="N431" s="617"/>
      <c r="O431" s="267"/>
    </row>
    <row r="432" spans="1:15" s="1" customFormat="1" ht="18" customHeight="1">
      <c r="A432" s="1331"/>
      <c r="B432" s="605"/>
      <c r="C432" s="606"/>
      <c r="D432" s="590"/>
      <c r="E432" s="606"/>
      <c r="F432" s="607"/>
      <c r="G432" s="607"/>
      <c r="H432" s="608"/>
      <c r="I432" s="608"/>
      <c r="J432" s="1616">
        <f t="shared" si="10"/>
        <v>0</v>
      </c>
      <c r="K432" s="613"/>
      <c r="L432" s="613"/>
      <c r="M432" s="613"/>
      <c r="N432" s="617"/>
      <c r="O432" s="267"/>
    </row>
    <row r="433" spans="1:15" s="1" customFormat="1" ht="18" customHeight="1">
      <c r="A433" s="1331"/>
      <c r="B433" s="605"/>
      <c r="C433" s="606"/>
      <c r="D433" s="590"/>
      <c r="E433" s="606"/>
      <c r="F433" s="607"/>
      <c r="G433" s="607"/>
      <c r="H433" s="608"/>
      <c r="I433" s="608"/>
      <c r="J433" s="1616">
        <f t="shared" si="10"/>
        <v>0</v>
      </c>
      <c r="K433" s="613"/>
      <c r="L433" s="613"/>
      <c r="M433" s="613"/>
      <c r="N433" s="617"/>
      <c r="O433" s="267"/>
    </row>
    <row r="434" spans="1:15" s="1" customFormat="1" ht="18" customHeight="1">
      <c r="A434" s="1331"/>
      <c r="B434" s="605"/>
      <c r="C434" s="606"/>
      <c r="D434" s="590"/>
      <c r="E434" s="606"/>
      <c r="F434" s="607"/>
      <c r="G434" s="607"/>
      <c r="H434" s="608"/>
      <c r="I434" s="608"/>
      <c r="J434" s="1616">
        <f t="shared" si="10"/>
        <v>0</v>
      </c>
      <c r="K434" s="613"/>
      <c r="L434" s="613"/>
      <c r="M434" s="613"/>
      <c r="N434" s="617"/>
      <c r="O434" s="267"/>
    </row>
    <row r="435" spans="1:15" s="1" customFormat="1" ht="18" customHeight="1">
      <c r="A435" s="1331"/>
      <c r="B435" s="605"/>
      <c r="C435" s="606"/>
      <c r="D435" s="590"/>
      <c r="E435" s="606"/>
      <c r="F435" s="607"/>
      <c r="G435" s="607"/>
      <c r="H435" s="608"/>
      <c r="I435" s="608"/>
      <c r="J435" s="1616">
        <f t="shared" si="10"/>
        <v>0</v>
      </c>
      <c r="K435" s="613"/>
      <c r="L435" s="613"/>
      <c r="M435" s="613"/>
      <c r="N435" s="617"/>
      <c r="O435" s="267"/>
    </row>
    <row r="436" spans="1:15" s="1" customFormat="1" ht="18" customHeight="1">
      <c r="A436" s="1331"/>
      <c r="B436" s="605"/>
      <c r="C436" s="606"/>
      <c r="D436" s="590"/>
      <c r="E436" s="606"/>
      <c r="F436" s="607"/>
      <c r="G436" s="607"/>
      <c r="H436" s="608"/>
      <c r="I436" s="608"/>
      <c r="J436" s="1616">
        <f t="shared" si="10"/>
        <v>0</v>
      </c>
      <c r="K436" s="613"/>
      <c r="L436" s="613"/>
      <c r="M436" s="613"/>
      <c r="N436" s="617"/>
      <c r="O436" s="267"/>
    </row>
    <row r="437" spans="1:15" s="1" customFormat="1" ht="18" customHeight="1">
      <c r="A437" s="1331"/>
      <c r="B437" s="605"/>
      <c r="C437" s="606"/>
      <c r="D437" s="590"/>
      <c r="E437" s="606"/>
      <c r="F437" s="607"/>
      <c r="G437" s="607"/>
      <c r="H437" s="608"/>
      <c r="I437" s="608"/>
      <c r="J437" s="1616">
        <f t="shared" si="10"/>
        <v>0</v>
      </c>
      <c r="K437" s="613"/>
      <c r="L437" s="613"/>
      <c r="M437" s="613"/>
      <c r="N437" s="617"/>
      <c r="O437" s="267"/>
    </row>
    <row r="438" spans="1:15" s="1" customFormat="1" ht="18" customHeight="1">
      <c r="A438" s="1331"/>
      <c r="B438" s="605"/>
      <c r="C438" s="606"/>
      <c r="D438" s="590"/>
      <c r="E438" s="606"/>
      <c r="F438" s="607"/>
      <c r="G438" s="607"/>
      <c r="H438" s="608"/>
      <c r="I438" s="608"/>
      <c r="J438" s="1616">
        <f t="shared" si="10"/>
        <v>0</v>
      </c>
      <c r="K438" s="613"/>
      <c r="L438" s="613"/>
      <c r="M438" s="613"/>
      <c r="N438" s="617"/>
      <c r="O438" s="267"/>
    </row>
    <row r="439" spans="1:15" s="1" customFormat="1" ht="18" customHeight="1">
      <c r="A439" s="1331"/>
      <c r="B439" s="605"/>
      <c r="C439" s="606"/>
      <c r="D439" s="590"/>
      <c r="E439" s="606"/>
      <c r="F439" s="607"/>
      <c r="G439" s="607"/>
      <c r="H439" s="608"/>
      <c r="I439" s="608"/>
      <c r="J439" s="1616">
        <f t="shared" si="10"/>
        <v>0</v>
      </c>
      <c r="K439" s="613"/>
      <c r="L439" s="613"/>
      <c r="M439" s="613"/>
      <c r="N439" s="617"/>
      <c r="O439" s="267"/>
    </row>
    <row r="440" spans="1:15" s="1" customFormat="1" ht="18" customHeight="1">
      <c r="A440" s="1331"/>
      <c r="B440" s="605"/>
      <c r="C440" s="606"/>
      <c r="D440" s="590"/>
      <c r="E440" s="606"/>
      <c r="F440" s="607"/>
      <c r="G440" s="607"/>
      <c r="H440" s="608"/>
      <c r="I440" s="608"/>
      <c r="J440" s="1616">
        <f t="shared" si="10"/>
        <v>0</v>
      </c>
      <c r="K440" s="613"/>
      <c r="L440" s="613"/>
      <c r="M440" s="613"/>
      <c r="N440" s="617"/>
      <c r="O440" s="267"/>
    </row>
    <row r="441" spans="1:15" s="1" customFormat="1" ht="18" customHeight="1">
      <c r="A441" s="1331"/>
      <c r="B441" s="605"/>
      <c r="C441" s="606"/>
      <c r="D441" s="590"/>
      <c r="E441" s="606"/>
      <c r="F441" s="607"/>
      <c r="G441" s="607"/>
      <c r="H441" s="608"/>
      <c r="I441" s="608"/>
      <c r="J441" s="1616">
        <f t="shared" si="10"/>
        <v>0</v>
      </c>
      <c r="K441" s="613"/>
      <c r="L441" s="613"/>
      <c r="M441" s="613"/>
      <c r="N441" s="617"/>
      <c r="O441" s="267"/>
    </row>
    <row r="442" spans="1:15" s="1" customFormat="1" ht="18" customHeight="1">
      <c r="A442" s="1331"/>
      <c r="B442" s="605"/>
      <c r="C442" s="606"/>
      <c r="D442" s="590"/>
      <c r="E442" s="606"/>
      <c r="F442" s="607"/>
      <c r="G442" s="607"/>
      <c r="H442" s="608"/>
      <c r="I442" s="608"/>
      <c r="J442" s="1616">
        <f t="shared" si="10"/>
        <v>0</v>
      </c>
      <c r="K442" s="613"/>
      <c r="L442" s="613"/>
      <c r="M442" s="613"/>
      <c r="N442" s="617"/>
      <c r="O442" s="267"/>
    </row>
    <row r="443" spans="1:15" s="1" customFormat="1" ht="18" customHeight="1">
      <c r="A443" s="1331"/>
      <c r="B443" s="605"/>
      <c r="C443" s="606"/>
      <c r="D443" s="590"/>
      <c r="E443" s="606"/>
      <c r="F443" s="607"/>
      <c r="G443" s="607"/>
      <c r="H443" s="608"/>
      <c r="I443" s="608"/>
      <c r="J443" s="1616">
        <f t="shared" si="10"/>
        <v>0</v>
      </c>
      <c r="K443" s="613"/>
      <c r="L443" s="613"/>
      <c r="M443" s="613"/>
      <c r="N443" s="617"/>
      <c r="O443" s="267"/>
    </row>
    <row r="444" spans="1:15" s="1" customFormat="1" ht="18" customHeight="1">
      <c r="A444" s="1331"/>
      <c r="B444" s="605"/>
      <c r="C444" s="606"/>
      <c r="D444" s="590"/>
      <c r="E444" s="606"/>
      <c r="F444" s="607"/>
      <c r="G444" s="607"/>
      <c r="H444" s="608"/>
      <c r="I444" s="608"/>
      <c r="J444" s="1616">
        <f t="shared" si="10"/>
        <v>0</v>
      </c>
      <c r="K444" s="613"/>
      <c r="L444" s="613"/>
      <c r="M444" s="613"/>
      <c r="N444" s="617"/>
      <c r="O444" s="267"/>
    </row>
    <row r="445" spans="1:15" s="1" customFormat="1" ht="18" customHeight="1">
      <c r="A445" s="1331"/>
      <c r="B445" s="605"/>
      <c r="C445" s="606"/>
      <c r="D445" s="590"/>
      <c r="E445" s="606"/>
      <c r="F445" s="607"/>
      <c r="G445" s="607"/>
      <c r="H445" s="608"/>
      <c r="I445" s="608"/>
      <c r="J445" s="1616">
        <f t="shared" si="10"/>
        <v>0</v>
      </c>
      <c r="K445" s="613"/>
      <c r="L445" s="613"/>
      <c r="M445" s="613"/>
      <c r="N445" s="617"/>
      <c r="O445" s="267"/>
    </row>
    <row r="446" spans="1:15" s="1" customFormat="1" ht="18" customHeight="1">
      <c r="A446" s="1331"/>
      <c r="B446" s="605"/>
      <c r="C446" s="606"/>
      <c r="D446" s="590"/>
      <c r="E446" s="606"/>
      <c r="F446" s="607"/>
      <c r="G446" s="607"/>
      <c r="H446" s="608"/>
      <c r="I446" s="608"/>
      <c r="J446" s="1616">
        <f t="shared" si="10"/>
        <v>0</v>
      </c>
      <c r="K446" s="613"/>
      <c r="L446" s="613"/>
      <c r="M446" s="613"/>
      <c r="N446" s="617"/>
      <c r="O446" s="267"/>
    </row>
    <row r="447" spans="1:15" s="1" customFormat="1" ht="18" customHeight="1">
      <c r="A447" s="1331"/>
      <c r="B447" s="605"/>
      <c r="C447" s="606"/>
      <c r="D447" s="590"/>
      <c r="E447" s="606"/>
      <c r="F447" s="607"/>
      <c r="G447" s="607"/>
      <c r="H447" s="608"/>
      <c r="I447" s="608"/>
      <c r="J447" s="1616">
        <f t="shared" si="10"/>
        <v>0</v>
      </c>
      <c r="K447" s="613"/>
      <c r="L447" s="613"/>
      <c r="M447" s="613"/>
      <c r="N447" s="617"/>
      <c r="O447" s="267"/>
    </row>
    <row r="448" spans="1:15" s="1" customFormat="1" ht="18" customHeight="1">
      <c r="A448" s="1331"/>
      <c r="B448" s="605"/>
      <c r="C448" s="606"/>
      <c r="D448" s="590"/>
      <c r="E448" s="606"/>
      <c r="F448" s="607"/>
      <c r="G448" s="607"/>
      <c r="H448" s="608"/>
      <c r="I448" s="608"/>
      <c r="J448" s="1616">
        <f t="shared" si="10"/>
        <v>0</v>
      </c>
      <c r="K448" s="613"/>
      <c r="L448" s="613"/>
      <c r="M448" s="613"/>
      <c r="N448" s="617"/>
      <c r="O448" s="267"/>
    </row>
    <row r="449" spans="1:15" s="1" customFormat="1" ht="18" customHeight="1">
      <c r="A449" s="1331"/>
      <c r="B449" s="605"/>
      <c r="C449" s="606"/>
      <c r="D449" s="590"/>
      <c r="E449" s="606"/>
      <c r="F449" s="607"/>
      <c r="G449" s="607"/>
      <c r="H449" s="608"/>
      <c r="I449" s="608"/>
      <c r="J449" s="1616">
        <f t="shared" si="10"/>
        <v>0</v>
      </c>
      <c r="K449" s="613"/>
      <c r="L449" s="613"/>
      <c r="M449" s="613"/>
      <c r="N449" s="617"/>
      <c r="O449" s="267"/>
    </row>
    <row r="450" spans="1:15" s="1" customFormat="1" ht="18" customHeight="1">
      <c r="A450" s="1331"/>
      <c r="B450" s="605"/>
      <c r="C450" s="606"/>
      <c r="D450" s="590"/>
      <c r="E450" s="606"/>
      <c r="F450" s="607"/>
      <c r="G450" s="607"/>
      <c r="H450" s="608"/>
      <c r="I450" s="608"/>
      <c r="J450" s="1616">
        <f t="shared" si="10"/>
        <v>0</v>
      </c>
      <c r="K450" s="613"/>
      <c r="L450" s="613"/>
      <c r="M450" s="613"/>
      <c r="N450" s="617"/>
      <c r="O450" s="267"/>
    </row>
    <row r="451" spans="1:15" s="1" customFormat="1" ht="18" customHeight="1">
      <c r="A451" s="1331"/>
      <c r="B451" s="605"/>
      <c r="C451" s="606"/>
      <c r="D451" s="590"/>
      <c r="E451" s="606"/>
      <c r="F451" s="607"/>
      <c r="G451" s="607"/>
      <c r="H451" s="608"/>
      <c r="I451" s="608"/>
      <c r="J451" s="1616">
        <f t="shared" si="10"/>
        <v>0</v>
      </c>
      <c r="K451" s="613"/>
      <c r="L451" s="613"/>
      <c r="M451" s="613"/>
      <c r="N451" s="617"/>
      <c r="O451" s="267"/>
    </row>
    <row r="452" spans="1:15" s="1" customFormat="1" ht="18" customHeight="1">
      <c r="A452" s="1331"/>
      <c r="B452" s="605"/>
      <c r="C452" s="606"/>
      <c r="D452" s="590"/>
      <c r="E452" s="606"/>
      <c r="F452" s="607"/>
      <c r="G452" s="607"/>
      <c r="H452" s="608"/>
      <c r="I452" s="608"/>
      <c r="J452" s="1616">
        <f t="shared" si="10"/>
        <v>0</v>
      </c>
      <c r="K452" s="613"/>
      <c r="L452" s="613"/>
      <c r="M452" s="613"/>
      <c r="N452" s="617"/>
      <c r="O452" s="267"/>
    </row>
    <row r="453" spans="1:15" s="1" customFormat="1" ht="18" customHeight="1">
      <c r="A453" s="1331"/>
      <c r="B453" s="605"/>
      <c r="C453" s="606"/>
      <c r="D453" s="590"/>
      <c r="E453" s="606"/>
      <c r="F453" s="607"/>
      <c r="G453" s="607"/>
      <c r="H453" s="608"/>
      <c r="I453" s="608"/>
      <c r="J453" s="1616">
        <f t="shared" si="10"/>
        <v>0</v>
      </c>
      <c r="K453" s="613"/>
      <c r="L453" s="613"/>
      <c r="M453" s="613"/>
      <c r="N453" s="617"/>
      <c r="O453" s="267"/>
    </row>
    <row r="454" spans="1:15" s="1" customFormat="1" ht="18" customHeight="1">
      <c r="A454" s="1331"/>
      <c r="B454" s="605"/>
      <c r="C454" s="606"/>
      <c r="D454" s="590"/>
      <c r="E454" s="606"/>
      <c r="F454" s="607"/>
      <c r="G454" s="607"/>
      <c r="H454" s="608"/>
      <c r="I454" s="608"/>
      <c r="J454" s="1616">
        <f t="shared" si="10"/>
        <v>0</v>
      </c>
      <c r="K454" s="613"/>
      <c r="L454" s="613"/>
      <c r="M454" s="613"/>
      <c r="N454" s="617"/>
      <c r="O454" s="267"/>
    </row>
    <row r="455" spans="1:15" s="1" customFormat="1" ht="18" customHeight="1">
      <c r="A455" s="1331"/>
      <c r="B455" s="605"/>
      <c r="C455" s="606"/>
      <c r="D455" s="590"/>
      <c r="E455" s="606"/>
      <c r="F455" s="607"/>
      <c r="G455" s="607"/>
      <c r="H455" s="608"/>
      <c r="I455" s="608"/>
      <c r="J455" s="1616">
        <f t="shared" si="10"/>
        <v>0</v>
      </c>
      <c r="K455" s="613"/>
      <c r="L455" s="613"/>
      <c r="M455" s="613"/>
      <c r="N455" s="617"/>
      <c r="O455" s="267"/>
    </row>
    <row r="456" spans="1:15" s="1" customFormat="1" ht="18" customHeight="1">
      <c r="A456" s="1331"/>
      <c r="B456" s="605"/>
      <c r="C456" s="606"/>
      <c r="D456" s="590"/>
      <c r="E456" s="606"/>
      <c r="F456" s="607"/>
      <c r="G456" s="607"/>
      <c r="H456" s="608"/>
      <c r="I456" s="608"/>
      <c r="J456" s="1616">
        <f t="shared" si="10"/>
        <v>0</v>
      </c>
      <c r="K456" s="613"/>
      <c r="L456" s="613"/>
      <c r="M456" s="613"/>
      <c r="N456" s="617"/>
      <c r="O456" s="267"/>
    </row>
    <row r="457" spans="1:15" s="1" customFormat="1" ht="18" customHeight="1">
      <c r="A457" s="1331"/>
      <c r="B457" s="605"/>
      <c r="C457" s="606"/>
      <c r="D457" s="590"/>
      <c r="E457" s="606"/>
      <c r="F457" s="607"/>
      <c r="G457" s="607"/>
      <c r="H457" s="608"/>
      <c r="I457" s="608"/>
      <c r="J457" s="1616">
        <f t="shared" si="10"/>
        <v>0</v>
      </c>
      <c r="K457" s="613"/>
      <c r="L457" s="613"/>
      <c r="M457" s="613"/>
      <c r="N457" s="617"/>
      <c r="O457" s="267"/>
    </row>
    <row r="458" spans="1:15" s="1" customFormat="1" ht="18" customHeight="1">
      <c r="A458" s="1331"/>
      <c r="B458" s="605"/>
      <c r="C458" s="606"/>
      <c r="D458" s="590"/>
      <c r="E458" s="606"/>
      <c r="F458" s="607"/>
      <c r="G458" s="607"/>
      <c r="H458" s="608"/>
      <c r="I458" s="608"/>
      <c r="J458" s="1616">
        <f t="shared" si="10"/>
        <v>0</v>
      </c>
      <c r="K458" s="613"/>
      <c r="L458" s="613"/>
      <c r="M458" s="613"/>
      <c r="N458" s="617"/>
      <c r="O458" s="267"/>
    </row>
    <row r="459" spans="1:15" s="1" customFormat="1" ht="18" customHeight="1">
      <c r="A459" s="1331"/>
      <c r="B459" s="605"/>
      <c r="C459" s="606"/>
      <c r="D459" s="590"/>
      <c r="E459" s="606"/>
      <c r="F459" s="607"/>
      <c r="G459" s="607"/>
      <c r="H459" s="608"/>
      <c r="I459" s="608"/>
      <c r="J459" s="1616">
        <f t="shared" si="10"/>
        <v>0</v>
      </c>
      <c r="K459" s="613"/>
      <c r="L459" s="613"/>
      <c r="M459" s="613"/>
      <c r="N459" s="617"/>
      <c r="O459" s="267"/>
    </row>
    <row r="460" spans="1:15" s="1" customFormat="1" ht="18" customHeight="1">
      <c r="A460" s="1331"/>
      <c r="B460" s="605"/>
      <c r="C460" s="606"/>
      <c r="D460" s="590"/>
      <c r="E460" s="606"/>
      <c r="F460" s="607"/>
      <c r="G460" s="607"/>
      <c r="H460" s="608"/>
      <c r="I460" s="608"/>
      <c r="J460" s="1616">
        <f t="shared" si="10"/>
        <v>0</v>
      </c>
      <c r="K460" s="613"/>
      <c r="L460" s="613"/>
      <c r="M460" s="613"/>
      <c r="N460" s="617"/>
      <c r="O460" s="267"/>
    </row>
    <row r="461" spans="1:15" s="1" customFormat="1" ht="18" customHeight="1">
      <c r="A461" s="1331"/>
      <c r="B461" s="605"/>
      <c r="C461" s="606"/>
      <c r="D461" s="590"/>
      <c r="E461" s="606"/>
      <c r="F461" s="607"/>
      <c r="G461" s="607"/>
      <c r="H461" s="608"/>
      <c r="I461" s="608"/>
      <c r="J461" s="1616">
        <f t="shared" si="10"/>
        <v>0</v>
      </c>
      <c r="K461" s="613"/>
      <c r="L461" s="613"/>
      <c r="M461" s="613"/>
      <c r="N461" s="617"/>
      <c r="O461" s="267"/>
    </row>
    <row r="462" spans="1:15" s="1" customFormat="1" ht="18" customHeight="1">
      <c r="A462" s="1331"/>
      <c r="B462" s="605"/>
      <c r="C462" s="606"/>
      <c r="D462" s="590"/>
      <c r="E462" s="606"/>
      <c r="F462" s="607"/>
      <c r="G462" s="607"/>
      <c r="H462" s="608"/>
      <c r="I462" s="608"/>
      <c r="J462" s="1616">
        <f t="shared" si="10"/>
        <v>0</v>
      </c>
      <c r="K462" s="613"/>
      <c r="L462" s="613"/>
      <c r="M462" s="613"/>
      <c r="N462" s="617"/>
      <c r="O462" s="267"/>
    </row>
    <row r="463" spans="1:15" s="1" customFormat="1" ht="18" customHeight="1">
      <c r="A463" s="1331"/>
      <c r="B463" s="605"/>
      <c r="C463" s="606"/>
      <c r="D463" s="590"/>
      <c r="E463" s="606"/>
      <c r="F463" s="607"/>
      <c r="G463" s="607"/>
      <c r="H463" s="608"/>
      <c r="I463" s="608"/>
      <c r="J463" s="1616">
        <f t="shared" si="10"/>
        <v>0</v>
      </c>
      <c r="K463" s="613"/>
      <c r="L463" s="613"/>
      <c r="M463" s="613"/>
      <c r="N463" s="617"/>
      <c r="O463" s="267"/>
    </row>
    <row r="464" spans="1:15" s="1" customFormat="1" ht="18" customHeight="1">
      <c r="A464" s="1331"/>
      <c r="B464" s="605"/>
      <c r="C464" s="606"/>
      <c r="D464" s="590"/>
      <c r="E464" s="606"/>
      <c r="F464" s="607"/>
      <c r="G464" s="607"/>
      <c r="H464" s="608"/>
      <c r="I464" s="608"/>
      <c r="J464" s="1616">
        <f t="shared" si="10"/>
        <v>0</v>
      </c>
      <c r="K464" s="613"/>
      <c r="L464" s="613"/>
      <c r="M464" s="613"/>
      <c r="N464" s="617"/>
      <c r="O464" s="267"/>
    </row>
    <row r="465" spans="1:15" s="1" customFormat="1" ht="18" customHeight="1">
      <c r="A465" s="1331"/>
      <c r="B465" s="605"/>
      <c r="C465" s="606"/>
      <c r="D465" s="590"/>
      <c r="E465" s="606"/>
      <c r="F465" s="607"/>
      <c r="G465" s="607"/>
      <c r="H465" s="608"/>
      <c r="I465" s="608"/>
      <c r="J465" s="1616">
        <f t="shared" si="10"/>
        <v>0</v>
      </c>
      <c r="K465" s="613"/>
      <c r="L465" s="613"/>
      <c r="M465" s="613"/>
      <c r="N465" s="617"/>
      <c r="O465" s="267"/>
    </row>
    <row r="466" spans="1:15" s="1" customFormat="1" ht="18" customHeight="1">
      <c r="A466" s="1331"/>
      <c r="B466" s="605"/>
      <c r="C466" s="606"/>
      <c r="D466" s="590"/>
      <c r="E466" s="606"/>
      <c r="F466" s="607"/>
      <c r="G466" s="607"/>
      <c r="H466" s="608"/>
      <c r="I466" s="608"/>
      <c r="J466" s="1616">
        <f t="shared" si="10"/>
        <v>0</v>
      </c>
      <c r="K466" s="613"/>
      <c r="L466" s="613"/>
      <c r="M466" s="613"/>
      <c r="N466" s="617"/>
      <c r="O466" s="267"/>
    </row>
    <row r="467" spans="1:15" s="1" customFormat="1" ht="18" customHeight="1">
      <c r="A467" s="1331"/>
      <c r="B467" s="605"/>
      <c r="C467" s="606"/>
      <c r="D467" s="590"/>
      <c r="E467" s="606"/>
      <c r="F467" s="607"/>
      <c r="G467" s="607"/>
      <c r="H467" s="608"/>
      <c r="I467" s="608"/>
      <c r="J467" s="1616">
        <f t="shared" si="10"/>
        <v>0</v>
      </c>
      <c r="K467" s="613"/>
      <c r="L467" s="613"/>
      <c r="M467" s="613"/>
      <c r="N467" s="617"/>
      <c r="O467" s="267"/>
    </row>
    <row r="468" spans="1:15" s="1" customFormat="1" ht="18" customHeight="1">
      <c r="A468" s="1331"/>
      <c r="B468" s="605"/>
      <c r="C468" s="606"/>
      <c r="D468" s="590"/>
      <c r="E468" s="606"/>
      <c r="F468" s="607"/>
      <c r="G468" s="607"/>
      <c r="H468" s="608"/>
      <c r="I468" s="608"/>
      <c r="J468" s="1616">
        <f t="shared" si="10"/>
        <v>0</v>
      </c>
      <c r="K468" s="613"/>
      <c r="L468" s="613"/>
      <c r="M468" s="613"/>
      <c r="N468" s="617"/>
      <c r="O468" s="267"/>
    </row>
    <row r="469" spans="1:15" s="1" customFormat="1" ht="18" customHeight="1">
      <c r="A469" s="1331"/>
      <c r="B469" s="605"/>
      <c r="C469" s="606"/>
      <c r="D469" s="590"/>
      <c r="E469" s="606"/>
      <c r="F469" s="607"/>
      <c r="G469" s="607"/>
      <c r="H469" s="608"/>
      <c r="I469" s="608"/>
      <c r="J469" s="1616">
        <f t="shared" si="10"/>
        <v>0</v>
      </c>
      <c r="K469" s="613"/>
      <c r="L469" s="613"/>
      <c r="M469" s="613"/>
      <c r="N469" s="617"/>
      <c r="O469" s="267"/>
    </row>
    <row r="470" spans="1:15" s="1" customFormat="1" ht="18" customHeight="1">
      <c r="A470" s="1331"/>
      <c r="B470" s="605"/>
      <c r="C470" s="606"/>
      <c r="D470" s="590"/>
      <c r="E470" s="606"/>
      <c r="F470" s="607"/>
      <c r="G470" s="607"/>
      <c r="H470" s="608"/>
      <c r="I470" s="608"/>
      <c r="J470" s="1616">
        <f t="shared" si="10"/>
        <v>0</v>
      </c>
      <c r="K470" s="613"/>
      <c r="L470" s="613"/>
      <c r="M470" s="613"/>
      <c r="N470" s="617"/>
      <c r="O470" s="267"/>
    </row>
    <row r="471" spans="1:15" s="1" customFormat="1" ht="18" customHeight="1">
      <c r="A471" s="1331"/>
      <c r="B471" s="605"/>
      <c r="C471" s="606"/>
      <c r="D471" s="590"/>
      <c r="E471" s="606"/>
      <c r="F471" s="607"/>
      <c r="G471" s="607"/>
      <c r="H471" s="608"/>
      <c r="I471" s="608"/>
      <c r="J471" s="1616">
        <f t="shared" si="10"/>
        <v>0</v>
      </c>
      <c r="K471" s="613"/>
      <c r="L471" s="613"/>
      <c r="M471" s="613"/>
      <c r="N471" s="617"/>
      <c r="O471" s="267"/>
    </row>
    <row r="472" spans="1:15" s="1" customFormat="1" ht="18" customHeight="1">
      <c r="A472" s="1331"/>
      <c r="B472" s="605"/>
      <c r="C472" s="606"/>
      <c r="D472" s="590"/>
      <c r="E472" s="606"/>
      <c r="F472" s="607"/>
      <c r="G472" s="607"/>
      <c r="H472" s="608"/>
      <c r="I472" s="608"/>
      <c r="J472" s="1616">
        <f t="shared" si="10"/>
        <v>0</v>
      </c>
      <c r="K472" s="613"/>
      <c r="L472" s="613"/>
      <c r="M472" s="613"/>
      <c r="N472" s="617"/>
      <c r="O472" s="267"/>
    </row>
    <row r="473" spans="1:15" s="1" customFormat="1" ht="18" customHeight="1">
      <c r="A473" s="1331"/>
      <c r="B473" s="605"/>
      <c r="C473" s="606"/>
      <c r="D473" s="590"/>
      <c r="E473" s="606"/>
      <c r="F473" s="607"/>
      <c r="G473" s="607"/>
      <c r="H473" s="608"/>
      <c r="I473" s="608"/>
      <c r="J473" s="1616">
        <f t="shared" si="10"/>
        <v>0</v>
      </c>
      <c r="K473" s="613"/>
      <c r="L473" s="613"/>
      <c r="M473" s="613"/>
      <c r="N473" s="617"/>
      <c r="O473" s="267"/>
    </row>
    <row r="474" spans="1:15" s="1" customFormat="1" ht="18" customHeight="1">
      <c r="A474" s="1331"/>
      <c r="B474" s="605"/>
      <c r="C474" s="606"/>
      <c r="D474" s="590"/>
      <c r="E474" s="606"/>
      <c r="F474" s="607"/>
      <c r="G474" s="607"/>
      <c r="H474" s="608"/>
      <c r="I474" s="608"/>
      <c r="J474" s="1616">
        <f t="shared" si="10"/>
        <v>0</v>
      </c>
      <c r="K474" s="613"/>
      <c r="L474" s="613"/>
      <c r="M474" s="613"/>
      <c r="N474" s="617"/>
      <c r="O474" s="267"/>
    </row>
    <row r="475" spans="1:15" s="1" customFormat="1" ht="18" customHeight="1">
      <c r="A475" s="1331"/>
      <c r="B475" s="605"/>
      <c r="C475" s="606"/>
      <c r="D475" s="590"/>
      <c r="E475" s="606"/>
      <c r="F475" s="607"/>
      <c r="G475" s="607"/>
      <c r="H475" s="608"/>
      <c r="I475" s="608"/>
      <c r="J475" s="1616">
        <f t="shared" si="10"/>
        <v>0</v>
      </c>
      <c r="K475" s="613"/>
      <c r="L475" s="613"/>
      <c r="M475" s="613"/>
      <c r="N475" s="617"/>
      <c r="O475" s="267"/>
    </row>
    <row r="476" spans="1:15" s="1" customFormat="1" ht="18" customHeight="1">
      <c r="A476" s="1331"/>
      <c r="B476" s="605"/>
      <c r="C476" s="606"/>
      <c r="D476" s="590"/>
      <c r="E476" s="606"/>
      <c r="F476" s="607"/>
      <c r="G476" s="607"/>
      <c r="H476" s="608"/>
      <c r="I476" s="608"/>
      <c r="J476" s="1616">
        <f t="shared" si="10"/>
        <v>0</v>
      </c>
      <c r="K476" s="613"/>
      <c r="L476" s="613"/>
      <c r="M476" s="613"/>
      <c r="N476" s="617"/>
      <c r="O476" s="267"/>
    </row>
    <row r="477" spans="1:15" s="1" customFormat="1" ht="18" customHeight="1">
      <c r="A477" s="1331"/>
      <c r="B477" s="605"/>
      <c r="C477" s="606"/>
      <c r="D477" s="590"/>
      <c r="E477" s="606"/>
      <c r="F477" s="607"/>
      <c r="G477" s="607"/>
      <c r="H477" s="608"/>
      <c r="I477" s="608"/>
      <c r="J477" s="1616">
        <f t="shared" si="10"/>
        <v>0</v>
      </c>
      <c r="K477" s="613"/>
      <c r="L477" s="613"/>
      <c r="M477" s="613"/>
      <c r="N477" s="617"/>
      <c r="O477" s="267"/>
    </row>
    <row r="478" spans="1:15" s="1" customFormat="1" ht="18" customHeight="1">
      <c r="A478" s="1331"/>
      <c r="B478" s="605"/>
      <c r="C478" s="606"/>
      <c r="D478" s="590"/>
      <c r="E478" s="606"/>
      <c r="F478" s="607"/>
      <c r="G478" s="607"/>
      <c r="H478" s="608"/>
      <c r="I478" s="608"/>
      <c r="J478" s="1616">
        <f t="shared" si="10"/>
        <v>0</v>
      </c>
      <c r="K478" s="613"/>
      <c r="L478" s="613"/>
      <c r="M478" s="613"/>
      <c r="N478" s="617"/>
      <c r="O478" s="267"/>
    </row>
    <row r="479" spans="1:15" s="1" customFormat="1" ht="18" customHeight="1">
      <c r="A479" s="1331"/>
      <c r="B479" s="605"/>
      <c r="C479" s="606"/>
      <c r="D479" s="590"/>
      <c r="E479" s="606"/>
      <c r="F479" s="607"/>
      <c r="G479" s="607"/>
      <c r="H479" s="608"/>
      <c r="I479" s="608"/>
      <c r="J479" s="1616">
        <f t="shared" si="10"/>
        <v>0</v>
      </c>
      <c r="K479" s="613"/>
      <c r="L479" s="613"/>
      <c r="M479" s="613"/>
      <c r="N479" s="617"/>
      <c r="O479" s="267"/>
    </row>
    <row r="480" spans="1:15" s="1" customFormat="1" ht="18" customHeight="1">
      <c r="A480" s="1331"/>
      <c r="B480" s="605"/>
      <c r="C480" s="606"/>
      <c r="D480" s="590"/>
      <c r="E480" s="606"/>
      <c r="F480" s="607"/>
      <c r="G480" s="607"/>
      <c r="H480" s="608"/>
      <c r="I480" s="608"/>
      <c r="J480" s="1616">
        <f t="shared" si="10"/>
        <v>0</v>
      </c>
      <c r="K480" s="613"/>
      <c r="L480" s="613"/>
      <c r="M480" s="613"/>
      <c r="N480" s="617"/>
      <c r="O480" s="267"/>
    </row>
    <row r="481" spans="1:15" s="1" customFormat="1" ht="18" customHeight="1">
      <c r="A481" s="1331"/>
      <c r="B481" s="605"/>
      <c r="C481" s="606"/>
      <c r="D481" s="590"/>
      <c r="E481" s="606"/>
      <c r="F481" s="607"/>
      <c r="G481" s="607"/>
      <c r="H481" s="608"/>
      <c r="I481" s="608"/>
      <c r="J481" s="1616">
        <f t="shared" si="10"/>
        <v>0</v>
      </c>
      <c r="K481" s="613"/>
      <c r="L481" s="613"/>
      <c r="M481" s="613"/>
      <c r="N481" s="617"/>
      <c r="O481" s="267"/>
    </row>
    <row r="482" spans="1:15" s="1" customFormat="1" ht="18" customHeight="1">
      <c r="A482" s="1331"/>
      <c r="B482" s="605"/>
      <c r="C482" s="606"/>
      <c r="D482" s="590"/>
      <c r="E482" s="606"/>
      <c r="F482" s="607"/>
      <c r="G482" s="607"/>
      <c r="H482" s="608"/>
      <c r="I482" s="608"/>
      <c r="J482" s="1616">
        <f t="shared" si="10"/>
        <v>0</v>
      </c>
      <c r="K482" s="613"/>
      <c r="L482" s="613"/>
      <c r="M482" s="613"/>
      <c r="N482" s="617"/>
      <c r="O482" s="267"/>
    </row>
    <row r="483" spans="1:15" s="1" customFormat="1" ht="18" customHeight="1">
      <c r="A483" s="1331"/>
      <c r="B483" s="605"/>
      <c r="C483" s="606"/>
      <c r="D483" s="590"/>
      <c r="E483" s="606"/>
      <c r="F483" s="607"/>
      <c r="G483" s="607"/>
      <c r="H483" s="608"/>
      <c r="I483" s="608"/>
      <c r="J483" s="1616">
        <f t="shared" ref="J483:J546" si="11">G483*I483</f>
        <v>0</v>
      </c>
      <c r="K483" s="613"/>
      <c r="L483" s="613"/>
      <c r="M483" s="613"/>
      <c r="N483" s="617"/>
      <c r="O483" s="267"/>
    </row>
    <row r="484" spans="1:15" s="1" customFormat="1" ht="18" customHeight="1">
      <c r="A484" s="1331"/>
      <c r="B484" s="605"/>
      <c r="C484" s="606"/>
      <c r="D484" s="590"/>
      <c r="E484" s="606"/>
      <c r="F484" s="607"/>
      <c r="G484" s="607"/>
      <c r="H484" s="608"/>
      <c r="I484" s="608"/>
      <c r="J484" s="1616">
        <f t="shared" si="11"/>
        <v>0</v>
      </c>
      <c r="K484" s="613"/>
      <c r="L484" s="613"/>
      <c r="M484" s="613"/>
      <c r="N484" s="617"/>
      <c r="O484" s="267"/>
    </row>
    <row r="485" spans="1:15" s="1" customFormat="1" ht="18" customHeight="1">
      <c r="A485" s="1331"/>
      <c r="B485" s="605"/>
      <c r="C485" s="606"/>
      <c r="D485" s="590"/>
      <c r="E485" s="606"/>
      <c r="F485" s="607"/>
      <c r="G485" s="607"/>
      <c r="H485" s="608"/>
      <c r="I485" s="608"/>
      <c r="J485" s="1616">
        <f t="shared" si="11"/>
        <v>0</v>
      </c>
      <c r="K485" s="613"/>
      <c r="L485" s="613"/>
      <c r="M485" s="613"/>
      <c r="N485" s="617"/>
      <c r="O485" s="267"/>
    </row>
    <row r="486" spans="1:15" s="1" customFormat="1" ht="18" customHeight="1">
      <c r="A486" s="1331"/>
      <c r="B486" s="605"/>
      <c r="C486" s="606"/>
      <c r="D486" s="590"/>
      <c r="E486" s="606"/>
      <c r="F486" s="607"/>
      <c r="G486" s="607"/>
      <c r="H486" s="608"/>
      <c r="I486" s="608"/>
      <c r="J486" s="1616">
        <f t="shared" si="11"/>
        <v>0</v>
      </c>
      <c r="K486" s="613"/>
      <c r="L486" s="613"/>
      <c r="M486" s="613"/>
      <c r="N486" s="617"/>
      <c r="O486" s="267"/>
    </row>
    <row r="487" spans="1:15" s="1" customFormat="1" ht="18" customHeight="1">
      <c r="A487" s="1331"/>
      <c r="B487" s="605"/>
      <c r="C487" s="606"/>
      <c r="D487" s="590"/>
      <c r="E487" s="606"/>
      <c r="F487" s="607"/>
      <c r="G487" s="607"/>
      <c r="H487" s="608"/>
      <c r="I487" s="608"/>
      <c r="J487" s="1616">
        <f t="shared" si="11"/>
        <v>0</v>
      </c>
      <c r="K487" s="613"/>
      <c r="L487" s="613"/>
      <c r="M487" s="613"/>
      <c r="N487" s="617"/>
      <c r="O487" s="267"/>
    </row>
    <row r="488" spans="1:15" s="1" customFormat="1" ht="18" customHeight="1">
      <c r="A488" s="1331"/>
      <c r="B488" s="605"/>
      <c r="C488" s="606"/>
      <c r="D488" s="590"/>
      <c r="E488" s="606"/>
      <c r="F488" s="607"/>
      <c r="G488" s="607"/>
      <c r="H488" s="608"/>
      <c r="I488" s="608"/>
      <c r="J488" s="1616">
        <f t="shared" si="11"/>
        <v>0</v>
      </c>
      <c r="K488" s="613"/>
      <c r="L488" s="613"/>
      <c r="M488" s="613"/>
      <c r="N488" s="617"/>
      <c r="O488" s="267"/>
    </row>
    <row r="489" spans="1:15" s="1" customFormat="1" ht="18" customHeight="1">
      <c r="A489" s="1331"/>
      <c r="B489" s="605"/>
      <c r="C489" s="606"/>
      <c r="D489" s="590"/>
      <c r="E489" s="606"/>
      <c r="F489" s="607"/>
      <c r="G489" s="607"/>
      <c r="H489" s="608"/>
      <c r="I489" s="608"/>
      <c r="J489" s="1616">
        <f t="shared" si="11"/>
        <v>0</v>
      </c>
      <c r="K489" s="613"/>
      <c r="L489" s="613"/>
      <c r="M489" s="613"/>
      <c r="N489" s="617"/>
      <c r="O489" s="267"/>
    </row>
    <row r="490" spans="1:15" s="1" customFormat="1" ht="18" customHeight="1">
      <c r="A490" s="1331"/>
      <c r="B490" s="605"/>
      <c r="C490" s="606"/>
      <c r="D490" s="590"/>
      <c r="E490" s="606"/>
      <c r="F490" s="607"/>
      <c r="G490" s="607"/>
      <c r="H490" s="608"/>
      <c r="I490" s="608"/>
      <c r="J490" s="1616">
        <f t="shared" si="11"/>
        <v>0</v>
      </c>
      <c r="K490" s="613"/>
      <c r="L490" s="613"/>
      <c r="M490" s="613"/>
      <c r="N490" s="617"/>
      <c r="O490" s="267"/>
    </row>
    <row r="491" spans="1:15" s="1" customFormat="1" ht="18" customHeight="1">
      <c r="A491" s="1331"/>
      <c r="B491" s="605"/>
      <c r="C491" s="606"/>
      <c r="D491" s="590"/>
      <c r="E491" s="606"/>
      <c r="F491" s="607"/>
      <c r="G491" s="607"/>
      <c r="H491" s="608"/>
      <c r="I491" s="608"/>
      <c r="J491" s="1616">
        <f t="shared" si="11"/>
        <v>0</v>
      </c>
      <c r="K491" s="613"/>
      <c r="L491" s="613"/>
      <c r="M491" s="613"/>
      <c r="N491" s="617"/>
      <c r="O491" s="267"/>
    </row>
    <row r="492" spans="1:15" s="1" customFormat="1" ht="18" customHeight="1">
      <c r="A492" s="1331"/>
      <c r="B492" s="605"/>
      <c r="C492" s="606"/>
      <c r="D492" s="590"/>
      <c r="E492" s="606"/>
      <c r="F492" s="607"/>
      <c r="G492" s="607"/>
      <c r="H492" s="608"/>
      <c r="I492" s="608"/>
      <c r="J492" s="1616">
        <f t="shared" si="11"/>
        <v>0</v>
      </c>
      <c r="K492" s="613"/>
      <c r="L492" s="613"/>
      <c r="M492" s="613"/>
      <c r="N492" s="617"/>
      <c r="O492" s="267"/>
    </row>
    <row r="493" spans="1:15" s="1" customFormat="1" ht="18" customHeight="1">
      <c r="A493" s="1331"/>
      <c r="B493" s="605"/>
      <c r="C493" s="606"/>
      <c r="D493" s="590"/>
      <c r="E493" s="606"/>
      <c r="F493" s="607"/>
      <c r="G493" s="607"/>
      <c r="H493" s="608"/>
      <c r="I493" s="608"/>
      <c r="J493" s="1616">
        <f t="shared" si="11"/>
        <v>0</v>
      </c>
      <c r="K493" s="613"/>
      <c r="L493" s="613"/>
      <c r="M493" s="613"/>
      <c r="N493" s="617"/>
      <c r="O493" s="267"/>
    </row>
    <row r="494" spans="1:15" s="1" customFormat="1" ht="18" customHeight="1">
      <c r="A494" s="1331"/>
      <c r="B494" s="605"/>
      <c r="C494" s="606"/>
      <c r="D494" s="590"/>
      <c r="E494" s="606"/>
      <c r="F494" s="607"/>
      <c r="G494" s="607"/>
      <c r="H494" s="608"/>
      <c r="I494" s="608"/>
      <c r="J494" s="1616">
        <f t="shared" si="11"/>
        <v>0</v>
      </c>
      <c r="K494" s="613"/>
      <c r="L494" s="613"/>
      <c r="M494" s="613"/>
      <c r="N494" s="617"/>
      <c r="O494" s="267"/>
    </row>
    <row r="495" spans="1:15" s="1" customFormat="1" ht="18" customHeight="1">
      <c r="A495" s="1331"/>
      <c r="B495" s="605"/>
      <c r="C495" s="606"/>
      <c r="D495" s="590"/>
      <c r="E495" s="606"/>
      <c r="F495" s="607"/>
      <c r="G495" s="607"/>
      <c r="H495" s="608"/>
      <c r="I495" s="608"/>
      <c r="J495" s="1616">
        <f t="shared" si="11"/>
        <v>0</v>
      </c>
      <c r="K495" s="613"/>
      <c r="L495" s="613"/>
      <c r="M495" s="613"/>
      <c r="N495" s="617"/>
      <c r="O495" s="267"/>
    </row>
    <row r="496" spans="1:15" s="1" customFormat="1" ht="18" customHeight="1">
      <c r="A496" s="1331"/>
      <c r="B496" s="605"/>
      <c r="C496" s="606"/>
      <c r="D496" s="590"/>
      <c r="E496" s="606"/>
      <c r="F496" s="607"/>
      <c r="G496" s="607"/>
      <c r="H496" s="608"/>
      <c r="I496" s="608"/>
      <c r="J496" s="1616">
        <f t="shared" si="11"/>
        <v>0</v>
      </c>
      <c r="K496" s="613"/>
      <c r="L496" s="613"/>
      <c r="M496" s="613"/>
      <c r="N496" s="617"/>
      <c r="O496" s="267"/>
    </row>
    <row r="497" spans="1:15" s="1" customFormat="1" ht="18" customHeight="1">
      <c r="A497" s="1331"/>
      <c r="B497" s="605"/>
      <c r="C497" s="606"/>
      <c r="D497" s="590"/>
      <c r="E497" s="606"/>
      <c r="F497" s="607"/>
      <c r="G497" s="607"/>
      <c r="H497" s="608"/>
      <c r="I497" s="608"/>
      <c r="J497" s="1616">
        <f t="shared" si="11"/>
        <v>0</v>
      </c>
      <c r="K497" s="613"/>
      <c r="L497" s="613"/>
      <c r="M497" s="613"/>
      <c r="N497" s="617"/>
      <c r="O497" s="267"/>
    </row>
    <row r="498" spans="1:15" s="1" customFormat="1" ht="18" customHeight="1">
      <c r="A498" s="1331"/>
      <c r="B498" s="605"/>
      <c r="C498" s="606"/>
      <c r="D498" s="590"/>
      <c r="E498" s="606"/>
      <c r="F498" s="607"/>
      <c r="G498" s="607"/>
      <c r="H498" s="608"/>
      <c r="I498" s="608"/>
      <c r="J498" s="1616">
        <f t="shared" si="11"/>
        <v>0</v>
      </c>
      <c r="K498" s="613"/>
      <c r="L498" s="613"/>
      <c r="M498" s="613"/>
      <c r="N498" s="617"/>
      <c r="O498" s="267"/>
    </row>
    <row r="499" spans="1:15" s="1" customFormat="1" ht="18" customHeight="1">
      <c r="A499" s="1331"/>
      <c r="B499" s="605"/>
      <c r="C499" s="606"/>
      <c r="D499" s="590"/>
      <c r="E499" s="606"/>
      <c r="F499" s="607"/>
      <c r="G499" s="607"/>
      <c r="H499" s="608"/>
      <c r="I499" s="608"/>
      <c r="J499" s="1616">
        <f t="shared" si="11"/>
        <v>0</v>
      </c>
      <c r="K499" s="613"/>
      <c r="L499" s="613"/>
      <c r="M499" s="613"/>
      <c r="N499" s="617"/>
      <c r="O499" s="267"/>
    </row>
    <row r="500" spans="1:15" s="1" customFormat="1" ht="18" customHeight="1">
      <c r="A500" s="1331"/>
      <c r="B500" s="605"/>
      <c r="C500" s="606"/>
      <c r="D500" s="590"/>
      <c r="E500" s="606"/>
      <c r="F500" s="607"/>
      <c r="G500" s="607"/>
      <c r="H500" s="608"/>
      <c r="I500" s="608"/>
      <c r="J500" s="1616">
        <f t="shared" si="11"/>
        <v>0</v>
      </c>
      <c r="K500" s="613"/>
      <c r="L500" s="613"/>
      <c r="M500" s="613"/>
      <c r="N500" s="617"/>
      <c r="O500" s="267"/>
    </row>
    <row r="501" spans="1:15" s="1" customFormat="1" ht="18" customHeight="1">
      <c r="A501" s="1331"/>
      <c r="B501" s="605"/>
      <c r="C501" s="606"/>
      <c r="D501" s="590"/>
      <c r="E501" s="606"/>
      <c r="F501" s="607"/>
      <c r="G501" s="607"/>
      <c r="H501" s="608"/>
      <c r="I501" s="608"/>
      <c r="J501" s="1616">
        <f t="shared" si="11"/>
        <v>0</v>
      </c>
      <c r="K501" s="613"/>
      <c r="L501" s="613"/>
      <c r="M501" s="613"/>
      <c r="N501" s="617"/>
      <c r="O501" s="267"/>
    </row>
    <row r="502" spans="1:15" s="1" customFormat="1" ht="18" customHeight="1">
      <c r="A502" s="1331"/>
      <c r="B502" s="605"/>
      <c r="C502" s="606"/>
      <c r="D502" s="590"/>
      <c r="E502" s="606"/>
      <c r="F502" s="607"/>
      <c r="G502" s="607"/>
      <c r="H502" s="608"/>
      <c r="I502" s="608"/>
      <c r="J502" s="1616">
        <f t="shared" si="11"/>
        <v>0</v>
      </c>
      <c r="K502" s="613"/>
      <c r="L502" s="613"/>
      <c r="M502" s="613"/>
      <c r="N502" s="617"/>
      <c r="O502" s="267"/>
    </row>
    <row r="503" spans="1:15" s="1" customFormat="1" ht="18" customHeight="1">
      <c r="A503" s="1331"/>
      <c r="B503" s="605"/>
      <c r="C503" s="606"/>
      <c r="D503" s="590"/>
      <c r="E503" s="606"/>
      <c r="F503" s="607"/>
      <c r="G503" s="607"/>
      <c r="H503" s="608"/>
      <c r="I503" s="608"/>
      <c r="J503" s="1616">
        <f t="shared" si="11"/>
        <v>0</v>
      </c>
      <c r="K503" s="613"/>
      <c r="L503" s="613"/>
      <c r="M503" s="613"/>
      <c r="N503" s="617"/>
      <c r="O503" s="267"/>
    </row>
    <row r="504" spans="1:15" s="1" customFormat="1" ht="18" customHeight="1">
      <c r="A504" s="1331"/>
      <c r="B504" s="605"/>
      <c r="C504" s="606"/>
      <c r="D504" s="590"/>
      <c r="E504" s="606"/>
      <c r="F504" s="607"/>
      <c r="G504" s="607"/>
      <c r="H504" s="608"/>
      <c r="I504" s="608"/>
      <c r="J504" s="1616">
        <f t="shared" si="11"/>
        <v>0</v>
      </c>
      <c r="K504" s="613"/>
      <c r="L504" s="613"/>
      <c r="M504" s="613"/>
      <c r="N504" s="617"/>
      <c r="O504" s="267"/>
    </row>
    <row r="505" spans="1:15" s="1" customFormat="1" ht="18" customHeight="1">
      <c r="A505" s="1331"/>
      <c r="B505" s="605"/>
      <c r="C505" s="606"/>
      <c r="D505" s="590"/>
      <c r="E505" s="606"/>
      <c r="F505" s="607"/>
      <c r="G505" s="607"/>
      <c r="H505" s="608"/>
      <c r="I505" s="608"/>
      <c r="J505" s="1616">
        <f t="shared" si="11"/>
        <v>0</v>
      </c>
      <c r="K505" s="613"/>
      <c r="L505" s="613"/>
      <c r="M505" s="613"/>
      <c r="N505" s="617"/>
      <c r="O505" s="267"/>
    </row>
    <row r="506" spans="1:15" s="1" customFormat="1" ht="18" customHeight="1">
      <c r="A506" s="1331"/>
      <c r="B506" s="605"/>
      <c r="C506" s="606"/>
      <c r="D506" s="590"/>
      <c r="E506" s="606"/>
      <c r="F506" s="607"/>
      <c r="G506" s="607"/>
      <c r="H506" s="608"/>
      <c r="I506" s="608"/>
      <c r="J506" s="1616">
        <f t="shared" si="11"/>
        <v>0</v>
      </c>
      <c r="K506" s="613"/>
      <c r="L506" s="613"/>
      <c r="M506" s="613"/>
      <c r="N506" s="617"/>
      <c r="O506" s="267"/>
    </row>
    <row r="507" spans="1:15" s="1" customFormat="1" ht="18" customHeight="1">
      <c r="A507" s="1331"/>
      <c r="B507" s="605"/>
      <c r="C507" s="606"/>
      <c r="D507" s="590"/>
      <c r="E507" s="606"/>
      <c r="F507" s="607"/>
      <c r="G507" s="607"/>
      <c r="H507" s="608"/>
      <c r="I507" s="608"/>
      <c r="J507" s="1616">
        <f t="shared" si="11"/>
        <v>0</v>
      </c>
      <c r="K507" s="613"/>
      <c r="L507" s="613"/>
      <c r="M507" s="613"/>
      <c r="N507" s="617"/>
      <c r="O507" s="267"/>
    </row>
    <row r="508" spans="1:15" s="1" customFormat="1" ht="18" customHeight="1">
      <c r="A508" s="1331"/>
      <c r="B508" s="605"/>
      <c r="C508" s="606"/>
      <c r="D508" s="590"/>
      <c r="E508" s="606"/>
      <c r="F508" s="607"/>
      <c r="G508" s="607"/>
      <c r="H508" s="608"/>
      <c r="I508" s="608"/>
      <c r="J508" s="1616">
        <f t="shared" si="11"/>
        <v>0</v>
      </c>
      <c r="K508" s="613"/>
      <c r="L508" s="613"/>
      <c r="M508" s="613"/>
      <c r="N508" s="617"/>
      <c r="O508" s="267"/>
    </row>
    <row r="509" spans="1:15" s="1" customFormat="1" ht="18" customHeight="1">
      <c r="A509" s="1331"/>
      <c r="B509" s="605"/>
      <c r="C509" s="606"/>
      <c r="D509" s="590"/>
      <c r="E509" s="606"/>
      <c r="F509" s="607"/>
      <c r="G509" s="607"/>
      <c r="H509" s="608"/>
      <c r="I509" s="608"/>
      <c r="J509" s="1616">
        <f t="shared" si="11"/>
        <v>0</v>
      </c>
      <c r="K509" s="613"/>
      <c r="L509" s="613"/>
      <c r="M509" s="613"/>
      <c r="N509" s="617"/>
      <c r="O509" s="267"/>
    </row>
    <row r="510" spans="1:15" s="1" customFormat="1" ht="18" customHeight="1">
      <c r="A510" s="1331"/>
      <c r="B510" s="605"/>
      <c r="C510" s="606"/>
      <c r="D510" s="590"/>
      <c r="E510" s="606"/>
      <c r="F510" s="607"/>
      <c r="G510" s="607"/>
      <c r="H510" s="608"/>
      <c r="I510" s="608"/>
      <c r="J510" s="1616">
        <f t="shared" si="11"/>
        <v>0</v>
      </c>
      <c r="K510" s="613"/>
      <c r="L510" s="613"/>
      <c r="M510" s="613"/>
      <c r="N510" s="617"/>
      <c r="O510" s="267"/>
    </row>
    <row r="511" spans="1:15" s="1" customFormat="1" ht="18" customHeight="1">
      <c r="A511" s="1331"/>
      <c r="B511" s="605"/>
      <c r="C511" s="606"/>
      <c r="D511" s="590"/>
      <c r="E511" s="606"/>
      <c r="F511" s="607"/>
      <c r="G511" s="607"/>
      <c r="H511" s="608"/>
      <c r="I511" s="608"/>
      <c r="J511" s="1616">
        <f t="shared" si="11"/>
        <v>0</v>
      </c>
      <c r="K511" s="613"/>
      <c r="L511" s="613"/>
      <c r="M511" s="613"/>
      <c r="N511" s="617"/>
      <c r="O511" s="267"/>
    </row>
    <row r="512" spans="1:15" s="1" customFormat="1" ht="18" customHeight="1">
      <c r="A512" s="1331"/>
      <c r="B512" s="605"/>
      <c r="C512" s="606"/>
      <c r="D512" s="590"/>
      <c r="E512" s="606"/>
      <c r="F512" s="607"/>
      <c r="G512" s="607"/>
      <c r="H512" s="608"/>
      <c r="I512" s="608"/>
      <c r="J512" s="1616">
        <f t="shared" si="11"/>
        <v>0</v>
      </c>
      <c r="K512" s="613"/>
      <c r="L512" s="613"/>
      <c r="M512" s="613"/>
      <c r="N512" s="617"/>
      <c r="O512" s="267"/>
    </row>
    <row r="513" spans="1:15" s="1" customFormat="1" ht="18" customHeight="1">
      <c r="A513" s="1331"/>
      <c r="B513" s="605"/>
      <c r="C513" s="606"/>
      <c r="D513" s="590"/>
      <c r="E513" s="606"/>
      <c r="F513" s="607"/>
      <c r="G513" s="607"/>
      <c r="H513" s="608"/>
      <c r="I513" s="608"/>
      <c r="J513" s="1616">
        <f t="shared" si="11"/>
        <v>0</v>
      </c>
      <c r="K513" s="613"/>
      <c r="L513" s="613"/>
      <c r="M513" s="613"/>
      <c r="N513" s="617"/>
      <c r="O513" s="267"/>
    </row>
    <row r="514" spans="1:15" s="1" customFormat="1" ht="18" customHeight="1">
      <c r="A514" s="1331"/>
      <c r="B514" s="605"/>
      <c r="C514" s="606"/>
      <c r="D514" s="590"/>
      <c r="E514" s="606"/>
      <c r="F514" s="607"/>
      <c r="G514" s="607"/>
      <c r="H514" s="608"/>
      <c r="I514" s="608"/>
      <c r="J514" s="1616">
        <f t="shared" si="11"/>
        <v>0</v>
      </c>
      <c r="K514" s="613"/>
      <c r="L514" s="613"/>
      <c r="M514" s="613"/>
      <c r="N514" s="617"/>
      <c r="O514" s="267"/>
    </row>
    <row r="515" spans="1:15" s="1" customFormat="1" ht="18" customHeight="1">
      <c r="A515" s="1331"/>
      <c r="B515" s="605"/>
      <c r="C515" s="606"/>
      <c r="D515" s="590"/>
      <c r="E515" s="606"/>
      <c r="F515" s="607"/>
      <c r="G515" s="607"/>
      <c r="H515" s="608"/>
      <c r="I515" s="608"/>
      <c r="J515" s="1616">
        <f t="shared" si="11"/>
        <v>0</v>
      </c>
      <c r="K515" s="613"/>
      <c r="L515" s="613"/>
      <c r="M515" s="613"/>
      <c r="N515" s="617"/>
      <c r="O515" s="267"/>
    </row>
    <row r="516" spans="1:15" s="1" customFormat="1" ht="18" customHeight="1">
      <c r="A516" s="1331"/>
      <c r="B516" s="605"/>
      <c r="C516" s="606"/>
      <c r="D516" s="590"/>
      <c r="E516" s="606"/>
      <c r="F516" s="607"/>
      <c r="G516" s="607"/>
      <c r="H516" s="608"/>
      <c r="I516" s="608"/>
      <c r="J516" s="1616">
        <f t="shared" si="11"/>
        <v>0</v>
      </c>
      <c r="K516" s="613"/>
      <c r="L516" s="613"/>
      <c r="M516" s="613"/>
      <c r="N516" s="617"/>
      <c r="O516" s="267"/>
    </row>
    <row r="517" spans="1:15" s="1" customFormat="1" ht="18" customHeight="1">
      <c r="A517" s="1331"/>
      <c r="B517" s="605"/>
      <c r="C517" s="606"/>
      <c r="D517" s="590"/>
      <c r="E517" s="606"/>
      <c r="F517" s="607"/>
      <c r="G517" s="607"/>
      <c r="H517" s="608"/>
      <c r="I517" s="608"/>
      <c r="J517" s="1616">
        <f t="shared" si="11"/>
        <v>0</v>
      </c>
      <c r="K517" s="613"/>
      <c r="L517" s="613"/>
      <c r="M517" s="613"/>
      <c r="N517" s="617"/>
      <c r="O517" s="267"/>
    </row>
    <row r="518" spans="1:15" s="1" customFormat="1" ht="18" customHeight="1">
      <c r="A518" s="1331"/>
      <c r="B518" s="605"/>
      <c r="C518" s="606"/>
      <c r="D518" s="590"/>
      <c r="E518" s="606"/>
      <c r="F518" s="607"/>
      <c r="G518" s="607"/>
      <c r="H518" s="608"/>
      <c r="I518" s="608"/>
      <c r="J518" s="1616">
        <f t="shared" si="11"/>
        <v>0</v>
      </c>
      <c r="K518" s="613"/>
      <c r="L518" s="613"/>
      <c r="M518" s="613"/>
      <c r="N518" s="617"/>
      <c r="O518" s="267"/>
    </row>
    <row r="519" spans="1:15" s="1" customFormat="1" ht="18" customHeight="1">
      <c r="A519" s="1331"/>
      <c r="B519" s="605"/>
      <c r="C519" s="606"/>
      <c r="D519" s="590"/>
      <c r="E519" s="606"/>
      <c r="F519" s="607"/>
      <c r="G519" s="607"/>
      <c r="H519" s="608"/>
      <c r="I519" s="608"/>
      <c r="J519" s="1616">
        <f t="shared" si="11"/>
        <v>0</v>
      </c>
      <c r="K519" s="613"/>
      <c r="L519" s="613"/>
      <c r="M519" s="613"/>
      <c r="N519" s="617"/>
      <c r="O519" s="267"/>
    </row>
    <row r="520" spans="1:15" s="1" customFormat="1" ht="18" customHeight="1">
      <c r="A520" s="1331"/>
      <c r="B520" s="605"/>
      <c r="C520" s="606"/>
      <c r="D520" s="590"/>
      <c r="E520" s="606"/>
      <c r="F520" s="607"/>
      <c r="G520" s="607"/>
      <c r="H520" s="608"/>
      <c r="I520" s="608"/>
      <c r="J520" s="1616">
        <f t="shared" si="11"/>
        <v>0</v>
      </c>
      <c r="K520" s="613"/>
      <c r="L520" s="613"/>
      <c r="M520" s="613"/>
      <c r="N520" s="617"/>
      <c r="O520" s="267"/>
    </row>
    <row r="521" spans="1:15" s="1" customFormat="1" ht="18" customHeight="1">
      <c r="A521" s="1331"/>
      <c r="B521" s="605"/>
      <c r="C521" s="606"/>
      <c r="D521" s="590"/>
      <c r="E521" s="606"/>
      <c r="F521" s="607"/>
      <c r="G521" s="607"/>
      <c r="H521" s="608"/>
      <c r="I521" s="608"/>
      <c r="J521" s="1616">
        <f t="shared" si="11"/>
        <v>0</v>
      </c>
      <c r="K521" s="613"/>
      <c r="L521" s="613"/>
      <c r="M521" s="613"/>
      <c r="N521" s="617"/>
      <c r="O521" s="267"/>
    </row>
    <row r="522" spans="1:15" s="1" customFormat="1" ht="18" customHeight="1">
      <c r="A522" s="1331"/>
      <c r="B522" s="605"/>
      <c r="C522" s="606"/>
      <c r="D522" s="590"/>
      <c r="E522" s="606"/>
      <c r="F522" s="607"/>
      <c r="G522" s="607"/>
      <c r="H522" s="608"/>
      <c r="I522" s="608"/>
      <c r="J522" s="1616">
        <f t="shared" si="11"/>
        <v>0</v>
      </c>
      <c r="K522" s="613"/>
      <c r="L522" s="613"/>
      <c r="M522" s="613"/>
      <c r="N522" s="617"/>
      <c r="O522" s="267"/>
    </row>
    <row r="523" spans="1:15" s="1" customFormat="1" ht="18" customHeight="1">
      <c r="A523" s="1331"/>
      <c r="B523" s="605"/>
      <c r="C523" s="606"/>
      <c r="D523" s="590"/>
      <c r="E523" s="606"/>
      <c r="F523" s="607"/>
      <c r="G523" s="607"/>
      <c r="H523" s="608"/>
      <c r="I523" s="608"/>
      <c r="J523" s="1616">
        <f t="shared" si="11"/>
        <v>0</v>
      </c>
      <c r="K523" s="613"/>
      <c r="L523" s="613"/>
      <c r="M523" s="613"/>
      <c r="N523" s="617"/>
      <c r="O523" s="267"/>
    </row>
    <row r="524" spans="1:15" s="1" customFormat="1" ht="18" customHeight="1">
      <c r="A524" s="1331"/>
      <c r="B524" s="605"/>
      <c r="C524" s="606"/>
      <c r="D524" s="590"/>
      <c r="E524" s="606"/>
      <c r="F524" s="607"/>
      <c r="G524" s="607"/>
      <c r="H524" s="608"/>
      <c r="I524" s="608"/>
      <c r="J524" s="1616">
        <f t="shared" si="11"/>
        <v>0</v>
      </c>
      <c r="K524" s="613"/>
      <c r="L524" s="613"/>
      <c r="M524" s="613"/>
      <c r="N524" s="617"/>
      <c r="O524" s="267"/>
    </row>
    <row r="525" spans="1:15" s="1" customFormat="1" ht="18" customHeight="1">
      <c r="A525" s="1331"/>
      <c r="B525" s="605"/>
      <c r="C525" s="606"/>
      <c r="D525" s="590"/>
      <c r="E525" s="606"/>
      <c r="F525" s="607"/>
      <c r="G525" s="607"/>
      <c r="H525" s="608"/>
      <c r="I525" s="608"/>
      <c r="J525" s="1616">
        <f t="shared" si="11"/>
        <v>0</v>
      </c>
      <c r="K525" s="613"/>
      <c r="L525" s="613"/>
      <c r="M525" s="613"/>
      <c r="N525" s="617"/>
      <c r="O525" s="267"/>
    </row>
    <row r="526" spans="1:15" s="1" customFormat="1" ht="18" customHeight="1">
      <c r="A526" s="1331"/>
      <c r="B526" s="605"/>
      <c r="C526" s="606"/>
      <c r="D526" s="590"/>
      <c r="E526" s="606"/>
      <c r="F526" s="607"/>
      <c r="G526" s="607"/>
      <c r="H526" s="608"/>
      <c r="I526" s="608"/>
      <c r="J526" s="1616">
        <f t="shared" si="11"/>
        <v>0</v>
      </c>
      <c r="K526" s="613"/>
      <c r="L526" s="613"/>
      <c r="M526" s="613"/>
      <c r="N526" s="617"/>
      <c r="O526" s="267"/>
    </row>
    <row r="527" spans="1:15" s="1" customFormat="1" ht="18" customHeight="1">
      <c r="A527" s="1331"/>
      <c r="B527" s="605"/>
      <c r="C527" s="606"/>
      <c r="D527" s="590"/>
      <c r="E527" s="606"/>
      <c r="F527" s="607"/>
      <c r="G527" s="607"/>
      <c r="H527" s="608"/>
      <c r="I527" s="608"/>
      <c r="J527" s="1616">
        <f t="shared" si="11"/>
        <v>0</v>
      </c>
      <c r="K527" s="613"/>
      <c r="L527" s="613"/>
      <c r="M527" s="613"/>
      <c r="N527" s="617"/>
      <c r="O527" s="267"/>
    </row>
    <row r="528" spans="1:15" s="1" customFormat="1" ht="18" customHeight="1">
      <c r="A528" s="1331"/>
      <c r="B528" s="605"/>
      <c r="C528" s="606"/>
      <c r="D528" s="590"/>
      <c r="E528" s="606"/>
      <c r="F528" s="607"/>
      <c r="G528" s="607"/>
      <c r="H528" s="608"/>
      <c r="I528" s="608"/>
      <c r="J528" s="1616">
        <f t="shared" si="11"/>
        <v>0</v>
      </c>
      <c r="K528" s="613"/>
      <c r="L528" s="613"/>
      <c r="M528" s="613"/>
      <c r="N528" s="617"/>
      <c r="O528" s="267"/>
    </row>
    <row r="529" spans="1:15" s="1" customFormat="1" ht="18" customHeight="1">
      <c r="A529" s="1331"/>
      <c r="B529" s="605"/>
      <c r="C529" s="606"/>
      <c r="D529" s="590"/>
      <c r="E529" s="606"/>
      <c r="F529" s="607"/>
      <c r="G529" s="607"/>
      <c r="H529" s="608"/>
      <c r="I529" s="608"/>
      <c r="J529" s="1616">
        <f t="shared" si="11"/>
        <v>0</v>
      </c>
      <c r="K529" s="613"/>
      <c r="L529" s="613"/>
      <c r="M529" s="613"/>
      <c r="N529" s="617"/>
      <c r="O529" s="267"/>
    </row>
    <row r="530" spans="1:15" s="1" customFormat="1" ht="18" customHeight="1">
      <c r="A530" s="1331"/>
      <c r="B530" s="605"/>
      <c r="C530" s="606"/>
      <c r="D530" s="590"/>
      <c r="E530" s="606"/>
      <c r="F530" s="607"/>
      <c r="G530" s="607"/>
      <c r="H530" s="608"/>
      <c r="I530" s="608"/>
      <c r="J530" s="1616">
        <f t="shared" si="11"/>
        <v>0</v>
      </c>
      <c r="K530" s="613"/>
      <c r="L530" s="613"/>
      <c r="M530" s="613"/>
      <c r="N530" s="617"/>
      <c r="O530" s="267"/>
    </row>
    <row r="531" spans="1:15" s="1" customFormat="1" ht="18" customHeight="1">
      <c r="A531" s="1331"/>
      <c r="B531" s="605"/>
      <c r="C531" s="606"/>
      <c r="D531" s="590"/>
      <c r="E531" s="606"/>
      <c r="F531" s="607"/>
      <c r="G531" s="607"/>
      <c r="H531" s="608"/>
      <c r="I531" s="608"/>
      <c r="J531" s="1616">
        <f t="shared" si="11"/>
        <v>0</v>
      </c>
      <c r="K531" s="613"/>
      <c r="L531" s="613"/>
      <c r="M531" s="613"/>
      <c r="N531" s="617"/>
      <c r="O531" s="267"/>
    </row>
    <row r="532" spans="1:15" s="1" customFormat="1" ht="18" customHeight="1">
      <c r="A532" s="1331"/>
      <c r="B532" s="605"/>
      <c r="C532" s="606"/>
      <c r="D532" s="590"/>
      <c r="E532" s="606"/>
      <c r="F532" s="607"/>
      <c r="G532" s="607"/>
      <c r="H532" s="608"/>
      <c r="I532" s="608"/>
      <c r="J532" s="1616">
        <f t="shared" si="11"/>
        <v>0</v>
      </c>
      <c r="K532" s="613"/>
      <c r="L532" s="613"/>
      <c r="M532" s="613"/>
      <c r="N532" s="617"/>
      <c r="O532" s="267"/>
    </row>
    <row r="533" spans="1:15" s="1" customFormat="1" ht="18" customHeight="1">
      <c r="A533" s="1331"/>
      <c r="B533" s="605"/>
      <c r="C533" s="606"/>
      <c r="D533" s="590"/>
      <c r="E533" s="606"/>
      <c r="F533" s="607"/>
      <c r="G533" s="607"/>
      <c r="H533" s="608"/>
      <c r="I533" s="608"/>
      <c r="J533" s="1616">
        <f t="shared" si="11"/>
        <v>0</v>
      </c>
      <c r="K533" s="613"/>
      <c r="L533" s="613"/>
      <c r="M533" s="613"/>
      <c r="N533" s="617"/>
      <c r="O533" s="267"/>
    </row>
    <row r="534" spans="1:15" s="1" customFormat="1" ht="18" customHeight="1">
      <c r="A534" s="1331"/>
      <c r="B534" s="605"/>
      <c r="C534" s="606"/>
      <c r="D534" s="590"/>
      <c r="E534" s="606"/>
      <c r="F534" s="607"/>
      <c r="G534" s="607"/>
      <c r="H534" s="608"/>
      <c r="I534" s="608"/>
      <c r="J534" s="1616">
        <f t="shared" si="11"/>
        <v>0</v>
      </c>
      <c r="K534" s="613"/>
      <c r="L534" s="613"/>
      <c r="M534" s="613"/>
      <c r="N534" s="617"/>
      <c r="O534" s="267"/>
    </row>
    <row r="535" spans="1:15" s="1" customFormat="1" ht="18" customHeight="1">
      <c r="A535" s="1331"/>
      <c r="B535" s="605"/>
      <c r="C535" s="606"/>
      <c r="D535" s="590"/>
      <c r="E535" s="606"/>
      <c r="F535" s="607"/>
      <c r="G535" s="607"/>
      <c r="H535" s="608"/>
      <c r="I535" s="608"/>
      <c r="J535" s="1616">
        <f t="shared" si="11"/>
        <v>0</v>
      </c>
      <c r="K535" s="613"/>
      <c r="L535" s="613"/>
      <c r="M535" s="613"/>
      <c r="N535" s="617"/>
      <c r="O535" s="267"/>
    </row>
    <row r="536" spans="1:15" s="1" customFormat="1" ht="18" customHeight="1">
      <c r="A536" s="1331"/>
      <c r="B536" s="605"/>
      <c r="C536" s="606"/>
      <c r="D536" s="590"/>
      <c r="E536" s="606"/>
      <c r="F536" s="607"/>
      <c r="G536" s="607"/>
      <c r="H536" s="608"/>
      <c r="I536" s="608"/>
      <c r="J536" s="1616">
        <f t="shared" si="11"/>
        <v>0</v>
      </c>
      <c r="K536" s="613"/>
      <c r="L536" s="613"/>
      <c r="M536" s="613"/>
      <c r="N536" s="617"/>
      <c r="O536" s="267"/>
    </row>
    <row r="537" spans="1:15" s="1" customFormat="1" ht="18" customHeight="1">
      <c r="A537" s="1331"/>
      <c r="B537" s="605"/>
      <c r="C537" s="606"/>
      <c r="D537" s="590"/>
      <c r="E537" s="606"/>
      <c r="F537" s="607"/>
      <c r="G537" s="607"/>
      <c r="H537" s="608"/>
      <c r="I537" s="608"/>
      <c r="J537" s="1616">
        <f t="shared" si="11"/>
        <v>0</v>
      </c>
      <c r="K537" s="613"/>
      <c r="L537" s="613"/>
      <c r="M537" s="613"/>
      <c r="N537" s="617"/>
      <c r="O537" s="267"/>
    </row>
    <row r="538" spans="1:15" s="1" customFormat="1" ht="18" customHeight="1">
      <c r="A538" s="1331"/>
      <c r="B538" s="605"/>
      <c r="C538" s="606"/>
      <c r="D538" s="590"/>
      <c r="E538" s="606"/>
      <c r="F538" s="607"/>
      <c r="G538" s="607"/>
      <c r="H538" s="608"/>
      <c r="I538" s="608"/>
      <c r="J538" s="1616">
        <f t="shared" si="11"/>
        <v>0</v>
      </c>
      <c r="K538" s="613"/>
      <c r="L538" s="613"/>
      <c r="M538" s="613"/>
      <c r="N538" s="617"/>
      <c r="O538" s="267"/>
    </row>
    <row r="539" spans="1:15" s="1" customFormat="1" ht="18" customHeight="1">
      <c r="A539" s="1331"/>
      <c r="B539" s="605"/>
      <c r="C539" s="606"/>
      <c r="D539" s="590"/>
      <c r="E539" s="606"/>
      <c r="F539" s="607"/>
      <c r="G539" s="607"/>
      <c r="H539" s="608"/>
      <c r="I539" s="608"/>
      <c r="J539" s="1616">
        <f t="shared" si="11"/>
        <v>0</v>
      </c>
      <c r="K539" s="613"/>
      <c r="L539" s="613"/>
      <c r="M539" s="613"/>
      <c r="N539" s="617"/>
      <c r="O539" s="267"/>
    </row>
    <row r="540" spans="1:15" s="1" customFormat="1" ht="18" customHeight="1">
      <c r="A540" s="1331"/>
      <c r="B540" s="605"/>
      <c r="C540" s="606"/>
      <c r="D540" s="590"/>
      <c r="E540" s="606"/>
      <c r="F540" s="607"/>
      <c r="G540" s="607"/>
      <c r="H540" s="608"/>
      <c r="I540" s="608"/>
      <c r="J540" s="1616">
        <f t="shared" si="11"/>
        <v>0</v>
      </c>
      <c r="K540" s="613"/>
      <c r="L540" s="613"/>
      <c r="M540" s="613"/>
      <c r="N540" s="617"/>
      <c r="O540" s="267"/>
    </row>
    <row r="541" spans="1:15" s="1" customFormat="1" ht="18" customHeight="1">
      <c r="A541" s="1331"/>
      <c r="B541" s="605"/>
      <c r="C541" s="606"/>
      <c r="D541" s="590"/>
      <c r="E541" s="606"/>
      <c r="F541" s="607"/>
      <c r="G541" s="607"/>
      <c r="H541" s="608"/>
      <c r="I541" s="608"/>
      <c r="J541" s="1616">
        <f t="shared" si="11"/>
        <v>0</v>
      </c>
      <c r="K541" s="613"/>
      <c r="L541" s="613"/>
      <c r="M541" s="613"/>
      <c r="N541" s="617"/>
      <c r="O541" s="267"/>
    </row>
    <row r="542" spans="1:15" s="1" customFormat="1" ht="18" customHeight="1">
      <c r="A542" s="1331"/>
      <c r="B542" s="605"/>
      <c r="C542" s="606"/>
      <c r="D542" s="590"/>
      <c r="E542" s="606"/>
      <c r="F542" s="607"/>
      <c r="G542" s="607"/>
      <c r="H542" s="608"/>
      <c r="I542" s="608"/>
      <c r="J542" s="1616">
        <f t="shared" si="11"/>
        <v>0</v>
      </c>
      <c r="K542" s="613"/>
      <c r="L542" s="613"/>
      <c r="M542" s="613"/>
      <c r="N542" s="617"/>
      <c r="O542" s="267"/>
    </row>
    <row r="543" spans="1:15" s="1" customFormat="1" ht="18" customHeight="1">
      <c r="A543" s="1331"/>
      <c r="B543" s="605"/>
      <c r="C543" s="606"/>
      <c r="D543" s="590"/>
      <c r="E543" s="606"/>
      <c r="F543" s="607"/>
      <c r="G543" s="607"/>
      <c r="H543" s="608"/>
      <c r="I543" s="608"/>
      <c r="J543" s="1616">
        <f t="shared" si="11"/>
        <v>0</v>
      </c>
      <c r="K543" s="613"/>
      <c r="L543" s="613"/>
      <c r="M543" s="613"/>
      <c r="N543" s="617"/>
      <c r="O543" s="267"/>
    </row>
    <row r="544" spans="1:15" s="1" customFormat="1" ht="18" customHeight="1">
      <c r="A544" s="1331"/>
      <c r="B544" s="605"/>
      <c r="C544" s="606"/>
      <c r="D544" s="590"/>
      <c r="E544" s="606"/>
      <c r="F544" s="607"/>
      <c r="G544" s="607"/>
      <c r="H544" s="608"/>
      <c r="I544" s="608"/>
      <c r="J544" s="1616">
        <f t="shared" si="11"/>
        <v>0</v>
      </c>
      <c r="K544" s="613"/>
      <c r="L544" s="613"/>
      <c r="M544" s="613"/>
      <c r="N544" s="617"/>
      <c r="O544" s="267"/>
    </row>
    <row r="545" spans="1:15" s="1" customFormat="1" ht="18" customHeight="1">
      <c r="A545" s="1331"/>
      <c r="B545" s="605"/>
      <c r="C545" s="606"/>
      <c r="D545" s="590"/>
      <c r="E545" s="606"/>
      <c r="F545" s="607"/>
      <c r="G545" s="607"/>
      <c r="H545" s="608"/>
      <c r="I545" s="608"/>
      <c r="J545" s="1616">
        <f t="shared" si="11"/>
        <v>0</v>
      </c>
      <c r="K545" s="613"/>
      <c r="L545" s="613"/>
      <c r="M545" s="613"/>
      <c r="N545" s="617"/>
      <c r="O545" s="267"/>
    </row>
    <row r="546" spans="1:15" s="1" customFormat="1" ht="18" customHeight="1">
      <c r="A546" s="1331"/>
      <c r="B546" s="605"/>
      <c r="C546" s="606"/>
      <c r="D546" s="590"/>
      <c r="E546" s="606"/>
      <c r="F546" s="607"/>
      <c r="G546" s="607"/>
      <c r="H546" s="608"/>
      <c r="I546" s="608"/>
      <c r="J546" s="1616">
        <f t="shared" si="11"/>
        <v>0</v>
      </c>
      <c r="K546" s="613"/>
      <c r="L546" s="613"/>
      <c r="M546" s="613"/>
      <c r="N546" s="617"/>
      <c r="O546" s="267"/>
    </row>
    <row r="547" spans="1:15" s="1" customFormat="1" ht="18" customHeight="1">
      <c r="A547" s="1331"/>
      <c r="B547" s="605"/>
      <c r="C547" s="606"/>
      <c r="D547" s="590"/>
      <c r="E547" s="606"/>
      <c r="F547" s="607"/>
      <c r="G547" s="607"/>
      <c r="H547" s="608"/>
      <c r="I547" s="608"/>
      <c r="J547" s="1616">
        <f t="shared" ref="J547:J610" si="12">G547*I547</f>
        <v>0</v>
      </c>
      <c r="K547" s="613"/>
      <c r="L547" s="613"/>
      <c r="M547" s="613"/>
      <c r="N547" s="617"/>
      <c r="O547" s="267"/>
    </row>
    <row r="548" spans="1:15" s="1" customFormat="1" ht="18" customHeight="1">
      <c r="A548" s="1331"/>
      <c r="B548" s="605"/>
      <c r="C548" s="606"/>
      <c r="D548" s="590"/>
      <c r="E548" s="606"/>
      <c r="F548" s="607"/>
      <c r="G548" s="607"/>
      <c r="H548" s="608"/>
      <c r="I548" s="608"/>
      <c r="J548" s="1616">
        <f t="shared" si="12"/>
        <v>0</v>
      </c>
      <c r="K548" s="613"/>
      <c r="L548" s="613"/>
      <c r="M548" s="613"/>
      <c r="N548" s="617"/>
      <c r="O548" s="267"/>
    </row>
    <row r="549" spans="1:15" s="1" customFormat="1" ht="18" customHeight="1">
      <c r="A549" s="1331"/>
      <c r="B549" s="605"/>
      <c r="C549" s="606"/>
      <c r="D549" s="590"/>
      <c r="E549" s="606"/>
      <c r="F549" s="607"/>
      <c r="G549" s="607"/>
      <c r="H549" s="608"/>
      <c r="I549" s="608"/>
      <c r="J549" s="1616">
        <f t="shared" si="12"/>
        <v>0</v>
      </c>
      <c r="K549" s="613"/>
      <c r="L549" s="613"/>
      <c r="M549" s="613"/>
      <c r="N549" s="617"/>
      <c r="O549" s="267"/>
    </row>
    <row r="550" spans="1:15" s="1" customFormat="1" ht="18" customHeight="1">
      <c r="A550" s="1331"/>
      <c r="B550" s="605"/>
      <c r="C550" s="606"/>
      <c r="D550" s="590"/>
      <c r="E550" s="606"/>
      <c r="F550" s="607"/>
      <c r="G550" s="607"/>
      <c r="H550" s="608"/>
      <c r="I550" s="608"/>
      <c r="J550" s="1616">
        <f t="shared" si="12"/>
        <v>0</v>
      </c>
      <c r="K550" s="613"/>
      <c r="L550" s="613"/>
      <c r="M550" s="613"/>
      <c r="N550" s="617"/>
      <c r="O550" s="267"/>
    </row>
    <row r="551" spans="1:15" s="1" customFormat="1" ht="18" customHeight="1">
      <c r="A551" s="1331"/>
      <c r="B551" s="605"/>
      <c r="C551" s="606"/>
      <c r="D551" s="590"/>
      <c r="E551" s="606"/>
      <c r="F551" s="607"/>
      <c r="G551" s="607"/>
      <c r="H551" s="608"/>
      <c r="I551" s="608"/>
      <c r="J551" s="1616">
        <f t="shared" si="12"/>
        <v>0</v>
      </c>
      <c r="K551" s="613"/>
      <c r="L551" s="613"/>
      <c r="M551" s="613"/>
      <c r="N551" s="617"/>
      <c r="O551" s="267"/>
    </row>
    <row r="552" spans="1:15" s="1" customFormat="1" ht="18" customHeight="1">
      <c r="A552" s="1331"/>
      <c r="B552" s="605"/>
      <c r="C552" s="606"/>
      <c r="D552" s="590"/>
      <c r="E552" s="606"/>
      <c r="F552" s="607"/>
      <c r="G552" s="607"/>
      <c r="H552" s="608"/>
      <c r="I552" s="608"/>
      <c r="J552" s="1616">
        <f t="shared" si="12"/>
        <v>0</v>
      </c>
      <c r="K552" s="613"/>
      <c r="L552" s="613"/>
      <c r="M552" s="613"/>
      <c r="N552" s="617"/>
      <c r="O552" s="267"/>
    </row>
    <row r="553" spans="1:15" s="1" customFormat="1" ht="18" customHeight="1">
      <c r="A553" s="1331"/>
      <c r="B553" s="605"/>
      <c r="C553" s="606"/>
      <c r="D553" s="590"/>
      <c r="E553" s="606"/>
      <c r="F553" s="607"/>
      <c r="G553" s="607"/>
      <c r="H553" s="608"/>
      <c r="I553" s="608"/>
      <c r="J553" s="1616">
        <f t="shared" si="12"/>
        <v>0</v>
      </c>
      <c r="K553" s="613"/>
      <c r="L553" s="613"/>
      <c r="M553" s="613"/>
      <c r="N553" s="617"/>
      <c r="O553" s="267"/>
    </row>
    <row r="554" spans="1:15" s="1" customFormat="1" ht="18" customHeight="1">
      <c r="A554" s="1331"/>
      <c r="B554" s="605"/>
      <c r="C554" s="606"/>
      <c r="D554" s="590"/>
      <c r="E554" s="606"/>
      <c r="F554" s="607"/>
      <c r="G554" s="607"/>
      <c r="H554" s="608"/>
      <c r="I554" s="608"/>
      <c r="J554" s="1616">
        <f t="shared" si="12"/>
        <v>0</v>
      </c>
      <c r="K554" s="613"/>
      <c r="L554" s="613"/>
      <c r="M554" s="613"/>
      <c r="N554" s="617"/>
      <c r="O554" s="267"/>
    </row>
    <row r="555" spans="1:15" s="1" customFormat="1" ht="18" customHeight="1">
      <c r="A555" s="1331"/>
      <c r="B555" s="605"/>
      <c r="C555" s="606"/>
      <c r="D555" s="590"/>
      <c r="E555" s="606"/>
      <c r="F555" s="607"/>
      <c r="G555" s="607"/>
      <c r="H555" s="608"/>
      <c r="I555" s="608"/>
      <c r="J555" s="1616">
        <f t="shared" si="12"/>
        <v>0</v>
      </c>
      <c r="K555" s="613"/>
      <c r="L555" s="613"/>
      <c r="M555" s="613"/>
      <c r="N555" s="617"/>
      <c r="O555" s="267"/>
    </row>
    <row r="556" spans="1:15" s="1" customFormat="1" ht="18" customHeight="1">
      <c r="A556" s="1331"/>
      <c r="B556" s="605"/>
      <c r="C556" s="606"/>
      <c r="D556" s="590"/>
      <c r="E556" s="606"/>
      <c r="F556" s="607"/>
      <c r="G556" s="607"/>
      <c r="H556" s="608"/>
      <c r="I556" s="608"/>
      <c r="J556" s="1616">
        <f t="shared" si="12"/>
        <v>0</v>
      </c>
      <c r="K556" s="613"/>
      <c r="L556" s="613"/>
      <c r="M556" s="613"/>
      <c r="N556" s="617"/>
      <c r="O556" s="267"/>
    </row>
    <row r="557" spans="1:15" s="1" customFormat="1" ht="18" customHeight="1">
      <c r="A557" s="1331"/>
      <c r="B557" s="605"/>
      <c r="C557" s="606"/>
      <c r="D557" s="590"/>
      <c r="E557" s="606"/>
      <c r="F557" s="607"/>
      <c r="G557" s="607"/>
      <c r="H557" s="608"/>
      <c r="I557" s="608"/>
      <c r="J557" s="1616">
        <f t="shared" si="12"/>
        <v>0</v>
      </c>
      <c r="K557" s="613"/>
      <c r="L557" s="613"/>
      <c r="M557" s="613"/>
      <c r="N557" s="617"/>
      <c r="O557" s="267"/>
    </row>
    <row r="558" spans="1:15" s="1" customFormat="1" ht="18" customHeight="1">
      <c r="A558" s="1331"/>
      <c r="B558" s="605"/>
      <c r="C558" s="606"/>
      <c r="D558" s="590"/>
      <c r="E558" s="606"/>
      <c r="F558" s="607"/>
      <c r="G558" s="607"/>
      <c r="H558" s="608"/>
      <c r="I558" s="608"/>
      <c r="J558" s="1616">
        <f t="shared" si="12"/>
        <v>0</v>
      </c>
      <c r="K558" s="613"/>
      <c r="L558" s="613"/>
      <c r="M558" s="613"/>
      <c r="N558" s="617"/>
      <c r="O558" s="267"/>
    </row>
    <row r="559" spans="1:15" s="1" customFormat="1" ht="18" customHeight="1">
      <c r="A559" s="1331"/>
      <c r="B559" s="605"/>
      <c r="C559" s="606"/>
      <c r="D559" s="590"/>
      <c r="E559" s="606"/>
      <c r="F559" s="607"/>
      <c r="G559" s="607"/>
      <c r="H559" s="608"/>
      <c r="I559" s="608"/>
      <c r="J559" s="1616">
        <f t="shared" si="12"/>
        <v>0</v>
      </c>
      <c r="K559" s="613"/>
      <c r="L559" s="613"/>
      <c r="M559" s="613"/>
      <c r="N559" s="617"/>
      <c r="O559" s="267"/>
    </row>
    <row r="560" spans="1:15" s="1" customFormat="1" ht="18" customHeight="1">
      <c r="A560" s="1331"/>
      <c r="B560" s="605"/>
      <c r="C560" s="606"/>
      <c r="D560" s="590"/>
      <c r="E560" s="606"/>
      <c r="F560" s="607"/>
      <c r="G560" s="607"/>
      <c r="H560" s="608"/>
      <c r="I560" s="608"/>
      <c r="J560" s="1616">
        <f t="shared" si="12"/>
        <v>0</v>
      </c>
      <c r="K560" s="613"/>
      <c r="L560" s="613"/>
      <c r="M560" s="613"/>
      <c r="N560" s="617"/>
      <c r="O560" s="267"/>
    </row>
    <row r="561" spans="1:15" s="1" customFormat="1" ht="18" customHeight="1">
      <c r="A561" s="1331"/>
      <c r="B561" s="605"/>
      <c r="C561" s="606"/>
      <c r="D561" s="590"/>
      <c r="E561" s="606"/>
      <c r="F561" s="607"/>
      <c r="G561" s="607"/>
      <c r="H561" s="608"/>
      <c r="I561" s="608"/>
      <c r="J561" s="1616">
        <f t="shared" si="12"/>
        <v>0</v>
      </c>
      <c r="K561" s="613"/>
      <c r="L561" s="613"/>
      <c r="M561" s="613"/>
      <c r="N561" s="617"/>
      <c r="O561" s="267"/>
    </row>
    <row r="562" spans="1:15" s="1" customFormat="1" ht="18" customHeight="1">
      <c r="A562" s="1331"/>
      <c r="B562" s="605"/>
      <c r="C562" s="606"/>
      <c r="D562" s="590"/>
      <c r="E562" s="606"/>
      <c r="F562" s="607"/>
      <c r="G562" s="607"/>
      <c r="H562" s="608"/>
      <c r="I562" s="608"/>
      <c r="J562" s="1616">
        <f t="shared" si="12"/>
        <v>0</v>
      </c>
      <c r="K562" s="613"/>
      <c r="L562" s="613"/>
      <c r="M562" s="613"/>
      <c r="N562" s="617"/>
      <c r="O562" s="267"/>
    </row>
    <row r="563" spans="1:15" s="1" customFormat="1" ht="18" customHeight="1">
      <c r="A563" s="1331"/>
      <c r="B563" s="605"/>
      <c r="C563" s="606"/>
      <c r="D563" s="590"/>
      <c r="E563" s="606"/>
      <c r="F563" s="607"/>
      <c r="G563" s="607"/>
      <c r="H563" s="608"/>
      <c r="I563" s="608"/>
      <c r="J563" s="1616">
        <f t="shared" si="12"/>
        <v>0</v>
      </c>
      <c r="K563" s="613"/>
      <c r="L563" s="613"/>
      <c r="M563" s="613"/>
      <c r="N563" s="617"/>
      <c r="O563" s="267"/>
    </row>
    <row r="564" spans="1:15" s="1" customFormat="1" ht="18" customHeight="1">
      <c r="A564" s="1331"/>
      <c r="B564" s="605"/>
      <c r="C564" s="606"/>
      <c r="D564" s="590"/>
      <c r="E564" s="606"/>
      <c r="F564" s="607"/>
      <c r="G564" s="607"/>
      <c r="H564" s="608"/>
      <c r="I564" s="608"/>
      <c r="J564" s="1616">
        <f t="shared" si="12"/>
        <v>0</v>
      </c>
      <c r="K564" s="613"/>
      <c r="L564" s="613"/>
      <c r="M564" s="613"/>
      <c r="N564" s="617"/>
      <c r="O564" s="267"/>
    </row>
    <row r="565" spans="1:15" s="1" customFormat="1" ht="18" customHeight="1">
      <c r="A565" s="1331"/>
      <c r="B565" s="605"/>
      <c r="C565" s="606"/>
      <c r="D565" s="590"/>
      <c r="E565" s="606"/>
      <c r="F565" s="607"/>
      <c r="G565" s="607"/>
      <c r="H565" s="608"/>
      <c r="I565" s="608"/>
      <c r="J565" s="1616">
        <f t="shared" si="12"/>
        <v>0</v>
      </c>
      <c r="K565" s="613"/>
      <c r="L565" s="613"/>
      <c r="M565" s="613"/>
      <c r="N565" s="617"/>
      <c r="O565" s="267"/>
    </row>
    <row r="566" spans="1:15" s="1" customFormat="1" ht="18" customHeight="1">
      <c r="A566" s="1331"/>
      <c r="B566" s="605"/>
      <c r="C566" s="606"/>
      <c r="D566" s="590"/>
      <c r="E566" s="606"/>
      <c r="F566" s="607"/>
      <c r="G566" s="607"/>
      <c r="H566" s="608"/>
      <c r="I566" s="608"/>
      <c r="J566" s="1616">
        <f t="shared" si="12"/>
        <v>0</v>
      </c>
      <c r="K566" s="613"/>
      <c r="L566" s="613"/>
      <c r="M566" s="613"/>
      <c r="N566" s="617"/>
      <c r="O566" s="267"/>
    </row>
    <row r="567" spans="1:15" s="1" customFormat="1" ht="18" customHeight="1">
      <c r="A567" s="1331"/>
      <c r="B567" s="605"/>
      <c r="C567" s="606"/>
      <c r="D567" s="590"/>
      <c r="E567" s="606"/>
      <c r="F567" s="607"/>
      <c r="G567" s="607"/>
      <c r="H567" s="608"/>
      <c r="I567" s="608"/>
      <c r="J567" s="1616">
        <f t="shared" si="12"/>
        <v>0</v>
      </c>
      <c r="K567" s="613"/>
      <c r="L567" s="613"/>
      <c r="M567" s="613"/>
      <c r="N567" s="617"/>
      <c r="O567" s="267"/>
    </row>
    <row r="568" spans="1:15" s="1" customFormat="1" ht="18" customHeight="1">
      <c r="A568" s="1331"/>
      <c r="B568" s="605"/>
      <c r="C568" s="606"/>
      <c r="D568" s="590"/>
      <c r="E568" s="606"/>
      <c r="F568" s="607"/>
      <c r="G568" s="607"/>
      <c r="H568" s="608"/>
      <c r="I568" s="608"/>
      <c r="J568" s="1616">
        <f t="shared" si="12"/>
        <v>0</v>
      </c>
      <c r="K568" s="613"/>
      <c r="L568" s="613"/>
      <c r="M568" s="613"/>
      <c r="N568" s="617"/>
      <c r="O568" s="267"/>
    </row>
    <row r="569" spans="1:15" s="1" customFormat="1" ht="18" customHeight="1">
      <c r="A569" s="1331"/>
      <c r="B569" s="605"/>
      <c r="C569" s="606"/>
      <c r="D569" s="590"/>
      <c r="E569" s="606"/>
      <c r="F569" s="607"/>
      <c r="G569" s="607"/>
      <c r="H569" s="608"/>
      <c r="I569" s="608"/>
      <c r="J569" s="1616">
        <f t="shared" si="12"/>
        <v>0</v>
      </c>
      <c r="K569" s="613"/>
      <c r="L569" s="613"/>
      <c r="M569" s="613"/>
      <c r="N569" s="617"/>
      <c r="O569" s="267"/>
    </row>
    <row r="570" spans="1:15" s="1" customFormat="1" ht="18" customHeight="1">
      <c r="A570" s="1331"/>
      <c r="B570" s="605"/>
      <c r="C570" s="606"/>
      <c r="D570" s="590"/>
      <c r="E570" s="606"/>
      <c r="F570" s="607"/>
      <c r="G570" s="607"/>
      <c r="H570" s="608"/>
      <c r="I570" s="608"/>
      <c r="J570" s="1616">
        <f t="shared" si="12"/>
        <v>0</v>
      </c>
      <c r="K570" s="613"/>
      <c r="L570" s="613"/>
      <c r="M570" s="613"/>
      <c r="N570" s="617"/>
      <c r="O570" s="267"/>
    </row>
    <row r="571" spans="1:15" s="1" customFormat="1" ht="18" customHeight="1">
      <c r="A571" s="1331"/>
      <c r="B571" s="605"/>
      <c r="C571" s="606"/>
      <c r="D571" s="590"/>
      <c r="E571" s="606"/>
      <c r="F571" s="607"/>
      <c r="G571" s="607"/>
      <c r="H571" s="608"/>
      <c r="I571" s="608"/>
      <c r="J571" s="1616">
        <f t="shared" si="12"/>
        <v>0</v>
      </c>
      <c r="K571" s="613"/>
      <c r="L571" s="613"/>
      <c r="M571" s="613"/>
      <c r="N571" s="617"/>
      <c r="O571" s="267"/>
    </row>
    <row r="572" spans="1:15" s="1" customFormat="1" ht="18" customHeight="1">
      <c r="A572" s="1331"/>
      <c r="B572" s="605"/>
      <c r="C572" s="606"/>
      <c r="D572" s="590"/>
      <c r="E572" s="606"/>
      <c r="F572" s="607"/>
      <c r="G572" s="607"/>
      <c r="H572" s="608"/>
      <c r="I572" s="608"/>
      <c r="J572" s="1616">
        <f t="shared" si="12"/>
        <v>0</v>
      </c>
      <c r="K572" s="613"/>
      <c r="L572" s="613"/>
      <c r="M572" s="613"/>
      <c r="N572" s="617"/>
      <c r="O572" s="267"/>
    </row>
    <row r="573" spans="1:15" s="1" customFormat="1" ht="18" customHeight="1">
      <c r="A573" s="1331"/>
      <c r="B573" s="605"/>
      <c r="C573" s="606"/>
      <c r="D573" s="590"/>
      <c r="E573" s="606"/>
      <c r="F573" s="607"/>
      <c r="G573" s="607"/>
      <c r="H573" s="608"/>
      <c r="I573" s="608"/>
      <c r="J573" s="1616">
        <f t="shared" si="12"/>
        <v>0</v>
      </c>
      <c r="K573" s="613"/>
      <c r="L573" s="613"/>
      <c r="M573" s="613"/>
      <c r="N573" s="617"/>
      <c r="O573" s="267"/>
    </row>
    <row r="574" spans="1:15" s="1" customFormat="1" ht="18" customHeight="1">
      <c r="A574" s="1331"/>
      <c r="B574" s="605"/>
      <c r="C574" s="606"/>
      <c r="D574" s="590"/>
      <c r="E574" s="606"/>
      <c r="F574" s="607"/>
      <c r="G574" s="607"/>
      <c r="H574" s="608"/>
      <c r="I574" s="608"/>
      <c r="J574" s="1616">
        <f t="shared" si="12"/>
        <v>0</v>
      </c>
      <c r="K574" s="613"/>
      <c r="L574" s="613"/>
      <c r="M574" s="613"/>
      <c r="N574" s="617"/>
      <c r="O574" s="267"/>
    </row>
    <row r="575" spans="1:15" s="1" customFormat="1" ht="18" customHeight="1">
      <c r="A575" s="1331"/>
      <c r="B575" s="605"/>
      <c r="C575" s="606"/>
      <c r="D575" s="590"/>
      <c r="E575" s="606"/>
      <c r="F575" s="607"/>
      <c r="G575" s="607"/>
      <c r="H575" s="608"/>
      <c r="I575" s="608"/>
      <c r="J575" s="1616">
        <f t="shared" si="12"/>
        <v>0</v>
      </c>
      <c r="K575" s="613"/>
      <c r="L575" s="613"/>
      <c r="M575" s="613"/>
      <c r="N575" s="617"/>
      <c r="O575" s="267"/>
    </row>
    <row r="576" spans="1:15" s="1" customFormat="1" ht="18" customHeight="1">
      <c r="A576" s="1331"/>
      <c r="B576" s="605"/>
      <c r="C576" s="606"/>
      <c r="D576" s="590"/>
      <c r="E576" s="606"/>
      <c r="F576" s="607"/>
      <c r="G576" s="607"/>
      <c r="H576" s="608"/>
      <c r="I576" s="608"/>
      <c r="J576" s="1616">
        <f t="shared" si="12"/>
        <v>0</v>
      </c>
      <c r="K576" s="613"/>
      <c r="L576" s="613"/>
      <c r="M576" s="613"/>
      <c r="N576" s="617"/>
      <c r="O576" s="267"/>
    </row>
    <row r="577" spans="1:15" s="1" customFormat="1" ht="18" customHeight="1">
      <c r="A577" s="1331"/>
      <c r="B577" s="605"/>
      <c r="C577" s="606"/>
      <c r="D577" s="590"/>
      <c r="E577" s="606"/>
      <c r="F577" s="607"/>
      <c r="G577" s="607"/>
      <c r="H577" s="608"/>
      <c r="I577" s="608"/>
      <c r="J577" s="1616">
        <f t="shared" si="12"/>
        <v>0</v>
      </c>
      <c r="K577" s="613"/>
      <c r="L577" s="613"/>
      <c r="M577" s="613"/>
      <c r="N577" s="617"/>
      <c r="O577" s="267"/>
    </row>
    <row r="578" spans="1:15" s="1" customFormat="1" ht="18" customHeight="1">
      <c r="A578" s="1331"/>
      <c r="B578" s="605"/>
      <c r="C578" s="606"/>
      <c r="D578" s="590"/>
      <c r="E578" s="606"/>
      <c r="F578" s="607"/>
      <c r="G578" s="607"/>
      <c r="H578" s="608"/>
      <c r="I578" s="608"/>
      <c r="J578" s="1616">
        <f t="shared" si="12"/>
        <v>0</v>
      </c>
      <c r="K578" s="613"/>
      <c r="L578" s="613"/>
      <c r="M578" s="613"/>
      <c r="N578" s="617"/>
      <c r="O578" s="267"/>
    </row>
    <row r="579" spans="1:15" s="1" customFormat="1" ht="18" customHeight="1">
      <c r="A579" s="1331"/>
      <c r="B579" s="605"/>
      <c r="C579" s="606"/>
      <c r="D579" s="590"/>
      <c r="E579" s="606"/>
      <c r="F579" s="607"/>
      <c r="G579" s="607"/>
      <c r="H579" s="608"/>
      <c r="I579" s="608"/>
      <c r="J579" s="1616">
        <f t="shared" si="12"/>
        <v>0</v>
      </c>
      <c r="K579" s="613"/>
      <c r="L579" s="613"/>
      <c r="M579" s="613"/>
      <c r="N579" s="617"/>
      <c r="O579" s="267"/>
    </row>
    <row r="580" spans="1:15" s="1" customFormat="1" ht="18" customHeight="1">
      <c r="A580" s="1331"/>
      <c r="B580" s="605"/>
      <c r="C580" s="606"/>
      <c r="D580" s="590"/>
      <c r="E580" s="606"/>
      <c r="F580" s="607"/>
      <c r="G580" s="607"/>
      <c r="H580" s="608"/>
      <c r="I580" s="608"/>
      <c r="J580" s="1616">
        <f t="shared" si="12"/>
        <v>0</v>
      </c>
      <c r="K580" s="613"/>
      <c r="L580" s="613"/>
      <c r="M580" s="613"/>
      <c r="N580" s="617"/>
      <c r="O580" s="267"/>
    </row>
    <row r="581" spans="1:15" s="1" customFormat="1" ht="18" customHeight="1">
      <c r="A581" s="1331"/>
      <c r="B581" s="605"/>
      <c r="C581" s="606"/>
      <c r="D581" s="590"/>
      <c r="E581" s="606"/>
      <c r="F581" s="607"/>
      <c r="G581" s="607"/>
      <c r="H581" s="608"/>
      <c r="I581" s="608"/>
      <c r="J581" s="1616">
        <f t="shared" si="12"/>
        <v>0</v>
      </c>
      <c r="K581" s="613"/>
      <c r="L581" s="613"/>
      <c r="M581" s="613"/>
      <c r="N581" s="617"/>
      <c r="O581" s="267"/>
    </row>
    <row r="582" spans="1:15" s="1" customFormat="1" ht="18" customHeight="1">
      <c r="A582" s="1331"/>
      <c r="B582" s="605"/>
      <c r="C582" s="606"/>
      <c r="D582" s="590"/>
      <c r="E582" s="606"/>
      <c r="F582" s="607"/>
      <c r="G582" s="607"/>
      <c r="H582" s="608"/>
      <c r="I582" s="608"/>
      <c r="J582" s="1616">
        <f t="shared" si="12"/>
        <v>0</v>
      </c>
      <c r="K582" s="613"/>
      <c r="L582" s="613"/>
      <c r="M582" s="613"/>
      <c r="N582" s="617"/>
      <c r="O582" s="267"/>
    </row>
    <row r="583" spans="1:15" s="1" customFormat="1" ht="18" customHeight="1">
      <c r="A583" s="1331"/>
      <c r="B583" s="605"/>
      <c r="C583" s="606"/>
      <c r="D583" s="590"/>
      <c r="E583" s="606"/>
      <c r="F583" s="607"/>
      <c r="G583" s="607"/>
      <c r="H583" s="608"/>
      <c r="I583" s="608"/>
      <c r="J583" s="1616">
        <f t="shared" si="12"/>
        <v>0</v>
      </c>
      <c r="K583" s="613"/>
      <c r="L583" s="613"/>
      <c r="M583" s="613"/>
      <c r="N583" s="617"/>
      <c r="O583" s="267"/>
    </row>
    <row r="584" spans="1:15" s="1" customFormat="1" ht="18" customHeight="1">
      <c r="A584" s="1331"/>
      <c r="B584" s="605"/>
      <c r="C584" s="606"/>
      <c r="D584" s="590"/>
      <c r="E584" s="606"/>
      <c r="F584" s="607"/>
      <c r="G584" s="607"/>
      <c r="H584" s="608"/>
      <c r="I584" s="608"/>
      <c r="J584" s="1616">
        <f t="shared" si="12"/>
        <v>0</v>
      </c>
      <c r="K584" s="613"/>
      <c r="L584" s="613"/>
      <c r="M584" s="613"/>
      <c r="N584" s="617"/>
      <c r="O584" s="267"/>
    </row>
    <row r="585" spans="1:15" s="1" customFormat="1" ht="18" customHeight="1">
      <c r="A585" s="1331"/>
      <c r="B585" s="605"/>
      <c r="C585" s="606"/>
      <c r="D585" s="590"/>
      <c r="E585" s="606"/>
      <c r="F585" s="607"/>
      <c r="G585" s="607"/>
      <c r="H585" s="608"/>
      <c r="I585" s="608"/>
      <c r="J585" s="1616">
        <f t="shared" si="12"/>
        <v>0</v>
      </c>
      <c r="K585" s="613"/>
      <c r="L585" s="613"/>
      <c r="M585" s="613"/>
      <c r="N585" s="617"/>
      <c r="O585" s="267"/>
    </row>
    <row r="586" spans="1:15" s="1" customFormat="1" ht="18" customHeight="1">
      <c r="A586" s="1331"/>
      <c r="B586" s="605"/>
      <c r="C586" s="606"/>
      <c r="D586" s="590"/>
      <c r="E586" s="606"/>
      <c r="F586" s="607"/>
      <c r="G586" s="607"/>
      <c r="H586" s="608"/>
      <c r="I586" s="608"/>
      <c r="J586" s="1616">
        <f t="shared" si="12"/>
        <v>0</v>
      </c>
      <c r="K586" s="613"/>
      <c r="L586" s="613"/>
      <c r="M586" s="613"/>
      <c r="N586" s="617"/>
      <c r="O586" s="267"/>
    </row>
    <row r="587" spans="1:15" s="1" customFormat="1" ht="18" customHeight="1">
      <c r="A587" s="1331"/>
      <c r="B587" s="605"/>
      <c r="C587" s="606"/>
      <c r="D587" s="590"/>
      <c r="E587" s="606"/>
      <c r="F587" s="607"/>
      <c r="G587" s="607"/>
      <c r="H587" s="608"/>
      <c r="I587" s="608"/>
      <c r="J587" s="1616">
        <f t="shared" si="12"/>
        <v>0</v>
      </c>
      <c r="K587" s="613"/>
      <c r="L587" s="613"/>
      <c r="M587" s="613"/>
      <c r="N587" s="617"/>
      <c r="O587" s="267"/>
    </row>
    <row r="588" spans="1:15" s="1" customFormat="1" ht="18" customHeight="1">
      <c r="A588" s="1331"/>
      <c r="B588" s="605"/>
      <c r="C588" s="606"/>
      <c r="D588" s="590"/>
      <c r="E588" s="606"/>
      <c r="F588" s="607"/>
      <c r="G588" s="607"/>
      <c r="H588" s="608"/>
      <c r="I588" s="608"/>
      <c r="J588" s="1616">
        <f t="shared" si="12"/>
        <v>0</v>
      </c>
      <c r="K588" s="613"/>
      <c r="L588" s="613"/>
      <c r="M588" s="613"/>
      <c r="N588" s="617"/>
      <c r="O588" s="267"/>
    </row>
    <row r="589" spans="1:15" s="1" customFormat="1" ht="18" customHeight="1">
      <c r="A589" s="1331"/>
      <c r="B589" s="605"/>
      <c r="C589" s="606"/>
      <c r="D589" s="590"/>
      <c r="E589" s="606"/>
      <c r="F589" s="607"/>
      <c r="G589" s="607"/>
      <c r="H589" s="608"/>
      <c r="I589" s="608"/>
      <c r="J589" s="1616">
        <f t="shared" si="12"/>
        <v>0</v>
      </c>
      <c r="K589" s="613"/>
      <c r="L589" s="613"/>
      <c r="M589" s="613"/>
      <c r="N589" s="617"/>
      <c r="O589" s="267"/>
    </row>
    <row r="590" spans="1:15" s="1" customFormat="1" ht="18" customHeight="1">
      <c r="A590" s="1331"/>
      <c r="B590" s="605"/>
      <c r="C590" s="606"/>
      <c r="D590" s="590"/>
      <c r="E590" s="606"/>
      <c r="F590" s="607"/>
      <c r="G590" s="607"/>
      <c r="H590" s="608"/>
      <c r="I590" s="608"/>
      <c r="J590" s="1616">
        <f t="shared" si="12"/>
        <v>0</v>
      </c>
      <c r="K590" s="613"/>
      <c r="L590" s="613"/>
      <c r="M590" s="613"/>
      <c r="N590" s="617"/>
      <c r="O590" s="267"/>
    </row>
    <row r="591" spans="1:15" s="1" customFormat="1" ht="18" customHeight="1">
      <c r="A591" s="1331"/>
      <c r="B591" s="605"/>
      <c r="C591" s="606"/>
      <c r="D591" s="590"/>
      <c r="E591" s="606"/>
      <c r="F591" s="607"/>
      <c r="G591" s="607"/>
      <c r="H591" s="608"/>
      <c r="I591" s="608"/>
      <c r="J591" s="1616">
        <f t="shared" si="12"/>
        <v>0</v>
      </c>
      <c r="K591" s="613"/>
      <c r="L591" s="613"/>
      <c r="M591" s="613"/>
      <c r="N591" s="617"/>
      <c r="O591" s="267"/>
    </row>
    <row r="592" spans="1:15" s="1" customFormat="1" ht="18" customHeight="1">
      <c r="A592" s="1331"/>
      <c r="B592" s="605"/>
      <c r="C592" s="606"/>
      <c r="D592" s="590"/>
      <c r="E592" s="606"/>
      <c r="F592" s="607"/>
      <c r="G592" s="607"/>
      <c r="H592" s="608"/>
      <c r="I592" s="608"/>
      <c r="J592" s="1616">
        <f t="shared" si="12"/>
        <v>0</v>
      </c>
      <c r="K592" s="613"/>
      <c r="L592" s="613"/>
      <c r="M592" s="613"/>
      <c r="N592" s="617"/>
      <c r="O592" s="267"/>
    </row>
    <row r="593" spans="1:15" s="1" customFormat="1" ht="18" customHeight="1">
      <c r="A593" s="1331"/>
      <c r="B593" s="605"/>
      <c r="C593" s="606"/>
      <c r="D593" s="590"/>
      <c r="E593" s="606"/>
      <c r="F593" s="607"/>
      <c r="G593" s="607"/>
      <c r="H593" s="608"/>
      <c r="I593" s="608"/>
      <c r="J593" s="1616">
        <f t="shared" si="12"/>
        <v>0</v>
      </c>
      <c r="K593" s="613"/>
      <c r="L593" s="613"/>
      <c r="M593" s="613"/>
      <c r="N593" s="617"/>
      <c r="O593" s="267"/>
    </row>
    <row r="594" spans="1:15" s="1" customFormat="1" ht="18" customHeight="1">
      <c r="A594" s="1331"/>
      <c r="B594" s="605"/>
      <c r="C594" s="606"/>
      <c r="D594" s="590"/>
      <c r="E594" s="606"/>
      <c r="F594" s="607"/>
      <c r="G594" s="607"/>
      <c r="H594" s="608"/>
      <c r="I594" s="608"/>
      <c r="J594" s="1616">
        <f t="shared" si="12"/>
        <v>0</v>
      </c>
      <c r="K594" s="613"/>
      <c r="L594" s="613"/>
      <c r="M594" s="613"/>
      <c r="N594" s="617"/>
      <c r="O594" s="267"/>
    </row>
    <row r="595" spans="1:15" s="1" customFormat="1" ht="18" customHeight="1">
      <c r="A595" s="1331"/>
      <c r="B595" s="605"/>
      <c r="C595" s="606"/>
      <c r="D595" s="590"/>
      <c r="E595" s="606"/>
      <c r="F595" s="607"/>
      <c r="G595" s="607"/>
      <c r="H595" s="608"/>
      <c r="I595" s="608"/>
      <c r="J595" s="1616">
        <f t="shared" si="12"/>
        <v>0</v>
      </c>
      <c r="K595" s="613"/>
      <c r="L595" s="613"/>
      <c r="M595" s="613"/>
      <c r="N595" s="617"/>
      <c r="O595" s="267"/>
    </row>
    <row r="596" spans="1:15" s="1" customFormat="1" ht="18" customHeight="1">
      <c r="A596" s="1331"/>
      <c r="B596" s="605"/>
      <c r="C596" s="606"/>
      <c r="D596" s="590"/>
      <c r="E596" s="606"/>
      <c r="F596" s="607"/>
      <c r="G596" s="607"/>
      <c r="H596" s="608"/>
      <c r="I596" s="608"/>
      <c r="J596" s="1616">
        <f t="shared" si="12"/>
        <v>0</v>
      </c>
      <c r="K596" s="613"/>
      <c r="L596" s="613"/>
      <c r="M596" s="613"/>
      <c r="N596" s="617"/>
      <c r="O596" s="267"/>
    </row>
    <row r="597" spans="1:15" s="1" customFormat="1" ht="18" customHeight="1">
      <c r="A597" s="1331"/>
      <c r="B597" s="605"/>
      <c r="C597" s="606"/>
      <c r="D597" s="590"/>
      <c r="E597" s="606"/>
      <c r="F597" s="607"/>
      <c r="G597" s="607"/>
      <c r="H597" s="608"/>
      <c r="I597" s="608"/>
      <c r="J597" s="1616">
        <f t="shared" si="12"/>
        <v>0</v>
      </c>
      <c r="K597" s="613"/>
      <c r="L597" s="613"/>
      <c r="M597" s="613"/>
      <c r="N597" s="617"/>
      <c r="O597" s="267"/>
    </row>
    <row r="598" spans="1:15" s="1" customFormat="1" ht="18" customHeight="1">
      <c r="A598" s="1331"/>
      <c r="B598" s="605"/>
      <c r="C598" s="606"/>
      <c r="D598" s="590"/>
      <c r="E598" s="606"/>
      <c r="F598" s="607"/>
      <c r="G598" s="607"/>
      <c r="H598" s="608"/>
      <c r="I598" s="608"/>
      <c r="J598" s="1616">
        <f t="shared" si="12"/>
        <v>0</v>
      </c>
      <c r="K598" s="613"/>
      <c r="L598" s="613"/>
      <c r="M598" s="613"/>
      <c r="N598" s="617"/>
      <c r="O598" s="267"/>
    </row>
    <row r="599" spans="1:15" s="1" customFormat="1" ht="18" customHeight="1">
      <c r="A599" s="1331"/>
      <c r="B599" s="605"/>
      <c r="C599" s="606"/>
      <c r="D599" s="590"/>
      <c r="E599" s="606"/>
      <c r="F599" s="607"/>
      <c r="G599" s="607"/>
      <c r="H599" s="608"/>
      <c r="I599" s="608"/>
      <c r="J599" s="1616">
        <f t="shared" si="12"/>
        <v>0</v>
      </c>
      <c r="K599" s="613"/>
      <c r="L599" s="613"/>
      <c r="M599" s="613"/>
      <c r="N599" s="617"/>
      <c r="O599" s="267"/>
    </row>
    <row r="600" spans="1:15" s="1" customFormat="1" ht="18" customHeight="1">
      <c r="A600" s="1331"/>
      <c r="B600" s="605"/>
      <c r="C600" s="606"/>
      <c r="D600" s="590"/>
      <c r="E600" s="606"/>
      <c r="F600" s="607"/>
      <c r="G600" s="607"/>
      <c r="H600" s="608"/>
      <c r="I600" s="608"/>
      <c r="J600" s="1616">
        <f t="shared" si="12"/>
        <v>0</v>
      </c>
      <c r="K600" s="613"/>
      <c r="L600" s="613"/>
      <c r="M600" s="613"/>
      <c r="N600" s="617"/>
      <c r="O600" s="267"/>
    </row>
    <row r="601" spans="1:15" s="1" customFormat="1" ht="18" customHeight="1">
      <c r="A601" s="1331"/>
      <c r="B601" s="605"/>
      <c r="C601" s="606"/>
      <c r="D601" s="590"/>
      <c r="E601" s="606"/>
      <c r="F601" s="607"/>
      <c r="G601" s="607"/>
      <c r="H601" s="608"/>
      <c r="I601" s="608"/>
      <c r="J601" s="1616">
        <f t="shared" si="12"/>
        <v>0</v>
      </c>
      <c r="K601" s="613"/>
      <c r="L601" s="613"/>
      <c r="M601" s="613"/>
      <c r="N601" s="617"/>
      <c r="O601" s="267"/>
    </row>
    <row r="602" spans="1:15" s="1" customFormat="1" ht="18" customHeight="1">
      <c r="A602" s="1331"/>
      <c r="B602" s="605"/>
      <c r="C602" s="606"/>
      <c r="D602" s="590"/>
      <c r="E602" s="606"/>
      <c r="F602" s="607"/>
      <c r="G602" s="607"/>
      <c r="H602" s="608"/>
      <c r="I602" s="608"/>
      <c r="J602" s="1616">
        <f t="shared" si="12"/>
        <v>0</v>
      </c>
      <c r="K602" s="613"/>
      <c r="L602" s="613"/>
      <c r="M602" s="613"/>
      <c r="N602" s="617"/>
      <c r="O602" s="267"/>
    </row>
    <row r="603" spans="1:15" s="1" customFormat="1" ht="18" customHeight="1">
      <c r="A603" s="1331"/>
      <c r="B603" s="605"/>
      <c r="C603" s="606"/>
      <c r="D603" s="590"/>
      <c r="E603" s="606"/>
      <c r="F603" s="607"/>
      <c r="G603" s="607"/>
      <c r="H603" s="608"/>
      <c r="I603" s="608"/>
      <c r="J603" s="1616">
        <f t="shared" si="12"/>
        <v>0</v>
      </c>
      <c r="K603" s="613"/>
      <c r="L603" s="613"/>
      <c r="M603" s="613"/>
      <c r="N603" s="617"/>
      <c r="O603" s="267"/>
    </row>
    <row r="604" spans="1:15" s="1" customFormat="1" ht="18" customHeight="1">
      <c r="A604" s="1331"/>
      <c r="B604" s="605"/>
      <c r="C604" s="606"/>
      <c r="D604" s="590"/>
      <c r="E604" s="606"/>
      <c r="F604" s="607"/>
      <c r="G604" s="607"/>
      <c r="H604" s="608"/>
      <c r="I604" s="608"/>
      <c r="J604" s="1616">
        <f t="shared" si="12"/>
        <v>0</v>
      </c>
      <c r="K604" s="613"/>
      <c r="L604" s="613"/>
      <c r="M604" s="613"/>
      <c r="N604" s="617"/>
      <c r="O604" s="267"/>
    </row>
    <row r="605" spans="1:15" s="1" customFormat="1" ht="18" customHeight="1">
      <c r="A605" s="1331"/>
      <c r="B605" s="605"/>
      <c r="C605" s="606"/>
      <c r="D605" s="590"/>
      <c r="E605" s="606"/>
      <c r="F605" s="607"/>
      <c r="G605" s="607"/>
      <c r="H605" s="608"/>
      <c r="I605" s="608"/>
      <c r="J605" s="1616">
        <f t="shared" si="12"/>
        <v>0</v>
      </c>
      <c r="K605" s="613"/>
      <c r="L605" s="613"/>
      <c r="M605" s="613"/>
      <c r="N605" s="617"/>
      <c r="O605" s="267"/>
    </row>
    <row r="606" spans="1:15" s="1" customFormat="1" ht="18" customHeight="1">
      <c r="A606" s="1331"/>
      <c r="B606" s="605"/>
      <c r="C606" s="606"/>
      <c r="D606" s="590"/>
      <c r="E606" s="606"/>
      <c r="F606" s="607"/>
      <c r="G606" s="607"/>
      <c r="H606" s="608"/>
      <c r="I606" s="608"/>
      <c r="J606" s="1616">
        <f t="shared" si="12"/>
        <v>0</v>
      </c>
      <c r="K606" s="613"/>
      <c r="L606" s="613"/>
      <c r="M606" s="613"/>
      <c r="N606" s="617"/>
      <c r="O606" s="267"/>
    </row>
    <row r="607" spans="1:15" s="1" customFormat="1" ht="18" customHeight="1">
      <c r="A607" s="1331"/>
      <c r="B607" s="605"/>
      <c r="C607" s="606"/>
      <c r="D607" s="590"/>
      <c r="E607" s="606"/>
      <c r="F607" s="607"/>
      <c r="G607" s="607"/>
      <c r="H607" s="608"/>
      <c r="I607" s="608"/>
      <c r="J607" s="1616">
        <f t="shared" si="12"/>
        <v>0</v>
      </c>
      <c r="K607" s="613"/>
      <c r="L607" s="613"/>
      <c r="M607" s="613"/>
      <c r="N607" s="617"/>
      <c r="O607" s="267"/>
    </row>
    <row r="608" spans="1:15" s="1" customFormat="1" ht="18" customHeight="1">
      <c r="A608" s="1331"/>
      <c r="B608" s="605"/>
      <c r="C608" s="606"/>
      <c r="D608" s="590"/>
      <c r="E608" s="606"/>
      <c r="F608" s="607"/>
      <c r="G608" s="607"/>
      <c r="H608" s="608"/>
      <c r="I608" s="608"/>
      <c r="J608" s="1616">
        <f t="shared" si="12"/>
        <v>0</v>
      </c>
      <c r="K608" s="613"/>
      <c r="L608" s="613"/>
      <c r="M608" s="613"/>
      <c r="N608" s="617"/>
      <c r="O608" s="267"/>
    </row>
    <row r="609" spans="1:15" s="1" customFormat="1" ht="18" customHeight="1">
      <c r="A609" s="1331"/>
      <c r="B609" s="605"/>
      <c r="C609" s="606"/>
      <c r="D609" s="590"/>
      <c r="E609" s="606"/>
      <c r="F609" s="607"/>
      <c r="G609" s="607"/>
      <c r="H609" s="608"/>
      <c r="I609" s="608"/>
      <c r="J609" s="1616">
        <f t="shared" si="12"/>
        <v>0</v>
      </c>
      <c r="K609" s="613"/>
      <c r="L609" s="613"/>
      <c r="M609" s="613"/>
      <c r="N609" s="617"/>
      <c r="O609" s="267"/>
    </row>
    <row r="610" spans="1:15" s="1" customFormat="1" ht="18" customHeight="1">
      <c r="A610" s="1331"/>
      <c r="B610" s="605"/>
      <c r="C610" s="606"/>
      <c r="D610" s="590"/>
      <c r="E610" s="606"/>
      <c r="F610" s="607"/>
      <c r="G610" s="607"/>
      <c r="H610" s="608"/>
      <c r="I610" s="608"/>
      <c r="J610" s="1616">
        <f t="shared" si="12"/>
        <v>0</v>
      </c>
      <c r="K610" s="613"/>
      <c r="L610" s="613"/>
      <c r="M610" s="613"/>
      <c r="N610" s="617"/>
      <c r="O610" s="267"/>
    </row>
    <row r="611" spans="1:15" s="1" customFormat="1" ht="18" customHeight="1">
      <c r="A611" s="1331"/>
      <c r="B611" s="605"/>
      <c r="C611" s="606"/>
      <c r="D611" s="590"/>
      <c r="E611" s="606"/>
      <c r="F611" s="607"/>
      <c r="G611" s="607"/>
      <c r="H611" s="608"/>
      <c r="I611" s="608"/>
      <c r="J611" s="1616">
        <f t="shared" ref="J611:J674" si="13">G611*I611</f>
        <v>0</v>
      </c>
      <c r="K611" s="613"/>
      <c r="L611" s="613"/>
      <c r="M611" s="613"/>
      <c r="N611" s="617"/>
      <c r="O611" s="267"/>
    </row>
    <row r="612" spans="1:15" s="1" customFormat="1" ht="18" customHeight="1">
      <c r="A612" s="1331"/>
      <c r="B612" s="605"/>
      <c r="C612" s="606"/>
      <c r="D612" s="590"/>
      <c r="E612" s="606"/>
      <c r="F612" s="607"/>
      <c r="G612" s="607"/>
      <c r="H612" s="608"/>
      <c r="I612" s="608"/>
      <c r="J612" s="1616">
        <f t="shared" si="13"/>
        <v>0</v>
      </c>
      <c r="K612" s="613"/>
      <c r="L612" s="613"/>
      <c r="M612" s="613"/>
      <c r="N612" s="617"/>
      <c r="O612" s="267"/>
    </row>
    <row r="613" spans="1:15" s="1" customFormat="1" ht="18" customHeight="1">
      <c r="A613" s="1331"/>
      <c r="B613" s="605"/>
      <c r="C613" s="606"/>
      <c r="D613" s="590"/>
      <c r="E613" s="606"/>
      <c r="F613" s="607"/>
      <c r="G613" s="607"/>
      <c r="H613" s="608"/>
      <c r="I613" s="608"/>
      <c r="J613" s="1616">
        <f t="shared" si="13"/>
        <v>0</v>
      </c>
      <c r="K613" s="613"/>
      <c r="L613" s="613"/>
      <c r="M613" s="613"/>
      <c r="N613" s="617"/>
      <c r="O613" s="267"/>
    </row>
    <row r="614" spans="1:15" s="1" customFormat="1" ht="18" customHeight="1">
      <c r="A614" s="1331"/>
      <c r="B614" s="605"/>
      <c r="C614" s="606"/>
      <c r="D614" s="590"/>
      <c r="E614" s="606"/>
      <c r="F614" s="607"/>
      <c r="G614" s="607"/>
      <c r="H614" s="608"/>
      <c r="I614" s="608"/>
      <c r="J614" s="1616">
        <f t="shared" si="13"/>
        <v>0</v>
      </c>
      <c r="K614" s="613"/>
      <c r="L614" s="613"/>
      <c r="M614" s="613"/>
      <c r="N614" s="617"/>
      <c r="O614" s="267"/>
    </row>
    <row r="615" spans="1:15" s="1" customFormat="1" ht="18" customHeight="1">
      <c r="A615" s="1331"/>
      <c r="B615" s="605"/>
      <c r="C615" s="606"/>
      <c r="D615" s="590"/>
      <c r="E615" s="606"/>
      <c r="F615" s="607"/>
      <c r="G615" s="607"/>
      <c r="H615" s="608"/>
      <c r="I615" s="608"/>
      <c r="J615" s="1616">
        <f t="shared" si="13"/>
        <v>0</v>
      </c>
      <c r="K615" s="613"/>
      <c r="L615" s="613"/>
      <c r="M615" s="613"/>
      <c r="N615" s="617"/>
      <c r="O615" s="267"/>
    </row>
    <row r="616" spans="1:15" s="1" customFormat="1" ht="18" customHeight="1">
      <c r="A616" s="1331"/>
      <c r="B616" s="605"/>
      <c r="C616" s="606"/>
      <c r="D616" s="590"/>
      <c r="E616" s="606"/>
      <c r="F616" s="607"/>
      <c r="G616" s="607"/>
      <c r="H616" s="608"/>
      <c r="I616" s="608"/>
      <c r="J616" s="1616">
        <f t="shared" si="13"/>
        <v>0</v>
      </c>
      <c r="K616" s="613"/>
      <c r="L616" s="613"/>
      <c r="M616" s="613"/>
      <c r="N616" s="617"/>
      <c r="O616" s="267"/>
    </row>
    <row r="617" spans="1:15" s="1" customFormat="1" ht="18" customHeight="1">
      <c r="A617" s="1331"/>
      <c r="B617" s="605"/>
      <c r="C617" s="606"/>
      <c r="D617" s="590"/>
      <c r="E617" s="606"/>
      <c r="F617" s="607"/>
      <c r="G617" s="607"/>
      <c r="H617" s="608"/>
      <c r="I617" s="608"/>
      <c r="J617" s="1616">
        <f t="shared" si="13"/>
        <v>0</v>
      </c>
      <c r="K617" s="613"/>
      <c r="L617" s="613"/>
      <c r="M617" s="613"/>
      <c r="N617" s="617"/>
      <c r="O617" s="267"/>
    </row>
    <row r="618" spans="1:15" s="1" customFormat="1" ht="18" customHeight="1">
      <c r="A618" s="1331"/>
      <c r="B618" s="605"/>
      <c r="C618" s="606"/>
      <c r="D618" s="590"/>
      <c r="E618" s="606"/>
      <c r="F618" s="607"/>
      <c r="G618" s="607"/>
      <c r="H618" s="608"/>
      <c r="I618" s="608"/>
      <c r="J618" s="1616">
        <f t="shared" si="13"/>
        <v>0</v>
      </c>
      <c r="K618" s="613"/>
      <c r="L618" s="613"/>
      <c r="M618" s="613"/>
      <c r="N618" s="617"/>
      <c r="O618" s="267"/>
    </row>
    <row r="619" spans="1:15" s="1" customFormat="1" ht="18" customHeight="1">
      <c r="A619" s="1331"/>
      <c r="B619" s="605"/>
      <c r="C619" s="606"/>
      <c r="D619" s="590"/>
      <c r="E619" s="606"/>
      <c r="F619" s="607"/>
      <c r="G619" s="607"/>
      <c r="H619" s="608"/>
      <c r="I619" s="608"/>
      <c r="J619" s="1616">
        <f t="shared" si="13"/>
        <v>0</v>
      </c>
      <c r="K619" s="613"/>
      <c r="L619" s="613"/>
      <c r="M619" s="613"/>
      <c r="N619" s="617"/>
      <c r="O619" s="267"/>
    </row>
    <row r="620" spans="1:15" s="1" customFormat="1" ht="18" customHeight="1">
      <c r="A620" s="1331"/>
      <c r="B620" s="605"/>
      <c r="C620" s="606"/>
      <c r="D620" s="590"/>
      <c r="E620" s="606"/>
      <c r="F620" s="607"/>
      <c r="G620" s="607"/>
      <c r="H620" s="608"/>
      <c r="I620" s="608"/>
      <c r="J620" s="1616">
        <f t="shared" si="13"/>
        <v>0</v>
      </c>
      <c r="K620" s="613"/>
      <c r="L620" s="613"/>
      <c r="M620" s="613"/>
      <c r="N620" s="617"/>
      <c r="O620" s="267"/>
    </row>
    <row r="621" spans="1:15" s="1" customFormat="1" ht="18" customHeight="1">
      <c r="A621" s="1331"/>
      <c r="B621" s="605"/>
      <c r="C621" s="606"/>
      <c r="D621" s="590"/>
      <c r="E621" s="606"/>
      <c r="F621" s="607"/>
      <c r="G621" s="607"/>
      <c r="H621" s="608"/>
      <c r="I621" s="608"/>
      <c r="J621" s="1616">
        <f t="shared" si="13"/>
        <v>0</v>
      </c>
      <c r="K621" s="613"/>
      <c r="L621" s="613"/>
      <c r="M621" s="613"/>
      <c r="N621" s="617"/>
      <c r="O621" s="267"/>
    </row>
    <row r="622" spans="1:15" s="1" customFormat="1" ht="18" customHeight="1">
      <c r="A622" s="1331"/>
      <c r="B622" s="605"/>
      <c r="C622" s="606"/>
      <c r="D622" s="590"/>
      <c r="E622" s="606"/>
      <c r="F622" s="607"/>
      <c r="G622" s="607"/>
      <c r="H622" s="608"/>
      <c r="I622" s="608"/>
      <c r="J622" s="1616">
        <f t="shared" si="13"/>
        <v>0</v>
      </c>
      <c r="K622" s="613"/>
      <c r="L622" s="613"/>
      <c r="M622" s="613"/>
      <c r="N622" s="617"/>
      <c r="O622" s="267"/>
    </row>
    <row r="623" spans="1:15" s="1" customFormat="1" ht="18" customHeight="1">
      <c r="A623" s="1331"/>
      <c r="B623" s="605"/>
      <c r="C623" s="606"/>
      <c r="D623" s="590"/>
      <c r="E623" s="606"/>
      <c r="F623" s="607"/>
      <c r="G623" s="607"/>
      <c r="H623" s="608"/>
      <c r="I623" s="608"/>
      <c r="J623" s="1616">
        <f t="shared" si="13"/>
        <v>0</v>
      </c>
      <c r="K623" s="613"/>
      <c r="L623" s="613"/>
      <c r="M623" s="613"/>
      <c r="N623" s="617"/>
      <c r="O623" s="267"/>
    </row>
    <row r="624" spans="1:15" s="1" customFormat="1" ht="18" customHeight="1">
      <c r="A624" s="1331"/>
      <c r="B624" s="605"/>
      <c r="C624" s="606"/>
      <c r="D624" s="590"/>
      <c r="E624" s="606"/>
      <c r="F624" s="607"/>
      <c r="G624" s="607"/>
      <c r="H624" s="608"/>
      <c r="I624" s="608"/>
      <c r="J624" s="1616">
        <f t="shared" si="13"/>
        <v>0</v>
      </c>
      <c r="K624" s="613"/>
      <c r="L624" s="613"/>
      <c r="M624" s="613"/>
      <c r="N624" s="617"/>
      <c r="O624" s="267"/>
    </row>
    <row r="625" spans="1:15" s="1" customFormat="1" ht="18" customHeight="1">
      <c r="A625" s="1331"/>
      <c r="B625" s="605"/>
      <c r="C625" s="606"/>
      <c r="D625" s="590"/>
      <c r="E625" s="606"/>
      <c r="F625" s="607"/>
      <c r="G625" s="607"/>
      <c r="H625" s="608"/>
      <c r="I625" s="608"/>
      <c r="J625" s="1616">
        <f t="shared" si="13"/>
        <v>0</v>
      </c>
      <c r="K625" s="613"/>
      <c r="L625" s="613"/>
      <c r="M625" s="613"/>
      <c r="N625" s="617"/>
      <c r="O625" s="267"/>
    </row>
    <row r="626" spans="1:15" s="1" customFormat="1" ht="18" customHeight="1">
      <c r="A626" s="1331"/>
      <c r="B626" s="605"/>
      <c r="C626" s="606"/>
      <c r="D626" s="590"/>
      <c r="E626" s="606"/>
      <c r="F626" s="607"/>
      <c r="G626" s="607"/>
      <c r="H626" s="608"/>
      <c r="I626" s="608"/>
      <c r="J626" s="1616">
        <f t="shared" si="13"/>
        <v>0</v>
      </c>
      <c r="K626" s="613"/>
      <c r="L626" s="613"/>
      <c r="M626" s="613"/>
      <c r="N626" s="617"/>
      <c r="O626" s="267"/>
    </row>
    <row r="627" spans="1:15" s="1" customFormat="1" ht="18" customHeight="1">
      <c r="A627" s="1331"/>
      <c r="B627" s="605"/>
      <c r="C627" s="606"/>
      <c r="D627" s="590"/>
      <c r="E627" s="606"/>
      <c r="F627" s="607"/>
      <c r="G627" s="607"/>
      <c r="H627" s="608"/>
      <c r="I627" s="608"/>
      <c r="J627" s="1616">
        <f t="shared" si="13"/>
        <v>0</v>
      </c>
      <c r="K627" s="613"/>
      <c r="L627" s="613"/>
      <c r="M627" s="613"/>
      <c r="N627" s="617"/>
      <c r="O627" s="267"/>
    </row>
    <row r="628" spans="1:15" s="1" customFormat="1" ht="18" customHeight="1">
      <c r="A628" s="1331"/>
      <c r="B628" s="605"/>
      <c r="C628" s="606"/>
      <c r="D628" s="590"/>
      <c r="E628" s="606"/>
      <c r="F628" s="607"/>
      <c r="G628" s="607"/>
      <c r="H628" s="608"/>
      <c r="I628" s="608"/>
      <c r="J628" s="1616">
        <f t="shared" si="13"/>
        <v>0</v>
      </c>
      <c r="K628" s="613"/>
      <c r="L628" s="613"/>
      <c r="M628" s="613"/>
      <c r="N628" s="617"/>
      <c r="O628" s="267"/>
    </row>
    <row r="629" spans="1:15" s="1" customFormat="1" ht="18" customHeight="1">
      <c r="A629" s="1331"/>
      <c r="B629" s="605"/>
      <c r="C629" s="606"/>
      <c r="D629" s="590"/>
      <c r="E629" s="606"/>
      <c r="F629" s="607"/>
      <c r="G629" s="607"/>
      <c r="H629" s="608"/>
      <c r="I629" s="608"/>
      <c r="J629" s="1616">
        <f t="shared" si="13"/>
        <v>0</v>
      </c>
      <c r="K629" s="613"/>
      <c r="L629" s="613"/>
      <c r="M629" s="613"/>
      <c r="N629" s="617"/>
      <c r="O629" s="267"/>
    </row>
    <row r="630" spans="1:15" s="1" customFormat="1" ht="18" customHeight="1">
      <c r="A630" s="1331"/>
      <c r="B630" s="605"/>
      <c r="C630" s="606"/>
      <c r="D630" s="590"/>
      <c r="E630" s="606"/>
      <c r="F630" s="607"/>
      <c r="G630" s="607"/>
      <c r="H630" s="608"/>
      <c r="I630" s="608"/>
      <c r="J630" s="1616">
        <f t="shared" si="13"/>
        <v>0</v>
      </c>
      <c r="K630" s="613"/>
      <c r="L630" s="613"/>
      <c r="M630" s="613"/>
      <c r="N630" s="617"/>
      <c r="O630" s="267"/>
    </row>
    <row r="631" spans="1:15" s="1" customFormat="1" ht="18" customHeight="1">
      <c r="A631" s="1331"/>
      <c r="B631" s="605"/>
      <c r="C631" s="606"/>
      <c r="D631" s="590"/>
      <c r="E631" s="606"/>
      <c r="F631" s="607"/>
      <c r="G631" s="607"/>
      <c r="H631" s="608"/>
      <c r="I631" s="608"/>
      <c r="J631" s="1616">
        <f t="shared" si="13"/>
        <v>0</v>
      </c>
      <c r="K631" s="613"/>
      <c r="L631" s="613"/>
      <c r="M631" s="613"/>
      <c r="N631" s="617"/>
      <c r="O631" s="267"/>
    </row>
    <row r="632" spans="1:15" s="1" customFormat="1" ht="18" customHeight="1">
      <c r="A632" s="1331"/>
      <c r="B632" s="605"/>
      <c r="C632" s="606"/>
      <c r="D632" s="590"/>
      <c r="E632" s="606"/>
      <c r="F632" s="607"/>
      <c r="G632" s="607"/>
      <c r="H632" s="608"/>
      <c r="I632" s="608"/>
      <c r="J632" s="1616">
        <f t="shared" si="13"/>
        <v>0</v>
      </c>
      <c r="K632" s="613"/>
      <c r="L632" s="613"/>
      <c r="M632" s="613"/>
      <c r="N632" s="617"/>
      <c r="O632" s="267"/>
    </row>
    <row r="633" spans="1:15" s="1" customFormat="1" ht="18" customHeight="1">
      <c r="A633" s="1331"/>
      <c r="B633" s="605"/>
      <c r="C633" s="606"/>
      <c r="D633" s="590"/>
      <c r="E633" s="606"/>
      <c r="F633" s="607"/>
      <c r="G633" s="607"/>
      <c r="H633" s="608"/>
      <c r="I633" s="608"/>
      <c r="J633" s="1616">
        <f t="shared" si="13"/>
        <v>0</v>
      </c>
      <c r="K633" s="613"/>
      <c r="L633" s="613"/>
      <c r="M633" s="613"/>
      <c r="N633" s="617"/>
      <c r="O633" s="267"/>
    </row>
    <row r="634" spans="1:15" s="1" customFormat="1" ht="18" customHeight="1">
      <c r="A634" s="1331"/>
      <c r="B634" s="605"/>
      <c r="C634" s="606"/>
      <c r="D634" s="590"/>
      <c r="E634" s="606"/>
      <c r="F634" s="607"/>
      <c r="G634" s="607"/>
      <c r="H634" s="608"/>
      <c r="I634" s="608"/>
      <c r="J634" s="1616">
        <f t="shared" si="13"/>
        <v>0</v>
      </c>
      <c r="K634" s="613"/>
      <c r="L634" s="613"/>
      <c r="M634" s="613"/>
      <c r="N634" s="617"/>
      <c r="O634" s="267"/>
    </row>
    <row r="635" spans="1:15" s="1" customFormat="1" ht="18" customHeight="1">
      <c r="A635" s="1331"/>
      <c r="B635" s="605"/>
      <c r="C635" s="606"/>
      <c r="D635" s="590"/>
      <c r="E635" s="606"/>
      <c r="F635" s="607"/>
      <c r="G635" s="607"/>
      <c r="H635" s="608"/>
      <c r="I635" s="608"/>
      <c r="J635" s="1616">
        <f t="shared" si="13"/>
        <v>0</v>
      </c>
      <c r="K635" s="613"/>
      <c r="L635" s="613"/>
      <c r="M635" s="613"/>
      <c r="N635" s="617"/>
      <c r="O635" s="267"/>
    </row>
    <row r="636" spans="1:15" s="1" customFormat="1" ht="18" customHeight="1">
      <c r="A636" s="1331"/>
      <c r="B636" s="605"/>
      <c r="C636" s="606"/>
      <c r="D636" s="590"/>
      <c r="E636" s="606"/>
      <c r="F636" s="607"/>
      <c r="G636" s="607"/>
      <c r="H636" s="608"/>
      <c r="I636" s="608"/>
      <c r="J636" s="1616">
        <f t="shared" si="13"/>
        <v>0</v>
      </c>
      <c r="K636" s="613"/>
      <c r="L636" s="613"/>
      <c r="M636" s="613"/>
      <c r="N636" s="617"/>
      <c r="O636" s="267"/>
    </row>
    <row r="637" spans="1:15" s="1" customFormat="1" ht="18" customHeight="1">
      <c r="A637" s="1331"/>
      <c r="B637" s="605"/>
      <c r="C637" s="606"/>
      <c r="D637" s="590"/>
      <c r="E637" s="606"/>
      <c r="F637" s="607"/>
      <c r="G637" s="607"/>
      <c r="H637" s="608"/>
      <c r="I637" s="608"/>
      <c r="J637" s="1616">
        <f t="shared" si="13"/>
        <v>0</v>
      </c>
      <c r="K637" s="613"/>
      <c r="L637" s="613"/>
      <c r="M637" s="613"/>
      <c r="N637" s="617"/>
      <c r="O637" s="267"/>
    </row>
    <row r="638" spans="1:15" s="1" customFormat="1" ht="18" customHeight="1">
      <c r="A638" s="1331"/>
      <c r="B638" s="605"/>
      <c r="C638" s="606"/>
      <c r="D638" s="590"/>
      <c r="E638" s="606"/>
      <c r="F638" s="607"/>
      <c r="G638" s="607"/>
      <c r="H638" s="608"/>
      <c r="I638" s="608"/>
      <c r="J638" s="1616">
        <f t="shared" si="13"/>
        <v>0</v>
      </c>
      <c r="K638" s="613"/>
      <c r="L638" s="613"/>
      <c r="M638" s="613"/>
      <c r="N638" s="617"/>
      <c r="O638" s="267"/>
    </row>
    <row r="639" spans="1:15" s="1" customFormat="1" ht="18" customHeight="1">
      <c r="A639" s="1331"/>
      <c r="B639" s="605"/>
      <c r="C639" s="606"/>
      <c r="D639" s="590"/>
      <c r="E639" s="606"/>
      <c r="F639" s="607"/>
      <c r="G639" s="607"/>
      <c r="H639" s="608"/>
      <c r="I639" s="608"/>
      <c r="J639" s="1616">
        <f t="shared" si="13"/>
        <v>0</v>
      </c>
      <c r="K639" s="613"/>
      <c r="L639" s="613"/>
      <c r="M639" s="613"/>
      <c r="N639" s="617"/>
      <c r="O639" s="267"/>
    </row>
    <row r="640" spans="1:15" s="1" customFormat="1" ht="18" customHeight="1">
      <c r="A640" s="1331"/>
      <c r="B640" s="605"/>
      <c r="C640" s="606"/>
      <c r="D640" s="590"/>
      <c r="E640" s="606"/>
      <c r="F640" s="607"/>
      <c r="G640" s="607"/>
      <c r="H640" s="608"/>
      <c r="I640" s="608"/>
      <c r="J640" s="1616">
        <f t="shared" si="13"/>
        <v>0</v>
      </c>
      <c r="K640" s="613"/>
      <c r="L640" s="613"/>
      <c r="M640" s="613"/>
      <c r="N640" s="617"/>
      <c r="O640" s="267"/>
    </row>
    <row r="641" spans="1:15" s="1" customFormat="1" ht="18" customHeight="1">
      <c r="A641" s="1331"/>
      <c r="B641" s="605"/>
      <c r="C641" s="606"/>
      <c r="D641" s="590"/>
      <c r="E641" s="606"/>
      <c r="F641" s="607"/>
      <c r="G641" s="607"/>
      <c r="H641" s="608"/>
      <c r="I641" s="608"/>
      <c r="J641" s="1616">
        <f t="shared" si="13"/>
        <v>0</v>
      </c>
      <c r="K641" s="613"/>
      <c r="L641" s="613"/>
      <c r="M641" s="613"/>
      <c r="N641" s="617"/>
      <c r="O641" s="267"/>
    </row>
    <row r="642" spans="1:15" s="1" customFormat="1" ht="18" customHeight="1">
      <c r="A642" s="1331"/>
      <c r="B642" s="605"/>
      <c r="C642" s="606"/>
      <c r="D642" s="590"/>
      <c r="E642" s="606"/>
      <c r="F642" s="607"/>
      <c r="G642" s="607"/>
      <c r="H642" s="608"/>
      <c r="I642" s="608"/>
      <c r="J642" s="1616">
        <f t="shared" si="13"/>
        <v>0</v>
      </c>
      <c r="K642" s="613"/>
      <c r="L642" s="613"/>
      <c r="M642" s="613"/>
      <c r="N642" s="617"/>
      <c r="O642" s="267"/>
    </row>
    <row r="643" spans="1:15" s="1" customFormat="1" ht="18" customHeight="1">
      <c r="A643" s="1331"/>
      <c r="B643" s="605"/>
      <c r="C643" s="606"/>
      <c r="D643" s="590"/>
      <c r="E643" s="606"/>
      <c r="F643" s="607"/>
      <c r="G643" s="607"/>
      <c r="H643" s="608"/>
      <c r="I643" s="608"/>
      <c r="J643" s="1616">
        <f t="shared" si="13"/>
        <v>0</v>
      </c>
      <c r="K643" s="613"/>
      <c r="L643" s="613"/>
      <c r="M643" s="613"/>
      <c r="N643" s="617"/>
      <c r="O643" s="267"/>
    </row>
    <row r="644" spans="1:15" s="1" customFormat="1" ht="18" customHeight="1">
      <c r="A644" s="1331"/>
      <c r="B644" s="605"/>
      <c r="C644" s="606"/>
      <c r="D644" s="590"/>
      <c r="E644" s="606"/>
      <c r="F644" s="607"/>
      <c r="G644" s="607"/>
      <c r="H644" s="608"/>
      <c r="I644" s="608"/>
      <c r="J644" s="1616">
        <f t="shared" si="13"/>
        <v>0</v>
      </c>
      <c r="K644" s="613"/>
      <c r="L644" s="613"/>
      <c r="M644" s="613"/>
      <c r="N644" s="617"/>
      <c r="O644" s="267"/>
    </row>
    <row r="645" spans="1:15" s="1" customFormat="1" ht="18" customHeight="1">
      <c r="A645" s="1331"/>
      <c r="B645" s="605"/>
      <c r="C645" s="606"/>
      <c r="D645" s="590"/>
      <c r="E645" s="606"/>
      <c r="F645" s="607"/>
      <c r="G645" s="607"/>
      <c r="H645" s="608"/>
      <c r="I645" s="608"/>
      <c r="J645" s="1616">
        <f t="shared" si="13"/>
        <v>0</v>
      </c>
      <c r="K645" s="613"/>
      <c r="L645" s="613"/>
      <c r="M645" s="613"/>
      <c r="N645" s="617"/>
      <c r="O645" s="267"/>
    </row>
    <row r="646" spans="1:15" s="1" customFormat="1" ht="18" customHeight="1">
      <c r="A646" s="1331"/>
      <c r="B646" s="605"/>
      <c r="C646" s="606"/>
      <c r="D646" s="590"/>
      <c r="E646" s="606"/>
      <c r="F646" s="607"/>
      <c r="G646" s="607"/>
      <c r="H646" s="608"/>
      <c r="I646" s="608"/>
      <c r="J646" s="1616">
        <f t="shared" si="13"/>
        <v>0</v>
      </c>
      <c r="K646" s="613"/>
      <c r="L646" s="613"/>
      <c r="M646" s="613"/>
      <c r="N646" s="617"/>
      <c r="O646" s="267"/>
    </row>
    <row r="647" spans="1:15" s="1" customFormat="1" ht="18" customHeight="1">
      <c r="A647" s="1331"/>
      <c r="B647" s="605"/>
      <c r="C647" s="606"/>
      <c r="D647" s="590"/>
      <c r="E647" s="606"/>
      <c r="F647" s="607"/>
      <c r="G647" s="607"/>
      <c r="H647" s="608"/>
      <c r="I647" s="608"/>
      <c r="J647" s="1616">
        <f t="shared" si="13"/>
        <v>0</v>
      </c>
      <c r="K647" s="613"/>
      <c r="L647" s="613"/>
      <c r="M647" s="613"/>
      <c r="N647" s="617"/>
      <c r="O647" s="267"/>
    </row>
    <row r="648" spans="1:15" s="1" customFormat="1" ht="18" customHeight="1">
      <c r="A648" s="1331"/>
      <c r="B648" s="605"/>
      <c r="C648" s="606"/>
      <c r="D648" s="590"/>
      <c r="E648" s="606"/>
      <c r="F648" s="607"/>
      <c r="G648" s="607"/>
      <c r="H648" s="608"/>
      <c r="I648" s="608"/>
      <c r="J648" s="1616">
        <f t="shared" si="13"/>
        <v>0</v>
      </c>
      <c r="K648" s="613"/>
      <c r="L648" s="613"/>
      <c r="M648" s="613"/>
      <c r="N648" s="617"/>
      <c r="O648" s="267"/>
    </row>
    <row r="649" spans="1:15" s="1" customFormat="1" ht="18" customHeight="1">
      <c r="A649" s="1331"/>
      <c r="B649" s="605"/>
      <c r="C649" s="606"/>
      <c r="D649" s="590"/>
      <c r="E649" s="606"/>
      <c r="F649" s="607"/>
      <c r="G649" s="607"/>
      <c r="H649" s="608"/>
      <c r="I649" s="608"/>
      <c r="J649" s="1616">
        <f t="shared" si="13"/>
        <v>0</v>
      </c>
      <c r="K649" s="613"/>
      <c r="L649" s="613"/>
      <c r="M649" s="613"/>
      <c r="N649" s="617"/>
      <c r="O649" s="267"/>
    </row>
    <row r="650" spans="1:15" s="1" customFormat="1" ht="18" customHeight="1">
      <c r="A650" s="1331"/>
      <c r="B650" s="605"/>
      <c r="C650" s="606"/>
      <c r="D650" s="590"/>
      <c r="E650" s="606"/>
      <c r="F650" s="607"/>
      <c r="G650" s="607"/>
      <c r="H650" s="608"/>
      <c r="I650" s="608"/>
      <c r="J650" s="1616">
        <f t="shared" si="13"/>
        <v>0</v>
      </c>
      <c r="K650" s="613"/>
      <c r="L650" s="613"/>
      <c r="M650" s="613"/>
      <c r="N650" s="617"/>
      <c r="O650" s="267"/>
    </row>
    <row r="651" spans="1:15" s="1" customFormat="1" ht="18" customHeight="1">
      <c r="A651" s="1331"/>
      <c r="B651" s="605"/>
      <c r="C651" s="606"/>
      <c r="D651" s="590"/>
      <c r="E651" s="606"/>
      <c r="F651" s="607"/>
      <c r="G651" s="607"/>
      <c r="H651" s="608"/>
      <c r="I651" s="608"/>
      <c r="J651" s="1616">
        <f t="shared" si="13"/>
        <v>0</v>
      </c>
      <c r="K651" s="613"/>
      <c r="L651" s="613"/>
      <c r="M651" s="613"/>
      <c r="N651" s="617"/>
      <c r="O651" s="267"/>
    </row>
    <row r="652" spans="1:15" s="1" customFormat="1" ht="18" customHeight="1">
      <c r="A652" s="1331"/>
      <c r="B652" s="605"/>
      <c r="C652" s="606"/>
      <c r="D652" s="590"/>
      <c r="E652" s="606"/>
      <c r="F652" s="607"/>
      <c r="G652" s="607"/>
      <c r="H652" s="608"/>
      <c r="I652" s="608"/>
      <c r="J652" s="1616">
        <f t="shared" si="13"/>
        <v>0</v>
      </c>
      <c r="K652" s="613"/>
      <c r="L652" s="613"/>
      <c r="M652" s="613"/>
      <c r="N652" s="617"/>
      <c r="O652" s="267"/>
    </row>
    <row r="653" spans="1:15" s="1" customFormat="1" ht="18" customHeight="1">
      <c r="A653" s="1331"/>
      <c r="B653" s="605"/>
      <c r="C653" s="606"/>
      <c r="D653" s="590"/>
      <c r="E653" s="606"/>
      <c r="F653" s="607"/>
      <c r="G653" s="607"/>
      <c r="H653" s="608"/>
      <c r="I653" s="608"/>
      <c r="J653" s="1616">
        <f t="shared" si="13"/>
        <v>0</v>
      </c>
      <c r="K653" s="613"/>
      <c r="L653" s="613"/>
      <c r="M653" s="613"/>
      <c r="N653" s="617"/>
      <c r="O653" s="267"/>
    </row>
    <row r="654" spans="1:15" s="1" customFormat="1" ht="18" customHeight="1">
      <c r="A654" s="1331"/>
      <c r="B654" s="605"/>
      <c r="C654" s="606"/>
      <c r="D654" s="590"/>
      <c r="E654" s="606"/>
      <c r="F654" s="607"/>
      <c r="G654" s="607"/>
      <c r="H654" s="608"/>
      <c r="I654" s="608"/>
      <c r="J654" s="1616">
        <f t="shared" si="13"/>
        <v>0</v>
      </c>
      <c r="K654" s="613"/>
      <c r="L654" s="613"/>
      <c r="M654" s="613"/>
      <c r="N654" s="617"/>
      <c r="O654" s="267"/>
    </row>
    <row r="655" spans="1:15" s="1" customFormat="1" ht="18" customHeight="1">
      <c r="A655" s="1331"/>
      <c r="B655" s="605"/>
      <c r="C655" s="606"/>
      <c r="D655" s="590"/>
      <c r="E655" s="606"/>
      <c r="F655" s="607"/>
      <c r="G655" s="607"/>
      <c r="H655" s="608"/>
      <c r="I655" s="608"/>
      <c r="J655" s="1616">
        <f t="shared" si="13"/>
        <v>0</v>
      </c>
      <c r="K655" s="613"/>
      <c r="L655" s="613"/>
      <c r="M655" s="613"/>
      <c r="N655" s="617"/>
      <c r="O655" s="267"/>
    </row>
    <row r="656" spans="1:15" s="1" customFormat="1" ht="18" customHeight="1">
      <c r="A656" s="1331"/>
      <c r="B656" s="605"/>
      <c r="C656" s="606"/>
      <c r="D656" s="590"/>
      <c r="E656" s="606"/>
      <c r="F656" s="607"/>
      <c r="G656" s="607"/>
      <c r="H656" s="608"/>
      <c r="I656" s="608"/>
      <c r="J656" s="1616">
        <f t="shared" si="13"/>
        <v>0</v>
      </c>
      <c r="K656" s="613"/>
      <c r="L656" s="613"/>
      <c r="M656" s="613"/>
      <c r="N656" s="617"/>
      <c r="O656" s="267"/>
    </row>
    <row r="657" spans="1:15" s="1" customFormat="1" ht="18" customHeight="1">
      <c r="A657" s="1331"/>
      <c r="B657" s="605"/>
      <c r="C657" s="606"/>
      <c r="D657" s="590"/>
      <c r="E657" s="606"/>
      <c r="F657" s="607"/>
      <c r="G657" s="607"/>
      <c r="H657" s="608"/>
      <c r="I657" s="608"/>
      <c r="J657" s="1616">
        <f t="shared" si="13"/>
        <v>0</v>
      </c>
      <c r="K657" s="613"/>
      <c r="L657" s="613"/>
      <c r="M657" s="613"/>
      <c r="N657" s="617"/>
      <c r="O657" s="267"/>
    </row>
    <row r="658" spans="1:15" s="1" customFormat="1" ht="18" customHeight="1">
      <c r="A658" s="1331"/>
      <c r="B658" s="605"/>
      <c r="C658" s="606"/>
      <c r="D658" s="590"/>
      <c r="E658" s="606"/>
      <c r="F658" s="607"/>
      <c r="G658" s="607"/>
      <c r="H658" s="608"/>
      <c r="I658" s="608"/>
      <c r="J658" s="1616">
        <f t="shared" si="13"/>
        <v>0</v>
      </c>
      <c r="K658" s="613"/>
      <c r="L658" s="613"/>
      <c r="M658" s="613"/>
      <c r="N658" s="617"/>
      <c r="O658" s="267"/>
    </row>
    <row r="659" spans="1:15" s="1" customFormat="1" ht="18" customHeight="1">
      <c r="A659" s="1331"/>
      <c r="B659" s="605"/>
      <c r="C659" s="606"/>
      <c r="D659" s="590"/>
      <c r="E659" s="606"/>
      <c r="F659" s="607"/>
      <c r="G659" s="607"/>
      <c r="H659" s="608"/>
      <c r="I659" s="608"/>
      <c r="J659" s="1616">
        <f t="shared" si="13"/>
        <v>0</v>
      </c>
      <c r="K659" s="613"/>
      <c r="L659" s="613"/>
      <c r="M659" s="613"/>
      <c r="N659" s="617"/>
      <c r="O659" s="267"/>
    </row>
    <row r="660" spans="1:15" s="1" customFormat="1" ht="18" customHeight="1">
      <c r="A660" s="1331"/>
      <c r="B660" s="605"/>
      <c r="C660" s="606"/>
      <c r="D660" s="590"/>
      <c r="E660" s="606"/>
      <c r="F660" s="607"/>
      <c r="G660" s="607"/>
      <c r="H660" s="608"/>
      <c r="I660" s="608"/>
      <c r="J660" s="1616">
        <f t="shared" si="13"/>
        <v>0</v>
      </c>
      <c r="K660" s="613"/>
      <c r="L660" s="613"/>
      <c r="M660" s="613"/>
      <c r="N660" s="617"/>
      <c r="O660" s="267"/>
    </row>
    <row r="661" spans="1:15" s="1" customFormat="1" ht="18" customHeight="1">
      <c r="A661" s="1331"/>
      <c r="B661" s="605"/>
      <c r="C661" s="606"/>
      <c r="D661" s="590"/>
      <c r="E661" s="606"/>
      <c r="F661" s="607"/>
      <c r="G661" s="607"/>
      <c r="H661" s="608"/>
      <c r="I661" s="608"/>
      <c r="J661" s="1616">
        <f t="shared" si="13"/>
        <v>0</v>
      </c>
      <c r="K661" s="613"/>
      <c r="L661" s="613"/>
      <c r="M661" s="613"/>
      <c r="N661" s="617"/>
      <c r="O661" s="267"/>
    </row>
    <row r="662" spans="1:15" s="1" customFormat="1" ht="18" customHeight="1">
      <c r="A662" s="1331"/>
      <c r="B662" s="605"/>
      <c r="C662" s="606"/>
      <c r="D662" s="590"/>
      <c r="E662" s="606"/>
      <c r="F662" s="607"/>
      <c r="G662" s="607"/>
      <c r="H662" s="608"/>
      <c r="I662" s="608"/>
      <c r="J662" s="1616">
        <f t="shared" si="13"/>
        <v>0</v>
      </c>
      <c r="K662" s="613"/>
      <c r="L662" s="613"/>
      <c r="M662" s="613"/>
      <c r="N662" s="617"/>
      <c r="O662" s="267"/>
    </row>
    <row r="663" spans="1:15" s="1" customFormat="1" ht="18" customHeight="1">
      <c r="A663" s="1331"/>
      <c r="B663" s="605"/>
      <c r="C663" s="606"/>
      <c r="D663" s="590"/>
      <c r="E663" s="606"/>
      <c r="F663" s="607"/>
      <c r="G663" s="607"/>
      <c r="H663" s="608"/>
      <c r="I663" s="608"/>
      <c r="J663" s="1616">
        <f t="shared" si="13"/>
        <v>0</v>
      </c>
      <c r="K663" s="613"/>
      <c r="L663" s="613"/>
      <c r="M663" s="613"/>
      <c r="N663" s="617"/>
      <c r="O663" s="267"/>
    </row>
    <row r="664" spans="1:15" s="1" customFormat="1" ht="18" customHeight="1">
      <c r="A664" s="1331"/>
      <c r="B664" s="605"/>
      <c r="C664" s="606"/>
      <c r="D664" s="590"/>
      <c r="E664" s="606"/>
      <c r="F664" s="607"/>
      <c r="G664" s="607"/>
      <c r="H664" s="608"/>
      <c r="I664" s="608"/>
      <c r="J664" s="1616">
        <f t="shared" si="13"/>
        <v>0</v>
      </c>
      <c r="K664" s="613"/>
      <c r="L664" s="613"/>
      <c r="M664" s="613"/>
      <c r="N664" s="617"/>
      <c r="O664" s="267"/>
    </row>
    <row r="665" spans="1:15" s="1" customFormat="1" ht="18" customHeight="1">
      <c r="A665" s="1331"/>
      <c r="B665" s="605"/>
      <c r="C665" s="606"/>
      <c r="D665" s="590"/>
      <c r="E665" s="606"/>
      <c r="F665" s="607"/>
      <c r="G665" s="607"/>
      <c r="H665" s="608"/>
      <c r="I665" s="608"/>
      <c r="J665" s="1616">
        <f t="shared" si="13"/>
        <v>0</v>
      </c>
      <c r="K665" s="613"/>
      <c r="L665" s="613"/>
      <c r="M665" s="613"/>
      <c r="N665" s="617"/>
      <c r="O665" s="267"/>
    </row>
    <row r="666" spans="1:15" s="1" customFormat="1" ht="18" customHeight="1">
      <c r="A666" s="1331"/>
      <c r="B666" s="605"/>
      <c r="C666" s="606"/>
      <c r="D666" s="590"/>
      <c r="E666" s="606"/>
      <c r="F666" s="607"/>
      <c r="G666" s="607"/>
      <c r="H666" s="608"/>
      <c r="I666" s="608"/>
      <c r="J666" s="1616">
        <f t="shared" si="13"/>
        <v>0</v>
      </c>
      <c r="K666" s="613"/>
      <c r="L666" s="613"/>
      <c r="M666" s="613"/>
      <c r="N666" s="617"/>
      <c r="O666" s="267"/>
    </row>
    <row r="667" spans="1:15" s="1" customFormat="1" ht="18" customHeight="1">
      <c r="A667" s="1331"/>
      <c r="B667" s="605"/>
      <c r="C667" s="606"/>
      <c r="D667" s="590"/>
      <c r="E667" s="606"/>
      <c r="F667" s="607"/>
      <c r="G667" s="607"/>
      <c r="H667" s="608"/>
      <c r="I667" s="608"/>
      <c r="J667" s="1616">
        <f t="shared" si="13"/>
        <v>0</v>
      </c>
      <c r="K667" s="613"/>
      <c r="L667" s="613"/>
      <c r="M667" s="613"/>
      <c r="N667" s="617"/>
      <c r="O667" s="267"/>
    </row>
    <row r="668" spans="1:15" s="1" customFormat="1" ht="18" customHeight="1">
      <c r="A668" s="1331"/>
      <c r="B668" s="605"/>
      <c r="C668" s="606"/>
      <c r="D668" s="590"/>
      <c r="E668" s="606"/>
      <c r="F668" s="607"/>
      <c r="G668" s="607"/>
      <c r="H668" s="608"/>
      <c r="I668" s="608"/>
      <c r="J668" s="1616">
        <f t="shared" si="13"/>
        <v>0</v>
      </c>
      <c r="K668" s="613"/>
      <c r="L668" s="613"/>
      <c r="M668" s="613"/>
      <c r="N668" s="617"/>
      <c r="O668" s="267"/>
    </row>
    <row r="669" spans="1:15" s="1" customFormat="1" ht="18" customHeight="1">
      <c r="A669" s="1331"/>
      <c r="B669" s="605"/>
      <c r="C669" s="606"/>
      <c r="D669" s="590"/>
      <c r="E669" s="606"/>
      <c r="F669" s="607"/>
      <c r="G669" s="607"/>
      <c r="H669" s="608"/>
      <c r="I669" s="608"/>
      <c r="J669" s="1616">
        <f t="shared" si="13"/>
        <v>0</v>
      </c>
      <c r="K669" s="613"/>
      <c r="L669" s="613"/>
      <c r="M669" s="613"/>
      <c r="N669" s="617"/>
      <c r="O669" s="267"/>
    </row>
    <row r="670" spans="1:15" s="1" customFormat="1" ht="18" customHeight="1">
      <c r="A670" s="1331"/>
      <c r="B670" s="605"/>
      <c r="C670" s="606"/>
      <c r="D670" s="590"/>
      <c r="E670" s="606"/>
      <c r="F670" s="607"/>
      <c r="G670" s="607"/>
      <c r="H670" s="608"/>
      <c r="I670" s="608"/>
      <c r="J670" s="1616">
        <f t="shared" si="13"/>
        <v>0</v>
      </c>
      <c r="K670" s="613"/>
      <c r="L670" s="613"/>
      <c r="M670" s="613"/>
      <c r="N670" s="617"/>
      <c r="O670" s="267"/>
    </row>
    <row r="671" spans="1:15" s="1" customFormat="1" ht="18" customHeight="1">
      <c r="A671" s="1331"/>
      <c r="B671" s="605"/>
      <c r="C671" s="606"/>
      <c r="D671" s="590"/>
      <c r="E671" s="606"/>
      <c r="F671" s="607"/>
      <c r="G671" s="607"/>
      <c r="H671" s="608"/>
      <c r="I671" s="608"/>
      <c r="J671" s="1616">
        <f t="shared" si="13"/>
        <v>0</v>
      </c>
      <c r="K671" s="613"/>
      <c r="L671" s="613"/>
      <c r="M671" s="613"/>
      <c r="N671" s="617"/>
      <c r="O671" s="267"/>
    </row>
    <row r="672" spans="1:15" s="1" customFormat="1" ht="18" customHeight="1">
      <c r="A672" s="1331"/>
      <c r="B672" s="605"/>
      <c r="C672" s="606"/>
      <c r="D672" s="590"/>
      <c r="E672" s="606"/>
      <c r="F672" s="607"/>
      <c r="G672" s="607"/>
      <c r="H672" s="608"/>
      <c r="I672" s="608"/>
      <c r="J672" s="1616">
        <f t="shared" si="13"/>
        <v>0</v>
      </c>
      <c r="K672" s="613"/>
      <c r="L672" s="613"/>
      <c r="M672" s="613"/>
      <c r="N672" s="617"/>
      <c r="O672" s="267"/>
    </row>
    <row r="673" spans="1:15" s="1" customFormat="1" ht="18" customHeight="1">
      <c r="A673" s="1331"/>
      <c r="B673" s="605"/>
      <c r="C673" s="606"/>
      <c r="D673" s="590"/>
      <c r="E673" s="606"/>
      <c r="F673" s="607"/>
      <c r="G673" s="607"/>
      <c r="H673" s="608"/>
      <c r="I673" s="608"/>
      <c r="J673" s="1616">
        <f t="shared" si="13"/>
        <v>0</v>
      </c>
      <c r="K673" s="613"/>
      <c r="L673" s="613"/>
      <c r="M673" s="613"/>
      <c r="N673" s="617"/>
      <c r="O673" s="267"/>
    </row>
    <row r="674" spans="1:15" s="1" customFormat="1" ht="18" customHeight="1">
      <c r="A674" s="1331"/>
      <c r="B674" s="605"/>
      <c r="C674" s="606"/>
      <c r="D674" s="590"/>
      <c r="E674" s="606"/>
      <c r="F674" s="607"/>
      <c r="G674" s="607"/>
      <c r="H674" s="608"/>
      <c r="I674" s="608"/>
      <c r="J674" s="1616">
        <f t="shared" si="13"/>
        <v>0</v>
      </c>
      <c r="K674" s="613"/>
      <c r="L674" s="613"/>
      <c r="M674" s="613"/>
      <c r="N674" s="617"/>
      <c r="O674" s="267"/>
    </row>
    <row r="675" spans="1:15" s="1" customFormat="1" ht="18" customHeight="1">
      <c r="A675" s="1331"/>
      <c r="B675" s="605"/>
      <c r="C675" s="606"/>
      <c r="D675" s="590"/>
      <c r="E675" s="606"/>
      <c r="F675" s="607"/>
      <c r="G675" s="607"/>
      <c r="H675" s="608"/>
      <c r="I675" s="608"/>
      <c r="J675" s="1616">
        <f t="shared" ref="J675:J738" si="14">G675*I675</f>
        <v>0</v>
      </c>
      <c r="K675" s="613"/>
      <c r="L675" s="613"/>
      <c r="M675" s="613"/>
      <c r="N675" s="617"/>
      <c r="O675" s="267"/>
    </row>
    <row r="676" spans="1:15" s="1" customFormat="1" ht="18" customHeight="1">
      <c r="A676" s="1331"/>
      <c r="B676" s="605"/>
      <c r="C676" s="606"/>
      <c r="D676" s="590"/>
      <c r="E676" s="606"/>
      <c r="F676" s="607"/>
      <c r="G676" s="607"/>
      <c r="H676" s="608"/>
      <c r="I676" s="608"/>
      <c r="J676" s="1616">
        <f t="shared" si="14"/>
        <v>0</v>
      </c>
      <c r="K676" s="613"/>
      <c r="L676" s="613"/>
      <c r="M676" s="613"/>
      <c r="N676" s="617"/>
      <c r="O676" s="267"/>
    </row>
    <row r="677" spans="1:15" s="1" customFormat="1" ht="18" customHeight="1">
      <c r="A677" s="1331"/>
      <c r="B677" s="605"/>
      <c r="C677" s="606"/>
      <c r="D677" s="590"/>
      <c r="E677" s="606"/>
      <c r="F677" s="607"/>
      <c r="G677" s="607"/>
      <c r="H677" s="608"/>
      <c r="I677" s="608"/>
      <c r="J677" s="1616">
        <f t="shared" si="14"/>
        <v>0</v>
      </c>
      <c r="K677" s="613"/>
      <c r="L677" s="613"/>
      <c r="M677" s="613"/>
      <c r="N677" s="617"/>
      <c r="O677" s="267"/>
    </row>
    <row r="678" spans="1:15" s="1" customFormat="1" ht="18" customHeight="1">
      <c r="A678" s="1331"/>
      <c r="B678" s="605"/>
      <c r="C678" s="606"/>
      <c r="D678" s="590"/>
      <c r="E678" s="606"/>
      <c r="F678" s="607"/>
      <c r="G678" s="607"/>
      <c r="H678" s="608"/>
      <c r="I678" s="608"/>
      <c r="J678" s="1616">
        <f t="shared" si="14"/>
        <v>0</v>
      </c>
      <c r="K678" s="613"/>
      <c r="L678" s="613"/>
      <c r="M678" s="613"/>
      <c r="N678" s="617"/>
      <c r="O678" s="267"/>
    </row>
    <row r="679" spans="1:15" s="1" customFormat="1" ht="18" customHeight="1">
      <c r="A679" s="1331"/>
      <c r="B679" s="605"/>
      <c r="C679" s="606"/>
      <c r="D679" s="590"/>
      <c r="E679" s="606"/>
      <c r="F679" s="607"/>
      <c r="G679" s="607"/>
      <c r="H679" s="608"/>
      <c r="I679" s="608"/>
      <c r="J679" s="1616">
        <f t="shared" si="14"/>
        <v>0</v>
      </c>
      <c r="K679" s="613"/>
      <c r="L679" s="613"/>
      <c r="M679" s="613"/>
      <c r="N679" s="617"/>
      <c r="O679" s="267"/>
    </row>
    <row r="680" spans="1:15" s="1" customFormat="1" ht="18" customHeight="1">
      <c r="A680" s="1331"/>
      <c r="B680" s="605"/>
      <c r="C680" s="606"/>
      <c r="D680" s="590"/>
      <c r="E680" s="606"/>
      <c r="F680" s="607"/>
      <c r="G680" s="607"/>
      <c r="H680" s="608"/>
      <c r="I680" s="608"/>
      <c r="J680" s="1616">
        <f t="shared" si="14"/>
        <v>0</v>
      </c>
      <c r="K680" s="613"/>
      <c r="L680" s="613"/>
      <c r="M680" s="613"/>
      <c r="N680" s="617"/>
      <c r="O680" s="267"/>
    </row>
    <row r="681" spans="1:15" s="1" customFormat="1" ht="18" customHeight="1">
      <c r="A681" s="1331"/>
      <c r="B681" s="605"/>
      <c r="C681" s="606"/>
      <c r="D681" s="590"/>
      <c r="E681" s="606"/>
      <c r="F681" s="607"/>
      <c r="G681" s="607"/>
      <c r="H681" s="608"/>
      <c r="I681" s="608"/>
      <c r="J681" s="1616">
        <f t="shared" si="14"/>
        <v>0</v>
      </c>
      <c r="K681" s="613"/>
      <c r="L681" s="613"/>
      <c r="M681" s="613"/>
      <c r="N681" s="617"/>
      <c r="O681" s="267"/>
    </row>
    <row r="682" spans="1:15" s="1" customFormat="1" ht="18" customHeight="1">
      <c r="A682" s="1331"/>
      <c r="B682" s="605"/>
      <c r="C682" s="606"/>
      <c r="D682" s="590"/>
      <c r="E682" s="606"/>
      <c r="F682" s="607"/>
      <c r="G682" s="607"/>
      <c r="H682" s="608"/>
      <c r="I682" s="608"/>
      <c r="J682" s="1616">
        <f t="shared" si="14"/>
        <v>0</v>
      </c>
      <c r="K682" s="613"/>
      <c r="L682" s="613"/>
      <c r="M682" s="613"/>
      <c r="N682" s="617"/>
      <c r="O682" s="267"/>
    </row>
    <row r="683" spans="1:15" s="1" customFormat="1" ht="18" customHeight="1">
      <c r="A683" s="1331"/>
      <c r="B683" s="605"/>
      <c r="C683" s="606"/>
      <c r="D683" s="590"/>
      <c r="E683" s="606"/>
      <c r="F683" s="607"/>
      <c r="G683" s="607"/>
      <c r="H683" s="608"/>
      <c r="I683" s="608"/>
      <c r="J683" s="1616">
        <f t="shared" si="14"/>
        <v>0</v>
      </c>
      <c r="K683" s="613"/>
      <c r="L683" s="613"/>
      <c r="M683" s="613"/>
      <c r="N683" s="617"/>
      <c r="O683" s="267"/>
    </row>
    <row r="684" spans="1:15" s="1" customFormat="1" ht="18" customHeight="1">
      <c r="A684" s="1331"/>
      <c r="B684" s="605"/>
      <c r="C684" s="606"/>
      <c r="D684" s="590"/>
      <c r="E684" s="606"/>
      <c r="F684" s="607"/>
      <c r="G684" s="607"/>
      <c r="H684" s="608"/>
      <c r="I684" s="608"/>
      <c r="J684" s="1616">
        <f t="shared" si="14"/>
        <v>0</v>
      </c>
      <c r="K684" s="613"/>
      <c r="L684" s="613"/>
      <c r="M684" s="613"/>
      <c r="N684" s="617"/>
      <c r="O684" s="267"/>
    </row>
    <row r="685" spans="1:15" s="1" customFormat="1" ht="18" customHeight="1">
      <c r="A685" s="1331"/>
      <c r="B685" s="605"/>
      <c r="C685" s="606"/>
      <c r="D685" s="590"/>
      <c r="E685" s="606"/>
      <c r="F685" s="607"/>
      <c r="G685" s="607"/>
      <c r="H685" s="608"/>
      <c r="I685" s="608"/>
      <c r="J685" s="1616">
        <f t="shared" si="14"/>
        <v>0</v>
      </c>
      <c r="K685" s="613"/>
      <c r="L685" s="613"/>
      <c r="M685" s="613"/>
      <c r="N685" s="617"/>
      <c r="O685" s="267"/>
    </row>
    <row r="686" spans="1:15" s="1" customFormat="1" ht="18" customHeight="1">
      <c r="A686" s="1331"/>
      <c r="B686" s="605"/>
      <c r="C686" s="606"/>
      <c r="D686" s="590"/>
      <c r="E686" s="606"/>
      <c r="F686" s="607"/>
      <c r="G686" s="607"/>
      <c r="H686" s="608"/>
      <c r="I686" s="608"/>
      <c r="J686" s="1616">
        <f t="shared" si="14"/>
        <v>0</v>
      </c>
      <c r="K686" s="613"/>
      <c r="L686" s="613"/>
      <c r="M686" s="613"/>
      <c r="N686" s="617"/>
      <c r="O686" s="267"/>
    </row>
    <row r="687" spans="1:15" s="1" customFormat="1" ht="18" customHeight="1">
      <c r="A687" s="1331"/>
      <c r="B687" s="605"/>
      <c r="C687" s="606"/>
      <c r="D687" s="590"/>
      <c r="E687" s="606"/>
      <c r="F687" s="607"/>
      <c r="G687" s="607"/>
      <c r="H687" s="608"/>
      <c r="I687" s="608"/>
      <c r="J687" s="1616">
        <f t="shared" si="14"/>
        <v>0</v>
      </c>
      <c r="K687" s="613"/>
      <c r="L687" s="613"/>
      <c r="M687" s="613"/>
      <c r="N687" s="617"/>
      <c r="O687" s="267"/>
    </row>
    <row r="688" spans="1:15" s="1" customFormat="1" ht="18" customHeight="1">
      <c r="A688" s="1331"/>
      <c r="B688" s="605"/>
      <c r="C688" s="606"/>
      <c r="D688" s="590"/>
      <c r="E688" s="606"/>
      <c r="F688" s="607"/>
      <c r="G688" s="607"/>
      <c r="H688" s="608"/>
      <c r="I688" s="608"/>
      <c r="J688" s="1616">
        <f t="shared" si="14"/>
        <v>0</v>
      </c>
      <c r="K688" s="613"/>
      <c r="L688" s="613"/>
      <c r="M688" s="613"/>
      <c r="N688" s="617"/>
      <c r="O688" s="267"/>
    </row>
    <row r="689" spans="1:15" s="1" customFormat="1" ht="18" customHeight="1">
      <c r="A689" s="1331"/>
      <c r="B689" s="605"/>
      <c r="C689" s="606"/>
      <c r="D689" s="590"/>
      <c r="E689" s="606"/>
      <c r="F689" s="607"/>
      <c r="G689" s="607"/>
      <c r="H689" s="608"/>
      <c r="I689" s="608"/>
      <c r="J689" s="1616">
        <f t="shared" si="14"/>
        <v>0</v>
      </c>
      <c r="K689" s="613"/>
      <c r="L689" s="613"/>
      <c r="M689" s="613"/>
      <c r="N689" s="617"/>
      <c r="O689" s="267"/>
    </row>
    <row r="690" spans="1:15" s="1" customFormat="1" ht="18" customHeight="1">
      <c r="A690" s="1331"/>
      <c r="B690" s="605"/>
      <c r="C690" s="606"/>
      <c r="D690" s="590"/>
      <c r="E690" s="606"/>
      <c r="F690" s="607"/>
      <c r="G690" s="607"/>
      <c r="H690" s="608"/>
      <c r="I690" s="608"/>
      <c r="J690" s="1616">
        <f t="shared" si="14"/>
        <v>0</v>
      </c>
      <c r="K690" s="613"/>
      <c r="L690" s="613"/>
      <c r="M690" s="613"/>
      <c r="N690" s="617"/>
      <c r="O690" s="267"/>
    </row>
    <row r="691" spans="1:15" s="1" customFormat="1" ht="18" customHeight="1">
      <c r="A691" s="1331"/>
      <c r="B691" s="605"/>
      <c r="C691" s="606"/>
      <c r="D691" s="590"/>
      <c r="E691" s="606"/>
      <c r="F691" s="607"/>
      <c r="G691" s="607"/>
      <c r="H691" s="608"/>
      <c r="I691" s="608"/>
      <c r="J691" s="1616">
        <f t="shared" si="14"/>
        <v>0</v>
      </c>
      <c r="K691" s="613"/>
      <c r="L691" s="613"/>
      <c r="M691" s="613"/>
      <c r="N691" s="617"/>
      <c r="O691" s="267"/>
    </row>
    <row r="692" spans="1:15" s="1" customFormat="1" ht="18" customHeight="1">
      <c r="A692" s="1331"/>
      <c r="B692" s="605"/>
      <c r="C692" s="606"/>
      <c r="D692" s="590"/>
      <c r="E692" s="606"/>
      <c r="F692" s="607"/>
      <c r="G692" s="607"/>
      <c r="H692" s="608"/>
      <c r="I692" s="608"/>
      <c r="J692" s="1616">
        <f t="shared" si="14"/>
        <v>0</v>
      </c>
      <c r="K692" s="613"/>
      <c r="L692" s="613"/>
      <c r="M692" s="613"/>
      <c r="N692" s="617"/>
      <c r="O692" s="267"/>
    </row>
    <row r="693" spans="1:15" s="1" customFormat="1" ht="18" customHeight="1">
      <c r="A693" s="1331"/>
      <c r="B693" s="605"/>
      <c r="C693" s="606"/>
      <c r="D693" s="590"/>
      <c r="E693" s="606"/>
      <c r="F693" s="607"/>
      <c r="G693" s="607"/>
      <c r="H693" s="608"/>
      <c r="I693" s="608"/>
      <c r="J693" s="1616">
        <f t="shared" si="14"/>
        <v>0</v>
      </c>
      <c r="K693" s="613"/>
      <c r="L693" s="613"/>
      <c r="M693" s="613"/>
      <c r="N693" s="617"/>
      <c r="O693" s="267"/>
    </row>
    <row r="694" spans="1:15" s="1" customFormat="1" ht="18" customHeight="1">
      <c r="A694" s="1331"/>
      <c r="B694" s="605"/>
      <c r="C694" s="606"/>
      <c r="D694" s="590"/>
      <c r="E694" s="606"/>
      <c r="F694" s="607"/>
      <c r="G694" s="607"/>
      <c r="H694" s="608"/>
      <c r="I694" s="608"/>
      <c r="J694" s="1616">
        <f t="shared" si="14"/>
        <v>0</v>
      </c>
      <c r="K694" s="613"/>
      <c r="L694" s="613"/>
      <c r="M694" s="613"/>
      <c r="N694" s="617"/>
      <c r="O694" s="267"/>
    </row>
    <row r="695" spans="1:15" s="1" customFormat="1" ht="18" customHeight="1">
      <c r="A695" s="1331"/>
      <c r="B695" s="605"/>
      <c r="C695" s="606"/>
      <c r="D695" s="590"/>
      <c r="E695" s="606"/>
      <c r="F695" s="607"/>
      <c r="G695" s="607"/>
      <c r="H695" s="608"/>
      <c r="I695" s="608"/>
      <c r="J695" s="1616">
        <f t="shared" si="14"/>
        <v>0</v>
      </c>
      <c r="K695" s="613"/>
      <c r="L695" s="613"/>
      <c r="M695" s="613"/>
      <c r="N695" s="617"/>
      <c r="O695" s="267"/>
    </row>
    <row r="696" spans="1:15" s="1" customFormat="1" ht="18" customHeight="1">
      <c r="A696" s="1331"/>
      <c r="B696" s="605"/>
      <c r="C696" s="606"/>
      <c r="D696" s="590"/>
      <c r="E696" s="606"/>
      <c r="F696" s="607"/>
      <c r="G696" s="607"/>
      <c r="H696" s="608"/>
      <c r="I696" s="608"/>
      <c r="J696" s="1616">
        <f t="shared" si="14"/>
        <v>0</v>
      </c>
      <c r="K696" s="613"/>
      <c r="L696" s="613"/>
      <c r="M696" s="613"/>
      <c r="N696" s="617"/>
      <c r="O696" s="267"/>
    </row>
    <row r="697" spans="1:15" s="1" customFormat="1" ht="18" customHeight="1">
      <c r="A697" s="1331"/>
      <c r="B697" s="605"/>
      <c r="C697" s="606"/>
      <c r="D697" s="590"/>
      <c r="E697" s="606"/>
      <c r="F697" s="607"/>
      <c r="G697" s="607"/>
      <c r="H697" s="608"/>
      <c r="I697" s="608"/>
      <c r="J697" s="1616">
        <f t="shared" si="14"/>
        <v>0</v>
      </c>
      <c r="K697" s="613"/>
      <c r="L697" s="613"/>
      <c r="M697" s="613"/>
      <c r="N697" s="617"/>
      <c r="O697" s="267"/>
    </row>
    <row r="698" spans="1:15" s="1" customFormat="1" ht="18" customHeight="1">
      <c r="A698" s="1331"/>
      <c r="B698" s="605"/>
      <c r="C698" s="606"/>
      <c r="D698" s="590"/>
      <c r="E698" s="606"/>
      <c r="F698" s="607"/>
      <c r="G698" s="607"/>
      <c r="H698" s="608"/>
      <c r="I698" s="608"/>
      <c r="J698" s="1616">
        <f t="shared" si="14"/>
        <v>0</v>
      </c>
      <c r="K698" s="613"/>
      <c r="L698" s="613"/>
      <c r="M698" s="613"/>
      <c r="N698" s="617"/>
      <c r="O698" s="267"/>
    </row>
    <row r="699" spans="1:15" s="1" customFormat="1" ht="18" customHeight="1">
      <c r="A699" s="1331"/>
      <c r="B699" s="605"/>
      <c r="C699" s="606"/>
      <c r="D699" s="590"/>
      <c r="E699" s="606"/>
      <c r="F699" s="607"/>
      <c r="G699" s="607"/>
      <c r="H699" s="608"/>
      <c r="I699" s="608"/>
      <c r="J699" s="1616">
        <f t="shared" si="14"/>
        <v>0</v>
      </c>
      <c r="K699" s="613"/>
      <c r="L699" s="613"/>
      <c r="M699" s="613"/>
      <c r="N699" s="617"/>
      <c r="O699" s="267"/>
    </row>
    <row r="700" spans="1:15" s="1" customFormat="1" ht="18" customHeight="1">
      <c r="A700" s="1331"/>
      <c r="B700" s="605"/>
      <c r="C700" s="606"/>
      <c r="D700" s="590"/>
      <c r="E700" s="606"/>
      <c r="F700" s="607"/>
      <c r="G700" s="607"/>
      <c r="H700" s="608"/>
      <c r="I700" s="608"/>
      <c r="J700" s="1616">
        <f t="shared" si="14"/>
        <v>0</v>
      </c>
      <c r="K700" s="613"/>
      <c r="L700" s="613"/>
      <c r="M700" s="613"/>
      <c r="N700" s="617"/>
      <c r="O700" s="267"/>
    </row>
    <row r="701" spans="1:15" s="1" customFormat="1" ht="18" customHeight="1">
      <c r="A701" s="1331"/>
      <c r="B701" s="605"/>
      <c r="C701" s="606"/>
      <c r="D701" s="590"/>
      <c r="E701" s="606"/>
      <c r="F701" s="607"/>
      <c r="G701" s="607"/>
      <c r="H701" s="608"/>
      <c r="I701" s="608"/>
      <c r="J701" s="1616">
        <f t="shared" si="14"/>
        <v>0</v>
      </c>
      <c r="K701" s="613"/>
      <c r="L701" s="613"/>
      <c r="M701" s="613"/>
      <c r="N701" s="617"/>
      <c r="O701" s="267"/>
    </row>
    <row r="702" spans="1:15" s="1" customFormat="1" ht="18" customHeight="1">
      <c r="A702" s="1331"/>
      <c r="B702" s="605"/>
      <c r="C702" s="606"/>
      <c r="D702" s="590"/>
      <c r="E702" s="606"/>
      <c r="F702" s="607"/>
      <c r="G702" s="607"/>
      <c r="H702" s="608"/>
      <c r="I702" s="608"/>
      <c r="J702" s="1616">
        <f t="shared" si="14"/>
        <v>0</v>
      </c>
      <c r="K702" s="613"/>
      <c r="L702" s="613"/>
      <c r="M702" s="613"/>
      <c r="N702" s="617"/>
      <c r="O702" s="267"/>
    </row>
    <row r="703" spans="1:15" s="1" customFormat="1" ht="18" customHeight="1">
      <c r="A703" s="1331"/>
      <c r="B703" s="605"/>
      <c r="C703" s="606"/>
      <c r="D703" s="590"/>
      <c r="E703" s="606"/>
      <c r="F703" s="607"/>
      <c r="G703" s="607"/>
      <c r="H703" s="608"/>
      <c r="I703" s="608"/>
      <c r="J703" s="1616">
        <f t="shared" si="14"/>
        <v>0</v>
      </c>
      <c r="K703" s="613"/>
      <c r="L703" s="613"/>
      <c r="M703" s="613"/>
      <c r="N703" s="617"/>
      <c r="O703" s="267"/>
    </row>
    <row r="704" spans="1:15" s="1" customFormat="1" ht="18" customHeight="1">
      <c r="A704" s="1331"/>
      <c r="B704" s="605"/>
      <c r="C704" s="606"/>
      <c r="D704" s="590"/>
      <c r="E704" s="606"/>
      <c r="F704" s="607"/>
      <c r="G704" s="607"/>
      <c r="H704" s="608"/>
      <c r="I704" s="608"/>
      <c r="J704" s="1616">
        <f t="shared" si="14"/>
        <v>0</v>
      </c>
      <c r="K704" s="613"/>
      <c r="L704" s="613"/>
      <c r="M704" s="613"/>
      <c r="N704" s="617"/>
      <c r="O704" s="267"/>
    </row>
    <row r="705" spans="1:15" s="1" customFormat="1" ht="18" customHeight="1">
      <c r="A705" s="1331"/>
      <c r="B705" s="605"/>
      <c r="C705" s="606"/>
      <c r="D705" s="590"/>
      <c r="E705" s="606"/>
      <c r="F705" s="607"/>
      <c r="G705" s="607"/>
      <c r="H705" s="608"/>
      <c r="I705" s="608"/>
      <c r="J705" s="1616">
        <f t="shared" si="14"/>
        <v>0</v>
      </c>
      <c r="K705" s="613"/>
      <c r="L705" s="613"/>
      <c r="M705" s="613"/>
      <c r="N705" s="617"/>
      <c r="O705" s="267"/>
    </row>
    <row r="706" spans="1:15" s="1" customFormat="1" ht="18" customHeight="1">
      <c r="A706" s="1331"/>
      <c r="B706" s="605"/>
      <c r="C706" s="606"/>
      <c r="D706" s="590"/>
      <c r="E706" s="606"/>
      <c r="F706" s="607"/>
      <c r="G706" s="607"/>
      <c r="H706" s="608"/>
      <c r="I706" s="608"/>
      <c r="J706" s="1616">
        <f t="shared" si="14"/>
        <v>0</v>
      </c>
      <c r="K706" s="613"/>
      <c r="L706" s="613"/>
      <c r="M706" s="613"/>
      <c r="N706" s="617"/>
      <c r="O706" s="267"/>
    </row>
    <row r="707" spans="1:15" s="1" customFormat="1" ht="18" customHeight="1">
      <c r="A707" s="1331"/>
      <c r="B707" s="605"/>
      <c r="C707" s="606"/>
      <c r="D707" s="590"/>
      <c r="E707" s="606"/>
      <c r="F707" s="607"/>
      <c r="G707" s="607"/>
      <c r="H707" s="608"/>
      <c r="I707" s="608"/>
      <c r="J707" s="1616">
        <f t="shared" si="14"/>
        <v>0</v>
      </c>
      <c r="K707" s="613"/>
      <c r="L707" s="613"/>
      <c r="M707" s="613"/>
      <c r="N707" s="617"/>
      <c r="O707" s="267"/>
    </row>
    <row r="708" spans="1:15" s="1" customFormat="1" ht="18" customHeight="1">
      <c r="A708" s="1331"/>
      <c r="B708" s="605"/>
      <c r="C708" s="606"/>
      <c r="D708" s="590"/>
      <c r="E708" s="606"/>
      <c r="F708" s="607"/>
      <c r="G708" s="607"/>
      <c r="H708" s="608"/>
      <c r="I708" s="608"/>
      <c r="J708" s="1616">
        <f t="shared" si="14"/>
        <v>0</v>
      </c>
      <c r="K708" s="613"/>
      <c r="L708" s="613"/>
      <c r="M708" s="613"/>
      <c r="N708" s="617"/>
      <c r="O708" s="267"/>
    </row>
    <row r="709" spans="1:15" s="1" customFormat="1" ht="18" customHeight="1">
      <c r="A709" s="1331"/>
      <c r="B709" s="605"/>
      <c r="C709" s="606"/>
      <c r="D709" s="590"/>
      <c r="E709" s="606"/>
      <c r="F709" s="607"/>
      <c r="G709" s="607"/>
      <c r="H709" s="608"/>
      <c r="I709" s="608"/>
      <c r="J709" s="1616">
        <f t="shared" si="14"/>
        <v>0</v>
      </c>
      <c r="K709" s="613"/>
      <c r="L709" s="613"/>
      <c r="M709" s="613"/>
      <c r="N709" s="617"/>
      <c r="O709" s="267"/>
    </row>
    <row r="710" spans="1:15" s="1" customFormat="1" ht="18" customHeight="1">
      <c r="A710" s="1331"/>
      <c r="B710" s="605"/>
      <c r="C710" s="606"/>
      <c r="D710" s="590"/>
      <c r="E710" s="606"/>
      <c r="F710" s="607"/>
      <c r="G710" s="607"/>
      <c r="H710" s="608"/>
      <c r="I710" s="608"/>
      <c r="J710" s="1616">
        <f t="shared" si="14"/>
        <v>0</v>
      </c>
      <c r="K710" s="613"/>
      <c r="L710" s="613"/>
      <c r="M710" s="613"/>
      <c r="N710" s="617"/>
      <c r="O710" s="267"/>
    </row>
    <row r="711" spans="1:15" s="1" customFormat="1" ht="18" customHeight="1">
      <c r="A711" s="1331"/>
      <c r="B711" s="605"/>
      <c r="C711" s="606"/>
      <c r="D711" s="590"/>
      <c r="E711" s="606"/>
      <c r="F711" s="607"/>
      <c r="G711" s="607"/>
      <c r="H711" s="608"/>
      <c r="I711" s="608"/>
      <c r="J711" s="1616">
        <f t="shared" si="14"/>
        <v>0</v>
      </c>
      <c r="K711" s="613"/>
      <c r="L711" s="613"/>
      <c r="M711" s="613"/>
      <c r="N711" s="617"/>
      <c r="O711" s="267"/>
    </row>
    <row r="712" spans="1:15" s="1" customFormat="1" ht="18" customHeight="1">
      <c r="A712" s="1331"/>
      <c r="B712" s="605"/>
      <c r="C712" s="606"/>
      <c r="D712" s="590"/>
      <c r="E712" s="606"/>
      <c r="F712" s="607"/>
      <c r="G712" s="607"/>
      <c r="H712" s="608"/>
      <c r="I712" s="608"/>
      <c r="J712" s="1616">
        <f t="shared" si="14"/>
        <v>0</v>
      </c>
      <c r="K712" s="613"/>
      <c r="L712" s="613"/>
      <c r="M712" s="613"/>
      <c r="N712" s="617"/>
      <c r="O712" s="267"/>
    </row>
    <row r="713" spans="1:15" s="1" customFormat="1" ht="18" customHeight="1">
      <c r="A713" s="1331"/>
      <c r="B713" s="605"/>
      <c r="C713" s="606"/>
      <c r="D713" s="590"/>
      <c r="E713" s="606"/>
      <c r="F713" s="607"/>
      <c r="G713" s="607"/>
      <c r="H713" s="608"/>
      <c r="I713" s="608"/>
      <c r="J713" s="1616">
        <f t="shared" si="14"/>
        <v>0</v>
      </c>
      <c r="K713" s="613"/>
      <c r="L713" s="613"/>
      <c r="M713" s="613"/>
      <c r="N713" s="617"/>
      <c r="O713" s="267"/>
    </row>
    <row r="714" spans="1:15" s="1" customFormat="1" ht="18" customHeight="1">
      <c r="A714" s="1331"/>
      <c r="B714" s="605"/>
      <c r="C714" s="606"/>
      <c r="D714" s="590"/>
      <c r="E714" s="606"/>
      <c r="F714" s="607"/>
      <c r="G714" s="607"/>
      <c r="H714" s="608"/>
      <c r="I714" s="608"/>
      <c r="J714" s="1616">
        <f t="shared" si="14"/>
        <v>0</v>
      </c>
      <c r="K714" s="613"/>
      <c r="L714" s="613"/>
      <c r="M714" s="613"/>
      <c r="N714" s="617"/>
      <c r="O714" s="267"/>
    </row>
    <row r="715" spans="1:15" s="1" customFormat="1" ht="18" customHeight="1">
      <c r="A715" s="1331"/>
      <c r="B715" s="605"/>
      <c r="C715" s="606"/>
      <c r="D715" s="590"/>
      <c r="E715" s="606"/>
      <c r="F715" s="607"/>
      <c r="G715" s="607"/>
      <c r="H715" s="608"/>
      <c r="I715" s="608"/>
      <c r="J715" s="1616">
        <f t="shared" si="14"/>
        <v>0</v>
      </c>
      <c r="K715" s="613"/>
      <c r="L715" s="613"/>
      <c r="M715" s="613"/>
      <c r="N715" s="617"/>
      <c r="O715" s="267"/>
    </row>
    <row r="716" spans="1:15" s="1" customFormat="1" ht="18" customHeight="1">
      <c r="A716" s="1331"/>
      <c r="B716" s="605"/>
      <c r="C716" s="606"/>
      <c r="D716" s="590"/>
      <c r="E716" s="606"/>
      <c r="F716" s="607"/>
      <c r="G716" s="607"/>
      <c r="H716" s="608"/>
      <c r="I716" s="608"/>
      <c r="J716" s="1616">
        <f t="shared" si="14"/>
        <v>0</v>
      </c>
      <c r="K716" s="613"/>
      <c r="L716" s="613"/>
      <c r="M716" s="613"/>
      <c r="N716" s="617"/>
      <c r="O716" s="267"/>
    </row>
    <row r="717" spans="1:15" s="1" customFormat="1" ht="18" customHeight="1">
      <c r="A717" s="1331"/>
      <c r="B717" s="605"/>
      <c r="C717" s="606"/>
      <c r="D717" s="590"/>
      <c r="E717" s="606"/>
      <c r="F717" s="607"/>
      <c r="G717" s="607"/>
      <c r="H717" s="608"/>
      <c r="I717" s="608"/>
      <c r="J717" s="1616">
        <f t="shared" si="14"/>
        <v>0</v>
      </c>
      <c r="K717" s="613"/>
      <c r="L717" s="613"/>
      <c r="M717" s="613"/>
      <c r="N717" s="617"/>
      <c r="O717" s="267"/>
    </row>
    <row r="718" spans="1:15" s="1" customFormat="1" ht="18" customHeight="1">
      <c r="A718" s="1331"/>
      <c r="B718" s="605"/>
      <c r="C718" s="606"/>
      <c r="D718" s="590"/>
      <c r="E718" s="606"/>
      <c r="F718" s="607"/>
      <c r="G718" s="607"/>
      <c r="H718" s="608"/>
      <c r="I718" s="608"/>
      <c r="J718" s="1616">
        <f t="shared" si="14"/>
        <v>0</v>
      </c>
      <c r="K718" s="613"/>
      <c r="L718" s="613"/>
      <c r="M718" s="613"/>
      <c r="N718" s="617"/>
      <c r="O718" s="267"/>
    </row>
    <row r="719" spans="1:15" s="1" customFormat="1" ht="18" customHeight="1">
      <c r="A719" s="1331"/>
      <c r="B719" s="605"/>
      <c r="C719" s="606"/>
      <c r="D719" s="590"/>
      <c r="E719" s="606"/>
      <c r="F719" s="607"/>
      <c r="G719" s="607"/>
      <c r="H719" s="608"/>
      <c r="I719" s="608"/>
      <c r="J719" s="1616">
        <f t="shared" si="14"/>
        <v>0</v>
      </c>
      <c r="K719" s="613"/>
      <c r="L719" s="613"/>
      <c r="M719" s="613"/>
      <c r="N719" s="617"/>
      <c r="O719" s="267"/>
    </row>
    <row r="720" spans="1:15" s="1" customFormat="1" ht="18" customHeight="1">
      <c r="A720" s="1331"/>
      <c r="B720" s="605"/>
      <c r="C720" s="606"/>
      <c r="D720" s="590"/>
      <c r="E720" s="606"/>
      <c r="F720" s="607"/>
      <c r="G720" s="607"/>
      <c r="H720" s="608"/>
      <c r="I720" s="608"/>
      <c r="J720" s="1616">
        <f t="shared" si="14"/>
        <v>0</v>
      </c>
      <c r="K720" s="613"/>
      <c r="L720" s="613"/>
      <c r="M720" s="613"/>
      <c r="N720" s="617"/>
      <c r="O720" s="267"/>
    </row>
    <row r="721" spans="1:15" s="1" customFormat="1" ht="18" customHeight="1">
      <c r="A721" s="1331"/>
      <c r="B721" s="605"/>
      <c r="C721" s="606"/>
      <c r="D721" s="590"/>
      <c r="E721" s="606"/>
      <c r="F721" s="607"/>
      <c r="G721" s="607"/>
      <c r="H721" s="608"/>
      <c r="I721" s="608"/>
      <c r="J721" s="1616">
        <f t="shared" si="14"/>
        <v>0</v>
      </c>
      <c r="K721" s="613"/>
      <c r="L721" s="613"/>
      <c r="M721" s="613"/>
      <c r="N721" s="617"/>
      <c r="O721" s="267"/>
    </row>
    <row r="722" spans="1:15" s="1" customFormat="1" ht="18" customHeight="1">
      <c r="A722" s="1331"/>
      <c r="B722" s="605"/>
      <c r="C722" s="606"/>
      <c r="D722" s="590"/>
      <c r="E722" s="606"/>
      <c r="F722" s="607"/>
      <c r="G722" s="607"/>
      <c r="H722" s="608"/>
      <c r="I722" s="608"/>
      <c r="J722" s="1616">
        <f t="shared" si="14"/>
        <v>0</v>
      </c>
      <c r="K722" s="613"/>
      <c r="L722" s="613"/>
      <c r="M722" s="613"/>
      <c r="N722" s="617"/>
      <c r="O722" s="267"/>
    </row>
    <row r="723" spans="1:15" s="1" customFormat="1" ht="18" customHeight="1">
      <c r="A723" s="1331"/>
      <c r="B723" s="605"/>
      <c r="C723" s="606"/>
      <c r="D723" s="590"/>
      <c r="E723" s="606"/>
      <c r="F723" s="607"/>
      <c r="G723" s="607"/>
      <c r="H723" s="608"/>
      <c r="I723" s="608"/>
      <c r="J723" s="1616">
        <f t="shared" si="14"/>
        <v>0</v>
      </c>
      <c r="K723" s="613"/>
      <c r="L723" s="613"/>
      <c r="M723" s="613"/>
      <c r="N723" s="617"/>
      <c r="O723" s="267"/>
    </row>
    <row r="724" spans="1:15" s="1" customFormat="1" ht="18" customHeight="1">
      <c r="A724" s="1331"/>
      <c r="B724" s="605"/>
      <c r="C724" s="606"/>
      <c r="D724" s="590"/>
      <c r="E724" s="606"/>
      <c r="F724" s="607"/>
      <c r="G724" s="607"/>
      <c r="H724" s="608"/>
      <c r="I724" s="608"/>
      <c r="J724" s="1616">
        <f t="shared" si="14"/>
        <v>0</v>
      </c>
      <c r="K724" s="613"/>
      <c r="L724" s="613"/>
      <c r="M724" s="613"/>
      <c r="N724" s="617"/>
      <c r="O724" s="267"/>
    </row>
    <row r="725" spans="1:15" s="1" customFormat="1" ht="18" customHeight="1">
      <c r="A725" s="1331"/>
      <c r="B725" s="605"/>
      <c r="C725" s="606"/>
      <c r="D725" s="590"/>
      <c r="E725" s="606"/>
      <c r="F725" s="607"/>
      <c r="G725" s="607"/>
      <c r="H725" s="608"/>
      <c r="I725" s="608"/>
      <c r="J725" s="1616">
        <f t="shared" si="14"/>
        <v>0</v>
      </c>
      <c r="K725" s="613"/>
      <c r="L725" s="613"/>
      <c r="M725" s="613"/>
      <c r="N725" s="617"/>
      <c r="O725" s="267"/>
    </row>
    <row r="726" spans="1:15" s="1" customFormat="1" ht="18" customHeight="1">
      <c r="A726" s="1331"/>
      <c r="B726" s="605"/>
      <c r="C726" s="606"/>
      <c r="D726" s="590"/>
      <c r="E726" s="606"/>
      <c r="F726" s="607"/>
      <c r="G726" s="607"/>
      <c r="H726" s="608"/>
      <c r="I726" s="608"/>
      <c r="J726" s="1616">
        <f t="shared" si="14"/>
        <v>0</v>
      </c>
      <c r="K726" s="613"/>
      <c r="L726" s="613"/>
      <c r="M726" s="613"/>
      <c r="N726" s="617"/>
      <c r="O726" s="267"/>
    </row>
    <row r="727" spans="1:15" s="1" customFormat="1" ht="18" customHeight="1">
      <c r="A727" s="1331"/>
      <c r="B727" s="605"/>
      <c r="C727" s="606"/>
      <c r="D727" s="590"/>
      <c r="E727" s="606"/>
      <c r="F727" s="607"/>
      <c r="G727" s="607"/>
      <c r="H727" s="608"/>
      <c r="I727" s="608"/>
      <c r="J727" s="1616">
        <f t="shared" si="14"/>
        <v>0</v>
      </c>
      <c r="K727" s="613"/>
      <c r="L727" s="613"/>
      <c r="M727" s="613"/>
      <c r="N727" s="617"/>
      <c r="O727" s="267"/>
    </row>
    <row r="728" spans="1:15" s="1" customFormat="1" ht="18" customHeight="1">
      <c r="A728" s="1331"/>
      <c r="B728" s="605"/>
      <c r="C728" s="606"/>
      <c r="D728" s="590"/>
      <c r="E728" s="606"/>
      <c r="F728" s="607"/>
      <c r="G728" s="607"/>
      <c r="H728" s="608"/>
      <c r="I728" s="608"/>
      <c r="J728" s="1616">
        <f t="shared" si="14"/>
        <v>0</v>
      </c>
      <c r="K728" s="613"/>
      <c r="L728" s="613"/>
      <c r="M728" s="613"/>
      <c r="N728" s="617"/>
      <c r="O728" s="267"/>
    </row>
    <row r="729" spans="1:15" s="1" customFormat="1" ht="18" customHeight="1">
      <c r="A729" s="1331"/>
      <c r="B729" s="605"/>
      <c r="C729" s="606"/>
      <c r="D729" s="590"/>
      <c r="E729" s="606"/>
      <c r="F729" s="607"/>
      <c r="G729" s="607"/>
      <c r="H729" s="608"/>
      <c r="I729" s="608"/>
      <c r="J729" s="1616">
        <f t="shared" si="14"/>
        <v>0</v>
      </c>
      <c r="K729" s="613"/>
      <c r="L729" s="613"/>
      <c r="M729" s="613"/>
      <c r="N729" s="617"/>
      <c r="O729" s="267"/>
    </row>
    <row r="730" spans="1:15" s="1" customFormat="1" ht="18" customHeight="1">
      <c r="A730" s="1331"/>
      <c r="B730" s="605"/>
      <c r="C730" s="606"/>
      <c r="D730" s="590"/>
      <c r="E730" s="606"/>
      <c r="F730" s="607"/>
      <c r="G730" s="607"/>
      <c r="H730" s="608"/>
      <c r="I730" s="608"/>
      <c r="J730" s="1616">
        <f t="shared" si="14"/>
        <v>0</v>
      </c>
      <c r="K730" s="613"/>
      <c r="L730" s="613"/>
      <c r="M730" s="613"/>
      <c r="N730" s="617"/>
      <c r="O730" s="267"/>
    </row>
    <row r="731" spans="1:15" s="1" customFormat="1" ht="18" customHeight="1">
      <c r="A731" s="1331"/>
      <c r="B731" s="605"/>
      <c r="C731" s="606"/>
      <c r="D731" s="590"/>
      <c r="E731" s="606"/>
      <c r="F731" s="607"/>
      <c r="G731" s="607"/>
      <c r="H731" s="608"/>
      <c r="I731" s="608"/>
      <c r="J731" s="1616">
        <f t="shared" si="14"/>
        <v>0</v>
      </c>
      <c r="K731" s="613"/>
      <c r="L731" s="613"/>
      <c r="M731" s="613"/>
      <c r="N731" s="617"/>
      <c r="O731" s="267"/>
    </row>
    <row r="732" spans="1:15" s="1" customFormat="1" ht="18" customHeight="1">
      <c r="A732" s="1331"/>
      <c r="B732" s="605"/>
      <c r="C732" s="606"/>
      <c r="D732" s="590"/>
      <c r="E732" s="606"/>
      <c r="F732" s="607"/>
      <c r="G732" s="607"/>
      <c r="H732" s="608"/>
      <c r="I732" s="608"/>
      <c r="J732" s="1616">
        <f t="shared" si="14"/>
        <v>0</v>
      </c>
      <c r="K732" s="613"/>
      <c r="L732" s="613"/>
      <c r="M732" s="613"/>
      <c r="N732" s="617"/>
      <c r="O732" s="267"/>
    </row>
    <row r="733" spans="1:15" s="1" customFormat="1" ht="18" customHeight="1">
      <c r="A733" s="1331"/>
      <c r="B733" s="605"/>
      <c r="C733" s="606"/>
      <c r="D733" s="590"/>
      <c r="E733" s="606"/>
      <c r="F733" s="607"/>
      <c r="G733" s="607"/>
      <c r="H733" s="608"/>
      <c r="I733" s="608"/>
      <c r="J733" s="1616">
        <f t="shared" si="14"/>
        <v>0</v>
      </c>
      <c r="K733" s="613"/>
      <c r="L733" s="613"/>
      <c r="M733" s="613"/>
      <c r="N733" s="617"/>
      <c r="O733" s="267"/>
    </row>
    <row r="734" spans="1:15" s="1" customFormat="1" ht="18" customHeight="1">
      <c r="A734" s="1331"/>
      <c r="B734" s="605"/>
      <c r="C734" s="606"/>
      <c r="D734" s="590"/>
      <c r="E734" s="606"/>
      <c r="F734" s="607"/>
      <c r="G734" s="607"/>
      <c r="H734" s="608"/>
      <c r="I734" s="608"/>
      <c r="J734" s="1616">
        <f t="shared" si="14"/>
        <v>0</v>
      </c>
      <c r="K734" s="613"/>
      <c r="L734" s="613"/>
      <c r="M734" s="613"/>
      <c r="N734" s="617"/>
      <c r="O734" s="267"/>
    </row>
    <row r="735" spans="1:15" s="1" customFormat="1" ht="18" customHeight="1">
      <c r="A735" s="1331"/>
      <c r="B735" s="605"/>
      <c r="C735" s="606"/>
      <c r="D735" s="590"/>
      <c r="E735" s="606"/>
      <c r="F735" s="607"/>
      <c r="G735" s="607"/>
      <c r="H735" s="608"/>
      <c r="I735" s="608"/>
      <c r="J735" s="1616">
        <f t="shared" si="14"/>
        <v>0</v>
      </c>
      <c r="K735" s="613"/>
      <c r="L735" s="613"/>
      <c r="M735" s="613"/>
      <c r="N735" s="617"/>
      <c r="O735" s="267"/>
    </row>
    <row r="736" spans="1:15" s="1" customFormat="1" ht="18" customHeight="1">
      <c r="A736" s="1331"/>
      <c r="B736" s="605"/>
      <c r="C736" s="606"/>
      <c r="D736" s="590"/>
      <c r="E736" s="606"/>
      <c r="F736" s="607"/>
      <c r="G736" s="607"/>
      <c r="H736" s="608"/>
      <c r="I736" s="608"/>
      <c r="J736" s="1616">
        <f t="shared" si="14"/>
        <v>0</v>
      </c>
      <c r="K736" s="613"/>
      <c r="L736" s="613"/>
      <c r="M736" s="613"/>
      <c r="N736" s="617"/>
      <c r="O736" s="267"/>
    </row>
    <row r="737" spans="1:15" s="1" customFormat="1" ht="18" customHeight="1">
      <c r="A737" s="1331"/>
      <c r="B737" s="605"/>
      <c r="C737" s="606"/>
      <c r="D737" s="590"/>
      <c r="E737" s="606"/>
      <c r="F737" s="607"/>
      <c r="G737" s="607"/>
      <c r="H737" s="608"/>
      <c r="I737" s="608"/>
      <c r="J737" s="1616">
        <f t="shared" si="14"/>
        <v>0</v>
      </c>
      <c r="K737" s="613"/>
      <c r="L737" s="613"/>
      <c r="M737" s="613"/>
      <c r="N737" s="617"/>
      <c r="O737" s="267"/>
    </row>
    <row r="738" spans="1:15" s="1" customFormat="1" ht="18" customHeight="1">
      <c r="A738" s="1331"/>
      <c r="B738" s="605"/>
      <c r="C738" s="606"/>
      <c r="D738" s="590"/>
      <c r="E738" s="606"/>
      <c r="F738" s="607"/>
      <c r="G738" s="607"/>
      <c r="H738" s="608"/>
      <c r="I738" s="608"/>
      <c r="J738" s="1616">
        <f t="shared" si="14"/>
        <v>0</v>
      </c>
      <c r="K738" s="613"/>
      <c r="L738" s="613"/>
      <c r="M738" s="613"/>
      <c r="N738" s="617"/>
      <c r="O738" s="267"/>
    </row>
    <row r="739" spans="1:15" s="1" customFormat="1" ht="18" customHeight="1">
      <c r="A739" s="1331"/>
      <c r="B739" s="605"/>
      <c r="C739" s="606"/>
      <c r="D739" s="590"/>
      <c r="E739" s="606"/>
      <c r="F739" s="607"/>
      <c r="G739" s="607"/>
      <c r="H739" s="608"/>
      <c r="I739" s="608"/>
      <c r="J739" s="1616">
        <f t="shared" ref="J739:J802" si="15">G739*I739</f>
        <v>0</v>
      </c>
      <c r="K739" s="613"/>
      <c r="L739" s="613"/>
      <c r="M739" s="613"/>
      <c r="N739" s="617"/>
      <c r="O739" s="267"/>
    </row>
    <row r="740" spans="1:15" s="1" customFormat="1" ht="18" customHeight="1">
      <c r="A740" s="1331"/>
      <c r="B740" s="605"/>
      <c r="C740" s="606"/>
      <c r="D740" s="590"/>
      <c r="E740" s="606"/>
      <c r="F740" s="607"/>
      <c r="G740" s="607"/>
      <c r="H740" s="608"/>
      <c r="I740" s="608"/>
      <c r="J740" s="1616">
        <f t="shared" si="15"/>
        <v>0</v>
      </c>
      <c r="K740" s="613"/>
      <c r="L740" s="613"/>
      <c r="M740" s="613"/>
      <c r="N740" s="617"/>
      <c r="O740" s="267"/>
    </row>
    <row r="741" spans="1:15" s="1" customFormat="1" ht="18" customHeight="1">
      <c r="A741" s="1331"/>
      <c r="B741" s="605"/>
      <c r="C741" s="606"/>
      <c r="D741" s="590"/>
      <c r="E741" s="606"/>
      <c r="F741" s="607"/>
      <c r="G741" s="607"/>
      <c r="H741" s="608"/>
      <c r="I741" s="608"/>
      <c r="J741" s="1616">
        <f t="shared" si="15"/>
        <v>0</v>
      </c>
      <c r="K741" s="613"/>
      <c r="L741" s="613"/>
      <c r="M741" s="613"/>
      <c r="N741" s="617"/>
      <c r="O741" s="267"/>
    </row>
    <row r="742" spans="1:15" s="1" customFormat="1" ht="18" customHeight="1">
      <c r="A742" s="1331"/>
      <c r="B742" s="605"/>
      <c r="C742" s="606"/>
      <c r="D742" s="590"/>
      <c r="E742" s="606"/>
      <c r="F742" s="607"/>
      <c r="G742" s="607"/>
      <c r="H742" s="608"/>
      <c r="I742" s="608"/>
      <c r="J742" s="1616">
        <f t="shared" si="15"/>
        <v>0</v>
      </c>
      <c r="K742" s="613"/>
      <c r="L742" s="613"/>
      <c r="M742" s="613"/>
      <c r="N742" s="617"/>
      <c r="O742" s="267"/>
    </row>
    <row r="743" spans="1:15" s="1" customFormat="1" ht="18" customHeight="1">
      <c r="A743" s="1331"/>
      <c r="B743" s="605"/>
      <c r="C743" s="606"/>
      <c r="D743" s="590"/>
      <c r="E743" s="606"/>
      <c r="F743" s="607"/>
      <c r="G743" s="607"/>
      <c r="H743" s="608"/>
      <c r="I743" s="608"/>
      <c r="J743" s="1616">
        <f t="shared" si="15"/>
        <v>0</v>
      </c>
      <c r="K743" s="613"/>
      <c r="L743" s="613"/>
      <c r="M743" s="613"/>
      <c r="N743" s="617"/>
      <c r="O743" s="267"/>
    </row>
    <row r="744" spans="1:15" s="1" customFormat="1" ht="18" customHeight="1">
      <c r="A744" s="1331"/>
      <c r="B744" s="605"/>
      <c r="C744" s="606"/>
      <c r="D744" s="590"/>
      <c r="E744" s="606"/>
      <c r="F744" s="607"/>
      <c r="G744" s="607"/>
      <c r="H744" s="608"/>
      <c r="I744" s="608"/>
      <c r="J744" s="1616">
        <f t="shared" si="15"/>
        <v>0</v>
      </c>
      <c r="K744" s="613"/>
      <c r="L744" s="613"/>
      <c r="M744" s="613"/>
      <c r="N744" s="617"/>
      <c r="O744" s="267"/>
    </row>
    <row r="745" spans="1:15" s="1" customFormat="1" ht="18" customHeight="1">
      <c r="A745" s="1331"/>
      <c r="B745" s="605"/>
      <c r="C745" s="606"/>
      <c r="D745" s="590"/>
      <c r="E745" s="606"/>
      <c r="F745" s="607"/>
      <c r="G745" s="607"/>
      <c r="H745" s="608"/>
      <c r="I745" s="608"/>
      <c r="J745" s="1616">
        <f t="shared" si="15"/>
        <v>0</v>
      </c>
      <c r="K745" s="613"/>
      <c r="L745" s="613"/>
      <c r="M745" s="613"/>
      <c r="N745" s="617"/>
      <c r="O745" s="267"/>
    </row>
    <row r="746" spans="1:15" s="1" customFormat="1" ht="18" customHeight="1">
      <c r="A746" s="1331"/>
      <c r="B746" s="605"/>
      <c r="C746" s="606"/>
      <c r="D746" s="590"/>
      <c r="E746" s="606"/>
      <c r="F746" s="607"/>
      <c r="G746" s="607"/>
      <c r="H746" s="608"/>
      <c r="I746" s="608"/>
      <c r="J746" s="1616">
        <f t="shared" si="15"/>
        <v>0</v>
      </c>
      <c r="K746" s="613"/>
      <c r="L746" s="613"/>
      <c r="M746" s="613"/>
      <c r="N746" s="617"/>
      <c r="O746" s="267"/>
    </row>
    <row r="747" spans="1:15" s="1" customFormat="1" ht="18" customHeight="1">
      <c r="A747" s="1331"/>
      <c r="B747" s="605"/>
      <c r="C747" s="606"/>
      <c r="D747" s="590"/>
      <c r="E747" s="606"/>
      <c r="F747" s="607"/>
      <c r="G747" s="607"/>
      <c r="H747" s="608"/>
      <c r="I747" s="608"/>
      <c r="J747" s="1616">
        <f t="shared" si="15"/>
        <v>0</v>
      </c>
      <c r="K747" s="613"/>
      <c r="L747" s="613"/>
      <c r="M747" s="613"/>
      <c r="N747" s="617"/>
      <c r="O747" s="267"/>
    </row>
    <row r="748" spans="1:15" s="1" customFormat="1" ht="18" customHeight="1">
      <c r="A748" s="1331"/>
      <c r="B748" s="605"/>
      <c r="C748" s="606"/>
      <c r="D748" s="590"/>
      <c r="E748" s="606"/>
      <c r="F748" s="607"/>
      <c r="G748" s="607"/>
      <c r="H748" s="608"/>
      <c r="I748" s="608"/>
      <c r="J748" s="1616">
        <f t="shared" si="15"/>
        <v>0</v>
      </c>
      <c r="K748" s="613"/>
      <c r="L748" s="613"/>
      <c r="M748" s="613"/>
      <c r="N748" s="617"/>
      <c r="O748" s="267"/>
    </row>
    <row r="749" spans="1:15" s="1" customFormat="1" ht="18" customHeight="1">
      <c r="A749" s="1331"/>
      <c r="B749" s="605"/>
      <c r="C749" s="606"/>
      <c r="D749" s="590"/>
      <c r="E749" s="606"/>
      <c r="F749" s="607"/>
      <c r="G749" s="607"/>
      <c r="H749" s="608"/>
      <c r="I749" s="608"/>
      <c r="J749" s="1616">
        <f t="shared" si="15"/>
        <v>0</v>
      </c>
      <c r="K749" s="613"/>
      <c r="L749" s="613"/>
      <c r="M749" s="613"/>
      <c r="N749" s="617"/>
      <c r="O749" s="267"/>
    </row>
    <row r="750" spans="1:15" s="1" customFormat="1" ht="18" customHeight="1">
      <c r="A750" s="1331"/>
      <c r="B750" s="605"/>
      <c r="C750" s="606"/>
      <c r="D750" s="590"/>
      <c r="E750" s="606"/>
      <c r="F750" s="607"/>
      <c r="G750" s="607"/>
      <c r="H750" s="608"/>
      <c r="I750" s="608"/>
      <c r="J750" s="1616">
        <f t="shared" si="15"/>
        <v>0</v>
      </c>
      <c r="K750" s="613"/>
      <c r="L750" s="613"/>
      <c r="M750" s="613"/>
      <c r="N750" s="617"/>
      <c r="O750" s="267"/>
    </row>
    <row r="751" spans="1:15" s="1" customFormat="1" ht="18" customHeight="1">
      <c r="A751" s="1331"/>
      <c r="B751" s="605"/>
      <c r="C751" s="606"/>
      <c r="D751" s="590"/>
      <c r="E751" s="606"/>
      <c r="F751" s="607"/>
      <c r="G751" s="607"/>
      <c r="H751" s="608"/>
      <c r="I751" s="608"/>
      <c r="J751" s="1616">
        <f t="shared" si="15"/>
        <v>0</v>
      </c>
      <c r="K751" s="613"/>
      <c r="L751" s="613"/>
      <c r="M751" s="613"/>
      <c r="N751" s="617"/>
      <c r="O751" s="267"/>
    </row>
    <row r="752" spans="1:15" s="1" customFormat="1" ht="18" customHeight="1">
      <c r="A752" s="1331"/>
      <c r="B752" s="605"/>
      <c r="C752" s="606"/>
      <c r="D752" s="590"/>
      <c r="E752" s="606"/>
      <c r="F752" s="607"/>
      <c r="G752" s="607"/>
      <c r="H752" s="608"/>
      <c r="I752" s="608"/>
      <c r="J752" s="1616">
        <f t="shared" si="15"/>
        <v>0</v>
      </c>
      <c r="K752" s="613"/>
      <c r="L752" s="613"/>
      <c r="M752" s="613"/>
      <c r="N752" s="617"/>
      <c r="O752" s="267"/>
    </row>
    <row r="753" spans="1:15" s="1" customFormat="1" ht="18" customHeight="1">
      <c r="A753" s="1331"/>
      <c r="B753" s="605"/>
      <c r="C753" s="606"/>
      <c r="D753" s="590"/>
      <c r="E753" s="606"/>
      <c r="F753" s="607"/>
      <c r="G753" s="607"/>
      <c r="H753" s="608"/>
      <c r="I753" s="608"/>
      <c r="J753" s="1616">
        <f t="shared" si="15"/>
        <v>0</v>
      </c>
      <c r="K753" s="613"/>
      <c r="L753" s="613"/>
      <c r="M753" s="613"/>
      <c r="N753" s="617"/>
      <c r="O753" s="267"/>
    </row>
    <row r="754" spans="1:15" s="1" customFormat="1" ht="18" customHeight="1">
      <c r="A754" s="1331"/>
      <c r="B754" s="605"/>
      <c r="C754" s="606"/>
      <c r="D754" s="590"/>
      <c r="E754" s="606"/>
      <c r="F754" s="607"/>
      <c r="G754" s="607"/>
      <c r="H754" s="608"/>
      <c r="I754" s="608"/>
      <c r="J754" s="1616">
        <f t="shared" si="15"/>
        <v>0</v>
      </c>
      <c r="K754" s="613"/>
      <c r="L754" s="613"/>
      <c r="M754" s="613"/>
      <c r="N754" s="617"/>
      <c r="O754" s="267"/>
    </row>
    <row r="755" spans="1:15" s="1" customFormat="1" ht="18" customHeight="1">
      <c r="A755" s="1331"/>
      <c r="B755" s="605"/>
      <c r="C755" s="606"/>
      <c r="D755" s="590"/>
      <c r="E755" s="606"/>
      <c r="F755" s="607"/>
      <c r="G755" s="607"/>
      <c r="H755" s="608"/>
      <c r="I755" s="608"/>
      <c r="J755" s="1616">
        <f t="shared" si="15"/>
        <v>0</v>
      </c>
      <c r="K755" s="613"/>
      <c r="L755" s="613"/>
      <c r="M755" s="613"/>
      <c r="N755" s="617"/>
      <c r="O755" s="267"/>
    </row>
    <row r="756" spans="1:15" s="1" customFormat="1" ht="18" customHeight="1">
      <c r="A756" s="1331"/>
      <c r="B756" s="605"/>
      <c r="C756" s="606"/>
      <c r="D756" s="590"/>
      <c r="E756" s="606"/>
      <c r="F756" s="607"/>
      <c r="G756" s="607"/>
      <c r="H756" s="608"/>
      <c r="I756" s="608"/>
      <c r="J756" s="1616">
        <f t="shared" si="15"/>
        <v>0</v>
      </c>
      <c r="K756" s="613"/>
      <c r="L756" s="613"/>
      <c r="M756" s="613"/>
      <c r="N756" s="617"/>
      <c r="O756" s="267"/>
    </row>
    <row r="757" spans="1:15" s="1" customFormat="1" ht="18" customHeight="1">
      <c r="A757" s="1331"/>
      <c r="B757" s="605"/>
      <c r="C757" s="606"/>
      <c r="D757" s="590"/>
      <c r="E757" s="606"/>
      <c r="F757" s="607"/>
      <c r="G757" s="607"/>
      <c r="H757" s="608"/>
      <c r="I757" s="608"/>
      <c r="J757" s="1616">
        <f t="shared" si="15"/>
        <v>0</v>
      </c>
      <c r="K757" s="613"/>
      <c r="L757" s="613"/>
      <c r="M757" s="613"/>
      <c r="N757" s="617"/>
      <c r="O757" s="267"/>
    </row>
    <row r="758" spans="1:15" s="1" customFormat="1" ht="18" customHeight="1">
      <c r="A758" s="1331"/>
      <c r="B758" s="605"/>
      <c r="C758" s="606"/>
      <c r="D758" s="590"/>
      <c r="E758" s="606"/>
      <c r="F758" s="607"/>
      <c r="G758" s="607"/>
      <c r="H758" s="608"/>
      <c r="I758" s="608"/>
      <c r="J758" s="1616">
        <f t="shared" si="15"/>
        <v>0</v>
      </c>
      <c r="K758" s="613"/>
      <c r="L758" s="613"/>
      <c r="M758" s="613"/>
      <c r="N758" s="617"/>
      <c r="O758" s="267"/>
    </row>
    <row r="759" spans="1:15" s="1" customFormat="1" ht="18" customHeight="1">
      <c r="A759" s="1331"/>
      <c r="B759" s="605"/>
      <c r="C759" s="606"/>
      <c r="D759" s="590"/>
      <c r="E759" s="606"/>
      <c r="F759" s="607"/>
      <c r="G759" s="607"/>
      <c r="H759" s="608"/>
      <c r="I759" s="608"/>
      <c r="J759" s="1616">
        <f t="shared" si="15"/>
        <v>0</v>
      </c>
      <c r="K759" s="613"/>
      <c r="L759" s="613"/>
      <c r="M759" s="613"/>
      <c r="N759" s="617"/>
      <c r="O759" s="267"/>
    </row>
    <row r="760" spans="1:15" s="1" customFormat="1" ht="18" customHeight="1">
      <c r="A760" s="1331"/>
      <c r="B760" s="605"/>
      <c r="C760" s="606"/>
      <c r="D760" s="590"/>
      <c r="E760" s="606"/>
      <c r="F760" s="607"/>
      <c r="G760" s="607"/>
      <c r="H760" s="608"/>
      <c r="I760" s="608"/>
      <c r="J760" s="1616">
        <f t="shared" si="15"/>
        <v>0</v>
      </c>
      <c r="K760" s="613"/>
      <c r="L760" s="613"/>
      <c r="M760" s="613"/>
      <c r="N760" s="617"/>
      <c r="O760" s="267"/>
    </row>
    <row r="761" spans="1:15" s="1" customFormat="1" ht="18" customHeight="1">
      <c r="A761" s="1331"/>
      <c r="B761" s="605"/>
      <c r="C761" s="606"/>
      <c r="D761" s="590"/>
      <c r="E761" s="606"/>
      <c r="F761" s="607"/>
      <c r="G761" s="607"/>
      <c r="H761" s="608"/>
      <c r="I761" s="608"/>
      <c r="J761" s="1616">
        <f t="shared" si="15"/>
        <v>0</v>
      </c>
      <c r="K761" s="613"/>
      <c r="L761" s="613"/>
      <c r="M761" s="613"/>
      <c r="N761" s="617"/>
      <c r="O761" s="267"/>
    </row>
    <row r="762" spans="1:15" s="1" customFormat="1" ht="18" customHeight="1">
      <c r="A762" s="1331"/>
      <c r="B762" s="605"/>
      <c r="C762" s="606"/>
      <c r="D762" s="590"/>
      <c r="E762" s="606"/>
      <c r="F762" s="607"/>
      <c r="G762" s="607"/>
      <c r="H762" s="608"/>
      <c r="I762" s="608"/>
      <c r="J762" s="1616">
        <f t="shared" si="15"/>
        <v>0</v>
      </c>
      <c r="K762" s="613"/>
      <c r="L762" s="613"/>
      <c r="M762" s="613"/>
      <c r="N762" s="617"/>
      <c r="O762" s="267"/>
    </row>
    <row r="763" spans="1:15" s="1" customFormat="1" ht="18" customHeight="1">
      <c r="A763" s="1331"/>
      <c r="B763" s="605"/>
      <c r="C763" s="606"/>
      <c r="D763" s="590"/>
      <c r="E763" s="606"/>
      <c r="F763" s="607"/>
      <c r="G763" s="607"/>
      <c r="H763" s="608"/>
      <c r="I763" s="608"/>
      <c r="J763" s="1616">
        <f t="shared" si="15"/>
        <v>0</v>
      </c>
      <c r="K763" s="613"/>
      <c r="L763" s="613"/>
      <c r="M763" s="613"/>
      <c r="N763" s="617"/>
      <c r="O763" s="267"/>
    </row>
    <row r="764" spans="1:15" s="1" customFormat="1" ht="18" customHeight="1">
      <c r="A764" s="1331"/>
      <c r="B764" s="605"/>
      <c r="C764" s="606"/>
      <c r="D764" s="590"/>
      <c r="E764" s="606"/>
      <c r="F764" s="607"/>
      <c r="G764" s="607"/>
      <c r="H764" s="608"/>
      <c r="I764" s="608"/>
      <c r="J764" s="1616">
        <f t="shared" si="15"/>
        <v>0</v>
      </c>
      <c r="K764" s="613"/>
      <c r="L764" s="613"/>
      <c r="M764" s="613"/>
      <c r="N764" s="617"/>
      <c r="O764" s="267"/>
    </row>
    <row r="765" spans="1:15" s="1" customFormat="1" ht="18" customHeight="1">
      <c r="A765" s="1331"/>
      <c r="B765" s="605"/>
      <c r="C765" s="606"/>
      <c r="D765" s="590"/>
      <c r="E765" s="606"/>
      <c r="F765" s="607"/>
      <c r="G765" s="607"/>
      <c r="H765" s="608"/>
      <c r="I765" s="608"/>
      <c r="J765" s="1616">
        <f t="shared" si="15"/>
        <v>0</v>
      </c>
      <c r="K765" s="613"/>
      <c r="L765" s="613"/>
      <c r="M765" s="613"/>
      <c r="N765" s="617"/>
      <c r="O765" s="267"/>
    </row>
    <row r="766" spans="1:15" s="1" customFormat="1" ht="18" customHeight="1">
      <c r="A766" s="1331"/>
      <c r="B766" s="605"/>
      <c r="C766" s="606"/>
      <c r="D766" s="590"/>
      <c r="E766" s="606"/>
      <c r="F766" s="607"/>
      <c r="G766" s="607"/>
      <c r="H766" s="608"/>
      <c r="I766" s="608"/>
      <c r="J766" s="1616">
        <f t="shared" si="15"/>
        <v>0</v>
      </c>
      <c r="K766" s="613"/>
      <c r="L766" s="613"/>
      <c r="M766" s="613"/>
      <c r="N766" s="617"/>
      <c r="O766" s="267"/>
    </row>
    <row r="767" spans="1:15" s="1" customFormat="1" ht="18" customHeight="1">
      <c r="A767" s="1331"/>
      <c r="B767" s="605"/>
      <c r="C767" s="606"/>
      <c r="D767" s="590"/>
      <c r="E767" s="606"/>
      <c r="F767" s="607"/>
      <c r="G767" s="607"/>
      <c r="H767" s="608"/>
      <c r="I767" s="608"/>
      <c r="J767" s="1616">
        <f t="shared" si="15"/>
        <v>0</v>
      </c>
      <c r="K767" s="613"/>
      <c r="L767" s="613"/>
      <c r="M767" s="613"/>
      <c r="N767" s="617"/>
      <c r="O767" s="267"/>
    </row>
    <row r="768" spans="1:15" s="1" customFormat="1" ht="18" customHeight="1">
      <c r="A768" s="1331"/>
      <c r="B768" s="605"/>
      <c r="C768" s="606"/>
      <c r="D768" s="590"/>
      <c r="E768" s="606"/>
      <c r="F768" s="607"/>
      <c r="G768" s="607"/>
      <c r="H768" s="608"/>
      <c r="I768" s="608"/>
      <c r="J768" s="1616">
        <f t="shared" si="15"/>
        <v>0</v>
      </c>
      <c r="K768" s="613"/>
      <c r="L768" s="613"/>
      <c r="M768" s="613"/>
      <c r="N768" s="617"/>
      <c r="O768" s="267"/>
    </row>
    <row r="769" spans="1:15" s="1" customFormat="1" ht="18" customHeight="1">
      <c r="A769" s="1331"/>
      <c r="B769" s="605"/>
      <c r="C769" s="606"/>
      <c r="D769" s="590"/>
      <c r="E769" s="606"/>
      <c r="F769" s="607"/>
      <c r="G769" s="607"/>
      <c r="H769" s="608"/>
      <c r="I769" s="608"/>
      <c r="J769" s="1616">
        <f t="shared" si="15"/>
        <v>0</v>
      </c>
      <c r="K769" s="613"/>
      <c r="L769" s="613"/>
      <c r="M769" s="613"/>
      <c r="N769" s="617"/>
      <c r="O769" s="267"/>
    </row>
    <row r="770" spans="1:15" s="1" customFormat="1" ht="18" customHeight="1">
      <c r="A770" s="1331"/>
      <c r="B770" s="605"/>
      <c r="C770" s="606"/>
      <c r="D770" s="590"/>
      <c r="E770" s="606"/>
      <c r="F770" s="607"/>
      <c r="G770" s="607"/>
      <c r="H770" s="608"/>
      <c r="I770" s="608"/>
      <c r="J770" s="1616">
        <f t="shared" si="15"/>
        <v>0</v>
      </c>
      <c r="K770" s="613"/>
      <c r="L770" s="613"/>
      <c r="M770" s="613"/>
      <c r="N770" s="617"/>
      <c r="O770" s="267"/>
    </row>
    <row r="771" spans="1:15" s="1" customFormat="1" ht="18" customHeight="1">
      <c r="A771" s="1331"/>
      <c r="B771" s="605"/>
      <c r="C771" s="606"/>
      <c r="D771" s="590"/>
      <c r="E771" s="606"/>
      <c r="F771" s="607"/>
      <c r="G771" s="607"/>
      <c r="H771" s="608"/>
      <c r="I771" s="608"/>
      <c r="J771" s="1616">
        <f t="shared" si="15"/>
        <v>0</v>
      </c>
      <c r="K771" s="613"/>
      <c r="L771" s="613"/>
      <c r="M771" s="613"/>
      <c r="N771" s="617"/>
      <c r="O771" s="267"/>
    </row>
    <row r="772" spans="1:15" s="1" customFormat="1" ht="18" customHeight="1">
      <c r="A772" s="1331"/>
      <c r="B772" s="605"/>
      <c r="C772" s="606"/>
      <c r="D772" s="590"/>
      <c r="E772" s="606"/>
      <c r="F772" s="607"/>
      <c r="G772" s="607"/>
      <c r="H772" s="608"/>
      <c r="I772" s="608"/>
      <c r="J772" s="1616">
        <f t="shared" si="15"/>
        <v>0</v>
      </c>
      <c r="K772" s="613"/>
      <c r="L772" s="613"/>
      <c r="M772" s="613"/>
      <c r="N772" s="617"/>
      <c r="O772" s="267"/>
    </row>
    <row r="773" spans="1:15" s="1" customFormat="1" ht="18" customHeight="1">
      <c r="A773" s="1331"/>
      <c r="B773" s="605"/>
      <c r="C773" s="606"/>
      <c r="D773" s="590"/>
      <c r="E773" s="606"/>
      <c r="F773" s="607"/>
      <c r="G773" s="607"/>
      <c r="H773" s="608"/>
      <c r="I773" s="608"/>
      <c r="J773" s="1616">
        <f t="shared" si="15"/>
        <v>0</v>
      </c>
      <c r="K773" s="613"/>
      <c r="L773" s="613"/>
      <c r="M773" s="613"/>
      <c r="N773" s="617"/>
      <c r="O773" s="267"/>
    </row>
    <row r="774" spans="1:15" s="1" customFormat="1" ht="18" customHeight="1">
      <c r="A774" s="1331"/>
      <c r="B774" s="605"/>
      <c r="C774" s="606"/>
      <c r="D774" s="590"/>
      <c r="E774" s="606"/>
      <c r="F774" s="607"/>
      <c r="G774" s="607"/>
      <c r="H774" s="608"/>
      <c r="I774" s="608"/>
      <c r="J774" s="1616">
        <f t="shared" si="15"/>
        <v>0</v>
      </c>
      <c r="K774" s="613"/>
      <c r="L774" s="613"/>
      <c r="M774" s="613"/>
      <c r="N774" s="617"/>
      <c r="O774" s="267"/>
    </row>
    <row r="775" spans="1:15" s="1" customFormat="1" ht="18" customHeight="1">
      <c r="A775" s="1331"/>
      <c r="B775" s="605"/>
      <c r="C775" s="606"/>
      <c r="D775" s="590"/>
      <c r="E775" s="606"/>
      <c r="F775" s="607"/>
      <c r="G775" s="607"/>
      <c r="H775" s="608"/>
      <c r="I775" s="608"/>
      <c r="J775" s="1616">
        <f t="shared" si="15"/>
        <v>0</v>
      </c>
      <c r="K775" s="613"/>
      <c r="L775" s="613"/>
      <c r="M775" s="613"/>
      <c r="N775" s="617"/>
      <c r="O775" s="267"/>
    </row>
    <row r="776" spans="1:15" s="1" customFormat="1" ht="18" customHeight="1">
      <c r="A776" s="1331"/>
      <c r="B776" s="605"/>
      <c r="C776" s="606"/>
      <c r="D776" s="590"/>
      <c r="E776" s="606"/>
      <c r="F776" s="607"/>
      <c r="G776" s="607"/>
      <c r="H776" s="608"/>
      <c r="I776" s="608"/>
      <c r="J776" s="1616">
        <f t="shared" si="15"/>
        <v>0</v>
      </c>
      <c r="K776" s="613"/>
      <c r="L776" s="613"/>
      <c r="M776" s="613"/>
      <c r="N776" s="617"/>
      <c r="O776" s="267"/>
    </row>
    <row r="777" spans="1:15" s="1" customFormat="1" ht="18" customHeight="1">
      <c r="A777" s="1331"/>
      <c r="B777" s="605"/>
      <c r="C777" s="606"/>
      <c r="D777" s="590"/>
      <c r="E777" s="606"/>
      <c r="F777" s="607"/>
      <c r="G777" s="607"/>
      <c r="H777" s="608"/>
      <c r="I777" s="608"/>
      <c r="J777" s="1616">
        <f t="shared" si="15"/>
        <v>0</v>
      </c>
      <c r="K777" s="613"/>
      <c r="L777" s="613"/>
      <c r="M777" s="613"/>
      <c r="N777" s="617"/>
      <c r="O777" s="267"/>
    </row>
    <row r="778" spans="1:15" s="1" customFormat="1" ht="18" customHeight="1">
      <c r="A778" s="1331"/>
      <c r="B778" s="605"/>
      <c r="C778" s="606"/>
      <c r="D778" s="590"/>
      <c r="E778" s="606"/>
      <c r="F778" s="607"/>
      <c r="G778" s="607"/>
      <c r="H778" s="608"/>
      <c r="I778" s="608"/>
      <c r="J778" s="1616">
        <f t="shared" si="15"/>
        <v>0</v>
      </c>
      <c r="K778" s="613"/>
      <c r="L778" s="613"/>
      <c r="M778" s="613"/>
      <c r="N778" s="617"/>
      <c r="O778" s="267"/>
    </row>
    <row r="779" spans="1:15" s="1" customFormat="1" ht="18" customHeight="1">
      <c r="A779" s="1331"/>
      <c r="B779" s="605"/>
      <c r="C779" s="606"/>
      <c r="D779" s="590"/>
      <c r="E779" s="606"/>
      <c r="F779" s="607"/>
      <c r="G779" s="607"/>
      <c r="H779" s="608"/>
      <c r="I779" s="608"/>
      <c r="J779" s="1616">
        <f t="shared" si="15"/>
        <v>0</v>
      </c>
      <c r="K779" s="613"/>
      <c r="L779" s="613"/>
      <c r="M779" s="613"/>
      <c r="N779" s="617"/>
      <c r="O779" s="267"/>
    </row>
    <row r="780" spans="1:15" s="1" customFormat="1" ht="18" customHeight="1">
      <c r="A780" s="1331"/>
      <c r="B780" s="605"/>
      <c r="C780" s="606"/>
      <c r="D780" s="590"/>
      <c r="E780" s="606"/>
      <c r="F780" s="607"/>
      <c r="G780" s="607"/>
      <c r="H780" s="608"/>
      <c r="I780" s="608"/>
      <c r="J780" s="1616">
        <f t="shared" si="15"/>
        <v>0</v>
      </c>
      <c r="K780" s="613"/>
      <c r="L780" s="613"/>
      <c r="M780" s="613"/>
      <c r="N780" s="617"/>
      <c r="O780" s="267"/>
    </row>
    <row r="781" spans="1:15" s="1" customFormat="1" ht="18" customHeight="1">
      <c r="A781" s="1331"/>
      <c r="B781" s="605"/>
      <c r="C781" s="606"/>
      <c r="D781" s="590"/>
      <c r="E781" s="606"/>
      <c r="F781" s="607"/>
      <c r="G781" s="607"/>
      <c r="H781" s="608"/>
      <c r="I781" s="608"/>
      <c r="J781" s="1616">
        <f t="shared" si="15"/>
        <v>0</v>
      </c>
      <c r="K781" s="613"/>
      <c r="L781" s="613"/>
      <c r="M781" s="613"/>
      <c r="N781" s="617"/>
      <c r="O781" s="267"/>
    </row>
    <row r="782" spans="1:15" s="1" customFormat="1" ht="18" customHeight="1">
      <c r="A782" s="1331"/>
      <c r="B782" s="605"/>
      <c r="C782" s="606"/>
      <c r="D782" s="590"/>
      <c r="E782" s="606"/>
      <c r="F782" s="607"/>
      <c r="G782" s="607"/>
      <c r="H782" s="608"/>
      <c r="I782" s="608"/>
      <c r="J782" s="1616">
        <f t="shared" si="15"/>
        <v>0</v>
      </c>
      <c r="K782" s="613"/>
      <c r="L782" s="613"/>
      <c r="M782" s="613"/>
      <c r="N782" s="617"/>
      <c r="O782" s="267"/>
    </row>
    <row r="783" spans="1:15" s="1" customFormat="1" ht="18" customHeight="1">
      <c r="A783" s="1331"/>
      <c r="B783" s="605"/>
      <c r="C783" s="606"/>
      <c r="D783" s="590"/>
      <c r="E783" s="606"/>
      <c r="F783" s="607"/>
      <c r="G783" s="607"/>
      <c r="H783" s="608"/>
      <c r="I783" s="608"/>
      <c r="J783" s="1616">
        <f t="shared" si="15"/>
        <v>0</v>
      </c>
      <c r="K783" s="613"/>
      <c r="L783" s="613"/>
      <c r="M783" s="613"/>
      <c r="N783" s="617"/>
      <c r="O783" s="267"/>
    </row>
    <row r="784" spans="1:15" s="1" customFormat="1" ht="18" customHeight="1">
      <c r="A784" s="1331"/>
      <c r="B784" s="605"/>
      <c r="C784" s="606"/>
      <c r="D784" s="590"/>
      <c r="E784" s="606"/>
      <c r="F784" s="607"/>
      <c r="G784" s="607"/>
      <c r="H784" s="608"/>
      <c r="I784" s="608"/>
      <c r="J784" s="1616">
        <f t="shared" si="15"/>
        <v>0</v>
      </c>
      <c r="K784" s="613"/>
      <c r="L784" s="613"/>
      <c r="M784" s="613"/>
      <c r="N784" s="617"/>
      <c r="O784" s="267"/>
    </row>
    <row r="785" spans="1:15" s="1" customFormat="1" ht="18" customHeight="1">
      <c r="A785" s="1331"/>
      <c r="B785" s="605"/>
      <c r="C785" s="606"/>
      <c r="D785" s="590"/>
      <c r="E785" s="606"/>
      <c r="F785" s="607"/>
      <c r="G785" s="607"/>
      <c r="H785" s="608"/>
      <c r="I785" s="608"/>
      <c r="J785" s="1616">
        <f t="shared" si="15"/>
        <v>0</v>
      </c>
      <c r="K785" s="613"/>
      <c r="L785" s="613"/>
      <c r="M785" s="613"/>
      <c r="N785" s="617"/>
      <c r="O785" s="267"/>
    </row>
    <row r="786" spans="1:15" s="1" customFormat="1" ht="18" customHeight="1">
      <c r="A786" s="1331"/>
      <c r="B786" s="605"/>
      <c r="C786" s="606"/>
      <c r="D786" s="590"/>
      <c r="E786" s="606"/>
      <c r="F786" s="607"/>
      <c r="G786" s="607"/>
      <c r="H786" s="608"/>
      <c r="I786" s="608"/>
      <c r="J786" s="1616">
        <f t="shared" si="15"/>
        <v>0</v>
      </c>
      <c r="K786" s="613"/>
      <c r="L786" s="613"/>
      <c r="M786" s="613"/>
      <c r="N786" s="617"/>
      <c r="O786" s="267"/>
    </row>
    <row r="787" spans="1:15" s="1" customFormat="1" ht="18" customHeight="1">
      <c r="A787" s="1331"/>
      <c r="B787" s="605"/>
      <c r="C787" s="606"/>
      <c r="D787" s="590"/>
      <c r="E787" s="606"/>
      <c r="F787" s="607"/>
      <c r="G787" s="607"/>
      <c r="H787" s="608"/>
      <c r="I787" s="608"/>
      <c r="J787" s="1616">
        <f t="shared" si="15"/>
        <v>0</v>
      </c>
      <c r="K787" s="613"/>
      <c r="L787" s="613"/>
      <c r="M787" s="613"/>
      <c r="N787" s="617"/>
      <c r="O787" s="267"/>
    </row>
    <row r="788" spans="1:15" s="1" customFormat="1" ht="18" customHeight="1">
      <c r="A788" s="1331"/>
      <c r="B788" s="605"/>
      <c r="C788" s="606"/>
      <c r="D788" s="590"/>
      <c r="E788" s="606"/>
      <c r="F788" s="607"/>
      <c r="G788" s="607"/>
      <c r="H788" s="608"/>
      <c r="I788" s="608"/>
      <c r="J788" s="1616">
        <f t="shared" si="15"/>
        <v>0</v>
      </c>
      <c r="K788" s="613"/>
      <c r="L788" s="613"/>
      <c r="M788" s="613"/>
      <c r="N788" s="617"/>
      <c r="O788" s="267"/>
    </row>
    <row r="789" spans="1:15" s="1" customFormat="1" ht="18" customHeight="1">
      <c r="A789" s="1331"/>
      <c r="B789" s="605"/>
      <c r="C789" s="606"/>
      <c r="D789" s="590"/>
      <c r="E789" s="606"/>
      <c r="F789" s="607"/>
      <c r="G789" s="607"/>
      <c r="H789" s="608"/>
      <c r="I789" s="608"/>
      <c r="J789" s="1616">
        <f t="shared" si="15"/>
        <v>0</v>
      </c>
      <c r="K789" s="613"/>
      <c r="L789" s="613"/>
      <c r="M789" s="613"/>
      <c r="N789" s="617"/>
      <c r="O789" s="267"/>
    </row>
    <row r="790" spans="1:15" s="1" customFormat="1" ht="18" customHeight="1">
      <c r="A790" s="1331"/>
      <c r="B790" s="605"/>
      <c r="C790" s="606"/>
      <c r="D790" s="590"/>
      <c r="E790" s="606"/>
      <c r="F790" s="607"/>
      <c r="G790" s="607"/>
      <c r="H790" s="608"/>
      <c r="I790" s="608"/>
      <c r="J790" s="1616">
        <f t="shared" si="15"/>
        <v>0</v>
      </c>
      <c r="K790" s="613"/>
      <c r="L790" s="613"/>
      <c r="M790" s="613"/>
      <c r="N790" s="617"/>
      <c r="O790" s="267"/>
    </row>
    <row r="791" spans="1:15" s="1" customFormat="1" ht="18" customHeight="1">
      <c r="A791" s="1331"/>
      <c r="B791" s="605"/>
      <c r="C791" s="606"/>
      <c r="D791" s="590"/>
      <c r="E791" s="606"/>
      <c r="F791" s="607"/>
      <c r="G791" s="607"/>
      <c r="H791" s="608"/>
      <c r="I791" s="608"/>
      <c r="J791" s="1616">
        <f t="shared" si="15"/>
        <v>0</v>
      </c>
      <c r="K791" s="613"/>
      <c r="L791" s="613"/>
      <c r="M791" s="613"/>
      <c r="N791" s="617"/>
      <c r="O791" s="267"/>
    </row>
    <row r="792" spans="1:15" s="1" customFormat="1" ht="18" customHeight="1">
      <c r="A792" s="1331"/>
      <c r="B792" s="605"/>
      <c r="C792" s="606"/>
      <c r="D792" s="590"/>
      <c r="E792" s="606"/>
      <c r="F792" s="607"/>
      <c r="G792" s="607"/>
      <c r="H792" s="608"/>
      <c r="I792" s="608"/>
      <c r="J792" s="1616">
        <f t="shared" si="15"/>
        <v>0</v>
      </c>
      <c r="K792" s="613"/>
      <c r="L792" s="613"/>
      <c r="M792" s="613"/>
      <c r="N792" s="617"/>
      <c r="O792" s="267"/>
    </row>
    <row r="793" spans="1:15" s="1" customFormat="1" ht="18" customHeight="1">
      <c r="A793" s="1331"/>
      <c r="B793" s="605"/>
      <c r="C793" s="606"/>
      <c r="D793" s="590"/>
      <c r="E793" s="606"/>
      <c r="F793" s="607"/>
      <c r="G793" s="607"/>
      <c r="H793" s="608"/>
      <c r="I793" s="608"/>
      <c r="J793" s="1616">
        <f t="shared" si="15"/>
        <v>0</v>
      </c>
      <c r="K793" s="613"/>
      <c r="L793" s="613"/>
      <c r="M793" s="613"/>
      <c r="N793" s="617"/>
      <c r="O793" s="267"/>
    </row>
    <row r="794" spans="1:15" s="1" customFormat="1" ht="18" customHeight="1">
      <c r="A794" s="1331"/>
      <c r="B794" s="605"/>
      <c r="C794" s="606"/>
      <c r="D794" s="590"/>
      <c r="E794" s="606"/>
      <c r="F794" s="607"/>
      <c r="G794" s="607"/>
      <c r="H794" s="608"/>
      <c r="I794" s="608"/>
      <c r="J794" s="1616">
        <f t="shared" si="15"/>
        <v>0</v>
      </c>
      <c r="K794" s="613"/>
      <c r="L794" s="613"/>
      <c r="M794" s="613"/>
      <c r="N794" s="617"/>
      <c r="O794" s="267"/>
    </row>
    <row r="795" spans="1:15" s="1" customFormat="1" ht="18" customHeight="1">
      <c r="A795" s="1331"/>
      <c r="B795" s="605"/>
      <c r="C795" s="606"/>
      <c r="D795" s="590"/>
      <c r="E795" s="606"/>
      <c r="F795" s="607"/>
      <c r="G795" s="607"/>
      <c r="H795" s="608"/>
      <c r="I795" s="608"/>
      <c r="J795" s="1616">
        <f t="shared" si="15"/>
        <v>0</v>
      </c>
      <c r="K795" s="613"/>
      <c r="L795" s="613"/>
      <c r="M795" s="613"/>
      <c r="N795" s="617"/>
      <c r="O795" s="267"/>
    </row>
    <row r="796" spans="1:15" s="1" customFormat="1" ht="18" customHeight="1">
      <c r="A796" s="1331"/>
      <c r="B796" s="605"/>
      <c r="C796" s="606"/>
      <c r="D796" s="590"/>
      <c r="E796" s="606"/>
      <c r="F796" s="607"/>
      <c r="G796" s="607"/>
      <c r="H796" s="608"/>
      <c r="I796" s="608"/>
      <c r="J796" s="1616">
        <f t="shared" si="15"/>
        <v>0</v>
      </c>
      <c r="K796" s="613"/>
      <c r="L796" s="613"/>
      <c r="M796" s="613"/>
      <c r="N796" s="617"/>
      <c r="O796" s="267"/>
    </row>
    <row r="797" spans="1:15" s="1" customFormat="1" ht="18" customHeight="1">
      <c r="A797" s="1331"/>
      <c r="B797" s="605"/>
      <c r="C797" s="606"/>
      <c r="D797" s="590"/>
      <c r="E797" s="606"/>
      <c r="F797" s="607"/>
      <c r="G797" s="607"/>
      <c r="H797" s="608"/>
      <c r="I797" s="608"/>
      <c r="J797" s="1616">
        <f t="shared" si="15"/>
        <v>0</v>
      </c>
      <c r="K797" s="613"/>
      <c r="L797" s="613"/>
      <c r="M797" s="613"/>
      <c r="N797" s="617"/>
      <c r="O797" s="267"/>
    </row>
    <row r="798" spans="1:15" s="1" customFormat="1" ht="18" customHeight="1">
      <c r="A798" s="1331"/>
      <c r="B798" s="605"/>
      <c r="C798" s="606"/>
      <c r="D798" s="590"/>
      <c r="E798" s="606"/>
      <c r="F798" s="607"/>
      <c r="G798" s="607"/>
      <c r="H798" s="608"/>
      <c r="I798" s="608"/>
      <c r="J798" s="1616">
        <f t="shared" si="15"/>
        <v>0</v>
      </c>
      <c r="K798" s="613"/>
      <c r="L798" s="613"/>
      <c r="M798" s="613"/>
      <c r="N798" s="617"/>
      <c r="O798" s="267"/>
    </row>
    <row r="799" spans="1:15" s="1" customFormat="1" ht="18" customHeight="1">
      <c r="A799" s="1331"/>
      <c r="B799" s="605"/>
      <c r="C799" s="606"/>
      <c r="D799" s="590"/>
      <c r="E799" s="606"/>
      <c r="F799" s="607"/>
      <c r="G799" s="607"/>
      <c r="H799" s="608"/>
      <c r="I799" s="608"/>
      <c r="J799" s="1616">
        <f t="shared" si="15"/>
        <v>0</v>
      </c>
      <c r="K799" s="613"/>
      <c r="L799" s="613"/>
      <c r="M799" s="613"/>
      <c r="N799" s="617"/>
      <c r="O799" s="267"/>
    </row>
    <row r="800" spans="1:15" s="1" customFormat="1" ht="18" customHeight="1">
      <c r="A800" s="1331"/>
      <c r="B800" s="605"/>
      <c r="C800" s="606"/>
      <c r="D800" s="590"/>
      <c r="E800" s="606"/>
      <c r="F800" s="607"/>
      <c r="G800" s="607"/>
      <c r="H800" s="608"/>
      <c r="I800" s="608"/>
      <c r="J800" s="1616">
        <f t="shared" si="15"/>
        <v>0</v>
      </c>
      <c r="K800" s="613"/>
      <c r="L800" s="613"/>
      <c r="M800" s="613"/>
      <c r="N800" s="617"/>
      <c r="O800" s="267"/>
    </row>
    <row r="801" spans="1:15" s="1" customFormat="1" ht="18" customHeight="1">
      <c r="A801" s="1331"/>
      <c r="B801" s="605"/>
      <c r="C801" s="606"/>
      <c r="D801" s="590"/>
      <c r="E801" s="606"/>
      <c r="F801" s="607"/>
      <c r="G801" s="607"/>
      <c r="H801" s="608"/>
      <c r="I801" s="608"/>
      <c r="J801" s="1616">
        <f t="shared" si="15"/>
        <v>0</v>
      </c>
      <c r="K801" s="613"/>
      <c r="L801" s="613"/>
      <c r="M801" s="613"/>
      <c r="N801" s="617"/>
      <c r="O801" s="267"/>
    </row>
    <row r="802" spans="1:15" s="1" customFormat="1" ht="18" customHeight="1">
      <c r="A802" s="1331"/>
      <c r="B802" s="605"/>
      <c r="C802" s="606"/>
      <c r="D802" s="590"/>
      <c r="E802" s="606"/>
      <c r="F802" s="607"/>
      <c r="G802" s="607"/>
      <c r="H802" s="608"/>
      <c r="I802" s="608"/>
      <c r="J802" s="1616">
        <f t="shared" si="15"/>
        <v>0</v>
      </c>
      <c r="K802" s="613"/>
      <c r="L802" s="613"/>
      <c r="M802" s="613"/>
      <c r="N802" s="617"/>
      <c r="O802" s="267"/>
    </row>
    <row r="803" spans="1:15" s="1" customFormat="1" ht="18" customHeight="1">
      <c r="A803" s="1331"/>
      <c r="B803" s="605"/>
      <c r="C803" s="606"/>
      <c r="D803" s="590"/>
      <c r="E803" s="606"/>
      <c r="F803" s="607"/>
      <c r="G803" s="607"/>
      <c r="H803" s="608"/>
      <c r="I803" s="608"/>
      <c r="J803" s="1616">
        <f t="shared" ref="J803:J866" si="16">G803*I803</f>
        <v>0</v>
      </c>
      <c r="K803" s="613"/>
      <c r="L803" s="613"/>
      <c r="M803" s="613"/>
      <c r="N803" s="617"/>
      <c r="O803" s="267"/>
    </row>
    <row r="804" spans="1:15" s="1" customFormat="1" ht="18" customHeight="1">
      <c r="A804" s="1331"/>
      <c r="B804" s="605"/>
      <c r="C804" s="606"/>
      <c r="D804" s="590"/>
      <c r="E804" s="606"/>
      <c r="F804" s="607"/>
      <c r="G804" s="607"/>
      <c r="H804" s="608"/>
      <c r="I804" s="608"/>
      <c r="J804" s="1616">
        <f t="shared" si="16"/>
        <v>0</v>
      </c>
      <c r="K804" s="613"/>
      <c r="L804" s="613"/>
      <c r="M804" s="613"/>
      <c r="N804" s="617"/>
      <c r="O804" s="267"/>
    </row>
    <row r="805" spans="1:15" s="1" customFormat="1" ht="18" customHeight="1">
      <c r="A805" s="1331"/>
      <c r="B805" s="605"/>
      <c r="C805" s="606"/>
      <c r="D805" s="590"/>
      <c r="E805" s="606"/>
      <c r="F805" s="607"/>
      <c r="G805" s="607"/>
      <c r="H805" s="608"/>
      <c r="I805" s="608"/>
      <c r="J805" s="1616">
        <f t="shared" si="16"/>
        <v>0</v>
      </c>
      <c r="K805" s="613"/>
      <c r="L805" s="613"/>
      <c r="M805" s="613"/>
      <c r="N805" s="617"/>
      <c r="O805" s="267"/>
    </row>
    <row r="806" spans="1:15" s="1" customFormat="1" ht="18" customHeight="1">
      <c r="A806" s="1331"/>
      <c r="B806" s="605"/>
      <c r="C806" s="606"/>
      <c r="D806" s="590"/>
      <c r="E806" s="606"/>
      <c r="F806" s="607"/>
      <c r="G806" s="607"/>
      <c r="H806" s="608"/>
      <c r="I806" s="608"/>
      <c r="J806" s="1616">
        <f t="shared" si="16"/>
        <v>0</v>
      </c>
      <c r="K806" s="613"/>
      <c r="L806" s="613"/>
      <c r="M806" s="613"/>
      <c r="N806" s="617"/>
      <c r="O806" s="267"/>
    </row>
    <row r="807" spans="1:15" s="1" customFormat="1" ht="18" customHeight="1">
      <c r="A807" s="1331"/>
      <c r="B807" s="605"/>
      <c r="C807" s="606"/>
      <c r="D807" s="590"/>
      <c r="E807" s="606"/>
      <c r="F807" s="607"/>
      <c r="G807" s="607"/>
      <c r="H807" s="608"/>
      <c r="I807" s="608"/>
      <c r="J807" s="1616">
        <f t="shared" si="16"/>
        <v>0</v>
      </c>
      <c r="K807" s="613"/>
      <c r="L807" s="613"/>
      <c r="M807" s="613"/>
      <c r="N807" s="617"/>
      <c r="O807" s="267"/>
    </row>
    <row r="808" spans="1:15" s="1" customFormat="1" ht="18" customHeight="1">
      <c r="A808" s="1331"/>
      <c r="B808" s="605"/>
      <c r="C808" s="606"/>
      <c r="D808" s="590"/>
      <c r="E808" s="606"/>
      <c r="F808" s="607"/>
      <c r="G808" s="607"/>
      <c r="H808" s="608"/>
      <c r="I808" s="608"/>
      <c r="J808" s="1616">
        <f t="shared" si="16"/>
        <v>0</v>
      </c>
      <c r="K808" s="613"/>
      <c r="L808" s="613"/>
      <c r="M808" s="613"/>
      <c r="N808" s="617"/>
      <c r="O808" s="267"/>
    </row>
    <row r="809" spans="1:15" s="1" customFormat="1" ht="18" customHeight="1">
      <c r="A809" s="1331"/>
      <c r="B809" s="605"/>
      <c r="C809" s="606"/>
      <c r="D809" s="590"/>
      <c r="E809" s="606"/>
      <c r="F809" s="607"/>
      <c r="G809" s="607"/>
      <c r="H809" s="608"/>
      <c r="I809" s="608"/>
      <c r="J809" s="1616">
        <f t="shared" si="16"/>
        <v>0</v>
      </c>
      <c r="K809" s="613"/>
      <c r="L809" s="613"/>
      <c r="M809" s="613"/>
      <c r="N809" s="617"/>
      <c r="O809" s="267"/>
    </row>
    <row r="810" spans="1:15" s="1" customFormat="1" ht="18" customHeight="1">
      <c r="A810" s="1331"/>
      <c r="B810" s="605"/>
      <c r="C810" s="606"/>
      <c r="D810" s="590"/>
      <c r="E810" s="606"/>
      <c r="F810" s="607"/>
      <c r="G810" s="607"/>
      <c r="H810" s="608"/>
      <c r="I810" s="608"/>
      <c r="J810" s="1616">
        <f t="shared" si="16"/>
        <v>0</v>
      </c>
      <c r="K810" s="613"/>
      <c r="L810" s="613"/>
      <c r="M810" s="613"/>
      <c r="N810" s="617"/>
      <c r="O810" s="267"/>
    </row>
    <row r="811" spans="1:15" s="1" customFormat="1" ht="18" customHeight="1">
      <c r="A811" s="1331"/>
      <c r="B811" s="605"/>
      <c r="C811" s="606"/>
      <c r="D811" s="590"/>
      <c r="E811" s="606"/>
      <c r="F811" s="607"/>
      <c r="G811" s="607"/>
      <c r="H811" s="608"/>
      <c r="I811" s="608"/>
      <c r="J811" s="1616">
        <f t="shared" si="16"/>
        <v>0</v>
      </c>
      <c r="K811" s="613"/>
      <c r="L811" s="613"/>
      <c r="M811" s="613"/>
      <c r="N811" s="617"/>
      <c r="O811" s="267"/>
    </row>
    <row r="812" spans="1:15" s="1" customFormat="1" ht="18" customHeight="1">
      <c r="A812" s="1331"/>
      <c r="B812" s="605"/>
      <c r="C812" s="606"/>
      <c r="D812" s="590"/>
      <c r="E812" s="606"/>
      <c r="F812" s="607"/>
      <c r="G812" s="607"/>
      <c r="H812" s="608"/>
      <c r="I812" s="608"/>
      <c r="J812" s="1616">
        <f t="shared" si="16"/>
        <v>0</v>
      </c>
      <c r="K812" s="613"/>
      <c r="L812" s="613"/>
      <c r="M812" s="613"/>
      <c r="N812" s="617"/>
      <c r="O812" s="267"/>
    </row>
    <row r="813" spans="1:15" s="1" customFormat="1" ht="18" customHeight="1">
      <c r="A813" s="1331"/>
      <c r="B813" s="605"/>
      <c r="C813" s="606"/>
      <c r="D813" s="590"/>
      <c r="E813" s="606"/>
      <c r="F813" s="607"/>
      <c r="G813" s="607"/>
      <c r="H813" s="608"/>
      <c r="I813" s="608"/>
      <c r="J813" s="1616">
        <f t="shared" si="16"/>
        <v>0</v>
      </c>
      <c r="K813" s="613"/>
      <c r="L813" s="613"/>
      <c r="M813" s="613"/>
      <c r="N813" s="617"/>
      <c r="O813" s="267"/>
    </row>
    <row r="814" spans="1:15" s="1" customFormat="1" ht="18" customHeight="1">
      <c r="A814" s="1331"/>
      <c r="B814" s="605"/>
      <c r="C814" s="606"/>
      <c r="D814" s="590"/>
      <c r="E814" s="606"/>
      <c r="F814" s="607"/>
      <c r="G814" s="607"/>
      <c r="H814" s="608"/>
      <c r="I814" s="608"/>
      <c r="J814" s="1616">
        <f t="shared" si="16"/>
        <v>0</v>
      </c>
      <c r="K814" s="613"/>
      <c r="L814" s="613"/>
      <c r="M814" s="613"/>
      <c r="N814" s="617"/>
      <c r="O814" s="267"/>
    </row>
    <row r="815" spans="1:15" s="1" customFormat="1" ht="18" customHeight="1">
      <c r="A815" s="1331"/>
      <c r="B815" s="605"/>
      <c r="C815" s="606"/>
      <c r="D815" s="590"/>
      <c r="E815" s="606"/>
      <c r="F815" s="607"/>
      <c r="G815" s="607"/>
      <c r="H815" s="608"/>
      <c r="I815" s="608"/>
      <c r="J815" s="1616">
        <f t="shared" si="16"/>
        <v>0</v>
      </c>
      <c r="K815" s="613"/>
      <c r="L815" s="613"/>
      <c r="M815" s="613"/>
      <c r="N815" s="617"/>
      <c r="O815" s="267"/>
    </row>
    <row r="816" spans="1:15" s="1" customFormat="1" ht="18" customHeight="1">
      <c r="A816" s="1331"/>
      <c r="B816" s="605"/>
      <c r="C816" s="606"/>
      <c r="D816" s="590"/>
      <c r="E816" s="606"/>
      <c r="F816" s="607"/>
      <c r="G816" s="607"/>
      <c r="H816" s="608"/>
      <c r="I816" s="608"/>
      <c r="J816" s="1616">
        <f t="shared" si="16"/>
        <v>0</v>
      </c>
      <c r="K816" s="613"/>
      <c r="L816" s="613"/>
      <c r="M816" s="613"/>
      <c r="N816" s="617"/>
      <c r="O816" s="267"/>
    </row>
    <row r="817" spans="1:15" s="1" customFormat="1" ht="18" customHeight="1">
      <c r="A817" s="1331"/>
      <c r="B817" s="605"/>
      <c r="C817" s="606"/>
      <c r="D817" s="590"/>
      <c r="E817" s="606"/>
      <c r="F817" s="607"/>
      <c r="G817" s="607"/>
      <c r="H817" s="608"/>
      <c r="I817" s="608"/>
      <c r="J817" s="1616">
        <f t="shared" si="16"/>
        <v>0</v>
      </c>
      <c r="K817" s="613"/>
      <c r="L817" s="613"/>
      <c r="M817" s="613"/>
      <c r="N817" s="617"/>
      <c r="O817" s="267"/>
    </row>
    <row r="818" spans="1:15" s="1" customFormat="1" ht="18" customHeight="1">
      <c r="A818" s="1331"/>
      <c r="B818" s="605"/>
      <c r="C818" s="606"/>
      <c r="D818" s="590"/>
      <c r="E818" s="606"/>
      <c r="F818" s="607"/>
      <c r="G818" s="607"/>
      <c r="H818" s="608"/>
      <c r="I818" s="608"/>
      <c r="J818" s="1616">
        <f t="shared" si="16"/>
        <v>0</v>
      </c>
      <c r="K818" s="613"/>
      <c r="L818" s="613"/>
      <c r="M818" s="613"/>
      <c r="N818" s="617"/>
      <c r="O818" s="267"/>
    </row>
    <row r="819" spans="1:15" s="1" customFormat="1" ht="18" customHeight="1">
      <c r="A819" s="1331"/>
      <c r="B819" s="605"/>
      <c r="C819" s="606"/>
      <c r="D819" s="590"/>
      <c r="E819" s="606"/>
      <c r="F819" s="607"/>
      <c r="G819" s="607"/>
      <c r="H819" s="608"/>
      <c r="I819" s="608"/>
      <c r="J819" s="1616">
        <f t="shared" si="16"/>
        <v>0</v>
      </c>
      <c r="K819" s="613"/>
      <c r="L819" s="613"/>
      <c r="M819" s="613"/>
      <c r="N819" s="617"/>
      <c r="O819" s="267"/>
    </row>
    <row r="820" spans="1:15" s="1" customFormat="1" ht="18" customHeight="1">
      <c r="A820" s="1331"/>
      <c r="B820" s="605"/>
      <c r="C820" s="606"/>
      <c r="D820" s="590"/>
      <c r="E820" s="606"/>
      <c r="F820" s="607"/>
      <c r="G820" s="607"/>
      <c r="H820" s="608"/>
      <c r="I820" s="608"/>
      <c r="J820" s="1616">
        <f t="shared" si="16"/>
        <v>0</v>
      </c>
      <c r="K820" s="613"/>
      <c r="L820" s="613"/>
      <c r="M820" s="613"/>
      <c r="N820" s="617"/>
      <c r="O820" s="267"/>
    </row>
    <row r="821" spans="1:15" s="1" customFormat="1" ht="18" customHeight="1">
      <c r="A821" s="1331"/>
      <c r="B821" s="605"/>
      <c r="C821" s="606"/>
      <c r="D821" s="590"/>
      <c r="E821" s="606"/>
      <c r="F821" s="607"/>
      <c r="G821" s="607"/>
      <c r="H821" s="608"/>
      <c r="I821" s="608"/>
      <c r="J821" s="1616">
        <f t="shared" si="16"/>
        <v>0</v>
      </c>
      <c r="K821" s="613"/>
      <c r="L821" s="613"/>
      <c r="M821" s="613"/>
      <c r="N821" s="617"/>
      <c r="O821" s="267"/>
    </row>
    <row r="822" spans="1:15" s="1" customFormat="1" ht="18" customHeight="1">
      <c r="A822" s="1331"/>
      <c r="B822" s="605"/>
      <c r="C822" s="606"/>
      <c r="D822" s="590"/>
      <c r="E822" s="606"/>
      <c r="F822" s="607"/>
      <c r="G822" s="607"/>
      <c r="H822" s="608"/>
      <c r="I822" s="608"/>
      <c r="J822" s="1616">
        <f t="shared" si="16"/>
        <v>0</v>
      </c>
      <c r="K822" s="613"/>
      <c r="L822" s="613"/>
      <c r="M822" s="613"/>
      <c r="N822" s="617"/>
      <c r="O822" s="267"/>
    </row>
    <row r="823" spans="1:15" s="1" customFormat="1" ht="18" customHeight="1">
      <c r="A823" s="1331"/>
      <c r="B823" s="605"/>
      <c r="C823" s="606"/>
      <c r="D823" s="590"/>
      <c r="E823" s="606"/>
      <c r="F823" s="607"/>
      <c r="G823" s="607"/>
      <c r="H823" s="608"/>
      <c r="I823" s="608"/>
      <c r="J823" s="1616">
        <f t="shared" si="16"/>
        <v>0</v>
      </c>
      <c r="K823" s="613"/>
      <c r="L823" s="613"/>
      <c r="M823" s="613"/>
      <c r="N823" s="617"/>
      <c r="O823" s="267"/>
    </row>
    <row r="824" spans="1:15" s="1" customFormat="1" ht="18" customHeight="1">
      <c r="A824" s="1331"/>
      <c r="B824" s="605"/>
      <c r="C824" s="606"/>
      <c r="D824" s="590"/>
      <c r="E824" s="606"/>
      <c r="F824" s="607"/>
      <c r="G824" s="607"/>
      <c r="H824" s="608"/>
      <c r="I824" s="608"/>
      <c r="J824" s="1616">
        <f t="shared" si="16"/>
        <v>0</v>
      </c>
      <c r="K824" s="613"/>
      <c r="L824" s="613"/>
      <c r="M824" s="613"/>
      <c r="N824" s="617"/>
      <c r="O824" s="267"/>
    </row>
    <row r="825" spans="1:15" s="1" customFormat="1" ht="18" customHeight="1">
      <c r="A825" s="1331"/>
      <c r="B825" s="605"/>
      <c r="C825" s="606"/>
      <c r="D825" s="590"/>
      <c r="E825" s="606"/>
      <c r="F825" s="607"/>
      <c r="G825" s="607"/>
      <c r="H825" s="608"/>
      <c r="I825" s="608"/>
      <c r="J825" s="1616">
        <f t="shared" si="16"/>
        <v>0</v>
      </c>
      <c r="K825" s="613"/>
      <c r="L825" s="613"/>
      <c r="M825" s="613"/>
      <c r="N825" s="617"/>
      <c r="O825" s="267"/>
    </row>
    <row r="826" spans="1:15" s="1" customFormat="1" ht="18" customHeight="1">
      <c r="A826" s="1331"/>
      <c r="B826" s="605"/>
      <c r="C826" s="606"/>
      <c r="D826" s="590"/>
      <c r="E826" s="606"/>
      <c r="F826" s="607"/>
      <c r="G826" s="607"/>
      <c r="H826" s="608"/>
      <c r="I826" s="608"/>
      <c r="J826" s="1616">
        <f t="shared" si="16"/>
        <v>0</v>
      </c>
      <c r="K826" s="613"/>
      <c r="L826" s="613"/>
      <c r="M826" s="613"/>
      <c r="N826" s="617"/>
      <c r="O826" s="267"/>
    </row>
    <row r="827" spans="1:15" s="1" customFormat="1" ht="18" customHeight="1">
      <c r="A827" s="1331"/>
      <c r="B827" s="605"/>
      <c r="C827" s="606"/>
      <c r="D827" s="590"/>
      <c r="E827" s="606"/>
      <c r="F827" s="607"/>
      <c r="G827" s="607"/>
      <c r="H827" s="608"/>
      <c r="I827" s="608"/>
      <c r="J827" s="1616">
        <f t="shared" si="16"/>
        <v>0</v>
      </c>
      <c r="K827" s="613"/>
      <c r="L827" s="613"/>
      <c r="M827" s="613"/>
      <c r="N827" s="617"/>
      <c r="O827" s="267"/>
    </row>
    <row r="828" spans="1:15" s="1" customFormat="1" ht="18" customHeight="1">
      <c r="A828" s="1331"/>
      <c r="B828" s="605"/>
      <c r="C828" s="606"/>
      <c r="D828" s="590"/>
      <c r="E828" s="606"/>
      <c r="F828" s="607"/>
      <c r="G828" s="607"/>
      <c r="H828" s="608"/>
      <c r="I828" s="608"/>
      <c r="J828" s="1616">
        <f t="shared" si="16"/>
        <v>0</v>
      </c>
      <c r="K828" s="613"/>
      <c r="L828" s="613"/>
      <c r="M828" s="613"/>
      <c r="N828" s="617"/>
      <c r="O828" s="267"/>
    </row>
    <row r="829" spans="1:15" s="1" customFormat="1" ht="18" customHeight="1">
      <c r="A829" s="1331"/>
      <c r="B829" s="605"/>
      <c r="C829" s="606"/>
      <c r="D829" s="590"/>
      <c r="E829" s="606"/>
      <c r="F829" s="607"/>
      <c r="G829" s="607"/>
      <c r="H829" s="608"/>
      <c r="I829" s="608"/>
      <c r="J829" s="1616">
        <f t="shared" si="16"/>
        <v>0</v>
      </c>
      <c r="K829" s="613"/>
      <c r="L829" s="613"/>
      <c r="M829" s="613"/>
      <c r="N829" s="617"/>
      <c r="O829" s="267"/>
    </row>
    <row r="830" spans="1:15" s="1" customFormat="1" ht="18" customHeight="1">
      <c r="A830" s="1331"/>
      <c r="B830" s="605"/>
      <c r="C830" s="606"/>
      <c r="D830" s="590"/>
      <c r="E830" s="606"/>
      <c r="F830" s="607"/>
      <c r="G830" s="607"/>
      <c r="H830" s="608"/>
      <c r="I830" s="608"/>
      <c r="J830" s="1616">
        <f t="shared" si="16"/>
        <v>0</v>
      </c>
      <c r="K830" s="613"/>
      <c r="L830" s="613"/>
      <c r="M830" s="613"/>
      <c r="N830" s="617"/>
      <c r="O830" s="267"/>
    </row>
    <row r="831" spans="1:15" s="1" customFormat="1" ht="18" customHeight="1">
      <c r="A831" s="1331"/>
      <c r="B831" s="605"/>
      <c r="C831" s="606"/>
      <c r="D831" s="590"/>
      <c r="E831" s="606"/>
      <c r="F831" s="607"/>
      <c r="G831" s="607"/>
      <c r="H831" s="608"/>
      <c r="I831" s="608"/>
      <c r="J831" s="1616">
        <f t="shared" si="16"/>
        <v>0</v>
      </c>
      <c r="K831" s="613"/>
      <c r="L831" s="613"/>
      <c r="M831" s="613"/>
      <c r="N831" s="617"/>
      <c r="O831" s="267"/>
    </row>
    <row r="832" spans="1:15" s="1" customFormat="1" ht="18" customHeight="1">
      <c r="A832" s="1331"/>
      <c r="B832" s="605"/>
      <c r="C832" s="606"/>
      <c r="D832" s="590"/>
      <c r="E832" s="606"/>
      <c r="F832" s="607"/>
      <c r="G832" s="607"/>
      <c r="H832" s="608"/>
      <c r="I832" s="608"/>
      <c r="J832" s="1616">
        <f t="shared" si="16"/>
        <v>0</v>
      </c>
      <c r="K832" s="613"/>
      <c r="L832" s="613"/>
      <c r="M832" s="613"/>
      <c r="N832" s="617"/>
      <c r="O832" s="267"/>
    </row>
    <row r="833" spans="1:15" s="1" customFormat="1" ht="18" customHeight="1">
      <c r="A833" s="1331"/>
      <c r="B833" s="605"/>
      <c r="C833" s="606"/>
      <c r="D833" s="590"/>
      <c r="E833" s="606"/>
      <c r="F833" s="607"/>
      <c r="G833" s="607"/>
      <c r="H833" s="608"/>
      <c r="I833" s="608"/>
      <c r="J833" s="1616">
        <f t="shared" si="16"/>
        <v>0</v>
      </c>
      <c r="K833" s="613"/>
      <c r="L833" s="613"/>
      <c r="M833" s="613"/>
      <c r="N833" s="617"/>
      <c r="O833" s="267"/>
    </row>
    <row r="834" spans="1:15" s="1" customFormat="1" ht="18" customHeight="1">
      <c r="A834" s="1331"/>
      <c r="B834" s="605"/>
      <c r="C834" s="606"/>
      <c r="D834" s="590"/>
      <c r="E834" s="606"/>
      <c r="F834" s="607"/>
      <c r="G834" s="607"/>
      <c r="H834" s="608"/>
      <c r="I834" s="608"/>
      <c r="J834" s="1616">
        <f t="shared" si="16"/>
        <v>0</v>
      </c>
      <c r="K834" s="613"/>
      <c r="L834" s="613"/>
      <c r="M834" s="613"/>
      <c r="N834" s="617"/>
      <c r="O834" s="267"/>
    </row>
    <row r="835" spans="1:15" s="1" customFormat="1" ht="18" customHeight="1">
      <c r="A835" s="1331"/>
      <c r="B835" s="605"/>
      <c r="C835" s="606"/>
      <c r="D835" s="590"/>
      <c r="E835" s="606"/>
      <c r="F835" s="607"/>
      <c r="G835" s="607"/>
      <c r="H835" s="608"/>
      <c r="I835" s="608"/>
      <c r="J835" s="1616">
        <f t="shared" si="16"/>
        <v>0</v>
      </c>
      <c r="K835" s="613"/>
      <c r="L835" s="613"/>
      <c r="M835" s="613"/>
      <c r="N835" s="617"/>
      <c r="O835" s="267"/>
    </row>
    <row r="836" spans="1:15" s="1" customFormat="1" ht="18" customHeight="1">
      <c r="A836" s="1331"/>
      <c r="B836" s="605"/>
      <c r="C836" s="606"/>
      <c r="D836" s="590"/>
      <c r="E836" s="606"/>
      <c r="F836" s="607"/>
      <c r="G836" s="607"/>
      <c r="H836" s="608"/>
      <c r="I836" s="608"/>
      <c r="J836" s="1616">
        <f t="shared" si="16"/>
        <v>0</v>
      </c>
      <c r="K836" s="613"/>
      <c r="L836" s="613"/>
      <c r="M836" s="613"/>
      <c r="N836" s="617"/>
      <c r="O836" s="267"/>
    </row>
    <row r="837" spans="1:15" s="1" customFormat="1" ht="18" customHeight="1">
      <c r="A837" s="1331"/>
      <c r="B837" s="605"/>
      <c r="C837" s="606"/>
      <c r="D837" s="590"/>
      <c r="E837" s="606"/>
      <c r="F837" s="607"/>
      <c r="G837" s="607"/>
      <c r="H837" s="608"/>
      <c r="I837" s="608"/>
      <c r="J837" s="1616">
        <f t="shared" si="16"/>
        <v>0</v>
      </c>
      <c r="K837" s="613"/>
      <c r="L837" s="613"/>
      <c r="M837" s="613"/>
      <c r="N837" s="617"/>
      <c r="O837" s="267"/>
    </row>
    <row r="838" spans="1:15" s="1" customFormat="1" ht="18" customHeight="1">
      <c r="A838" s="1331"/>
      <c r="B838" s="605"/>
      <c r="C838" s="606"/>
      <c r="D838" s="590"/>
      <c r="E838" s="606"/>
      <c r="F838" s="607"/>
      <c r="G838" s="607"/>
      <c r="H838" s="608"/>
      <c r="I838" s="608"/>
      <c r="J838" s="1616">
        <f t="shared" si="16"/>
        <v>0</v>
      </c>
      <c r="K838" s="613"/>
      <c r="L838" s="613"/>
      <c r="M838" s="613"/>
      <c r="N838" s="617"/>
      <c r="O838" s="267"/>
    </row>
    <row r="839" spans="1:15" s="1" customFormat="1" ht="18" customHeight="1">
      <c r="A839" s="1331"/>
      <c r="B839" s="605"/>
      <c r="C839" s="606"/>
      <c r="D839" s="590"/>
      <c r="E839" s="606"/>
      <c r="F839" s="607"/>
      <c r="G839" s="607"/>
      <c r="H839" s="608"/>
      <c r="I839" s="608"/>
      <c r="J839" s="1616">
        <f t="shared" si="16"/>
        <v>0</v>
      </c>
      <c r="K839" s="613"/>
      <c r="L839" s="613"/>
      <c r="M839" s="613"/>
      <c r="N839" s="617"/>
      <c r="O839" s="267"/>
    </row>
    <row r="840" spans="1:15" s="1" customFormat="1" ht="18" customHeight="1">
      <c r="A840" s="1331"/>
      <c r="B840" s="605"/>
      <c r="C840" s="606"/>
      <c r="D840" s="590"/>
      <c r="E840" s="606"/>
      <c r="F840" s="607"/>
      <c r="G840" s="607"/>
      <c r="H840" s="608"/>
      <c r="I840" s="608"/>
      <c r="J840" s="1616">
        <f t="shared" si="16"/>
        <v>0</v>
      </c>
      <c r="K840" s="613"/>
      <c r="L840" s="613"/>
      <c r="M840" s="613"/>
      <c r="N840" s="617"/>
      <c r="O840" s="267"/>
    </row>
    <row r="841" spans="1:15" s="1" customFormat="1" ht="18" customHeight="1">
      <c r="A841" s="1331"/>
      <c r="B841" s="605"/>
      <c r="C841" s="606"/>
      <c r="D841" s="590"/>
      <c r="E841" s="606"/>
      <c r="F841" s="607"/>
      <c r="G841" s="607"/>
      <c r="H841" s="608"/>
      <c r="I841" s="608"/>
      <c r="J841" s="1616">
        <f t="shared" si="16"/>
        <v>0</v>
      </c>
      <c r="K841" s="613"/>
      <c r="L841" s="613"/>
      <c r="M841" s="613"/>
      <c r="N841" s="617"/>
      <c r="O841" s="267"/>
    </row>
    <row r="842" spans="1:15" s="1" customFormat="1" ht="18" customHeight="1">
      <c r="A842" s="1331"/>
      <c r="B842" s="605"/>
      <c r="C842" s="606"/>
      <c r="D842" s="590"/>
      <c r="E842" s="606"/>
      <c r="F842" s="607"/>
      <c r="G842" s="607"/>
      <c r="H842" s="608"/>
      <c r="I842" s="608"/>
      <c r="J842" s="1616">
        <f t="shared" si="16"/>
        <v>0</v>
      </c>
      <c r="K842" s="613"/>
      <c r="L842" s="613"/>
      <c r="M842" s="613"/>
      <c r="N842" s="617"/>
      <c r="O842" s="267"/>
    </row>
    <row r="843" spans="1:15" s="1" customFormat="1" ht="18" customHeight="1">
      <c r="A843" s="1331"/>
      <c r="B843" s="605"/>
      <c r="C843" s="606"/>
      <c r="D843" s="590"/>
      <c r="E843" s="606"/>
      <c r="F843" s="607"/>
      <c r="G843" s="607"/>
      <c r="H843" s="608"/>
      <c r="I843" s="608"/>
      <c r="J843" s="1616">
        <f t="shared" si="16"/>
        <v>0</v>
      </c>
      <c r="K843" s="613"/>
      <c r="L843" s="613"/>
      <c r="M843" s="613"/>
      <c r="N843" s="617"/>
      <c r="O843" s="267"/>
    </row>
    <row r="844" spans="1:15" s="1" customFormat="1" ht="18" customHeight="1">
      <c r="A844" s="1331"/>
      <c r="B844" s="605"/>
      <c r="C844" s="606"/>
      <c r="D844" s="590"/>
      <c r="E844" s="606"/>
      <c r="F844" s="607"/>
      <c r="G844" s="607"/>
      <c r="H844" s="608"/>
      <c r="I844" s="608"/>
      <c r="J844" s="1616">
        <f t="shared" si="16"/>
        <v>0</v>
      </c>
      <c r="K844" s="613"/>
      <c r="L844" s="613"/>
      <c r="M844" s="613"/>
      <c r="N844" s="617"/>
      <c r="O844" s="267"/>
    </row>
    <row r="845" spans="1:15" s="1" customFormat="1" ht="18" customHeight="1">
      <c r="A845" s="1331"/>
      <c r="B845" s="605"/>
      <c r="C845" s="606"/>
      <c r="D845" s="590"/>
      <c r="E845" s="606"/>
      <c r="F845" s="607"/>
      <c r="G845" s="607"/>
      <c r="H845" s="608"/>
      <c r="I845" s="608"/>
      <c r="J845" s="1616">
        <f t="shared" si="16"/>
        <v>0</v>
      </c>
      <c r="K845" s="613"/>
      <c r="L845" s="613"/>
      <c r="M845" s="613"/>
      <c r="N845" s="617"/>
      <c r="O845" s="267"/>
    </row>
    <row r="846" spans="1:15" s="1" customFormat="1" ht="18" customHeight="1">
      <c r="A846" s="1331"/>
      <c r="B846" s="605"/>
      <c r="C846" s="606"/>
      <c r="D846" s="590"/>
      <c r="E846" s="606"/>
      <c r="F846" s="607"/>
      <c r="G846" s="607"/>
      <c r="H846" s="608"/>
      <c r="I846" s="608"/>
      <c r="J846" s="1616">
        <f t="shared" si="16"/>
        <v>0</v>
      </c>
      <c r="K846" s="613"/>
      <c r="L846" s="613"/>
      <c r="M846" s="613"/>
      <c r="N846" s="617"/>
      <c r="O846" s="267"/>
    </row>
    <row r="847" spans="1:15" s="1" customFormat="1" ht="18" customHeight="1">
      <c r="A847" s="1331"/>
      <c r="B847" s="605"/>
      <c r="C847" s="606"/>
      <c r="D847" s="590"/>
      <c r="E847" s="606"/>
      <c r="F847" s="607"/>
      <c r="G847" s="607"/>
      <c r="H847" s="608"/>
      <c r="I847" s="608"/>
      <c r="J847" s="1616">
        <f t="shared" si="16"/>
        <v>0</v>
      </c>
      <c r="K847" s="613"/>
      <c r="L847" s="613"/>
      <c r="M847" s="613"/>
      <c r="N847" s="617"/>
      <c r="O847" s="267"/>
    </row>
    <row r="848" spans="1:15" s="1" customFormat="1" ht="18" customHeight="1">
      <c r="A848" s="1331"/>
      <c r="B848" s="605"/>
      <c r="C848" s="606"/>
      <c r="D848" s="590"/>
      <c r="E848" s="606"/>
      <c r="F848" s="607"/>
      <c r="G848" s="607"/>
      <c r="H848" s="608"/>
      <c r="I848" s="608"/>
      <c r="J848" s="1616">
        <f t="shared" si="16"/>
        <v>0</v>
      </c>
      <c r="K848" s="613"/>
      <c r="L848" s="613"/>
      <c r="M848" s="613"/>
      <c r="N848" s="617"/>
      <c r="O848" s="267"/>
    </row>
    <row r="849" spans="1:15" s="1" customFormat="1" ht="18" customHeight="1">
      <c r="A849" s="1331"/>
      <c r="B849" s="605"/>
      <c r="C849" s="606"/>
      <c r="D849" s="590"/>
      <c r="E849" s="606"/>
      <c r="F849" s="607"/>
      <c r="G849" s="607"/>
      <c r="H849" s="608"/>
      <c r="I849" s="608"/>
      <c r="J849" s="1616">
        <f t="shared" si="16"/>
        <v>0</v>
      </c>
      <c r="K849" s="613"/>
      <c r="L849" s="613"/>
      <c r="M849" s="613"/>
      <c r="N849" s="617"/>
      <c r="O849" s="267"/>
    </row>
    <row r="850" spans="1:15" s="1" customFormat="1" ht="18" customHeight="1">
      <c r="A850" s="1331"/>
      <c r="B850" s="605"/>
      <c r="C850" s="606"/>
      <c r="D850" s="590"/>
      <c r="E850" s="606"/>
      <c r="F850" s="607"/>
      <c r="G850" s="607"/>
      <c r="H850" s="608"/>
      <c r="I850" s="608"/>
      <c r="J850" s="1616">
        <f t="shared" si="16"/>
        <v>0</v>
      </c>
      <c r="K850" s="613"/>
      <c r="L850" s="613"/>
      <c r="M850" s="613"/>
      <c r="N850" s="617"/>
      <c r="O850" s="267"/>
    </row>
    <row r="851" spans="1:15" s="1" customFormat="1" ht="18" customHeight="1">
      <c r="A851" s="1331"/>
      <c r="B851" s="605"/>
      <c r="C851" s="606"/>
      <c r="D851" s="590"/>
      <c r="E851" s="606"/>
      <c r="F851" s="607"/>
      <c r="G851" s="607"/>
      <c r="H851" s="608"/>
      <c r="I851" s="608"/>
      <c r="J851" s="1616">
        <f t="shared" si="16"/>
        <v>0</v>
      </c>
      <c r="K851" s="613"/>
      <c r="L851" s="613"/>
      <c r="M851" s="613"/>
      <c r="N851" s="617"/>
      <c r="O851" s="267"/>
    </row>
    <row r="852" spans="1:15" s="1" customFormat="1" ht="18" customHeight="1">
      <c r="A852" s="1331"/>
      <c r="B852" s="605"/>
      <c r="C852" s="606"/>
      <c r="D852" s="590"/>
      <c r="E852" s="606"/>
      <c r="F852" s="607"/>
      <c r="G852" s="607"/>
      <c r="H852" s="608"/>
      <c r="I852" s="608"/>
      <c r="J852" s="1616">
        <f t="shared" si="16"/>
        <v>0</v>
      </c>
      <c r="K852" s="613"/>
      <c r="L852" s="613"/>
      <c r="M852" s="613"/>
      <c r="N852" s="617"/>
      <c r="O852" s="267"/>
    </row>
    <row r="853" spans="1:15" s="1" customFormat="1" ht="18" customHeight="1">
      <c r="A853" s="1331"/>
      <c r="B853" s="605"/>
      <c r="C853" s="606"/>
      <c r="D853" s="590"/>
      <c r="E853" s="606"/>
      <c r="F853" s="607"/>
      <c r="G853" s="607"/>
      <c r="H853" s="608"/>
      <c r="I853" s="608"/>
      <c r="J853" s="1616">
        <f t="shared" si="16"/>
        <v>0</v>
      </c>
      <c r="K853" s="613"/>
      <c r="L853" s="613"/>
      <c r="M853" s="613"/>
      <c r="N853" s="617"/>
      <c r="O853" s="267"/>
    </row>
    <row r="854" spans="1:15" s="1" customFormat="1" ht="18" customHeight="1">
      <c r="A854" s="1331"/>
      <c r="B854" s="605"/>
      <c r="C854" s="606"/>
      <c r="D854" s="590"/>
      <c r="E854" s="606"/>
      <c r="F854" s="607"/>
      <c r="G854" s="607"/>
      <c r="H854" s="608"/>
      <c r="I854" s="608"/>
      <c r="J854" s="1616">
        <f t="shared" si="16"/>
        <v>0</v>
      </c>
      <c r="K854" s="613"/>
      <c r="L854" s="613"/>
      <c r="M854" s="613"/>
      <c r="N854" s="617"/>
      <c r="O854" s="267"/>
    </row>
    <row r="855" spans="1:15" s="1" customFormat="1" ht="18" customHeight="1">
      <c r="A855" s="1331"/>
      <c r="B855" s="605"/>
      <c r="C855" s="606"/>
      <c r="D855" s="590"/>
      <c r="E855" s="606"/>
      <c r="F855" s="607"/>
      <c r="G855" s="607"/>
      <c r="H855" s="608"/>
      <c r="I855" s="608"/>
      <c r="J855" s="1616">
        <f t="shared" si="16"/>
        <v>0</v>
      </c>
      <c r="K855" s="613"/>
      <c r="L855" s="613"/>
      <c r="M855" s="613"/>
      <c r="N855" s="617"/>
      <c r="O855" s="267"/>
    </row>
    <row r="856" spans="1:15" s="1" customFormat="1" ht="18" customHeight="1">
      <c r="A856" s="1331"/>
      <c r="B856" s="605"/>
      <c r="C856" s="606"/>
      <c r="D856" s="590"/>
      <c r="E856" s="606"/>
      <c r="F856" s="607"/>
      <c r="G856" s="607"/>
      <c r="H856" s="608"/>
      <c r="I856" s="608"/>
      <c r="J856" s="1616">
        <f t="shared" si="16"/>
        <v>0</v>
      </c>
      <c r="K856" s="613"/>
      <c r="L856" s="613"/>
      <c r="M856" s="613"/>
      <c r="N856" s="617"/>
      <c r="O856" s="267"/>
    </row>
    <row r="857" spans="1:15" s="1" customFormat="1" ht="18" customHeight="1">
      <c r="A857" s="1331"/>
      <c r="B857" s="605"/>
      <c r="C857" s="606"/>
      <c r="D857" s="590"/>
      <c r="E857" s="606"/>
      <c r="F857" s="607"/>
      <c r="G857" s="607"/>
      <c r="H857" s="608"/>
      <c r="I857" s="608"/>
      <c r="J857" s="1616">
        <f t="shared" si="16"/>
        <v>0</v>
      </c>
      <c r="K857" s="613"/>
      <c r="L857" s="613"/>
      <c r="M857" s="613"/>
      <c r="N857" s="617"/>
      <c r="O857" s="267"/>
    </row>
    <row r="858" spans="1:15" s="1" customFormat="1" ht="18" customHeight="1">
      <c r="A858" s="1331"/>
      <c r="B858" s="605"/>
      <c r="C858" s="606"/>
      <c r="D858" s="590"/>
      <c r="E858" s="606"/>
      <c r="F858" s="607"/>
      <c r="G858" s="607"/>
      <c r="H858" s="608"/>
      <c r="I858" s="608"/>
      <c r="J858" s="1616">
        <f t="shared" si="16"/>
        <v>0</v>
      </c>
      <c r="K858" s="613"/>
      <c r="L858" s="613"/>
      <c r="M858" s="613"/>
      <c r="N858" s="617"/>
      <c r="O858" s="267"/>
    </row>
    <row r="859" spans="1:15" s="1" customFormat="1" ht="18" customHeight="1">
      <c r="A859" s="1331"/>
      <c r="B859" s="605"/>
      <c r="C859" s="606"/>
      <c r="D859" s="590"/>
      <c r="E859" s="606"/>
      <c r="F859" s="607"/>
      <c r="G859" s="607"/>
      <c r="H859" s="608"/>
      <c r="I859" s="608"/>
      <c r="J859" s="1616">
        <f t="shared" si="16"/>
        <v>0</v>
      </c>
      <c r="K859" s="613"/>
      <c r="L859" s="613"/>
      <c r="M859" s="613"/>
      <c r="N859" s="617"/>
      <c r="O859" s="267"/>
    </row>
    <row r="860" spans="1:15" s="1" customFormat="1" ht="18" customHeight="1">
      <c r="A860" s="1331"/>
      <c r="B860" s="605"/>
      <c r="C860" s="606"/>
      <c r="D860" s="590"/>
      <c r="E860" s="606"/>
      <c r="F860" s="607"/>
      <c r="G860" s="607"/>
      <c r="H860" s="608"/>
      <c r="I860" s="608"/>
      <c r="J860" s="1616">
        <f t="shared" si="16"/>
        <v>0</v>
      </c>
      <c r="K860" s="613"/>
      <c r="L860" s="613"/>
      <c r="M860" s="613"/>
      <c r="N860" s="617"/>
      <c r="O860" s="267"/>
    </row>
    <row r="861" spans="1:15" s="1" customFormat="1" ht="18" customHeight="1">
      <c r="A861" s="1331"/>
      <c r="B861" s="605"/>
      <c r="C861" s="606"/>
      <c r="D861" s="590"/>
      <c r="E861" s="606"/>
      <c r="F861" s="607"/>
      <c r="G861" s="607"/>
      <c r="H861" s="608"/>
      <c r="I861" s="608"/>
      <c r="J861" s="1616">
        <f t="shared" si="16"/>
        <v>0</v>
      </c>
      <c r="K861" s="613"/>
      <c r="L861" s="613"/>
      <c r="M861" s="613"/>
      <c r="N861" s="617"/>
      <c r="O861" s="267"/>
    </row>
    <row r="862" spans="1:15" s="1" customFormat="1" ht="18" customHeight="1">
      <c r="A862" s="1331"/>
      <c r="B862" s="605"/>
      <c r="C862" s="606"/>
      <c r="D862" s="590"/>
      <c r="E862" s="606"/>
      <c r="F862" s="607"/>
      <c r="G862" s="607"/>
      <c r="H862" s="608"/>
      <c r="I862" s="608"/>
      <c r="J862" s="1616">
        <f t="shared" si="16"/>
        <v>0</v>
      </c>
      <c r="K862" s="613"/>
      <c r="L862" s="613"/>
      <c r="M862" s="613"/>
      <c r="N862" s="617"/>
      <c r="O862" s="267"/>
    </row>
    <row r="863" spans="1:15" s="1" customFormat="1" ht="18" customHeight="1">
      <c r="A863" s="1331"/>
      <c r="B863" s="605"/>
      <c r="C863" s="606"/>
      <c r="D863" s="590"/>
      <c r="E863" s="606"/>
      <c r="F863" s="607"/>
      <c r="G863" s="607"/>
      <c r="H863" s="608"/>
      <c r="I863" s="608"/>
      <c r="J863" s="1616">
        <f t="shared" si="16"/>
        <v>0</v>
      </c>
      <c r="K863" s="613"/>
      <c r="L863" s="613"/>
      <c r="M863" s="613"/>
      <c r="N863" s="617"/>
      <c r="O863" s="267"/>
    </row>
    <row r="864" spans="1:15" s="1" customFormat="1" ht="18" customHeight="1">
      <c r="A864" s="1331"/>
      <c r="B864" s="605"/>
      <c r="C864" s="606"/>
      <c r="D864" s="590"/>
      <c r="E864" s="606"/>
      <c r="F864" s="607"/>
      <c r="G864" s="607"/>
      <c r="H864" s="608"/>
      <c r="I864" s="608"/>
      <c r="J864" s="1616">
        <f t="shared" si="16"/>
        <v>0</v>
      </c>
      <c r="K864" s="613"/>
      <c r="L864" s="613"/>
      <c r="M864" s="613"/>
      <c r="N864" s="617"/>
      <c r="O864" s="267"/>
    </row>
    <row r="865" spans="1:15" s="1" customFormat="1" ht="18" customHeight="1">
      <c r="A865" s="1331"/>
      <c r="B865" s="605"/>
      <c r="C865" s="606"/>
      <c r="D865" s="590"/>
      <c r="E865" s="606"/>
      <c r="F865" s="607"/>
      <c r="G865" s="607"/>
      <c r="H865" s="608"/>
      <c r="I865" s="608"/>
      <c r="J865" s="1616">
        <f t="shared" si="16"/>
        <v>0</v>
      </c>
      <c r="K865" s="613"/>
      <c r="L865" s="613"/>
      <c r="M865" s="613"/>
      <c r="N865" s="617"/>
      <c r="O865" s="267"/>
    </row>
    <row r="866" spans="1:15" s="1" customFormat="1" ht="18" customHeight="1">
      <c r="A866" s="1331"/>
      <c r="B866" s="605"/>
      <c r="C866" s="606"/>
      <c r="D866" s="590"/>
      <c r="E866" s="606"/>
      <c r="F866" s="607"/>
      <c r="G866" s="607"/>
      <c r="H866" s="608"/>
      <c r="I866" s="608"/>
      <c r="J866" s="1616">
        <f t="shared" si="16"/>
        <v>0</v>
      </c>
      <c r="K866" s="613"/>
      <c r="L866" s="613"/>
      <c r="M866" s="613"/>
      <c r="N866" s="617"/>
      <c r="O866" s="267"/>
    </row>
    <row r="867" spans="1:15" s="1" customFormat="1" ht="18" customHeight="1">
      <c r="A867" s="1331"/>
      <c r="B867" s="605"/>
      <c r="C867" s="606"/>
      <c r="D867" s="590"/>
      <c r="E867" s="606"/>
      <c r="F867" s="607"/>
      <c r="G867" s="607"/>
      <c r="H867" s="608"/>
      <c r="I867" s="608"/>
      <c r="J867" s="1616">
        <f t="shared" ref="J867:J930" si="17">G867*I867</f>
        <v>0</v>
      </c>
      <c r="K867" s="613"/>
      <c r="L867" s="613"/>
      <c r="M867" s="613"/>
      <c r="N867" s="617"/>
      <c r="O867" s="267"/>
    </row>
    <row r="868" spans="1:15" s="1" customFormat="1" ht="18" customHeight="1">
      <c r="A868" s="1331"/>
      <c r="B868" s="605"/>
      <c r="C868" s="606"/>
      <c r="D868" s="590"/>
      <c r="E868" s="606"/>
      <c r="F868" s="607"/>
      <c r="G868" s="607"/>
      <c r="H868" s="608"/>
      <c r="I868" s="608"/>
      <c r="J868" s="1616">
        <f t="shared" si="17"/>
        <v>0</v>
      </c>
      <c r="K868" s="613"/>
      <c r="L868" s="613"/>
      <c r="M868" s="613"/>
      <c r="N868" s="617"/>
      <c r="O868" s="267"/>
    </row>
    <row r="869" spans="1:15" s="1" customFormat="1" ht="18" customHeight="1">
      <c r="A869" s="1331"/>
      <c r="B869" s="605"/>
      <c r="C869" s="606"/>
      <c r="D869" s="590"/>
      <c r="E869" s="606"/>
      <c r="F869" s="607"/>
      <c r="G869" s="607"/>
      <c r="H869" s="608"/>
      <c r="I869" s="608"/>
      <c r="J869" s="1616">
        <f t="shared" si="17"/>
        <v>0</v>
      </c>
      <c r="K869" s="613"/>
      <c r="L869" s="613"/>
      <c r="M869" s="613"/>
      <c r="N869" s="617"/>
      <c r="O869" s="267"/>
    </row>
    <row r="870" spans="1:15" s="1" customFormat="1" ht="18" customHeight="1">
      <c r="A870" s="1331"/>
      <c r="B870" s="605"/>
      <c r="C870" s="606"/>
      <c r="D870" s="590"/>
      <c r="E870" s="606"/>
      <c r="F870" s="607"/>
      <c r="G870" s="607"/>
      <c r="H870" s="608"/>
      <c r="I870" s="608"/>
      <c r="J870" s="1616">
        <f t="shared" si="17"/>
        <v>0</v>
      </c>
      <c r="K870" s="613"/>
      <c r="L870" s="613"/>
      <c r="M870" s="613"/>
      <c r="N870" s="617"/>
      <c r="O870" s="267"/>
    </row>
    <row r="871" spans="1:15" s="1" customFormat="1" ht="18" customHeight="1">
      <c r="A871" s="1331"/>
      <c r="B871" s="605"/>
      <c r="C871" s="606"/>
      <c r="D871" s="590"/>
      <c r="E871" s="606"/>
      <c r="F871" s="607"/>
      <c r="G871" s="607"/>
      <c r="H871" s="608"/>
      <c r="I871" s="608"/>
      <c r="J871" s="1616">
        <f t="shared" si="17"/>
        <v>0</v>
      </c>
      <c r="K871" s="613"/>
      <c r="L871" s="613"/>
      <c r="M871" s="613"/>
      <c r="N871" s="617"/>
      <c r="O871" s="267"/>
    </row>
    <row r="872" spans="1:15" s="1" customFormat="1" ht="18" customHeight="1">
      <c r="A872" s="1331"/>
      <c r="B872" s="605"/>
      <c r="C872" s="606"/>
      <c r="D872" s="590"/>
      <c r="E872" s="606"/>
      <c r="F872" s="607"/>
      <c r="G872" s="607"/>
      <c r="H872" s="608"/>
      <c r="I872" s="608"/>
      <c r="J872" s="1616">
        <f t="shared" si="17"/>
        <v>0</v>
      </c>
      <c r="K872" s="613"/>
      <c r="L872" s="613"/>
      <c r="M872" s="613"/>
      <c r="N872" s="617"/>
      <c r="O872" s="267"/>
    </row>
    <row r="873" spans="1:15" s="1" customFormat="1" ht="18" customHeight="1">
      <c r="A873" s="1331"/>
      <c r="B873" s="605"/>
      <c r="C873" s="606"/>
      <c r="D873" s="590"/>
      <c r="E873" s="606"/>
      <c r="F873" s="607"/>
      <c r="G873" s="607"/>
      <c r="H873" s="608"/>
      <c r="I873" s="608"/>
      <c r="J873" s="1616">
        <f t="shared" si="17"/>
        <v>0</v>
      </c>
      <c r="K873" s="613"/>
      <c r="L873" s="613"/>
      <c r="M873" s="613"/>
      <c r="N873" s="617"/>
      <c r="O873" s="267"/>
    </row>
    <row r="874" spans="1:15" s="1" customFormat="1" ht="18" customHeight="1">
      <c r="A874" s="1331"/>
      <c r="B874" s="605"/>
      <c r="C874" s="606"/>
      <c r="D874" s="590"/>
      <c r="E874" s="606"/>
      <c r="F874" s="607"/>
      <c r="G874" s="607"/>
      <c r="H874" s="608"/>
      <c r="I874" s="608"/>
      <c r="J874" s="1616">
        <f t="shared" si="17"/>
        <v>0</v>
      </c>
      <c r="K874" s="613"/>
      <c r="L874" s="613"/>
      <c r="M874" s="613"/>
      <c r="N874" s="617"/>
      <c r="O874" s="267"/>
    </row>
    <row r="875" spans="1:15" s="1" customFormat="1" ht="18" customHeight="1">
      <c r="A875" s="1331"/>
      <c r="B875" s="605"/>
      <c r="C875" s="606"/>
      <c r="D875" s="590"/>
      <c r="E875" s="606"/>
      <c r="F875" s="607"/>
      <c r="G875" s="607"/>
      <c r="H875" s="608"/>
      <c r="I875" s="608"/>
      <c r="J875" s="1616">
        <f t="shared" si="17"/>
        <v>0</v>
      </c>
      <c r="K875" s="613"/>
      <c r="L875" s="613"/>
      <c r="M875" s="613"/>
      <c r="N875" s="617"/>
      <c r="O875" s="267"/>
    </row>
    <row r="876" spans="1:15" s="1" customFormat="1" ht="18" customHeight="1">
      <c r="A876" s="1331"/>
      <c r="B876" s="605"/>
      <c r="C876" s="606"/>
      <c r="D876" s="590"/>
      <c r="E876" s="606"/>
      <c r="F876" s="607"/>
      <c r="G876" s="607"/>
      <c r="H876" s="608"/>
      <c r="I876" s="608"/>
      <c r="J876" s="1616">
        <f t="shared" si="17"/>
        <v>0</v>
      </c>
      <c r="K876" s="613"/>
      <c r="L876" s="613"/>
      <c r="M876" s="613"/>
      <c r="N876" s="617"/>
      <c r="O876" s="267"/>
    </row>
    <row r="877" spans="1:15" s="1" customFormat="1" ht="18" customHeight="1">
      <c r="A877" s="1331"/>
      <c r="B877" s="605"/>
      <c r="C877" s="606"/>
      <c r="D877" s="590"/>
      <c r="E877" s="606"/>
      <c r="F877" s="607"/>
      <c r="G877" s="607"/>
      <c r="H877" s="608"/>
      <c r="I877" s="608"/>
      <c r="J877" s="1616">
        <f t="shared" si="17"/>
        <v>0</v>
      </c>
      <c r="K877" s="613"/>
      <c r="L877" s="613"/>
      <c r="M877" s="613"/>
      <c r="N877" s="617"/>
      <c r="O877" s="267"/>
    </row>
    <row r="878" spans="1:15" s="1" customFormat="1" ht="18" customHeight="1">
      <c r="A878" s="1331"/>
      <c r="B878" s="605"/>
      <c r="C878" s="606"/>
      <c r="D878" s="590"/>
      <c r="E878" s="606"/>
      <c r="F878" s="607"/>
      <c r="G878" s="607"/>
      <c r="H878" s="608"/>
      <c r="I878" s="608"/>
      <c r="J878" s="1616">
        <f t="shared" si="17"/>
        <v>0</v>
      </c>
      <c r="K878" s="613"/>
      <c r="L878" s="613"/>
      <c r="M878" s="613"/>
      <c r="N878" s="617"/>
      <c r="O878" s="267"/>
    </row>
    <row r="879" spans="1:15" s="1" customFormat="1" ht="18" customHeight="1">
      <c r="A879" s="1331"/>
      <c r="B879" s="605"/>
      <c r="C879" s="606"/>
      <c r="D879" s="590"/>
      <c r="E879" s="606"/>
      <c r="F879" s="607"/>
      <c r="G879" s="607"/>
      <c r="H879" s="608"/>
      <c r="I879" s="608"/>
      <c r="J879" s="1616">
        <f t="shared" si="17"/>
        <v>0</v>
      </c>
      <c r="K879" s="613"/>
      <c r="L879" s="613"/>
      <c r="M879" s="613"/>
      <c r="N879" s="617"/>
      <c r="O879" s="267"/>
    </row>
    <row r="880" spans="1:15" s="1" customFormat="1" ht="18" customHeight="1">
      <c r="A880" s="1331"/>
      <c r="B880" s="605"/>
      <c r="C880" s="606"/>
      <c r="D880" s="590"/>
      <c r="E880" s="606"/>
      <c r="F880" s="607"/>
      <c r="G880" s="607"/>
      <c r="H880" s="608"/>
      <c r="I880" s="608"/>
      <c r="J880" s="1616">
        <f t="shared" si="17"/>
        <v>0</v>
      </c>
      <c r="K880" s="613"/>
      <c r="L880" s="613"/>
      <c r="M880" s="613"/>
      <c r="N880" s="617"/>
      <c r="O880" s="267"/>
    </row>
    <row r="881" spans="1:15" s="1" customFormat="1" ht="18" customHeight="1">
      <c r="A881" s="1331"/>
      <c r="B881" s="605"/>
      <c r="C881" s="606"/>
      <c r="D881" s="590"/>
      <c r="E881" s="606"/>
      <c r="F881" s="607"/>
      <c r="G881" s="607"/>
      <c r="H881" s="608"/>
      <c r="I881" s="608"/>
      <c r="J881" s="1616">
        <f t="shared" si="17"/>
        <v>0</v>
      </c>
      <c r="K881" s="613"/>
      <c r="L881" s="613"/>
      <c r="M881" s="613"/>
      <c r="N881" s="617"/>
      <c r="O881" s="267"/>
    </row>
    <row r="882" spans="1:15" s="1" customFormat="1" ht="18" customHeight="1">
      <c r="A882" s="1331"/>
      <c r="B882" s="605"/>
      <c r="C882" s="606"/>
      <c r="D882" s="590"/>
      <c r="E882" s="606"/>
      <c r="F882" s="607"/>
      <c r="G882" s="607"/>
      <c r="H882" s="608"/>
      <c r="I882" s="608"/>
      <c r="J882" s="1616">
        <f t="shared" si="17"/>
        <v>0</v>
      </c>
      <c r="K882" s="613"/>
      <c r="L882" s="613"/>
      <c r="M882" s="613"/>
      <c r="N882" s="617"/>
      <c r="O882" s="267"/>
    </row>
    <row r="883" spans="1:15" s="1" customFormat="1" ht="18" customHeight="1">
      <c r="A883" s="1331"/>
      <c r="B883" s="605"/>
      <c r="C883" s="606"/>
      <c r="D883" s="590"/>
      <c r="E883" s="606"/>
      <c r="F883" s="607"/>
      <c r="G883" s="607"/>
      <c r="H883" s="608"/>
      <c r="I883" s="608"/>
      <c r="J883" s="1616">
        <f t="shared" si="17"/>
        <v>0</v>
      </c>
      <c r="K883" s="613"/>
      <c r="L883" s="613"/>
      <c r="M883" s="613"/>
      <c r="N883" s="617"/>
      <c r="O883" s="267"/>
    </row>
    <row r="884" spans="1:15" s="1" customFormat="1" ht="18" customHeight="1">
      <c r="A884" s="1331"/>
      <c r="B884" s="605"/>
      <c r="C884" s="606"/>
      <c r="D884" s="590"/>
      <c r="E884" s="606"/>
      <c r="F884" s="607"/>
      <c r="G884" s="607"/>
      <c r="H884" s="608"/>
      <c r="I884" s="608"/>
      <c r="J884" s="1616">
        <f t="shared" si="17"/>
        <v>0</v>
      </c>
      <c r="K884" s="613"/>
      <c r="L884" s="613"/>
      <c r="M884" s="613"/>
      <c r="N884" s="617"/>
      <c r="O884" s="267"/>
    </row>
    <row r="885" spans="1:15" s="1" customFormat="1" ht="18" customHeight="1">
      <c r="A885" s="1331"/>
      <c r="B885" s="605"/>
      <c r="C885" s="606"/>
      <c r="D885" s="590"/>
      <c r="E885" s="606"/>
      <c r="F885" s="607"/>
      <c r="G885" s="607"/>
      <c r="H885" s="608"/>
      <c r="I885" s="608"/>
      <c r="J885" s="1616">
        <f t="shared" si="17"/>
        <v>0</v>
      </c>
      <c r="K885" s="613"/>
      <c r="L885" s="613"/>
      <c r="M885" s="613"/>
      <c r="N885" s="617"/>
      <c r="O885" s="267"/>
    </row>
    <row r="886" spans="1:15" s="1" customFormat="1" ht="18" customHeight="1">
      <c r="A886" s="1331"/>
      <c r="B886" s="605"/>
      <c r="C886" s="606"/>
      <c r="D886" s="590"/>
      <c r="E886" s="606"/>
      <c r="F886" s="607"/>
      <c r="G886" s="607"/>
      <c r="H886" s="608"/>
      <c r="I886" s="608"/>
      <c r="J886" s="1616">
        <f t="shared" si="17"/>
        <v>0</v>
      </c>
      <c r="K886" s="613"/>
      <c r="L886" s="613"/>
      <c r="M886" s="613"/>
      <c r="N886" s="617"/>
      <c r="O886" s="267"/>
    </row>
    <row r="887" spans="1:15" s="1" customFormat="1" ht="18" customHeight="1">
      <c r="A887" s="1331"/>
      <c r="B887" s="605"/>
      <c r="C887" s="606"/>
      <c r="D887" s="590"/>
      <c r="E887" s="606"/>
      <c r="F887" s="607"/>
      <c r="G887" s="607"/>
      <c r="H887" s="608"/>
      <c r="I887" s="608"/>
      <c r="J887" s="1616">
        <f t="shared" si="17"/>
        <v>0</v>
      </c>
      <c r="K887" s="613"/>
      <c r="L887" s="613"/>
      <c r="M887" s="613"/>
      <c r="N887" s="617"/>
      <c r="O887" s="267"/>
    </row>
    <row r="888" spans="1:15" s="1" customFormat="1" ht="18" customHeight="1">
      <c r="A888" s="1331"/>
      <c r="B888" s="605"/>
      <c r="C888" s="606"/>
      <c r="D888" s="590"/>
      <c r="E888" s="606"/>
      <c r="F888" s="607"/>
      <c r="G888" s="607"/>
      <c r="H888" s="608"/>
      <c r="I888" s="608"/>
      <c r="J888" s="1616">
        <f t="shared" si="17"/>
        <v>0</v>
      </c>
      <c r="K888" s="613"/>
      <c r="L888" s="613"/>
      <c r="M888" s="613"/>
      <c r="N888" s="617"/>
      <c r="O888" s="267"/>
    </row>
    <row r="889" spans="1:15" s="1" customFormat="1" ht="18" customHeight="1">
      <c r="A889" s="1331"/>
      <c r="B889" s="605"/>
      <c r="C889" s="606"/>
      <c r="D889" s="590"/>
      <c r="E889" s="606"/>
      <c r="F889" s="607"/>
      <c r="G889" s="607"/>
      <c r="H889" s="608"/>
      <c r="I889" s="608"/>
      <c r="J889" s="1616">
        <f t="shared" si="17"/>
        <v>0</v>
      </c>
      <c r="K889" s="613"/>
      <c r="L889" s="613"/>
      <c r="M889" s="613"/>
      <c r="N889" s="617"/>
      <c r="O889" s="267"/>
    </row>
    <row r="890" spans="1:15" s="1" customFormat="1" ht="18" customHeight="1">
      <c r="A890" s="1331"/>
      <c r="B890" s="605"/>
      <c r="C890" s="606"/>
      <c r="D890" s="590"/>
      <c r="E890" s="606"/>
      <c r="F890" s="607"/>
      <c r="G890" s="607"/>
      <c r="H890" s="608"/>
      <c r="I890" s="608"/>
      <c r="J890" s="1616">
        <f t="shared" si="17"/>
        <v>0</v>
      </c>
      <c r="K890" s="613"/>
      <c r="L890" s="613"/>
      <c r="M890" s="613"/>
      <c r="N890" s="617"/>
      <c r="O890" s="267"/>
    </row>
    <row r="891" spans="1:15" s="1" customFormat="1" ht="18" customHeight="1">
      <c r="A891" s="1331"/>
      <c r="B891" s="605"/>
      <c r="C891" s="606"/>
      <c r="D891" s="590"/>
      <c r="E891" s="606"/>
      <c r="F891" s="607"/>
      <c r="G891" s="607"/>
      <c r="H891" s="608"/>
      <c r="I891" s="608"/>
      <c r="J891" s="1616">
        <f t="shared" si="17"/>
        <v>0</v>
      </c>
      <c r="K891" s="613"/>
      <c r="L891" s="613"/>
      <c r="M891" s="613"/>
      <c r="N891" s="617"/>
      <c r="O891" s="267"/>
    </row>
    <row r="892" spans="1:15" s="1" customFormat="1" ht="18" customHeight="1">
      <c r="A892" s="1331"/>
      <c r="B892" s="605"/>
      <c r="C892" s="606"/>
      <c r="D892" s="590"/>
      <c r="E892" s="606"/>
      <c r="F892" s="607"/>
      <c r="G892" s="607"/>
      <c r="H892" s="608"/>
      <c r="I892" s="608"/>
      <c r="J892" s="1616">
        <f t="shared" si="17"/>
        <v>0</v>
      </c>
      <c r="K892" s="613"/>
      <c r="L892" s="613"/>
      <c r="M892" s="613"/>
      <c r="N892" s="617"/>
      <c r="O892" s="267"/>
    </row>
    <row r="893" spans="1:15" s="1" customFormat="1" ht="18" customHeight="1">
      <c r="A893" s="1331"/>
      <c r="B893" s="605"/>
      <c r="C893" s="606"/>
      <c r="D893" s="590"/>
      <c r="E893" s="606"/>
      <c r="F893" s="607"/>
      <c r="G893" s="607"/>
      <c r="H893" s="608"/>
      <c r="I893" s="608"/>
      <c r="J893" s="1616">
        <f t="shared" si="17"/>
        <v>0</v>
      </c>
      <c r="K893" s="613"/>
      <c r="L893" s="613"/>
      <c r="M893" s="613"/>
      <c r="N893" s="617"/>
      <c r="O893" s="267"/>
    </row>
    <row r="894" spans="1:15" s="1" customFormat="1" ht="18" customHeight="1">
      <c r="A894" s="1331"/>
      <c r="B894" s="605"/>
      <c r="C894" s="606"/>
      <c r="D894" s="590"/>
      <c r="E894" s="606"/>
      <c r="F894" s="607"/>
      <c r="G894" s="607"/>
      <c r="H894" s="608"/>
      <c r="I894" s="608"/>
      <c r="J894" s="1616">
        <f t="shared" si="17"/>
        <v>0</v>
      </c>
      <c r="K894" s="613"/>
      <c r="L894" s="613"/>
      <c r="M894" s="613"/>
      <c r="N894" s="617"/>
      <c r="O894" s="267"/>
    </row>
    <row r="895" spans="1:15" s="1" customFormat="1" ht="18" customHeight="1">
      <c r="A895" s="1331"/>
      <c r="B895" s="605"/>
      <c r="C895" s="606"/>
      <c r="D895" s="590"/>
      <c r="E895" s="606"/>
      <c r="F895" s="607"/>
      <c r="G895" s="607"/>
      <c r="H895" s="608"/>
      <c r="I895" s="608"/>
      <c r="J895" s="1616">
        <f t="shared" si="17"/>
        <v>0</v>
      </c>
      <c r="K895" s="613"/>
      <c r="L895" s="613"/>
      <c r="M895" s="613"/>
      <c r="N895" s="617"/>
      <c r="O895" s="267"/>
    </row>
    <row r="896" spans="1:15" s="1" customFormat="1" ht="18" customHeight="1">
      <c r="A896" s="1331"/>
      <c r="B896" s="605"/>
      <c r="C896" s="606"/>
      <c r="D896" s="590"/>
      <c r="E896" s="606"/>
      <c r="F896" s="607"/>
      <c r="G896" s="607"/>
      <c r="H896" s="608"/>
      <c r="I896" s="608"/>
      <c r="J896" s="1616">
        <f t="shared" si="17"/>
        <v>0</v>
      </c>
      <c r="K896" s="613"/>
      <c r="L896" s="613"/>
      <c r="M896" s="613"/>
      <c r="N896" s="617"/>
      <c r="O896" s="267"/>
    </row>
    <row r="897" spans="1:15" s="1" customFormat="1" ht="18" customHeight="1">
      <c r="A897" s="1331"/>
      <c r="B897" s="605"/>
      <c r="C897" s="606"/>
      <c r="D897" s="590"/>
      <c r="E897" s="606"/>
      <c r="F897" s="607"/>
      <c r="G897" s="607"/>
      <c r="H897" s="608"/>
      <c r="I897" s="608"/>
      <c r="J897" s="1616">
        <f t="shared" si="17"/>
        <v>0</v>
      </c>
      <c r="K897" s="613"/>
      <c r="L897" s="613"/>
      <c r="M897" s="613"/>
      <c r="N897" s="617"/>
      <c r="O897" s="267"/>
    </row>
    <row r="898" spans="1:15" s="1" customFormat="1" ht="18" customHeight="1">
      <c r="A898" s="1331"/>
      <c r="B898" s="605"/>
      <c r="C898" s="606"/>
      <c r="D898" s="590"/>
      <c r="E898" s="606"/>
      <c r="F898" s="607"/>
      <c r="G898" s="607"/>
      <c r="H898" s="608"/>
      <c r="I898" s="608"/>
      <c r="J898" s="1616">
        <f t="shared" si="17"/>
        <v>0</v>
      </c>
      <c r="K898" s="613"/>
      <c r="L898" s="613"/>
      <c r="M898" s="613"/>
      <c r="N898" s="617"/>
      <c r="O898" s="267"/>
    </row>
    <row r="899" spans="1:15" s="1" customFormat="1" ht="18" customHeight="1">
      <c r="A899" s="1331"/>
      <c r="B899" s="605"/>
      <c r="C899" s="606"/>
      <c r="D899" s="590"/>
      <c r="E899" s="606"/>
      <c r="F899" s="607"/>
      <c r="G899" s="607"/>
      <c r="H899" s="608"/>
      <c r="I899" s="608"/>
      <c r="J899" s="1616">
        <f t="shared" si="17"/>
        <v>0</v>
      </c>
      <c r="K899" s="613"/>
      <c r="L899" s="613"/>
      <c r="M899" s="613"/>
      <c r="N899" s="617"/>
      <c r="O899" s="267"/>
    </row>
    <row r="900" spans="1:15" s="1" customFormat="1" ht="18" customHeight="1">
      <c r="A900" s="1331"/>
      <c r="B900" s="605"/>
      <c r="C900" s="606"/>
      <c r="D900" s="590"/>
      <c r="E900" s="606"/>
      <c r="F900" s="607"/>
      <c r="G900" s="607"/>
      <c r="H900" s="608"/>
      <c r="I900" s="608"/>
      <c r="J900" s="1616">
        <f t="shared" si="17"/>
        <v>0</v>
      </c>
      <c r="K900" s="613"/>
      <c r="L900" s="613"/>
      <c r="M900" s="613"/>
      <c r="N900" s="617"/>
      <c r="O900" s="267"/>
    </row>
    <row r="901" spans="1:15" s="1" customFormat="1" ht="18" customHeight="1">
      <c r="A901" s="1331"/>
      <c r="B901" s="605"/>
      <c r="C901" s="606"/>
      <c r="D901" s="590"/>
      <c r="E901" s="606"/>
      <c r="F901" s="607"/>
      <c r="G901" s="607"/>
      <c r="H901" s="608"/>
      <c r="I901" s="608"/>
      <c r="J901" s="1616">
        <f t="shared" si="17"/>
        <v>0</v>
      </c>
      <c r="K901" s="613"/>
      <c r="L901" s="613"/>
      <c r="M901" s="613"/>
      <c r="N901" s="617"/>
      <c r="O901" s="267"/>
    </row>
    <row r="902" spans="1:15" s="1" customFormat="1" ht="18" customHeight="1">
      <c r="A902" s="1331"/>
      <c r="B902" s="605"/>
      <c r="C902" s="606"/>
      <c r="D902" s="590"/>
      <c r="E902" s="606"/>
      <c r="F902" s="607"/>
      <c r="G902" s="607"/>
      <c r="H902" s="608"/>
      <c r="I902" s="608"/>
      <c r="J902" s="1616">
        <f t="shared" si="17"/>
        <v>0</v>
      </c>
      <c r="K902" s="613"/>
      <c r="L902" s="613"/>
      <c r="M902" s="613"/>
      <c r="N902" s="617"/>
      <c r="O902" s="267"/>
    </row>
    <row r="903" spans="1:15" s="1" customFormat="1" ht="18" customHeight="1">
      <c r="A903" s="1331"/>
      <c r="B903" s="605"/>
      <c r="C903" s="606"/>
      <c r="D903" s="590"/>
      <c r="E903" s="606"/>
      <c r="F903" s="607"/>
      <c r="G903" s="607"/>
      <c r="H903" s="608"/>
      <c r="I903" s="608"/>
      <c r="J903" s="1616">
        <f t="shared" si="17"/>
        <v>0</v>
      </c>
      <c r="K903" s="613"/>
      <c r="L903" s="613"/>
      <c r="M903" s="613"/>
      <c r="N903" s="617"/>
      <c r="O903" s="267"/>
    </row>
    <row r="904" spans="1:15" s="1" customFormat="1" ht="18" customHeight="1">
      <c r="A904" s="1331"/>
      <c r="B904" s="605"/>
      <c r="C904" s="606"/>
      <c r="D904" s="590"/>
      <c r="E904" s="606"/>
      <c r="F904" s="607"/>
      <c r="G904" s="607"/>
      <c r="H904" s="608"/>
      <c r="I904" s="608"/>
      <c r="J904" s="1616">
        <f t="shared" si="17"/>
        <v>0</v>
      </c>
      <c r="K904" s="613"/>
      <c r="L904" s="613"/>
      <c r="M904" s="613"/>
      <c r="N904" s="617"/>
      <c r="O904" s="267"/>
    </row>
    <row r="905" spans="1:15" s="1" customFormat="1" ht="18" customHeight="1">
      <c r="A905" s="1331"/>
      <c r="B905" s="605"/>
      <c r="C905" s="606"/>
      <c r="D905" s="590"/>
      <c r="E905" s="606"/>
      <c r="F905" s="607"/>
      <c r="G905" s="607"/>
      <c r="H905" s="608"/>
      <c r="I905" s="608"/>
      <c r="J905" s="1616">
        <f t="shared" si="17"/>
        <v>0</v>
      </c>
      <c r="K905" s="613"/>
      <c r="L905" s="613"/>
      <c r="M905" s="613"/>
      <c r="N905" s="617"/>
      <c r="O905" s="267"/>
    </row>
    <row r="906" spans="1:15" s="1" customFormat="1" ht="18" customHeight="1">
      <c r="A906" s="1331"/>
      <c r="B906" s="605"/>
      <c r="C906" s="606"/>
      <c r="D906" s="590"/>
      <c r="E906" s="606"/>
      <c r="F906" s="607"/>
      <c r="G906" s="607"/>
      <c r="H906" s="608"/>
      <c r="I906" s="608"/>
      <c r="J906" s="1616">
        <f t="shared" si="17"/>
        <v>0</v>
      </c>
      <c r="K906" s="613"/>
      <c r="L906" s="613"/>
      <c r="M906" s="613"/>
      <c r="N906" s="617"/>
      <c r="O906" s="267"/>
    </row>
    <row r="907" spans="1:15" s="1" customFormat="1" ht="18" customHeight="1">
      <c r="A907" s="1331"/>
      <c r="B907" s="605"/>
      <c r="C907" s="606"/>
      <c r="D907" s="590"/>
      <c r="E907" s="606"/>
      <c r="F907" s="607"/>
      <c r="G907" s="607"/>
      <c r="H907" s="608"/>
      <c r="I907" s="608"/>
      <c r="J907" s="1616">
        <f t="shared" si="17"/>
        <v>0</v>
      </c>
      <c r="K907" s="613"/>
      <c r="L907" s="613"/>
      <c r="M907" s="613"/>
      <c r="N907" s="617"/>
      <c r="O907" s="267"/>
    </row>
    <row r="908" spans="1:15" s="1" customFormat="1" ht="18" customHeight="1">
      <c r="A908" s="1331"/>
      <c r="B908" s="605"/>
      <c r="C908" s="606"/>
      <c r="D908" s="590"/>
      <c r="E908" s="606"/>
      <c r="F908" s="607"/>
      <c r="G908" s="607"/>
      <c r="H908" s="608"/>
      <c r="I908" s="608"/>
      <c r="J908" s="1616">
        <f t="shared" si="17"/>
        <v>0</v>
      </c>
      <c r="K908" s="613"/>
      <c r="L908" s="613"/>
      <c r="M908" s="613"/>
      <c r="N908" s="617"/>
      <c r="O908" s="267"/>
    </row>
    <row r="909" spans="1:15" s="1" customFormat="1" ht="18" customHeight="1">
      <c r="A909" s="1331"/>
      <c r="B909" s="605"/>
      <c r="C909" s="606"/>
      <c r="D909" s="590"/>
      <c r="E909" s="606"/>
      <c r="F909" s="607"/>
      <c r="G909" s="607"/>
      <c r="H909" s="608"/>
      <c r="I909" s="608"/>
      <c r="J909" s="1616">
        <f t="shared" si="17"/>
        <v>0</v>
      </c>
      <c r="K909" s="613"/>
      <c r="L909" s="613"/>
      <c r="M909" s="613"/>
      <c r="N909" s="617"/>
      <c r="O909" s="267"/>
    </row>
    <row r="910" spans="1:15" s="1" customFormat="1" ht="18" customHeight="1">
      <c r="A910" s="1331"/>
      <c r="B910" s="605"/>
      <c r="C910" s="606"/>
      <c r="D910" s="590"/>
      <c r="E910" s="606"/>
      <c r="F910" s="607"/>
      <c r="G910" s="607"/>
      <c r="H910" s="608"/>
      <c r="I910" s="608"/>
      <c r="J910" s="1616">
        <f t="shared" si="17"/>
        <v>0</v>
      </c>
      <c r="K910" s="613"/>
      <c r="L910" s="613"/>
      <c r="M910" s="613"/>
      <c r="N910" s="617"/>
      <c r="O910" s="267"/>
    </row>
    <row r="911" spans="1:15" s="1" customFormat="1" ht="18" customHeight="1">
      <c r="A911" s="1331"/>
      <c r="B911" s="605"/>
      <c r="C911" s="606"/>
      <c r="D911" s="590"/>
      <c r="E911" s="606"/>
      <c r="F911" s="607"/>
      <c r="G911" s="607"/>
      <c r="H911" s="608"/>
      <c r="I911" s="608"/>
      <c r="J911" s="1616">
        <f t="shared" si="17"/>
        <v>0</v>
      </c>
      <c r="K911" s="613"/>
      <c r="L911" s="613"/>
      <c r="M911" s="613"/>
      <c r="N911" s="617"/>
      <c r="O911" s="267"/>
    </row>
    <row r="912" spans="1:15" s="1" customFormat="1" ht="18" customHeight="1">
      <c r="A912" s="1331"/>
      <c r="B912" s="605"/>
      <c r="C912" s="606"/>
      <c r="D912" s="590"/>
      <c r="E912" s="606"/>
      <c r="F912" s="607"/>
      <c r="G912" s="607"/>
      <c r="H912" s="608"/>
      <c r="I912" s="608"/>
      <c r="J912" s="1616">
        <f t="shared" si="17"/>
        <v>0</v>
      </c>
      <c r="K912" s="613"/>
      <c r="L912" s="613"/>
      <c r="M912" s="613"/>
      <c r="N912" s="617"/>
      <c r="O912" s="267"/>
    </row>
    <row r="913" spans="1:15" s="1" customFormat="1" ht="18" customHeight="1">
      <c r="A913" s="1331"/>
      <c r="B913" s="605"/>
      <c r="C913" s="606"/>
      <c r="D913" s="590"/>
      <c r="E913" s="606"/>
      <c r="F913" s="607"/>
      <c r="G913" s="607"/>
      <c r="H913" s="608"/>
      <c r="I913" s="608"/>
      <c r="J913" s="1616">
        <f t="shared" si="17"/>
        <v>0</v>
      </c>
      <c r="K913" s="613"/>
      <c r="L913" s="613"/>
      <c r="M913" s="613"/>
      <c r="N913" s="617"/>
      <c r="O913" s="267"/>
    </row>
    <row r="914" spans="1:15" s="1" customFormat="1" ht="18" customHeight="1">
      <c r="A914" s="1331"/>
      <c r="B914" s="605"/>
      <c r="C914" s="606"/>
      <c r="D914" s="590"/>
      <c r="E914" s="606"/>
      <c r="F914" s="607"/>
      <c r="G914" s="607"/>
      <c r="H914" s="608"/>
      <c r="I914" s="608"/>
      <c r="J914" s="1616">
        <f t="shared" si="17"/>
        <v>0</v>
      </c>
      <c r="K914" s="613"/>
      <c r="L914" s="613"/>
      <c r="M914" s="613"/>
      <c r="N914" s="617"/>
      <c r="O914" s="267"/>
    </row>
    <row r="915" spans="1:15" s="1" customFormat="1" ht="18" customHeight="1">
      <c r="A915" s="1331"/>
      <c r="B915" s="605"/>
      <c r="C915" s="606"/>
      <c r="D915" s="590"/>
      <c r="E915" s="606"/>
      <c r="F915" s="607"/>
      <c r="G915" s="607"/>
      <c r="H915" s="608"/>
      <c r="I915" s="608"/>
      <c r="J915" s="1616">
        <f t="shared" si="17"/>
        <v>0</v>
      </c>
      <c r="K915" s="613"/>
      <c r="L915" s="613"/>
      <c r="M915" s="613"/>
      <c r="N915" s="617"/>
      <c r="O915" s="267"/>
    </row>
    <row r="916" spans="1:15" s="1" customFormat="1" ht="18" customHeight="1">
      <c r="A916" s="1331"/>
      <c r="B916" s="605"/>
      <c r="C916" s="606"/>
      <c r="D916" s="590"/>
      <c r="E916" s="606"/>
      <c r="F916" s="607"/>
      <c r="G916" s="607"/>
      <c r="H916" s="608"/>
      <c r="I916" s="608"/>
      <c r="J916" s="1616">
        <f t="shared" si="17"/>
        <v>0</v>
      </c>
      <c r="K916" s="613"/>
      <c r="L916" s="613"/>
      <c r="M916" s="613"/>
      <c r="N916" s="617"/>
      <c r="O916" s="267"/>
    </row>
    <row r="917" spans="1:15" s="1" customFormat="1" ht="18" customHeight="1">
      <c r="A917" s="1331"/>
      <c r="B917" s="605"/>
      <c r="C917" s="606"/>
      <c r="D917" s="590"/>
      <c r="E917" s="606"/>
      <c r="F917" s="607"/>
      <c r="G917" s="607"/>
      <c r="H917" s="608"/>
      <c r="I917" s="608"/>
      <c r="J917" s="1616">
        <f t="shared" si="17"/>
        <v>0</v>
      </c>
      <c r="K917" s="613"/>
      <c r="L917" s="613"/>
      <c r="M917" s="613"/>
      <c r="N917" s="617"/>
      <c r="O917" s="267"/>
    </row>
    <row r="918" spans="1:15" s="1" customFormat="1" ht="18" customHeight="1">
      <c r="A918" s="1331"/>
      <c r="B918" s="605"/>
      <c r="C918" s="606"/>
      <c r="D918" s="590"/>
      <c r="E918" s="606"/>
      <c r="F918" s="607"/>
      <c r="G918" s="607"/>
      <c r="H918" s="608"/>
      <c r="I918" s="608"/>
      <c r="J918" s="1616">
        <f t="shared" si="17"/>
        <v>0</v>
      </c>
      <c r="K918" s="613"/>
      <c r="L918" s="613"/>
      <c r="M918" s="613"/>
      <c r="N918" s="617"/>
      <c r="O918" s="267"/>
    </row>
    <row r="919" spans="1:15" s="1" customFormat="1" ht="18" customHeight="1">
      <c r="A919" s="1331"/>
      <c r="B919" s="605"/>
      <c r="C919" s="606"/>
      <c r="D919" s="590"/>
      <c r="E919" s="606"/>
      <c r="F919" s="607"/>
      <c r="G919" s="607"/>
      <c r="H919" s="608"/>
      <c r="I919" s="608"/>
      <c r="J919" s="1616">
        <f t="shared" si="17"/>
        <v>0</v>
      </c>
      <c r="K919" s="613"/>
      <c r="L919" s="613"/>
      <c r="M919" s="613"/>
      <c r="N919" s="617"/>
      <c r="O919" s="267"/>
    </row>
    <row r="920" spans="1:15" s="1" customFormat="1" ht="18" customHeight="1">
      <c r="A920" s="1331"/>
      <c r="B920" s="605"/>
      <c r="C920" s="606"/>
      <c r="D920" s="590"/>
      <c r="E920" s="606"/>
      <c r="F920" s="607"/>
      <c r="G920" s="607"/>
      <c r="H920" s="608"/>
      <c r="I920" s="608"/>
      <c r="J920" s="1616">
        <f t="shared" si="17"/>
        <v>0</v>
      </c>
      <c r="K920" s="613"/>
      <c r="L920" s="613"/>
      <c r="M920" s="613"/>
      <c r="N920" s="617"/>
      <c r="O920" s="267"/>
    </row>
    <row r="921" spans="1:15" s="1" customFormat="1" ht="18" customHeight="1">
      <c r="A921" s="1331"/>
      <c r="B921" s="605"/>
      <c r="C921" s="606"/>
      <c r="D921" s="590"/>
      <c r="E921" s="606"/>
      <c r="F921" s="607"/>
      <c r="G921" s="607"/>
      <c r="H921" s="608"/>
      <c r="I921" s="608"/>
      <c r="J921" s="1616">
        <f t="shared" si="17"/>
        <v>0</v>
      </c>
      <c r="K921" s="613"/>
      <c r="L921" s="613"/>
      <c r="M921" s="613"/>
      <c r="N921" s="617"/>
      <c r="O921" s="267"/>
    </row>
    <row r="922" spans="1:15" s="1" customFormat="1" ht="18" customHeight="1">
      <c r="A922" s="1331"/>
      <c r="B922" s="605"/>
      <c r="C922" s="606"/>
      <c r="D922" s="590"/>
      <c r="E922" s="606"/>
      <c r="F922" s="607"/>
      <c r="G922" s="607"/>
      <c r="H922" s="608"/>
      <c r="I922" s="608"/>
      <c r="J922" s="1616">
        <f t="shared" si="17"/>
        <v>0</v>
      </c>
      <c r="K922" s="613"/>
      <c r="L922" s="613"/>
      <c r="M922" s="613"/>
      <c r="N922" s="617"/>
      <c r="O922" s="267"/>
    </row>
    <row r="923" spans="1:15" s="1" customFormat="1" ht="18" customHeight="1">
      <c r="A923" s="1331"/>
      <c r="B923" s="605"/>
      <c r="C923" s="606"/>
      <c r="D923" s="590"/>
      <c r="E923" s="606"/>
      <c r="F923" s="607"/>
      <c r="G923" s="607"/>
      <c r="H923" s="608"/>
      <c r="I923" s="608"/>
      <c r="J923" s="1616">
        <f t="shared" si="17"/>
        <v>0</v>
      </c>
      <c r="K923" s="613"/>
      <c r="L923" s="613"/>
      <c r="M923" s="613"/>
      <c r="N923" s="617"/>
      <c r="O923" s="267"/>
    </row>
    <row r="924" spans="1:15" s="1" customFormat="1" ht="18" customHeight="1">
      <c r="A924" s="1331"/>
      <c r="B924" s="605"/>
      <c r="C924" s="606"/>
      <c r="D924" s="590"/>
      <c r="E924" s="606"/>
      <c r="F924" s="607"/>
      <c r="G924" s="607"/>
      <c r="H924" s="608"/>
      <c r="I924" s="608"/>
      <c r="J924" s="1616">
        <f t="shared" si="17"/>
        <v>0</v>
      </c>
      <c r="K924" s="613"/>
      <c r="L924" s="613"/>
      <c r="M924" s="613"/>
      <c r="N924" s="617"/>
      <c r="O924" s="267"/>
    </row>
    <row r="925" spans="1:15" s="1" customFormat="1" ht="18" customHeight="1">
      <c r="A925" s="1331"/>
      <c r="B925" s="605"/>
      <c r="C925" s="606"/>
      <c r="D925" s="590"/>
      <c r="E925" s="606"/>
      <c r="F925" s="607"/>
      <c r="G925" s="607"/>
      <c r="H925" s="608"/>
      <c r="I925" s="608"/>
      <c r="J925" s="1616">
        <f t="shared" si="17"/>
        <v>0</v>
      </c>
      <c r="K925" s="613"/>
      <c r="L925" s="613"/>
      <c r="M925" s="613"/>
      <c r="N925" s="617"/>
      <c r="O925" s="267"/>
    </row>
    <row r="926" spans="1:15" s="1" customFormat="1" ht="18" customHeight="1">
      <c r="A926" s="1331"/>
      <c r="B926" s="605"/>
      <c r="C926" s="606"/>
      <c r="D926" s="590"/>
      <c r="E926" s="606"/>
      <c r="F926" s="607"/>
      <c r="G926" s="607"/>
      <c r="H926" s="608"/>
      <c r="I926" s="608"/>
      <c r="J926" s="1616">
        <f t="shared" si="17"/>
        <v>0</v>
      </c>
      <c r="K926" s="613"/>
      <c r="L926" s="613"/>
      <c r="M926" s="613"/>
      <c r="N926" s="617"/>
      <c r="O926" s="267"/>
    </row>
    <row r="927" spans="1:15" s="1" customFormat="1" ht="18" customHeight="1">
      <c r="A927" s="1331"/>
      <c r="B927" s="605"/>
      <c r="C927" s="606"/>
      <c r="D927" s="590"/>
      <c r="E927" s="606"/>
      <c r="F927" s="607"/>
      <c r="G927" s="607"/>
      <c r="H927" s="608"/>
      <c r="I927" s="608"/>
      <c r="J927" s="1616">
        <f t="shared" si="17"/>
        <v>0</v>
      </c>
      <c r="K927" s="613"/>
      <c r="L927" s="613"/>
      <c r="M927" s="613"/>
      <c r="N927" s="617"/>
      <c r="O927" s="267"/>
    </row>
    <row r="928" spans="1:15" s="1" customFormat="1" ht="18" customHeight="1">
      <c r="A928" s="1331"/>
      <c r="B928" s="605"/>
      <c r="C928" s="606"/>
      <c r="D928" s="590"/>
      <c r="E928" s="606"/>
      <c r="F928" s="607"/>
      <c r="G928" s="607"/>
      <c r="H928" s="608"/>
      <c r="I928" s="608"/>
      <c r="J928" s="1616">
        <f t="shared" si="17"/>
        <v>0</v>
      </c>
      <c r="K928" s="613"/>
      <c r="L928" s="613"/>
      <c r="M928" s="613"/>
      <c r="N928" s="617"/>
      <c r="O928" s="267"/>
    </row>
    <row r="929" spans="1:15" s="1" customFormat="1" ht="18" customHeight="1">
      <c r="A929" s="1331"/>
      <c r="B929" s="605"/>
      <c r="C929" s="606"/>
      <c r="D929" s="590"/>
      <c r="E929" s="606"/>
      <c r="F929" s="607"/>
      <c r="G929" s="607"/>
      <c r="H929" s="608"/>
      <c r="I929" s="608"/>
      <c r="J929" s="1616">
        <f t="shared" si="17"/>
        <v>0</v>
      </c>
      <c r="K929" s="613"/>
      <c r="L929" s="613"/>
      <c r="M929" s="613"/>
      <c r="N929" s="617"/>
      <c r="O929" s="267"/>
    </row>
    <row r="930" spans="1:15" s="1" customFormat="1" ht="18" customHeight="1">
      <c r="A930" s="1331"/>
      <c r="B930" s="605"/>
      <c r="C930" s="606"/>
      <c r="D930" s="590"/>
      <c r="E930" s="606"/>
      <c r="F930" s="607"/>
      <c r="G930" s="607"/>
      <c r="H930" s="608"/>
      <c r="I930" s="608"/>
      <c r="J930" s="1616">
        <f t="shared" si="17"/>
        <v>0</v>
      </c>
      <c r="K930" s="613"/>
      <c r="L930" s="613"/>
      <c r="M930" s="613"/>
      <c r="N930" s="617"/>
      <c r="O930" s="267"/>
    </row>
    <row r="931" spans="1:15" s="1" customFormat="1" ht="18" customHeight="1">
      <c r="A931" s="1331"/>
      <c r="B931" s="605"/>
      <c r="C931" s="606"/>
      <c r="D931" s="590"/>
      <c r="E931" s="606"/>
      <c r="F931" s="607"/>
      <c r="G931" s="607"/>
      <c r="H931" s="608"/>
      <c r="I931" s="608"/>
      <c r="J931" s="1616">
        <f t="shared" ref="J931:J994" si="18">G931*I931</f>
        <v>0</v>
      </c>
      <c r="K931" s="613"/>
      <c r="L931" s="613"/>
      <c r="M931" s="613"/>
      <c r="N931" s="617"/>
      <c r="O931" s="267"/>
    </row>
    <row r="932" spans="1:15" s="1" customFormat="1" ht="18" customHeight="1">
      <c r="A932" s="1331"/>
      <c r="B932" s="605"/>
      <c r="C932" s="606"/>
      <c r="D932" s="590"/>
      <c r="E932" s="606"/>
      <c r="F932" s="607"/>
      <c r="G932" s="607"/>
      <c r="H932" s="608"/>
      <c r="I932" s="608"/>
      <c r="J932" s="1616">
        <f t="shared" si="18"/>
        <v>0</v>
      </c>
      <c r="K932" s="613"/>
      <c r="L932" s="613"/>
      <c r="M932" s="613"/>
      <c r="N932" s="617"/>
      <c r="O932" s="267"/>
    </row>
    <row r="933" spans="1:15" s="1" customFormat="1" ht="18" customHeight="1">
      <c r="A933" s="1331"/>
      <c r="B933" s="605"/>
      <c r="C933" s="606"/>
      <c r="D933" s="590"/>
      <c r="E933" s="606"/>
      <c r="F933" s="607"/>
      <c r="G933" s="607"/>
      <c r="H933" s="608"/>
      <c r="I933" s="608"/>
      <c r="J933" s="1616">
        <f t="shared" si="18"/>
        <v>0</v>
      </c>
      <c r="K933" s="613"/>
      <c r="L933" s="613"/>
      <c r="M933" s="613"/>
      <c r="N933" s="617"/>
      <c r="O933" s="267"/>
    </row>
    <row r="934" spans="1:15" s="1" customFormat="1" ht="18" customHeight="1">
      <c r="A934" s="1331"/>
      <c r="B934" s="605"/>
      <c r="C934" s="606"/>
      <c r="D934" s="590"/>
      <c r="E934" s="606"/>
      <c r="F934" s="607"/>
      <c r="G934" s="607"/>
      <c r="H934" s="608"/>
      <c r="I934" s="608"/>
      <c r="J934" s="1616">
        <f t="shared" si="18"/>
        <v>0</v>
      </c>
      <c r="K934" s="613"/>
      <c r="L934" s="613"/>
      <c r="M934" s="613"/>
      <c r="N934" s="617"/>
      <c r="O934" s="267"/>
    </row>
    <row r="935" spans="1:15" s="1" customFormat="1" ht="18" customHeight="1">
      <c r="A935" s="1331"/>
      <c r="B935" s="605"/>
      <c r="C935" s="606"/>
      <c r="D935" s="590"/>
      <c r="E935" s="606"/>
      <c r="F935" s="607"/>
      <c r="G935" s="607"/>
      <c r="H935" s="608"/>
      <c r="I935" s="608"/>
      <c r="J935" s="1616">
        <f t="shared" si="18"/>
        <v>0</v>
      </c>
      <c r="K935" s="613"/>
      <c r="L935" s="613"/>
      <c r="M935" s="613"/>
      <c r="N935" s="617"/>
      <c r="O935" s="267"/>
    </row>
    <row r="936" spans="1:15" s="1" customFormat="1" ht="18" customHeight="1">
      <c r="A936" s="1331"/>
      <c r="B936" s="605"/>
      <c r="C936" s="606"/>
      <c r="D936" s="590"/>
      <c r="E936" s="606"/>
      <c r="F936" s="607"/>
      <c r="G936" s="607"/>
      <c r="H936" s="608"/>
      <c r="I936" s="608"/>
      <c r="J936" s="1616">
        <f t="shared" si="18"/>
        <v>0</v>
      </c>
      <c r="K936" s="613"/>
      <c r="L936" s="613"/>
      <c r="M936" s="613"/>
      <c r="N936" s="617"/>
      <c r="O936" s="267"/>
    </row>
    <row r="937" spans="1:15" s="1" customFormat="1" ht="18" customHeight="1">
      <c r="A937" s="1331"/>
      <c r="B937" s="605"/>
      <c r="C937" s="606"/>
      <c r="D937" s="590"/>
      <c r="E937" s="606"/>
      <c r="F937" s="607"/>
      <c r="G937" s="607"/>
      <c r="H937" s="608"/>
      <c r="I937" s="608"/>
      <c r="J937" s="1616">
        <f t="shared" si="18"/>
        <v>0</v>
      </c>
      <c r="K937" s="613"/>
      <c r="L937" s="613"/>
      <c r="M937" s="613"/>
      <c r="N937" s="617"/>
      <c r="O937" s="267"/>
    </row>
    <row r="938" spans="1:15" s="1" customFormat="1" ht="18" customHeight="1">
      <c r="A938" s="1331"/>
      <c r="B938" s="605"/>
      <c r="C938" s="606"/>
      <c r="D938" s="590"/>
      <c r="E938" s="606"/>
      <c r="F938" s="607"/>
      <c r="G938" s="607"/>
      <c r="H938" s="608"/>
      <c r="I938" s="608"/>
      <c r="J938" s="1616">
        <f t="shared" si="18"/>
        <v>0</v>
      </c>
      <c r="K938" s="613"/>
      <c r="L938" s="613"/>
      <c r="M938" s="613"/>
      <c r="N938" s="617"/>
      <c r="O938" s="267"/>
    </row>
    <row r="939" spans="1:15" s="1" customFormat="1" ht="18" customHeight="1">
      <c r="A939" s="1331"/>
      <c r="B939" s="605"/>
      <c r="C939" s="606"/>
      <c r="D939" s="590"/>
      <c r="E939" s="606"/>
      <c r="F939" s="607"/>
      <c r="G939" s="607"/>
      <c r="H939" s="608"/>
      <c r="I939" s="608"/>
      <c r="J939" s="1616">
        <f t="shared" si="18"/>
        <v>0</v>
      </c>
      <c r="K939" s="613"/>
      <c r="L939" s="613"/>
      <c r="M939" s="613"/>
      <c r="N939" s="617"/>
      <c r="O939" s="267"/>
    </row>
    <row r="940" spans="1:15" s="1" customFormat="1" ht="18" customHeight="1">
      <c r="A940" s="1331"/>
      <c r="B940" s="605"/>
      <c r="C940" s="606"/>
      <c r="D940" s="590"/>
      <c r="E940" s="606"/>
      <c r="F940" s="607"/>
      <c r="G940" s="607"/>
      <c r="H940" s="608"/>
      <c r="I940" s="608"/>
      <c r="J940" s="1616">
        <f t="shared" si="18"/>
        <v>0</v>
      </c>
      <c r="K940" s="613"/>
      <c r="L940" s="613"/>
      <c r="M940" s="613"/>
      <c r="N940" s="617"/>
      <c r="O940" s="267"/>
    </row>
    <row r="941" spans="1:15" s="1" customFormat="1" ht="18" customHeight="1">
      <c r="A941" s="1331"/>
      <c r="B941" s="605"/>
      <c r="C941" s="606"/>
      <c r="D941" s="590"/>
      <c r="E941" s="606"/>
      <c r="F941" s="607"/>
      <c r="G941" s="607"/>
      <c r="H941" s="608"/>
      <c r="I941" s="608"/>
      <c r="J941" s="1616">
        <f t="shared" si="18"/>
        <v>0</v>
      </c>
      <c r="K941" s="613"/>
      <c r="L941" s="613"/>
      <c r="M941" s="613"/>
      <c r="N941" s="617"/>
      <c r="O941" s="267"/>
    </row>
    <row r="942" spans="1:15" s="1" customFormat="1" ht="18" customHeight="1">
      <c r="A942" s="1331"/>
      <c r="B942" s="605"/>
      <c r="C942" s="606"/>
      <c r="D942" s="590"/>
      <c r="E942" s="606"/>
      <c r="F942" s="607"/>
      <c r="G942" s="607"/>
      <c r="H942" s="608"/>
      <c r="I942" s="608"/>
      <c r="J942" s="1616">
        <f t="shared" si="18"/>
        <v>0</v>
      </c>
      <c r="K942" s="613"/>
      <c r="L942" s="613"/>
      <c r="M942" s="613"/>
      <c r="N942" s="617"/>
      <c r="O942" s="267"/>
    </row>
    <row r="943" spans="1:15" s="1" customFormat="1" ht="18" customHeight="1">
      <c r="A943" s="1331"/>
      <c r="B943" s="605"/>
      <c r="C943" s="606"/>
      <c r="D943" s="590"/>
      <c r="E943" s="606"/>
      <c r="F943" s="607"/>
      <c r="G943" s="607"/>
      <c r="H943" s="608"/>
      <c r="I943" s="608"/>
      <c r="J943" s="1616">
        <f t="shared" si="18"/>
        <v>0</v>
      </c>
      <c r="K943" s="613"/>
      <c r="L943" s="613"/>
      <c r="M943" s="613"/>
      <c r="N943" s="617"/>
      <c r="O943" s="267"/>
    </row>
    <row r="944" spans="1:15" s="1" customFormat="1" ht="18" customHeight="1">
      <c r="A944" s="1331"/>
      <c r="B944" s="605"/>
      <c r="C944" s="606"/>
      <c r="D944" s="590"/>
      <c r="E944" s="606"/>
      <c r="F944" s="607"/>
      <c r="G944" s="607"/>
      <c r="H944" s="608"/>
      <c r="I944" s="608"/>
      <c r="J944" s="1616">
        <f t="shared" si="18"/>
        <v>0</v>
      </c>
      <c r="K944" s="613"/>
      <c r="L944" s="613"/>
      <c r="M944" s="613"/>
      <c r="N944" s="617"/>
      <c r="O944" s="267"/>
    </row>
    <row r="945" spans="1:15" s="1" customFormat="1" ht="18" customHeight="1">
      <c r="A945" s="1331"/>
      <c r="B945" s="605"/>
      <c r="C945" s="606"/>
      <c r="D945" s="590"/>
      <c r="E945" s="606"/>
      <c r="F945" s="607"/>
      <c r="G945" s="607"/>
      <c r="H945" s="608"/>
      <c r="I945" s="608"/>
      <c r="J945" s="1616">
        <f t="shared" si="18"/>
        <v>0</v>
      </c>
      <c r="K945" s="613"/>
      <c r="L945" s="613"/>
      <c r="M945" s="613"/>
      <c r="N945" s="617"/>
      <c r="O945" s="267"/>
    </row>
    <row r="946" spans="1:15" s="1" customFormat="1" ht="18" customHeight="1">
      <c r="A946" s="1331"/>
      <c r="B946" s="605"/>
      <c r="C946" s="606"/>
      <c r="D946" s="590"/>
      <c r="E946" s="606"/>
      <c r="F946" s="607"/>
      <c r="G946" s="607"/>
      <c r="H946" s="608"/>
      <c r="I946" s="608"/>
      <c r="J946" s="1616">
        <f t="shared" si="18"/>
        <v>0</v>
      </c>
      <c r="K946" s="613"/>
      <c r="L946" s="613"/>
      <c r="M946" s="613"/>
      <c r="N946" s="617"/>
      <c r="O946" s="267"/>
    </row>
    <row r="947" spans="1:15" s="1" customFormat="1" ht="18" customHeight="1">
      <c r="A947" s="1331"/>
      <c r="B947" s="605"/>
      <c r="C947" s="606"/>
      <c r="D947" s="590"/>
      <c r="E947" s="606"/>
      <c r="F947" s="607"/>
      <c r="G947" s="607"/>
      <c r="H947" s="608"/>
      <c r="I947" s="608"/>
      <c r="J947" s="1616">
        <f t="shared" si="18"/>
        <v>0</v>
      </c>
      <c r="K947" s="613"/>
      <c r="L947" s="613"/>
      <c r="M947" s="613"/>
      <c r="N947" s="617"/>
      <c r="O947" s="267"/>
    </row>
    <row r="948" spans="1:15" s="1" customFormat="1" ht="18" customHeight="1">
      <c r="A948" s="1331"/>
      <c r="B948" s="605"/>
      <c r="C948" s="606"/>
      <c r="D948" s="590"/>
      <c r="E948" s="606"/>
      <c r="F948" s="607"/>
      <c r="G948" s="607"/>
      <c r="H948" s="608"/>
      <c r="I948" s="608"/>
      <c r="J948" s="1616">
        <f t="shared" si="18"/>
        <v>0</v>
      </c>
      <c r="K948" s="613"/>
      <c r="L948" s="613"/>
      <c r="M948" s="613"/>
      <c r="N948" s="617"/>
      <c r="O948" s="267"/>
    </row>
    <row r="949" spans="1:15" s="1" customFormat="1" ht="18" customHeight="1">
      <c r="A949" s="1331"/>
      <c r="B949" s="605"/>
      <c r="C949" s="606"/>
      <c r="D949" s="590"/>
      <c r="E949" s="606"/>
      <c r="F949" s="607"/>
      <c r="G949" s="607"/>
      <c r="H949" s="608"/>
      <c r="I949" s="608"/>
      <c r="J949" s="1616">
        <f t="shared" si="18"/>
        <v>0</v>
      </c>
      <c r="K949" s="613"/>
      <c r="L949" s="613"/>
      <c r="M949" s="613"/>
      <c r="N949" s="617"/>
      <c r="O949" s="267"/>
    </row>
    <row r="950" spans="1:15" s="1" customFormat="1" ht="18" customHeight="1">
      <c r="A950" s="1331"/>
      <c r="B950" s="605"/>
      <c r="C950" s="606"/>
      <c r="D950" s="590"/>
      <c r="E950" s="606"/>
      <c r="F950" s="607"/>
      <c r="G950" s="607"/>
      <c r="H950" s="608"/>
      <c r="I950" s="608"/>
      <c r="J950" s="1616">
        <f t="shared" si="18"/>
        <v>0</v>
      </c>
      <c r="K950" s="613"/>
      <c r="L950" s="613"/>
      <c r="M950" s="613"/>
      <c r="N950" s="617"/>
      <c r="O950" s="267"/>
    </row>
    <row r="951" spans="1:15" s="1" customFormat="1" ht="18" customHeight="1">
      <c r="A951" s="1331"/>
      <c r="B951" s="605"/>
      <c r="C951" s="606"/>
      <c r="D951" s="590"/>
      <c r="E951" s="606"/>
      <c r="F951" s="607"/>
      <c r="G951" s="607"/>
      <c r="H951" s="608"/>
      <c r="I951" s="608"/>
      <c r="J951" s="1616">
        <f t="shared" si="18"/>
        <v>0</v>
      </c>
      <c r="K951" s="613"/>
      <c r="L951" s="613"/>
      <c r="M951" s="613"/>
      <c r="N951" s="617"/>
      <c r="O951" s="267"/>
    </row>
    <row r="952" spans="1:15" s="1" customFormat="1" ht="18" customHeight="1">
      <c r="A952" s="1331"/>
      <c r="B952" s="605"/>
      <c r="C952" s="606"/>
      <c r="D952" s="590"/>
      <c r="E952" s="606"/>
      <c r="F952" s="607"/>
      <c r="G952" s="607"/>
      <c r="H952" s="608"/>
      <c r="I952" s="608"/>
      <c r="J952" s="1616">
        <f t="shared" si="18"/>
        <v>0</v>
      </c>
      <c r="K952" s="613"/>
      <c r="L952" s="613"/>
      <c r="M952" s="613"/>
      <c r="N952" s="617"/>
      <c r="O952" s="267"/>
    </row>
    <row r="953" spans="1:15" s="1" customFormat="1" ht="18" customHeight="1">
      <c r="A953" s="1331"/>
      <c r="B953" s="605"/>
      <c r="C953" s="606"/>
      <c r="D953" s="590"/>
      <c r="E953" s="606"/>
      <c r="F953" s="607"/>
      <c r="G953" s="607"/>
      <c r="H953" s="608"/>
      <c r="I953" s="608"/>
      <c r="J953" s="1616">
        <f t="shared" si="18"/>
        <v>0</v>
      </c>
      <c r="K953" s="613"/>
      <c r="L953" s="613"/>
      <c r="M953" s="613"/>
      <c r="N953" s="617"/>
      <c r="O953" s="267"/>
    </row>
    <row r="954" spans="1:15" s="1" customFormat="1" ht="18" customHeight="1">
      <c r="A954" s="1331"/>
      <c r="B954" s="605"/>
      <c r="C954" s="606"/>
      <c r="D954" s="590"/>
      <c r="E954" s="606"/>
      <c r="F954" s="607"/>
      <c r="G954" s="607"/>
      <c r="H954" s="608"/>
      <c r="I954" s="608"/>
      <c r="J954" s="1616">
        <f t="shared" si="18"/>
        <v>0</v>
      </c>
      <c r="K954" s="613"/>
      <c r="L954" s="613"/>
      <c r="M954" s="613"/>
      <c r="N954" s="617"/>
      <c r="O954" s="267"/>
    </row>
    <row r="955" spans="1:15" s="1" customFormat="1" ht="18" customHeight="1">
      <c r="A955" s="1331"/>
      <c r="B955" s="605"/>
      <c r="C955" s="606"/>
      <c r="D955" s="590"/>
      <c r="E955" s="606"/>
      <c r="F955" s="607"/>
      <c r="G955" s="607"/>
      <c r="H955" s="608"/>
      <c r="I955" s="608"/>
      <c r="J955" s="1616">
        <f t="shared" si="18"/>
        <v>0</v>
      </c>
      <c r="K955" s="613"/>
      <c r="L955" s="613"/>
      <c r="M955" s="613"/>
      <c r="N955" s="617"/>
      <c r="O955" s="267"/>
    </row>
    <row r="956" spans="1:15" s="1" customFormat="1" ht="18" customHeight="1">
      <c r="A956" s="1331"/>
      <c r="B956" s="605"/>
      <c r="C956" s="606"/>
      <c r="D956" s="590"/>
      <c r="E956" s="606"/>
      <c r="F956" s="607"/>
      <c r="G956" s="607"/>
      <c r="H956" s="608"/>
      <c r="I956" s="608"/>
      <c r="J956" s="1616">
        <f t="shared" si="18"/>
        <v>0</v>
      </c>
      <c r="K956" s="613"/>
      <c r="L956" s="613"/>
      <c r="M956" s="613"/>
      <c r="N956" s="617"/>
      <c r="O956" s="267"/>
    </row>
    <row r="957" spans="1:15" s="1" customFormat="1" ht="18" customHeight="1">
      <c r="A957" s="1331"/>
      <c r="B957" s="605"/>
      <c r="C957" s="606"/>
      <c r="D957" s="590"/>
      <c r="E957" s="606"/>
      <c r="F957" s="607"/>
      <c r="G957" s="607"/>
      <c r="H957" s="608"/>
      <c r="I957" s="608"/>
      <c r="J957" s="1616">
        <f t="shared" si="18"/>
        <v>0</v>
      </c>
      <c r="K957" s="613"/>
      <c r="L957" s="613"/>
      <c r="M957" s="613"/>
      <c r="N957" s="617"/>
      <c r="O957" s="267"/>
    </row>
    <row r="958" spans="1:15" s="1" customFormat="1" ht="18" customHeight="1">
      <c r="A958" s="1331"/>
      <c r="B958" s="605"/>
      <c r="C958" s="606"/>
      <c r="D958" s="590"/>
      <c r="E958" s="606"/>
      <c r="F958" s="607"/>
      <c r="G958" s="607"/>
      <c r="H958" s="608"/>
      <c r="I958" s="608"/>
      <c r="J958" s="1616">
        <f t="shared" si="18"/>
        <v>0</v>
      </c>
      <c r="K958" s="613"/>
      <c r="L958" s="613"/>
      <c r="M958" s="613"/>
      <c r="N958" s="617"/>
      <c r="O958" s="267"/>
    </row>
    <row r="959" spans="1:15" s="1" customFormat="1" ht="18" customHeight="1">
      <c r="A959" s="1331"/>
      <c r="B959" s="605"/>
      <c r="C959" s="606"/>
      <c r="D959" s="590"/>
      <c r="E959" s="606"/>
      <c r="F959" s="607"/>
      <c r="G959" s="607"/>
      <c r="H959" s="608"/>
      <c r="I959" s="608"/>
      <c r="J959" s="1616">
        <f t="shared" si="18"/>
        <v>0</v>
      </c>
      <c r="K959" s="613"/>
      <c r="L959" s="613"/>
      <c r="M959" s="613"/>
      <c r="N959" s="617"/>
      <c r="O959" s="267"/>
    </row>
    <row r="960" spans="1:15" s="1" customFormat="1" ht="18" customHeight="1">
      <c r="A960" s="1331"/>
      <c r="B960" s="605"/>
      <c r="C960" s="606"/>
      <c r="D960" s="590"/>
      <c r="E960" s="606"/>
      <c r="F960" s="607"/>
      <c r="G960" s="607"/>
      <c r="H960" s="608"/>
      <c r="I960" s="608"/>
      <c r="J960" s="1616">
        <f t="shared" si="18"/>
        <v>0</v>
      </c>
      <c r="K960" s="613"/>
      <c r="L960" s="613"/>
      <c r="M960" s="613"/>
      <c r="N960" s="617"/>
      <c r="O960" s="267"/>
    </row>
    <row r="961" spans="1:15" s="1" customFormat="1" ht="18" customHeight="1">
      <c r="A961" s="1331"/>
      <c r="B961" s="605"/>
      <c r="C961" s="606"/>
      <c r="D961" s="590"/>
      <c r="E961" s="606"/>
      <c r="F961" s="607"/>
      <c r="G961" s="607"/>
      <c r="H961" s="608"/>
      <c r="I961" s="608"/>
      <c r="J961" s="1616">
        <f t="shared" si="18"/>
        <v>0</v>
      </c>
      <c r="K961" s="613"/>
      <c r="L961" s="613"/>
      <c r="M961" s="613"/>
      <c r="N961" s="617"/>
      <c r="O961" s="267"/>
    </row>
    <row r="962" spans="1:15" s="1" customFormat="1" ht="18" customHeight="1">
      <c r="A962" s="1331"/>
      <c r="B962" s="605"/>
      <c r="C962" s="606"/>
      <c r="D962" s="590"/>
      <c r="E962" s="606"/>
      <c r="F962" s="607"/>
      <c r="G962" s="607"/>
      <c r="H962" s="608"/>
      <c r="I962" s="608"/>
      <c r="J962" s="1616">
        <f t="shared" si="18"/>
        <v>0</v>
      </c>
      <c r="K962" s="613"/>
      <c r="L962" s="613"/>
      <c r="M962" s="613"/>
      <c r="N962" s="617"/>
      <c r="O962" s="267"/>
    </row>
    <row r="963" spans="1:15" s="1" customFormat="1" ht="18" customHeight="1">
      <c r="A963" s="1331"/>
      <c r="B963" s="605"/>
      <c r="C963" s="606"/>
      <c r="D963" s="590"/>
      <c r="E963" s="606"/>
      <c r="F963" s="607"/>
      <c r="G963" s="607"/>
      <c r="H963" s="608"/>
      <c r="I963" s="608"/>
      <c r="J963" s="1616">
        <f t="shared" si="18"/>
        <v>0</v>
      </c>
      <c r="K963" s="613"/>
      <c r="L963" s="613"/>
      <c r="M963" s="613"/>
      <c r="N963" s="617"/>
      <c r="O963" s="267"/>
    </row>
    <row r="964" spans="1:15" s="1" customFormat="1" ht="18" customHeight="1">
      <c r="A964" s="1331"/>
      <c r="B964" s="605"/>
      <c r="C964" s="606"/>
      <c r="D964" s="590"/>
      <c r="E964" s="606"/>
      <c r="F964" s="607"/>
      <c r="G964" s="607"/>
      <c r="H964" s="608"/>
      <c r="I964" s="608"/>
      <c r="J964" s="1616">
        <f t="shared" si="18"/>
        <v>0</v>
      </c>
      <c r="K964" s="613"/>
      <c r="L964" s="613"/>
      <c r="M964" s="613"/>
      <c r="N964" s="617"/>
      <c r="O964" s="267"/>
    </row>
    <row r="965" spans="1:15" s="1" customFormat="1" ht="18" customHeight="1">
      <c r="A965" s="1331"/>
      <c r="B965" s="605"/>
      <c r="C965" s="606"/>
      <c r="D965" s="590"/>
      <c r="E965" s="606"/>
      <c r="F965" s="607"/>
      <c r="G965" s="607"/>
      <c r="H965" s="608"/>
      <c r="I965" s="608"/>
      <c r="J965" s="1616">
        <f t="shared" si="18"/>
        <v>0</v>
      </c>
      <c r="K965" s="613"/>
      <c r="L965" s="613"/>
      <c r="M965" s="613"/>
      <c r="N965" s="617"/>
      <c r="O965" s="267"/>
    </row>
    <row r="966" spans="1:15" s="1" customFormat="1" ht="18" customHeight="1">
      <c r="A966" s="1331"/>
      <c r="B966" s="605"/>
      <c r="C966" s="606"/>
      <c r="D966" s="590"/>
      <c r="E966" s="606"/>
      <c r="F966" s="607"/>
      <c r="G966" s="607"/>
      <c r="H966" s="608"/>
      <c r="I966" s="608"/>
      <c r="J966" s="1616">
        <f t="shared" si="18"/>
        <v>0</v>
      </c>
      <c r="K966" s="613"/>
      <c r="L966" s="613"/>
      <c r="M966" s="613"/>
      <c r="N966" s="617"/>
      <c r="O966" s="267"/>
    </row>
    <row r="967" spans="1:15" s="1" customFormat="1" ht="18" customHeight="1">
      <c r="A967" s="1331"/>
      <c r="B967" s="605"/>
      <c r="C967" s="606"/>
      <c r="D967" s="590"/>
      <c r="E967" s="606"/>
      <c r="F967" s="607"/>
      <c r="G967" s="607"/>
      <c r="H967" s="608"/>
      <c r="I967" s="608"/>
      <c r="J967" s="1616">
        <f t="shared" si="18"/>
        <v>0</v>
      </c>
      <c r="K967" s="613"/>
      <c r="L967" s="613"/>
      <c r="M967" s="613"/>
      <c r="N967" s="617"/>
      <c r="O967" s="267"/>
    </row>
    <row r="968" spans="1:15" s="1" customFormat="1" ht="18" customHeight="1">
      <c r="A968" s="1331"/>
      <c r="B968" s="605"/>
      <c r="C968" s="606"/>
      <c r="D968" s="590"/>
      <c r="E968" s="606"/>
      <c r="F968" s="607"/>
      <c r="G968" s="607"/>
      <c r="H968" s="608"/>
      <c r="I968" s="608"/>
      <c r="J968" s="1616">
        <f t="shared" si="18"/>
        <v>0</v>
      </c>
      <c r="K968" s="613"/>
      <c r="L968" s="613"/>
      <c r="M968" s="613"/>
      <c r="N968" s="617"/>
      <c r="O968" s="267"/>
    </row>
    <row r="969" spans="1:15" s="1" customFormat="1" ht="18" customHeight="1">
      <c r="A969" s="1331"/>
      <c r="B969" s="605"/>
      <c r="C969" s="606"/>
      <c r="D969" s="590"/>
      <c r="E969" s="606"/>
      <c r="F969" s="607"/>
      <c r="G969" s="607"/>
      <c r="H969" s="608"/>
      <c r="I969" s="608"/>
      <c r="J969" s="1616">
        <f t="shared" si="18"/>
        <v>0</v>
      </c>
      <c r="K969" s="613"/>
      <c r="L969" s="613"/>
      <c r="M969" s="613"/>
      <c r="N969" s="617"/>
      <c r="O969" s="267"/>
    </row>
    <row r="970" spans="1:15" s="1" customFormat="1" ht="18" customHeight="1">
      <c r="A970" s="1331"/>
      <c r="B970" s="605"/>
      <c r="C970" s="606"/>
      <c r="D970" s="590"/>
      <c r="E970" s="606"/>
      <c r="F970" s="607"/>
      <c r="G970" s="607"/>
      <c r="H970" s="608"/>
      <c r="I970" s="608"/>
      <c r="J970" s="1616">
        <f t="shared" si="18"/>
        <v>0</v>
      </c>
      <c r="K970" s="613"/>
      <c r="L970" s="613"/>
      <c r="M970" s="613"/>
      <c r="N970" s="617"/>
      <c r="O970" s="267"/>
    </row>
    <row r="971" spans="1:15" s="1" customFormat="1" ht="18" customHeight="1">
      <c r="A971" s="1331"/>
      <c r="B971" s="605"/>
      <c r="C971" s="606"/>
      <c r="D971" s="590"/>
      <c r="E971" s="606"/>
      <c r="F971" s="607"/>
      <c r="G971" s="607"/>
      <c r="H971" s="608"/>
      <c r="I971" s="608"/>
      <c r="J971" s="1616">
        <f t="shared" si="18"/>
        <v>0</v>
      </c>
      <c r="K971" s="613"/>
      <c r="L971" s="613"/>
      <c r="M971" s="613"/>
      <c r="N971" s="617"/>
      <c r="O971" s="267"/>
    </row>
    <row r="972" spans="1:15" s="1" customFormat="1" ht="18" customHeight="1">
      <c r="A972" s="1331"/>
      <c r="B972" s="605"/>
      <c r="C972" s="606"/>
      <c r="D972" s="590"/>
      <c r="E972" s="606"/>
      <c r="F972" s="607"/>
      <c r="G972" s="607"/>
      <c r="H972" s="608"/>
      <c r="I972" s="608"/>
      <c r="J972" s="1616">
        <f t="shared" si="18"/>
        <v>0</v>
      </c>
      <c r="K972" s="613"/>
      <c r="L972" s="613"/>
      <c r="M972" s="613"/>
      <c r="N972" s="617"/>
      <c r="O972" s="267"/>
    </row>
    <row r="973" spans="1:15" s="1" customFormat="1" ht="18" customHeight="1">
      <c r="A973" s="1331"/>
      <c r="B973" s="605"/>
      <c r="C973" s="606"/>
      <c r="D973" s="590"/>
      <c r="E973" s="606"/>
      <c r="F973" s="607"/>
      <c r="G973" s="607"/>
      <c r="H973" s="608"/>
      <c r="I973" s="608"/>
      <c r="J973" s="1616">
        <f t="shared" si="18"/>
        <v>0</v>
      </c>
      <c r="K973" s="613"/>
      <c r="L973" s="613"/>
      <c r="M973" s="613"/>
      <c r="N973" s="617"/>
      <c r="O973" s="267"/>
    </row>
    <row r="974" spans="1:15" s="1" customFormat="1" ht="18" customHeight="1">
      <c r="A974" s="1331"/>
      <c r="B974" s="605"/>
      <c r="C974" s="606"/>
      <c r="D974" s="590"/>
      <c r="E974" s="606"/>
      <c r="F974" s="607"/>
      <c r="G974" s="607"/>
      <c r="H974" s="608"/>
      <c r="I974" s="608"/>
      <c r="J974" s="1616">
        <f t="shared" si="18"/>
        <v>0</v>
      </c>
      <c r="K974" s="613"/>
      <c r="L974" s="613"/>
      <c r="M974" s="613"/>
      <c r="N974" s="617"/>
      <c r="O974" s="267"/>
    </row>
    <row r="975" spans="1:15" s="1" customFormat="1" ht="18" customHeight="1">
      <c r="A975" s="1331"/>
      <c r="B975" s="605"/>
      <c r="C975" s="606"/>
      <c r="D975" s="590"/>
      <c r="E975" s="606"/>
      <c r="F975" s="607"/>
      <c r="G975" s="607"/>
      <c r="H975" s="608"/>
      <c r="I975" s="608"/>
      <c r="J975" s="1616">
        <f t="shared" si="18"/>
        <v>0</v>
      </c>
      <c r="K975" s="613"/>
      <c r="L975" s="613"/>
      <c r="M975" s="613"/>
      <c r="N975" s="617"/>
      <c r="O975" s="267"/>
    </row>
    <row r="976" spans="1:15" s="1" customFormat="1" ht="18" customHeight="1">
      <c r="A976" s="1331"/>
      <c r="B976" s="605"/>
      <c r="C976" s="606"/>
      <c r="D976" s="590"/>
      <c r="E976" s="606"/>
      <c r="F976" s="607"/>
      <c r="G976" s="607"/>
      <c r="H976" s="608"/>
      <c r="I976" s="608"/>
      <c r="J976" s="1616">
        <f t="shared" si="18"/>
        <v>0</v>
      </c>
      <c r="K976" s="613"/>
      <c r="L976" s="613"/>
      <c r="M976" s="613"/>
      <c r="N976" s="617"/>
      <c r="O976" s="267"/>
    </row>
    <row r="977" spans="1:15" s="1" customFormat="1" ht="18" customHeight="1">
      <c r="A977" s="1331"/>
      <c r="B977" s="605"/>
      <c r="C977" s="606"/>
      <c r="D977" s="590"/>
      <c r="E977" s="606"/>
      <c r="F977" s="607"/>
      <c r="G977" s="607"/>
      <c r="H977" s="608"/>
      <c r="I977" s="608"/>
      <c r="J977" s="1616">
        <f t="shared" si="18"/>
        <v>0</v>
      </c>
      <c r="K977" s="613"/>
      <c r="L977" s="613"/>
      <c r="M977" s="613"/>
      <c r="N977" s="617"/>
      <c r="O977" s="267"/>
    </row>
    <row r="978" spans="1:15" s="1" customFormat="1" ht="18" customHeight="1">
      <c r="A978" s="1331"/>
      <c r="B978" s="605"/>
      <c r="C978" s="606"/>
      <c r="D978" s="590"/>
      <c r="E978" s="606"/>
      <c r="F978" s="607"/>
      <c r="G978" s="607"/>
      <c r="H978" s="608"/>
      <c r="I978" s="608"/>
      <c r="J978" s="1616">
        <f t="shared" si="18"/>
        <v>0</v>
      </c>
      <c r="K978" s="613"/>
      <c r="L978" s="613"/>
      <c r="M978" s="613"/>
      <c r="N978" s="617"/>
      <c r="O978" s="267"/>
    </row>
    <row r="979" spans="1:15" s="1" customFormat="1" ht="18" customHeight="1">
      <c r="A979" s="1331"/>
      <c r="B979" s="605"/>
      <c r="C979" s="606"/>
      <c r="D979" s="590"/>
      <c r="E979" s="606"/>
      <c r="F979" s="607"/>
      <c r="G979" s="607"/>
      <c r="H979" s="608"/>
      <c r="I979" s="608"/>
      <c r="J979" s="1616">
        <f t="shared" si="18"/>
        <v>0</v>
      </c>
      <c r="K979" s="613"/>
      <c r="L979" s="613"/>
      <c r="M979" s="613"/>
      <c r="N979" s="617"/>
      <c r="O979" s="267"/>
    </row>
    <row r="980" spans="1:15" s="1" customFormat="1" ht="18" customHeight="1">
      <c r="A980" s="1331"/>
      <c r="B980" s="605"/>
      <c r="C980" s="606"/>
      <c r="D980" s="590"/>
      <c r="E980" s="606"/>
      <c r="F980" s="607"/>
      <c r="G980" s="607"/>
      <c r="H980" s="608"/>
      <c r="I980" s="608"/>
      <c r="J980" s="1616">
        <f t="shared" si="18"/>
        <v>0</v>
      </c>
      <c r="K980" s="613"/>
      <c r="L980" s="613"/>
      <c r="M980" s="613"/>
      <c r="N980" s="617"/>
      <c r="O980" s="267"/>
    </row>
    <row r="981" spans="1:15" s="1" customFormat="1" ht="18" customHeight="1">
      <c r="A981" s="1331"/>
      <c r="B981" s="605"/>
      <c r="C981" s="606"/>
      <c r="D981" s="590"/>
      <c r="E981" s="606"/>
      <c r="F981" s="607"/>
      <c r="G981" s="607"/>
      <c r="H981" s="608"/>
      <c r="I981" s="608"/>
      <c r="J981" s="1616">
        <f t="shared" si="18"/>
        <v>0</v>
      </c>
      <c r="K981" s="613"/>
      <c r="L981" s="613"/>
      <c r="M981" s="613"/>
      <c r="N981" s="617"/>
      <c r="O981" s="267"/>
    </row>
    <row r="982" spans="1:15" s="1" customFormat="1" ht="18" customHeight="1">
      <c r="A982" s="1331"/>
      <c r="B982" s="605"/>
      <c r="C982" s="606"/>
      <c r="D982" s="590"/>
      <c r="E982" s="606"/>
      <c r="F982" s="607"/>
      <c r="G982" s="607"/>
      <c r="H982" s="608"/>
      <c r="I982" s="608"/>
      <c r="J982" s="1616">
        <f t="shared" si="18"/>
        <v>0</v>
      </c>
      <c r="K982" s="613"/>
      <c r="L982" s="613"/>
      <c r="M982" s="613"/>
      <c r="N982" s="617"/>
      <c r="O982" s="267"/>
    </row>
    <row r="983" spans="1:15" s="1" customFormat="1" ht="18" customHeight="1">
      <c r="A983" s="1331"/>
      <c r="B983" s="605"/>
      <c r="C983" s="606"/>
      <c r="D983" s="590"/>
      <c r="E983" s="606"/>
      <c r="F983" s="607"/>
      <c r="G983" s="607"/>
      <c r="H983" s="608"/>
      <c r="I983" s="608"/>
      <c r="J983" s="1616">
        <f t="shared" si="18"/>
        <v>0</v>
      </c>
      <c r="K983" s="613"/>
      <c r="L983" s="613"/>
      <c r="M983" s="613"/>
      <c r="N983" s="617"/>
      <c r="O983" s="267"/>
    </row>
    <row r="984" spans="1:15" s="1" customFormat="1" ht="18" customHeight="1">
      <c r="A984" s="1331"/>
      <c r="B984" s="605"/>
      <c r="C984" s="606"/>
      <c r="D984" s="590"/>
      <c r="E984" s="606"/>
      <c r="F984" s="607"/>
      <c r="G984" s="607"/>
      <c r="H984" s="608"/>
      <c r="I984" s="608"/>
      <c r="J984" s="1616">
        <f t="shared" si="18"/>
        <v>0</v>
      </c>
      <c r="K984" s="613"/>
      <c r="L984" s="613"/>
      <c r="M984" s="613"/>
      <c r="N984" s="617"/>
      <c r="O984" s="267"/>
    </row>
    <row r="985" spans="1:15" s="1" customFormat="1" ht="18" customHeight="1">
      <c r="A985" s="1331"/>
      <c r="B985" s="605"/>
      <c r="C985" s="606"/>
      <c r="D985" s="590"/>
      <c r="E985" s="606"/>
      <c r="F985" s="607"/>
      <c r="G985" s="607"/>
      <c r="H985" s="608"/>
      <c r="I985" s="608"/>
      <c r="J985" s="1616">
        <f t="shared" si="18"/>
        <v>0</v>
      </c>
      <c r="K985" s="613"/>
      <c r="L985" s="613"/>
      <c r="M985" s="613"/>
      <c r="N985" s="617"/>
      <c r="O985" s="267"/>
    </row>
    <row r="986" spans="1:15" s="1" customFormat="1" ht="18" customHeight="1">
      <c r="A986" s="1331"/>
      <c r="B986" s="605"/>
      <c r="C986" s="606"/>
      <c r="D986" s="590"/>
      <c r="E986" s="606"/>
      <c r="F986" s="607"/>
      <c r="G986" s="607"/>
      <c r="H986" s="608"/>
      <c r="I986" s="608"/>
      <c r="J986" s="1616">
        <f t="shared" si="18"/>
        <v>0</v>
      </c>
      <c r="K986" s="613"/>
      <c r="L986" s="613"/>
      <c r="M986" s="613"/>
      <c r="N986" s="617"/>
      <c r="O986" s="267"/>
    </row>
    <row r="987" spans="1:15" s="1" customFormat="1" ht="18" customHeight="1">
      <c r="A987" s="1331"/>
      <c r="B987" s="605"/>
      <c r="C987" s="606"/>
      <c r="D987" s="590"/>
      <c r="E987" s="606"/>
      <c r="F987" s="607"/>
      <c r="G987" s="607"/>
      <c r="H987" s="608"/>
      <c r="I987" s="608"/>
      <c r="J987" s="1616">
        <f t="shared" si="18"/>
        <v>0</v>
      </c>
      <c r="K987" s="613"/>
      <c r="L987" s="613"/>
      <c r="M987" s="613"/>
      <c r="N987" s="617"/>
      <c r="O987" s="267"/>
    </row>
    <row r="988" spans="1:15" s="1" customFormat="1" ht="18" customHeight="1">
      <c r="A988" s="1331"/>
      <c r="B988" s="605"/>
      <c r="C988" s="606"/>
      <c r="D988" s="590"/>
      <c r="E988" s="606"/>
      <c r="F988" s="607"/>
      <c r="G988" s="607"/>
      <c r="H988" s="608"/>
      <c r="I988" s="608"/>
      <c r="J988" s="1616">
        <f t="shared" si="18"/>
        <v>0</v>
      </c>
      <c r="K988" s="613"/>
      <c r="L988" s="613"/>
      <c r="M988" s="613"/>
      <c r="N988" s="617"/>
      <c r="O988" s="267"/>
    </row>
    <row r="989" spans="1:15" s="1" customFormat="1" ht="18" customHeight="1">
      <c r="A989" s="1331"/>
      <c r="B989" s="605"/>
      <c r="C989" s="606"/>
      <c r="D989" s="590"/>
      <c r="E989" s="606"/>
      <c r="F989" s="607"/>
      <c r="G989" s="607"/>
      <c r="H989" s="608"/>
      <c r="I989" s="608"/>
      <c r="J989" s="1616">
        <f t="shared" si="18"/>
        <v>0</v>
      </c>
      <c r="K989" s="613"/>
      <c r="L989" s="613"/>
      <c r="M989" s="613"/>
      <c r="N989" s="617"/>
      <c r="O989" s="267"/>
    </row>
    <row r="990" spans="1:15" s="1" customFormat="1" ht="18" customHeight="1">
      <c r="A990" s="1331"/>
      <c r="B990" s="605"/>
      <c r="C990" s="606"/>
      <c r="D990" s="590"/>
      <c r="E990" s="606"/>
      <c r="F990" s="607"/>
      <c r="G990" s="607"/>
      <c r="H990" s="608"/>
      <c r="I990" s="608"/>
      <c r="J990" s="1616">
        <f t="shared" si="18"/>
        <v>0</v>
      </c>
      <c r="K990" s="613"/>
      <c r="L990" s="613"/>
      <c r="M990" s="613"/>
      <c r="N990" s="617"/>
      <c r="O990" s="267"/>
    </row>
    <row r="991" spans="1:15" s="1" customFormat="1" ht="18" customHeight="1">
      <c r="A991" s="1331"/>
      <c r="B991" s="605"/>
      <c r="C991" s="606"/>
      <c r="D991" s="590"/>
      <c r="E991" s="606"/>
      <c r="F991" s="607"/>
      <c r="G991" s="607"/>
      <c r="H991" s="608"/>
      <c r="I991" s="608"/>
      <c r="J991" s="1616">
        <f t="shared" si="18"/>
        <v>0</v>
      </c>
      <c r="K991" s="613"/>
      <c r="L991" s="613"/>
      <c r="M991" s="613"/>
      <c r="N991" s="617"/>
      <c r="O991" s="267"/>
    </row>
    <row r="992" spans="1:15" s="1" customFormat="1" ht="18" customHeight="1">
      <c r="A992" s="1331"/>
      <c r="B992" s="605"/>
      <c r="C992" s="606"/>
      <c r="D992" s="590"/>
      <c r="E992" s="606"/>
      <c r="F992" s="607"/>
      <c r="G992" s="607"/>
      <c r="H992" s="608"/>
      <c r="I992" s="608"/>
      <c r="J992" s="1616">
        <f t="shared" si="18"/>
        <v>0</v>
      </c>
      <c r="K992" s="613"/>
      <c r="L992" s="613"/>
      <c r="M992" s="613"/>
      <c r="N992" s="617"/>
      <c r="O992" s="267"/>
    </row>
    <row r="993" spans="1:19" s="1" customFormat="1" ht="18" customHeight="1">
      <c r="A993" s="1331"/>
      <c r="B993" s="605"/>
      <c r="C993" s="606"/>
      <c r="D993" s="590"/>
      <c r="E993" s="606"/>
      <c r="F993" s="607"/>
      <c r="G993" s="607"/>
      <c r="H993" s="608"/>
      <c r="I993" s="608"/>
      <c r="J993" s="1616">
        <f t="shared" si="18"/>
        <v>0</v>
      </c>
      <c r="K993" s="613"/>
      <c r="L993" s="613"/>
      <c r="M993" s="613"/>
      <c r="N993" s="617"/>
      <c r="O993" s="267"/>
    </row>
    <row r="994" spans="1:19" s="1" customFormat="1" ht="18" customHeight="1">
      <c r="A994" s="1331"/>
      <c r="B994" s="605"/>
      <c r="C994" s="606"/>
      <c r="D994" s="590"/>
      <c r="E994" s="606"/>
      <c r="F994" s="607"/>
      <c r="G994" s="607"/>
      <c r="H994" s="608"/>
      <c r="I994" s="608"/>
      <c r="J994" s="1616">
        <f t="shared" si="18"/>
        <v>0</v>
      </c>
      <c r="K994" s="613"/>
      <c r="L994" s="613"/>
      <c r="M994" s="613"/>
      <c r="N994" s="617"/>
      <c r="O994" s="267"/>
    </row>
    <row r="995" spans="1:19" s="1" customFormat="1" ht="18" customHeight="1">
      <c r="A995" s="1331"/>
      <c r="B995" s="605"/>
      <c r="C995" s="606"/>
      <c r="D995" s="590"/>
      <c r="E995" s="606"/>
      <c r="F995" s="607"/>
      <c r="G995" s="607"/>
      <c r="H995" s="608"/>
      <c r="I995" s="608"/>
      <c r="J995" s="1616">
        <f t="shared" ref="J995:J998" si="19">G995*I995</f>
        <v>0</v>
      </c>
      <c r="K995" s="613"/>
      <c r="L995" s="613"/>
      <c r="M995" s="613"/>
      <c r="N995" s="617"/>
      <c r="O995" s="267"/>
    </row>
    <row r="996" spans="1:19" s="1" customFormat="1" ht="18" customHeight="1">
      <c r="A996" s="1331"/>
      <c r="B996" s="605"/>
      <c r="C996" s="606"/>
      <c r="D996" s="590"/>
      <c r="E996" s="606"/>
      <c r="F996" s="607"/>
      <c r="G996" s="607"/>
      <c r="H996" s="608"/>
      <c r="I996" s="608"/>
      <c r="J996" s="1616">
        <f t="shared" si="19"/>
        <v>0</v>
      </c>
      <c r="K996" s="613"/>
      <c r="L996" s="613"/>
      <c r="M996" s="613"/>
      <c r="N996" s="617"/>
      <c r="O996" s="267"/>
    </row>
    <row r="997" spans="1:19" s="1" customFormat="1" ht="18" customHeight="1">
      <c r="A997" s="1331"/>
      <c r="B997" s="605"/>
      <c r="C997" s="606"/>
      <c r="D997" s="590"/>
      <c r="E997" s="606"/>
      <c r="F997" s="607"/>
      <c r="G997" s="607"/>
      <c r="H997" s="608"/>
      <c r="I997" s="608"/>
      <c r="J997" s="1616">
        <f t="shared" si="19"/>
        <v>0</v>
      </c>
      <c r="K997" s="613"/>
      <c r="L997" s="613"/>
      <c r="M997" s="613"/>
      <c r="N997" s="617"/>
      <c r="O997" s="267"/>
    </row>
    <row r="998" spans="1:19" s="1" customFormat="1" ht="18" customHeight="1">
      <c r="A998" s="1331"/>
      <c r="B998" s="605"/>
      <c r="C998" s="606"/>
      <c r="D998" s="590"/>
      <c r="E998" s="606"/>
      <c r="F998" s="607"/>
      <c r="G998" s="607"/>
      <c r="H998" s="608"/>
      <c r="I998" s="608"/>
      <c r="J998" s="1616">
        <f t="shared" si="19"/>
        <v>0</v>
      </c>
      <c r="K998" s="613"/>
      <c r="L998" s="613"/>
      <c r="M998" s="613"/>
      <c r="N998" s="617"/>
      <c r="O998" s="267"/>
    </row>
    <row r="999" spans="1:19" s="1389" customFormat="1" ht="18" customHeight="1">
      <c r="A999" s="1331"/>
      <c r="B999" s="1383"/>
      <c r="C999" s="1384"/>
      <c r="D999" s="1385"/>
      <c r="E999" s="1384"/>
      <c r="F999" s="1386"/>
      <c r="G999" s="1386"/>
      <c r="H999" s="1387"/>
      <c r="I999" s="1387"/>
      <c r="J999" s="1617">
        <f t="shared" si="0"/>
        <v>0</v>
      </c>
      <c r="K999" s="1386"/>
      <c r="L999" s="1386"/>
      <c r="M999" s="1386"/>
      <c r="N999" s="1388"/>
      <c r="O999" s="3019"/>
    </row>
    <row r="1000" spans="1:19" s="1" customFormat="1" ht="18" customHeight="1">
      <c r="A1000" s="2600" t="s">
        <v>46</v>
      </c>
      <c r="B1000" s="2601"/>
      <c r="C1000" s="2601"/>
      <c r="D1000" s="2601"/>
      <c r="E1000" s="2602"/>
      <c r="F1000" s="601">
        <f>SUM(F13:F999)</f>
        <v>0</v>
      </c>
      <c r="G1000" s="601">
        <f>SUM(G13:G999)</f>
        <v>0</v>
      </c>
      <c r="H1000" s="2598"/>
      <c r="I1000" s="2599"/>
      <c r="J1000" s="1618">
        <f>SUM(J13:J999)</f>
        <v>0</v>
      </c>
      <c r="K1000" s="601">
        <f>SUM(K13:K999)</f>
        <v>0</v>
      </c>
      <c r="L1000" s="601">
        <f>SUM(L13:L999)</f>
        <v>0</v>
      </c>
      <c r="M1000" s="601">
        <f>SUM(M13:M999)</f>
        <v>0</v>
      </c>
      <c r="N1000" s="604"/>
      <c r="O1000" s="267"/>
    </row>
    <row r="1001" spans="1:19" s="1" customFormat="1" ht="18" customHeight="1" thickBot="1">
      <c r="A1001" s="2603" t="s">
        <v>63</v>
      </c>
      <c r="B1001" s="2604"/>
      <c r="C1001" s="2604"/>
      <c r="D1001" s="2604"/>
      <c r="E1001" s="2604"/>
      <c r="F1001" s="2604"/>
      <c r="G1001" s="2604"/>
      <c r="H1001" s="2604"/>
      <c r="I1001" s="2605"/>
      <c r="J1001" s="1619">
        <f>J1000/C8</f>
        <v>0</v>
      </c>
      <c r="K1001" s="2606"/>
      <c r="L1001" s="2607"/>
      <c r="M1001" s="2607"/>
      <c r="N1001" s="2608"/>
      <c r="O1001" s="267"/>
    </row>
    <row r="1002" spans="1:19" customFormat="1" ht="9" customHeight="1" thickTop="1">
      <c r="J1002" s="1620"/>
      <c r="O1002" s="183"/>
    </row>
    <row r="1003" spans="1:19" ht="16.5" customHeight="1">
      <c r="A1003" s="979" t="s">
        <v>465</v>
      </c>
      <c r="C1003" s="979"/>
      <c r="D1003" s="979"/>
    </row>
    <row r="1004" spans="1:19">
      <c r="A1004" s="980" t="s">
        <v>397</v>
      </c>
      <c r="C1004" s="980"/>
      <c r="D1004" s="980"/>
    </row>
    <row r="1005" spans="1:19" ht="21">
      <c r="K1005" s="2591" t="s">
        <v>48</v>
      </c>
      <c r="L1005" s="2591"/>
      <c r="M1005" s="2591"/>
      <c r="N1005" s="2591"/>
      <c r="Q1005" s="981"/>
      <c r="R1005" s="981"/>
      <c r="S1005" s="981"/>
    </row>
    <row r="1006" spans="1:19">
      <c r="L1006" s="2592" t="s">
        <v>398</v>
      </c>
      <c r="M1006" s="2592"/>
      <c r="Q1006" s="982"/>
      <c r="R1006" s="982"/>
      <c r="S1006" s="982"/>
    </row>
    <row r="1007" spans="1:19" ht="21">
      <c r="D1007" s="2591" t="s">
        <v>399</v>
      </c>
      <c r="E1007" s="2591"/>
      <c r="H1007" s="2591" t="s">
        <v>468</v>
      </c>
      <c r="I1007" s="2591"/>
      <c r="L1007" s="2591" t="s">
        <v>469</v>
      </c>
      <c r="M1007" s="2591"/>
      <c r="R1007" s="981"/>
      <c r="S1007" s="981"/>
    </row>
    <row r="1008" spans="1:19">
      <c r="D1008" s="2592" t="s">
        <v>402</v>
      </c>
      <c r="E1008" s="2592"/>
      <c r="H1008" s="2609" t="s">
        <v>497</v>
      </c>
      <c r="I1008" s="2609"/>
      <c r="L1008" s="2592" t="s">
        <v>471</v>
      </c>
      <c r="M1008" s="2592"/>
      <c r="R1008" s="982"/>
      <c r="S1008" s="982"/>
    </row>
    <row r="1014" spans="1:1">
      <c r="A1014" s="183" t="s">
        <v>1877</v>
      </c>
    </row>
  </sheetData>
  <sheetProtection sheet="1" scenarios="1" formatCells="0" formatColumns="0" formatRows="0" insertRows="0"/>
  <protectedRanges>
    <protectedRange password="CF0E" sqref="A7" name="Range1"/>
    <protectedRange password="CF0E" sqref="H1008" name="Range27_1"/>
  </protectedRanges>
  <mergeCells count="18">
    <mergeCell ref="D1007:E1007"/>
    <mergeCell ref="L1007:M1007"/>
    <mergeCell ref="D1008:E1008"/>
    <mergeCell ref="L1008:M1008"/>
    <mergeCell ref="H1007:I1007"/>
    <mergeCell ref="H1008:I1008"/>
    <mergeCell ref="L1006:M1006"/>
    <mergeCell ref="B11:C11"/>
    <mergeCell ref="K11:M11"/>
    <mergeCell ref="H1000:I1000"/>
    <mergeCell ref="A1000:E1000"/>
    <mergeCell ref="A1001:I1001"/>
    <mergeCell ref="K1001:N1001"/>
    <mergeCell ref="A1:N1"/>
    <mergeCell ref="A2:N2"/>
    <mergeCell ref="A3:N3"/>
    <mergeCell ref="A4:N4"/>
    <mergeCell ref="K1005:N1005"/>
  </mergeCells>
  <phoneticPr fontId="19" type="noConversion"/>
  <dataValidations count="4">
    <dataValidation type="decimal" operator="greaterThanOrEqual" allowBlank="1" showInputMessage="1" showErrorMessage="1" sqref="K9 C8">
      <formula1>0</formula1>
    </dataValidation>
    <dataValidation type="list" allowBlank="1" showInputMessage="1" showErrorMessage="1" sqref="D13:D999">
      <formula1>"Overdraft, Term Loan, Trust Receipt, Bill of Exchange, Financing Commitment, Guarantee, Others"</formula1>
    </dataValidation>
    <dataValidation type="decimal" operator="greaterThanOrEqual" allowBlank="1" showInputMessage="1" showErrorMessage="1" errorTitle="Validation Rule" error="Allow only number" sqref="F13:I999 K13:M999">
      <formula1>0</formula1>
    </dataValidation>
    <dataValidation type="whole" operator="greaterThanOrEqual" allowBlank="1" showInputMessage="1" showErrorMessage="1" errorTitle="Validation Rule" error="Number only" sqref="A13:A999">
      <formula1>0</formula1>
    </dataValidation>
  </dataValidations>
  <pageMargins left="0.45" right="0.2" top="0.75" bottom="0.75" header="0.3" footer="0.3"/>
  <pageSetup paperSize="9" scale="65"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sheetPr>
  <dimension ref="A1:Q247"/>
  <sheetViews>
    <sheetView showGridLines="0" zoomScale="110" zoomScaleNormal="110" workbookViewId="0">
      <selection activeCell="B15" sqref="B15:B16"/>
    </sheetView>
  </sheetViews>
  <sheetFormatPr defaultColWidth="0" defaultRowHeight="21" zeroHeight="1"/>
  <cols>
    <col min="1" max="1" width="5" style="7" customWidth="1"/>
    <col min="2" max="2" width="31.5703125" style="7" customWidth="1"/>
    <col min="3" max="4" width="14.85546875" style="7" customWidth="1"/>
    <col min="5" max="5" width="8.42578125" style="7" customWidth="1"/>
    <col min="6" max="6" width="15.42578125" style="7" customWidth="1"/>
    <col min="7" max="7" width="19.5703125" style="7" customWidth="1"/>
    <col min="8" max="8" width="17.7109375" style="7" customWidth="1"/>
    <col min="9" max="9" width="16" style="7" customWidth="1"/>
    <col min="10" max="10" width="22.85546875" style="1637" customWidth="1"/>
    <col min="11" max="11" width="29.5703125" style="1637" customWidth="1"/>
    <col min="12" max="12" width="26.85546875" style="1637" customWidth="1"/>
    <col min="13" max="13" width="29.5703125" style="7" customWidth="1"/>
    <col min="14" max="14" width="6.7109375" style="7" customWidth="1"/>
    <col min="15" max="15" width="8" style="7" customWidth="1"/>
    <col min="16" max="17" width="0" style="8" hidden="1" customWidth="1"/>
    <col min="18" max="16384" width="9.140625" style="8" hidden="1"/>
  </cols>
  <sheetData>
    <row r="1" spans="1:15" s="1202" customFormat="1">
      <c r="A1" s="1201"/>
      <c r="B1" s="1201"/>
      <c r="C1" s="1201"/>
      <c r="D1" s="1201"/>
      <c r="E1" s="1201"/>
      <c r="F1" s="1201"/>
      <c r="G1" s="1201"/>
      <c r="H1" s="1201"/>
      <c r="I1" s="1201"/>
      <c r="J1" s="1621"/>
      <c r="K1" s="1621"/>
      <c r="L1" s="1621"/>
      <c r="M1" s="2645"/>
      <c r="N1" s="2645"/>
      <c r="O1" s="1201"/>
    </row>
    <row r="2" spans="1:15" s="1202" customFormat="1" ht="25.5" customHeight="1">
      <c r="A2" s="2649" t="s">
        <v>426</v>
      </c>
      <c r="B2" s="2649"/>
      <c r="C2" s="2649"/>
      <c r="D2" s="2649"/>
      <c r="E2" s="2649"/>
      <c r="F2" s="2649"/>
      <c r="G2" s="2649"/>
      <c r="H2" s="2649"/>
      <c r="I2" s="2649"/>
      <c r="J2" s="2649"/>
      <c r="K2" s="2649"/>
      <c r="L2" s="2649"/>
      <c r="M2" s="2649"/>
      <c r="N2" s="2649"/>
      <c r="O2" s="1203"/>
    </row>
    <row r="3" spans="1:15" s="1202" customFormat="1" ht="18" customHeight="1">
      <c r="A3" s="2648" t="s">
        <v>427</v>
      </c>
      <c r="B3" s="2648"/>
      <c r="C3" s="2648"/>
      <c r="D3" s="2648"/>
      <c r="E3" s="2648"/>
      <c r="F3" s="2648"/>
      <c r="G3" s="2648"/>
      <c r="H3" s="2648"/>
      <c r="I3" s="2648"/>
      <c r="J3" s="2648"/>
      <c r="K3" s="2648"/>
      <c r="L3" s="2648"/>
      <c r="M3" s="2648"/>
      <c r="N3" s="2648"/>
      <c r="O3" s="1203"/>
    </row>
    <row r="4" spans="1:15" s="1205" customFormat="1" ht="18" customHeight="1">
      <c r="A4" s="2647" t="s">
        <v>428</v>
      </c>
      <c r="B4" s="2647"/>
      <c r="C4" s="2647"/>
      <c r="D4" s="2647"/>
      <c r="E4" s="2647"/>
      <c r="F4" s="2647"/>
      <c r="G4" s="2647"/>
      <c r="H4" s="2647"/>
      <c r="I4" s="2647"/>
      <c r="J4" s="2647"/>
      <c r="K4" s="2647"/>
      <c r="L4" s="2647"/>
      <c r="M4" s="2647"/>
      <c r="N4" s="2647"/>
      <c r="O4" s="1204"/>
    </row>
    <row r="5" spans="1:15" s="1205" customFormat="1" ht="18" customHeight="1">
      <c r="A5" s="2646" t="s">
        <v>360</v>
      </c>
      <c r="B5" s="2646"/>
      <c r="C5" s="2646"/>
      <c r="D5" s="2646"/>
      <c r="E5" s="2646"/>
      <c r="F5" s="2646"/>
      <c r="G5" s="2646"/>
      <c r="H5" s="2646"/>
      <c r="I5" s="2646"/>
      <c r="J5" s="2646"/>
      <c r="K5" s="2646"/>
      <c r="L5" s="2646"/>
      <c r="M5" s="2646"/>
      <c r="N5" s="2646"/>
      <c r="O5" s="1206"/>
    </row>
    <row r="6" spans="1:15" s="1205" customFormat="1" ht="18" customHeight="1">
      <c r="A6" s="1207" t="s">
        <v>472</v>
      </c>
      <c r="B6" s="318"/>
      <c r="C6" s="814"/>
      <c r="D6" s="815"/>
      <c r="E6" s="815"/>
      <c r="F6" s="815"/>
      <c r="G6" s="815"/>
      <c r="H6" s="815"/>
      <c r="I6" s="815"/>
      <c r="J6" s="1622"/>
      <c r="K6" s="1622"/>
      <c r="L6" s="1622"/>
      <c r="M6" s="1208"/>
      <c r="N6" s="815"/>
      <c r="O6" s="1206"/>
    </row>
    <row r="7" spans="1:15" s="1210" customFormat="1" ht="18" customHeight="1">
      <c r="A7" s="1209" t="s">
        <v>429</v>
      </c>
      <c r="B7" s="318"/>
      <c r="C7" s="814"/>
      <c r="D7" s="815"/>
      <c r="E7" s="815"/>
      <c r="F7" s="815"/>
      <c r="G7" s="815"/>
      <c r="H7" s="815"/>
      <c r="I7" s="815"/>
      <c r="J7" s="1622"/>
      <c r="K7" s="1622"/>
      <c r="L7" s="1622"/>
      <c r="M7" s="890" t="s">
        <v>860</v>
      </c>
      <c r="N7" s="815"/>
      <c r="O7" s="815"/>
    </row>
    <row r="8" spans="1:15" s="1210" customFormat="1" ht="18" customHeight="1">
      <c r="A8" s="815"/>
      <c r="B8" s="815"/>
      <c r="C8" s="815"/>
      <c r="D8" s="815"/>
      <c r="E8" s="815"/>
      <c r="F8" s="815"/>
      <c r="G8" s="815"/>
      <c r="H8" s="815"/>
      <c r="I8" s="815"/>
      <c r="J8" s="1622"/>
      <c r="K8" s="1638"/>
      <c r="L8" s="1638"/>
      <c r="O8" s="815"/>
    </row>
    <row r="9" spans="1:15" s="814" customFormat="1" ht="18" customHeight="1">
      <c r="A9" s="814" t="s">
        <v>430</v>
      </c>
      <c r="D9" s="815"/>
      <c r="E9" s="815"/>
      <c r="F9" s="815"/>
      <c r="G9" s="815"/>
      <c r="H9" s="815"/>
      <c r="I9" s="815"/>
      <c r="J9" s="1623" t="s">
        <v>927</v>
      </c>
      <c r="K9" s="1639">
        <v>4000</v>
      </c>
      <c r="L9" s="1640" t="s">
        <v>431</v>
      </c>
      <c r="M9" s="1211" t="s">
        <v>365</v>
      </c>
      <c r="O9" s="1212"/>
    </row>
    <row r="10" spans="1:15" s="814" customFormat="1" ht="18" customHeight="1" thickBot="1">
      <c r="A10" s="814" t="s">
        <v>432</v>
      </c>
      <c r="D10" s="815"/>
      <c r="E10" s="815"/>
      <c r="F10" s="815"/>
      <c r="G10" s="815"/>
      <c r="H10" s="815"/>
      <c r="I10" s="815"/>
      <c r="J10" s="1624" t="s">
        <v>928</v>
      </c>
      <c r="K10" s="1641">
        <v>4000</v>
      </c>
      <c r="L10" s="1642" t="s">
        <v>433</v>
      </c>
      <c r="M10" s="1214" t="s">
        <v>434</v>
      </c>
      <c r="O10" s="1215"/>
    </row>
    <row r="11" spans="1:15" s="9" customFormat="1" ht="18" customHeight="1" thickTop="1">
      <c r="A11" s="2626" t="s">
        <v>435</v>
      </c>
      <c r="B11" s="2617" t="s">
        <v>436</v>
      </c>
      <c r="C11" s="2635" t="s">
        <v>437</v>
      </c>
      <c r="D11" s="2636"/>
      <c r="E11" s="2635" t="s">
        <v>438</v>
      </c>
      <c r="F11" s="2636"/>
      <c r="G11" s="2617" t="s">
        <v>439</v>
      </c>
      <c r="H11" s="2617" t="s">
        <v>440</v>
      </c>
      <c r="I11" s="2635" t="s">
        <v>441</v>
      </c>
      <c r="J11" s="2636"/>
      <c r="K11" s="2620" t="s">
        <v>442</v>
      </c>
      <c r="L11" s="2621"/>
      <c r="M11" s="2617" t="s">
        <v>443</v>
      </c>
      <c r="N11" s="2614" t="s">
        <v>444</v>
      </c>
    </row>
    <row r="12" spans="1:15" s="13" customFormat="1" ht="18" customHeight="1">
      <c r="A12" s="2627"/>
      <c r="B12" s="2629"/>
      <c r="C12" s="2637"/>
      <c r="D12" s="2638"/>
      <c r="E12" s="2637"/>
      <c r="F12" s="2638"/>
      <c r="G12" s="2618"/>
      <c r="H12" s="2618"/>
      <c r="I12" s="2637"/>
      <c r="J12" s="2638"/>
      <c r="K12" s="2622" t="s">
        <v>445</v>
      </c>
      <c r="L12" s="2622" t="s">
        <v>446</v>
      </c>
      <c r="M12" s="2618"/>
      <c r="N12" s="2615"/>
    </row>
    <row r="13" spans="1:15" s="13" customFormat="1" ht="18" customHeight="1">
      <c r="A13" s="2628"/>
      <c r="B13" s="2630"/>
      <c r="C13" s="2639"/>
      <c r="D13" s="2640"/>
      <c r="E13" s="2639"/>
      <c r="F13" s="2640"/>
      <c r="G13" s="2619"/>
      <c r="H13" s="2619"/>
      <c r="I13" s="2639"/>
      <c r="J13" s="2640"/>
      <c r="K13" s="2623"/>
      <c r="L13" s="2623"/>
      <c r="M13" s="2619"/>
      <c r="N13" s="2616"/>
    </row>
    <row r="14" spans="1:15" s="10" customFormat="1" ht="21" customHeight="1">
      <c r="A14" s="2206"/>
      <c r="B14" s="1335" t="s">
        <v>447</v>
      </c>
      <c r="C14" s="1335"/>
      <c r="D14" s="1335"/>
      <c r="E14" s="1335"/>
      <c r="F14" s="1335"/>
      <c r="G14" s="1335"/>
      <c r="H14" s="2207"/>
      <c r="I14" s="2631">
        <f>SUM(I15:J24)</f>
        <v>423</v>
      </c>
      <c r="J14" s="2632"/>
      <c r="K14" s="1643">
        <f>SUM(K15:K24)</f>
        <v>0</v>
      </c>
      <c r="L14" s="1643">
        <f>SUM(L15:L24)</f>
        <v>0</v>
      </c>
      <c r="M14" s="1335"/>
      <c r="N14" s="1336"/>
    </row>
    <row r="15" spans="1:15" s="10" customFormat="1" ht="18" customHeight="1">
      <c r="A15" s="1462">
        <v>1</v>
      </c>
      <c r="B15" s="805"/>
      <c r="C15" s="2641"/>
      <c r="D15" s="2642"/>
      <c r="E15" s="2641"/>
      <c r="F15" s="2642"/>
      <c r="G15" s="805"/>
      <c r="H15" s="805"/>
      <c r="I15" s="2643">
        <v>423</v>
      </c>
      <c r="J15" s="2644"/>
      <c r="K15" s="1644"/>
      <c r="L15" s="1628"/>
      <c r="M15" s="812"/>
      <c r="N15" s="811"/>
    </row>
    <row r="16" spans="1:15" s="10" customFormat="1" ht="18" customHeight="1">
      <c r="A16" s="1462">
        <v>2</v>
      </c>
      <c r="B16" s="805"/>
      <c r="C16" s="2641"/>
      <c r="D16" s="2642"/>
      <c r="E16" s="2641"/>
      <c r="F16" s="2642"/>
      <c r="G16" s="805"/>
      <c r="H16" s="805"/>
      <c r="I16" s="2643">
        <v>0</v>
      </c>
      <c r="J16" s="2644"/>
      <c r="K16" s="1644">
        <v>0</v>
      </c>
      <c r="L16" s="1628">
        <v>0</v>
      </c>
      <c r="M16" s="812"/>
      <c r="N16" s="811"/>
    </row>
    <row r="17" spans="1:15" s="10" customFormat="1" ht="18" customHeight="1">
      <c r="A17" s="1462">
        <v>3</v>
      </c>
      <c r="B17" s="805"/>
      <c r="C17" s="2641"/>
      <c r="D17" s="2642"/>
      <c r="E17" s="2641"/>
      <c r="F17" s="2642"/>
      <c r="G17" s="805"/>
      <c r="H17" s="805"/>
      <c r="I17" s="2643">
        <v>0</v>
      </c>
      <c r="J17" s="2644"/>
      <c r="K17" s="1644">
        <v>0</v>
      </c>
      <c r="L17" s="1628">
        <v>0</v>
      </c>
      <c r="M17" s="812"/>
      <c r="N17" s="811"/>
    </row>
    <row r="18" spans="1:15" s="10" customFormat="1" ht="18" customHeight="1">
      <c r="A18" s="1462">
        <v>4</v>
      </c>
      <c r="B18" s="805"/>
      <c r="C18" s="2641"/>
      <c r="D18" s="2642"/>
      <c r="E18" s="2641"/>
      <c r="F18" s="2642"/>
      <c r="G18" s="805"/>
      <c r="H18" s="805"/>
      <c r="I18" s="2643">
        <v>0</v>
      </c>
      <c r="J18" s="2644"/>
      <c r="K18" s="1644">
        <v>0</v>
      </c>
      <c r="L18" s="1628">
        <v>0</v>
      </c>
      <c r="M18" s="812"/>
      <c r="N18" s="811"/>
    </row>
    <row r="19" spans="1:15" s="10" customFormat="1" ht="18" customHeight="1">
      <c r="A19" s="1462">
        <v>5</v>
      </c>
      <c r="B19" s="805"/>
      <c r="C19" s="2641"/>
      <c r="D19" s="2642"/>
      <c r="E19" s="2641"/>
      <c r="F19" s="2642"/>
      <c r="G19" s="805"/>
      <c r="H19" s="805"/>
      <c r="I19" s="2643">
        <v>0</v>
      </c>
      <c r="J19" s="2644"/>
      <c r="K19" s="1644">
        <v>0</v>
      </c>
      <c r="L19" s="1628">
        <v>0</v>
      </c>
      <c r="M19" s="812"/>
      <c r="N19" s="811"/>
    </row>
    <row r="20" spans="1:15" s="10" customFormat="1" ht="18" customHeight="1">
      <c r="A20" s="1462">
        <v>6</v>
      </c>
      <c r="B20" s="805"/>
      <c r="C20" s="2641"/>
      <c r="D20" s="2642"/>
      <c r="E20" s="2641"/>
      <c r="F20" s="2642"/>
      <c r="G20" s="805"/>
      <c r="H20" s="805"/>
      <c r="I20" s="2643">
        <v>0</v>
      </c>
      <c r="J20" s="2644"/>
      <c r="K20" s="1644">
        <v>0</v>
      </c>
      <c r="L20" s="1628">
        <v>0</v>
      </c>
      <c r="M20" s="812"/>
      <c r="N20" s="811"/>
    </row>
    <row r="21" spans="1:15" s="10" customFormat="1" ht="18" customHeight="1">
      <c r="A21" s="1462">
        <v>7</v>
      </c>
      <c r="B21" s="805"/>
      <c r="C21" s="2641"/>
      <c r="D21" s="2642"/>
      <c r="E21" s="2641"/>
      <c r="F21" s="2642"/>
      <c r="G21" s="805"/>
      <c r="H21" s="805"/>
      <c r="I21" s="2643">
        <v>0</v>
      </c>
      <c r="J21" s="2644"/>
      <c r="K21" s="1644">
        <v>0</v>
      </c>
      <c r="L21" s="1628">
        <v>0</v>
      </c>
      <c r="M21" s="812"/>
      <c r="N21" s="811"/>
    </row>
    <row r="22" spans="1:15" s="10" customFormat="1" ht="18" customHeight="1">
      <c r="A22" s="1462">
        <v>8</v>
      </c>
      <c r="B22" s="805"/>
      <c r="C22" s="1472"/>
      <c r="D22" s="1471"/>
      <c r="E22" s="2641"/>
      <c r="F22" s="2642"/>
      <c r="G22" s="805"/>
      <c r="H22" s="805"/>
      <c r="I22" s="2643">
        <v>0</v>
      </c>
      <c r="J22" s="2644"/>
      <c r="K22" s="1644"/>
      <c r="L22" s="1628"/>
      <c r="M22" s="812"/>
      <c r="N22" s="811"/>
    </row>
    <row r="23" spans="1:15" s="10" customFormat="1" ht="18" customHeight="1">
      <c r="A23" s="1462">
        <v>9</v>
      </c>
      <c r="B23" s="805"/>
      <c r="C23" s="1472"/>
      <c r="D23" s="1471"/>
      <c r="E23" s="1458"/>
      <c r="F23" s="1459"/>
      <c r="G23" s="805"/>
      <c r="H23" s="805"/>
      <c r="I23" s="1460"/>
      <c r="J23" s="1625"/>
      <c r="K23" s="1644"/>
      <c r="L23" s="1628"/>
      <c r="M23" s="812"/>
      <c r="N23" s="811"/>
    </row>
    <row r="24" spans="1:15" s="10" customFormat="1" ht="18" customHeight="1">
      <c r="A24" s="1462">
        <v>10</v>
      </c>
      <c r="B24" s="805"/>
      <c r="C24" s="2641"/>
      <c r="D24" s="2642"/>
      <c r="E24" s="2641"/>
      <c r="F24" s="2642"/>
      <c r="G24" s="805"/>
      <c r="H24" s="805"/>
      <c r="I24" s="2643">
        <v>0</v>
      </c>
      <c r="J24" s="2644"/>
      <c r="K24" s="1644">
        <v>0</v>
      </c>
      <c r="L24" s="1628">
        <v>0</v>
      </c>
      <c r="M24" s="812"/>
      <c r="N24" s="811"/>
    </row>
    <row r="25" spans="1:15" s="10" customFormat="1" ht="18" customHeight="1">
      <c r="A25" s="2206"/>
      <c r="B25" s="1335" t="s">
        <v>1998</v>
      </c>
      <c r="C25" s="1335"/>
      <c r="D25" s="1335"/>
      <c r="E25" s="1335"/>
      <c r="F25" s="1335"/>
      <c r="G25" s="1335"/>
      <c r="H25" s="2207"/>
      <c r="I25" s="2633">
        <f>SUM(I26:J35)</f>
        <v>0</v>
      </c>
      <c r="J25" s="2634"/>
      <c r="K25" s="1627">
        <f>SUM(K26:K35)</f>
        <v>0</v>
      </c>
      <c r="L25" s="1627">
        <f>SUM(L26:L35)</f>
        <v>0</v>
      </c>
      <c r="M25" s="1335"/>
      <c r="N25" s="1336"/>
    </row>
    <row r="26" spans="1:15" s="10" customFormat="1" ht="18" customHeight="1">
      <c r="A26" s="1462">
        <v>1</v>
      </c>
      <c r="B26" s="556"/>
      <c r="C26" s="2641"/>
      <c r="D26" s="2642"/>
      <c r="E26" s="2641"/>
      <c r="F26" s="2642"/>
      <c r="G26" s="556"/>
      <c r="H26" s="556"/>
      <c r="I26" s="2643">
        <v>0</v>
      </c>
      <c r="J26" s="2644"/>
      <c r="K26" s="1645">
        <v>0</v>
      </c>
      <c r="L26" s="1631">
        <v>0</v>
      </c>
      <c r="M26" s="813"/>
      <c r="N26" s="557"/>
      <c r="O26" s="11"/>
    </row>
    <row r="27" spans="1:15" s="10" customFormat="1" ht="18" customHeight="1">
      <c r="A27" s="1462">
        <v>2</v>
      </c>
      <c r="B27" s="805"/>
      <c r="C27" s="2641"/>
      <c r="D27" s="2642"/>
      <c r="E27" s="2641"/>
      <c r="F27" s="2642"/>
      <c r="G27" s="805"/>
      <c r="H27" s="805"/>
      <c r="I27" s="2643">
        <v>0</v>
      </c>
      <c r="J27" s="2644"/>
      <c r="K27" s="1644">
        <v>0</v>
      </c>
      <c r="L27" s="1628">
        <v>0</v>
      </c>
      <c r="M27" s="812"/>
      <c r="N27" s="811"/>
      <c r="O27" s="11"/>
    </row>
    <row r="28" spans="1:15" s="10" customFormat="1" ht="18" customHeight="1">
      <c r="A28" s="1462">
        <v>3</v>
      </c>
      <c r="B28" s="805"/>
      <c r="C28" s="2641"/>
      <c r="D28" s="2642"/>
      <c r="E28" s="2641"/>
      <c r="F28" s="2642"/>
      <c r="G28" s="805"/>
      <c r="H28" s="805"/>
      <c r="I28" s="2643">
        <v>0</v>
      </c>
      <c r="J28" s="2644"/>
      <c r="K28" s="1644">
        <v>0</v>
      </c>
      <c r="L28" s="1628">
        <v>0</v>
      </c>
      <c r="M28" s="812"/>
      <c r="N28" s="811"/>
      <c r="O28" s="11"/>
    </row>
    <row r="29" spans="1:15" s="1461" customFormat="1" ht="18" customHeight="1">
      <c r="A29" s="1462">
        <v>4</v>
      </c>
      <c r="B29" s="805"/>
      <c r="C29" s="2641"/>
      <c r="D29" s="2642"/>
      <c r="E29" s="2641"/>
      <c r="F29" s="2642"/>
      <c r="G29" s="805"/>
      <c r="H29" s="805"/>
      <c r="I29" s="2643">
        <v>0</v>
      </c>
      <c r="J29" s="2644"/>
      <c r="K29" s="1644">
        <v>0</v>
      </c>
      <c r="L29" s="1628">
        <v>0</v>
      </c>
      <c r="M29" s="812"/>
      <c r="N29" s="811"/>
    </row>
    <row r="30" spans="1:15" s="14" customFormat="1" ht="18.75" customHeight="1">
      <c r="A30" s="1462">
        <v>5</v>
      </c>
      <c r="B30" s="805"/>
      <c r="C30" s="2641"/>
      <c r="D30" s="2642"/>
      <c r="E30" s="2641"/>
      <c r="F30" s="2642"/>
      <c r="G30" s="805"/>
      <c r="H30" s="805"/>
      <c r="I30" s="2643">
        <v>0</v>
      </c>
      <c r="J30" s="2644"/>
      <c r="K30" s="1644">
        <v>0</v>
      </c>
      <c r="L30" s="1628">
        <v>0</v>
      </c>
      <c r="M30" s="812"/>
      <c r="N30" s="811"/>
    </row>
    <row r="31" spans="1:15" s="14" customFormat="1" ht="18.75" customHeight="1">
      <c r="A31" s="1462">
        <v>6</v>
      </c>
      <c r="B31" s="805"/>
      <c r="C31" s="1458"/>
      <c r="D31" s="1459"/>
      <c r="E31" s="1458"/>
      <c r="F31" s="1459"/>
      <c r="G31" s="805"/>
      <c r="H31" s="805"/>
      <c r="I31" s="1460"/>
      <c r="J31" s="1625"/>
      <c r="K31" s="1644"/>
      <c r="L31" s="1628"/>
      <c r="M31" s="812"/>
      <c r="N31" s="811"/>
    </row>
    <row r="32" spans="1:15" s="14" customFormat="1" ht="18.75" customHeight="1">
      <c r="A32" s="1462">
        <v>7</v>
      </c>
      <c r="B32" s="805"/>
      <c r="C32" s="1458"/>
      <c r="D32" s="1459"/>
      <c r="E32" s="1458"/>
      <c r="F32" s="1459"/>
      <c r="G32" s="805"/>
      <c r="H32" s="805"/>
      <c r="I32" s="1460"/>
      <c r="J32" s="1625"/>
      <c r="K32" s="1644"/>
      <c r="L32" s="1628"/>
      <c r="M32" s="812"/>
      <c r="N32" s="811"/>
    </row>
    <row r="33" spans="1:14" s="14" customFormat="1" ht="18.75" customHeight="1">
      <c r="A33" s="1462">
        <v>8</v>
      </c>
      <c r="B33" s="805"/>
      <c r="C33" s="1458"/>
      <c r="D33" s="1459"/>
      <c r="E33" s="1458"/>
      <c r="F33" s="1459"/>
      <c r="G33" s="805"/>
      <c r="H33" s="805"/>
      <c r="I33" s="1460"/>
      <c r="J33" s="1625"/>
      <c r="K33" s="1644"/>
      <c r="L33" s="1628"/>
      <c r="M33" s="812"/>
      <c r="N33" s="811"/>
    </row>
    <row r="34" spans="1:14" s="14" customFormat="1" ht="18.75" customHeight="1">
      <c r="A34" s="1462">
        <v>9</v>
      </c>
      <c r="B34" s="805"/>
      <c r="C34" s="1458"/>
      <c r="D34" s="1459"/>
      <c r="E34" s="1458"/>
      <c r="F34" s="1459"/>
      <c r="G34" s="805"/>
      <c r="H34" s="805"/>
      <c r="I34" s="1460"/>
      <c r="J34" s="1625"/>
      <c r="K34" s="1644"/>
      <c r="L34" s="1628"/>
      <c r="M34" s="812"/>
      <c r="N34" s="811"/>
    </row>
    <row r="35" spans="1:14" s="10" customFormat="1" ht="18" customHeight="1">
      <c r="A35" s="1462">
        <v>10</v>
      </c>
      <c r="B35" s="805"/>
      <c r="C35" s="2641"/>
      <c r="D35" s="2642"/>
      <c r="E35" s="2641"/>
      <c r="F35" s="2642"/>
      <c r="G35" s="805"/>
      <c r="H35" s="805"/>
      <c r="I35" s="2643">
        <v>0</v>
      </c>
      <c r="J35" s="2644"/>
      <c r="K35" s="1644">
        <v>0</v>
      </c>
      <c r="L35" s="1628">
        <v>0</v>
      </c>
      <c r="M35" s="812"/>
      <c r="N35" s="811"/>
    </row>
    <row r="36" spans="1:14" s="10" customFormat="1" ht="18" customHeight="1">
      <c r="A36" s="11"/>
      <c r="B36" s="2208" t="s">
        <v>1997</v>
      </c>
      <c r="C36" s="11"/>
      <c r="D36" s="11"/>
      <c r="E36" s="11"/>
      <c r="F36" s="11"/>
      <c r="G36" s="11"/>
      <c r="I36" s="11"/>
      <c r="J36" s="1626"/>
      <c r="K36" s="1626"/>
      <c r="L36" s="1626"/>
      <c r="M36" s="11"/>
      <c r="N36" s="11"/>
    </row>
    <row r="37" spans="1:14" s="10" customFormat="1" ht="18" customHeight="1">
      <c r="A37" s="10" t="s">
        <v>448</v>
      </c>
      <c r="D37" s="11"/>
      <c r="E37" s="11"/>
      <c r="F37" s="11"/>
      <c r="G37" s="11"/>
      <c r="H37" s="11"/>
      <c r="I37" s="11"/>
      <c r="J37" s="1626"/>
      <c r="K37" s="1626"/>
      <c r="L37" s="1626"/>
      <c r="M37" s="11"/>
      <c r="N37" s="11"/>
    </row>
    <row r="38" spans="1:14" s="10" customFormat="1" ht="18" customHeight="1" thickBot="1">
      <c r="A38" s="10" t="s">
        <v>449</v>
      </c>
      <c r="D38" s="11"/>
      <c r="E38" s="11"/>
      <c r="F38" s="11"/>
      <c r="G38" s="11"/>
      <c r="H38" s="11"/>
      <c r="I38" s="11"/>
      <c r="J38" s="1626"/>
      <c r="K38" s="1626"/>
      <c r="L38" s="1626"/>
      <c r="M38" s="11"/>
      <c r="N38" s="11"/>
    </row>
    <row r="39" spans="1:14" s="10" customFormat="1" ht="18" customHeight="1" thickTop="1">
      <c r="A39" s="2626" t="s">
        <v>450</v>
      </c>
      <c r="B39" s="2617" t="s">
        <v>451</v>
      </c>
      <c r="C39" s="2617" t="s">
        <v>452</v>
      </c>
      <c r="D39" s="2617" t="s">
        <v>453</v>
      </c>
      <c r="E39" s="2617" t="s">
        <v>454</v>
      </c>
      <c r="F39" s="2617" t="s">
        <v>455</v>
      </c>
      <c r="G39" s="2617" t="s">
        <v>456</v>
      </c>
      <c r="H39" s="2635" t="s">
        <v>457</v>
      </c>
      <c r="I39" s="2636"/>
      <c r="J39" s="2651" t="s">
        <v>458</v>
      </c>
      <c r="K39" s="2651" t="s">
        <v>459</v>
      </c>
      <c r="L39" s="2653" t="s">
        <v>460</v>
      </c>
      <c r="M39" s="2654"/>
      <c r="N39" s="2614" t="s">
        <v>461</v>
      </c>
    </row>
    <row r="40" spans="1:14" s="10" customFormat="1" ht="18" customHeight="1">
      <c r="A40" s="2628"/>
      <c r="B40" s="2630"/>
      <c r="C40" s="2619"/>
      <c r="D40" s="2619"/>
      <c r="E40" s="2619"/>
      <c r="F40" s="2619"/>
      <c r="G40" s="2619"/>
      <c r="H40" s="2639"/>
      <c r="I40" s="2640"/>
      <c r="J40" s="2652"/>
      <c r="K40" s="2652"/>
      <c r="L40" s="1646" t="s">
        <v>462</v>
      </c>
      <c r="M40" s="552" t="s">
        <v>463</v>
      </c>
      <c r="N40" s="2616"/>
    </row>
    <row r="41" spans="1:14" s="10" customFormat="1" ht="18" customHeight="1">
      <c r="A41" s="2206"/>
      <c r="B41" s="1335" t="s">
        <v>464</v>
      </c>
      <c r="C41" s="1335"/>
      <c r="D41" s="1335"/>
      <c r="E41" s="1335"/>
      <c r="F41" s="1335"/>
      <c r="G41" s="1335"/>
      <c r="H41" s="1335"/>
      <c r="I41" s="2207"/>
      <c r="J41" s="1627">
        <f>SUM(J42:J51)</f>
        <v>0</v>
      </c>
      <c r="K41" s="1627">
        <f>SUM(K42:K51)</f>
        <v>0</v>
      </c>
      <c r="L41" s="1647">
        <f>SUM(L42:L51)</f>
        <v>0</v>
      </c>
      <c r="M41" s="1337">
        <f>SUM(M42:M51)</f>
        <v>0</v>
      </c>
      <c r="N41" s="1336"/>
    </row>
    <row r="42" spans="1:14" s="10" customFormat="1" ht="18" customHeight="1">
      <c r="A42" s="1463">
        <v>1</v>
      </c>
      <c r="B42" s="805"/>
      <c r="C42" s="805"/>
      <c r="D42" s="806"/>
      <c r="E42" s="806"/>
      <c r="F42" s="805"/>
      <c r="G42" s="805"/>
      <c r="H42" s="805"/>
      <c r="I42" s="805"/>
      <c r="J42" s="1628">
        <v>0</v>
      </c>
      <c r="K42" s="1628">
        <v>0</v>
      </c>
      <c r="L42" s="1628">
        <v>0</v>
      </c>
      <c r="M42" s="807">
        <v>0</v>
      </c>
      <c r="N42" s="811"/>
    </row>
    <row r="43" spans="1:14" s="10" customFormat="1" ht="18" customHeight="1">
      <c r="A43" s="1463">
        <v>2</v>
      </c>
      <c r="B43" s="805"/>
      <c r="C43" s="805"/>
      <c r="D43" s="806"/>
      <c r="E43" s="806"/>
      <c r="F43" s="805"/>
      <c r="G43" s="805"/>
      <c r="H43" s="808"/>
      <c r="I43" s="808"/>
      <c r="J43" s="1629">
        <v>0</v>
      </c>
      <c r="K43" s="1629">
        <v>0</v>
      </c>
      <c r="L43" s="1629">
        <v>0</v>
      </c>
      <c r="M43" s="809">
        <v>0</v>
      </c>
      <c r="N43" s="810"/>
    </row>
    <row r="44" spans="1:14" s="10" customFormat="1" ht="18" customHeight="1">
      <c r="A44" s="1470">
        <v>3</v>
      </c>
      <c r="B44" s="554"/>
      <c r="C44" s="554"/>
      <c r="D44" s="559"/>
      <c r="E44" s="559"/>
      <c r="F44" s="554"/>
      <c r="G44" s="554"/>
      <c r="H44" s="554"/>
      <c r="I44" s="554"/>
      <c r="J44" s="1630">
        <v>0</v>
      </c>
      <c r="K44" s="1630">
        <v>0</v>
      </c>
      <c r="L44" s="1630">
        <v>0</v>
      </c>
      <c r="M44" s="561">
        <v>0</v>
      </c>
      <c r="N44" s="555"/>
    </row>
    <row r="45" spans="1:14" s="10" customFormat="1" ht="18" customHeight="1">
      <c r="A45" s="1470">
        <v>4</v>
      </c>
      <c r="B45" s="554"/>
      <c r="C45" s="554"/>
      <c r="D45" s="559"/>
      <c r="E45" s="559"/>
      <c r="F45" s="554"/>
      <c r="G45" s="554"/>
      <c r="H45" s="554"/>
      <c r="I45" s="554"/>
      <c r="J45" s="1630">
        <v>0</v>
      </c>
      <c r="K45" s="1630"/>
      <c r="L45" s="1630">
        <v>0</v>
      </c>
      <c r="M45" s="561">
        <v>0</v>
      </c>
      <c r="N45" s="555"/>
    </row>
    <row r="46" spans="1:14" s="10" customFormat="1" ht="18" customHeight="1">
      <c r="A46" s="1470">
        <v>5</v>
      </c>
      <c r="B46" s="554"/>
      <c r="C46" s="554"/>
      <c r="D46" s="559"/>
      <c r="E46" s="559"/>
      <c r="F46" s="554"/>
      <c r="G46" s="554"/>
      <c r="H46" s="554"/>
      <c r="I46" s="554"/>
      <c r="J46" s="1630">
        <v>0</v>
      </c>
      <c r="K46" s="1630"/>
      <c r="L46" s="1630">
        <v>0</v>
      </c>
      <c r="M46" s="561">
        <v>0</v>
      </c>
      <c r="N46" s="555"/>
    </row>
    <row r="47" spans="1:14" s="10" customFormat="1" ht="18" customHeight="1">
      <c r="A47" s="1463">
        <v>6</v>
      </c>
      <c r="B47" s="805"/>
      <c r="C47" s="805"/>
      <c r="D47" s="806"/>
      <c r="E47" s="806"/>
      <c r="F47" s="805"/>
      <c r="G47" s="808"/>
      <c r="H47" s="808"/>
      <c r="I47" s="808"/>
      <c r="J47" s="1629"/>
      <c r="K47" s="1629"/>
      <c r="L47" s="1629"/>
      <c r="M47" s="809"/>
      <c r="N47" s="810"/>
    </row>
    <row r="48" spans="1:14" s="10" customFormat="1" ht="18" customHeight="1">
      <c r="A48" s="1463">
        <v>7</v>
      </c>
      <c r="B48" s="805"/>
      <c r="C48" s="805"/>
      <c r="D48" s="806"/>
      <c r="E48" s="806"/>
      <c r="F48" s="805"/>
      <c r="G48" s="808"/>
      <c r="H48" s="808"/>
      <c r="I48" s="808"/>
      <c r="J48" s="1629"/>
      <c r="K48" s="1629"/>
      <c r="L48" s="1629"/>
      <c r="M48" s="809"/>
      <c r="N48" s="810"/>
    </row>
    <row r="49" spans="1:17" s="10" customFormat="1" ht="18" customHeight="1">
      <c r="A49" s="1470">
        <v>8</v>
      </c>
      <c r="B49" s="805"/>
      <c r="C49" s="805"/>
      <c r="D49" s="806"/>
      <c r="E49" s="806"/>
      <c r="F49" s="805"/>
      <c r="G49" s="808"/>
      <c r="H49" s="808"/>
      <c r="I49" s="808"/>
      <c r="J49" s="1629"/>
      <c r="K49" s="1629"/>
      <c r="L49" s="1629"/>
      <c r="M49" s="809"/>
      <c r="N49" s="810"/>
    </row>
    <row r="50" spans="1:17" s="10" customFormat="1" ht="18" customHeight="1">
      <c r="A50" s="1470">
        <v>9</v>
      </c>
      <c r="B50" s="553"/>
      <c r="C50" s="553"/>
      <c r="D50" s="558"/>
      <c r="E50" s="558"/>
      <c r="F50" s="553"/>
      <c r="G50" s="805"/>
      <c r="H50" s="805"/>
      <c r="I50" s="805"/>
      <c r="J50" s="1628">
        <v>0</v>
      </c>
      <c r="K50" s="1628">
        <v>0</v>
      </c>
      <c r="L50" s="1628">
        <v>0</v>
      </c>
      <c r="M50" s="807">
        <v>0</v>
      </c>
      <c r="N50" s="811"/>
    </row>
    <row r="51" spans="1:17" s="10" customFormat="1" ht="18" customHeight="1">
      <c r="A51" s="1470">
        <v>10</v>
      </c>
      <c r="B51" s="554"/>
      <c r="C51" s="554"/>
      <c r="D51" s="559"/>
      <c r="E51" s="559"/>
      <c r="F51" s="554"/>
      <c r="G51" s="808"/>
      <c r="H51" s="808"/>
      <c r="I51" s="808"/>
      <c r="J51" s="1629">
        <v>0</v>
      </c>
      <c r="K51" s="1629">
        <v>0</v>
      </c>
      <c r="L51" s="1629">
        <v>0</v>
      </c>
      <c r="M51" s="809">
        <v>0</v>
      </c>
      <c r="N51" s="810"/>
    </row>
    <row r="52" spans="1:17" s="10" customFormat="1" ht="18" customHeight="1">
      <c r="A52" s="2206"/>
      <c r="B52" s="1335" t="s">
        <v>1999</v>
      </c>
      <c r="C52" s="1335"/>
      <c r="D52" s="1335"/>
      <c r="E52" s="1335"/>
      <c r="F52" s="1335"/>
      <c r="G52" s="1335"/>
      <c r="H52" s="1335"/>
      <c r="I52" s="2207"/>
      <c r="J52" s="1627">
        <f>SUM(J53:J62)</f>
        <v>0</v>
      </c>
      <c r="K52" s="1647">
        <f>SUM(K53:K62)</f>
        <v>0</v>
      </c>
      <c r="L52" s="1627">
        <f>SUM(L53:L62)</f>
        <v>0</v>
      </c>
      <c r="M52" s="1337">
        <f>SUM(M53:M62)</f>
        <v>0</v>
      </c>
      <c r="N52" s="1336"/>
    </row>
    <row r="53" spans="1:17" s="10" customFormat="1" ht="18" customHeight="1">
      <c r="A53" s="1469">
        <v>1</v>
      </c>
      <c r="B53" s="556"/>
      <c r="C53" s="556"/>
      <c r="D53" s="560"/>
      <c r="E53" s="560"/>
      <c r="F53" s="556"/>
      <c r="G53" s="556"/>
      <c r="H53" s="556"/>
      <c r="I53" s="556"/>
      <c r="J53" s="1631">
        <v>0</v>
      </c>
      <c r="K53" s="1631">
        <v>0</v>
      </c>
      <c r="L53" s="1631">
        <v>0</v>
      </c>
      <c r="M53" s="562">
        <v>0</v>
      </c>
      <c r="N53" s="557"/>
      <c r="O53" s="11"/>
    </row>
    <row r="54" spans="1:17" s="16" customFormat="1" ht="18" customHeight="1">
      <c r="A54" s="1469">
        <v>2</v>
      </c>
      <c r="B54" s="556"/>
      <c r="C54" s="556"/>
      <c r="D54" s="560"/>
      <c r="E54" s="560"/>
      <c r="F54" s="556"/>
      <c r="G54" s="556"/>
      <c r="H54" s="556"/>
      <c r="I54" s="556"/>
      <c r="J54" s="1631">
        <v>0</v>
      </c>
      <c r="K54" s="1631">
        <v>0</v>
      </c>
      <c r="L54" s="1631">
        <v>0</v>
      </c>
      <c r="M54" s="562">
        <v>0</v>
      </c>
      <c r="N54" s="557"/>
      <c r="O54" s="15"/>
    </row>
    <row r="55" spans="1:17" s="10" customFormat="1" ht="18" customHeight="1">
      <c r="A55" s="1469">
        <v>3</v>
      </c>
      <c r="B55" s="556"/>
      <c r="C55" s="556"/>
      <c r="D55" s="560"/>
      <c r="E55" s="560"/>
      <c r="F55" s="556"/>
      <c r="G55" s="556"/>
      <c r="H55" s="556"/>
      <c r="I55" s="556"/>
      <c r="J55" s="1631">
        <v>0</v>
      </c>
      <c r="K55" s="1631">
        <v>0</v>
      </c>
      <c r="L55" s="1631">
        <v>0</v>
      </c>
      <c r="M55" s="562">
        <v>0</v>
      </c>
      <c r="N55" s="557"/>
      <c r="O55" s="11"/>
    </row>
    <row r="56" spans="1:17" s="16" customFormat="1" ht="18" customHeight="1">
      <c r="A56" s="1469">
        <v>4</v>
      </c>
      <c r="B56" s="556"/>
      <c r="C56" s="556"/>
      <c r="D56" s="560"/>
      <c r="E56" s="560"/>
      <c r="F56" s="556"/>
      <c r="G56" s="556"/>
      <c r="H56" s="556"/>
      <c r="I56" s="556"/>
      <c r="J56" s="1631">
        <v>0</v>
      </c>
      <c r="K56" s="1631">
        <v>0</v>
      </c>
      <c r="L56" s="1631">
        <v>0</v>
      </c>
      <c r="M56" s="562">
        <v>0</v>
      </c>
      <c r="N56" s="557"/>
      <c r="O56" s="15"/>
    </row>
    <row r="57" spans="1:17" s="16" customFormat="1" ht="18" customHeight="1">
      <c r="A57" s="1469">
        <v>5</v>
      </c>
      <c r="B57" s="556"/>
      <c r="C57" s="556"/>
      <c r="D57" s="560"/>
      <c r="E57" s="560"/>
      <c r="F57" s="556"/>
      <c r="G57" s="556"/>
      <c r="H57" s="556"/>
      <c r="I57" s="556"/>
      <c r="J57" s="1631"/>
      <c r="K57" s="1631"/>
      <c r="L57" s="1631"/>
      <c r="M57" s="562"/>
      <c r="N57" s="557"/>
      <c r="O57" s="15"/>
    </row>
    <row r="58" spans="1:17" s="16" customFormat="1" ht="18" customHeight="1">
      <c r="A58" s="1469">
        <v>6</v>
      </c>
      <c r="B58" s="556"/>
      <c r="C58" s="556"/>
      <c r="D58" s="560"/>
      <c r="E58" s="560"/>
      <c r="F58" s="556"/>
      <c r="G58" s="556"/>
      <c r="H58" s="556"/>
      <c r="I58" s="556"/>
      <c r="J58" s="1631"/>
      <c r="K58" s="1631"/>
      <c r="L58" s="1631"/>
      <c r="M58" s="562"/>
      <c r="N58" s="557"/>
      <c r="O58" s="15"/>
    </row>
    <row r="59" spans="1:17" s="16" customFormat="1" ht="18" customHeight="1">
      <c r="A59" s="1469">
        <v>7</v>
      </c>
      <c r="B59" s="556"/>
      <c r="C59" s="556"/>
      <c r="D59" s="560"/>
      <c r="E59" s="560"/>
      <c r="F59" s="556"/>
      <c r="G59" s="556"/>
      <c r="H59" s="556"/>
      <c r="I59" s="556"/>
      <c r="J59" s="1631"/>
      <c r="K59" s="1631"/>
      <c r="L59" s="1631"/>
      <c r="M59" s="562"/>
      <c r="N59" s="557"/>
      <c r="O59" s="15"/>
    </row>
    <row r="60" spans="1:17" s="16" customFormat="1" ht="18" customHeight="1">
      <c r="A60" s="1469">
        <v>8</v>
      </c>
      <c r="B60" s="556"/>
      <c r="C60" s="556"/>
      <c r="D60" s="560"/>
      <c r="E60" s="560"/>
      <c r="F60" s="556"/>
      <c r="G60" s="556"/>
      <c r="H60" s="556"/>
      <c r="I60" s="556"/>
      <c r="J60" s="1631"/>
      <c r="K60" s="1631"/>
      <c r="L60" s="1631"/>
      <c r="M60" s="562"/>
      <c r="N60" s="557"/>
      <c r="O60" s="15"/>
    </row>
    <row r="61" spans="1:17" s="16" customFormat="1" ht="18" customHeight="1">
      <c r="A61" s="1469">
        <v>9</v>
      </c>
      <c r="B61" s="556"/>
      <c r="C61" s="556"/>
      <c r="D61" s="560"/>
      <c r="E61" s="560"/>
      <c r="F61" s="556"/>
      <c r="G61" s="556"/>
      <c r="H61" s="556"/>
      <c r="I61" s="556"/>
      <c r="J61" s="1631"/>
      <c r="K61" s="1631"/>
      <c r="L61" s="1631"/>
      <c r="M61" s="562"/>
      <c r="N61" s="557"/>
      <c r="O61" s="15"/>
    </row>
    <row r="62" spans="1:17" s="17" customFormat="1" ht="18" customHeight="1">
      <c r="A62" s="1469">
        <v>10</v>
      </c>
      <c r="B62" s="556"/>
      <c r="C62" s="556"/>
      <c r="D62" s="560"/>
      <c r="E62" s="560"/>
      <c r="F62" s="556"/>
      <c r="G62" s="556"/>
      <c r="H62" s="556"/>
      <c r="I62" s="556"/>
      <c r="J62" s="1631">
        <v>0</v>
      </c>
      <c r="K62" s="1631">
        <v>0</v>
      </c>
      <c r="L62" s="1631">
        <v>0</v>
      </c>
      <c r="M62" s="562">
        <v>0</v>
      </c>
      <c r="N62" s="557"/>
      <c r="O62" s="18"/>
      <c r="P62" s="18"/>
      <c r="Q62" s="18"/>
    </row>
    <row r="63" spans="1:17" s="1210" customFormat="1" ht="18.75" customHeight="1">
      <c r="A63" s="1464"/>
      <c r="B63" s="1216"/>
      <c r="C63" s="1216"/>
      <c r="D63" s="1216"/>
      <c r="E63" s="1216"/>
      <c r="F63" s="1217"/>
      <c r="G63" s="1217"/>
      <c r="H63" s="1217"/>
      <c r="I63" s="1217"/>
      <c r="J63" s="1632"/>
      <c r="K63" s="1632"/>
      <c r="L63" s="1632"/>
      <c r="M63" s="1218"/>
      <c r="N63" s="1217"/>
      <c r="O63" s="1219"/>
    </row>
    <row r="64" spans="1:17" s="1205" customFormat="1">
      <c r="A64" s="1220" t="s">
        <v>465</v>
      </c>
      <c r="B64" s="815"/>
      <c r="C64" s="815"/>
      <c r="D64" s="815"/>
      <c r="E64" s="815"/>
      <c r="F64" s="815"/>
      <c r="G64" s="815"/>
      <c r="H64" s="815"/>
      <c r="I64" s="815"/>
      <c r="J64" s="1622"/>
      <c r="K64" s="1622"/>
      <c r="L64" s="1622"/>
      <c r="M64" s="815"/>
      <c r="N64" s="815"/>
      <c r="O64" s="1221"/>
    </row>
    <row r="65" spans="1:15" s="1205" customFormat="1">
      <c r="A65" s="1222" t="s">
        <v>397</v>
      </c>
      <c r="B65" s="1223"/>
      <c r="C65" s="1223"/>
      <c r="D65" s="1223"/>
      <c r="E65" s="1223"/>
      <c r="F65" s="1223"/>
      <c r="G65" s="1223"/>
      <c r="H65" s="1223"/>
      <c r="I65" s="1223"/>
      <c r="J65" s="1633"/>
      <c r="K65" s="1633"/>
      <c r="L65" s="2625" t="s">
        <v>466</v>
      </c>
      <c r="M65" s="2625"/>
      <c r="N65" s="2625"/>
      <c r="O65" s="1221"/>
    </row>
    <row r="66" spans="1:15" s="1205" customFormat="1">
      <c r="A66" s="1468"/>
      <c r="B66" s="1466" t="s">
        <v>937</v>
      </c>
      <c r="C66" s="1466"/>
      <c r="D66" s="815"/>
      <c r="E66" s="815"/>
      <c r="F66" s="815"/>
      <c r="G66" s="815"/>
      <c r="H66" s="815"/>
      <c r="I66" s="814"/>
      <c r="J66" s="1622"/>
      <c r="K66" s="1622"/>
      <c r="L66" s="2624" t="s">
        <v>398</v>
      </c>
      <c r="M66" s="2624"/>
      <c r="N66" s="2624"/>
      <c r="O66" s="1221"/>
    </row>
    <row r="67" spans="1:15" s="1205" customFormat="1" ht="21" customHeight="1">
      <c r="A67" s="1465"/>
      <c r="B67" s="1466" t="s">
        <v>1983</v>
      </c>
      <c r="C67" s="1466"/>
      <c r="D67" s="1224"/>
      <c r="E67" s="2650" t="s">
        <v>467</v>
      </c>
      <c r="F67" s="2650"/>
      <c r="G67" s="1224"/>
      <c r="H67" s="1224"/>
      <c r="I67" s="1224"/>
      <c r="J67" s="1634" t="s">
        <v>468</v>
      </c>
      <c r="K67" s="1633"/>
      <c r="L67" s="2625" t="s">
        <v>469</v>
      </c>
      <c r="M67" s="2625"/>
      <c r="N67" s="2625"/>
      <c r="O67" s="1221"/>
    </row>
    <row r="68" spans="1:15" s="1205" customFormat="1" ht="21" customHeight="1">
      <c r="A68" s="1465"/>
      <c r="B68" s="1467" t="s">
        <v>1982</v>
      </c>
      <c r="C68" s="1467"/>
      <c r="D68" s="1226"/>
      <c r="E68" s="2611" t="s">
        <v>470</v>
      </c>
      <c r="F68" s="2611"/>
      <c r="G68" s="1226"/>
      <c r="H68" s="1226"/>
      <c r="I68" s="1226"/>
      <c r="J68" s="1635" t="s">
        <v>403</v>
      </c>
      <c r="K68" s="1635"/>
      <c r="L68" s="2624" t="s">
        <v>471</v>
      </c>
      <c r="M68" s="2624"/>
      <c r="N68" s="2624"/>
      <c r="O68" s="1221"/>
    </row>
    <row r="69" spans="1:15" s="1205" customFormat="1">
      <c r="A69" s="1465"/>
      <c r="B69" s="1466" t="s">
        <v>1981</v>
      </c>
      <c r="C69" s="1466"/>
      <c r="D69" s="1227"/>
      <c r="E69" s="2611"/>
      <c r="F69" s="2611"/>
      <c r="G69" s="1225"/>
      <c r="H69" s="1225"/>
      <c r="I69" s="1225"/>
      <c r="J69" s="1636"/>
      <c r="K69" s="1636"/>
      <c r="L69" s="2612"/>
      <c r="M69" s="2612"/>
      <c r="N69" s="2612"/>
      <c r="O69" s="1221"/>
    </row>
    <row r="70" spans="1:15" s="1205" customFormat="1">
      <c r="A70" s="1465"/>
      <c r="B70" s="1466" t="s">
        <v>1980</v>
      </c>
      <c r="C70" s="1466"/>
      <c r="D70" s="1227"/>
      <c r="E70" s="2611"/>
      <c r="F70" s="2611"/>
      <c r="G70" s="1225"/>
      <c r="H70" s="1225"/>
      <c r="I70" s="1225"/>
      <c r="J70" s="1636"/>
      <c r="K70" s="1636"/>
      <c r="L70" s="2612"/>
      <c r="M70" s="2612"/>
      <c r="N70" s="2612"/>
      <c r="O70" s="1221"/>
    </row>
    <row r="71" spans="1:15" s="1205" customFormat="1">
      <c r="A71" s="1465"/>
      <c r="B71" s="1466" t="s">
        <v>1979</v>
      </c>
      <c r="C71" s="1466"/>
      <c r="D71" s="1221"/>
      <c r="E71" s="2611"/>
      <c r="F71" s="2611"/>
      <c r="G71" s="1221"/>
      <c r="H71" s="1221"/>
      <c r="I71" s="1221"/>
      <c r="J71" s="1636"/>
      <c r="K71" s="1648"/>
      <c r="L71" s="2612"/>
      <c r="M71" s="2612"/>
      <c r="N71" s="2612"/>
      <c r="O71" s="1221"/>
    </row>
    <row r="72" spans="1:15" ht="21" customHeight="1">
      <c r="A72" s="1465"/>
      <c r="B72" s="7" t="s">
        <v>1978</v>
      </c>
      <c r="C72" s="1466"/>
      <c r="D72" s="19"/>
      <c r="E72" s="19"/>
      <c r="F72" s="12"/>
      <c r="G72" s="1461"/>
      <c r="H72" s="1461"/>
      <c r="I72" s="19"/>
      <c r="J72" s="1636"/>
      <c r="K72" s="1649"/>
      <c r="L72" s="1650"/>
      <c r="M72" s="2613"/>
      <c r="N72" s="2613"/>
    </row>
    <row r="73" spans="1:15" ht="21" customHeight="1">
      <c r="A73" s="1465"/>
      <c r="B73" s="7" t="s">
        <v>812</v>
      </c>
      <c r="C73" s="1466"/>
      <c r="D73" s="19"/>
      <c r="E73" s="19"/>
      <c r="F73" s="19"/>
      <c r="G73" s="19"/>
      <c r="H73" s="19"/>
      <c r="I73" s="19"/>
      <c r="J73" s="1636"/>
      <c r="K73" s="1649"/>
      <c r="L73" s="1649"/>
      <c r="M73" s="19"/>
      <c r="N73" s="19"/>
    </row>
    <row r="74" spans="1:15">
      <c r="A74" s="1465"/>
      <c r="B74" s="8"/>
      <c r="E74" s="2610"/>
      <c r="F74" s="2610"/>
      <c r="J74" s="1636"/>
      <c r="L74" s="2610"/>
      <c r="M74" s="2610"/>
      <c r="N74" s="2610"/>
    </row>
    <row r="75" spans="1:15">
      <c r="A75" s="1465"/>
      <c r="B75" s="8"/>
      <c r="E75" s="2610"/>
      <c r="F75" s="2610"/>
      <c r="J75" s="1636"/>
      <c r="L75" s="2610"/>
      <c r="M75" s="2610"/>
      <c r="N75" s="2610"/>
    </row>
    <row r="76" spans="1:15">
      <c r="E76" s="2610"/>
      <c r="F76" s="2610"/>
      <c r="J76" s="1636"/>
      <c r="L76" s="2610"/>
      <c r="M76" s="2610"/>
      <c r="N76" s="2610"/>
    </row>
    <row r="77" spans="1:15">
      <c r="E77" s="2610"/>
      <c r="F77" s="2610"/>
      <c r="J77" s="1636"/>
      <c r="L77" s="2610"/>
      <c r="M77" s="2610"/>
      <c r="N77" s="2610"/>
    </row>
    <row r="78" spans="1:15"/>
    <row r="79" spans="1:15"/>
    <row r="80" spans="1:15"/>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sheetData>
  <sheetProtection password="C5F7" sheet="1" objects="1" scenarios="1" formatCells="0" formatColumns="0" formatRows="0" insertColumns="0" insertRows="0" deleteRows="0"/>
  <protectedRanges>
    <protectedRange password="CF0E" sqref="A7" name="Range1"/>
  </protectedRanges>
  <mergeCells count="96">
    <mergeCell ref="C19:D19"/>
    <mergeCell ref="E19:F19"/>
    <mergeCell ref="I19:J19"/>
    <mergeCell ref="I17:J17"/>
    <mergeCell ref="C18:D18"/>
    <mergeCell ref="E18:F18"/>
    <mergeCell ref="I18:J18"/>
    <mergeCell ref="C35:D35"/>
    <mergeCell ref="E26:F26"/>
    <mergeCell ref="C26:D26"/>
    <mergeCell ref="I26:J26"/>
    <mergeCell ref="C30:D30"/>
    <mergeCell ref="C27:D27"/>
    <mergeCell ref="E27:F27"/>
    <mergeCell ref="I27:J27"/>
    <mergeCell ref="E35:F35"/>
    <mergeCell ref="I35:J35"/>
    <mergeCell ref="C28:D28"/>
    <mergeCell ref="E28:F28"/>
    <mergeCell ref="I28:J28"/>
    <mergeCell ref="E30:F30"/>
    <mergeCell ref="I30:J30"/>
    <mergeCell ref="C29:D29"/>
    <mergeCell ref="A39:A40"/>
    <mergeCell ref="B39:B40"/>
    <mergeCell ref="J39:J40"/>
    <mergeCell ref="E39:E40"/>
    <mergeCell ref="D39:D40"/>
    <mergeCell ref="C39:C40"/>
    <mergeCell ref="E68:F68"/>
    <mergeCell ref="E67:F67"/>
    <mergeCell ref="H39:I40"/>
    <mergeCell ref="K39:K40"/>
    <mergeCell ref="L39:M39"/>
    <mergeCell ref="L67:N67"/>
    <mergeCell ref="N39:N40"/>
    <mergeCell ref="L66:N66"/>
    <mergeCell ref="G39:G40"/>
    <mergeCell ref="F39:F40"/>
    <mergeCell ref="I15:J15"/>
    <mergeCell ref="I11:J13"/>
    <mergeCell ref="G11:G13"/>
    <mergeCell ref="H11:H13"/>
    <mergeCell ref="E11:F13"/>
    <mergeCell ref="E15:F15"/>
    <mergeCell ref="I20:J20"/>
    <mergeCell ref="E22:F22"/>
    <mergeCell ref="E29:F29"/>
    <mergeCell ref="I29:J29"/>
    <mergeCell ref="I16:J16"/>
    <mergeCell ref="E24:F24"/>
    <mergeCell ref="I24:J24"/>
    <mergeCell ref="I22:J22"/>
    <mergeCell ref="M1:N1"/>
    <mergeCell ref="A5:N5"/>
    <mergeCell ref="A4:N4"/>
    <mergeCell ref="A3:N3"/>
    <mergeCell ref="A2:N2"/>
    <mergeCell ref="A11:A13"/>
    <mergeCell ref="B11:B13"/>
    <mergeCell ref="I14:J14"/>
    <mergeCell ref="I25:J25"/>
    <mergeCell ref="C11:D13"/>
    <mergeCell ref="C15:D15"/>
    <mergeCell ref="C16:D16"/>
    <mergeCell ref="E16:F16"/>
    <mergeCell ref="C21:D21"/>
    <mergeCell ref="E21:F21"/>
    <mergeCell ref="I21:J21"/>
    <mergeCell ref="C20:D20"/>
    <mergeCell ref="E20:F20"/>
    <mergeCell ref="C17:D17"/>
    <mergeCell ref="E17:F17"/>
    <mergeCell ref="C24:D24"/>
    <mergeCell ref="N11:N13"/>
    <mergeCell ref="M11:M13"/>
    <mergeCell ref="K11:L11"/>
    <mergeCell ref="L12:L13"/>
    <mergeCell ref="L76:N76"/>
    <mergeCell ref="L68:N68"/>
    <mergeCell ref="L65:N65"/>
    <mergeCell ref="K12:K13"/>
    <mergeCell ref="L77:N77"/>
    <mergeCell ref="E69:F69"/>
    <mergeCell ref="E70:F70"/>
    <mergeCell ref="E71:F71"/>
    <mergeCell ref="E74:F74"/>
    <mergeCell ref="E75:F75"/>
    <mergeCell ref="L69:N69"/>
    <mergeCell ref="L70:N70"/>
    <mergeCell ref="L71:N71"/>
    <mergeCell ref="L74:N74"/>
    <mergeCell ref="L75:N75"/>
    <mergeCell ref="M72:N72"/>
    <mergeCell ref="E76:F76"/>
    <mergeCell ref="E77:F77"/>
  </mergeCells>
  <dataValidations count="2">
    <dataValidation type="list" allowBlank="1" showInputMessage="1" showErrorMessage="1" sqref="B42:B51 B53:B62 B15:B24 B26:B35">
      <formula1>$B$67:$B$73</formula1>
    </dataValidation>
    <dataValidation type="decimal" operator="greaterThanOrEqual" allowBlank="1" showInputMessage="1" showErrorMessage="1" errorTitle="Validation Rule" error="Allow only number" sqref="J42:M51 I15:L24 I26:I35 K26:L35 J53:M63">
      <formula1>0</formula1>
    </dataValidation>
  </dataValidations>
  <pageMargins left="0" right="0" top="0" bottom="0" header="0" footer="0"/>
  <pageSetup paperSize="9" scale="60" orientation="landscape" r:id="rId1"/>
  <headerFooter alignWithMargins="0">
    <oddFooter>&amp;L&amp;D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O32"/>
  <sheetViews>
    <sheetView showGridLines="0" topLeftCell="A7" zoomScale="120" zoomScaleNormal="120" workbookViewId="0">
      <selection activeCell="H13" sqref="H13:H15"/>
    </sheetView>
  </sheetViews>
  <sheetFormatPr defaultColWidth="0" defaultRowHeight="15" zeroHeight="1"/>
  <cols>
    <col min="1" max="1" width="2.5703125" style="1213" customWidth="1"/>
    <col min="2" max="5" width="3.5703125" style="1213" customWidth="1"/>
    <col min="6" max="6" width="17.28515625" style="1213" customWidth="1"/>
    <col min="7" max="7" width="33.85546875" style="1213" customWidth="1"/>
    <col min="8" max="8" width="17.7109375" style="1642" customWidth="1"/>
    <col min="9" max="10" width="17" style="1642" customWidth="1"/>
    <col min="11" max="11" width="9.140625" style="1213" customWidth="1"/>
    <col min="12" max="16384" width="0" style="1213" hidden="1"/>
  </cols>
  <sheetData>
    <row r="1" spans="1:15" s="20" customFormat="1" ht="26.25" customHeight="1">
      <c r="A1" s="2670" t="s">
        <v>473</v>
      </c>
      <c r="B1" s="2670"/>
      <c r="C1" s="2670"/>
      <c r="D1" s="2670"/>
      <c r="E1" s="2670"/>
      <c r="F1" s="2670"/>
      <c r="G1" s="2670"/>
      <c r="H1" s="2670"/>
      <c r="I1" s="2670"/>
      <c r="J1" s="2670"/>
    </row>
    <row r="2" spans="1:15" s="20" customFormat="1" ht="14.25" customHeight="1">
      <c r="A2" s="2671" t="s">
        <v>474</v>
      </c>
      <c r="B2" s="2671"/>
      <c r="C2" s="2671"/>
      <c r="D2" s="2671"/>
      <c r="E2" s="2671"/>
      <c r="F2" s="2671"/>
      <c r="G2" s="2671"/>
      <c r="H2" s="2671"/>
      <c r="I2" s="2671"/>
      <c r="J2" s="2671"/>
      <c r="K2" s="21"/>
      <c r="L2" s="21"/>
      <c r="M2" s="21"/>
      <c r="N2" s="21"/>
      <c r="O2" s="21"/>
    </row>
    <row r="3" spans="1:15" s="1229" customFormat="1" ht="15" customHeight="1">
      <c r="A3" s="2647" t="s">
        <v>475</v>
      </c>
      <c r="B3" s="2647"/>
      <c r="C3" s="2647"/>
      <c r="D3" s="2647"/>
      <c r="E3" s="2647"/>
      <c r="F3" s="2647"/>
      <c r="G3" s="2647"/>
      <c r="H3" s="2647"/>
      <c r="I3" s="2647"/>
      <c r="J3" s="2647"/>
      <c r="K3" s="1228"/>
      <c r="L3" s="1228"/>
      <c r="M3" s="1228"/>
      <c r="N3" s="1228"/>
      <c r="O3" s="1228"/>
    </row>
    <row r="4" spans="1:15" s="1229" customFormat="1" ht="11.25" customHeight="1">
      <c r="A4" s="2672" t="s">
        <v>360</v>
      </c>
      <c r="B4" s="2672"/>
      <c r="C4" s="2672"/>
      <c r="D4" s="2672"/>
      <c r="E4" s="2672"/>
      <c r="F4" s="2672"/>
      <c r="G4" s="2672"/>
      <c r="H4" s="2672"/>
      <c r="I4" s="2672"/>
      <c r="J4" s="2672"/>
      <c r="K4" s="1230"/>
      <c r="L4" s="1230"/>
      <c r="M4" s="1230"/>
      <c r="N4" s="1230"/>
      <c r="O4" s="1230"/>
    </row>
    <row r="5" spans="1:15" s="1229" customFormat="1" ht="20.100000000000001" customHeight="1">
      <c r="A5" s="841"/>
      <c r="B5" s="1231"/>
      <c r="C5" s="1231"/>
      <c r="D5" s="1231"/>
      <c r="E5" s="1231"/>
      <c r="F5" s="841"/>
      <c r="G5" s="841"/>
      <c r="H5" s="1651"/>
      <c r="I5" s="1652"/>
      <c r="J5" s="1653"/>
      <c r="K5" s="1230"/>
      <c r="L5" s="1230"/>
      <c r="M5" s="1230"/>
      <c r="N5" s="1230"/>
      <c r="O5" s="1230"/>
    </row>
    <row r="6" spans="1:15" s="1229" customFormat="1" ht="20.100000000000001" customHeight="1">
      <c r="A6" s="317" t="s">
        <v>476</v>
      </c>
      <c r="B6" s="318"/>
      <c r="C6" s="318"/>
      <c r="D6" s="318"/>
      <c r="E6" s="2676"/>
      <c r="F6" s="2676"/>
      <c r="G6" s="814"/>
      <c r="H6" s="1652"/>
      <c r="I6" s="1654"/>
      <c r="J6" s="1655" t="s">
        <v>858</v>
      </c>
    </row>
    <row r="7" spans="1:15" s="1229" customFormat="1" ht="16.5" customHeight="1">
      <c r="A7" s="318" t="s">
        <v>362</v>
      </c>
      <c r="B7" s="318"/>
      <c r="C7" s="318"/>
      <c r="D7" s="318"/>
      <c r="E7" s="2676"/>
      <c r="F7" s="2676"/>
      <c r="G7" s="1233" t="s">
        <v>924</v>
      </c>
      <c r="H7" s="1656">
        <v>4000</v>
      </c>
      <c r="I7" s="1657" t="s">
        <v>431</v>
      </c>
      <c r="J7" s="1658" t="s">
        <v>477</v>
      </c>
    </row>
    <row r="8" spans="1:15" s="1229" customFormat="1" ht="13.5" customHeight="1" thickBot="1">
      <c r="A8" s="1234"/>
      <c r="B8" s="1234"/>
      <c r="C8" s="1234"/>
      <c r="D8" s="1234"/>
      <c r="E8" s="1234"/>
      <c r="F8" s="1234"/>
      <c r="G8" s="1235" t="s">
        <v>617</v>
      </c>
      <c r="H8" s="1659">
        <v>4000</v>
      </c>
      <c r="I8" s="1660" t="s">
        <v>433</v>
      </c>
      <c r="J8" s="1658" t="s">
        <v>478</v>
      </c>
    </row>
    <row r="9" spans="1:15" s="22" customFormat="1" ht="36.75" customHeight="1" thickTop="1">
      <c r="A9" s="2673" t="s">
        <v>479</v>
      </c>
      <c r="B9" s="2674"/>
      <c r="C9" s="2674"/>
      <c r="D9" s="2674"/>
      <c r="E9" s="2674"/>
      <c r="F9" s="2674"/>
      <c r="G9" s="2675"/>
      <c r="H9" s="1661" t="s">
        <v>1854</v>
      </c>
      <c r="I9" s="1662" t="s">
        <v>480</v>
      </c>
      <c r="J9" s="1663" t="s">
        <v>481</v>
      </c>
    </row>
    <row r="10" spans="1:15" s="20" customFormat="1" ht="37.5" customHeight="1" thickBot="1">
      <c r="A10" s="2657" t="s">
        <v>482</v>
      </c>
      <c r="B10" s="2658"/>
      <c r="C10" s="2658"/>
      <c r="D10" s="2658"/>
      <c r="E10" s="2658"/>
      <c r="F10" s="2658"/>
      <c r="G10" s="2659"/>
      <c r="H10" s="1664" t="s">
        <v>1855</v>
      </c>
      <c r="I10" s="1665" t="s">
        <v>484</v>
      </c>
      <c r="J10" s="1666" t="s">
        <v>485</v>
      </c>
    </row>
    <row r="11" spans="1:15" s="23" customFormat="1" ht="20.100000000000001" customHeight="1">
      <c r="A11" s="309" t="s">
        <v>486</v>
      </c>
      <c r="B11" s="310"/>
      <c r="C11" s="310"/>
      <c r="D11" s="310"/>
      <c r="E11" s="310"/>
      <c r="F11" s="310"/>
      <c r="G11" s="310"/>
      <c r="H11" s="1667">
        <f xml:space="preserve"> H12+H15</f>
        <v>0</v>
      </c>
      <c r="I11" s="1668">
        <f xml:space="preserve"> I12+I15</f>
        <v>0</v>
      </c>
      <c r="J11" s="1669">
        <f>I11+H11</f>
        <v>0</v>
      </c>
    </row>
    <row r="12" spans="1:15" s="20" customFormat="1" ht="20.100000000000001" customHeight="1">
      <c r="A12" s="311"/>
      <c r="B12" s="312" t="s">
        <v>487</v>
      </c>
      <c r="C12" s="312"/>
      <c r="D12" s="312"/>
      <c r="E12" s="312"/>
      <c r="F12" s="312"/>
      <c r="G12" s="313"/>
      <c r="H12" s="1670">
        <f>SUM(H13:H14)</f>
        <v>0</v>
      </c>
      <c r="I12" s="1671">
        <f>SUM(I13:I14)</f>
        <v>0</v>
      </c>
      <c r="J12" s="1672">
        <f t="shared" ref="J12:J20" si="0">I12+H12</f>
        <v>0</v>
      </c>
    </row>
    <row r="13" spans="1:15" s="20" customFormat="1" ht="20.100000000000001" customHeight="1">
      <c r="A13" s="311"/>
      <c r="B13" s="312"/>
      <c r="C13" s="312"/>
      <c r="D13" s="312"/>
      <c r="E13" s="312"/>
      <c r="F13" s="312" t="s">
        <v>488</v>
      </c>
      <c r="G13" s="313"/>
      <c r="H13" s="1673"/>
      <c r="I13" s="1674"/>
      <c r="J13" s="1672">
        <f t="shared" si="0"/>
        <v>0</v>
      </c>
    </row>
    <row r="14" spans="1:15" s="20" customFormat="1" ht="20.100000000000001" customHeight="1">
      <c r="A14" s="311"/>
      <c r="B14" s="312"/>
      <c r="C14" s="312"/>
      <c r="D14" s="312"/>
      <c r="E14" s="312"/>
      <c r="F14" s="312" t="s">
        <v>489</v>
      </c>
      <c r="G14" s="313"/>
      <c r="H14" s="1673"/>
      <c r="I14" s="1674"/>
      <c r="J14" s="1672">
        <f t="shared" si="0"/>
        <v>0</v>
      </c>
    </row>
    <row r="15" spans="1:15" s="20" customFormat="1" ht="20.100000000000001" customHeight="1">
      <c r="A15" s="311"/>
      <c r="B15" s="312" t="s">
        <v>490</v>
      </c>
      <c r="C15" s="312"/>
      <c r="D15" s="312"/>
      <c r="E15" s="312"/>
      <c r="F15" s="312"/>
      <c r="G15" s="313"/>
      <c r="H15" s="1673"/>
      <c r="I15" s="1674"/>
      <c r="J15" s="1672">
        <f t="shared" si="0"/>
        <v>0</v>
      </c>
    </row>
    <row r="16" spans="1:15" s="23" customFormat="1" ht="20.100000000000001" customHeight="1">
      <c r="A16" s="314" t="s">
        <v>491</v>
      </c>
      <c r="B16" s="315"/>
      <c r="C16" s="315"/>
      <c r="D16" s="315"/>
      <c r="E16" s="315"/>
      <c r="F16" s="315"/>
      <c r="G16" s="316"/>
      <c r="H16" s="1670">
        <f>SUM(H17:H20)</f>
        <v>0</v>
      </c>
      <c r="I16" s="1671">
        <f>SUM(I17:I20)</f>
        <v>0</v>
      </c>
      <c r="J16" s="1672">
        <f t="shared" si="0"/>
        <v>0</v>
      </c>
    </row>
    <row r="17" spans="1:11" s="20" customFormat="1" ht="20.100000000000001" customHeight="1">
      <c r="A17" s="311"/>
      <c r="B17" s="312" t="s">
        <v>492</v>
      </c>
      <c r="C17" s="312"/>
      <c r="D17" s="312"/>
      <c r="E17" s="312"/>
      <c r="F17" s="312"/>
      <c r="G17" s="313"/>
      <c r="H17" s="1673"/>
      <c r="I17" s="1674"/>
      <c r="J17" s="1672">
        <f t="shared" si="0"/>
        <v>0</v>
      </c>
    </row>
    <row r="18" spans="1:11" s="20" customFormat="1" ht="20.100000000000001" customHeight="1">
      <c r="A18" s="311"/>
      <c r="B18" s="2660" t="s">
        <v>493</v>
      </c>
      <c r="C18" s="2660"/>
      <c r="D18" s="2660"/>
      <c r="E18" s="2660"/>
      <c r="F18" s="2660"/>
      <c r="G18" s="2661"/>
      <c r="H18" s="1673"/>
      <c r="I18" s="1674"/>
      <c r="J18" s="1672">
        <f t="shared" si="0"/>
        <v>0</v>
      </c>
    </row>
    <row r="19" spans="1:11" s="20" customFormat="1" ht="35.25" customHeight="1">
      <c r="A19" s="311"/>
      <c r="B19" s="2660" t="s">
        <v>494</v>
      </c>
      <c r="C19" s="2660"/>
      <c r="D19" s="2660"/>
      <c r="E19" s="2660"/>
      <c r="F19" s="2660"/>
      <c r="G19" s="2661"/>
      <c r="H19" s="1673"/>
      <c r="I19" s="1674"/>
      <c r="J19" s="1672">
        <f t="shared" si="0"/>
        <v>0</v>
      </c>
    </row>
    <row r="20" spans="1:11" s="20" customFormat="1" ht="20.100000000000001" customHeight="1">
      <c r="A20" s="311"/>
      <c r="B20" s="2664" t="s">
        <v>495</v>
      </c>
      <c r="C20" s="2664"/>
      <c r="D20" s="2664"/>
      <c r="E20" s="2664"/>
      <c r="F20" s="2664"/>
      <c r="G20" s="2665"/>
      <c r="H20" s="1673"/>
      <c r="I20" s="1674"/>
      <c r="J20" s="1672">
        <f t="shared" si="0"/>
        <v>0</v>
      </c>
    </row>
    <row r="21" spans="1:11" s="24" customFormat="1" ht="33" customHeight="1" thickBot="1">
      <c r="A21" s="2666" t="s">
        <v>196</v>
      </c>
      <c r="B21" s="2667"/>
      <c r="C21" s="2667"/>
      <c r="D21" s="2667"/>
      <c r="E21" s="2667"/>
      <c r="F21" s="2667"/>
      <c r="G21" s="2668"/>
      <c r="H21" s="1675" t="e">
        <f>H16/H11</f>
        <v>#DIV/0!</v>
      </c>
      <c r="I21" s="1676" t="e">
        <f>I16/I11</f>
        <v>#DIV/0!</v>
      </c>
      <c r="J21" s="1677" t="e">
        <f>sn_local_uses_of_funds_t/sn_locally_collected_t</f>
        <v>#DIV/0!</v>
      </c>
    </row>
    <row r="22" spans="1:11" s="1229" customFormat="1" ht="20.100000000000001" customHeight="1" thickTop="1">
      <c r="A22" s="1220" t="s">
        <v>465</v>
      </c>
      <c r="B22" s="1236"/>
      <c r="C22" s="1236"/>
      <c r="D22" s="1236"/>
      <c r="E22" s="1236"/>
      <c r="F22" s="1236"/>
      <c r="G22" s="1236"/>
      <c r="H22" s="1678"/>
      <c r="I22" s="1678"/>
      <c r="J22" s="1678"/>
    </row>
    <row r="23" spans="1:11" s="1229" customFormat="1" ht="18.75" customHeight="1">
      <c r="A23" s="1222" t="s">
        <v>397</v>
      </c>
      <c r="B23" s="1236"/>
      <c r="C23" s="1236"/>
      <c r="D23" s="1236"/>
      <c r="E23" s="1236"/>
      <c r="F23" s="1236"/>
      <c r="G23" s="1236"/>
      <c r="H23" s="1678"/>
      <c r="I23" s="2655" t="s">
        <v>496</v>
      </c>
      <c r="J23" s="2655"/>
      <c r="K23" s="1237"/>
    </row>
    <row r="24" spans="1:11" s="1229" customFormat="1" ht="12.75" customHeight="1">
      <c r="A24" s="1238"/>
      <c r="B24" s="1238"/>
      <c r="C24" s="1238"/>
      <c r="D24" s="1238"/>
      <c r="E24" s="1238"/>
      <c r="F24" s="1238"/>
      <c r="G24" s="1238"/>
      <c r="H24" s="1654"/>
      <c r="I24" s="2656" t="s">
        <v>398</v>
      </c>
      <c r="J24" s="2656"/>
      <c r="K24" s="1239"/>
    </row>
    <row r="25" spans="1:11" s="1242" customFormat="1" ht="19.5" customHeight="1">
      <c r="A25" s="1204"/>
      <c r="B25" s="2662" t="s">
        <v>399</v>
      </c>
      <c r="C25" s="2662"/>
      <c r="D25" s="2662"/>
      <c r="E25" s="2662"/>
      <c r="F25" s="2662"/>
      <c r="G25" s="1240" t="s">
        <v>468</v>
      </c>
      <c r="H25" s="1679"/>
      <c r="I25" s="2669" t="s">
        <v>469</v>
      </c>
      <c r="J25" s="2669"/>
      <c r="K25" s="1241"/>
    </row>
    <row r="26" spans="1:11" s="1229" customFormat="1" ht="12" customHeight="1">
      <c r="A26" s="1238"/>
      <c r="B26" s="2663" t="s">
        <v>402</v>
      </c>
      <c r="C26" s="2663"/>
      <c r="D26" s="2663"/>
      <c r="E26" s="2663"/>
      <c r="F26" s="2663"/>
      <c r="G26" s="1243" t="s">
        <v>497</v>
      </c>
      <c r="H26" s="1680"/>
      <c r="I26" s="2656" t="s">
        <v>471</v>
      </c>
      <c r="J26" s="2656"/>
      <c r="K26" s="1239"/>
    </row>
    <row r="27" spans="1:11" s="1229" customFormat="1" ht="20.100000000000001" customHeight="1">
      <c r="A27" s="1238"/>
      <c r="B27" s="1238"/>
      <c r="C27" s="1238"/>
      <c r="D27" s="1238"/>
      <c r="E27" s="1238"/>
      <c r="F27" s="814"/>
      <c r="H27" s="1680"/>
      <c r="I27" s="1680"/>
      <c r="J27" s="1680"/>
    </row>
    <row r="28" spans="1:11" s="1229" customFormat="1" ht="13.5" customHeight="1">
      <c r="A28" s="1238"/>
      <c r="B28" s="1238"/>
      <c r="C28" s="1238"/>
      <c r="D28" s="1238"/>
      <c r="E28" s="1238"/>
      <c r="F28" s="1238"/>
      <c r="H28" s="1680"/>
      <c r="I28" s="1680"/>
      <c r="J28" s="1680"/>
    </row>
    <row r="29" spans="1:11" s="1229" customFormat="1" ht="20.25" customHeight="1">
      <c r="A29" s="1238"/>
      <c r="B29" s="1238"/>
      <c r="C29" s="1238"/>
      <c r="D29" s="1238"/>
      <c r="E29" s="1238"/>
      <c r="F29" s="1238"/>
      <c r="G29" s="1238"/>
      <c r="H29" s="1680"/>
      <c r="I29" s="1680"/>
      <c r="J29" s="1680"/>
    </row>
    <row r="30" spans="1:11" s="1229" customFormat="1" ht="13.5" hidden="1" customHeight="1">
      <c r="A30" s="1238"/>
      <c r="B30" s="1238"/>
      <c r="C30" s="1238"/>
      <c r="D30" s="1238"/>
      <c r="E30" s="1238"/>
      <c r="F30" s="1238"/>
      <c r="G30" s="1238"/>
      <c r="H30" s="1680"/>
      <c r="I30" s="1680"/>
      <c r="J30" s="1680"/>
    </row>
    <row r="31" spans="1:11" s="1229" customFormat="1" ht="19.5" hidden="1" customHeight="1">
      <c r="A31" s="1238"/>
      <c r="B31" s="1238"/>
      <c r="C31" s="1238"/>
      <c r="D31" s="1238"/>
      <c r="E31" s="1238"/>
      <c r="F31" s="1238"/>
      <c r="G31" s="1238"/>
      <c r="H31" s="1680"/>
      <c r="I31" s="1680"/>
      <c r="J31" s="1680"/>
    </row>
    <row r="32" spans="1:11" s="1229" customFormat="1" hidden="1">
      <c r="H32" s="1654"/>
      <c r="I32" s="1654"/>
      <c r="J32" s="1654"/>
    </row>
  </sheetData>
  <sheetProtection password="C5F7" sheet="1" objects="1" scenarios="1" formatCells="0" formatColumns="0" formatRows="0"/>
  <protectedRanges>
    <protectedRange password="CF0E" sqref="G26" name="Range27_1"/>
  </protectedRanges>
  <mergeCells count="18">
    <mergeCell ref="A1:J1"/>
    <mergeCell ref="A2:J2"/>
    <mergeCell ref="A3:J3"/>
    <mergeCell ref="A4:J4"/>
    <mergeCell ref="A9:G9"/>
    <mergeCell ref="E7:F7"/>
    <mergeCell ref="E6:F6"/>
    <mergeCell ref="I23:J23"/>
    <mergeCell ref="I24:J24"/>
    <mergeCell ref="A10:G10"/>
    <mergeCell ref="B19:G19"/>
    <mergeCell ref="I26:J26"/>
    <mergeCell ref="B25:F25"/>
    <mergeCell ref="B26:F26"/>
    <mergeCell ref="B20:G20"/>
    <mergeCell ref="A21:G21"/>
    <mergeCell ref="I25:J25"/>
    <mergeCell ref="B18:G18"/>
  </mergeCells>
  <phoneticPr fontId="2" type="noConversion"/>
  <dataValidations count="1">
    <dataValidation type="decimal" operator="greaterThanOrEqual" allowBlank="1" showInputMessage="1" showErrorMessage="1" errorTitle="Validation Rule" error="Allow only number" sqref="H13:I15 H17:I20">
      <formula1>0</formula1>
    </dataValidation>
  </dataValidations>
  <pageMargins left="0.45" right="0.2" top="1" bottom="0.25" header="0" footer="0"/>
  <pageSetup paperSize="9" scale="90" orientation="portrait" r:id="rId1"/>
  <headerFooter alignWithMargins="0">
    <oddFooter>&amp;L&amp;D</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sheetPr>
  <dimension ref="A1:K40"/>
  <sheetViews>
    <sheetView showGridLines="0" topLeftCell="A6" zoomScaleNormal="70" workbookViewId="0">
      <selection activeCell="E24" sqref="E24:F24"/>
    </sheetView>
  </sheetViews>
  <sheetFormatPr defaultRowHeight="12.75" zeroHeight="1"/>
  <cols>
    <col min="1" max="1" width="2.7109375" customWidth="1"/>
    <col min="2" max="2" width="4.140625" customWidth="1"/>
    <col min="3" max="3" width="13.85546875" customWidth="1"/>
    <col min="4" max="4" width="33" customWidth="1"/>
    <col min="5" max="6" width="18" style="1620" customWidth="1"/>
    <col min="7" max="7" width="22.28515625" style="1620" customWidth="1"/>
    <col min="8" max="8" width="18" style="1620" customWidth="1"/>
    <col min="9" max="11" width="16.7109375" style="1620" customWidth="1"/>
    <col min="13" max="255" width="0" hidden="1" customWidth="1"/>
  </cols>
  <sheetData>
    <row r="1" spans="1:11" s="191" customFormat="1" ht="27">
      <c r="A1" s="2679" t="s">
        <v>357</v>
      </c>
      <c r="B1" s="2679"/>
      <c r="C1" s="2679"/>
      <c r="D1" s="2679"/>
      <c r="E1" s="2679"/>
      <c r="F1" s="2679"/>
      <c r="G1" s="2679"/>
      <c r="H1" s="2679"/>
      <c r="I1" s="2679"/>
      <c r="J1" s="2679"/>
      <c r="K1" s="2679"/>
    </row>
    <row r="2" spans="1:11" s="191" customFormat="1" ht="15.75">
      <c r="A2" s="2680" t="s">
        <v>358</v>
      </c>
      <c r="B2" s="2680"/>
      <c r="C2" s="2680"/>
      <c r="D2" s="2680"/>
      <c r="E2" s="2680"/>
      <c r="F2" s="2680"/>
      <c r="G2" s="2680"/>
      <c r="H2" s="2680"/>
      <c r="I2" s="2680"/>
      <c r="J2" s="2680"/>
      <c r="K2" s="2680"/>
    </row>
    <row r="3" spans="1:11" s="183" customFormat="1" ht="16.5" customHeight="1">
      <c r="A3" s="2681" t="s">
        <v>359</v>
      </c>
      <c r="B3" s="2681"/>
      <c r="C3" s="2681"/>
      <c r="D3" s="2681"/>
      <c r="E3" s="2681"/>
      <c r="F3" s="2681"/>
      <c r="G3" s="2681"/>
      <c r="H3" s="2681"/>
      <c r="I3" s="2681"/>
      <c r="J3" s="2681"/>
      <c r="K3" s="2681"/>
    </row>
    <row r="4" spans="1:11" s="183" customFormat="1" ht="16.5" customHeight="1">
      <c r="A4" s="2684"/>
      <c r="B4" s="2684"/>
      <c r="C4" s="2684"/>
      <c r="D4" s="1500"/>
      <c r="E4" s="1681"/>
      <c r="F4" s="1681"/>
      <c r="G4" s="1681"/>
      <c r="H4" s="1681"/>
      <c r="I4" s="1681"/>
      <c r="J4" s="1681"/>
      <c r="K4" s="1681"/>
    </row>
    <row r="5" spans="1:11" s="183" customFormat="1">
      <c r="A5" s="2682" t="s">
        <v>360</v>
      </c>
      <c r="B5" s="2682"/>
      <c r="C5" s="2682"/>
      <c r="D5" s="2682"/>
      <c r="E5" s="2682"/>
      <c r="F5" s="2682"/>
      <c r="G5" s="2682"/>
      <c r="H5" s="2682"/>
      <c r="I5" s="2682"/>
      <c r="J5" s="2682"/>
      <c r="K5" s="2682"/>
    </row>
    <row r="6" spans="1:11" s="183" customFormat="1" ht="15" customHeight="1">
      <c r="A6" s="1244" t="s">
        <v>361</v>
      </c>
      <c r="B6" s="1244"/>
      <c r="C6" s="1244"/>
      <c r="D6" s="342"/>
      <c r="E6" s="1682"/>
      <c r="F6" s="1682"/>
      <c r="G6" s="1682"/>
      <c r="H6" s="1682"/>
      <c r="I6" s="1682"/>
      <c r="J6" s="1682"/>
      <c r="K6" s="1682"/>
    </row>
    <row r="7" spans="1:11" s="183" customFormat="1" ht="18" customHeight="1">
      <c r="A7" s="1245" t="s">
        <v>362</v>
      </c>
      <c r="B7" s="1245"/>
      <c r="C7" s="1245"/>
      <c r="D7" s="343"/>
      <c r="E7" s="1683"/>
      <c r="F7" s="1683"/>
      <c r="G7" s="1683"/>
      <c r="H7" s="1683"/>
      <c r="I7" s="1683"/>
      <c r="J7" s="2678" t="s">
        <v>852</v>
      </c>
      <c r="K7" s="2678"/>
    </row>
    <row r="8" spans="1:11" s="267" customFormat="1" ht="6.75" customHeight="1">
      <c r="E8" s="1684"/>
      <c r="F8" s="1684"/>
      <c r="G8" s="1684"/>
      <c r="H8" s="1684"/>
      <c r="I8" s="1684"/>
      <c r="J8" s="1684"/>
      <c r="K8" s="1684"/>
    </row>
    <row r="9" spans="1:11" s="183" customFormat="1" ht="17.25" customHeight="1">
      <c r="A9" s="1524"/>
      <c r="B9" s="1525"/>
      <c r="C9" s="1246" t="s">
        <v>871</v>
      </c>
      <c r="D9" s="1524"/>
      <c r="E9" s="1685"/>
      <c r="F9" s="1685"/>
      <c r="G9" s="1686" t="s">
        <v>363</v>
      </c>
      <c r="H9" s="1656">
        <v>4000</v>
      </c>
      <c r="I9" s="1687" t="s">
        <v>364</v>
      </c>
      <c r="J9" s="2683" t="s">
        <v>365</v>
      </c>
      <c r="K9" s="2683"/>
    </row>
    <row r="10" spans="1:11" s="183" customFormat="1" ht="17.25" customHeight="1">
      <c r="A10" s="1524"/>
      <c r="B10" s="1525"/>
      <c r="C10" s="1246" t="s">
        <v>872</v>
      </c>
      <c r="D10" s="1524"/>
      <c r="E10" s="1685"/>
      <c r="F10" s="1685"/>
      <c r="G10" s="1688" t="s">
        <v>366</v>
      </c>
      <c r="H10" s="872">
        <v>4000</v>
      </c>
      <c r="I10" s="1689" t="s">
        <v>367</v>
      </c>
      <c r="J10" s="2677" t="s">
        <v>368</v>
      </c>
      <c r="K10" s="2677"/>
    </row>
    <row r="11" spans="1:11" s="183" customFormat="1" ht="17.25" customHeight="1" thickBot="1">
      <c r="A11" s="550"/>
      <c r="B11" s="550"/>
      <c r="C11" s="550"/>
      <c r="D11" s="550"/>
      <c r="E11" s="1685"/>
      <c r="F11" s="1685"/>
      <c r="G11" s="1685"/>
      <c r="H11" s="1690"/>
      <c r="I11" s="1690"/>
      <c r="J11" s="1690"/>
      <c r="K11" s="1690"/>
    </row>
    <row r="12" spans="1:11" ht="29.25" customHeight="1" thickTop="1">
      <c r="A12" s="2685" t="s">
        <v>370</v>
      </c>
      <c r="B12" s="2686"/>
      <c r="C12" s="2686"/>
      <c r="D12" s="2593"/>
      <c r="E12" s="1691" t="s">
        <v>371</v>
      </c>
      <c r="F12" s="1691" t="s">
        <v>372</v>
      </c>
      <c r="G12" s="1692" t="s">
        <v>29</v>
      </c>
      <c r="H12" s="1693" t="s">
        <v>373</v>
      </c>
      <c r="I12" s="2694" t="s">
        <v>77</v>
      </c>
      <c r="J12" s="2695"/>
      <c r="K12" s="2696"/>
    </row>
    <row r="13" spans="1:11" ht="28.5" customHeight="1" thickBot="1">
      <c r="A13" s="2687" t="s">
        <v>375</v>
      </c>
      <c r="B13" s="2688"/>
      <c r="C13" s="2688"/>
      <c r="D13" s="2689"/>
      <c r="E13" s="1694" t="s">
        <v>376</v>
      </c>
      <c r="F13" s="1694" t="s">
        <v>377</v>
      </c>
      <c r="G13" s="1695" t="s">
        <v>378</v>
      </c>
      <c r="H13" s="1694" t="s">
        <v>379</v>
      </c>
      <c r="I13" s="1696" t="s">
        <v>61</v>
      </c>
      <c r="J13" s="1696" t="s">
        <v>78</v>
      </c>
      <c r="K13" s="1697" t="s">
        <v>461</v>
      </c>
    </row>
    <row r="14" spans="1:11" s="1" customFormat="1" ht="18.75" customHeight="1">
      <c r="A14" s="1516" t="s">
        <v>380</v>
      </c>
      <c r="B14" s="1523" t="s">
        <v>381</v>
      </c>
      <c r="C14" s="1522"/>
      <c r="D14" s="1517"/>
      <c r="E14" s="1698">
        <f>E15+E16+E20</f>
        <v>0</v>
      </c>
      <c r="F14" s="1698">
        <f>F15+F16+F20</f>
        <v>0</v>
      </c>
      <c r="G14" s="1699"/>
      <c r="H14" s="1698">
        <f>H15+H16+H20</f>
        <v>0</v>
      </c>
      <c r="I14" s="1698">
        <f>I15+I16+I20</f>
        <v>0</v>
      </c>
      <c r="J14" s="1698">
        <f>J15+J16+J20</f>
        <v>0</v>
      </c>
      <c r="K14" s="1698">
        <f>K15+K16+K20</f>
        <v>0</v>
      </c>
    </row>
    <row r="15" spans="1:11" s="1" customFormat="1" ht="18.75" customHeight="1">
      <c r="A15" s="1521"/>
      <c r="B15" s="1507" t="s">
        <v>382</v>
      </c>
      <c r="C15" s="1512" t="s">
        <v>207</v>
      </c>
      <c r="D15" s="1511"/>
      <c r="E15" s="1700"/>
      <c r="F15" s="1700"/>
      <c r="G15" s="1701"/>
      <c r="H15" s="1700"/>
      <c r="I15" s="1702"/>
      <c r="J15" s="1703"/>
      <c r="K15" s="1704"/>
    </row>
    <row r="16" spans="1:11" s="1" customFormat="1" ht="18.75" customHeight="1">
      <c r="A16" s="1521"/>
      <c r="B16" s="1507" t="s">
        <v>384</v>
      </c>
      <c r="C16" s="1512" t="s">
        <v>109</v>
      </c>
      <c r="D16" s="1511"/>
      <c r="E16" s="1705">
        <f>SUM(E17:E19)</f>
        <v>0</v>
      </c>
      <c r="F16" s="1705">
        <f>SUM(F17:F19)</f>
        <v>0</v>
      </c>
      <c r="G16" s="1706"/>
      <c r="H16" s="1705">
        <f>SUM(H17:H19)</f>
        <v>0</v>
      </c>
      <c r="I16" s="1705">
        <f>SUM(I17:I19)</f>
        <v>0</v>
      </c>
      <c r="J16" s="1705">
        <f>SUM(J17:J19)</f>
        <v>0</v>
      </c>
      <c r="K16" s="1705">
        <f>SUM(K17:K19)</f>
        <v>0</v>
      </c>
    </row>
    <row r="17" spans="1:11" s="1" customFormat="1" ht="18.75" customHeight="1">
      <c r="A17" s="499"/>
      <c r="B17" s="1509"/>
      <c r="C17" s="1507" t="s">
        <v>512</v>
      </c>
      <c r="D17" s="1510" t="s">
        <v>383</v>
      </c>
      <c r="E17" s="1707"/>
      <c r="F17" s="1707"/>
      <c r="G17" s="1708"/>
      <c r="H17" s="1707"/>
      <c r="I17" s="1709"/>
      <c r="J17" s="1709"/>
      <c r="K17" s="1710"/>
    </row>
    <row r="18" spans="1:11" s="1" customFormat="1" ht="18.75" customHeight="1">
      <c r="A18" s="499"/>
      <c r="B18" s="1509"/>
      <c r="C18" s="1507" t="s">
        <v>514</v>
      </c>
      <c r="D18" s="1506" t="s">
        <v>208</v>
      </c>
      <c r="E18" s="1707"/>
      <c r="F18" s="1707"/>
      <c r="G18" s="1708"/>
      <c r="H18" s="1707"/>
      <c r="I18" s="1709"/>
      <c r="J18" s="1709"/>
      <c r="K18" s="1710"/>
    </row>
    <row r="19" spans="1:11" s="1" customFormat="1" ht="18.75" customHeight="1">
      <c r="A19" s="499"/>
      <c r="B19" s="1508"/>
      <c r="C19" s="1507" t="s">
        <v>134</v>
      </c>
      <c r="D19" s="1506" t="s">
        <v>209</v>
      </c>
      <c r="E19" s="1707"/>
      <c r="F19" s="1707"/>
      <c r="G19" s="1708"/>
      <c r="H19" s="1707"/>
      <c r="I19" s="1709"/>
      <c r="J19" s="1709"/>
      <c r="K19" s="1710"/>
    </row>
    <row r="20" spans="1:11" s="1" customFormat="1" ht="18.75" customHeight="1">
      <c r="A20" s="1520"/>
      <c r="B20" s="1519" t="s">
        <v>385</v>
      </c>
      <c r="C20" s="1518" t="s">
        <v>110</v>
      </c>
      <c r="D20" s="1517"/>
      <c r="E20" s="1707"/>
      <c r="F20" s="1707"/>
      <c r="G20" s="1708"/>
      <c r="H20" s="1707"/>
      <c r="I20" s="1709"/>
      <c r="J20" s="1709"/>
      <c r="K20" s="1710"/>
    </row>
    <row r="21" spans="1:11" ht="18.75" customHeight="1">
      <c r="A21" s="1516" t="s">
        <v>388</v>
      </c>
      <c r="B21" s="1515" t="s">
        <v>389</v>
      </c>
      <c r="C21" s="1514"/>
      <c r="D21" s="1513"/>
      <c r="E21" s="1711">
        <f>E22+E23+E27</f>
        <v>0</v>
      </c>
      <c r="F21" s="1711">
        <f>F22+F23+F27</f>
        <v>0</v>
      </c>
      <c r="G21" s="1712"/>
      <c r="H21" s="1711">
        <f>H22+H23+H27</f>
        <v>0</v>
      </c>
      <c r="I21" s="1711">
        <f>I22+I23+I27</f>
        <v>0</v>
      </c>
      <c r="J21" s="1711">
        <f>J22+J23+J27</f>
        <v>0</v>
      </c>
      <c r="K21" s="1711">
        <f>K22+K23+K27</f>
        <v>0</v>
      </c>
    </row>
    <row r="22" spans="1:11" ht="18.75" customHeight="1">
      <c r="A22" s="380"/>
      <c r="B22" s="1507" t="s">
        <v>390</v>
      </c>
      <c r="C22" s="1512" t="s">
        <v>207</v>
      </c>
      <c r="D22" s="1511"/>
      <c r="E22" s="1713"/>
      <c r="F22" s="1713"/>
      <c r="G22" s="1714"/>
      <c r="H22" s="1713"/>
      <c r="I22" s="1715"/>
      <c r="J22" s="1715"/>
      <c r="K22" s="1716"/>
    </row>
    <row r="23" spans="1:11" ht="18.75" customHeight="1">
      <c r="A23" s="380"/>
      <c r="B23" s="1507" t="s">
        <v>391</v>
      </c>
      <c r="C23" s="1512" t="s">
        <v>109</v>
      </c>
      <c r="D23" s="1511"/>
      <c r="E23" s="1717">
        <f>SUM(E24:E26)</f>
        <v>0</v>
      </c>
      <c r="F23" s="1717">
        <f>SUM(F24:F26)</f>
        <v>0</v>
      </c>
      <c r="G23" s="1718"/>
      <c r="H23" s="1717">
        <f>SUM(H24:H26)</f>
        <v>0</v>
      </c>
      <c r="I23" s="1717">
        <f>SUM(I24:I26)</f>
        <v>0</v>
      </c>
      <c r="J23" s="1717">
        <f>SUM(J24:J26)</f>
        <v>0</v>
      </c>
      <c r="K23" s="1717">
        <f>SUM(K24:K26)</f>
        <v>0</v>
      </c>
    </row>
    <row r="24" spans="1:11" ht="18.75" customHeight="1">
      <c r="A24" s="380"/>
      <c r="B24" s="1509"/>
      <c r="C24" s="1507" t="s">
        <v>530</v>
      </c>
      <c r="D24" s="1510" t="s">
        <v>383</v>
      </c>
      <c r="E24" s="1713"/>
      <c r="F24" s="1713"/>
      <c r="G24" s="1714"/>
      <c r="H24" s="1713"/>
      <c r="I24" s="1715"/>
      <c r="J24" s="1715"/>
      <c r="K24" s="1716"/>
    </row>
    <row r="25" spans="1:11" ht="18.75" customHeight="1">
      <c r="A25" s="380"/>
      <c r="B25" s="1509"/>
      <c r="C25" s="1507" t="s">
        <v>532</v>
      </c>
      <c r="D25" s="1506" t="s">
        <v>208</v>
      </c>
      <c r="E25" s="1713"/>
      <c r="F25" s="1713"/>
      <c r="G25" s="1714"/>
      <c r="H25" s="1713"/>
      <c r="I25" s="1715"/>
      <c r="J25" s="1715"/>
      <c r="K25" s="1716"/>
    </row>
    <row r="26" spans="1:11" ht="18.75" customHeight="1">
      <c r="A26" s="380"/>
      <c r="B26" s="1508"/>
      <c r="C26" s="1507" t="s">
        <v>534</v>
      </c>
      <c r="D26" s="1506" t="s">
        <v>209</v>
      </c>
      <c r="E26" s="1713"/>
      <c r="F26" s="1713"/>
      <c r="G26" s="1714"/>
      <c r="H26" s="1713"/>
      <c r="I26" s="1715"/>
      <c r="J26" s="1715"/>
      <c r="K26" s="1716"/>
    </row>
    <row r="27" spans="1:11" ht="18.75" customHeight="1" thickBot="1">
      <c r="A27" s="1505"/>
      <c r="B27" s="1504" t="s">
        <v>392</v>
      </c>
      <c r="C27" s="1503" t="s">
        <v>110</v>
      </c>
      <c r="D27" s="1502"/>
      <c r="E27" s="1713"/>
      <c r="F27" s="1713"/>
      <c r="G27" s="1714"/>
      <c r="H27" s="1713"/>
      <c r="I27" s="1715"/>
      <c r="J27" s="1715"/>
      <c r="K27" s="1716"/>
    </row>
    <row r="28" spans="1:11" s="183" customFormat="1" ht="13.5" thickTop="1">
      <c r="E28" s="872"/>
      <c r="F28" s="872"/>
      <c r="G28" s="872"/>
      <c r="H28" s="872"/>
      <c r="I28" s="872"/>
      <c r="J28" s="872"/>
      <c r="K28" s="872"/>
    </row>
    <row r="29" spans="1:11" s="267" customFormat="1" ht="17.25" customHeight="1">
      <c r="A29" s="1501" t="s">
        <v>395</v>
      </c>
      <c r="B29" s="1501"/>
      <c r="C29" s="1501"/>
      <c r="D29" s="848"/>
      <c r="E29" s="1684"/>
      <c r="F29" s="1684"/>
      <c r="G29" s="1684"/>
      <c r="H29" s="1684"/>
      <c r="I29" s="2693" t="s">
        <v>396</v>
      </c>
      <c r="J29" s="2693"/>
      <c r="K29" s="2693"/>
    </row>
    <row r="30" spans="1:11" s="183" customFormat="1">
      <c r="A30" s="1249" t="s">
        <v>397</v>
      </c>
      <c r="B30" s="1249"/>
      <c r="C30" s="1249"/>
      <c r="D30" s="850"/>
      <c r="E30" s="872"/>
      <c r="F30" s="872"/>
      <c r="G30" s="872"/>
      <c r="H30" s="872"/>
      <c r="I30" s="2692" t="s">
        <v>398</v>
      </c>
      <c r="J30" s="2692"/>
      <c r="K30" s="2692"/>
    </row>
    <row r="31" spans="1:11" s="183" customFormat="1" ht="16.5" customHeight="1">
      <c r="A31" s="267"/>
      <c r="B31" s="267"/>
      <c r="C31" s="267"/>
      <c r="D31" s="1499" t="s">
        <v>399</v>
      </c>
      <c r="E31" s="872"/>
      <c r="F31" s="872"/>
      <c r="G31" s="1719" t="s">
        <v>400</v>
      </c>
      <c r="H31" s="872"/>
      <c r="I31" s="2691" t="s">
        <v>401</v>
      </c>
      <c r="J31" s="2691"/>
      <c r="K31" s="2691"/>
    </row>
    <row r="32" spans="1:11" s="183" customFormat="1">
      <c r="D32" s="1498" t="s">
        <v>402</v>
      </c>
      <c r="E32" s="872"/>
      <c r="F32" s="872"/>
      <c r="G32" s="1720" t="s">
        <v>403</v>
      </c>
      <c r="H32" s="872"/>
      <c r="I32" s="2690" t="s">
        <v>404</v>
      </c>
      <c r="J32" s="2690"/>
      <c r="K32" s="2690"/>
    </row>
    <row r="33" spans="5:11" s="183" customFormat="1">
      <c r="E33" s="872"/>
      <c r="F33" s="872"/>
      <c r="G33" s="872"/>
      <c r="H33" s="872"/>
      <c r="I33" s="872"/>
      <c r="J33" s="872"/>
      <c r="K33" s="872"/>
    </row>
    <row r="34" spans="5:11" s="183" customFormat="1">
      <c r="E34" s="872"/>
      <c r="F34" s="872"/>
      <c r="G34" s="872"/>
      <c r="H34" s="872"/>
      <c r="I34" s="872"/>
      <c r="J34" s="872"/>
      <c r="K34" s="872"/>
    </row>
    <row r="35" spans="5:11" s="183" customFormat="1" hidden="1">
      <c r="E35" s="872"/>
      <c r="F35" s="872"/>
      <c r="G35" s="872"/>
      <c r="H35" s="872"/>
      <c r="I35" s="872"/>
      <c r="J35" s="872"/>
      <c r="K35" s="872"/>
    </row>
    <row r="36" spans="5:11" s="183" customFormat="1">
      <c r="E36" s="872"/>
      <c r="F36" s="872"/>
      <c r="G36" s="872"/>
      <c r="H36" s="872"/>
      <c r="I36" s="872"/>
      <c r="J36" s="872"/>
      <c r="K36" s="872"/>
    </row>
    <row r="37" spans="5:11" s="183" customFormat="1">
      <c r="E37" s="872"/>
      <c r="F37" s="872"/>
      <c r="G37" s="872"/>
      <c r="H37" s="872"/>
      <c r="I37" s="872"/>
      <c r="J37" s="872"/>
      <c r="K37" s="872"/>
    </row>
    <row r="38" spans="5:11" s="183" customFormat="1">
      <c r="E38" s="872"/>
      <c r="F38" s="872"/>
      <c r="G38" s="872"/>
      <c r="H38" s="872"/>
      <c r="I38" s="872"/>
      <c r="J38" s="872"/>
      <c r="K38" s="872"/>
    </row>
    <row r="39" spans="5:11" s="183" customFormat="1">
      <c r="E39" s="872"/>
      <c r="F39" s="872"/>
      <c r="G39" s="872"/>
      <c r="H39" s="872"/>
      <c r="I39" s="872"/>
      <c r="J39" s="872"/>
      <c r="K39" s="872"/>
    </row>
    <row r="40" spans="5:11" s="183" customFormat="1">
      <c r="E40" s="872"/>
      <c r="F40" s="872"/>
      <c r="G40" s="872"/>
      <c r="H40" s="872"/>
      <c r="I40" s="872"/>
      <c r="J40" s="872"/>
      <c r="K40" s="872"/>
    </row>
  </sheetData>
  <sheetProtection password="C5F7" sheet="1" objects="1" scenarios="1" formatCells="0" formatColumns="0" formatRows="0"/>
  <mergeCells count="15">
    <mergeCell ref="A12:D12"/>
    <mergeCell ref="A13:D13"/>
    <mergeCell ref="I32:K32"/>
    <mergeCell ref="I31:K31"/>
    <mergeCell ref="I30:K30"/>
    <mergeCell ref="I29:K29"/>
    <mergeCell ref="I12:K12"/>
    <mergeCell ref="J10:K10"/>
    <mergeCell ref="J7:K7"/>
    <mergeCell ref="A1:K1"/>
    <mergeCell ref="A2:K2"/>
    <mergeCell ref="A3:K3"/>
    <mergeCell ref="A5:K5"/>
    <mergeCell ref="J9:K9"/>
    <mergeCell ref="A4:C4"/>
  </mergeCells>
  <dataValidations count="2">
    <dataValidation type="whole" allowBlank="1" showInputMessage="1" showErrorMessage="1" sqref="I14:K27">
      <formula1>0</formula1>
      <formula2>1E+21</formula2>
    </dataValidation>
    <dataValidation type="decimal" operator="greaterThanOrEqual" allowBlank="1" showInputMessage="1" showErrorMessage="1" errorTitle="Validation Rule" error="Allow only number" sqref="E15:H15 E17:H20 E22:H22 E24:H27">
      <formula1>0</formula1>
    </dataValidation>
  </dataValidations>
  <pageMargins left="0.6" right="0" top="0.5" bottom="0.5" header="0.5" footer="0.5"/>
  <pageSetup paperSize="9" scale="80"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0"/>
  </sheetPr>
  <dimension ref="A1:P216"/>
  <sheetViews>
    <sheetView showGridLines="0" tabSelected="1" topLeftCell="B108" zoomScaleNormal="100" workbookViewId="0">
      <selection activeCell="G15" sqref="G15"/>
    </sheetView>
  </sheetViews>
  <sheetFormatPr defaultColWidth="0" defaultRowHeight="0" customHeight="1" zeroHeight="1"/>
  <cols>
    <col min="1" max="1" width="3.7109375" customWidth="1"/>
    <col min="2" max="2" width="21.5703125" style="181" customWidth="1"/>
    <col min="3" max="3" width="17.5703125" style="181" customWidth="1"/>
    <col min="4" max="4" width="14.85546875" style="181" customWidth="1"/>
    <col min="5" max="5" width="13.5703125" style="181" customWidth="1"/>
    <col min="6" max="6" width="15.85546875" customWidth="1"/>
    <col min="7" max="8" width="17.7109375" customWidth="1"/>
    <col min="9" max="9" width="11.140625" customWidth="1"/>
    <col min="10" max="10" width="14.140625" customWidth="1"/>
    <col min="11" max="11" width="12.7109375" customWidth="1"/>
    <col min="12" max="13" width="10.42578125" customWidth="1"/>
    <col min="14" max="15" width="12.28515625" customWidth="1"/>
    <col min="16" max="16" width="9.140625" customWidth="1"/>
  </cols>
  <sheetData>
    <row r="1" spans="1:16" s="191" customFormat="1" ht="27">
      <c r="A1" s="2679" t="s">
        <v>357</v>
      </c>
      <c r="B1" s="2679"/>
      <c r="C1" s="2679"/>
      <c r="D1" s="2679"/>
      <c r="E1" s="2679"/>
      <c r="F1" s="2679"/>
      <c r="G1" s="2679"/>
      <c r="H1" s="2679"/>
      <c r="I1" s="2679"/>
      <c r="J1" s="2679"/>
      <c r="K1" s="2679"/>
      <c r="L1" s="2679"/>
      <c r="M1" s="2679"/>
      <c r="N1" s="2679"/>
      <c r="O1" s="2679"/>
      <c r="P1" s="1258"/>
    </row>
    <row r="2" spans="1:16" s="191" customFormat="1" ht="15.75">
      <c r="A2" s="2680" t="s">
        <v>358</v>
      </c>
      <c r="B2" s="2680"/>
      <c r="C2" s="2680"/>
      <c r="D2" s="2680"/>
      <c r="E2" s="2680"/>
      <c r="F2" s="2680"/>
      <c r="G2" s="2680"/>
      <c r="H2" s="2680"/>
      <c r="I2" s="2680"/>
      <c r="J2" s="2680"/>
      <c r="K2" s="2680"/>
      <c r="L2" s="2680"/>
      <c r="M2" s="2680"/>
      <c r="N2" s="2680"/>
      <c r="O2" s="2680"/>
      <c r="P2" s="1259"/>
    </row>
    <row r="3" spans="1:16" s="183" customFormat="1" ht="12.75">
      <c r="A3" s="2681" t="s">
        <v>359</v>
      </c>
      <c r="B3" s="2681"/>
      <c r="C3" s="2681"/>
      <c r="D3" s="2681"/>
      <c r="E3" s="2681"/>
      <c r="F3" s="2681"/>
      <c r="G3" s="2681"/>
      <c r="H3" s="2681"/>
      <c r="I3" s="2681"/>
      <c r="J3" s="2681"/>
      <c r="K3" s="2681"/>
      <c r="L3" s="2681"/>
      <c r="M3" s="2681"/>
      <c r="N3" s="2681"/>
      <c r="O3" s="2681"/>
      <c r="P3" s="342"/>
    </row>
    <row r="4" spans="1:16" s="183" customFormat="1" ht="15.75">
      <c r="A4" s="2682" t="s">
        <v>360</v>
      </c>
      <c r="B4" s="2682"/>
      <c r="C4" s="2682"/>
      <c r="D4" s="2682"/>
      <c r="E4" s="2682"/>
      <c r="F4" s="2682"/>
      <c r="G4" s="2682"/>
      <c r="H4" s="2682"/>
      <c r="I4" s="2682"/>
      <c r="J4" s="2682"/>
      <c r="K4" s="2682"/>
      <c r="L4" s="2682"/>
      <c r="M4" s="2682"/>
      <c r="N4" s="2682"/>
      <c r="O4" s="2682"/>
      <c r="P4" s="1250"/>
    </row>
    <row r="5" spans="1:16" s="183" customFormat="1" ht="15" customHeight="1">
      <c r="A5" s="1244" t="s">
        <v>361</v>
      </c>
      <c r="B5" s="1533"/>
      <c r="C5" s="1534"/>
      <c r="D5" s="1534"/>
      <c r="E5" s="1534"/>
      <c r="F5" s="342"/>
      <c r="G5" s="342"/>
      <c r="H5" s="342"/>
      <c r="I5" s="342"/>
      <c r="J5" s="342"/>
      <c r="K5" s="342"/>
      <c r="L5" s="342"/>
      <c r="M5" s="342"/>
      <c r="O5" s="1232"/>
      <c r="P5" s="342"/>
    </row>
    <row r="6" spans="1:16" s="183" customFormat="1" ht="12.75">
      <c r="A6" s="1245" t="s">
        <v>362</v>
      </c>
      <c r="B6" s="1535"/>
      <c r="C6" s="1536"/>
      <c r="D6" s="1536"/>
      <c r="E6" s="1536"/>
      <c r="F6" s="343"/>
      <c r="G6" s="343"/>
      <c r="H6" s="343"/>
      <c r="I6" s="343"/>
      <c r="J6" s="343"/>
      <c r="K6" s="343"/>
      <c r="L6" s="343"/>
      <c r="M6" s="343"/>
      <c r="N6" s="890" t="s">
        <v>853</v>
      </c>
      <c r="O6" s="1251"/>
      <c r="P6" s="343"/>
    </row>
    <row r="7" spans="1:16" s="267" customFormat="1" ht="16.5" customHeight="1">
      <c r="B7" s="1537"/>
      <c r="C7" s="1538"/>
      <c r="D7" s="1537"/>
      <c r="E7" s="1537"/>
    </row>
    <row r="8" spans="1:16" s="183" customFormat="1" ht="20.25" customHeight="1">
      <c r="A8" s="1252"/>
      <c r="B8" s="1539" t="s">
        <v>870</v>
      </c>
      <c r="C8" s="1540"/>
      <c r="D8" s="1540"/>
      <c r="E8" s="1540"/>
      <c r="F8" s="550"/>
      <c r="J8" s="1253" t="s">
        <v>363</v>
      </c>
      <c r="L8" s="1247" t="s">
        <v>364</v>
      </c>
      <c r="M8" s="1247"/>
      <c r="N8" s="1254" t="s">
        <v>365</v>
      </c>
    </row>
    <row r="9" spans="1:16" s="183" customFormat="1" ht="17.25" customHeight="1">
      <c r="A9" s="1252"/>
      <c r="B9" s="1539" t="s">
        <v>1990</v>
      </c>
      <c r="C9" s="1541" t="s">
        <v>1989</v>
      </c>
      <c r="D9" s="1540"/>
      <c r="E9" s="1540"/>
      <c r="F9" s="550"/>
      <c r="J9" s="1255" t="s">
        <v>366</v>
      </c>
      <c r="L9" s="1248" t="s">
        <v>367</v>
      </c>
      <c r="M9" s="1256"/>
      <c r="N9" s="1257" t="s">
        <v>368</v>
      </c>
    </row>
    <row r="10" spans="1:16" ht="7.5" customHeight="1" thickBot="1">
      <c r="A10" s="2"/>
      <c r="B10" s="1542"/>
      <c r="C10" s="1542"/>
      <c r="D10" s="1542"/>
      <c r="E10" s="1542"/>
      <c r="F10" s="2"/>
      <c r="G10" s="2"/>
      <c r="H10" s="2"/>
      <c r="I10" s="2"/>
      <c r="J10" s="2"/>
      <c r="L10" s="5"/>
      <c r="M10" s="5"/>
      <c r="N10" s="2"/>
      <c r="O10" s="2"/>
    </row>
    <row r="11" spans="1:16" s="6" customFormat="1" ht="41.25" customHeight="1" thickTop="1">
      <c r="A11" s="1497" t="s">
        <v>369</v>
      </c>
      <c r="B11" s="1543" t="s">
        <v>405</v>
      </c>
      <c r="C11" s="1544" t="s">
        <v>406</v>
      </c>
      <c r="D11" s="1545" t="s">
        <v>407</v>
      </c>
      <c r="E11" s="1546" t="s">
        <v>408</v>
      </c>
      <c r="F11" s="541" t="s">
        <v>370</v>
      </c>
      <c r="G11" s="541" t="s">
        <v>371</v>
      </c>
      <c r="H11" s="1483" t="s">
        <v>372</v>
      </c>
      <c r="I11" s="541" t="s">
        <v>409</v>
      </c>
      <c r="J11" s="541" t="s">
        <v>373</v>
      </c>
      <c r="K11" s="541" t="s">
        <v>410</v>
      </c>
      <c r="L11" s="2719" t="s">
        <v>411</v>
      </c>
      <c r="M11" s="2720"/>
      <c r="N11" s="2721" t="s">
        <v>412</v>
      </c>
      <c r="O11" s="2722"/>
    </row>
    <row r="12" spans="1:16" s="6" customFormat="1" ht="25.5" customHeight="1" thickBot="1">
      <c r="A12" s="1496" t="s">
        <v>374</v>
      </c>
      <c r="B12" s="1547" t="s">
        <v>413</v>
      </c>
      <c r="C12" s="1548" t="s">
        <v>414</v>
      </c>
      <c r="D12" s="1549" t="s">
        <v>415</v>
      </c>
      <c r="E12" s="1549" t="s">
        <v>416</v>
      </c>
      <c r="F12" s="1482" t="s">
        <v>417</v>
      </c>
      <c r="G12" s="1482" t="s">
        <v>376</v>
      </c>
      <c r="H12" s="1482" t="s">
        <v>377</v>
      </c>
      <c r="I12" s="1482" t="s">
        <v>418</v>
      </c>
      <c r="J12" s="1482" t="s">
        <v>379</v>
      </c>
      <c r="K12" s="1482" t="s">
        <v>419</v>
      </c>
      <c r="L12" s="542" t="s">
        <v>420</v>
      </c>
      <c r="M12" s="542" t="s">
        <v>421</v>
      </c>
      <c r="N12" s="543" t="s">
        <v>422</v>
      </c>
      <c r="O12" s="1495" t="s">
        <v>423</v>
      </c>
    </row>
    <row r="13" spans="1:16" s="183" customFormat="1" ht="15" customHeight="1">
      <c r="A13" s="2699"/>
      <c r="B13" s="1550" t="s">
        <v>1988</v>
      </c>
      <c r="C13" s="2703"/>
      <c r="D13" s="2703"/>
      <c r="E13" s="2703"/>
      <c r="F13" s="2697"/>
      <c r="G13" s="2697"/>
      <c r="H13" s="2697"/>
      <c r="I13" s="2697"/>
      <c r="J13" s="2697"/>
      <c r="K13" s="2697"/>
      <c r="L13" s="2697"/>
      <c r="M13" s="2697"/>
      <c r="N13" s="2697"/>
      <c r="O13" s="2723"/>
    </row>
    <row r="14" spans="1:16" s="183" customFormat="1" ht="15.75" customHeight="1" thickBot="1">
      <c r="A14" s="2700"/>
      <c r="B14" s="1551" t="s">
        <v>1987</v>
      </c>
      <c r="C14" s="2704"/>
      <c r="D14" s="2704"/>
      <c r="E14" s="2704"/>
      <c r="F14" s="2698"/>
      <c r="G14" s="2698"/>
      <c r="H14" s="2698"/>
      <c r="I14" s="2698"/>
      <c r="J14" s="2698"/>
      <c r="K14" s="2698"/>
      <c r="L14" s="2698"/>
      <c r="M14" s="2698"/>
      <c r="N14" s="2698"/>
      <c r="O14" s="2724"/>
    </row>
    <row r="15" spans="1:16" s="183" customFormat="1" ht="23.25" customHeight="1">
      <c r="A15" s="1494"/>
      <c r="B15" s="1532"/>
      <c r="C15" s="1530"/>
      <c r="D15" s="1532"/>
      <c r="E15" s="1532"/>
      <c r="F15" s="590"/>
      <c r="G15" s="544"/>
      <c r="H15" s="544"/>
      <c r="I15" s="545"/>
      <c r="J15" s="544"/>
      <c r="K15" s="544"/>
      <c r="L15" s="1526"/>
      <c r="M15" s="1526"/>
      <c r="N15" s="1476"/>
      <c r="O15" s="546"/>
    </row>
    <row r="16" spans="1:16" s="183" customFormat="1" ht="23.25" customHeight="1">
      <c r="A16" s="1494"/>
      <c r="B16" s="1532"/>
      <c r="C16" s="1530"/>
      <c r="D16" s="1532"/>
      <c r="E16" s="1532"/>
      <c r="F16" s="590"/>
      <c r="G16" s="544"/>
      <c r="H16" s="544"/>
      <c r="I16" s="545"/>
      <c r="J16" s="544"/>
      <c r="K16" s="544"/>
      <c r="L16" s="1526"/>
      <c r="M16" s="1526"/>
      <c r="N16" s="1476"/>
      <c r="O16" s="546"/>
    </row>
    <row r="17" spans="1:15" s="183" customFormat="1" ht="23.25" customHeight="1">
      <c r="A17" s="1493"/>
      <c r="B17" s="1532"/>
      <c r="C17" s="1530"/>
      <c r="D17" s="1532"/>
      <c r="E17" s="1532"/>
      <c r="F17" s="590"/>
      <c r="G17" s="544"/>
      <c r="H17" s="544"/>
      <c r="I17" s="545"/>
      <c r="J17" s="544"/>
      <c r="K17" s="544"/>
      <c r="L17" s="1526"/>
      <c r="M17" s="1526"/>
      <c r="N17" s="1476"/>
      <c r="O17" s="546"/>
    </row>
    <row r="18" spans="1:15" s="183" customFormat="1" ht="23.25" customHeight="1">
      <c r="A18" s="1493"/>
      <c r="B18" s="1532"/>
      <c r="C18" s="1530"/>
      <c r="D18" s="1532"/>
      <c r="E18" s="1532"/>
      <c r="F18" s="590"/>
      <c r="G18" s="544"/>
      <c r="H18" s="544"/>
      <c r="I18" s="545"/>
      <c r="J18" s="544"/>
      <c r="K18" s="544"/>
      <c r="L18" s="1526"/>
      <c r="M18" s="1526"/>
      <c r="N18" s="1476"/>
      <c r="O18" s="546"/>
    </row>
    <row r="19" spans="1:15" s="183" customFormat="1" ht="23.25" customHeight="1">
      <c r="A19" s="1493"/>
      <c r="B19" s="1532"/>
      <c r="C19" s="1530"/>
      <c r="D19" s="1532"/>
      <c r="E19" s="1532"/>
      <c r="F19" s="590"/>
      <c r="G19" s="544"/>
      <c r="H19" s="544"/>
      <c r="I19" s="545"/>
      <c r="J19" s="544"/>
      <c r="K19" s="544"/>
      <c r="L19" s="1526"/>
      <c r="M19" s="1526"/>
      <c r="N19" s="1476"/>
      <c r="O19" s="546"/>
    </row>
    <row r="20" spans="1:15" s="183" customFormat="1" ht="23.25" customHeight="1">
      <c r="A20" s="1493"/>
      <c r="B20" s="1532"/>
      <c r="C20" s="1530"/>
      <c r="D20" s="1532"/>
      <c r="E20" s="1532"/>
      <c r="F20" s="590"/>
      <c r="G20" s="544"/>
      <c r="H20" s="544"/>
      <c r="I20" s="545"/>
      <c r="J20" s="544"/>
      <c r="K20" s="544"/>
      <c r="L20" s="1526"/>
      <c r="M20" s="1526"/>
      <c r="N20" s="1476"/>
      <c r="O20" s="546"/>
    </row>
    <row r="21" spans="1:15" s="183" customFormat="1" ht="23.25" customHeight="1">
      <c r="A21" s="1493"/>
      <c r="B21" s="1532"/>
      <c r="C21" s="1530"/>
      <c r="D21" s="1532"/>
      <c r="E21" s="1532"/>
      <c r="F21" s="590"/>
      <c r="G21" s="544"/>
      <c r="H21" s="544"/>
      <c r="I21" s="545"/>
      <c r="J21" s="544"/>
      <c r="K21" s="544"/>
      <c r="L21" s="1526"/>
      <c r="M21" s="1526"/>
      <c r="N21" s="1476"/>
      <c r="O21" s="546"/>
    </row>
    <row r="22" spans="1:15" s="183" customFormat="1" ht="23.25" customHeight="1">
      <c r="A22" s="1493"/>
      <c r="B22" s="1532"/>
      <c r="C22" s="1530"/>
      <c r="D22" s="1532"/>
      <c r="E22" s="1532"/>
      <c r="F22" s="590"/>
      <c r="G22" s="544"/>
      <c r="H22" s="544"/>
      <c r="I22" s="545"/>
      <c r="J22" s="544"/>
      <c r="K22" s="544"/>
      <c r="L22" s="1526"/>
      <c r="M22" s="1526"/>
      <c r="N22" s="1476"/>
      <c r="O22" s="546"/>
    </row>
    <row r="23" spans="1:15" s="183" customFormat="1" ht="23.25" customHeight="1">
      <c r="A23" s="1493"/>
      <c r="B23" s="1532"/>
      <c r="C23" s="1530"/>
      <c r="D23" s="1532"/>
      <c r="E23" s="1532"/>
      <c r="F23" s="590"/>
      <c r="G23" s="544"/>
      <c r="H23" s="544"/>
      <c r="I23" s="545"/>
      <c r="J23" s="544"/>
      <c r="K23" s="544"/>
      <c r="L23" s="1526"/>
      <c r="M23" s="1526"/>
      <c r="N23" s="1476"/>
      <c r="O23" s="546"/>
    </row>
    <row r="24" spans="1:15" s="183" customFormat="1" ht="23.25" customHeight="1">
      <c r="A24" s="1493"/>
      <c r="B24" s="1532"/>
      <c r="C24" s="1530"/>
      <c r="D24" s="1532"/>
      <c r="E24" s="1532"/>
      <c r="F24" s="590"/>
      <c r="G24" s="544"/>
      <c r="H24" s="544"/>
      <c r="I24" s="545"/>
      <c r="J24" s="544"/>
      <c r="K24" s="544"/>
      <c r="L24" s="1526"/>
      <c r="M24" s="1526"/>
      <c r="N24" s="1476"/>
      <c r="O24" s="546"/>
    </row>
    <row r="25" spans="1:15" s="183" customFormat="1" ht="23.25" customHeight="1">
      <c r="A25" s="1493"/>
      <c r="B25" s="1532"/>
      <c r="C25" s="1530"/>
      <c r="D25" s="1532"/>
      <c r="E25" s="1532"/>
      <c r="F25" s="590"/>
      <c r="G25" s="544"/>
      <c r="H25" s="544"/>
      <c r="I25" s="545"/>
      <c r="J25" s="544"/>
      <c r="K25" s="544"/>
      <c r="L25" s="1526"/>
      <c r="M25" s="1526"/>
      <c r="N25" s="1476"/>
      <c r="O25" s="546"/>
    </row>
    <row r="26" spans="1:15" s="183" customFormat="1" ht="23.25" customHeight="1">
      <c r="A26" s="1493"/>
      <c r="B26" s="1532"/>
      <c r="C26" s="1530"/>
      <c r="D26" s="1532"/>
      <c r="E26" s="1532"/>
      <c r="F26" s="590"/>
      <c r="G26" s="544"/>
      <c r="H26" s="544"/>
      <c r="I26" s="545"/>
      <c r="J26" s="544"/>
      <c r="K26" s="544"/>
      <c r="L26" s="1526"/>
      <c r="M26" s="1526"/>
      <c r="N26" s="1476"/>
      <c r="O26" s="546"/>
    </row>
    <row r="27" spans="1:15" s="183" customFormat="1" ht="23.25" customHeight="1">
      <c r="A27" s="1493"/>
      <c r="B27" s="1532"/>
      <c r="C27" s="1530"/>
      <c r="D27" s="1532"/>
      <c r="E27" s="1532"/>
      <c r="F27" s="590"/>
      <c r="G27" s="544"/>
      <c r="H27" s="544"/>
      <c r="I27" s="545"/>
      <c r="J27" s="544"/>
      <c r="K27" s="544"/>
      <c r="L27" s="1526"/>
      <c r="M27" s="1526"/>
      <c r="N27" s="1476"/>
      <c r="O27" s="546"/>
    </row>
    <row r="28" spans="1:15" s="183" customFormat="1" ht="23.25" customHeight="1">
      <c r="A28" s="1493"/>
      <c r="B28" s="1532"/>
      <c r="C28" s="1530"/>
      <c r="D28" s="1532"/>
      <c r="E28" s="1532"/>
      <c r="F28" s="590"/>
      <c r="G28" s="544"/>
      <c r="H28" s="544"/>
      <c r="I28" s="545"/>
      <c r="J28" s="544"/>
      <c r="K28" s="544"/>
      <c r="L28" s="1526"/>
      <c r="M28" s="1526"/>
      <c r="N28" s="1476"/>
      <c r="O28" s="546"/>
    </row>
    <row r="29" spans="1:15" s="183" customFormat="1" ht="23.25" customHeight="1">
      <c r="A29" s="1493"/>
      <c r="B29" s="1532"/>
      <c r="C29" s="1530"/>
      <c r="D29" s="1532"/>
      <c r="E29" s="1532"/>
      <c r="F29" s="590"/>
      <c r="G29" s="544"/>
      <c r="H29" s="544"/>
      <c r="I29" s="545"/>
      <c r="J29" s="544"/>
      <c r="K29" s="544"/>
      <c r="L29" s="1526"/>
      <c r="M29" s="1526"/>
      <c r="N29" s="1476"/>
      <c r="O29" s="546"/>
    </row>
    <row r="30" spans="1:15" s="183" customFormat="1" ht="23.25" customHeight="1">
      <c r="A30" s="1493"/>
      <c r="B30" s="1532"/>
      <c r="C30" s="1530"/>
      <c r="D30" s="1532"/>
      <c r="E30" s="1532"/>
      <c r="F30" s="590"/>
      <c r="G30" s="544"/>
      <c r="H30" s="544"/>
      <c r="I30" s="545"/>
      <c r="J30" s="544"/>
      <c r="K30" s="544"/>
      <c r="L30" s="1526"/>
      <c r="M30" s="1526"/>
      <c r="N30" s="1476"/>
      <c r="O30" s="546"/>
    </row>
    <row r="31" spans="1:15" s="183" customFormat="1" ht="23.25" customHeight="1">
      <c r="A31" s="1493"/>
      <c r="B31" s="1532"/>
      <c r="C31" s="1530"/>
      <c r="D31" s="1532"/>
      <c r="E31" s="1532"/>
      <c r="F31" s="590"/>
      <c r="G31" s="544"/>
      <c r="H31" s="544"/>
      <c r="I31" s="545"/>
      <c r="J31" s="544"/>
      <c r="K31" s="544"/>
      <c r="L31" s="1526"/>
      <c r="M31" s="1526"/>
      <c r="N31" s="1476"/>
      <c r="O31" s="546"/>
    </row>
    <row r="32" spans="1:15" s="183" customFormat="1" ht="23.25" customHeight="1">
      <c r="A32" s="1493"/>
      <c r="B32" s="1532"/>
      <c r="C32" s="1530"/>
      <c r="D32" s="1532"/>
      <c r="E32" s="1532"/>
      <c r="F32" s="590"/>
      <c r="G32" s="544"/>
      <c r="H32" s="544"/>
      <c r="I32" s="545"/>
      <c r="J32" s="544"/>
      <c r="K32" s="544"/>
      <c r="L32" s="1526"/>
      <c r="M32" s="1526"/>
      <c r="N32" s="1476"/>
      <c r="O32" s="546"/>
    </row>
    <row r="33" spans="1:15" s="183" customFormat="1" ht="23.25" customHeight="1">
      <c r="A33" s="1493"/>
      <c r="B33" s="1532"/>
      <c r="C33" s="1530"/>
      <c r="D33" s="1532"/>
      <c r="E33" s="1532"/>
      <c r="F33" s="590"/>
      <c r="G33" s="544"/>
      <c r="H33" s="544"/>
      <c r="I33" s="545"/>
      <c r="J33" s="544"/>
      <c r="K33" s="544"/>
      <c r="L33" s="1526"/>
      <c r="M33" s="1526"/>
      <c r="N33" s="1476"/>
      <c r="O33" s="546"/>
    </row>
    <row r="34" spans="1:15" s="183" customFormat="1" ht="23.25" customHeight="1">
      <c r="A34" s="1493"/>
      <c r="B34" s="1532"/>
      <c r="C34" s="1530"/>
      <c r="D34" s="1532"/>
      <c r="E34" s="1532"/>
      <c r="F34" s="590"/>
      <c r="G34" s="544"/>
      <c r="H34" s="544"/>
      <c r="I34" s="545"/>
      <c r="J34" s="544"/>
      <c r="K34" s="544"/>
      <c r="L34" s="1526"/>
      <c r="M34" s="1526"/>
      <c r="N34" s="1476"/>
      <c r="O34" s="546"/>
    </row>
    <row r="35" spans="1:15" s="183" customFormat="1" ht="23.25" customHeight="1">
      <c r="A35" s="1493"/>
      <c r="B35" s="1532"/>
      <c r="C35" s="1530"/>
      <c r="D35" s="1532"/>
      <c r="E35" s="1532"/>
      <c r="F35" s="590"/>
      <c r="G35" s="544"/>
      <c r="H35" s="544"/>
      <c r="I35" s="545"/>
      <c r="J35" s="544"/>
      <c r="K35" s="544"/>
      <c r="L35" s="1526"/>
      <c r="M35" s="1526"/>
      <c r="N35" s="1476"/>
      <c r="O35" s="546"/>
    </row>
    <row r="36" spans="1:15" s="183" customFormat="1" ht="23.25" customHeight="1">
      <c r="A36" s="1493"/>
      <c r="B36" s="1532"/>
      <c r="C36" s="1530"/>
      <c r="D36" s="1532"/>
      <c r="E36" s="1532"/>
      <c r="F36" s="590"/>
      <c r="G36" s="544"/>
      <c r="H36" s="544"/>
      <c r="I36" s="545"/>
      <c r="J36" s="544"/>
      <c r="K36" s="544"/>
      <c r="L36" s="1526"/>
      <c r="M36" s="1526"/>
      <c r="N36" s="1476"/>
      <c r="O36" s="546"/>
    </row>
    <row r="37" spans="1:15" s="183" customFormat="1" ht="23.25" customHeight="1">
      <c r="A37" s="1493"/>
      <c r="B37" s="1532"/>
      <c r="C37" s="1530"/>
      <c r="D37" s="1532"/>
      <c r="E37" s="1532"/>
      <c r="F37" s="590"/>
      <c r="G37" s="544"/>
      <c r="H37" s="544"/>
      <c r="I37" s="545"/>
      <c r="J37" s="544"/>
      <c r="K37" s="544"/>
      <c r="L37" s="1526"/>
      <c r="M37" s="1526"/>
      <c r="N37" s="1476"/>
      <c r="O37" s="546"/>
    </row>
    <row r="38" spans="1:15" s="183" customFormat="1" ht="23.25" customHeight="1">
      <c r="A38" s="1493"/>
      <c r="B38" s="1532"/>
      <c r="C38" s="1530"/>
      <c r="D38" s="1532"/>
      <c r="E38" s="1532"/>
      <c r="F38" s="590"/>
      <c r="G38" s="544"/>
      <c r="H38" s="544"/>
      <c r="I38" s="545"/>
      <c r="J38" s="544"/>
      <c r="K38" s="544"/>
      <c r="L38" s="1526"/>
      <c r="M38" s="1526"/>
      <c r="N38" s="1476"/>
      <c r="O38" s="546"/>
    </row>
    <row r="39" spans="1:15" s="183" customFormat="1" ht="23.25" customHeight="1">
      <c r="A39" s="1493"/>
      <c r="B39" s="1532"/>
      <c r="C39" s="1530"/>
      <c r="D39" s="1532"/>
      <c r="E39" s="1532"/>
      <c r="F39" s="590"/>
      <c r="G39" s="544"/>
      <c r="H39" s="544"/>
      <c r="I39" s="545"/>
      <c r="J39" s="544"/>
      <c r="K39" s="544"/>
      <c r="L39" s="1526"/>
      <c r="M39" s="1526"/>
      <c r="N39" s="1476"/>
      <c r="O39" s="546"/>
    </row>
    <row r="40" spans="1:15" s="183" customFormat="1" ht="23.25" customHeight="1">
      <c r="A40" s="1493"/>
      <c r="B40" s="1532"/>
      <c r="C40" s="1530"/>
      <c r="D40" s="1532"/>
      <c r="E40" s="1532"/>
      <c r="F40" s="590"/>
      <c r="G40" s="544"/>
      <c r="H40" s="544"/>
      <c r="I40" s="545"/>
      <c r="J40" s="544"/>
      <c r="K40" s="544"/>
      <c r="L40" s="1526"/>
      <c r="M40" s="1526"/>
      <c r="N40" s="1476"/>
      <c r="O40" s="546"/>
    </row>
    <row r="41" spans="1:15" s="183" customFormat="1" ht="23.25" customHeight="1">
      <c r="A41" s="1493"/>
      <c r="B41" s="1532"/>
      <c r="C41" s="1530"/>
      <c r="D41" s="1532"/>
      <c r="E41" s="1532"/>
      <c r="F41" s="590"/>
      <c r="G41" s="544"/>
      <c r="H41" s="544"/>
      <c r="I41" s="545"/>
      <c r="J41" s="544"/>
      <c r="K41" s="544"/>
      <c r="L41" s="1526"/>
      <c r="M41" s="1526"/>
      <c r="N41" s="1476"/>
      <c r="O41" s="546"/>
    </row>
    <row r="42" spans="1:15" s="183" customFormat="1" ht="23.25" customHeight="1">
      <c r="A42" s="1493"/>
      <c r="B42" s="1532"/>
      <c r="C42" s="1530"/>
      <c r="D42" s="1532"/>
      <c r="E42" s="1532"/>
      <c r="F42" s="590"/>
      <c r="G42" s="544"/>
      <c r="H42" s="544"/>
      <c r="I42" s="545"/>
      <c r="J42" s="544"/>
      <c r="K42" s="544"/>
      <c r="L42" s="1526"/>
      <c r="M42" s="1526"/>
      <c r="N42" s="1476"/>
      <c r="O42" s="546"/>
    </row>
    <row r="43" spans="1:15" s="183" customFormat="1" ht="23.25" customHeight="1">
      <c r="A43" s="1493"/>
      <c r="B43" s="1532"/>
      <c r="C43" s="1530"/>
      <c r="D43" s="1532"/>
      <c r="E43" s="1532"/>
      <c r="F43" s="590"/>
      <c r="G43" s="544"/>
      <c r="H43" s="544"/>
      <c r="I43" s="545"/>
      <c r="J43" s="544"/>
      <c r="K43" s="544"/>
      <c r="L43" s="1526"/>
      <c r="M43" s="1526"/>
      <c r="N43" s="1476"/>
      <c r="O43" s="546"/>
    </row>
    <row r="44" spans="1:15" s="183" customFormat="1" ht="23.25" customHeight="1">
      <c r="A44" s="1493"/>
      <c r="B44" s="1532"/>
      <c r="C44" s="1530"/>
      <c r="D44" s="1532"/>
      <c r="E44" s="1532"/>
      <c r="F44" s="590"/>
      <c r="G44" s="544"/>
      <c r="H44" s="544"/>
      <c r="I44" s="545"/>
      <c r="J44" s="544"/>
      <c r="K44" s="544"/>
      <c r="L44" s="1526"/>
      <c r="M44" s="1526"/>
      <c r="N44" s="1476"/>
      <c r="O44" s="546"/>
    </row>
    <row r="45" spans="1:15" s="183" customFormat="1" ht="23.25" customHeight="1">
      <c r="A45" s="1493"/>
      <c r="B45" s="1532"/>
      <c r="C45" s="1530"/>
      <c r="D45" s="1532"/>
      <c r="E45" s="1532"/>
      <c r="F45" s="590"/>
      <c r="G45" s="544"/>
      <c r="H45" s="544"/>
      <c r="I45" s="545"/>
      <c r="J45" s="544"/>
      <c r="K45" s="544"/>
      <c r="L45" s="1526"/>
      <c r="M45" s="1526"/>
      <c r="N45" s="1476"/>
      <c r="O45" s="546"/>
    </row>
    <row r="46" spans="1:15" s="183" customFormat="1" ht="23.25" customHeight="1">
      <c r="A46" s="1493"/>
      <c r="B46" s="1532"/>
      <c r="C46" s="1530"/>
      <c r="D46" s="1532"/>
      <c r="E46" s="1532"/>
      <c r="F46" s="590"/>
      <c r="G46" s="544"/>
      <c r="H46" s="544"/>
      <c r="I46" s="545"/>
      <c r="J46" s="544"/>
      <c r="K46" s="544"/>
      <c r="L46" s="1526"/>
      <c r="M46" s="1526"/>
      <c r="N46" s="1476"/>
      <c r="O46" s="546"/>
    </row>
    <row r="47" spans="1:15" s="183" customFormat="1" ht="23.25" customHeight="1">
      <c r="A47" s="1493"/>
      <c r="B47" s="1532"/>
      <c r="C47" s="1530"/>
      <c r="D47" s="1532"/>
      <c r="E47" s="1532"/>
      <c r="F47" s="590"/>
      <c r="G47" s="544"/>
      <c r="H47" s="544"/>
      <c r="I47" s="545"/>
      <c r="J47" s="544"/>
      <c r="K47" s="544"/>
      <c r="L47" s="1526"/>
      <c r="M47" s="1526"/>
      <c r="N47" s="1476"/>
      <c r="O47" s="546"/>
    </row>
    <row r="48" spans="1:15" s="183" customFormat="1" ht="23.25" customHeight="1">
      <c r="A48" s="1493"/>
      <c r="B48" s="1532"/>
      <c r="C48" s="1530"/>
      <c r="D48" s="1532"/>
      <c r="E48" s="1532"/>
      <c r="F48" s="590"/>
      <c r="G48" s="544"/>
      <c r="H48" s="544"/>
      <c r="I48" s="545"/>
      <c r="J48" s="544"/>
      <c r="K48" s="544"/>
      <c r="L48" s="1526"/>
      <c r="M48" s="1526"/>
      <c r="N48" s="1476"/>
      <c r="O48" s="546"/>
    </row>
    <row r="49" spans="1:15" s="183" customFormat="1" ht="23.25" customHeight="1">
      <c r="A49" s="1493"/>
      <c r="B49" s="1532"/>
      <c r="C49" s="1530"/>
      <c r="D49" s="1532"/>
      <c r="E49" s="1532"/>
      <c r="F49" s="590"/>
      <c r="G49" s="544"/>
      <c r="H49" s="544"/>
      <c r="I49" s="545"/>
      <c r="J49" s="544"/>
      <c r="K49" s="544"/>
      <c r="L49" s="1526"/>
      <c r="M49" s="1526"/>
      <c r="N49" s="1476"/>
      <c r="O49" s="546"/>
    </row>
    <row r="50" spans="1:15" s="183" customFormat="1" ht="23.25" customHeight="1">
      <c r="A50" s="1493"/>
      <c r="B50" s="1532"/>
      <c r="C50" s="1530"/>
      <c r="D50" s="1532"/>
      <c r="E50" s="1532"/>
      <c r="F50" s="590"/>
      <c r="G50" s="544"/>
      <c r="H50" s="544"/>
      <c r="I50" s="545"/>
      <c r="J50" s="544"/>
      <c r="K50" s="544"/>
      <c r="L50" s="1526"/>
      <c r="M50" s="1526"/>
      <c r="N50" s="1476"/>
      <c r="O50" s="546"/>
    </row>
    <row r="51" spans="1:15" s="183" customFormat="1" ht="23.25" customHeight="1">
      <c r="A51" s="1493"/>
      <c r="B51" s="1532"/>
      <c r="C51" s="1530"/>
      <c r="D51" s="1532"/>
      <c r="E51" s="1532"/>
      <c r="F51" s="590"/>
      <c r="G51" s="544"/>
      <c r="H51" s="544"/>
      <c r="I51" s="545"/>
      <c r="J51" s="544"/>
      <c r="K51" s="544"/>
      <c r="L51" s="1526"/>
      <c r="M51" s="1526"/>
      <c r="N51" s="1476"/>
      <c r="O51" s="546"/>
    </row>
    <row r="52" spans="1:15" s="183" customFormat="1" ht="23.25" customHeight="1">
      <c r="A52" s="1493"/>
      <c r="B52" s="1532"/>
      <c r="C52" s="1530"/>
      <c r="D52" s="1532"/>
      <c r="E52" s="1532"/>
      <c r="F52" s="590"/>
      <c r="G52" s="544"/>
      <c r="H52" s="544"/>
      <c r="I52" s="545"/>
      <c r="J52" s="544"/>
      <c r="K52" s="544"/>
      <c r="L52" s="1526"/>
      <c r="M52" s="1526"/>
      <c r="N52" s="1476"/>
      <c r="O52" s="546"/>
    </row>
    <row r="53" spans="1:15" s="183" customFormat="1" ht="23.25" customHeight="1">
      <c r="A53" s="1493"/>
      <c r="B53" s="1532"/>
      <c r="C53" s="1530"/>
      <c r="D53" s="1532"/>
      <c r="E53" s="1532"/>
      <c r="F53" s="590"/>
      <c r="G53" s="544"/>
      <c r="H53" s="544"/>
      <c r="I53" s="545"/>
      <c r="J53" s="544"/>
      <c r="K53" s="544"/>
      <c r="L53" s="1526"/>
      <c r="M53" s="1526"/>
      <c r="N53" s="1476"/>
      <c r="O53" s="546"/>
    </row>
    <row r="54" spans="1:15" s="183" customFormat="1" ht="23.25" customHeight="1">
      <c r="A54" s="1493"/>
      <c r="B54" s="1532"/>
      <c r="C54" s="1530"/>
      <c r="D54" s="1532"/>
      <c r="E54" s="1532"/>
      <c r="F54" s="590"/>
      <c r="G54" s="544"/>
      <c r="H54" s="544"/>
      <c r="I54" s="545"/>
      <c r="J54" s="544"/>
      <c r="K54" s="544"/>
      <c r="L54" s="1526"/>
      <c r="M54" s="1526"/>
      <c r="N54" s="1476"/>
      <c r="O54" s="546"/>
    </row>
    <row r="55" spans="1:15" s="183" customFormat="1" ht="23.25" customHeight="1">
      <c r="A55" s="1493"/>
      <c r="B55" s="1532"/>
      <c r="C55" s="1530"/>
      <c r="D55" s="1532"/>
      <c r="E55" s="1532"/>
      <c r="F55" s="590"/>
      <c r="G55" s="544"/>
      <c r="H55" s="544"/>
      <c r="I55" s="545"/>
      <c r="J55" s="544"/>
      <c r="K55" s="544"/>
      <c r="L55" s="1526"/>
      <c r="M55" s="1526"/>
      <c r="N55" s="1476"/>
      <c r="O55" s="546"/>
    </row>
    <row r="56" spans="1:15" s="183" customFormat="1" ht="23.25" customHeight="1">
      <c r="A56" s="1493"/>
      <c r="B56" s="1532"/>
      <c r="C56" s="1530"/>
      <c r="D56" s="1532"/>
      <c r="E56" s="1532"/>
      <c r="F56" s="590"/>
      <c r="G56" s="544"/>
      <c r="H56" s="544"/>
      <c r="I56" s="545"/>
      <c r="J56" s="544"/>
      <c r="K56" s="544"/>
      <c r="L56" s="1526"/>
      <c r="M56" s="1526"/>
      <c r="N56" s="1476"/>
      <c r="O56" s="546"/>
    </row>
    <row r="57" spans="1:15" s="183" customFormat="1" ht="23.25" customHeight="1">
      <c r="A57" s="1493"/>
      <c r="B57" s="1532"/>
      <c r="C57" s="1530"/>
      <c r="D57" s="1532"/>
      <c r="E57" s="1532"/>
      <c r="F57" s="590"/>
      <c r="G57" s="544"/>
      <c r="H57" s="544"/>
      <c r="I57" s="545"/>
      <c r="J57" s="544"/>
      <c r="K57" s="544"/>
      <c r="L57" s="1526"/>
      <c r="M57" s="1526"/>
      <c r="N57" s="1476"/>
      <c r="O57" s="546"/>
    </row>
    <row r="58" spans="1:15" s="183" customFormat="1" ht="23.25" customHeight="1">
      <c r="A58" s="1493"/>
      <c r="B58" s="1532"/>
      <c r="C58" s="1530"/>
      <c r="D58" s="1532"/>
      <c r="E58" s="1532"/>
      <c r="F58" s="590"/>
      <c r="G58" s="544"/>
      <c r="H58" s="544"/>
      <c r="I58" s="545"/>
      <c r="J58" s="544"/>
      <c r="K58" s="544"/>
      <c r="L58" s="1526"/>
      <c r="M58" s="1526"/>
      <c r="N58" s="1476"/>
      <c r="O58" s="546"/>
    </row>
    <row r="59" spans="1:15" s="183" customFormat="1" ht="23.25" customHeight="1">
      <c r="A59" s="1493"/>
      <c r="B59" s="1532"/>
      <c r="C59" s="1530"/>
      <c r="D59" s="1532"/>
      <c r="E59" s="1532"/>
      <c r="F59" s="590"/>
      <c r="G59" s="544"/>
      <c r="H59" s="544"/>
      <c r="I59" s="545"/>
      <c r="J59" s="544"/>
      <c r="K59" s="544"/>
      <c r="L59" s="1526"/>
      <c r="M59" s="1526"/>
      <c r="N59" s="1476"/>
      <c r="O59" s="546"/>
    </row>
    <row r="60" spans="1:15" s="183" customFormat="1" ht="23.25" customHeight="1">
      <c r="A60" s="1493"/>
      <c r="B60" s="1532"/>
      <c r="C60" s="1530"/>
      <c r="D60" s="1532"/>
      <c r="E60" s="1532"/>
      <c r="F60" s="590"/>
      <c r="G60" s="544"/>
      <c r="H60" s="544"/>
      <c r="I60" s="545"/>
      <c r="J60" s="544"/>
      <c r="K60" s="544"/>
      <c r="L60" s="1526"/>
      <c r="M60" s="1526"/>
      <c r="N60" s="1476"/>
      <c r="O60" s="546"/>
    </row>
    <row r="61" spans="1:15" s="183" customFormat="1" ht="23.25" customHeight="1">
      <c r="A61" s="1493"/>
      <c r="B61" s="1532"/>
      <c r="C61" s="1530"/>
      <c r="D61" s="1532"/>
      <c r="E61" s="1532"/>
      <c r="F61" s="590"/>
      <c r="G61" s="544"/>
      <c r="H61" s="544"/>
      <c r="I61" s="545"/>
      <c r="J61" s="544"/>
      <c r="K61" s="544"/>
      <c r="L61" s="1526"/>
      <c r="M61" s="1526"/>
      <c r="N61" s="1476"/>
      <c r="O61" s="546"/>
    </row>
    <row r="62" spans="1:15" s="183" customFormat="1" ht="23.25" customHeight="1">
      <c r="A62" s="1493"/>
      <c r="B62" s="1532"/>
      <c r="C62" s="1530"/>
      <c r="D62" s="1532"/>
      <c r="E62" s="1532"/>
      <c r="F62" s="590"/>
      <c r="G62" s="544"/>
      <c r="H62" s="544"/>
      <c r="I62" s="545"/>
      <c r="J62" s="544"/>
      <c r="K62" s="544"/>
      <c r="L62" s="1526"/>
      <c r="M62" s="1526"/>
      <c r="N62" s="1476"/>
      <c r="O62" s="546"/>
    </row>
    <row r="63" spans="1:15" s="183" customFormat="1" ht="23.25" customHeight="1">
      <c r="A63" s="1493"/>
      <c r="B63" s="1532"/>
      <c r="C63" s="1530"/>
      <c r="D63" s="1532"/>
      <c r="E63" s="1532"/>
      <c r="F63" s="590"/>
      <c r="G63" s="544"/>
      <c r="H63" s="544"/>
      <c r="I63" s="545"/>
      <c r="J63" s="544"/>
      <c r="K63" s="544"/>
      <c r="L63" s="1526"/>
      <c r="M63" s="1526"/>
      <c r="N63" s="1476"/>
      <c r="O63" s="546"/>
    </row>
    <row r="64" spans="1:15" s="183" customFormat="1" ht="23.25" customHeight="1">
      <c r="A64" s="1493"/>
      <c r="B64" s="1532"/>
      <c r="C64" s="1530"/>
      <c r="D64" s="1532"/>
      <c r="E64" s="1532"/>
      <c r="F64" s="590"/>
      <c r="G64" s="544"/>
      <c r="H64" s="544"/>
      <c r="I64" s="545"/>
      <c r="J64" s="544"/>
      <c r="K64" s="544"/>
      <c r="L64" s="1526"/>
      <c r="M64" s="1526"/>
      <c r="N64" s="1476"/>
      <c r="O64" s="546"/>
    </row>
    <row r="65" spans="1:15" s="183" customFormat="1" ht="23.25" customHeight="1">
      <c r="A65" s="1493"/>
      <c r="B65" s="1532"/>
      <c r="C65" s="1530"/>
      <c r="D65" s="1532"/>
      <c r="E65" s="1532"/>
      <c r="F65" s="590"/>
      <c r="G65" s="544"/>
      <c r="H65" s="544"/>
      <c r="I65" s="545"/>
      <c r="J65" s="544"/>
      <c r="K65" s="544"/>
      <c r="L65" s="1526"/>
      <c r="M65" s="1526"/>
      <c r="N65" s="1476"/>
      <c r="O65" s="546"/>
    </row>
    <row r="66" spans="1:15" s="183" customFormat="1" ht="23.25" customHeight="1">
      <c r="A66" s="1493"/>
      <c r="B66" s="1532"/>
      <c r="C66" s="1530"/>
      <c r="D66" s="1532"/>
      <c r="E66" s="1532"/>
      <c r="F66" s="590"/>
      <c r="G66" s="544"/>
      <c r="H66" s="544"/>
      <c r="I66" s="545"/>
      <c r="J66" s="544"/>
      <c r="K66" s="544"/>
      <c r="L66" s="1526"/>
      <c r="M66" s="1526"/>
      <c r="N66" s="1476"/>
      <c r="O66" s="546"/>
    </row>
    <row r="67" spans="1:15" s="183" customFormat="1" ht="23.25" customHeight="1">
      <c r="A67" s="1493"/>
      <c r="B67" s="1532"/>
      <c r="C67" s="1530"/>
      <c r="D67" s="1532"/>
      <c r="E67" s="1532"/>
      <c r="F67" s="590"/>
      <c r="G67" s="544"/>
      <c r="H67" s="544"/>
      <c r="I67" s="545"/>
      <c r="J67" s="544"/>
      <c r="K67" s="544"/>
      <c r="L67" s="1526"/>
      <c r="M67" s="1526"/>
      <c r="N67" s="1476"/>
      <c r="O67" s="546"/>
    </row>
    <row r="68" spans="1:15" s="183" customFormat="1" ht="23.25" customHeight="1">
      <c r="A68" s="1493"/>
      <c r="B68" s="1532"/>
      <c r="C68" s="1530"/>
      <c r="D68" s="1532"/>
      <c r="E68" s="1532"/>
      <c r="F68" s="590"/>
      <c r="G68" s="544"/>
      <c r="H68" s="544"/>
      <c r="I68" s="545"/>
      <c r="J68" s="544"/>
      <c r="K68" s="544"/>
      <c r="L68" s="1526"/>
      <c r="M68" s="1526"/>
      <c r="N68" s="1476"/>
      <c r="O68" s="546"/>
    </row>
    <row r="69" spans="1:15" s="183" customFormat="1" ht="23.25" customHeight="1">
      <c r="A69" s="1493"/>
      <c r="B69" s="1532"/>
      <c r="C69" s="1530"/>
      <c r="D69" s="1532"/>
      <c r="E69" s="1532"/>
      <c r="F69" s="590"/>
      <c r="G69" s="544"/>
      <c r="H69" s="544"/>
      <c r="I69" s="545"/>
      <c r="J69" s="544"/>
      <c r="K69" s="544"/>
      <c r="L69" s="1526"/>
      <c r="M69" s="1526"/>
      <c r="N69" s="1476"/>
      <c r="O69" s="546"/>
    </row>
    <row r="70" spans="1:15" s="183" customFormat="1" ht="23.25" customHeight="1">
      <c r="A70" s="1493"/>
      <c r="B70" s="1532"/>
      <c r="C70" s="1530"/>
      <c r="D70" s="1532"/>
      <c r="E70" s="1532"/>
      <c r="F70" s="590"/>
      <c r="G70" s="544"/>
      <c r="H70" s="544"/>
      <c r="I70" s="545"/>
      <c r="J70" s="544"/>
      <c r="K70" s="544"/>
      <c r="L70" s="1526"/>
      <c r="M70" s="1526"/>
      <c r="N70" s="1476"/>
      <c r="O70" s="546"/>
    </row>
    <row r="71" spans="1:15" s="183" customFormat="1" ht="23.25" customHeight="1">
      <c r="A71" s="1493"/>
      <c r="B71" s="1532"/>
      <c r="C71" s="1530"/>
      <c r="D71" s="1532"/>
      <c r="E71" s="1532"/>
      <c r="F71" s="590"/>
      <c r="G71" s="544"/>
      <c r="H71" s="544"/>
      <c r="I71" s="545"/>
      <c r="J71" s="544"/>
      <c r="K71" s="544"/>
      <c r="L71" s="1526"/>
      <c r="M71" s="1526"/>
      <c r="N71" s="1476"/>
      <c r="O71" s="546"/>
    </row>
    <row r="72" spans="1:15" s="183" customFormat="1" ht="23.25" customHeight="1">
      <c r="A72" s="1493"/>
      <c r="B72" s="1532"/>
      <c r="C72" s="1530"/>
      <c r="D72" s="1532"/>
      <c r="E72" s="1532"/>
      <c r="F72" s="590"/>
      <c r="G72" s="544"/>
      <c r="H72" s="544"/>
      <c r="I72" s="545"/>
      <c r="J72" s="544"/>
      <c r="K72" s="544"/>
      <c r="L72" s="1526"/>
      <c r="M72" s="1526"/>
      <c r="N72" s="1476"/>
      <c r="O72" s="546"/>
    </row>
    <row r="73" spans="1:15" s="183" customFormat="1" ht="23.25" customHeight="1">
      <c r="A73" s="1493"/>
      <c r="B73" s="1532"/>
      <c r="C73" s="1530"/>
      <c r="D73" s="1532"/>
      <c r="E73" s="1532"/>
      <c r="F73" s="590"/>
      <c r="G73" s="544"/>
      <c r="H73" s="544"/>
      <c r="I73" s="545"/>
      <c r="J73" s="544"/>
      <c r="K73" s="544"/>
      <c r="L73" s="1526"/>
      <c r="M73" s="1526"/>
      <c r="N73" s="1476"/>
      <c r="O73" s="546"/>
    </row>
    <row r="74" spans="1:15" s="183" customFormat="1" ht="23.25" customHeight="1">
      <c r="A74" s="1493"/>
      <c r="B74" s="1532"/>
      <c r="C74" s="1530"/>
      <c r="D74" s="1532"/>
      <c r="E74" s="1532"/>
      <c r="F74" s="590"/>
      <c r="G74" s="544"/>
      <c r="H74" s="544"/>
      <c r="I74" s="545"/>
      <c r="J74" s="544"/>
      <c r="K74" s="544"/>
      <c r="L74" s="1526"/>
      <c r="M74" s="1526"/>
      <c r="N74" s="1476"/>
      <c r="O74" s="546"/>
    </row>
    <row r="75" spans="1:15" s="183" customFormat="1" ht="23.25" customHeight="1">
      <c r="A75" s="1493"/>
      <c r="B75" s="1532"/>
      <c r="C75" s="1530"/>
      <c r="D75" s="1532"/>
      <c r="E75" s="1532"/>
      <c r="F75" s="590"/>
      <c r="G75" s="544"/>
      <c r="H75" s="544"/>
      <c r="I75" s="545"/>
      <c r="J75" s="544"/>
      <c r="K75" s="544"/>
      <c r="L75" s="1526"/>
      <c r="M75" s="1526"/>
      <c r="N75" s="1476"/>
      <c r="O75" s="546"/>
    </row>
    <row r="76" spans="1:15" s="183" customFormat="1" ht="23.25" customHeight="1">
      <c r="A76" s="1493"/>
      <c r="B76" s="1532"/>
      <c r="C76" s="1530"/>
      <c r="D76" s="1532"/>
      <c r="E76" s="1532"/>
      <c r="F76" s="590"/>
      <c r="G76" s="544"/>
      <c r="H76" s="544"/>
      <c r="I76" s="545"/>
      <c r="J76" s="544"/>
      <c r="K76" s="544"/>
      <c r="L76" s="1526"/>
      <c r="M76" s="1526"/>
      <c r="N76" s="1476"/>
      <c r="O76" s="546"/>
    </row>
    <row r="77" spans="1:15" s="183" customFormat="1" ht="23.25" customHeight="1">
      <c r="A77" s="1493"/>
      <c r="B77" s="1532"/>
      <c r="C77" s="1530"/>
      <c r="D77" s="1532"/>
      <c r="E77" s="1532"/>
      <c r="F77" s="590"/>
      <c r="G77" s="544"/>
      <c r="H77" s="544"/>
      <c r="I77" s="545"/>
      <c r="J77" s="544"/>
      <c r="K77" s="544"/>
      <c r="L77" s="1526"/>
      <c r="M77" s="1526"/>
      <c r="N77" s="1476"/>
      <c r="O77" s="546"/>
    </row>
    <row r="78" spans="1:15" s="183" customFormat="1" ht="23.25" customHeight="1">
      <c r="A78" s="1493"/>
      <c r="B78" s="1532"/>
      <c r="C78" s="1530"/>
      <c r="D78" s="1532"/>
      <c r="E78" s="1532"/>
      <c r="F78" s="590"/>
      <c r="G78" s="544"/>
      <c r="H78" s="544"/>
      <c r="I78" s="545"/>
      <c r="J78" s="544"/>
      <c r="K78" s="544"/>
      <c r="L78" s="1526"/>
      <c r="M78" s="1526"/>
      <c r="N78" s="1476"/>
      <c r="O78" s="546"/>
    </row>
    <row r="79" spans="1:15" s="183" customFormat="1" ht="23.25" customHeight="1">
      <c r="A79" s="1493"/>
      <c r="B79" s="1532"/>
      <c r="C79" s="1530"/>
      <c r="D79" s="1532"/>
      <c r="E79" s="1532"/>
      <c r="F79" s="590"/>
      <c r="G79" s="544"/>
      <c r="H79" s="544"/>
      <c r="I79" s="545"/>
      <c r="J79" s="544"/>
      <c r="K79" s="544"/>
      <c r="L79" s="1526"/>
      <c r="M79" s="1526"/>
      <c r="N79" s="1476"/>
      <c r="O79" s="546"/>
    </row>
    <row r="80" spans="1:15" s="183" customFormat="1" ht="23.25" customHeight="1">
      <c r="A80" s="1493"/>
      <c r="B80" s="1532"/>
      <c r="C80" s="1530"/>
      <c r="D80" s="1532"/>
      <c r="E80" s="1532"/>
      <c r="F80" s="590"/>
      <c r="G80" s="544"/>
      <c r="H80" s="544"/>
      <c r="I80" s="545"/>
      <c r="J80" s="544"/>
      <c r="K80" s="544"/>
      <c r="L80" s="1526"/>
      <c r="M80" s="1526"/>
      <c r="N80" s="1476"/>
      <c r="O80" s="546"/>
    </row>
    <row r="81" spans="1:15" s="183" customFormat="1" ht="23.25" customHeight="1">
      <c r="A81" s="1493"/>
      <c r="B81" s="1532"/>
      <c r="C81" s="1530"/>
      <c r="D81" s="1532"/>
      <c r="E81" s="1532"/>
      <c r="F81" s="590"/>
      <c r="G81" s="544"/>
      <c r="H81" s="544"/>
      <c r="I81" s="545"/>
      <c r="J81" s="544"/>
      <c r="K81" s="544"/>
      <c r="L81" s="1526"/>
      <c r="M81" s="1526"/>
      <c r="N81" s="1476"/>
      <c r="O81" s="546"/>
    </row>
    <row r="82" spans="1:15" s="183" customFormat="1" ht="23.25" customHeight="1">
      <c r="A82" s="1493"/>
      <c r="B82" s="1532"/>
      <c r="C82" s="1530"/>
      <c r="D82" s="1532"/>
      <c r="E82" s="1532"/>
      <c r="F82" s="590"/>
      <c r="G82" s="544"/>
      <c r="H82" s="544"/>
      <c r="I82" s="545"/>
      <c r="J82" s="544"/>
      <c r="K82" s="544"/>
      <c r="L82" s="1526"/>
      <c r="M82" s="1526"/>
      <c r="N82" s="1476"/>
      <c r="O82" s="546"/>
    </row>
    <row r="83" spans="1:15" s="183" customFormat="1" ht="23.25" customHeight="1">
      <c r="A83" s="1493"/>
      <c r="B83" s="1532"/>
      <c r="C83" s="1530"/>
      <c r="D83" s="1532"/>
      <c r="E83" s="1532"/>
      <c r="F83" s="590"/>
      <c r="G83" s="544"/>
      <c r="H83" s="544"/>
      <c r="I83" s="545"/>
      <c r="J83" s="544"/>
      <c r="K83" s="544"/>
      <c r="L83" s="1526"/>
      <c r="M83" s="1526"/>
      <c r="N83" s="1476"/>
      <c r="O83" s="546"/>
    </row>
    <row r="84" spans="1:15" s="183" customFormat="1" ht="23.25" customHeight="1">
      <c r="A84" s="1493"/>
      <c r="B84" s="1532"/>
      <c r="C84" s="1530"/>
      <c r="D84" s="1532"/>
      <c r="E84" s="1532"/>
      <c r="F84" s="590"/>
      <c r="G84" s="544"/>
      <c r="H84" s="544"/>
      <c r="I84" s="545"/>
      <c r="J84" s="544"/>
      <c r="K84" s="544"/>
      <c r="L84" s="1526"/>
      <c r="M84" s="1526"/>
      <c r="N84" s="1476"/>
      <c r="O84" s="546"/>
    </row>
    <row r="85" spans="1:15" s="183" customFormat="1" ht="23.25" customHeight="1">
      <c r="A85" s="1493"/>
      <c r="B85" s="1532"/>
      <c r="C85" s="1530"/>
      <c r="D85" s="1532"/>
      <c r="E85" s="1532"/>
      <c r="F85" s="590"/>
      <c r="G85" s="544"/>
      <c r="H85" s="544"/>
      <c r="I85" s="545"/>
      <c r="J85" s="544"/>
      <c r="K85" s="544"/>
      <c r="L85" s="1526"/>
      <c r="M85" s="1526"/>
      <c r="N85" s="1476"/>
      <c r="O85" s="546"/>
    </row>
    <row r="86" spans="1:15" s="183" customFormat="1" ht="23.25" customHeight="1">
      <c r="A86" s="1493"/>
      <c r="B86" s="1532"/>
      <c r="C86" s="1530"/>
      <c r="D86" s="1532"/>
      <c r="E86" s="1532"/>
      <c r="F86" s="590"/>
      <c r="G86" s="544"/>
      <c r="H86" s="544"/>
      <c r="I86" s="545"/>
      <c r="J86" s="544"/>
      <c r="K86" s="544"/>
      <c r="L86" s="1526"/>
      <c r="M86" s="1526"/>
      <c r="N86" s="1476"/>
      <c r="O86" s="546"/>
    </row>
    <row r="87" spans="1:15" s="183" customFormat="1" ht="23.25" customHeight="1">
      <c r="A87" s="1493"/>
      <c r="B87" s="1532"/>
      <c r="C87" s="1530"/>
      <c r="D87" s="1532"/>
      <c r="E87" s="1532"/>
      <c r="F87" s="590"/>
      <c r="G87" s="544"/>
      <c r="H87" s="544"/>
      <c r="I87" s="545"/>
      <c r="J87" s="544"/>
      <c r="K87" s="544"/>
      <c r="L87" s="1526"/>
      <c r="M87" s="1526"/>
      <c r="N87" s="1476"/>
      <c r="O87" s="546"/>
    </row>
    <row r="88" spans="1:15" s="183" customFormat="1" ht="23.25" customHeight="1">
      <c r="A88" s="1493"/>
      <c r="B88" s="1532"/>
      <c r="C88" s="1530"/>
      <c r="D88" s="1532"/>
      <c r="E88" s="1532"/>
      <c r="F88" s="590"/>
      <c r="G88" s="544"/>
      <c r="H88" s="544"/>
      <c r="I88" s="545"/>
      <c r="J88" s="544"/>
      <c r="K88" s="544"/>
      <c r="L88" s="1526"/>
      <c r="M88" s="1526"/>
      <c r="N88" s="1476"/>
      <c r="O88" s="546"/>
    </row>
    <row r="89" spans="1:15" s="183" customFormat="1" ht="23.25" customHeight="1">
      <c r="A89" s="1493"/>
      <c r="B89" s="1532"/>
      <c r="C89" s="1530"/>
      <c r="D89" s="1532"/>
      <c r="E89" s="1532"/>
      <c r="F89" s="590"/>
      <c r="G89" s="544"/>
      <c r="H89" s="544"/>
      <c r="I89" s="545"/>
      <c r="J89" s="544"/>
      <c r="K89" s="544"/>
      <c r="L89" s="1526"/>
      <c r="M89" s="1526"/>
      <c r="N89" s="1476"/>
      <c r="O89" s="546"/>
    </row>
    <row r="90" spans="1:15" s="183" customFormat="1" ht="23.25" customHeight="1">
      <c r="A90" s="1493"/>
      <c r="B90" s="1532"/>
      <c r="C90" s="1530"/>
      <c r="D90" s="1532"/>
      <c r="E90" s="1532"/>
      <c r="F90" s="590"/>
      <c r="G90" s="544"/>
      <c r="H90" s="544"/>
      <c r="I90" s="545"/>
      <c r="J90" s="544"/>
      <c r="K90" s="544"/>
      <c r="L90" s="1526"/>
      <c r="M90" s="1526"/>
      <c r="N90" s="1476"/>
      <c r="O90" s="546"/>
    </row>
    <row r="91" spans="1:15" s="183" customFormat="1" ht="23.25" customHeight="1">
      <c r="A91" s="1493"/>
      <c r="B91" s="1532"/>
      <c r="C91" s="1530"/>
      <c r="D91" s="1532"/>
      <c r="E91" s="1532"/>
      <c r="F91" s="590"/>
      <c r="G91" s="544"/>
      <c r="H91" s="544"/>
      <c r="I91" s="545"/>
      <c r="J91" s="544"/>
      <c r="K91" s="544"/>
      <c r="L91" s="1526"/>
      <c r="M91" s="1526"/>
      <c r="N91" s="1476"/>
      <c r="O91" s="546"/>
    </row>
    <row r="92" spans="1:15" s="183" customFormat="1" ht="23.25" customHeight="1">
      <c r="A92" s="1493"/>
      <c r="B92" s="1532"/>
      <c r="C92" s="1530"/>
      <c r="D92" s="1532"/>
      <c r="E92" s="1532"/>
      <c r="F92" s="590"/>
      <c r="G92" s="544"/>
      <c r="H92" s="544"/>
      <c r="I92" s="545"/>
      <c r="J92" s="544"/>
      <c r="K92" s="544"/>
      <c r="L92" s="1526"/>
      <c r="M92" s="1526"/>
      <c r="N92" s="1476"/>
      <c r="O92" s="546"/>
    </row>
    <row r="93" spans="1:15" s="183" customFormat="1" ht="23.25" customHeight="1">
      <c r="A93" s="1493"/>
      <c r="B93" s="1532"/>
      <c r="C93" s="1530"/>
      <c r="D93" s="1532"/>
      <c r="E93" s="1532"/>
      <c r="F93" s="590"/>
      <c r="G93" s="544"/>
      <c r="H93" s="544"/>
      <c r="I93" s="545"/>
      <c r="J93" s="544"/>
      <c r="K93" s="544"/>
      <c r="L93" s="1526"/>
      <c r="M93" s="1526"/>
      <c r="N93" s="1476"/>
      <c r="O93" s="546"/>
    </row>
    <row r="94" spans="1:15" s="183" customFormat="1" ht="23.25" customHeight="1">
      <c r="A94" s="1493"/>
      <c r="B94" s="1532"/>
      <c r="C94" s="1530"/>
      <c r="D94" s="1532"/>
      <c r="E94" s="1532"/>
      <c r="F94" s="590"/>
      <c r="G94" s="544"/>
      <c r="H94" s="544"/>
      <c r="I94" s="545"/>
      <c r="J94" s="544"/>
      <c r="K94" s="544"/>
      <c r="L94" s="1526"/>
      <c r="M94" s="1526"/>
      <c r="N94" s="1476"/>
      <c r="O94" s="546"/>
    </row>
    <row r="95" spans="1:15" s="183" customFormat="1" ht="23.25" customHeight="1">
      <c r="A95" s="1493"/>
      <c r="B95" s="1532"/>
      <c r="C95" s="1530"/>
      <c r="D95" s="1532"/>
      <c r="E95" s="1532"/>
      <c r="F95" s="590"/>
      <c r="G95" s="544"/>
      <c r="H95" s="544"/>
      <c r="I95" s="545"/>
      <c r="J95" s="544"/>
      <c r="K95" s="544"/>
      <c r="L95" s="1526"/>
      <c r="M95" s="1526"/>
      <c r="N95" s="1476"/>
      <c r="O95" s="546"/>
    </row>
    <row r="96" spans="1:15" s="183" customFormat="1" ht="23.25" customHeight="1">
      <c r="A96" s="1493"/>
      <c r="B96" s="1532"/>
      <c r="C96" s="1530"/>
      <c r="D96" s="1532"/>
      <c r="E96" s="1532"/>
      <c r="F96" s="590"/>
      <c r="G96" s="544"/>
      <c r="H96" s="544"/>
      <c r="I96" s="545"/>
      <c r="J96" s="544"/>
      <c r="K96" s="544"/>
      <c r="L96" s="1526"/>
      <c r="M96" s="1526"/>
      <c r="N96" s="1476"/>
      <c r="O96" s="546"/>
    </row>
    <row r="97" spans="1:15" s="183" customFormat="1" ht="23.25" customHeight="1">
      <c r="A97" s="1493"/>
      <c r="B97" s="1532"/>
      <c r="C97" s="1530"/>
      <c r="D97" s="1532"/>
      <c r="E97" s="1532"/>
      <c r="F97" s="590"/>
      <c r="G97" s="544"/>
      <c r="H97" s="544"/>
      <c r="I97" s="545"/>
      <c r="J97" s="544"/>
      <c r="K97" s="544"/>
      <c r="L97" s="1526"/>
      <c r="M97" s="1526"/>
      <c r="N97" s="1476"/>
      <c r="O97" s="546"/>
    </row>
    <row r="98" spans="1:15" s="183" customFormat="1" ht="23.25" customHeight="1">
      <c r="A98" s="1493"/>
      <c r="B98" s="1532"/>
      <c r="C98" s="1530"/>
      <c r="D98" s="1532"/>
      <c r="E98" s="1532"/>
      <c r="F98" s="590"/>
      <c r="G98" s="544"/>
      <c r="H98" s="544"/>
      <c r="I98" s="545"/>
      <c r="J98" s="544"/>
      <c r="K98" s="544"/>
      <c r="L98" s="1526"/>
      <c r="M98" s="1526"/>
      <c r="N98" s="1476"/>
      <c r="O98" s="546"/>
    </row>
    <row r="99" spans="1:15" s="183" customFormat="1" ht="23.25" customHeight="1">
      <c r="A99" s="1493"/>
      <c r="B99" s="1532"/>
      <c r="C99" s="1530"/>
      <c r="D99" s="1532"/>
      <c r="E99" s="1532"/>
      <c r="F99" s="590"/>
      <c r="G99" s="544"/>
      <c r="H99" s="544"/>
      <c r="I99" s="545"/>
      <c r="J99" s="544"/>
      <c r="K99" s="544"/>
      <c r="L99" s="1526"/>
      <c r="M99" s="1526"/>
      <c r="N99" s="1476"/>
      <c r="O99" s="546"/>
    </row>
    <row r="100" spans="1:15" s="183" customFormat="1" ht="23.25" customHeight="1">
      <c r="A100" s="1493"/>
      <c r="B100" s="1532"/>
      <c r="C100" s="1530"/>
      <c r="D100" s="1532"/>
      <c r="E100" s="1532"/>
      <c r="F100" s="590"/>
      <c r="G100" s="544"/>
      <c r="H100" s="544"/>
      <c r="I100" s="545"/>
      <c r="J100" s="544"/>
      <c r="K100" s="544"/>
      <c r="L100" s="1526"/>
      <c r="M100" s="1526"/>
      <c r="N100" s="1476"/>
      <c r="O100" s="546"/>
    </row>
    <row r="101" spans="1:15" s="183" customFormat="1" ht="23.25" customHeight="1">
      <c r="A101" s="1493"/>
      <c r="B101" s="1532"/>
      <c r="C101" s="1530"/>
      <c r="D101" s="1532"/>
      <c r="E101" s="1532"/>
      <c r="F101" s="590"/>
      <c r="G101" s="544"/>
      <c r="H101" s="544"/>
      <c r="I101" s="545"/>
      <c r="J101" s="544"/>
      <c r="K101" s="544"/>
      <c r="L101" s="1526"/>
      <c r="M101" s="1526"/>
      <c r="N101" s="1476"/>
      <c r="O101" s="546"/>
    </row>
    <row r="102" spans="1:15" s="183" customFormat="1" ht="23.25" customHeight="1">
      <c r="A102" s="1493"/>
      <c r="B102" s="1532"/>
      <c r="C102" s="1530"/>
      <c r="D102" s="1532"/>
      <c r="E102" s="1532"/>
      <c r="F102" s="590"/>
      <c r="G102" s="544"/>
      <c r="H102" s="544"/>
      <c r="I102" s="545"/>
      <c r="J102" s="544"/>
      <c r="K102" s="544"/>
      <c r="L102" s="1526"/>
      <c r="M102" s="1526"/>
      <c r="N102" s="1476"/>
      <c r="O102" s="546"/>
    </row>
    <row r="103" spans="1:15" s="183" customFormat="1" ht="23.25" customHeight="1">
      <c r="A103" s="1493"/>
      <c r="B103" s="1532"/>
      <c r="C103" s="1530"/>
      <c r="D103" s="1532"/>
      <c r="E103" s="1532"/>
      <c r="F103" s="590"/>
      <c r="G103" s="544"/>
      <c r="H103" s="544"/>
      <c r="I103" s="545"/>
      <c r="J103" s="544"/>
      <c r="K103" s="544"/>
      <c r="L103" s="1526"/>
      <c r="M103" s="1526"/>
      <c r="N103" s="1476"/>
      <c r="O103" s="546"/>
    </row>
    <row r="104" spans="1:15" s="183" customFormat="1" ht="23.25" customHeight="1">
      <c r="A104" s="1493"/>
      <c r="B104" s="1532"/>
      <c r="C104" s="1530"/>
      <c r="D104" s="1532"/>
      <c r="E104" s="1532"/>
      <c r="F104" s="590"/>
      <c r="G104" s="544"/>
      <c r="H104" s="544"/>
      <c r="I104" s="545"/>
      <c r="J104" s="544"/>
      <c r="K104" s="544"/>
      <c r="L104" s="1526"/>
      <c r="M104" s="1526"/>
      <c r="N104" s="1476"/>
      <c r="O104" s="546"/>
    </row>
    <row r="105" spans="1:15" s="183" customFormat="1" ht="23.25" customHeight="1">
      <c r="A105" s="1493"/>
      <c r="B105" s="1532"/>
      <c r="C105" s="1530"/>
      <c r="D105" s="1532"/>
      <c r="E105" s="1532"/>
      <c r="F105" s="590"/>
      <c r="G105" s="544"/>
      <c r="H105" s="544"/>
      <c r="I105" s="545"/>
      <c r="J105" s="544"/>
      <c r="K105" s="544"/>
      <c r="L105" s="1526"/>
      <c r="M105" s="1526"/>
      <c r="N105" s="1476"/>
      <c r="O105" s="546"/>
    </row>
    <row r="106" spans="1:15" s="183" customFormat="1" ht="23.25" customHeight="1">
      <c r="A106" s="1493"/>
      <c r="B106" s="1532"/>
      <c r="C106" s="1530"/>
      <c r="D106" s="1532"/>
      <c r="E106" s="1532"/>
      <c r="F106" s="590"/>
      <c r="G106" s="544"/>
      <c r="H106" s="544"/>
      <c r="I106" s="545"/>
      <c r="J106" s="544"/>
      <c r="K106" s="544"/>
      <c r="L106" s="1526"/>
      <c r="M106" s="1526"/>
      <c r="N106" s="1476"/>
      <c r="O106" s="546"/>
    </row>
    <row r="107" spans="1:15" s="183" customFormat="1" ht="23.25" customHeight="1">
      <c r="A107" s="1493"/>
      <c r="B107" s="1532"/>
      <c r="C107" s="1530"/>
      <c r="D107" s="1532"/>
      <c r="E107" s="1532"/>
      <c r="F107" s="590"/>
      <c r="G107" s="544"/>
      <c r="H107" s="544"/>
      <c r="I107" s="545"/>
      <c r="J107" s="544"/>
      <c r="K107" s="544"/>
      <c r="L107" s="1526"/>
      <c r="M107" s="1526"/>
      <c r="N107" s="1476"/>
      <c r="O107" s="546"/>
    </row>
    <row r="108" spans="1:15" s="183" customFormat="1" ht="23.25" customHeight="1">
      <c r="A108" s="1493"/>
      <c r="B108" s="1532"/>
      <c r="C108" s="1530"/>
      <c r="D108" s="1532"/>
      <c r="E108" s="1532"/>
      <c r="F108" s="590"/>
      <c r="G108" s="544"/>
      <c r="H108" s="544"/>
      <c r="I108" s="545"/>
      <c r="J108" s="544"/>
      <c r="K108" s="544"/>
      <c r="L108" s="1526"/>
      <c r="M108" s="1526"/>
      <c r="N108" s="1476"/>
      <c r="O108" s="546"/>
    </row>
    <row r="109" spans="1:15" s="183" customFormat="1" ht="23.25" customHeight="1">
      <c r="A109" s="1493"/>
      <c r="B109" s="1532"/>
      <c r="C109" s="1530"/>
      <c r="D109" s="1532"/>
      <c r="E109" s="1532"/>
      <c r="F109" s="590"/>
      <c r="G109" s="544"/>
      <c r="H109" s="544"/>
      <c r="I109" s="545"/>
      <c r="J109" s="544"/>
      <c r="K109" s="544"/>
      <c r="L109" s="1526"/>
      <c r="M109" s="1526"/>
      <c r="N109" s="1476"/>
      <c r="O109" s="546"/>
    </row>
    <row r="110" spans="1:15" s="183" customFormat="1" ht="23.25" customHeight="1">
      <c r="A110" s="1493"/>
      <c r="B110" s="1532"/>
      <c r="C110" s="1530"/>
      <c r="D110" s="1532"/>
      <c r="E110" s="1532"/>
      <c r="F110" s="590"/>
      <c r="G110" s="544"/>
      <c r="H110" s="544"/>
      <c r="I110" s="545"/>
      <c r="J110" s="544"/>
      <c r="K110" s="544"/>
      <c r="L110" s="1526"/>
      <c r="M110" s="1526"/>
      <c r="N110" s="1476"/>
      <c r="O110" s="546"/>
    </row>
    <row r="111" spans="1:15" s="183" customFormat="1" ht="23.25" customHeight="1">
      <c r="A111" s="1493"/>
      <c r="B111" s="1532"/>
      <c r="C111" s="1530"/>
      <c r="D111" s="1532"/>
      <c r="E111" s="1532"/>
      <c r="F111" s="590"/>
      <c r="G111" s="544"/>
      <c r="H111" s="544"/>
      <c r="I111" s="545"/>
      <c r="J111" s="544"/>
      <c r="K111" s="544"/>
      <c r="L111" s="1526"/>
      <c r="M111" s="1526"/>
      <c r="N111" s="1476"/>
      <c r="O111" s="546"/>
    </row>
    <row r="112" spans="1:15" s="183" customFormat="1" ht="23.25" customHeight="1">
      <c r="A112" s="1493"/>
      <c r="B112" s="1532"/>
      <c r="C112" s="1530"/>
      <c r="D112" s="1532"/>
      <c r="E112" s="1532"/>
      <c r="F112" s="590"/>
      <c r="G112" s="544"/>
      <c r="H112" s="544"/>
      <c r="I112" s="545"/>
      <c r="J112" s="544"/>
      <c r="K112" s="544"/>
      <c r="L112" s="1526"/>
      <c r="M112" s="1526"/>
      <c r="N112" s="1476"/>
      <c r="O112" s="546"/>
    </row>
    <row r="113" spans="1:15" s="183" customFormat="1" ht="23.25" customHeight="1">
      <c r="A113" s="1493"/>
      <c r="B113" s="1532"/>
      <c r="C113" s="1530"/>
      <c r="D113" s="1532"/>
      <c r="E113" s="1532"/>
      <c r="F113" s="590"/>
      <c r="G113" s="544"/>
      <c r="H113" s="544"/>
      <c r="I113" s="545"/>
      <c r="J113" s="544"/>
      <c r="K113" s="544"/>
      <c r="L113" s="1526"/>
      <c r="M113" s="1526"/>
      <c r="N113" s="1476"/>
      <c r="O113" s="546"/>
    </row>
    <row r="114" spans="1:15" s="183" customFormat="1" ht="23.25" customHeight="1">
      <c r="A114" s="1492"/>
      <c r="B114" s="1532"/>
      <c r="C114" s="1530"/>
      <c r="D114" s="1532"/>
      <c r="E114" s="1532"/>
      <c r="F114" s="590"/>
      <c r="G114" s="544"/>
      <c r="H114" s="544"/>
      <c r="I114" s="545"/>
      <c r="J114" s="544"/>
      <c r="K114" s="544"/>
      <c r="L114" s="1526"/>
      <c r="M114" s="1526"/>
      <c r="N114" s="1476"/>
      <c r="O114" s="546"/>
    </row>
    <row r="115" spans="1:15" s="183" customFormat="1" ht="23.25" customHeight="1" thickBot="1">
      <c r="A115" s="2209"/>
      <c r="B115" s="2210" t="s">
        <v>1984</v>
      </c>
      <c r="C115" s="1553"/>
      <c r="D115" s="1554"/>
      <c r="E115" s="1555"/>
      <c r="F115" s="1527"/>
      <c r="G115" s="1528">
        <f>SUM(G13:G114)</f>
        <v>0</v>
      </c>
      <c r="H115" s="1528">
        <f>SUM(H13:H114)</f>
        <v>0</v>
      </c>
      <c r="I115" s="1529"/>
      <c r="J115" s="1528">
        <f>SUM(J13:J114)</f>
        <v>0</v>
      </c>
      <c r="K115" s="1528">
        <f>SUM(K13:K114)</f>
        <v>0</v>
      </c>
      <c r="L115" s="1527"/>
      <c r="M115" s="1527"/>
      <c r="N115" s="1527"/>
      <c r="O115" s="1528">
        <f>SUM(O13:O114)</f>
        <v>0</v>
      </c>
    </row>
    <row r="116" spans="1:15" s="183" customFormat="1" ht="19.5" customHeight="1">
      <c r="A116" s="2709" t="s">
        <v>1986</v>
      </c>
      <c r="B116" s="2710"/>
      <c r="C116" s="2713"/>
      <c r="D116" s="2713"/>
      <c r="E116" s="2713"/>
      <c r="F116" s="2705"/>
      <c r="G116" s="2705"/>
      <c r="H116" s="2705"/>
      <c r="I116" s="2705"/>
      <c r="J116" s="2705"/>
      <c r="K116" s="2705"/>
      <c r="L116" s="2705"/>
      <c r="M116" s="2705"/>
      <c r="N116" s="2705"/>
      <c r="O116" s="2707"/>
    </row>
    <row r="117" spans="1:15" s="183" customFormat="1" ht="13.5" customHeight="1">
      <c r="A117" s="2711" t="s">
        <v>1985</v>
      </c>
      <c r="B117" s="2712"/>
      <c r="C117" s="2714"/>
      <c r="D117" s="2714"/>
      <c r="E117" s="2714"/>
      <c r="F117" s="2706"/>
      <c r="G117" s="2706"/>
      <c r="H117" s="2706"/>
      <c r="I117" s="2706"/>
      <c r="J117" s="2706"/>
      <c r="K117" s="2706"/>
      <c r="L117" s="2706"/>
      <c r="M117" s="2706"/>
      <c r="N117" s="2706"/>
      <c r="O117" s="2708"/>
    </row>
    <row r="118" spans="1:15" s="183" customFormat="1" ht="23.25" customHeight="1">
      <c r="A118" s="1493"/>
      <c r="B118" s="1532"/>
      <c r="C118" s="1530"/>
      <c r="D118" s="1532"/>
      <c r="E118" s="1532"/>
      <c r="F118" s="590"/>
      <c r="G118" s="544"/>
      <c r="H118" s="544"/>
      <c r="I118" s="545"/>
      <c r="J118" s="544"/>
      <c r="K118" s="544"/>
      <c r="L118" s="1526"/>
      <c r="M118" s="1526"/>
      <c r="N118" s="1476"/>
      <c r="O118" s="546"/>
    </row>
    <row r="119" spans="1:15" s="183" customFormat="1" ht="23.25" customHeight="1">
      <c r="A119" s="1493"/>
      <c r="B119" s="1532"/>
      <c r="C119" s="1530"/>
      <c r="D119" s="1532"/>
      <c r="E119" s="1532"/>
      <c r="F119" s="590"/>
      <c r="G119" s="544"/>
      <c r="H119" s="544"/>
      <c r="I119" s="545"/>
      <c r="J119" s="544"/>
      <c r="K119" s="544"/>
      <c r="L119" s="1526"/>
      <c r="M119" s="1526"/>
      <c r="N119" s="1476"/>
      <c r="O119" s="546"/>
    </row>
    <row r="120" spans="1:15" s="183" customFormat="1" ht="23.25" customHeight="1">
      <c r="A120" s="1493"/>
      <c r="B120" s="1532"/>
      <c r="C120" s="1530"/>
      <c r="D120" s="1532"/>
      <c r="E120" s="1532"/>
      <c r="F120" s="590"/>
      <c r="G120" s="544"/>
      <c r="H120" s="544"/>
      <c r="I120" s="545"/>
      <c r="J120" s="544"/>
      <c r="K120" s="544"/>
      <c r="L120" s="1526"/>
      <c r="M120" s="1526"/>
      <c r="N120" s="1476"/>
      <c r="O120" s="546"/>
    </row>
    <row r="121" spans="1:15" s="183" customFormat="1" ht="23.25" customHeight="1" thickBot="1">
      <c r="A121" s="1493"/>
      <c r="B121" s="1532"/>
      <c r="C121" s="1530"/>
      <c r="D121" s="1532"/>
      <c r="E121" s="1532"/>
      <c r="F121" s="590"/>
      <c r="G121" s="544"/>
      <c r="H121" s="544"/>
      <c r="I121" s="545"/>
      <c r="J121" s="544"/>
      <c r="K121" s="544"/>
      <c r="L121" s="1526"/>
      <c r="M121" s="1526"/>
      <c r="N121" s="1476"/>
      <c r="O121" s="546"/>
    </row>
    <row r="122" spans="1:15" s="183" customFormat="1" ht="23.25" customHeight="1" thickBot="1">
      <c r="A122" s="2701" t="s">
        <v>1984</v>
      </c>
      <c r="B122" s="2702"/>
      <c r="C122" s="1556"/>
      <c r="D122" s="1557"/>
      <c r="E122" s="1557"/>
      <c r="F122" s="1489"/>
      <c r="G122" s="1488">
        <f>SUM(G118:G121)</f>
        <v>0</v>
      </c>
      <c r="H122" s="1488">
        <f>SUM(H118:H121)</f>
        <v>0</v>
      </c>
      <c r="I122" s="1490"/>
      <c r="J122" s="1488">
        <f>SUM(J118:J121)</f>
        <v>0</v>
      </c>
      <c r="K122" s="1488">
        <f>SUM(K118:K121)</f>
        <v>0</v>
      </c>
      <c r="L122" s="1489"/>
      <c r="M122" s="1489"/>
      <c r="N122" s="1489"/>
      <c r="O122" s="1488">
        <f>SUM(O118:O121)</f>
        <v>0</v>
      </c>
    </row>
    <row r="123" spans="1:15" ht="20.25" customHeight="1" thickBot="1">
      <c r="A123" s="2717" t="s">
        <v>425</v>
      </c>
      <c r="B123" s="2718"/>
      <c r="C123" s="2718"/>
      <c r="D123" s="2718"/>
      <c r="E123" s="2718"/>
      <c r="F123" s="2718"/>
      <c r="G123" s="1484">
        <f>+G122+G115</f>
        <v>0</v>
      </c>
      <c r="H123" s="1484">
        <f>+H122+H115</f>
        <v>0</v>
      </c>
      <c r="I123" s="1487"/>
      <c r="J123" s="1484">
        <f>+J122+J115</f>
        <v>0</v>
      </c>
      <c r="K123" s="1484">
        <f>+K122+K115</f>
        <v>0</v>
      </c>
      <c r="L123" s="1486"/>
      <c r="M123" s="1485"/>
      <c r="N123" s="1485"/>
      <c r="O123" s="1484" t="b">
        <f>O119=+O122+O115</f>
        <v>1</v>
      </c>
    </row>
    <row r="124" spans="1:15" s="183" customFormat="1" ht="13.5" thickTop="1">
      <c r="B124" s="1558"/>
      <c r="C124" s="1558"/>
      <c r="D124" s="1558"/>
      <c r="E124" s="1558"/>
    </row>
    <row r="125" spans="1:15" s="183" customFormat="1" ht="12.75">
      <c r="A125" s="1249" t="s">
        <v>395</v>
      </c>
      <c r="B125" s="1559"/>
      <c r="C125" s="1558"/>
      <c r="D125" s="1558"/>
      <c r="E125" s="1558"/>
      <c r="L125" s="2609" t="s">
        <v>396</v>
      </c>
      <c r="M125" s="2609"/>
      <c r="N125" s="2609"/>
    </row>
    <row r="126" spans="1:15" s="183" customFormat="1" ht="12.75">
      <c r="A126" s="1249" t="s">
        <v>397</v>
      </c>
      <c r="B126" s="1559"/>
      <c r="C126" s="1558"/>
      <c r="D126" s="1558"/>
      <c r="E126" s="1558"/>
      <c r="L126" s="2715" t="s">
        <v>398</v>
      </c>
      <c r="M126" s="2609"/>
      <c r="N126" s="2609"/>
    </row>
    <row r="127" spans="1:15" s="183" customFormat="1" ht="12.75">
      <c r="B127" s="1558"/>
      <c r="C127" s="1558"/>
      <c r="D127" s="1560" t="s">
        <v>399</v>
      </c>
      <c r="E127" s="1558"/>
      <c r="H127" s="1481" t="s">
        <v>400</v>
      </c>
      <c r="I127" s="342"/>
      <c r="L127" s="2716" t="s">
        <v>401</v>
      </c>
      <c r="M127" s="2716"/>
      <c r="N127" s="2716"/>
    </row>
    <row r="128" spans="1:15" s="183" customFormat="1" ht="12.75">
      <c r="B128" s="1558"/>
      <c r="C128" s="1558"/>
      <c r="D128" s="1561" t="s">
        <v>402</v>
      </c>
      <c r="E128" s="1558"/>
      <c r="H128" s="1480" t="s">
        <v>403</v>
      </c>
      <c r="I128" s="1480"/>
      <c r="L128" s="2609" t="s">
        <v>404</v>
      </c>
      <c r="M128" s="2609"/>
      <c r="N128" s="2609"/>
    </row>
    <row r="129" spans="1:13" s="183" customFormat="1" ht="12.75">
      <c r="B129" s="1558"/>
      <c r="C129" s="1558"/>
      <c r="D129" s="1558"/>
      <c r="E129" s="1558"/>
    </row>
    <row r="130" spans="1:13" s="183" customFormat="1" ht="12.75">
      <c r="B130" s="1558"/>
      <c r="C130" s="1558"/>
      <c r="D130" s="1558"/>
      <c r="E130" s="1558"/>
    </row>
    <row r="131" spans="1:13" s="183" customFormat="1" ht="19.5" customHeight="1">
      <c r="B131" s="1558"/>
      <c r="C131" s="1558"/>
      <c r="D131" s="1558"/>
      <c r="E131" s="1558"/>
      <c r="H131" s="1481"/>
      <c r="L131" s="2716"/>
      <c r="M131" s="2716"/>
    </row>
    <row r="132" spans="1:13" s="183" customFormat="1" ht="12.75">
      <c r="B132" s="1558"/>
      <c r="C132" s="1558"/>
      <c r="D132" s="1558"/>
      <c r="E132" s="1558"/>
      <c r="H132" s="1480"/>
      <c r="L132" s="2609"/>
      <c r="M132" s="2609"/>
    </row>
    <row r="133" spans="1:13" s="183" customFormat="1" ht="12.75">
      <c r="A133" s="1293" t="s">
        <v>923</v>
      </c>
      <c r="B133" s="1558"/>
      <c r="C133" s="1558"/>
      <c r="D133" s="1558"/>
      <c r="E133" s="1558"/>
    </row>
    <row r="134" spans="1:13" s="183" customFormat="1" ht="12.75">
      <c r="B134" s="1558"/>
      <c r="C134" s="1558"/>
      <c r="D134" s="1558"/>
      <c r="E134" s="1558"/>
    </row>
    <row r="135" spans="1:13" s="183" customFormat="1" ht="12.75">
      <c r="B135" s="1558"/>
      <c r="C135" s="1558"/>
      <c r="D135" s="1558"/>
      <c r="E135" s="1558"/>
    </row>
    <row r="136" spans="1:13" s="183" customFormat="1" ht="12.75">
      <c r="B136" s="1558"/>
      <c r="C136" s="1558"/>
      <c r="D136" s="1558"/>
      <c r="E136" s="1558"/>
    </row>
    <row r="137" spans="1:13" ht="12.75"/>
    <row r="138" spans="1:13" ht="12.75"/>
    <row r="139" spans="1:13" ht="12.75"/>
    <row r="140" spans="1:13" ht="12.75"/>
    <row r="141" spans="1:13" ht="12.75"/>
    <row r="142" spans="1:13" ht="12.75"/>
    <row r="143" spans="1:13" ht="12.75"/>
    <row r="144" spans="1:13"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customHeight="1"/>
    <row r="216" ht="12.75" customHeight="1"/>
  </sheetData>
  <sheetProtection password="C5F7" sheet="1" objects="1" scenarios="1" formatCells="0" formatColumns="0" formatRows="0" insertRows="0" deleteRows="0"/>
  <mergeCells count="43">
    <mergeCell ref="A123:F123"/>
    <mergeCell ref="I116:I117"/>
    <mergeCell ref="J116:J117"/>
    <mergeCell ref="K116:K117"/>
    <mergeCell ref="A1:O1"/>
    <mergeCell ref="A2:O2"/>
    <mergeCell ref="A3:O3"/>
    <mergeCell ref="A4:O4"/>
    <mergeCell ref="L11:M11"/>
    <mergeCell ref="N11:O11"/>
    <mergeCell ref="L13:L14"/>
    <mergeCell ref="M13:M14"/>
    <mergeCell ref="N13:N14"/>
    <mergeCell ref="O13:O14"/>
    <mergeCell ref="C116:C117"/>
    <mergeCell ref="D116:D117"/>
    <mergeCell ref="L132:M132"/>
    <mergeCell ref="L125:N125"/>
    <mergeCell ref="L126:N126"/>
    <mergeCell ref="L127:N127"/>
    <mergeCell ref="L128:N128"/>
    <mergeCell ref="L131:M131"/>
    <mergeCell ref="M116:M117"/>
    <mergeCell ref="N116:N117"/>
    <mergeCell ref="O116:O117"/>
    <mergeCell ref="A116:B116"/>
    <mergeCell ref="A117:B117"/>
    <mergeCell ref="E116:E117"/>
    <mergeCell ref="F116:F117"/>
    <mergeCell ref="G116:G117"/>
    <mergeCell ref="H116:H117"/>
    <mergeCell ref="L116:L117"/>
    <mergeCell ref="A122:B122"/>
    <mergeCell ref="C13:C14"/>
    <mergeCell ref="D13:D14"/>
    <mergeCell ref="E13:E14"/>
    <mergeCell ref="F13:F14"/>
    <mergeCell ref="I13:I14"/>
    <mergeCell ref="J13:J14"/>
    <mergeCell ref="K13:K14"/>
    <mergeCell ref="A13:A14"/>
    <mergeCell ref="G13:G14"/>
    <mergeCell ref="H13:H14"/>
  </mergeCells>
  <dataValidations count="2">
    <dataValidation type="list" allowBlank="1" showInputMessage="1" showErrorMessage="1" sqref="F15:F115 F118:F122">
      <formula1>"Overdraft, Term Loan, Trust Receipt, Bill of Exchange, Financing Commitment, Guarantee, Others"</formula1>
    </dataValidation>
    <dataValidation type="decimal" operator="greaterThanOrEqual" allowBlank="1" showInputMessage="1" showErrorMessage="1" errorTitle="Validation Rule" error="Allow only number" sqref="O15:O115 O118:O122 G118:K122 G15:K115">
      <formula1>0</formula1>
    </dataValidation>
  </dataValidations>
  <pageMargins left="0.25" right="0" top="0.5" bottom="0.5" header="0.5" footer="0.5"/>
  <pageSetup paperSize="9" scale="65" fitToHeight="2"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sheetPr>
  <dimension ref="A1:P269"/>
  <sheetViews>
    <sheetView showGridLines="0" topLeftCell="A112" workbookViewId="0">
      <selection activeCell="B118" sqref="B118:B119"/>
    </sheetView>
  </sheetViews>
  <sheetFormatPr defaultColWidth="0" defaultRowHeight="0" customHeight="1" zeroHeight="1"/>
  <cols>
    <col min="1" max="1" width="3.7109375" customWidth="1"/>
    <col min="2" max="2" width="21.5703125" style="181" customWidth="1"/>
    <col min="3" max="3" width="17.5703125" style="181" customWidth="1"/>
    <col min="4" max="4" width="14.85546875" style="181" customWidth="1"/>
    <col min="5" max="5" width="13.5703125" style="181" customWidth="1"/>
    <col min="6" max="6" width="15.85546875" customWidth="1"/>
    <col min="7" max="8" width="17.7109375" customWidth="1"/>
    <col min="9" max="9" width="11.140625" customWidth="1"/>
    <col min="10" max="10" width="14.140625" customWidth="1"/>
    <col min="11" max="11" width="12.7109375" customWidth="1"/>
    <col min="12" max="13" width="10.42578125" customWidth="1"/>
    <col min="14" max="15" width="12.28515625" customWidth="1"/>
    <col min="16" max="16" width="9.140625" customWidth="1"/>
  </cols>
  <sheetData>
    <row r="1" spans="1:16" s="191" customFormat="1" ht="27">
      <c r="A1" s="2679" t="s">
        <v>357</v>
      </c>
      <c r="B1" s="2679"/>
      <c r="C1" s="2679"/>
      <c r="D1" s="2679"/>
      <c r="E1" s="2679"/>
      <c r="F1" s="2679"/>
      <c r="G1" s="2679"/>
      <c r="H1" s="2679"/>
      <c r="I1" s="2679"/>
      <c r="J1" s="2679"/>
      <c r="K1" s="2679"/>
      <c r="L1" s="2679"/>
      <c r="M1" s="2679"/>
      <c r="N1" s="2679"/>
      <c r="O1" s="2679"/>
      <c r="P1" s="1258"/>
    </row>
    <row r="2" spans="1:16" s="191" customFormat="1" ht="15.75">
      <c r="A2" s="2680" t="s">
        <v>358</v>
      </c>
      <c r="B2" s="2680"/>
      <c r="C2" s="2680"/>
      <c r="D2" s="2680"/>
      <c r="E2" s="2680"/>
      <c r="F2" s="2680"/>
      <c r="G2" s="2680"/>
      <c r="H2" s="2680"/>
      <c r="I2" s="2680"/>
      <c r="J2" s="2680"/>
      <c r="K2" s="2680"/>
      <c r="L2" s="2680"/>
      <c r="M2" s="2680"/>
      <c r="N2" s="2680"/>
      <c r="O2" s="2680"/>
      <c r="P2" s="1259"/>
    </row>
    <row r="3" spans="1:16" s="183" customFormat="1" ht="12.75">
      <c r="A3" s="2681" t="s">
        <v>359</v>
      </c>
      <c r="B3" s="2681"/>
      <c r="C3" s="2681"/>
      <c r="D3" s="2681"/>
      <c r="E3" s="2681"/>
      <c r="F3" s="2681"/>
      <c r="G3" s="2681"/>
      <c r="H3" s="2681"/>
      <c r="I3" s="2681"/>
      <c r="J3" s="2681"/>
      <c r="K3" s="2681"/>
      <c r="L3" s="2681"/>
      <c r="M3" s="2681"/>
      <c r="N3" s="2681"/>
      <c r="O3" s="2681"/>
      <c r="P3" s="342"/>
    </row>
    <row r="4" spans="1:16" s="183" customFormat="1" ht="15.75">
      <c r="A4" s="2682" t="s">
        <v>360</v>
      </c>
      <c r="B4" s="2682"/>
      <c r="C4" s="2682"/>
      <c r="D4" s="2682"/>
      <c r="E4" s="2682"/>
      <c r="F4" s="2682"/>
      <c r="G4" s="2682"/>
      <c r="H4" s="2682"/>
      <c r="I4" s="2682"/>
      <c r="J4" s="2682"/>
      <c r="K4" s="2682"/>
      <c r="L4" s="2682"/>
      <c r="M4" s="2682"/>
      <c r="N4" s="2682"/>
      <c r="O4" s="2682"/>
      <c r="P4" s="1250"/>
    </row>
    <row r="5" spans="1:16" s="183" customFormat="1" ht="15" customHeight="1">
      <c r="A5" s="1244" t="s">
        <v>361</v>
      </c>
      <c r="B5" s="1533"/>
      <c r="C5" s="1534"/>
      <c r="D5" s="1534"/>
      <c r="E5" s="1534"/>
      <c r="F5" s="342"/>
      <c r="G5" s="342"/>
      <c r="H5" s="342"/>
      <c r="I5" s="342"/>
      <c r="J5" s="342"/>
      <c r="K5" s="342"/>
      <c r="L5" s="342"/>
      <c r="M5" s="342"/>
      <c r="O5" s="1232"/>
      <c r="P5" s="342"/>
    </row>
    <row r="6" spans="1:16" s="183" customFormat="1" ht="12.75">
      <c r="A6" s="1245" t="s">
        <v>362</v>
      </c>
      <c r="B6" s="1535"/>
      <c r="C6" s="1536"/>
      <c r="D6" s="1536"/>
      <c r="E6" s="1536"/>
      <c r="F6" s="343"/>
      <c r="G6" s="343"/>
      <c r="H6" s="343"/>
      <c r="I6" s="343"/>
      <c r="J6" s="343"/>
      <c r="K6" s="343"/>
      <c r="L6" s="343"/>
      <c r="M6" s="343"/>
      <c r="N6" s="890" t="s">
        <v>853</v>
      </c>
      <c r="O6" s="1251"/>
      <c r="P6" s="343"/>
    </row>
    <row r="7" spans="1:16" s="267" customFormat="1" ht="16.5" customHeight="1">
      <c r="B7" s="1537"/>
      <c r="C7" s="1538"/>
      <c r="D7" s="1537"/>
      <c r="E7" s="1537"/>
    </row>
    <row r="8" spans="1:16" s="183" customFormat="1" ht="20.25" customHeight="1">
      <c r="A8" s="1252"/>
      <c r="B8" s="1539" t="s">
        <v>873</v>
      </c>
      <c r="C8" s="1540"/>
      <c r="D8" s="1540"/>
      <c r="E8" s="1540"/>
      <c r="F8" s="550"/>
      <c r="J8" s="1253" t="s">
        <v>363</v>
      </c>
      <c r="L8" s="1247" t="s">
        <v>364</v>
      </c>
      <c r="M8" s="1247"/>
      <c r="N8" s="1254" t="s">
        <v>365</v>
      </c>
    </row>
    <row r="9" spans="1:16" s="183" customFormat="1" ht="17.25" customHeight="1">
      <c r="A9" s="1252"/>
      <c r="B9" s="1539" t="s">
        <v>874</v>
      </c>
      <c r="C9" s="1541" t="s">
        <v>1991</v>
      </c>
      <c r="D9" s="1540"/>
      <c r="E9" s="1540"/>
      <c r="F9" s="550"/>
      <c r="J9" s="1255" t="s">
        <v>366</v>
      </c>
      <c r="L9" s="1248" t="s">
        <v>367</v>
      </c>
      <c r="M9" s="1256"/>
      <c r="N9" s="1257" t="s">
        <v>368</v>
      </c>
    </row>
    <row r="10" spans="1:16" ht="7.5" customHeight="1" thickBot="1">
      <c r="A10" s="2"/>
      <c r="B10" s="1542"/>
      <c r="C10" s="1542"/>
      <c r="D10" s="1542"/>
      <c r="E10" s="1542"/>
      <c r="F10" s="2"/>
      <c r="G10" s="2"/>
      <c r="H10" s="2"/>
      <c r="I10" s="2"/>
      <c r="J10" s="2"/>
      <c r="L10" s="5"/>
      <c r="M10" s="5"/>
      <c r="N10" s="2"/>
      <c r="O10" s="2"/>
    </row>
    <row r="11" spans="1:16" s="6" customFormat="1" ht="41.25" customHeight="1" thickTop="1">
      <c r="A11" s="1497" t="s">
        <v>369</v>
      </c>
      <c r="B11" s="1543" t="s">
        <v>405</v>
      </c>
      <c r="C11" s="1544" t="s">
        <v>406</v>
      </c>
      <c r="D11" s="1545" t="s">
        <v>407</v>
      </c>
      <c r="E11" s="1546" t="s">
        <v>408</v>
      </c>
      <c r="F11" s="541" t="s">
        <v>370</v>
      </c>
      <c r="G11" s="541" t="s">
        <v>371</v>
      </c>
      <c r="H11" s="1483" t="s">
        <v>372</v>
      </c>
      <c r="I11" s="541" t="s">
        <v>409</v>
      </c>
      <c r="J11" s="541" t="s">
        <v>373</v>
      </c>
      <c r="K11" s="541" t="s">
        <v>410</v>
      </c>
      <c r="L11" s="2719" t="s">
        <v>411</v>
      </c>
      <c r="M11" s="2720"/>
      <c r="N11" s="2721" t="s">
        <v>412</v>
      </c>
      <c r="O11" s="2722"/>
    </row>
    <row r="12" spans="1:16" s="6" customFormat="1" ht="25.5" customHeight="1" thickBot="1">
      <c r="A12" s="1496" t="s">
        <v>374</v>
      </c>
      <c r="B12" s="1547" t="s">
        <v>413</v>
      </c>
      <c r="C12" s="1548" t="s">
        <v>414</v>
      </c>
      <c r="D12" s="1549" t="s">
        <v>415</v>
      </c>
      <c r="E12" s="1549" t="s">
        <v>416</v>
      </c>
      <c r="F12" s="1482" t="s">
        <v>417</v>
      </c>
      <c r="G12" s="1482" t="s">
        <v>376</v>
      </c>
      <c r="H12" s="1482" t="s">
        <v>377</v>
      </c>
      <c r="I12" s="1482" t="s">
        <v>418</v>
      </c>
      <c r="J12" s="1482" t="s">
        <v>379</v>
      </c>
      <c r="K12" s="1482" t="s">
        <v>419</v>
      </c>
      <c r="L12" s="542" t="s">
        <v>420</v>
      </c>
      <c r="M12" s="542" t="s">
        <v>421</v>
      </c>
      <c r="N12" s="543" t="s">
        <v>422</v>
      </c>
      <c r="O12" s="1495" t="s">
        <v>423</v>
      </c>
    </row>
    <row r="13" spans="1:16" s="183" customFormat="1" ht="15" customHeight="1">
      <c r="A13" s="2699"/>
      <c r="B13" s="1550" t="s">
        <v>1988</v>
      </c>
      <c r="C13" s="2703"/>
      <c r="D13" s="2703"/>
      <c r="E13" s="2703"/>
      <c r="F13" s="2697"/>
      <c r="G13" s="2697"/>
      <c r="H13" s="2697"/>
      <c r="I13" s="2697"/>
      <c r="J13" s="2697"/>
      <c r="K13" s="2697"/>
      <c r="L13" s="2697"/>
      <c r="M13" s="2697"/>
      <c r="N13" s="2697"/>
      <c r="O13" s="2723"/>
    </row>
    <row r="14" spans="1:16" s="183" customFormat="1" ht="15.75" customHeight="1" thickBot="1">
      <c r="A14" s="2700"/>
      <c r="B14" s="1551" t="s">
        <v>1987</v>
      </c>
      <c r="C14" s="2704"/>
      <c r="D14" s="2704"/>
      <c r="E14" s="2704"/>
      <c r="F14" s="2698"/>
      <c r="G14" s="2698"/>
      <c r="H14" s="2698"/>
      <c r="I14" s="2698"/>
      <c r="J14" s="2698"/>
      <c r="K14" s="2698"/>
      <c r="L14" s="2698"/>
      <c r="M14" s="2698"/>
      <c r="N14" s="2698"/>
      <c r="O14" s="2724"/>
    </row>
    <row r="15" spans="1:16" s="183" customFormat="1" ht="23.25" customHeight="1">
      <c r="A15" s="1494"/>
      <c r="B15" s="1532"/>
      <c r="C15" s="1530"/>
      <c r="D15" s="1532"/>
      <c r="E15" s="1532"/>
      <c r="F15" s="590"/>
      <c r="G15" s="544"/>
      <c r="H15" s="544"/>
      <c r="I15" s="545"/>
      <c r="J15" s="544"/>
      <c r="K15" s="544"/>
      <c r="L15" s="1526"/>
      <c r="M15" s="1526"/>
      <c r="N15" s="1476"/>
      <c r="O15" s="546"/>
    </row>
    <row r="16" spans="1:16" s="183" customFormat="1" ht="23.25" customHeight="1">
      <c r="A16" s="1494"/>
      <c r="B16" s="1532"/>
      <c r="C16" s="1530"/>
      <c r="D16" s="1532"/>
      <c r="E16" s="1532"/>
      <c r="F16" s="590"/>
      <c r="G16" s="544"/>
      <c r="H16" s="544"/>
      <c r="I16" s="545"/>
      <c r="J16" s="544"/>
      <c r="K16" s="544"/>
      <c r="L16" s="1526"/>
      <c r="M16" s="1526"/>
      <c r="N16" s="1476"/>
      <c r="O16" s="546"/>
    </row>
    <row r="17" spans="1:15" s="183" customFormat="1" ht="23.25" customHeight="1">
      <c r="A17" s="1493"/>
      <c r="B17" s="1532"/>
      <c r="C17" s="1530"/>
      <c r="D17" s="1532"/>
      <c r="E17" s="1532"/>
      <c r="F17" s="590"/>
      <c r="G17" s="544"/>
      <c r="H17" s="544"/>
      <c r="I17" s="545"/>
      <c r="J17" s="544"/>
      <c r="K17" s="544"/>
      <c r="L17" s="1526"/>
      <c r="M17" s="1526"/>
      <c r="N17" s="1476"/>
      <c r="O17" s="546"/>
    </row>
    <row r="18" spans="1:15" s="183" customFormat="1" ht="23.25" customHeight="1">
      <c r="A18" s="1493"/>
      <c r="B18" s="1532"/>
      <c r="C18" s="1530"/>
      <c r="D18" s="1532"/>
      <c r="E18" s="1532"/>
      <c r="F18" s="590"/>
      <c r="G18" s="544"/>
      <c r="H18" s="544"/>
      <c r="I18" s="545"/>
      <c r="J18" s="544"/>
      <c r="K18" s="544"/>
      <c r="L18" s="1526"/>
      <c r="M18" s="1526"/>
      <c r="N18" s="1476"/>
      <c r="O18" s="546"/>
    </row>
    <row r="19" spans="1:15" s="183" customFormat="1" ht="23.25" customHeight="1">
      <c r="A19" s="1493"/>
      <c r="B19" s="1532"/>
      <c r="C19" s="1530"/>
      <c r="D19" s="1532"/>
      <c r="E19" s="1532"/>
      <c r="F19" s="590"/>
      <c r="G19" s="544"/>
      <c r="H19" s="544"/>
      <c r="I19" s="545"/>
      <c r="J19" s="544"/>
      <c r="K19" s="544"/>
      <c r="L19" s="1526"/>
      <c r="M19" s="1526"/>
      <c r="N19" s="1476"/>
      <c r="O19" s="546"/>
    </row>
    <row r="20" spans="1:15" s="183" customFormat="1" ht="23.25" customHeight="1">
      <c r="A20" s="1493"/>
      <c r="B20" s="1532"/>
      <c r="C20" s="1530"/>
      <c r="D20" s="1532"/>
      <c r="E20" s="1532"/>
      <c r="F20" s="590"/>
      <c r="G20" s="544"/>
      <c r="H20" s="544"/>
      <c r="I20" s="545"/>
      <c r="J20" s="544"/>
      <c r="K20" s="544"/>
      <c r="L20" s="1526"/>
      <c r="M20" s="1526"/>
      <c r="N20" s="1476"/>
      <c r="O20" s="546"/>
    </row>
    <row r="21" spans="1:15" s="183" customFormat="1" ht="23.25" customHeight="1">
      <c r="A21" s="1493"/>
      <c r="B21" s="1532"/>
      <c r="C21" s="1530"/>
      <c r="D21" s="1532"/>
      <c r="E21" s="1532"/>
      <c r="F21" s="590"/>
      <c r="G21" s="544"/>
      <c r="H21" s="544"/>
      <c r="I21" s="545"/>
      <c r="J21" s="544"/>
      <c r="K21" s="544"/>
      <c r="L21" s="1526"/>
      <c r="M21" s="1526"/>
      <c r="N21" s="1476"/>
      <c r="O21" s="546"/>
    </row>
    <row r="22" spans="1:15" s="183" customFormat="1" ht="23.25" customHeight="1">
      <c r="A22" s="1493"/>
      <c r="B22" s="1532"/>
      <c r="C22" s="1530"/>
      <c r="D22" s="1532"/>
      <c r="E22" s="1532"/>
      <c r="F22" s="590"/>
      <c r="G22" s="544"/>
      <c r="H22" s="544"/>
      <c r="I22" s="545"/>
      <c r="J22" s="544"/>
      <c r="K22" s="544"/>
      <c r="L22" s="1526"/>
      <c r="M22" s="1526"/>
      <c r="N22" s="1476"/>
      <c r="O22" s="546"/>
    </row>
    <row r="23" spans="1:15" s="183" customFormat="1" ht="23.25" customHeight="1">
      <c r="A23" s="1493"/>
      <c r="B23" s="1532"/>
      <c r="C23" s="1530"/>
      <c r="D23" s="1532"/>
      <c r="E23" s="1532"/>
      <c r="F23" s="590"/>
      <c r="G23" s="544"/>
      <c r="H23" s="544"/>
      <c r="I23" s="545"/>
      <c r="J23" s="544"/>
      <c r="K23" s="544"/>
      <c r="L23" s="1526"/>
      <c r="M23" s="1526"/>
      <c r="N23" s="1476"/>
      <c r="O23" s="546"/>
    </row>
    <row r="24" spans="1:15" s="183" customFormat="1" ht="23.25" customHeight="1">
      <c r="A24" s="1493"/>
      <c r="B24" s="1532"/>
      <c r="C24" s="1530"/>
      <c r="D24" s="1532"/>
      <c r="E24" s="1532"/>
      <c r="F24" s="590"/>
      <c r="G24" s="544"/>
      <c r="H24" s="544"/>
      <c r="I24" s="545"/>
      <c r="J24" s="544"/>
      <c r="K24" s="544"/>
      <c r="L24" s="1526"/>
      <c r="M24" s="1526"/>
      <c r="N24" s="1476"/>
      <c r="O24" s="546"/>
    </row>
    <row r="25" spans="1:15" s="183" customFormat="1" ht="23.25" customHeight="1">
      <c r="A25" s="1493"/>
      <c r="B25" s="1532"/>
      <c r="C25" s="1530"/>
      <c r="D25" s="1532"/>
      <c r="E25" s="1532"/>
      <c r="F25" s="590"/>
      <c r="G25" s="544"/>
      <c r="H25" s="544"/>
      <c r="I25" s="545"/>
      <c r="J25" s="544"/>
      <c r="K25" s="544"/>
      <c r="L25" s="1526"/>
      <c r="M25" s="1526"/>
      <c r="N25" s="1476"/>
      <c r="O25" s="546"/>
    </row>
    <row r="26" spans="1:15" s="183" customFormat="1" ht="23.25" customHeight="1">
      <c r="A26" s="1493"/>
      <c r="B26" s="1532"/>
      <c r="C26" s="1530"/>
      <c r="D26" s="1532"/>
      <c r="E26" s="1532"/>
      <c r="F26" s="590"/>
      <c r="G26" s="544"/>
      <c r="H26" s="544"/>
      <c r="I26" s="545"/>
      <c r="J26" s="544"/>
      <c r="K26" s="544"/>
      <c r="L26" s="1526"/>
      <c r="M26" s="1526"/>
      <c r="N26" s="1476"/>
      <c r="O26" s="546"/>
    </row>
    <row r="27" spans="1:15" s="183" customFormat="1" ht="23.25" customHeight="1">
      <c r="A27" s="1493"/>
      <c r="B27" s="1532"/>
      <c r="C27" s="1530"/>
      <c r="D27" s="1532"/>
      <c r="E27" s="1532"/>
      <c r="F27" s="590"/>
      <c r="G27" s="544"/>
      <c r="H27" s="544"/>
      <c r="I27" s="545"/>
      <c r="J27" s="544"/>
      <c r="K27" s="544"/>
      <c r="L27" s="1526"/>
      <c r="M27" s="1526"/>
      <c r="N27" s="1476"/>
      <c r="O27" s="546"/>
    </row>
    <row r="28" spans="1:15" s="183" customFormat="1" ht="23.25" customHeight="1">
      <c r="A28" s="1493"/>
      <c r="B28" s="1532"/>
      <c r="C28" s="1530"/>
      <c r="D28" s="1532"/>
      <c r="E28" s="1532"/>
      <c r="F28" s="590"/>
      <c r="G28" s="544"/>
      <c r="H28" s="544"/>
      <c r="I28" s="545"/>
      <c r="J28" s="544"/>
      <c r="K28" s="544"/>
      <c r="L28" s="1526"/>
      <c r="M28" s="1526"/>
      <c r="N28" s="1476"/>
      <c r="O28" s="546"/>
    </row>
    <row r="29" spans="1:15" s="183" customFormat="1" ht="23.25" customHeight="1">
      <c r="A29" s="1493"/>
      <c r="B29" s="1532"/>
      <c r="C29" s="1530"/>
      <c r="D29" s="1532"/>
      <c r="E29" s="1532"/>
      <c r="F29" s="590"/>
      <c r="G29" s="544"/>
      <c r="H29" s="544"/>
      <c r="I29" s="545"/>
      <c r="J29" s="544"/>
      <c r="K29" s="544"/>
      <c r="L29" s="1526"/>
      <c r="M29" s="1526"/>
      <c r="N29" s="1476"/>
      <c r="O29" s="546"/>
    </row>
    <row r="30" spans="1:15" s="183" customFormat="1" ht="23.25" customHeight="1">
      <c r="A30" s="1493"/>
      <c r="B30" s="1532"/>
      <c r="C30" s="1530"/>
      <c r="D30" s="1532"/>
      <c r="E30" s="1532"/>
      <c r="F30" s="590"/>
      <c r="G30" s="544"/>
      <c r="H30" s="544"/>
      <c r="I30" s="545"/>
      <c r="J30" s="544"/>
      <c r="K30" s="544"/>
      <c r="L30" s="1526"/>
      <c r="M30" s="1526"/>
      <c r="N30" s="1476"/>
      <c r="O30" s="546"/>
    </row>
    <row r="31" spans="1:15" s="183" customFormat="1" ht="23.25" customHeight="1">
      <c r="A31" s="1493"/>
      <c r="B31" s="1532"/>
      <c r="C31" s="1530"/>
      <c r="D31" s="1532"/>
      <c r="E31" s="1532"/>
      <c r="F31" s="590"/>
      <c r="G31" s="544"/>
      <c r="H31" s="544"/>
      <c r="I31" s="545"/>
      <c r="J31" s="544"/>
      <c r="K31" s="544"/>
      <c r="L31" s="1526"/>
      <c r="M31" s="1526"/>
      <c r="N31" s="1476"/>
      <c r="O31" s="546"/>
    </row>
    <row r="32" spans="1:15" s="183" customFormat="1" ht="23.25" customHeight="1">
      <c r="A32" s="1493"/>
      <c r="B32" s="1532"/>
      <c r="C32" s="1530"/>
      <c r="D32" s="1532"/>
      <c r="E32" s="1532"/>
      <c r="F32" s="590"/>
      <c r="G32" s="544"/>
      <c r="H32" s="544"/>
      <c r="I32" s="545"/>
      <c r="J32" s="544"/>
      <c r="K32" s="544"/>
      <c r="L32" s="1526"/>
      <c r="M32" s="1526"/>
      <c r="N32" s="1476"/>
      <c r="O32" s="546"/>
    </row>
    <row r="33" spans="1:15" s="183" customFormat="1" ht="23.25" customHeight="1">
      <c r="A33" s="1493"/>
      <c r="B33" s="1532"/>
      <c r="C33" s="1530"/>
      <c r="D33" s="1532"/>
      <c r="E33" s="1532"/>
      <c r="F33" s="590"/>
      <c r="G33" s="544"/>
      <c r="H33" s="544"/>
      <c r="I33" s="545"/>
      <c r="J33" s="544"/>
      <c r="K33" s="544"/>
      <c r="L33" s="1526"/>
      <c r="M33" s="1526"/>
      <c r="N33" s="1476"/>
      <c r="O33" s="546"/>
    </row>
    <row r="34" spans="1:15" s="183" customFormat="1" ht="23.25" customHeight="1">
      <c r="A34" s="1493"/>
      <c r="B34" s="1532"/>
      <c r="C34" s="1530"/>
      <c r="D34" s="1532"/>
      <c r="E34" s="1532"/>
      <c r="F34" s="590"/>
      <c r="G34" s="544"/>
      <c r="H34" s="544"/>
      <c r="I34" s="545"/>
      <c r="J34" s="544"/>
      <c r="K34" s="544"/>
      <c r="L34" s="1526"/>
      <c r="M34" s="1526"/>
      <c r="N34" s="1476"/>
      <c r="O34" s="546"/>
    </row>
    <row r="35" spans="1:15" s="183" customFormat="1" ht="23.25" customHeight="1">
      <c r="A35" s="1493"/>
      <c r="B35" s="1532"/>
      <c r="C35" s="1530"/>
      <c r="D35" s="1532"/>
      <c r="E35" s="1532"/>
      <c r="F35" s="590"/>
      <c r="G35" s="544"/>
      <c r="H35" s="544"/>
      <c r="I35" s="545"/>
      <c r="J35" s="544"/>
      <c r="K35" s="544"/>
      <c r="L35" s="1526"/>
      <c r="M35" s="1526"/>
      <c r="N35" s="1476"/>
      <c r="O35" s="546"/>
    </row>
    <row r="36" spans="1:15" s="183" customFormat="1" ht="23.25" customHeight="1">
      <c r="A36" s="1493"/>
      <c r="B36" s="1532"/>
      <c r="C36" s="1530"/>
      <c r="D36" s="1532"/>
      <c r="E36" s="1532"/>
      <c r="F36" s="590"/>
      <c r="G36" s="544"/>
      <c r="H36" s="544"/>
      <c r="I36" s="545"/>
      <c r="J36" s="544"/>
      <c r="K36" s="544"/>
      <c r="L36" s="1526"/>
      <c r="M36" s="1526"/>
      <c r="N36" s="1476"/>
      <c r="O36" s="546"/>
    </row>
    <row r="37" spans="1:15" s="183" customFormat="1" ht="23.25" customHeight="1">
      <c r="A37" s="1493"/>
      <c r="B37" s="1532"/>
      <c r="C37" s="1530"/>
      <c r="D37" s="1532"/>
      <c r="E37" s="1532"/>
      <c r="F37" s="590"/>
      <c r="G37" s="544"/>
      <c r="H37" s="544"/>
      <c r="I37" s="545"/>
      <c r="J37" s="544"/>
      <c r="K37" s="544"/>
      <c r="L37" s="1526"/>
      <c r="M37" s="1526"/>
      <c r="N37" s="1476"/>
      <c r="O37" s="546"/>
    </row>
    <row r="38" spans="1:15" s="183" customFormat="1" ht="23.25" customHeight="1">
      <c r="A38" s="1493"/>
      <c r="B38" s="1532"/>
      <c r="C38" s="1530"/>
      <c r="D38" s="1532"/>
      <c r="E38" s="1532"/>
      <c r="F38" s="590"/>
      <c r="G38" s="544"/>
      <c r="H38" s="544"/>
      <c r="I38" s="545"/>
      <c r="J38" s="544"/>
      <c r="K38" s="544"/>
      <c r="L38" s="1526"/>
      <c r="M38" s="1526"/>
      <c r="N38" s="1476"/>
      <c r="O38" s="546"/>
    </row>
    <row r="39" spans="1:15" s="183" customFormat="1" ht="23.25" customHeight="1">
      <c r="A39" s="1493"/>
      <c r="B39" s="1532"/>
      <c r="C39" s="1530"/>
      <c r="D39" s="1532"/>
      <c r="E39" s="1532"/>
      <c r="F39" s="590"/>
      <c r="G39" s="544"/>
      <c r="H39" s="544"/>
      <c r="I39" s="545"/>
      <c r="J39" s="544"/>
      <c r="K39" s="544"/>
      <c r="L39" s="1526"/>
      <c r="M39" s="1526"/>
      <c r="N39" s="1476"/>
      <c r="O39" s="546"/>
    </row>
    <row r="40" spans="1:15" s="183" customFormat="1" ht="23.25" customHeight="1">
      <c r="A40" s="1493"/>
      <c r="B40" s="1532"/>
      <c r="C40" s="1530"/>
      <c r="D40" s="1532"/>
      <c r="E40" s="1532"/>
      <c r="F40" s="590"/>
      <c r="G40" s="544"/>
      <c r="H40" s="544"/>
      <c r="I40" s="545"/>
      <c r="J40" s="544"/>
      <c r="K40" s="544"/>
      <c r="L40" s="1526"/>
      <c r="M40" s="1526"/>
      <c r="N40" s="1476"/>
      <c r="O40" s="546"/>
    </row>
    <row r="41" spans="1:15" s="183" customFormat="1" ht="23.25" customHeight="1">
      <c r="A41" s="1493"/>
      <c r="B41" s="1532"/>
      <c r="C41" s="1530"/>
      <c r="D41" s="1532"/>
      <c r="E41" s="1532"/>
      <c r="F41" s="590"/>
      <c r="G41" s="544"/>
      <c r="H41" s="544"/>
      <c r="I41" s="545"/>
      <c r="J41" s="544"/>
      <c r="K41" s="544"/>
      <c r="L41" s="1526"/>
      <c r="M41" s="1526"/>
      <c r="N41" s="1476"/>
      <c r="O41" s="546"/>
    </row>
    <row r="42" spans="1:15" s="183" customFormat="1" ht="23.25" customHeight="1">
      <c r="A42" s="1493"/>
      <c r="B42" s="1532"/>
      <c r="C42" s="1530"/>
      <c r="D42" s="1532"/>
      <c r="E42" s="1532"/>
      <c r="F42" s="590"/>
      <c r="G42" s="544"/>
      <c r="H42" s="544"/>
      <c r="I42" s="545"/>
      <c r="J42" s="544"/>
      <c r="K42" s="544"/>
      <c r="L42" s="1526"/>
      <c r="M42" s="1526"/>
      <c r="N42" s="1476"/>
      <c r="O42" s="546"/>
    </row>
    <row r="43" spans="1:15" s="183" customFormat="1" ht="23.25" customHeight="1">
      <c r="A43" s="1493"/>
      <c r="B43" s="1532"/>
      <c r="C43" s="1530"/>
      <c r="D43" s="1532"/>
      <c r="E43" s="1532"/>
      <c r="F43" s="590"/>
      <c r="G43" s="544"/>
      <c r="H43" s="544"/>
      <c r="I43" s="545"/>
      <c r="J43" s="544"/>
      <c r="K43" s="544"/>
      <c r="L43" s="1526"/>
      <c r="M43" s="1526"/>
      <c r="N43" s="1476"/>
      <c r="O43" s="546"/>
    </row>
    <row r="44" spans="1:15" s="183" customFormat="1" ht="23.25" customHeight="1">
      <c r="A44" s="1493"/>
      <c r="B44" s="1532"/>
      <c r="C44" s="1530"/>
      <c r="D44" s="1532"/>
      <c r="E44" s="1532"/>
      <c r="F44" s="590"/>
      <c r="G44" s="544"/>
      <c r="H44" s="544"/>
      <c r="I44" s="545"/>
      <c r="J44" s="544"/>
      <c r="K44" s="544"/>
      <c r="L44" s="1526"/>
      <c r="M44" s="1526"/>
      <c r="N44" s="1476"/>
      <c r="O44" s="546"/>
    </row>
    <row r="45" spans="1:15" s="183" customFormat="1" ht="23.25" customHeight="1">
      <c r="A45" s="1493"/>
      <c r="B45" s="1532"/>
      <c r="C45" s="1530"/>
      <c r="D45" s="1532"/>
      <c r="E45" s="1532"/>
      <c r="F45" s="590"/>
      <c r="G45" s="544"/>
      <c r="H45" s="544"/>
      <c r="I45" s="545"/>
      <c r="J45" s="544"/>
      <c r="K45" s="544"/>
      <c r="L45" s="1526"/>
      <c r="M45" s="1526"/>
      <c r="N45" s="1476"/>
      <c r="O45" s="546"/>
    </row>
    <row r="46" spans="1:15" s="183" customFormat="1" ht="23.25" customHeight="1">
      <c r="A46" s="1493"/>
      <c r="B46" s="1532"/>
      <c r="C46" s="1530"/>
      <c r="D46" s="1532"/>
      <c r="E46" s="1532"/>
      <c r="F46" s="590"/>
      <c r="G46" s="544"/>
      <c r="H46" s="544"/>
      <c r="I46" s="545"/>
      <c r="J46" s="544"/>
      <c r="K46" s="544"/>
      <c r="L46" s="1526"/>
      <c r="M46" s="1526"/>
      <c r="N46" s="1476"/>
      <c r="O46" s="546"/>
    </row>
    <row r="47" spans="1:15" s="183" customFormat="1" ht="23.25" customHeight="1">
      <c r="A47" s="1493"/>
      <c r="B47" s="1532"/>
      <c r="C47" s="1530"/>
      <c r="D47" s="1532"/>
      <c r="E47" s="1532"/>
      <c r="F47" s="590"/>
      <c r="G47" s="544"/>
      <c r="H47" s="544"/>
      <c r="I47" s="545"/>
      <c r="J47" s="544"/>
      <c r="K47" s="544"/>
      <c r="L47" s="1526"/>
      <c r="M47" s="1526"/>
      <c r="N47" s="1476"/>
      <c r="O47" s="546"/>
    </row>
    <row r="48" spans="1:15" s="183" customFormat="1" ht="23.25" customHeight="1">
      <c r="A48" s="1493"/>
      <c r="B48" s="1532"/>
      <c r="C48" s="1530"/>
      <c r="D48" s="1532"/>
      <c r="E48" s="1532"/>
      <c r="F48" s="590"/>
      <c r="G48" s="544"/>
      <c r="H48" s="544"/>
      <c r="I48" s="545"/>
      <c r="J48" s="544"/>
      <c r="K48" s="544"/>
      <c r="L48" s="1526"/>
      <c r="M48" s="1526"/>
      <c r="N48" s="1476"/>
      <c r="O48" s="546"/>
    </row>
    <row r="49" spans="1:15" s="183" customFormat="1" ht="23.25" customHeight="1">
      <c r="A49" s="1493"/>
      <c r="B49" s="1532"/>
      <c r="C49" s="1530"/>
      <c r="D49" s="1532"/>
      <c r="E49" s="1532"/>
      <c r="F49" s="590"/>
      <c r="G49" s="544"/>
      <c r="H49" s="544"/>
      <c r="I49" s="545"/>
      <c r="J49" s="544"/>
      <c r="K49" s="544"/>
      <c r="L49" s="1526"/>
      <c r="M49" s="1526"/>
      <c r="N49" s="1476"/>
      <c r="O49" s="546"/>
    </row>
    <row r="50" spans="1:15" s="183" customFormat="1" ht="23.25" customHeight="1">
      <c r="A50" s="1493"/>
      <c r="B50" s="1532"/>
      <c r="C50" s="1530"/>
      <c r="D50" s="1532"/>
      <c r="E50" s="1532"/>
      <c r="F50" s="590"/>
      <c r="G50" s="544"/>
      <c r="H50" s="544"/>
      <c r="I50" s="545"/>
      <c r="J50" s="544"/>
      <c r="K50" s="544"/>
      <c r="L50" s="1526"/>
      <c r="M50" s="1526"/>
      <c r="N50" s="1476"/>
      <c r="O50" s="546"/>
    </row>
    <row r="51" spans="1:15" s="183" customFormat="1" ht="23.25" customHeight="1">
      <c r="A51" s="1493"/>
      <c r="B51" s="1532"/>
      <c r="C51" s="1530"/>
      <c r="D51" s="1532"/>
      <c r="E51" s="1532"/>
      <c r="F51" s="590"/>
      <c r="G51" s="544"/>
      <c r="H51" s="544"/>
      <c r="I51" s="545"/>
      <c r="J51" s="544"/>
      <c r="K51" s="544"/>
      <c r="L51" s="1526"/>
      <c r="M51" s="1526"/>
      <c r="N51" s="1476"/>
      <c r="O51" s="546"/>
    </row>
    <row r="52" spans="1:15" s="183" customFormat="1" ht="23.25" customHeight="1">
      <c r="A52" s="1493"/>
      <c r="B52" s="1532"/>
      <c r="C52" s="1530"/>
      <c r="D52" s="1532"/>
      <c r="E52" s="1532"/>
      <c r="F52" s="590"/>
      <c r="G52" s="544"/>
      <c r="H52" s="544"/>
      <c r="I52" s="545"/>
      <c r="J52" s="544"/>
      <c r="K52" s="544"/>
      <c r="L52" s="1526"/>
      <c r="M52" s="1526"/>
      <c r="N52" s="1476"/>
      <c r="O52" s="546"/>
    </row>
    <row r="53" spans="1:15" s="183" customFormat="1" ht="23.25" customHeight="1">
      <c r="A53" s="1493"/>
      <c r="B53" s="1532"/>
      <c r="C53" s="1530"/>
      <c r="D53" s="1532"/>
      <c r="E53" s="1532"/>
      <c r="F53" s="590"/>
      <c r="G53" s="544"/>
      <c r="H53" s="544"/>
      <c r="I53" s="545"/>
      <c r="J53" s="544"/>
      <c r="K53" s="544"/>
      <c r="L53" s="1526"/>
      <c r="M53" s="1526"/>
      <c r="N53" s="1476"/>
      <c r="O53" s="546"/>
    </row>
    <row r="54" spans="1:15" s="183" customFormat="1" ht="23.25" customHeight="1">
      <c r="A54" s="1493"/>
      <c r="B54" s="1532"/>
      <c r="C54" s="1530"/>
      <c r="D54" s="1532"/>
      <c r="E54" s="1532"/>
      <c r="F54" s="590"/>
      <c r="G54" s="544"/>
      <c r="H54" s="544"/>
      <c r="I54" s="545"/>
      <c r="J54" s="544"/>
      <c r="K54" s="544"/>
      <c r="L54" s="1526"/>
      <c r="M54" s="1526"/>
      <c r="N54" s="1476"/>
      <c r="O54" s="546"/>
    </row>
    <row r="55" spans="1:15" s="183" customFormat="1" ht="23.25" customHeight="1">
      <c r="A55" s="1493"/>
      <c r="B55" s="1532"/>
      <c r="C55" s="1530"/>
      <c r="D55" s="1532"/>
      <c r="E55" s="1532"/>
      <c r="F55" s="590"/>
      <c r="G55" s="544"/>
      <c r="H55" s="544"/>
      <c r="I55" s="545"/>
      <c r="J55" s="544"/>
      <c r="K55" s="544"/>
      <c r="L55" s="1526"/>
      <c r="M55" s="1526"/>
      <c r="N55" s="1476"/>
      <c r="O55" s="546"/>
    </row>
    <row r="56" spans="1:15" s="183" customFormat="1" ht="23.25" customHeight="1">
      <c r="A56" s="1493"/>
      <c r="B56" s="1532"/>
      <c r="C56" s="1530"/>
      <c r="D56" s="1532"/>
      <c r="E56" s="1532"/>
      <c r="F56" s="590"/>
      <c r="G56" s="544"/>
      <c r="H56" s="544"/>
      <c r="I56" s="545"/>
      <c r="J56" s="544"/>
      <c r="K56" s="544"/>
      <c r="L56" s="1526"/>
      <c r="M56" s="1526"/>
      <c r="N56" s="1476"/>
      <c r="O56" s="546"/>
    </row>
    <row r="57" spans="1:15" s="183" customFormat="1" ht="23.25" customHeight="1">
      <c r="A57" s="1493"/>
      <c r="B57" s="1532"/>
      <c r="C57" s="1530"/>
      <c r="D57" s="1532"/>
      <c r="E57" s="1532"/>
      <c r="F57" s="590"/>
      <c r="G57" s="544"/>
      <c r="H57" s="544"/>
      <c r="I57" s="545"/>
      <c r="J57" s="544"/>
      <c r="K57" s="544"/>
      <c r="L57" s="1526"/>
      <c r="M57" s="1526"/>
      <c r="N57" s="1476"/>
      <c r="O57" s="546"/>
    </row>
    <row r="58" spans="1:15" s="183" customFormat="1" ht="23.25" customHeight="1">
      <c r="A58" s="1493"/>
      <c r="B58" s="1532"/>
      <c r="C58" s="1530"/>
      <c r="D58" s="1532"/>
      <c r="E58" s="1532"/>
      <c r="F58" s="590"/>
      <c r="G58" s="544"/>
      <c r="H58" s="544"/>
      <c r="I58" s="545"/>
      <c r="J58" s="544"/>
      <c r="K58" s="544"/>
      <c r="L58" s="1526"/>
      <c r="M58" s="1526"/>
      <c r="N58" s="1476"/>
      <c r="O58" s="546"/>
    </row>
    <row r="59" spans="1:15" s="183" customFormat="1" ht="23.25" customHeight="1">
      <c r="A59" s="1493"/>
      <c r="B59" s="1532"/>
      <c r="C59" s="1530"/>
      <c r="D59" s="1532"/>
      <c r="E59" s="1532"/>
      <c r="F59" s="590"/>
      <c r="G59" s="544"/>
      <c r="H59" s="544"/>
      <c r="I59" s="545"/>
      <c r="J59" s="544"/>
      <c r="K59" s="544"/>
      <c r="L59" s="1526"/>
      <c r="M59" s="1526"/>
      <c r="N59" s="1476"/>
      <c r="O59" s="546"/>
    </row>
    <row r="60" spans="1:15" s="183" customFormat="1" ht="23.25" customHeight="1">
      <c r="A60" s="1493"/>
      <c r="B60" s="1532"/>
      <c r="C60" s="1530"/>
      <c r="D60" s="1532"/>
      <c r="E60" s="1532"/>
      <c r="F60" s="590"/>
      <c r="G60" s="544"/>
      <c r="H60" s="544"/>
      <c r="I60" s="545"/>
      <c r="J60" s="544"/>
      <c r="K60" s="544"/>
      <c r="L60" s="1526"/>
      <c r="M60" s="1526"/>
      <c r="N60" s="1476"/>
      <c r="O60" s="546"/>
    </row>
    <row r="61" spans="1:15" s="183" customFormat="1" ht="23.25" customHeight="1">
      <c r="A61" s="1493"/>
      <c r="B61" s="1532"/>
      <c r="C61" s="1530"/>
      <c r="D61" s="1532"/>
      <c r="E61" s="1532"/>
      <c r="F61" s="590"/>
      <c r="G61" s="544"/>
      <c r="H61" s="544"/>
      <c r="I61" s="545"/>
      <c r="J61" s="544"/>
      <c r="K61" s="544"/>
      <c r="L61" s="1526"/>
      <c r="M61" s="1526"/>
      <c r="N61" s="1476"/>
      <c r="O61" s="546"/>
    </row>
    <row r="62" spans="1:15" s="183" customFormat="1" ht="23.25" customHeight="1">
      <c r="A62" s="1493"/>
      <c r="B62" s="1532"/>
      <c r="C62" s="1530"/>
      <c r="D62" s="1532"/>
      <c r="E62" s="1532"/>
      <c r="F62" s="590"/>
      <c r="G62" s="544"/>
      <c r="H62" s="544"/>
      <c r="I62" s="545"/>
      <c r="J62" s="544"/>
      <c r="K62" s="544"/>
      <c r="L62" s="1526"/>
      <c r="M62" s="1526"/>
      <c r="N62" s="1476"/>
      <c r="O62" s="546"/>
    </row>
    <row r="63" spans="1:15" s="183" customFormat="1" ht="23.25" customHeight="1">
      <c r="A63" s="1493"/>
      <c r="B63" s="1532"/>
      <c r="C63" s="1530"/>
      <c r="D63" s="1532"/>
      <c r="E63" s="1532"/>
      <c r="F63" s="590"/>
      <c r="G63" s="544"/>
      <c r="H63" s="544"/>
      <c r="I63" s="545"/>
      <c r="J63" s="544"/>
      <c r="K63" s="544"/>
      <c r="L63" s="1526"/>
      <c r="M63" s="1526"/>
      <c r="N63" s="1476"/>
      <c r="O63" s="546"/>
    </row>
    <row r="64" spans="1:15" s="183" customFormat="1" ht="23.25" customHeight="1">
      <c r="A64" s="1493"/>
      <c r="B64" s="1532"/>
      <c r="C64" s="1530"/>
      <c r="D64" s="1532"/>
      <c r="E64" s="1532"/>
      <c r="F64" s="590"/>
      <c r="G64" s="544"/>
      <c r="H64" s="544"/>
      <c r="I64" s="545"/>
      <c r="J64" s="544"/>
      <c r="K64" s="544"/>
      <c r="L64" s="1526"/>
      <c r="M64" s="1526"/>
      <c r="N64" s="1476"/>
      <c r="O64" s="546"/>
    </row>
    <row r="65" spans="1:15" s="183" customFormat="1" ht="23.25" customHeight="1">
      <c r="A65" s="1493"/>
      <c r="B65" s="1532"/>
      <c r="C65" s="1530"/>
      <c r="D65" s="1532"/>
      <c r="E65" s="1532"/>
      <c r="F65" s="590"/>
      <c r="G65" s="544"/>
      <c r="H65" s="544"/>
      <c r="I65" s="545"/>
      <c r="J65" s="544"/>
      <c r="K65" s="544"/>
      <c r="L65" s="1526"/>
      <c r="M65" s="1526"/>
      <c r="N65" s="1476"/>
      <c r="O65" s="546"/>
    </row>
    <row r="66" spans="1:15" s="183" customFormat="1" ht="23.25" customHeight="1">
      <c r="A66" s="1493"/>
      <c r="B66" s="1532"/>
      <c r="C66" s="1530"/>
      <c r="D66" s="1532"/>
      <c r="E66" s="1532"/>
      <c r="F66" s="590"/>
      <c r="G66" s="544"/>
      <c r="H66" s="544"/>
      <c r="I66" s="545"/>
      <c r="J66" s="544"/>
      <c r="K66" s="544"/>
      <c r="L66" s="1526"/>
      <c r="M66" s="1526"/>
      <c r="N66" s="1476"/>
      <c r="O66" s="546"/>
    </row>
    <row r="67" spans="1:15" s="183" customFormat="1" ht="23.25" customHeight="1">
      <c r="A67" s="1493"/>
      <c r="B67" s="1532"/>
      <c r="C67" s="1530"/>
      <c r="D67" s="1532"/>
      <c r="E67" s="1532"/>
      <c r="F67" s="590"/>
      <c r="G67" s="544"/>
      <c r="H67" s="544"/>
      <c r="I67" s="545"/>
      <c r="J67" s="544"/>
      <c r="K67" s="544"/>
      <c r="L67" s="1526"/>
      <c r="M67" s="1526"/>
      <c r="N67" s="1476"/>
      <c r="O67" s="546"/>
    </row>
    <row r="68" spans="1:15" s="183" customFormat="1" ht="23.25" customHeight="1">
      <c r="A68" s="1493"/>
      <c r="B68" s="1532"/>
      <c r="C68" s="1530"/>
      <c r="D68" s="1532"/>
      <c r="E68" s="1532"/>
      <c r="F68" s="590"/>
      <c r="G68" s="544"/>
      <c r="H68" s="544"/>
      <c r="I68" s="545"/>
      <c r="J68" s="544"/>
      <c r="K68" s="544"/>
      <c r="L68" s="1526"/>
      <c r="M68" s="1526"/>
      <c r="N68" s="1476"/>
      <c r="O68" s="546"/>
    </row>
    <row r="69" spans="1:15" s="183" customFormat="1" ht="23.25" customHeight="1">
      <c r="A69" s="1493"/>
      <c r="B69" s="1532"/>
      <c r="C69" s="1530"/>
      <c r="D69" s="1532"/>
      <c r="E69" s="1532"/>
      <c r="F69" s="590"/>
      <c r="G69" s="544"/>
      <c r="H69" s="544"/>
      <c r="I69" s="545"/>
      <c r="J69" s="544"/>
      <c r="K69" s="544"/>
      <c r="L69" s="1526"/>
      <c r="M69" s="1526"/>
      <c r="N69" s="1476"/>
      <c r="O69" s="546"/>
    </row>
    <row r="70" spans="1:15" s="183" customFormat="1" ht="23.25" customHeight="1">
      <c r="A70" s="1493"/>
      <c r="B70" s="1532"/>
      <c r="C70" s="1530"/>
      <c r="D70" s="1532"/>
      <c r="E70" s="1532"/>
      <c r="F70" s="590"/>
      <c r="G70" s="544"/>
      <c r="H70" s="544"/>
      <c r="I70" s="545"/>
      <c r="J70" s="544"/>
      <c r="K70" s="544"/>
      <c r="L70" s="1526"/>
      <c r="M70" s="1526"/>
      <c r="N70" s="1476"/>
      <c r="O70" s="546"/>
    </row>
    <row r="71" spans="1:15" s="183" customFormat="1" ht="23.25" customHeight="1">
      <c r="A71" s="1493"/>
      <c r="B71" s="1532"/>
      <c r="C71" s="1530"/>
      <c r="D71" s="1532"/>
      <c r="E71" s="1532"/>
      <c r="F71" s="590"/>
      <c r="G71" s="544"/>
      <c r="H71" s="544"/>
      <c r="I71" s="545"/>
      <c r="J71" s="544"/>
      <c r="K71" s="544"/>
      <c r="L71" s="1526"/>
      <c r="M71" s="1526"/>
      <c r="N71" s="1476"/>
      <c r="O71" s="546"/>
    </row>
    <row r="72" spans="1:15" s="183" customFormat="1" ht="23.25" customHeight="1">
      <c r="A72" s="1493"/>
      <c r="B72" s="1532"/>
      <c r="C72" s="1530"/>
      <c r="D72" s="1532"/>
      <c r="E72" s="1532"/>
      <c r="F72" s="590"/>
      <c r="G72" s="544"/>
      <c r="H72" s="544"/>
      <c r="I72" s="545"/>
      <c r="J72" s="544"/>
      <c r="K72" s="544"/>
      <c r="L72" s="1526"/>
      <c r="M72" s="1526"/>
      <c r="N72" s="1476"/>
      <c r="O72" s="546"/>
    </row>
    <row r="73" spans="1:15" s="183" customFormat="1" ht="23.25" customHeight="1">
      <c r="A73" s="1493"/>
      <c r="B73" s="1532"/>
      <c r="C73" s="1530"/>
      <c r="D73" s="1532"/>
      <c r="E73" s="1532"/>
      <c r="F73" s="590"/>
      <c r="G73" s="544"/>
      <c r="H73" s="544"/>
      <c r="I73" s="545"/>
      <c r="J73" s="544"/>
      <c r="K73" s="544"/>
      <c r="L73" s="1526"/>
      <c r="M73" s="1526"/>
      <c r="N73" s="1476"/>
      <c r="O73" s="546"/>
    </row>
    <row r="74" spans="1:15" s="183" customFormat="1" ht="23.25" customHeight="1">
      <c r="A74" s="1493"/>
      <c r="B74" s="1532"/>
      <c r="C74" s="1530"/>
      <c r="D74" s="1532"/>
      <c r="E74" s="1532"/>
      <c r="F74" s="590"/>
      <c r="G74" s="544"/>
      <c r="H74" s="544"/>
      <c r="I74" s="545"/>
      <c r="J74" s="544"/>
      <c r="K74" s="544"/>
      <c r="L74" s="1526"/>
      <c r="M74" s="1526"/>
      <c r="N74" s="1476"/>
      <c r="O74" s="546"/>
    </row>
    <row r="75" spans="1:15" s="183" customFormat="1" ht="23.25" customHeight="1">
      <c r="A75" s="1493"/>
      <c r="B75" s="1532"/>
      <c r="C75" s="1530"/>
      <c r="D75" s="1532"/>
      <c r="E75" s="1532"/>
      <c r="F75" s="590"/>
      <c r="G75" s="544"/>
      <c r="H75" s="544"/>
      <c r="I75" s="545"/>
      <c r="J75" s="544"/>
      <c r="K75" s="544"/>
      <c r="L75" s="1526"/>
      <c r="M75" s="1526"/>
      <c r="N75" s="1476"/>
      <c r="O75" s="546"/>
    </row>
    <row r="76" spans="1:15" s="183" customFormat="1" ht="23.25" customHeight="1">
      <c r="A76" s="1493"/>
      <c r="B76" s="1532"/>
      <c r="C76" s="1530"/>
      <c r="D76" s="1532"/>
      <c r="E76" s="1532"/>
      <c r="F76" s="590"/>
      <c r="G76" s="544"/>
      <c r="H76" s="544"/>
      <c r="I76" s="545"/>
      <c r="J76" s="544"/>
      <c r="K76" s="544"/>
      <c r="L76" s="1526"/>
      <c r="M76" s="1526"/>
      <c r="N76" s="1476"/>
      <c r="O76" s="546"/>
    </row>
    <row r="77" spans="1:15" s="183" customFormat="1" ht="23.25" customHeight="1">
      <c r="A77" s="1493"/>
      <c r="B77" s="1532"/>
      <c r="C77" s="1530"/>
      <c r="D77" s="1532"/>
      <c r="E77" s="1532"/>
      <c r="F77" s="590"/>
      <c r="G77" s="544"/>
      <c r="H77" s="544"/>
      <c r="I77" s="545"/>
      <c r="J77" s="544"/>
      <c r="K77" s="544"/>
      <c r="L77" s="1526"/>
      <c r="M77" s="1526"/>
      <c r="N77" s="1476"/>
      <c r="O77" s="546"/>
    </row>
    <row r="78" spans="1:15" s="183" customFormat="1" ht="23.25" customHeight="1">
      <c r="A78" s="1493"/>
      <c r="B78" s="1532"/>
      <c r="C78" s="1530"/>
      <c r="D78" s="1532"/>
      <c r="E78" s="1532"/>
      <c r="F78" s="590"/>
      <c r="G78" s="544"/>
      <c r="H78" s="544"/>
      <c r="I78" s="545"/>
      <c r="J78" s="544"/>
      <c r="K78" s="544"/>
      <c r="L78" s="1526"/>
      <c r="M78" s="1526"/>
      <c r="N78" s="1476"/>
      <c r="O78" s="546"/>
    </row>
    <row r="79" spans="1:15" s="183" customFormat="1" ht="23.25" customHeight="1">
      <c r="A79" s="1493"/>
      <c r="B79" s="1532"/>
      <c r="C79" s="1530"/>
      <c r="D79" s="1532"/>
      <c r="E79" s="1532"/>
      <c r="F79" s="590"/>
      <c r="G79" s="544"/>
      <c r="H79" s="544"/>
      <c r="I79" s="545"/>
      <c r="J79" s="544"/>
      <c r="K79" s="544"/>
      <c r="L79" s="1526"/>
      <c r="M79" s="1526"/>
      <c r="N79" s="1476"/>
      <c r="O79" s="546"/>
    </row>
    <row r="80" spans="1:15" s="183" customFormat="1" ht="23.25" customHeight="1">
      <c r="A80" s="1493"/>
      <c r="B80" s="1532"/>
      <c r="C80" s="1530"/>
      <c r="D80" s="1532"/>
      <c r="E80" s="1532"/>
      <c r="F80" s="590"/>
      <c r="G80" s="544"/>
      <c r="H80" s="544"/>
      <c r="I80" s="545"/>
      <c r="J80" s="544"/>
      <c r="K80" s="544"/>
      <c r="L80" s="1526"/>
      <c r="M80" s="1526"/>
      <c r="N80" s="1476"/>
      <c r="O80" s="546"/>
    </row>
    <row r="81" spans="1:15" s="183" customFormat="1" ht="23.25" customHeight="1">
      <c r="A81" s="1493"/>
      <c r="B81" s="1532"/>
      <c r="C81" s="1530"/>
      <c r="D81" s="1532"/>
      <c r="E81" s="1532"/>
      <c r="F81" s="590"/>
      <c r="G81" s="544"/>
      <c r="H81" s="544"/>
      <c r="I81" s="545"/>
      <c r="J81" s="544"/>
      <c r="K81" s="544"/>
      <c r="L81" s="1526"/>
      <c r="M81" s="1526"/>
      <c r="N81" s="1476"/>
      <c r="O81" s="546"/>
    </row>
    <row r="82" spans="1:15" s="183" customFormat="1" ht="23.25" customHeight="1">
      <c r="A82" s="1493"/>
      <c r="B82" s="1532"/>
      <c r="C82" s="1530"/>
      <c r="D82" s="1532"/>
      <c r="E82" s="1532"/>
      <c r="F82" s="590"/>
      <c r="G82" s="544"/>
      <c r="H82" s="544"/>
      <c r="I82" s="545"/>
      <c r="J82" s="544"/>
      <c r="K82" s="544"/>
      <c r="L82" s="1526"/>
      <c r="M82" s="1526"/>
      <c r="N82" s="1476"/>
      <c r="O82" s="546"/>
    </row>
    <row r="83" spans="1:15" s="183" customFormat="1" ht="23.25" customHeight="1">
      <c r="A83" s="1493"/>
      <c r="B83" s="1532"/>
      <c r="C83" s="1530"/>
      <c r="D83" s="1532"/>
      <c r="E83" s="1532"/>
      <c r="F83" s="590"/>
      <c r="G83" s="544"/>
      <c r="H83" s="544"/>
      <c r="I83" s="545"/>
      <c r="J83" s="544"/>
      <c r="K83" s="544"/>
      <c r="L83" s="1526"/>
      <c r="M83" s="1526"/>
      <c r="N83" s="1476"/>
      <c r="O83" s="546"/>
    </row>
    <row r="84" spans="1:15" s="183" customFormat="1" ht="23.25" customHeight="1">
      <c r="A84" s="1493"/>
      <c r="B84" s="1532"/>
      <c r="C84" s="1530"/>
      <c r="D84" s="1532"/>
      <c r="E84" s="1532"/>
      <c r="F84" s="590"/>
      <c r="G84" s="544"/>
      <c r="H84" s="544"/>
      <c r="I84" s="545"/>
      <c r="J84" s="544"/>
      <c r="K84" s="544"/>
      <c r="L84" s="1526"/>
      <c r="M84" s="1526"/>
      <c r="N84" s="1476"/>
      <c r="O84" s="546"/>
    </row>
    <row r="85" spans="1:15" s="183" customFormat="1" ht="23.25" customHeight="1">
      <c r="A85" s="1493"/>
      <c r="B85" s="1532"/>
      <c r="C85" s="1530"/>
      <c r="D85" s="1532"/>
      <c r="E85" s="1532"/>
      <c r="F85" s="590"/>
      <c r="G85" s="544"/>
      <c r="H85" s="544"/>
      <c r="I85" s="545"/>
      <c r="J85" s="544"/>
      <c r="K85" s="544"/>
      <c r="L85" s="1526"/>
      <c r="M85" s="1526"/>
      <c r="N85" s="1476"/>
      <c r="O85" s="546"/>
    </row>
    <row r="86" spans="1:15" s="183" customFormat="1" ht="23.25" customHeight="1">
      <c r="A86" s="1493"/>
      <c r="B86" s="1532"/>
      <c r="C86" s="1530"/>
      <c r="D86" s="1532"/>
      <c r="E86" s="1532"/>
      <c r="F86" s="590"/>
      <c r="G86" s="544"/>
      <c r="H86" s="544"/>
      <c r="I86" s="545"/>
      <c r="J86" s="544"/>
      <c r="K86" s="544"/>
      <c r="L86" s="1526"/>
      <c r="M86" s="1526"/>
      <c r="N86" s="1476"/>
      <c r="O86" s="546"/>
    </row>
    <row r="87" spans="1:15" s="183" customFormat="1" ht="23.25" customHeight="1">
      <c r="A87" s="1493"/>
      <c r="B87" s="1532"/>
      <c r="C87" s="1530"/>
      <c r="D87" s="1532"/>
      <c r="E87" s="1532"/>
      <c r="F87" s="590"/>
      <c r="G87" s="544"/>
      <c r="H87" s="544"/>
      <c r="I87" s="545"/>
      <c r="J87" s="544"/>
      <c r="K87" s="544"/>
      <c r="L87" s="1526"/>
      <c r="M87" s="1526"/>
      <c r="N87" s="1476"/>
      <c r="O87" s="546"/>
    </row>
    <row r="88" spans="1:15" s="183" customFormat="1" ht="23.25" customHeight="1">
      <c r="A88" s="1493"/>
      <c r="B88" s="1532"/>
      <c r="C88" s="1530"/>
      <c r="D88" s="1532"/>
      <c r="E88" s="1532"/>
      <c r="F88" s="590"/>
      <c r="G88" s="544"/>
      <c r="H88" s="544"/>
      <c r="I88" s="545"/>
      <c r="J88" s="544"/>
      <c r="K88" s="544"/>
      <c r="L88" s="1526"/>
      <c r="M88" s="1526"/>
      <c r="N88" s="1476"/>
      <c r="O88" s="546"/>
    </row>
    <row r="89" spans="1:15" s="183" customFormat="1" ht="23.25" customHeight="1">
      <c r="A89" s="1493"/>
      <c r="B89" s="1532"/>
      <c r="C89" s="1530"/>
      <c r="D89" s="1532"/>
      <c r="E89" s="1532"/>
      <c r="F89" s="590"/>
      <c r="G89" s="544"/>
      <c r="H89" s="544"/>
      <c r="I89" s="545"/>
      <c r="J89" s="544"/>
      <c r="K89" s="544"/>
      <c r="L89" s="1526"/>
      <c r="M89" s="1526"/>
      <c r="N89" s="1476"/>
      <c r="O89" s="546"/>
    </row>
    <row r="90" spans="1:15" s="183" customFormat="1" ht="23.25" customHeight="1">
      <c r="A90" s="1493"/>
      <c r="B90" s="1532"/>
      <c r="C90" s="1530"/>
      <c r="D90" s="1532"/>
      <c r="E90" s="1532"/>
      <c r="F90" s="590"/>
      <c r="G90" s="544"/>
      <c r="H90" s="544"/>
      <c r="I90" s="545"/>
      <c r="J90" s="544"/>
      <c r="K90" s="544"/>
      <c r="L90" s="1526"/>
      <c r="M90" s="1526"/>
      <c r="N90" s="1476"/>
      <c r="O90" s="546"/>
    </row>
    <row r="91" spans="1:15" s="183" customFormat="1" ht="23.25" customHeight="1">
      <c r="A91" s="1493"/>
      <c r="B91" s="1532"/>
      <c r="C91" s="1530"/>
      <c r="D91" s="1532"/>
      <c r="E91" s="1532"/>
      <c r="F91" s="590"/>
      <c r="G91" s="544"/>
      <c r="H91" s="544"/>
      <c r="I91" s="545"/>
      <c r="J91" s="544"/>
      <c r="K91" s="544"/>
      <c r="L91" s="1526"/>
      <c r="M91" s="1526"/>
      <c r="N91" s="1476"/>
      <c r="O91" s="546"/>
    </row>
    <row r="92" spans="1:15" s="183" customFormat="1" ht="23.25" customHeight="1">
      <c r="A92" s="1493"/>
      <c r="B92" s="1532"/>
      <c r="C92" s="1530"/>
      <c r="D92" s="1532"/>
      <c r="E92" s="1532"/>
      <c r="F92" s="590"/>
      <c r="G92" s="544"/>
      <c r="H92" s="544"/>
      <c r="I92" s="545"/>
      <c r="J92" s="544"/>
      <c r="K92" s="544"/>
      <c r="L92" s="1526"/>
      <c r="M92" s="1526"/>
      <c r="N92" s="1476"/>
      <c r="O92" s="546"/>
    </row>
    <row r="93" spans="1:15" s="183" customFormat="1" ht="23.25" customHeight="1">
      <c r="A93" s="1493"/>
      <c r="B93" s="1532"/>
      <c r="C93" s="1530"/>
      <c r="D93" s="1532"/>
      <c r="E93" s="1532"/>
      <c r="F93" s="590"/>
      <c r="G93" s="544"/>
      <c r="H93" s="544"/>
      <c r="I93" s="545"/>
      <c r="J93" s="544"/>
      <c r="K93" s="544"/>
      <c r="L93" s="1526"/>
      <c r="M93" s="1526"/>
      <c r="N93" s="1476"/>
      <c r="O93" s="546"/>
    </row>
    <row r="94" spans="1:15" s="183" customFormat="1" ht="23.25" customHeight="1">
      <c r="A94" s="1493"/>
      <c r="B94" s="1532"/>
      <c r="C94" s="1530"/>
      <c r="D94" s="1532"/>
      <c r="E94" s="1532"/>
      <c r="F94" s="590"/>
      <c r="G94" s="544"/>
      <c r="H94" s="544"/>
      <c r="I94" s="545"/>
      <c r="J94" s="544"/>
      <c r="K94" s="544"/>
      <c r="L94" s="1526"/>
      <c r="M94" s="1526"/>
      <c r="N94" s="1476"/>
      <c r="O94" s="546"/>
    </row>
    <row r="95" spans="1:15" s="183" customFormat="1" ht="23.25" customHeight="1">
      <c r="A95" s="1493"/>
      <c r="B95" s="1532"/>
      <c r="C95" s="1530"/>
      <c r="D95" s="1532"/>
      <c r="E95" s="1532"/>
      <c r="F95" s="590"/>
      <c r="G95" s="544"/>
      <c r="H95" s="544"/>
      <c r="I95" s="545"/>
      <c r="J95" s="544"/>
      <c r="K95" s="544"/>
      <c r="L95" s="1526"/>
      <c r="M95" s="1526"/>
      <c r="N95" s="1476"/>
      <c r="O95" s="546"/>
    </row>
    <row r="96" spans="1:15" s="183" customFormat="1" ht="23.25" customHeight="1">
      <c r="A96" s="1493"/>
      <c r="B96" s="1532"/>
      <c r="C96" s="1530"/>
      <c r="D96" s="1532"/>
      <c r="E96" s="1532"/>
      <c r="F96" s="590"/>
      <c r="G96" s="544"/>
      <c r="H96" s="544"/>
      <c r="I96" s="545"/>
      <c r="J96" s="544"/>
      <c r="K96" s="544"/>
      <c r="L96" s="1526"/>
      <c r="M96" s="1526"/>
      <c r="N96" s="1476"/>
      <c r="O96" s="546"/>
    </row>
    <row r="97" spans="1:15" s="183" customFormat="1" ht="23.25" customHeight="1">
      <c r="A97" s="1493"/>
      <c r="B97" s="1532"/>
      <c r="C97" s="1530"/>
      <c r="D97" s="1532"/>
      <c r="E97" s="1532"/>
      <c r="F97" s="590"/>
      <c r="G97" s="544"/>
      <c r="H97" s="544"/>
      <c r="I97" s="545"/>
      <c r="J97" s="544"/>
      <c r="K97" s="544"/>
      <c r="L97" s="1526"/>
      <c r="M97" s="1526"/>
      <c r="N97" s="1476"/>
      <c r="O97" s="546"/>
    </row>
    <row r="98" spans="1:15" s="183" customFormat="1" ht="23.25" customHeight="1">
      <c r="A98" s="1493"/>
      <c r="B98" s="1532"/>
      <c r="C98" s="1530"/>
      <c r="D98" s="1532"/>
      <c r="E98" s="1532"/>
      <c r="F98" s="590"/>
      <c r="G98" s="544"/>
      <c r="H98" s="544"/>
      <c r="I98" s="545"/>
      <c r="J98" s="544"/>
      <c r="K98" s="544"/>
      <c r="L98" s="1526"/>
      <c r="M98" s="1526"/>
      <c r="N98" s="1476"/>
      <c r="O98" s="546"/>
    </row>
    <row r="99" spans="1:15" s="183" customFormat="1" ht="23.25" customHeight="1">
      <c r="A99" s="1493"/>
      <c r="B99" s="1532"/>
      <c r="C99" s="1530"/>
      <c r="D99" s="1532"/>
      <c r="E99" s="1532"/>
      <c r="F99" s="590"/>
      <c r="G99" s="544"/>
      <c r="H99" s="544"/>
      <c r="I99" s="545"/>
      <c r="J99" s="544"/>
      <c r="K99" s="544"/>
      <c r="L99" s="1526"/>
      <c r="M99" s="1526"/>
      <c r="N99" s="1476"/>
      <c r="O99" s="546"/>
    </row>
    <row r="100" spans="1:15" s="183" customFormat="1" ht="23.25" customHeight="1">
      <c r="A100" s="1493"/>
      <c r="B100" s="1532"/>
      <c r="C100" s="1530"/>
      <c r="D100" s="1532"/>
      <c r="E100" s="1532"/>
      <c r="F100" s="590"/>
      <c r="G100" s="544"/>
      <c r="H100" s="544"/>
      <c r="I100" s="545"/>
      <c r="J100" s="544"/>
      <c r="K100" s="544"/>
      <c r="L100" s="1526"/>
      <c r="M100" s="1526"/>
      <c r="N100" s="1476"/>
      <c r="O100" s="546"/>
    </row>
    <row r="101" spans="1:15" s="183" customFormat="1" ht="23.25" customHeight="1">
      <c r="A101" s="1493"/>
      <c r="B101" s="1532"/>
      <c r="C101" s="1530"/>
      <c r="D101" s="1532"/>
      <c r="E101" s="1532"/>
      <c r="F101" s="590"/>
      <c r="G101" s="544"/>
      <c r="H101" s="544"/>
      <c r="I101" s="545"/>
      <c r="J101" s="544"/>
      <c r="K101" s="544"/>
      <c r="L101" s="1526"/>
      <c r="M101" s="1526"/>
      <c r="N101" s="1476"/>
      <c r="O101" s="546"/>
    </row>
    <row r="102" spans="1:15" s="183" customFormat="1" ht="23.25" customHeight="1">
      <c r="A102" s="1493"/>
      <c r="B102" s="1532"/>
      <c r="C102" s="1530"/>
      <c r="D102" s="1532"/>
      <c r="E102" s="1532"/>
      <c r="F102" s="590"/>
      <c r="G102" s="544"/>
      <c r="H102" s="544"/>
      <c r="I102" s="545"/>
      <c r="J102" s="544"/>
      <c r="K102" s="544"/>
      <c r="L102" s="1526"/>
      <c r="M102" s="1526"/>
      <c r="N102" s="1476"/>
      <c r="O102" s="546"/>
    </row>
    <row r="103" spans="1:15" s="183" customFormat="1" ht="23.25" customHeight="1">
      <c r="A103" s="1493"/>
      <c r="B103" s="1532"/>
      <c r="C103" s="1530"/>
      <c r="D103" s="1532"/>
      <c r="E103" s="1532"/>
      <c r="F103" s="590"/>
      <c r="G103" s="544"/>
      <c r="H103" s="544"/>
      <c r="I103" s="545"/>
      <c r="J103" s="544"/>
      <c r="K103" s="544"/>
      <c r="L103" s="1526"/>
      <c r="M103" s="1526"/>
      <c r="N103" s="1476"/>
      <c r="O103" s="546"/>
    </row>
    <row r="104" spans="1:15" s="183" customFormat="1" ht="23.25" customHeight="1">
      <c r="A104" s="1493"/>
      <c r="B104" s="1532"/>
      <c r="C104" s="1530"/>
      <c r="D104" s="1532"/>
      <c r="E104" s="1532"/>
      <c r="F104" s="590"/>
      <c r="G104" s="544"/>
      <c r="H104" s="544"/>
      <c r="I104" s="545"/>
      <c r="J104" s="544"/>
      <c r="K104" s="544"/>
      <c r="L104" s="1526"/>
      <c r="M104" s="1526"/>
      <c r="N104" s="1476"/>
      <c r="O104" s="546"/>
    </row>
    <row r="105" spans="1:15" s="183" customFormat="1" ht="23.25" customHeight="1">
      <c r="A105" s="1493"/>
      <c r="B105" s="1532"/>
      <c r="C105" s="1530"/>
      <c r="D105" s="1532"/>
      <c r="E105" s="1532"/>
      <c r="F105" s="590"/>
      <c r="G105" s="544"/>
      <c r="H105" s="544"/>
      <c r="I105" s="545"/>
      <c r="J105" s="544"/>
      <c r="K105" s="544"/>
      <c r="L105" s="1526"/>
      <c r="M105" s="1526"/>
      <c r="N105" s="1476"/>
      <c r="O105" s="546"/>
    </row>
    <row r="106" spans="1:15" s="183" customFormat="1" ht="23.25" customHeight="1">
      <c r="A106" s="1493"/>
      <c r="B106" s="1532"/>
      <c r="C106" s="1530"/>
      <c r="D106" s="1532"/>
      <c r="E106" s="1532"/>
      <c r="F106" s="590"/>
      <c r="G106" s="544"/>
      <c r="H106" s="544"/>
      <c r="I106" s="545"/>
      <c r="J106" s="544"/>
      <c r="K106" s="544"/>
      <c r="L106" s="1526"/>
      <c r="M106" s="1526"/>
      <c r="N106" s="1476"/>
      <c r="O106" s="546"/>
    </row>
    <row r="107" spans="1:15" s="183" customFormat="1" ht="23.25" customHeight="1">
      <c r="A107" s="1493"/>
      <c r="B107" s="1532"/>
      <c r="C107" s="1530"/>
      <c r="D107" s="1532"/>
      <c r="E107" s="1532"/>
      <c r="F107" s="590"/>
      <c r="G107" s="544"/>
      <c r="H107" s="544"/>
      <c r="I107" s="545"/>
      <c r="J107" s="544"/>
      <c r="K107" s="544"/>
      <c r="L107" s="1526"/>
      <c r="M107" s="1526"/>
      <c r="N107" s="1476"/>
      <c r="O107" s="546"/>
    </row>
    <row r="108" spans="1:15" s="183" customFormat="1" ht="23.25" customHeight="1">
      <c r="A108" s="1493"/>
      <c r="B108" s="1532"/>
      <c r="C108" s="1530"/>
      <c r="D108" s="1532"/>
      <c r="E108" s="1532"/>
      <c r="F108" s="590"/>
      <c r="G108" s="544"/>
      <c r="H108" s="544"/>
      <c r="I108" s="545"/>
      <c r="J108" s="544"/>
      <c r="K108" s="544"/>
      <c r="L108" s="1526"/>
      <c r="M108" s="1526"/>
      <c r="N108" s="1476"/>
      <c r="O108" s="546"/>
    </row>
    <row r="109" spans="1:15" s="183" customFormat="1" ht="23.25" customHeight="1">
      <c r="A109" s="1493"/>
      <c r="B109" s="1532"/>
      <c r="C109" s="1530"/>
      <c r="D109" s="1532"/>
      <c r="E109" s="1532"/>
      <c r="F109" s="590"/>
      <c r="G109" s="544"/>
      <c r="H109" s="544"/>
      <c r="I109" s="545"/>
      <c r="J109" s="544"/>
      <c r="K109" s="544"/>
      <c r="L109" s="1526"/>
      <c r="M109" s="1526"/>
      <c r="N109" s="1476"/>
      <c r="O109" s="546"/>
    </row>
    <row r="110" spans="1:15" s="183" customFormat="1" ht="23.25" customHeight="1">
      <c r="A110" s="1493"/>
      <c r="B110" s="1532"/>
      <c r="C110" s="1530"/>
      <c r="D110" s="1532"/>
      <c r="E110" s="1532"/>
      <c r="F110" s="590"/>
      <c r="G110" s="544"/>
      <c r="H110" s="544"/>
      <c r="I110" s="545"/>
      <c r="J110" s="544"/>
      <c r="K110" s="544"/>
      <c r="L110" s="1526"/>
      <c r="M110" s="1526"/>
      <c r="N110" s="1476"/>
      <c r="O110" s="546"/>
    </row>
    <row r="111" spans="1:15" s="183" customFormat="1" ht="23.25" customHeight="1">
      <c r="A111" s="1493"/>
      <c r="B111" s="1532"/>
      <c r="C111" s="1530"/>
      <c r="D111" s="1532"/>
      <c r="E111" s="1532"/>
      <c r="F111" s="590"/>
      <c r="G111" s="544"/>
      <c r="H111" s="544"/>
      <c r="I111" s="545"/>
      <c r="J111" s="544"/>
      <c r="K111" s="544"/>
      <c r="L111" s="1526"/>
      <c r="M111" s="1526"/>
      <c r="N111" s="1476"/>
      <c r="O111" s="546"/>
    </row>
    <row r="112" spans="1:15" s="183" customFormat="1" ht="23.25" customHeight="1">
      <c r="A112" s="1493"/>
      <c r="B112" s="1532"/>
      <c r="C112" s="1530"/>
      <c r="D112" s="1532"/>
      <c r="E112" s="1532"/>
      <c r="F112" s="590"/>
      <c r="G112" s="544"/>
      <c r="H112" s="544"/>
      <c r="I112" s="545"/>
      <c r="J112" s="544"/>
      <c r="K112" s="544"/>
      <c r="L112" s="1526"/>
      <c r="M112" s="1526"/>
      <c r="N112" s="1476"/>
      <c r="O112" s="546"/>
    </row>
    <row r="113" spans="1:15" s="183" customFormat="1" ht="23.25" customHeight="1">
      <c r="A113" s="1493"/>
      <c r="B113" s="1532"/>
      <c r="C113" s="1530"/>
      <c r="D113" s="1532"/>
      <c r="E113" s="1532"/>
      <c r="F113" s="590"/>
      <c r="G113" s="544"/>
      <c r="H113" s="544"/>
      <c r="I113" s="545"/>
      <c r="J113" s="544"/>
      <c r="K113" s="544"/>
      <c r="L113" s="1526"/>
      <c r="M113" s="1526"/>
      <c r="N113" s="1476"/>
      <c r="O113" s="546"/>
    </row>
    <row r="114" spans="1:15" s="183" customFormat="1" ht="23.25" customHeight="1" thickBot="1">
      <c r="A114" s="1492"/>
      <c r="B114" s="1532"/>
      <c r="C114" s="1530"/>
      <c r="D114" s="1532"/>
      <c r="E114" s="1532"/>
      <c r="F114" s="590"/>
      <c r="G114" s="544"/>
      <c r="H114" s="544"/>
      <c r="I114" s="545"/>
      <c r="J114" s="544"/>
      <c r="K114" s="544"/>
      <c r="L114" s="1526"/>
      <c r="M114" s="1526"/>
      <c r="N114" s="1476"/>
      <c r="O114" s="546"/>
    </row>
    <row r="115" spans="1:15" s="183" customFormat="1" ht="23.25" customHeight="1" thickBot="1">
      <c r="A115" s="2211"/>
      <c r="B115" s="2212" t="s">
        <v>1984</v>
      </c>
      <c r="C115" s="1556"/>
      <c r="D115" s="1557"/>
      <c r="E115" s="1562"/>
      <c r="F115" s="1489"/>
      <c r="G115" s="1488">
        <f>SUM(G13:G114)</f>
        <v>0</v>
      </c>
      <c r="H115" s="1488">
        <f>SUM(H13:H114)</f>
        <v>0</v>
      </c>
      <c r="I115" s="1490"/>
      <c r="J115" s="1488">
        <f>SUM(J13:J114)</f>
        <v>0</v>
      </c>
      <c r="K115" s="1488">
        <f>SUM(K13:K114)</f>
        <v>0</v>
      </c>
      <c r="L115" s="1489"/>
      <c r="M115" s="1489"/>
      <c r="N115" s="1489"/>
      <c r="O115" s="1488">
        <f>SUM(O13:O114)</f>
        <v>0</v>
      </c>
    </row>
    <row r="116" spans="1:15" s="183" customFormat="1" ht="19.5" customHeight="1">
      <c r="A116" s="2709" t="s">
        <v>1986</v>
      </c>
      <c r="B116" s="2710"/>
      <c r="C116" s="2713"/>
      <c r="D116" s="2713"/>
      <c r="E116" s="2713"/>
      <c r="F116" s="2705"/>
      <c r="G116" s="2705"/>
      <c r="H116" s="2705"/>
      <c r="I116" s="2705"/>
      <c r="J116" s="2705"/>
      <c r="K116" s="2705"/>
      <c r="L116" s="2705"/>
      <c r="M116" s="2705"/>
      <c r="N116" s="2705"/>
      <c r="O116" s="2707"/>
    </row>
    <row r="117" spans="1:15" s="183" customFormat="1" ht="13.5" customHeight="1">
      <c r="A117" s="2711" t="s">
        <v>1985</v>
      </c>
      <c r="B117" s="2712"/>
      <c r="C117" s="2714"/>
      <c r="D117" s="2714"/>
      <c r="E117" s="2714"/>
      <c r="F117" s="2706"/>
      <c r="G117" s="2706"/>
      <c r="H117" s="2706"/>
      <c r="I117" s="2706"/>
      <c r="J117" s="2706"/>
      <c r="K117" s="2706"/>
      <c r="L117" s="2706"/>
      <c r="M117" s="2706"/>
      <c r="N117" s="2706"/>
      <c r="O117" s="2708"/>
    </row>
    <row r="118" spans="1:15" s="183" customFormat="1" ht="23.25" customHeight="1">
      <c r="A118" s="1493"/>
      <c r="B118" s="1532"/>
      <c r="C118" s="1530"/>
      <c r="D118" s="1532"/>
      <c r="E118" s="1532"/>
      <c r="F118" s="590"/>
      <c r="G118" s="544"/>
      <c r="H118" s="544"/>
      <c r="I118" s="545"/>
      <c r="J118" s="544"/>
      <c r="K118" s="544"/>
      <c r="L118" s="1526"/>
      <c r="M118" s="1526"/>
      <c r="N118" s="1476"/>
      <c r="O118" s="546"/>
    </row>
    <row r="119" spans="1:15" s="183" customFormat="1" ht="23.25" customHeight="1">
      <c r="A119" s="1493"/>
      <c r="B119" s="1532"/>
      <c r="C119" s="1530"/>
      <c r="D119" s="1532"/>
      <c r="E119" s="1532"/>
      <c r="F119" s="590"/>
      <c r="G119" s="544"/>
      <c r="H119" s="544"/>
      <c r="I119" s="545"/>
      <c r="J119" s="544"/>
      <c r="K119" s="544"/>
      <c r="L119" s="1526"/>
      <c r="M119" s="1526"/>
      <c r="N119" s="1476"/>
      <c r="O119" s="546"/>
    </row>
    <row r="120" spans="1:15" s="183" customFormat="1" ht="23.25" customHeight="1">
      <c r="A120" s="1493"/>
      <c r="B120" s="1532"/>
      <c r="C120" s="1530"/>
      <c r="D120" s="1532"/>
      <c r="E120" s="1532"/>
      <c r="F120" s="590"/>
      <c r="G120" s="544"/>
      <c r="H120" s="544"/>
      <c r="I120" s="545"/>
      <c r="J120" s="544"/>
      <c r="K120" s="544"/>
      <c r="L120" s="1526"/>
      <c r="M120" s="1526"/>
      <c r="N120" s="1476"/>
      <c r="O120" s="546"/>
    </row>
    <row r="121" spans="1:15" s="183" customFormat="1" ht="23.25" customHeight="1">
      <c r="A121" s="1493"/>
      <c r="B121" s="1532"/>
      <c r="C121" s="1530"/>
      <c r="D121" s="1532"/>
      <c r="E121" s="1532"/>
      <c r="F121" s="590"/>
      <c r="G121" s="544"/>
      <c r="H121" s="544"/>
      <c r="I121" s="545"/>
      <c r="J121" s="544"/>
      <c r="K121" s="544"/>
      <c r="L121" s="1526"/>
      <c r="M121" s="1526"/>
      <c r="N121" s="1476"/>
      <c r="O121" s="546"/>
    </row>
    <row r="122" spans="1:15" s="183" customFormat="1" ht="23.25" customHeight="1">
      <c r="A122" s="1493"/>
      <c r="B122" s="1532"/>
      <c r="C122" s="1530"/>
      <c r="D122" s="1532"/>
      <c r="E122" s="1532"/>
      <c r="F122" s="590"/>
      <c r="G122" s="544"/>
      <c r="H122" s="544"/>
      <c r="I122" s="545"/>
      <c r="J122" s="544"/>
      <c r="K122" s="544"/>
      <c r="L122" s="1526"/>
      <c r="M122" s="1526"/>
      <c r="N122" s="1476"/>
      <c r="O122" s="546"/>
    </row>
    <row r="123" spans="1:15" s="183" customFormat="1" ht="23.25" customHeight="1">
      <c r="A123" s="1493"/>
      <c r="B123" s="1531"/>
      <c r="C123" s="1531"/>
      <c r="D123" s="1531"/>
      <c r="E123" s="1532"/>
      <c r="F123" s="590"/>
      <c r="G123" s="544"/>
      <c r="H123" s="544"/>
      <c r="I123" s="545"/>
      <c r="J123" s="544"/>
      <c r="K123" s="544"/>
      <c r="L123" s="590"/>
      <c r="M123" s="590"/>
      <c r="N123" s="590"/>
      <c r="O123" s="546"/>
    </row>
    <row r="124" spans="1:15" s="183" customFormat="1" ht="23.25" customHeight="1">
      <c r="A124" s="1493"/>
      <c r="B124" s="1531"/>
      <c r="C124" s="1531"/>
      <c r="D124" s="1531"/>
      <c r="E124" s="1532"/>
      <c r="F124" s="590"/>
      <c r="G124" s="544"/>
      <c r="H124" s="544"/>
      <c r="I124" s="545"/>
      <c r="J124" s="544"/>
      <c r="K124" s="544"/>
      <c r="L124" s="590"/>
      <c r="M124" s="590"/>
      <c r="N124" s="590"/>
      <c r="O124" s="546"/>
    </row>
    <row r="125" spans="1:15" s="183" customFormat="1" ht="23.25" customHeight="1">
      <c r="A125" s="1493"/>
      <c r="B125" s="1531"/>
      <c r="C125" s="1531"/>
      <c r="D125" s="1531"/>
      <c r="E125" s="1532"/>
      <c r="F125" s="590"/>
      <c r="G125" s="544"/>
      <c r="H125" s="544"/>
      <c r="I125" s="545"/>
      <c r="J125" s="544"/>
      <c r="K125" s="544"/>
      <c r="L125" s="590"/>
      <c r="M125" s="590"/>
      <c r="N125" s="590"/>
      <c r="O125" s="546"/>
    </row>
    <row r="126" spans="1:15" s="183" customFormat="1" ht="23.25" customHeight="1">
      <c r="A126" s="1493"/>
      <c r="B126" s="1531"/>
      <c r="C126" s="1531"/>
      <c r="D126" s="1531"/>
      <c r="E126" s="1532"/>
      <c r="F126" s="590"/>
      <c r="G126" s="544"/>
      <c r="H126" s="544"/>
      <c r="I126" s="545"/>
      <c r="J126" s="544"/>
      <c r="K126" s="544"/>
      <c r="L126" s="590"/>
      <c r="M126" s="590"/>
      <c r="N126" s="590"/>
      <c r="O126" s="546"/>
    </row>
    <row r="127" spans="1:15" s="183" customFormat="1" ht="23.25" customHeight="1">
      <c r="A127" s="1493"/>
      <c r="B127" s="1531"/>
      <c r="C127" s="1531"/>
      <c r="D127" s="1531"/>
      <c r="E127" s="1532"/>
      <c r="F127" s="590"/>
      <c r="G127" s="544"/>
      <c r="H127" s="544"/>
      <c r="I127" s="545"/>
      <c r="J127" s="544"/>
      <c r="K127" s="544"/>
      <c r="L127" s="590"/>
      <c r="M127" s="590"/>
      <c r="N127" s="590"/>
      <c r="O127" s="546"/>
    </row>
    <row r="128" spans="1:15" s="183" customFormat="1" ht="23.25" customHeight="1">
      <c r="A128" s="1493"/>
      <c r="B128" s="1531"/>
      <c r="C128" s="1531"/>
      <c r="D128" s="1531"/>
      <c r="E128" s="1532"/>
      <c r="F128" s="590"/>
      <c r="G128" s="544"/>
      <c r="H128" s="544"/>
      <c r="I128" s="545"/>
      <c r="J128" s="544"/>
      <c r="K128" s="544"/>
      <c r="L128" s="590"/>
      <c r="M128" s="590"/>
      <c r="N128" s="590"/>
      <c r="O128" s="546"/>
    </row>
    <row r="129" spans="1:15" s="183" customFormat="1" ht="23.25" customHeight="1">
      <c r="A129" s="1493"/>
      <c r="B129" s="1531"/>
      <c r="C129" s="1531"/>
      <c r="D129" s="1531"/>
      <c r="E129" s="1532"/>
      <c r="F129" s="590"/>
      <c r="G129" s="544"/>
      <c r="H129" s="544"/>
      <c r="I129" s="545"/>
      <c r="J129" s="544"/>
      <c r="K129" s="544"/>
      <c r="L129" s="590"/>
      <c r="M129" s="590"/>
      <c r="N129" s="590"/>
      <c r="O129" s="546"/>
    </row>
    <row r="130" spans="1:15" s="183" customFormat="1" ht="23.25" customHeight="1">
      <c r="A130" s="1493"/>
      <c r="B130" s="1531"/>
      <c r="C130" s="1531"/>
      <c r="D130" s="1531"/>
      <c r="E130" s="1532"/>
      <c r="F130" s="590"/>
      <c r="G130" s="544"/>
      <c r="H130" s="544"/>
      <c r="I130" s="545"/>
      <c r="J130" s="544"/>
      <c r="K130" s="544"/>
      <c r="L130" s="590"/>
      <c r="M130" s="590"/>
      <c r="N130" s="590"/>
      <c r="O130" s="546"/>
    </row>
    <row r="131" spans="1:15" s="183" customFormat="1" ht="23.25" customHeight="1">
      <c r="A131" s="1493"/>
      <c r="B131" s="1531"/>
      <c r="C131" s="1531"/>
      <c r="D131" s="1531"/>
      <c r="E131" s="1532"/>
      <c r="F131" s="590"/>
      <c r="G131" s="544"/>
      <c r="H131" s="544"/>
      <c r="I131" s="545"/>
      <c r="J131" s="544"/>
      <c r="K131" s="544"/>
      <c r="L131" s="590"/>
      <c r="M131" s="590"/>
      <c r="N131" s="590"/>
      <c r="O131" s="546"/>
    </row>
    <row r="132" spans="1:15" s="183" customFormat="1" ht="23.25" customHeight="1">
      <c r="A132" s="1493"/>
      <c r="B132" s="1531"/>
      <c r="C132" s="1531"/>
      <c r="D132" s="1531"/>
      <c r="E132" s="1532"/>
      <c r="F132" s="590"/>
      <c r="G132" s="544"/>
      <c r="H132" s="544"/>
      <c r="I132" s="545"/>
      <c r="J132" s="544"/>
      <c r="K132" s="544"/>
      <c r="L132" s="590"/>
      <c r="M132" s="590"/>
      <c r="N132" s="590"/>
      <c r="O132" s="546"/>
    </row>
    <row r="133" spans="1:15" s="183" customFormat="1" ht="23.25" customHeight="1">
      <c r="A133" s="1493"/>
      <c r="B133" s="1531"/>
      <c r="C133" s="1531"/>
      <c r="D133" s="1531"/>
      <c r="E133" s="1532"/>
      <c r="F133" s="590"/>
      <c r="G133" s="544"/>
      <c r="H133" s="544"/>
      <c r="I133" s="545"/>
      <c r="J133" s="544"/>
      <c r="K133" s="544"/>
      <c r="L133" s="590"/>
      <c r="M133" s="590"/>
      <c r="N133" s="590"/>
      <c r="O133" s="546"/>
    </row>
    <row r="134" spans="1:15" s="183" customFormat="1" ht="23.25" customHeight="1">
      <c r="A134" s="1493"/>
      <c r="B134" s="1531"/>
      <c r="C134" s="1531"/>
      <c r="D134" s="1531"/>
      <c r="E134" s="1532"/>
      <c r="F134" s="590"/>
      <c r="G134" s="544"/>
      <c r="H134" s="544"/>
      <c r="I134" s="545"/>
      <c r="J134" s="544"/>
      <c r="K134" s="544"/>
      <c r="L134" s="590"/>
      <c r="M134" s="590"/>
      <c r="N134" s="590"/>
      <c r="O134" s="546"/>
    </row>
    <row r="135" spans="1:15" s="183" customFormat="1" ht="23.25" customHeight="1">
      <c r="A135" s="1493"/>
      <c r="B135" s="1531"/>
      <c r="C135" s="1531"/>
      <c r="D135" s="1531"/>
      <c r="E135" s="1532"/>
      <c r="F135" s="590"/>
      <c r="G135" s="544"/>
      <c r="H135" s="544"/>
      <c r="I135" s="545"/>
      <c r="J135" s="544"/>
      <c r="K135" s="544"/>
      <c r="L135" s="590"/>
      <c r="M135" s="590"/>
      <c r="N135" s="590"/>
      <c r="O135" s="546"/>
    </row>
    <row r="136" spans="1:15" s="183" customFormat="1" ht="23.25" customHeight="1">
      <c r="A136" s="1493"/>
      <c r="B136" s="1531"/>
      <c r="C136" s="1531"/>
      <c r="D136" s="1531"/>
      <c r="E136" s="1532"/>
      <c r="F136" s="590"/>
      <c r="G136" s="544"/>
      <c r="H136" s="544"/>
      <c r="I136" s="545"/>
      <c r="J136" s="544"/>
      <c r="K136" s="544"/>
      <c r="L136" s="590"/>
      <c r="M136" s="590"/>
      <c r="N136" s="590"/>
      <c r="O136" s="546"/>
    </row>
    <row r="137" spans="1:15" s="183" customFormat="1" ht="23.25" customHeight="1">
      <c r="A137" s="1493"/>
      <c r="B137" s="1531"/>
      <c r="C137" s="1531"/>
      <c r="D137" s="1531"/>
      <c r="E137" s="1532"/>
      <c r="F137" s="590"/>
      <c r="G137" s="544"/>
      <c r="H137" s="544"/>
      <c r="I137" s="545"/>
      <c r="J137" s="544"/>
      <c r="K137" s="544"/>
      <c r="L137" s="590"/>
      <c r="M137" s="590"/>
      <c r="N137" s="590"/>
      <c r="O137" s="546"/>
    </row>
    <row r="138" spans="1:15" s="183" customFormat="1" ht="23.25" customHeight="1">
      <c r="A138" s="1493"/>
      <c r="B138" s="1531"/>
      <c r="C138" s="1531"/>
      <c r="D138" s="1531"/>
      <c r="E138" s="1532"/>
      <c r="F138" s="590"/>
      <c r="G138" s="544"/>
      <c r="H138" s="544"/>
      <c r="I138" s="545"/>
      <c r="J138" s="544"/>
      <c r="K138" s="544"/>
      <c r="L138" s="590"/>
      <c r="M138" s="590"/>
      <c r="N138" s="590"/>
      <c r="O138" s="546"/>
    </row>
    <row r="139" spans="1:15" s="183" customFormat="1" ht="23.25" customHeight="1">
      <c r="A139" s="1493"/>
      <c r="B139" s="1531"/>
      <c r="C139" s="1531"/>
      <c r="D139" s="1531"/>
      <c r="E139" s="1532"/>
      <c r="F139" s="590"/>
      <c r="G139" s="544"/>
      <c r="H139" s="544"/>
      <c r="I139" s="545"/>
      <c r="J139" s="544"/>
      <c r="K139" s="544"/>
      <c r="L139" s="590"/>
      <c r="M139" s="590"/>
      <c r="N139" s="590"/>
      <c r="O139" s="546"/>
    </row>
    <row r="140" spans="1:15" s="183" customFormat="1" ht="23.25" customHeight="1">
      <c r="A140" s="1493"/>
      <c r="B140" s="1531"/>
      <c r="C140" s="1531"/>
      <c r="D140" s="1531"/>
      <c r="E140" s="1532"/>
      <c r="F140" s="590"/>
      <c r="G140" s="544"/>
      <c r="H140" s="544"/>
      <c r="I140" s="545"/>
      <c r="J140" s="544"/>
      <c r="K140" s="544"/>
      <c r="L140" s="590"/>
      <c r="M140" s="590"/>
      <c r="N140" s="590"/>
      <c r="O140" s="546"/>
    </row>
    <row r="141" spans="1:15" s="183" customFormat="1" ht="23.25" customHeight="1">
      <c r="A141" s="1493"/>
      <c r="B141" s="1531"/>
      <c r="C141" s="1531"/>
      <c r="D141" s="1531"/>
      <c r="E141" s="1532"/>
      <c r="F141" s="590"/>
      <c r="G141" s="544"/>
      <c r="H141" s="544"/>
      <c r="I141" s="545"/>
      <c r="J141" s="544"/>
      <c r="K141" s="544"/>
      <c r="L141" s="590"/>
      <c r="M141" s="590"/>
      <c r="N141" s="590"/>
      <c r="O141" s="546"/>
    </row>
    <row r="142" spans="1:15" s="183" customFormat="1" ht="23.25" customHeight="1">
      <c r="A142" s="1493"/>
      <c r="B142" s="1531"/>
      <c r="C142" s="1531"/>
      <c r="D142" s="1531"/>
      <c r="E142" s="1532"/>
      <c r="F142" s="590"/>
      <c r="G142" s="544"/>
      <c r="H142" s="544"/>
      <c r="I142" s="545"/>
      <c r="J142" s="544"/>
      <c r="K142" s="544"/>
      <c r="L142" s="590"/>
      <c r="M142" s="590"/>
      <c r="N142" s="590"/>
      <c r="O142" s="546"/>
    </row>
    <row r="143" spans="1:15" s="183" customFormat="1" ht="23.25" customHeight="1">
      <c r="A143" s="1493"/>
      <c r="B143" s="1531"/>
      <c r="C143" s="1531"/>
      <c r="D143" s="1531"/>
      <c r="E143" s="1532"/>
      <c r="F143" s="590"/>
      <c r="G143" s="544"/>
      <c r="H143" s="544"/>
      <c r="I143" s="545"/>
      <c r="J143" s="544"/>
      <c r="K143" s="544"/>
      <c r="L143" s="590"/>
      <c r="M143" s="590"/>
      <c r="N143" s="590"/>
      <c r="O143" s="546"/>
    </row>
    <row r="144" spans="1:15" s="183" customFormat="1" ht="23.25" customHeight="1">
      <c r="A144" s="1493"/>
      <c r="B144" s="1531"/>
      <c r="C144" s="1531"/>
      <c r="D144" s="1531"/>
      <c r="E144" s="1532"/>
      <c r="F144" s="590"/>
      <c r="G144" s="544"/>
      <c r="H144" s="544"/>
      <c r="I144" s="545"/>
      <c r="J144" s="544"/>
      <c r="K144" s="544"/>
      <c r="L144" s="590"/>
      <c r="M144" s="590"/>
      <c r="N144" s="590"/>
      <c r="O144" s="546"/>
    </row>
    <row r="145" spans="1:15" s="183" customFormat="1" ht="23.25" customHeight="1">
      <c r="A145" s="1493"/>
      <c r="B145" s="1531"/>
      <c r="C145" s="1531"/>
      <c r="D145" s="1531"/>
      <c r="E145" s="1532"/>
      <c r="F145" s="590"/>
      <c r="G145" s="544"/>
      <c r="H145" s="544"/>
      <c r="I145" s="545"/>
      <c r="J145" s="544"/>
      <c r="K145" s="544"/>
      <c r="L145" s="590"/>
      <c r="M145" s="590"/>
      <c r="N145" s="590"/>
      <c r="O145" s="546"/>
    </row>
    <row r="146" spans="1:15" s="183" customFormat="1" ht="23.25" customHeight="1">
      <c r="A146" s="1493"/>
      <c r="B146" s="1531"/>
      <c r="C146" s="1531"/>
      <c r="D146" s="1531"/>
      <c r="E146" s="1532"/>
      <c r="F146" s="590"/>
      <c r="G146" s="544"/>
      <c r="H146" s="544"/>
      <c r="I146" s="545"/>
      <c r="J146" s="544"/>
      <c r="K146" s="544"/>
      <c r="L146" s="590"/>
      <c r="M146" s="590"/>
      <c r="N146" s="590"/>
      <c r="O146" s="546"/>
    </row>
    <row r="147" spans="1:15" s="183" customFormat="1" ht="23.25" customHeight="1">
      <c r="A147" s="1493"/>
      <c r="B147" s="1531"/>
      <c r="C147" s="1531"/>
      <c r="D147" s="1531"/>
      <c r="E147" s="1532"/>
      <c r="F147" s="590"/>
      <c r="G147" s="544"/>
      <c r="H147" s="544"/>
      <c r="I147" s="545"/>
      <c r="J147" s="544"/>
      <c r="K147" s="544"/>
      <c r="L147" s="590"/>
      <c r="M147" s="590"/>
      <c r="N147" s="590"/>
      <c r="O147" s="546"/>
    </row>
    <row r="148" spans="1:15" s="183" customFormat="1" ht="23.25" customHeight="1">
      <c r="A148" s="1493"/>
      <c r="B148" s="1531"/>
      <c r="C148" s="1531"/>
      <c r="D148" s="1531"/>
      <c r="E148" s="1532"/>
      <c r="F148" s="590"/>
      <c r="G148" s="544"/>
      <c r="H148" s="544"/>
      <c r="I148" s="545"/>
      <c r="J148" s="544"/>
      <c r="K148" s="544"/>
      <c r="L148" s="590"/>
      <c r="M148" s="590"/>
      <c r="N148" s="590"/>
      <c r="O148" s="546"/>
    </row>
    <row r="149" spans="1:15" s="183" customFormat="1" ht="23.25" customHeight="1">
      <c r="A149" s="1493"/>
      <c r="B149" s="1531"/>
      <c r="C149" s="1531"/>
      <c r="D149" s="1531"/>
      <c r="E149" s="1532"/>
      <c r="F149" s="590"/>
      <c r="G149" s="544"/>
      <c r="H149" s="544"/>
      <c r="I149" s="545"/>
      <c r="J149" s="544"/>
      <c r="K149" s="544"/>
      <c r="L149" s="590"/>
      <c r="M149" s="590"/>
      <c r="N149" s="590"/>
      <c r="O149" s="546"/>
    </row>
    <row r="150" spans="1:15" s="183" customFormat="1" ht="23.25" customHeight="1">
      <c r="A150" s="1493"/>
      <c r="B150" s="1531"/>
      <c r="C150" s="1531"/>
      <c r="D150" s="1531"/>
      <c r="E150" s="1532"/>
      <c r="F150" s="590"/>
      <c r="G150" s="544"/>
      <c r="H150" s="544"/>
      <c r="I150" s="545"/>
      <c r="J150" s="544"/>
      <c r="K150" s="544"/>
      <c r="L150" s="590"/>
      <c r="M150" s="590"/>
      <c r="N150" s="590"/>
      <c r="O150" s="546"/>
    </row>
    <row r="151" spans="1:15" s="183" customFormat="1" ht="23.25" customHeight="1">
      <c r="A151" s="1493"/>
      <c r="B151" s="1531"/>
      <c r="C151" s="1531"/>
      <c r="D151" s="1531"/>
      <c r="E151" s="1532"/>
      <c r="F151" s="590"/>
      <c r="G151" s="544"/>
      <c r="H151" s="544"/>
      <c r="I151" s="545"/>
      <c r="J151" s="544"/>
      <c r="K151" s="544"/>
      <c r="L151" s="590"/>
      <c r="M151" s="590"/>
      <c r="N151" s="590"/>
      <c r="O151" s="546"/>
    </row>
    <row r="152" spans="1:15" s="183" customFormat="1" ht="23.25" customHeight="1">
      <c r="A152" s="1493"/>
      <c r="B152" s="1531"/>
      <c r="C152" s="1531"/>
      <c r="D152" s="1531"/>
      <c r="E152" s="1532"/>
      <c r="F152" s="590"/>
      <c r="G152" s="544"/>
      <c r="H152" s="544"/>
      <c r="I152" s="545"/>
      <c r="J152" s="544"/>
      <c r="K152" s="544"/>
      <c r="L152" s="590"/>
      <c r="M152" s="590"/>
      <c r="N152" s="590"/>
      <c r="O152" s="546"/>
    </row>
    <row r="153" spans="1:15" s="183" customFormat="1" ht="23.25" customHeight="1">
      <c r="A153" s="1493"/>
      <c r="B153" s="1531"/>
      <c r="C153" s="1531"/>
      <c r="D153" s="1531"/>
      <c r="E153" s="1532"/>
      <c r="F153" s="590"/>
      <c r="G153" s="544"/>
      <c r="H153" s="544"/>
      <c r="I153" s="545"/>
      <c r="J153" s="544"/>
      <c r="K153" s="544"/>
      <c r="L153" s="590"/>
      <c r="M153" s="590"/>
      <c r="N153" s="590"/>
      <c r="O153" s="546"/>
    </row>
    <row r="154" spans="1:15" s="183" customFormat="1" ht="23.25" customHeight="1">
      <c r="A154" s="1493"/>
      <c r="B154" s="1531"/>
      <c r="C154" s="1531"/>
      <c r="D154" s="1531"/>
      <c r="E154" s="1532"/>
      <c r="F154" s="590"/>
      <c r="G154" s="544"/>
      <c r="H154" s="544"/>
      <c r="I154" s="545"/>
      <c r="J154" s="544"/>
      <c r="K154" s="544"/>
      <c r="L154" s="590"/>
      <c r="M154" s="590"/>
      <c r="N154" s="590"/>
      <c r="O154" s="546"/>
    </row>
    <row r="155" spans="1:15" s="183" customFormat="1" ht="23.25" customHeight="1">
      <c r="A155" s="1493"/>
      <c r="B155" s="1531"/>
      <c r="C155" s="1531"/>
      <c r="D155" s="1531"/>
      <c r="E155" s="1532"/>
      <c r="F155" s="590"/>
      <c r="G155" s="544"/>
      <c r="H155" s="544"/>
      <c r="I155" s="545"/>
      <c r="J155" s="544"/>
      <c r="K155" s="544"/>
      <c r="L155" s="590"/>
      <c r="M155" s="590"/>
      <c r="N155" s="590"/>
      <c r="O155" s="546"/>
    </row>
    <row r="156" spans="1:15" s="183" customFormat="1" ht="23.25" customHeight="1">
      <c r="A156" s="1493"/>
      <c r="B156" s="1531"/>
      <c r="C156" s="1531"/>
      <c r="D156" s="1531"/>
      <c r="E156" s="1532"/>
      <c r="F156" s="590"/>
      <c r="G156" s="544"/>
      <c r="H156" s="544"/>
      <c r="I156" s="545"/>
      <c r="J156" s="544"/>
      <c r="K156" s="544"/>
      <c r="L156" s="590"/>
      <c r="M156" s="590"/>
      <c r="N156" s="590"/>
      <c r="O156" s="546"/>
    </row>
    <row r="157" spans="1:15" s="183" customFormat="1" ht="23.25" customHeight="1">
      <c r="A157" s="1493"/>
      <c r="B157" s="1531"/>
      <c r="C157" s="1531"/>
      <c r="D157" s="1531"/>
      <c r="E157" s="1532"/>
      <c r="F157" s="590"/>
      <c r="G157" s="544"/>
      <c r="H157" s="544"/>
      <c r="I157" s="545"/>
      <c r="J157" s="544"/>
      <c r="K157" s="544"/>
      <c r="L157" s="590"/>
      <c r="M157" s="590"/>
      <c r="N157" s="590"/>
      <c r="O157" s="546"/>
    </row>
    <row r="158" spans="1:15" s="183" customFormat="1" ht="23.25" customHeight="1">
      <c r="A158" s="1493"/>
      <c r="B158" s="1531"/>
      <c r="C158" s="1531"/>
      <c r="D158" s="1531"/>
      <c r="E158" s="1532"/>
      <c r="F158" s="590"/>
      <c r="G158" s="544"/>
      <c r="H158" s="544"/>
      <c r="I158" s="545"/>
      <c r="J158" s="544"/>
      <c r="K158" s="544"/>
      <c r="L158" s="590"/>
      <c r="M158" s="590"/>
      <c r="N158" s="590"/>
      <c r="O158" s="546"/>
    </row>
    <row r="159" spans="1:15" s="183" customFormat="1" ht="23.25" customHeight="1">
      <c r="A159" s="1493"/>
      <c r="B159" s="1531"/>
      <c r="C159" s="1531"/>
      <c r="D159" s="1531"/>
      <c r="E159" s="1532"/>
      <c r="F159" s="590"/>
      <c r="G159" s="544"/>
      <c r="H159" s="544"/>
      <c r="I159" s="545"/>
      <c r="J159" s="544"/>
      <c r="K159" s="544"/>
      <c r="L159" s="590"/>
      <c r="M159" s="590"/>
      <c r="N159" s="590"/>
      <c r="O159" s="546"/>
    </row>
    <row r="160" spans="1:15" s="183" customFormat="1" ht="23.25" customHeight="1">
      <c r="A160" s="1493"/>
      <c r="B160" s="1531"/>
      <c r="C160" s="1531"/>
      <c r="D160" s="1531"/>
      <c r="E160" s="1532"/>
      <c r="F160" s="590"/>
      <c r="G160" s="544"/>
      <c r="H160" s="544"/>
      <c r="I160" s="545"/>
      <c r="J160" s="544"/>
      <c r="K160" s="544"/>
      <c r="L160" s="590"/>
      <c r="M160" s="590"/>
      <c r="N160" s="590"/>
      <c r="O160" s="546"/>
    </row>
    <row r="161" spans="1:15" s="183" customFormat="1" ht="23.25" customHeight="1">
      <c r="A161" s="1493"/>
      <c r="B161" s="1531"/>
      <c r="C161" s="1531"/>
      <c r="D161" s="1531"/>
      <c r="E161" s="1532"/>
      <c r="F161" s="590"/>
      <c r="G161" s="544"/>
      <c r="H161" s="544"/>
      <c r="I161" s="545"/>
      <c r="J161" s="544"/>
      <c r="K161" s="544"/>
      <c r="L161" s="590"/>
      <c r="M161" s="590"/>
      <c r="N161" s="590"/>
      <c r="O161" s="546"/>
    </row>
    <row r="162" spans="1:15" s="183" customFormat="1" ht="23.25" customHeight="1">
      <c r="A162" s="1493"/>
      <c r="B162" s="1531"/>
      <c r="C162" s="1531"/>
      <c r="D162" s="1531"/>
      <c r="E162" s="1532"/>
      <c r="F162" s="590"/>
      <c r="G162" s="544"/>
      <c r="H162" s="544"/>
      <c r="I162" s="545"/>
      <c r="J162" s="544"/>
      <c r="K162" s="544"/>
      <c r="L162" s="590"/>
      <c r="M162" s="590"/>
      <c r="N162" s="590"/>
      <c r="O162" s="546"/>
    </row>
    <row r="163" spans="1:15" s="183" customFormat="1" ht="23.25" customHeight="1">
      <c r="A163" s="1493"/>
      <c r="B163" s="1531"/>
      <c r="C163" s="1531"/>
      <c r="D163" s="1531"/>
      <c r="E163" s="1532"/>
      <c r="F163" s="590"/>
      <c r="G163" s="544"/>
      <c r="H163" s="544"/>
      <c r="I163" s="545"/>
      <c r="J163" s="544"/>
      <c r="K163" s="544"/>
      <c r="L163" s="590"/>
      <c r="M163" s="590"/>
      <c r="N163" s="590"/>
      <c r="O163" s="546"/>
    </row>
    <row r="164" spans="1:15" s="183" customFormat="1" ht="23.25" customHeight="1">
      <c r="A164" s="1493"/>
      <c r="B164" s="1531"/>
      <c r="C164" s="1531"/>
      <c r="D164" s="1531"/>
      <c r="E164" s="1532"/>
      <c r="F164" s="590"/>
      <c r="G164" s="544"/>
      <c r="H164" s="544"/>
      <c r="I164" s="545"/>
      <c r="J164" s="544"/>
      <c r="K164" s="544"/>
      <c r="L164" s="590"/>
      <c r="M164" s="590"/>
      <c r="N164" s="590"/>
      <c r="O164" s="546"/>
    </row>
    <row r="165" spans="1:15" s="183" customFormat="1" ht="23.25" customHeight="1">
      <c r="A165" s="1493"/>
      <c r="B165" s="1531"/>
      <c r="C165" s="1531"/>
      <c r="D165" s="1531"/>
      <c r="E165" s="1532"/>
      <c r="F165" s="590"/>
      <c r="G165" s="544"/>
      <c r="H165" s="544"/>
      <c r="I165" s="545"/>
      <c r="J165" s="544"/>
      <c r="K165" s="544"/>
      <c r="L165" s="590"/>
      <c r="M165" s="590"/>
      <c r="N165" s="590"/>
      <c r="O165" s="546"/>
    </row>
    <row r="166" spans="1:15" s="183" customFormat="1" ht="23.25" customHeight="1">
      <c r="A166" s="1493"/>
      <c r="B166" s="1531"/>
      <c r="C166" s="1531"/>
      <c r="D166" s="1531"/>
      <c r="E166" s="1532"/>
      <c r="F166" s="590"/>
      <c r="G166" s="544"/>
      <c r="H166" s="544"/>
      <c r="I166" s="545"/>
      <c r="J166" s="544"/>
      <c r="K166" s="544"/>
      <c r="L166" s="590"/>
      <c r="M166" s="590"/>
      <c r="N166" s="590"/>
      <c r="O166" s="546"/>
    </row>
    <row r="167" spans="1:15" s="183" customFormat="1" ht="23.25" customHeight="1">
      <c r="A167" s="1493"/>
      <c r="B167" s="1531"/>
      <c r="C167" s="1531"/>
      <c r="D167" s="1531"/>
      <c r="E167" s="1532"/>
      <c r="F167" s="590"/>
      <c r="G167" s="544"/>
      <c r="H167" s="544"/>
      <c r="I167" s="545"/>
      <c r="J167" s="544"/>
      <c r="K167" s="544"/>
      <c r="L167" s="590"/>
      <c r="M167" s="590"/>
      <c r="N167" s="590"/>
      <c r="O167" s="546"/>
    </row>
    <row r="168" spans="1:15" s="183" customFormat="1" ht="23.25" customHeight="1">
      <c r="A168" s="1493"/>
      <c r="B168" s="1531"/>
      <c r="C168" s="1531"/>
      <c r="D168" s="1531"/>
      <c r="E168" s="1531"/>
      <c r="F168" s="590"/>
      <c r="G168" s="544"/>
      <c r="H168" s="544"/>
      <c r="I168" s="545"/>
      <c r="J168" s="544"/>
      <c r="K168" s="544"/>
      <c r="L168" s="590"/>
      <c r="M168" s="590"/>
      <c r="N168" s="590"/>
      <c r="O168" s="546"/>
    </row>
    <row r="169" spans="1:15" s="183" customFormat="1" ht="23.25" customHeight="1">
      <c r="A169" s="1493"/>
      <c r="B169" s="1531"/>
      <c r="C169" s="1531"/>
      <c r="D169" s="1531"/>
      <c r="E169" s="1531"/>
      <c r="F169" s="590"/>
      <c r="G169" s="544"/>
      <c r="H169" s="544"/>
      <c r="I169" s="545"/>
      <c r="J169" s="544"/>
      <c r="K169" s="544"/>
      <c r="L169" s="590"/>
      <c r="M169" s="590"/>
      <c r="N169" s="590"/>
      <c r="O169" s="546"/>
    </row>
    <row r="170" spans="1:15" s="183" customFormat="1" ht="23.25" customHeight="1">
      <c r="A170" s="1493"/>
      <c r="B170" s="1531"/>
      <c r="C170" s="1531"/>
      <c r="D170" s="1531"/>
      <c r="E170" s="1531"/>
      <c r="F170" s="590"/>
      <c r="G170" s="544"/>
      <c r="H170" s="544"/>
      <c r="I170" s="545"/>
      <c r="J170" s="544"/>
      <c r="K170" s="544"/>
      <c r="L170" s="590"/>
      <c r="M170" s="590"/>
      <c r="N170" s="590"/>
      <c r="O170" s="546"/>
    </row>
    <row r="171" spans="1:15" s="183" customFormat="1" ht="23.25" customHeight="1">
      <c r="A171" s="1493"/>
      <c r="B171" s="1531"/>
      <c r="C171" s="1531"/>
      <c r="D171" s="1531"/>
      <c r="E171" s="1531"/>
      <c r="F171" s="590"/>
      <c r="G171" s="544"/>
      <c r="H171" s="544"/>
      <c r="I171" s="545"/>
      <c r="J171" s="544"/>
      <c r="K171" s="544"/>
      <c r="L171" s="590"/>
      <c r="M171" s="590"/>
      <c r="N171" s="590"/>
      <c r="O171" s="546"/>
    </row>
    <row r="172" spans="1:15" s="183" customFormat="1" ht="23.25" customHeight="1">
      <c r="A172" s="1493"/>
      <c r="B172" s="1531"/>
      <c r="C172" s="1531"/>
      <c r="D172" s="1531"/>
      <c r="E172" s="1531"/>
      <c r="F172" s="590"/>
      <c r="G172" s="544"/>
      <c r="H172" s="544"/>
      <c r="I172" s="545"/>
      <c r="J172" s="544"/>
      <c r="K172" s="544"/>
      <c r="L172" s="590"/>
      <c r="M172" s="590"/>
      <c r="N172" s="590"/>
      <c r="O172" s="546"/>
    </row>
    <row r="173" spans="1:15" s="183" customFormat="1" ht="23.25" customHeight="1">
      <c r="A173" s="1493"/>
      <c r="B173" s="1531"/>
      <c r="C173" s="1531"/>
      <c r="D173" s="1531"/>
      <c r="E173" s="1531"/>
      <c r="F173" s="590"/>
      <c r="G173" s="544"/>
      <c r="H173" s="544"/>
      <c r="I173" s="545"/>
      <c r="J173" s="544"/>
      <c r="K173" s="544"/>
      <c r="L173" s="590"/>
      <c r="M173" s="590"/>
      <c r="N173" s="590"/>
      <c r="O173" s="546"/>
    </row>
    <row r="174" spans="1:15" s="183" customFormat="1" ht="23.25" customHeight="1" thickBot="1">
      <c r="A174" s="1492"/>
      <c r="B174" s="1552"/>
      <c r="C174" s="1552"/>
      <c r="D174" s="1552"/>
      <c r="E174" s="1552"/>
      <c r="F174" s="1491"/>
      <c r="G174" s="547"/>
      <c r="H174" s="547"/>
      <c r="I174" s="548"/>
      <c r="J174" s="547"/>
      <c r="K174" s="547"/>
      <c r="L174" s="1491"/>
      <c r="M174" s="1491"/>
      <c r="N174" s="1491"/>
      <c r="O174" s="549"/>
    </row>
    <row r="175" spans="1:15" s="183" customFormat="1" ht="23.25" customHeight="1" thickBot="1">
      <c r="A175" s="2701" t="s">
        <v>1984</v>
      </c>
      <c r="B175" s="2702"/>
      <c r="C175" s="1556"/>
      <c r="D175" s="1557"/>
      <c r="E175" s="1557"/>
      <c r="F175" s="1489"/>
      <c r="G175" s="1488">
        <f>SUM(G118:G174)</f>
        <v>0</v>
      </c>
      <c r="H175" s="1488">
        <f>SUM(H118:H174)</f>
        <v>0</v>
      </c>
      <c r="I175" s="1490"/>
      <c r="J175" s="1488">
        <f>SUM(J118:J174)</f>
        <v>0</v>
      </c>
      <c r="K175" s="1488">
        <f>SUM(K118:K174)</f>
        <v>0</v>
      </c>
      <c r="L175" s="1489"/>
      <c r="M175" s="1489"/>
      <c r="N175" s="1489"/>
      <c r="O175" s="1488">
        <f>SUM(O118:O174)</f>
        <v>0</v>
      </c>
    </row>
    <row r="176" spans="1:15" ht="20.25" customHeight="1" thickBot="1">
      <c r="A176" s="2717" t="s">
        <v>425</v>
      </c>
      <c r="B176" s="2718"/>
      <c r="C176" s="2718"/>
      <c r="D176" s="2718"/>
      <c r="E176" s="2718"/>
      <c r="F176" s="2718"/>
      <c r="G176" s="1484">
        <f>+G175+G115</f>
        <v>0</v>
      </c>
      <c r="H176" s="1484">
        <f>+H175+H115</f>
        <v>0</v>
      </c>
      <c r="I176" s="1487"/>
      <c r="J176" s="1484">
        <f>+J175+J115</f>
        <v>0</v>
      </c>
      <c r="K176" s="1484">
        <f>+K175+K115</f>
        <v>0</v>
      </c>
      <c r="L176" s="1486"/>
      <c r="M176" s="1485"/>
      <c r="N176" s="1485"/>
      <c r="O176" s="1484">
        <f>+O175+O115</f>
        <v>0</v>
      </c>
    </row>
    <row r="177" spans="1:14" s="183" customFormat="1" ht="13.5" thickTop="1">
      <c r="B177" s="1558"/>
      <c r="C177" s="1558"/>
      <c r="D177" s="1558"/>
      <c r="E177" s="1558"/>
    </row>
    <row r="178" spans="1:14" s="183" customFormat="1" ht="12.75">
      <c r="A178" s="1249" t="s">
        <v>395</v>
      </c>
      <c r="B178" s="1559"/>
      <c r="C178" s="1558"/>
      <c r="D178" s="1558"/>
      <c r="E178" s="1558"/>
      <c r="L178" s="2609" t="s">
        <v>396</v>
      </c>
      <c r="M178" s="2609"/>
      <c r="N178" s="2609"/>
    </row>
    <row r="179" spans="1:14" s="183" customFormat="1" ht="12.75">
      <c r="A179" s="1249" t="s">
        <v>397</v>
      </c>
      <c r="B179" s="1559"/>
      <c r="C179" s="1558"/>
      <c r="D179" s="1558"/>
      <c r="E179" s="1558"/>
      <c r="L179" s="2715" t="s">
        <v>398</v>
      </c>
      <c r="M179" s="2609"/>
      <c r="N179" s="2609"/>
    </row>
    <row r="180" spans="1:14" s="183" customFormat="1" ht="12.75">
      <c r="B180" s="1558"/>
      <c r="C180" s="1558"/>
      <c r="D180" s="1560" t="s">
        <v>399</v>
      </c>
      <c r="E180" s="1558"/>
      <c r="H180" s="1481" t="s">
        <v>400</v>
      </c>
      <c r="I180" s="342"/>
      <c r="L180" s="2716" t="s">
        <v>401</v>
      </c>
      <c r="M180" s="2716"/>
      <c r="N180" s="2716"/>
    </row>
    <row r="181" spans="1:14" s="183" customFormat="1" ht="12.75">
      <c r="B181" s="1558"/>
      <c r="C181" s="1558"/>
      <c r="D181" s="1561" t="s">
        <v>402</v>
      </c>
      <c r="E181" s="1558"/>
      <c r="H181" s="1480" t="s">
        <v>403</v>
      </c>
      <c r="I181" s="1480"/>
      <c r="L181" s="2609" t="s">
        <v>404</v>
      </c>
      <c r="M181" s="2609"/>
      <c r="N181" s="2609"/>
    </row>
    <row r="182" spans="1:14" s="183" customFormat="1" ht="12.75">
      <c r="B182" s="1558"/>
      <c r="C182" s="1558"/>
      <c r="D182" s="1558"/>
      <c r="E182" s="1558"/>
    </row>
    <row r="183" spans="1:14" s="183" customFormat="1" ht="12.75">
      <c r="B183" s="1558"/>
      <c r="C183" s="1558"/>
      <c r="D183" s="1558"/>
      <c r="E183" s="1558"/>
    </row>
    <row r="184" spans="1:14" s="183" customFormat="1" ht="19.5" customHeight="1">
      <c r="B184" s="1558"/>
      <c r="C184" s="1558"/>
      <c r="D184" s="1558"/>
      <c r="E184" s="1558"/>
      <c r="H184" s="1481"/>
      <c r="L184" s="2716"/>
      <c r="M184" s="2716"/>
    </row>
    <row r="185" spans="1:14" s="183" customFormat="1" ht="12.75">
      <c r="B185" s="1558"/>
      <c r="C185" s="1558"/>
      <c r="D185" s="1558"/>
      <c r="E185" s="1558"/>
      <c r="H185" s="1480"/>
      <c r="L185" s="2609"/>
      <c r="M185" s="2609"/>
    </row>
    <row r="186" spans="1:14" s="183" customFormat="1" ht="12.75">
      <c r="A186" s="1293" t="s">
        <v>1861</v>
      </c>
      <c r="B186" s="1558"/>
      <c r="C186" s="1558"/>
      <c r="D186" s="1558"/>
      <c r="E186" s="1558"/>
    </row>
    <row r="187" spans="1:14" s="183" customFormat="1" ht="12.75">
      <c r="B187" s="1558"/>
      <c r="C187" s="1558"/>
      <c r="D187" s="1558"/>
      <c r="E187" s="1558"/>
    </row>
    <row r="188" spans="1:14" s="183" customFormat="1" ht="12.75">
      <c r="B188" s="1558"/>
      <c r="C188" s="1558"/>
      <c r="D188" s="1558"/>
      <c r="E188" s="1558"/>
    </row>
    <row r="189" spans="1:14" s="183" customFormat="1" ht="12.75">
      <c r="B189" s="1558"/>
      <c r="C189" s="1558"/>
      <c r="D189" s="1558"/>
      <c r="E189" s="1558"/>
    </row>
    <row r="190" spans="1:14" ht="12.75"/>
    <row r="191" spans="1:14" ht="12.75"/>
    <row r="192" spans="1:14"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customHeight="1"/>
    <row r="269" ht="12.75" customHeight="1"/>
  </sheetData>
  <sheetProtection password="C5F7" sheet="1" objects="1" scenarios="1" formatCells="0" formatColumns="0" formatRows="0" insertRows="0" deleteRows="0"/>
  <mergeCells count="43">
    <mergeCell ref="A1:O1"/>
    <mergeCell ref="A2:O2"/>
    <mergeCell ref="A3:O3"/>
    <mergeCell ref="A4:O4"/>
    <mergeCell ref="L11:M11"/>
    <mergeCell ref="N11:O11"/>
    <mergeCell ref="N13:N14"/>
    <mergeCell ref="O13:O14"/>
    <mergeCell ref="A116:B116"/>
    <mergeCell ref="C116:C117"/>
    <mergeCell ref="D116:D117"/>
    <mergeCell ref="E116:E117"/>
    <mergeCell ref="F116:F117"/>
    <mergeCell ref="G13:G14"/>
    <mergeCell ref="A13:A14"/>
    <mergeCell ref="C13:C14"/>
    <mergeCell ref="D13:D14"/>
    <mergeCell ref="L13:L14"/>
    <mergeCell ref="M13:M14"/>
    <mergeCell ref="A117:B117"/>
    <mergeCell ref="I13:I14"/>
    <mergeCell ref="J13:J14"/>
    <mergeCell ref="A175:B175"/>
    <mergeCell ref="A176:F176"/>
    <mergeCell ref="G116:G117"/>
    <mergeCell ref="H116:H117"/>
    <mergeCell ref="H13:H14"/>
    <mergeCell ref="K13:K14"/>
    <mergeCell ref="E13:E14"/>
    <mergeCell ref="F13:F14"/>
    <mergeCell ref="I116:I117"/>
    <mergeCell ref="J116:J117"/>
    <mergeCell ref="K116:K117"/>
    <mergeCell ref="L185:M185"/>
    <mergeCell ref="O116:O117"/>
    <mergeCell ref="L179:N179"/>
    <mergeCell ref="N116:N117"/>
    <mergeCell ref="L178:N178"/>
    <mergeCell ref="L116:L117"/>
    <mergeCell ref="M116:M117"/>
    <mergeCell ref="L180:N180"/>
    <mergeCell ref="L181:N181"/>
    <mergeCell ref="L184:M184"/>
  </mergeCells>
  <dataValidations count="2">
    <dataValidation type="decimal" operator="greaterThanOrEqual" allowBlank="1" showInputMessage="1" showErrorMessage="1" errorTitle="Validation Rule" error="Allow only number" sqref="G15:K115 G118:K175 O118:O175 O15:O115">
      <formula1>0</formula1>
    </dataValidation>
    <dataValidation type="list" allowBlank="1" showInputMessage="1" showErrorMessage="1" sqref="F118:F175 F15:F115">
      <formula1>"Overdraft, Term Loan, Trust Receipt, Bill of Exchange, Financing Commitment, Guarantee, Others"</formula1>
    </dataValidation>
  </dataValidations>
  <pageMargins left="0.25" right="0" top="0.5" bottom="0.5" header="0.5" footer="0.5"/>
  <pageSetup paperSize="9" scale="65" fitToHeight="2"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0"/>
  </sheetPr>
  <dimension ref="A1:P269"/>
  <sheetViews>
    <sheetView showGridLines="0" topLeftCell="A109" workbookViewId="0">
      <selection activeCell="B16" sqref="B16"/>
    </sheetView>
  </sheetViews>
  <sheetFormatPr defaultColWidth="0" defaultRowHeight="0" customHeight="1" zeroHeight="1"/>
  <cols>
    <col min="1" max="1" width="3.7109375" customWidth="1"/>
    <col min="2" max="2" width="21.5703125" style="181" customWidth="1"/>
    <col min="3" max="3" width="17.5703125" style="181" customWidth="1"/>
    <col min="4" max="4" width="14.85546875" style="181" customWidth="1"/>
    <col min="5" max="5" width="13.5703125" style="181" customWidth="1"/>
    <col min="6" max="6" width="15.85546875" customWidth="1"/>
    <col min="7" max="8" width="17.7109375" customWidth="1"/>
    <col min="9" max="9" width="11.140625" customWidth="1"/>
    <col min="10" max="10" width="14.140625" customWidth="1"/>
    <col min="11" max="11" width="12.7109375" customWidth="1"/>
    <col min="12" max="13" width="10.42578125" customWidth="1"/>
    <col min="14" max="15" width="12.28515625" customWidth="1"/>
    <col min="16" max="16" width="9.140625" customWidth="1"/>
  </cols>
  <sheetData>
    <row r="1" spans="1:16" s="191" customFormat="1" ht="27">
      <c r="A1" s="2679" t="s">
        <v>357</v>
      </c>
      <c r="B1" s="2679"/>
      <c r="C1" s="2679"/>
      <c r="D1" s="2679"/>
      <c r="E1" s="2679"/>
      <c r="F1" s="2679"/>
      <c r="G1" s="2679"/>
      <c r="H1" s="2679"/>
      <c r="I1" s="2679"/>
      <c r="J1" s="2679"/>
      <c r="K1" s="2679"/>
      <c r="L1" s="2679"/>
      <c r="M1" s="2679"/>
      <c r="N1" s="2679"/>
      <c r="O1" s="2679"/>
      <c r="P1" s="1258"/>
    </row>
    <row r="2" spans="1:16" s="191" customFormat="1" ht="15.75">
      <c r="A2" s="2680" t="s">
        <v>358</v>
      </c>
      <c r="B2" s="2680"/>
      <c r="C2" s="2680"/>
      <c r="D2" s="2680"/>
      <c r="E2" s="2680"/>
      <c r="F2" s="2680"/>
      <c r="G2" s="2680"/>
      <c r="H2" s="2680"/>
      <c r="I2" s="2680"/>
      <c r="J2" s="2680"/>
      <c r="K2" s="2680"/>
      <c r="L2" s="2680"/>
      <c r="M2" s="2680"/>
      <c r="N2" s="2680"/>
      <c r="O2" s="2680"/>
      <c r="P2" s="1259"/>
    </row>
    <row r="3" spans="1:16" s="183" customFormat="1" ht="12.75">
      <c r="A3" s="2681" t="s">
        <v>359</v>
      </c>
      <c r="B3" s="2681"/>
      <c r="C3" s="2681"/>
      <c r="D3" s="2681"/>
      <c r="E3" s="2681"/>
      <c r="F3" s="2681"/>
      <c r="G3" s="2681"/>
      <c r="H3" s="2681"/>
      <c r="I3" s="2681"/>
      <c r="J3" s="2681"/>
      <c r="K3" s="2681"/>
      <c r="L3" s="2681"/>
      <c r="M3" s="2681"/>
      <c r="N3" s="2681"/>
      <c r="O3" s="2681"/>
      <c r="P3" s="342"/>
    </row>
    <row r="4" spans="1:16" s="183" customFormat="1" ht="15.75">
      <c r="A4" s="2682" t="s">
        <v>360</v>
      </c>
      <c r="B4" s="2682"/>
      <c r="C4" s="2682"/>
      <c r="D4" s="2682"/>
      <c r="E4" s="2682"/>
      <c r="F4" s="2682"/>
      <c r="G4" s="2682"/>
      <c r="H4" s="2682"/>
      <c r="I4" s="2682"/>
      <c r="J4" s="2682"/>
      <c r="K4" s="2682"/>
      <c r="L4" s="2682"/>
      <c r="M4" s="2682"/>
      <c r="N4" s="2682"/>
      <c r="O4" s="2682"/>
      <c r="P4" s="1250"/>
    </row>
    <row r="5" spans="1:16" s="183" customFormat="1" ht="15" customHeight="1">
      <c r="A5" s="1244" t="s">
        <v>361</v>
      </c>
      <c r="B5" s="1533"/>
      <c r="C5" s="1534"/>
      <c r="D5" s="1534"/>
      <c r="E5" s="1534"/>
      <c r="F5" s="342"/>
      <c r="G5" s="342"/>
      <c r="H5" s="342"/>
      <c r="I5" s="342"/>
      <c r="J5" s="342"/>
      <c r="K5" s="342"/>
      <c r="L5" s="342"/>
      <c r="M5" s="342"/>
      <c r="O5" s="1232"/>
      <c r="P5" s="342"/>
    </row>
    <row r="6" spans="1:16" s="183" customFormat="1" ht="12.75">
      <c r="A6" s="1245" t="s">
        <v>362</v>
      </c>
      <c r="B6" s="1535"/>
      <c r="C6" s="1536"/>
      <c r="D6" s="1536"/>
      <c r="E6" s="1536"/>
      <c r="F6" s="343"/>
      <c r="G6" s="343"/>
      <c r="H6" s="343"/>
      <c r="I6" s="343"/>
      <c r="J6" s="343"/>
      <c r="K6" s="343"/>
      <c r="L6" s="343"/>
      <c r="M6" s="343"/>
      <c r="N6" s="890" t="s">
        <v>853</v>
      </c>
      <c r="O6" s="1251"/>
      <c r="P6" s="343"/>
    </row>
    <row r="7" spans="1:16" s="267" customFormat="1" ht="16.5" customHeight="1">
      <c r="B7" s="1537"/>
      <c r="C7" s="1538"/>
      <c r="D7" s="1537"/>
      <c r="E7" s="1537"/>
    </row>
    <row r="8" spans="1:16" s="183" customFormat="1" ht="20.25" customHeight="1">
      <c r="A8" s="1252"/>
      <c r="B8" s="1539" t="s">
        <v>876</v>
      </c>
      <c r="C8" s="1540"/>
      <c r="D8" s="1540"/>
      <c r="E8" s="1540"/>
      <c r="F8" s="550"/>
      <c r="J8" s="1253" t="s">
        <v>363</v>
      </c>
      <c r="L8" s="1247" t="s">
        <v>364</v>
      </c>
      <c r="M8" s="1247"/>
      <c r="N8" s="1254" t="s">
        <v>365</v>
      </c>
    </row>
    <row r="9" spans="1:16" s="183" customFormat="1" ht="17.25" customHeight="1">
      <c r="A9" s="1252"/>
      <c r="B9" s="1539" t="s">
        <v>875</v>
      </c>
      <c r="C9" s="1541" t="s">
        <v>1993</v>
      </c>
      <c r="D9" s="1540"/>
      <c r="E9" s="1540"/>
      <c r="F9" s="550"/>
      <c r="J9" s="1255" t="s">
        <v>366</v>
      </c>
      <c r="L9" s="1248" t="s">
        <v>367</v>
      </c>
      <c r="M9" s="1256"/>
      <c r="N9" s="1257" t="s">
        <v>368</v>
      </c>
    </row>
    <row r="10" spans="1:16" ht="7.5" customHeight="1" thickBot="1">
      <c r="A10" s="2"/>
      <c r="B10" s="1542"/>
      <c r="C10" s="1542"/>
      <c r="D10" s="1542"/>
      <c r="E10" s="1542"/>
      <c r="F10" s="2"/>
      <c r="G10" s="2"/>
      <c r="H10" s="2"/>
      <c r="I10" s="2"/>
      <c r="J10" s="2"/>
      <c r="L10" s="5"/>
      <c r="M10" s="5"/>
      <c r="N10" s="2"/>
      <c r="O10" s="2"/>
    </row>
    <row r="11" spans="1:16" s="6" customFormat="1" ht="41.25" customHeight="1" thickTop="1">
      <c r="A11" s="1497" t="s">
        <v>369</v>
      </c>
      <c r="B11" s="1543" t="s">
        <v>405</v>
      </c>
      <c r="C11" s="1544" t="s">
        <v>406</v>
      </c>
      <c r="D11" s="1545" t="s">
        <v>407</v>
      </c>
      <c r="E11" s="1546" t="s">
        <v>408</v>
      </c>
      <c r="F11" s="541" t="s">
        <v>370</v>
      </c>
      <c r="G11" s="541" t="s">
        <v>371</v>
      </c>
      <c r="H11" s="1483" t="s">
        <v>372</v>
      </c>
      <c r="I11" s="541" t="s">
        <v>409</v>
      </c>
      <c r="J11" s="541" t="s">
        <v>373</v>
      </c>
      <c r="K11" s="541" t="s">
        <v>410</v>
      </c>
      <c r="L11" s="2719" t="s">
        <v>411</v>
      </c>
      <c r="M11" s="2720"/>
      <c r="N11" s="2721" t="s">
        <v>412</v>
      </c>
      <c r="O11" s="2722"/>
    </row>
    <row r="12" spans="1:16" s="6" customFormat="1" ht="25.5" customHeight="1" thickBot="1">
      <c r="A12" s="1496" t="s">
        <v>374</v>
      </c>
      <c r="B12" s="1547" t="s">
        <v>413</v>
      </c>
      <c r="C12" s="1548" t="s">
        <v>414</v>
      </c>
      <c r="D12" s="1549" t="s">
        <v>415</v>
      </c>
      <c r="E12" s="1549" t="s">
        <v>416</v>
      </c>
      <c r="F12" s="1482" t="s">
        <v>417</v>
      </c>
      <c r="G12" s="1482" t="s">
        <v>376</v>
      </c>
      <c r="H12" s="1482" t="s">
        <v>377</v>
      </c>
      <c r="I12" s="1482" t="s">
        <v>418</v>
      </c>
      <c r="J12" s="1482" t="s">
        <v>379</v>
      </c>
      <c r="K12" s="1482" t="s">
        <v>419</v>
      </c>
      <c r="L12" s="542" t="s">
        <v>420</v>
      </c>
      <c r="M12" s="542" t="s">
        <v>421</v>
      </c>
      <c r="N12" s="543" t="s">
        <v>422</v>
      </c>
      <c r="O12" s="1495" t="s">
        <v>423</v>
      </c>
    </row>
    <row r="13" spans="1:16" s="183" customFormat="1" ht="16.5" customHeight="1">
      <c r="A13" s="2699"/>
      <c r="B13" s="1550" t="s">
        <v>1988</v>
      </c>
      <c r="C13" s="2703"/>
      <c r="D13" s="2703"/>
      <c r="E13" s="2703"/>
      <c r="F13" s="2697"/>
      <c r="G13" s="2697"/>
      <c r="H13" s="2697"/>
      <c r="I13" s="2697"/>
      <c r="J13" s="2697"/>
      <c r="K13" s="2697"/>
      <c r="L13" s="2697"/>
      <c r="M13" s="2697"/>
      <c r="N13" s="2697"/>
      <c r="O13" s="2723"/>
    </row>
    <row r="14" spans="1:16" s="183" customFormat="1" ht="15.75" customHeight="1" thickBot="1">
      <c r="A14" s="2700"/>
      <c r="B14" s="1551" t="s">
        <v>1987</v>
      </c>
      <c r="C14" s="2704"/>
      <c r="D14" s="2704"/>
      <c r="E14" s="2704"/>
      <c r="F14" s="2698"/>
      <c r="G14" s="2698"/>
      <c r="H14" s="2698"/>
      <c r="I14" s="2698"/>
      <c r="J14" s="2698"/>
      <c r="K14" s="2698"/>
      <c r="L14" s="2698"/>
      <c r="M14" s="2698"/>
      <c r="N14" s="2698"/>
      <c r="O14" s="2724"/>
    </row>
    <row r="15" spans="1:16" s="183" customFormat="1" ht="23.25" customHeight="1">
      <c r="A15" s="1494"/>
      <c r="B15" s="1532"/>
      <c r="C15" s="1530"/>
      <c r="D15" s="1532"/>
      <c r="E15" s="1532"/>
      <c r="F15" s="590"/>
      <c r="G15" s="544"/>
      <c r="H15" s="544"/>
      <c r="I15" s="545"/>
      <c r="J15" s="544"/>
      <c r="K15" s="544"/>
      <c r="L15" s="1526"/>
      <c r="M15" s="1526"/>
      <c r="N15" s="1476"/>
      <c r="O15" s="546"/>
    </row>
    <row r="16" spans="1:16" s="183" customFormat="1" ht="23.25" customHeight="1">
      <c r="A16" s="1494"/>
      <c r="B16" s="1532"/>
      <c r="C16" s="1530"/>
      <c r="D16" s="1532"/>
      <c r="E16" s="1532"/>
      <c r="F16" s="590"/>
      <c r="G16" s="544"/>
      <c r="H16" s="544"/>
      <c r="I16" s="545"/>
      <c r="J16" s="544"/>
      <c r="K16" s="544"/>
      <c r="L16" s="1526"/>
      <c r="M16" s="1526"/>
      <c r="N16" s="1476"/>
      <c r="O16" s="546"/>
    </row>
    <row r="17" spans="1:15" s="183" customFormat="1" ht="23.25" customHeight="1">
      <c r="A17" s="1493"/>
      <c r="B17" s="1532"/>
      <c r="C17" s="1530"/>
      <c r="D17" s="1532"/>
      <c r="E17" s="1532"/>
      <c r="F17" s="590"/>
      <c r="G17" s="544"/>
      <c r="H17" s="544"/>
      <c r="I17" s="545"/>
      <c r="J17" s="544"/>
      <c r="K17" s="544"/>
      <c r="L17" s="1526"/>
      <c r="M17" s="1526"/>
      <c r="N17" s="1476"/>
      <c r="O17" s="546"/>
    </row>
    <row r="18" spans="1:15" s="183" customFormat="1" ht="23.25" customHeight="1">
      <c r="A18" s="1493"/>
      <c r="B18" s="1532"/>
      <c r="C18" s="1530"/>
      <c r="D18" s="1532"/>
      <c r="E18" s="1532"/>
      <c r="F18" s="590"/>
      <c r="G18" s="544"/>
      <c r="H18" s="544"/>
      <c r="I18" s="545"/>
      <c r="J18" s="544"/>
      <c r="K18" s="544"/>
      <c r="L18" s="1526"/>
      <c r="M18" s="1526"/>
      <c r="N18" s="1476"/>
      <c r="O18" s="546"/>
    </row>
    <row r="19" spans="1:15" s="183" customFormat="1" ht="23.25" customHeight="1">
      <c r="A19" s="1493"/>
      <c r="B19" s="1532"/>
      <c r="C19" s="1530"/>
      <c r="D19" s="1532"/>
      <c r="E19" s="1532"/>
      <c r="F19" s="590"/>
      <c r="G19" s="544"/>
      <c r="H19" s="544"/>
      <c r="I19" s="545"/>
      <c r="J19" s="544"/>
      <c r="K19" s="544"/>
      <c r="L19" s="1526"/>
      <c r="M19" s="1526"/>
      <c r="N19" s="1476"/>
      <c r="O19" s="546"/>
    </row>
    <row r="20" spans="1:15" s="183" customFormat="1" ht="23.25" customHeight="1">
      <c r="A20" s="1493"/>
      <c r="B20" s="1532"/>
      <c r="C20" s="1530"/>
      <c r="D20" s="1532"/>
      <c r="E20" s="1532"/>
      <c r="F20" s="590"/>
      <c r="G20" s="544"/>
      <c r="H20" s="544"/>
      <c r="I20" s="545"/>
      <c r="J20" s="544"/>
      <c r="K20" s="544"/>
      <c r="L20" s="1526"/>
      <c r="M20" s="1526"/>
      <c r="N20" s="1476"/>
      <c r="O20" s="546"/>
    </row>
    <row r="21" spans="1:15" s="183" customFormat="1" ht="23.25" customHeight="1">
      <c r="A21" s="1493"/>
      <c r="B21" s="1532"/>
      <c r="C21" s="1530"/>
      <c r="D21" s="1532"/>
      <c r="E21" s="1532"/>
      <c r="F21" s="590"/>
      <c r="G21" s="544"/>
      <c r="H21" s="544"/>
      <c r="I21" s="545"/>
      <c r="J21" s="544"/>
      <c r="K21" s="544"/>
      <c r="L21" s="1526"/>
      <c r="M21" s="1526"/>
      <c r="N21" s="1476"/>
      <c r="O21" s="546"/>
    </row>
    <row r="22" spans="1:15" s="183" customFormat="1" ht="23.25" customHeight="1">
      <c r="A22" s="1493"/>
      <c r="B22" s="1532"/>
      <c r="C22" s="1530"/>
      <c r="D22" s="1532"/>
      <c r="E22" s="1532"/>
      <c r="F22" s="590"/>
      <c r="G22" s="544"/>
      <c r="H22" s="544"/>
      <c r="I22" s="545"/>
      <c r="J22" s="544"/>
      <c r="K22" s="544"/>
      <c r="L22" s="1526"/>
      <c r="M22" s="1526"/>
      <c r="N22" s="1476"/>
      <c r="O22" s="546"/>
    </row>
    <row r="23" spans="1:15" s="183" customFormat="1" ht="23.25" customHeight="1">
      <c r="A23" s="1493"/>
      <c r="B23" s="1532"/>
      <c r="C23" s="1530"/>
      <c r="D23" s="1532"/>
      <c r="E23" s="1532"/>
      <c r="F23" s="590"/>
      <c r="G23" s="544"/>
      <c r="H23" s="544"/>
      <c r="I23" s="545"/>
      <c r="J23" s="544"/>
      <c r="K23" s="544"/>
      <c r="L23" s="1526"/>
      <c r="M23" s="1526"/>
      <c r="N23" s="1476"/>
      <c r="O23" s="546"/>
    </row>
    <row r="24" spans="1:15" s="183" customFormat="1" ht="23.25" customHeight="1">
      <c r="A24" s="1493"/>
      <c r="B24" s="1532"/>
      <c r="C24" s="1530"/>
      <c r="D24" s="1532"/>
      <c r="E24" s="1532"/>
      <c r="F24" s="590"/>
      <c r="G24" s="544"/>
      <c r="H24" s="544"/>
      <c r="I24" s="545"/>
      <c r="J24" s="544"/>
      <c r="K24" s="544"/>
      <c r="L24" s="1526"/>
      <c r="M24" s="1526"/>
      <c r="N24" s="1476"/>
      <c r="O24" s="546"/>
    </row>
    <row r="25" spans="1:15" s="183" customFormat="1" ht="23.25" customHeight="1">
      <c r="A25" s="1493"/>
      <c r="B25" s="1532"/>
      <c r="C25" s="1530"/>
      <c r="D25" s="1532"/>
      <c r="E25" s="1532"/>
      <c r="F25" s="590"/>
      <c r="G25" s="544"/>
      <c r="H25" s="544"/>
      <c r="I25" s="545"/>
      <c r="J25" s="544"/>
      <c r="K25" s="544"/>
      <c r="L25" s="1526"/>
      <c r="M25" s="1526"/>
      <c r="N25" s="1476"/>
      <c r="O25" s="546"/>
    </row>
    <row r="26" spans="1:15" s="183" customFormat="1" ht="23.25" customHeight="1">
      <c r="A26" s="1493"/>
      <c r="B26" s="1532"/>
      <c r="C26" s="1530"/>
      <c r="D26" s="1532"/>
      <c r="E26" s="1532"/>
      <c r="F26" s="590"/>
      <c r="G26" s="544"/>
      <c r="H26" s="544"/>
      <c r="I26" s="545"/>
      <c r="J26" s="544"/>
      <c r="K26" s="544"/>
      <c r="L26" s="1526"/>
      <c r="M26" s="1526"/>
      <c r="N26" s="1476"/>
      <c r="O26" s="546"/>
    </row>
    <row r="27" spans="1:15" s="183" customFormat="1" ht="23.25" customHeight="1">
      <c r="A27" s="1493"/>
      <c r="B27" s="1532"/>
      <c r="C27" s="1530"/>
      <c r="D27" s="1532"/>
      <c r="E27" s="1532"/>
      <c r="F27" s="590"/>
      <c r="G27" s="544"/>
      <c r="H27" s="544"/>
      <c r="I27" s="545"/>
      <c r="J27" s="544"/>
      <c r="K27" s="544"/>
      <c r="L27" s="1526"/>
      <c r="M27" s="1526"/>
      <c r="N27" s="1476"/>
      <c r="O27" s="546"/>
    </row>
    <row r="28" spans="1:15" s="183" customFormat="1" ht="23.25" customHeight="1">
      <c r="A28" s="1493"/>
      <c r="B28" s="1532"/>
      <c r="C28" s="1530"/>
      <c r="D28" s="1532"/>
      <c r="E28" s="1532"/>
      <c r="F28" s="590"/>
      <c r="G28" s="544"/>
      <c r="H28" s="544"/>
      <c r="I28" s="545"/>
      <c r="J28" s="544"/>
      <c r="K28" s="544"/>
      <c r="L28" s="1526"/>
      <c r="M28" s="1526"/>
      <c r="N28" s="1476"/>
      <c r="O28" s="546"/>
    </row>
    <row r="29" spans="1:15" s="183" customFormat="1" ht="23.25" customHeight="1">
      <c r="A29" s="1493"/>
      <c r="B29" s="1532"/>
      <c r="C29" s="1530"/>
      <c r="D29" s="1532"/>
      <c r="E29" s="1532"/>
      <c r="F29" s="590"/>
      <c r="G29" s="544"/>
      <c r="H29" s="544"/>
      <c r="I29" s="545"/>
      <c r="J29" s="544"/>
      <c r="K29" s="544"/>
      <c r="L29" s="1526"/>
      <c r="M29" s="1526"/>
      <c r="N29" s="1476"/>
      <c r="O29" s="546"/>
    </row>
    <row r="30" spans="1:15" s="183" customFormat="1" ht="23.25" customHeight="1">
      <c r="A30" s="1493"/>
      <c r="B30" s="1532"/>
      <c r="C30" s="1530"/>
      <c r="D30" s="1532"/>
      <c r="E30" s="1532"/>
      <c r="F30" s="590"/>
      <c r="G30" s="544"/>
      <c r="H30" s="544"/>
      <c r="I30" s="545"/>
      <c r="J30" s="544"/>
      <c r="K30" s="544"/>
      <c r="L30" s="1526"/>
      <c r="M30" s="1526"/>
      <c r="N30" s="1476"/>
      <c r="O30" s="546"/>
    </row>
    <row r="31" spans="1:15" s="183" customFormat="1" ht="23.25" customHeight="1">
      <c r="A31" s="1493"/>
      <c r="B31" s="1532"/>
      <c r="C31" s="1530"/>
      <c r="D31" s="1532"/>
      <c r="E31" s="1532"/>
      <c r="F31" s="590"/>
      <c r="G31" s="544"/>
      <c r="H31" s="544"/>
      <c r="I31" s="545"/>
      <c r="J31" s="544"/>
      <c r="K31" s="544"/>
      <c r="L31" s="1526"/>
      <c r="M31" s="1526"/>
      <c r="N31" s="1476"/>
      <c r="O31" s="546"/>
    </row>
    <row r="32" spans="1:15" s="183" customFormat="1" ht="23.25" customHeight="1">
      <c r="A32" s="1493"/>
      <c r="B32" s="1532"/>
      <c r="C32" s="1530"/>
      <c r="D32" s="1532"/>
      <c r="E32" s="1532"/>
      <c r="F32" s="590"/>
      <c r="G32" s="544"/>
      <c r="H32" s="544"/>
      <c r="I32" s="545"/>
      <c r="J32" s="544"/>
      <c r="K32" s="544"/>
      <c r="L32" s="1526"/>
      <c r="M32" s="1526"/>
      <c r="N32" s="1476"/>
      <c r="O32" s="546"/>
    </row>
    <row r="33" spans="1:15" s="183" customFormat="1" ht="23.25" customHeight="1">
      <c r="A33" s="1493"/>
      <c r="B33" s="1532"/>
      <c r="C33" s="1530"/>
      <c r="D33" s="1532"/>
      <c r="E33" s="1532"/>
      <c r="F33" s="590"/>
      <c r="G33" s="544"/>
      <c r="H33" s="544"/>
      <c r="I33" s="545"/>
      <c r="J33" s="544"/>
      <c r="K33" s="544"/>
      <c r="L33" s="1526"/>
      <c r="M33" s="1526"/>
      <c r="N33" s="1476"/>
      <c r="O33" s="546"/>
    </row>
    <row r="34" spans="1:15" s="183" customFormat="1" ht="23.25" customHeight="1">
      <c r="A34" s="1493"/>
      <c r="B34" s="1532"/>
      <c r="C34" s="1530"/>
      <c r="D34" s="1532"/>
      <c r="E34" s="1532"/>
      <c r="F34" s="590"/>
      <c r="G34" s="544"/>
      <c r="H34" s="544"/>
      <c r="I34" s="545"/>
      <c r="J34" s="544"/>
      <c r="K34" s="544"/>
      <c r="L34" s="1526"/>
      <c r="M34" s="1526"/>
      <c r="N34" s="1476"/>
      <c r="O34" s="546"/>
    </row>
    <row r="35" spans="1:15" s="183" customFormat="1" ht="23.25" customHeight="1">
      <c r="A35" s="1493"/>
      <c r="B35" s="1532"/>
      <c r="C35" s="1530"/>
      <c r="D35" s="1532"/>
      <c r="E35" s="1532"/>
      <c r="F35" s="590"/>
      <c r="G35" s="544"/>
      <c r="H35" s="544"/>
      <c r="I35" s="545"/>
      <c r="J35" s="544"/>
      <c r="K35" s="544"/>
      <c r="L35" s="1526"/>
      <c r="M35" s="1526"/>
      <c r="N35" s="1476"/>
      <c r="O35" s="546"/>
    </row>
    <row r="36" spans="1:15" s="183" customFormat="1" ht="23.25" customHeight="1">
      <c r="A36" s="1493"/>
      <c r="B36" s="1532"/>
      <c r="C36" s="1530"/>
      <c r="D36" s="1532"/>
      <c r="E36" s="1532"/>
      <c r="F36" s="590"/>
      <c r="G36" s="544"/>
      <c r="H36" s="544"/>
      <c r="I36" s="545"/>
      <c r="J36" s="544"/>
      <c r="K36" s="544"/>
      <c r="L36" s="1526"/>
      <c r="M36" s="1526"/>
      <c r="N36" s="1476"/>
      <c r="O36" s="546"/>
    </row>
    <row r="37" spans="1:15" s="183" customFormat="1" ht="23.25" customHeight="1">
      <c r="A37" s="1493"/>
      <c r="B37" s="1532"/>
      <c r="C37" s="1530"/>
      <c r="D37" s="1532"/>
      <c r="E37" s="1532"/>
      <c r="F37" s="590"/>
      <c r="G37" s="544"/>
      <c r="H37" s="544"/>
      <c r="I37" s="545"/>
      <c r="J37" s="544"/>
      <c r="K37" s="544"/>
      <c r="L37" s="1526"/>
      <c r="M37" s="1526"/>
      <c r="N37" s="1476"/>
      <c r="O37" s="546"/>
    </row>
    <row r="38" spans="1:15" s="183" customFormat="1" ht="23.25" customHeight="1">
      <c r="A38" s="1493"/>
      <c r="B38" s="1532"/>
      <c r="C38" s="1530"/>
      <c r="D38" s="1532"/>
      <c r="E38" s="1532"/>
      <c r="F38" s="590"/>
      <c r="G38" s="544"/>
      <c r="H38" s="544"/>
      <c r="I38" s="545"/>
      <c r="J38" s="544"/>
      <c r="K38" s="544"/>
      <c r="L38" s="1526"/>
      <c r="M38" s="1526"/>
      <c r="N38" s="1476"/>
      <c r="O38" s="546"/>
    </row>
    <row r="39" spans="1:15" s="183" customFormat="1" ht="23.25" customHeight="1">
      <c r="A39" s="1493"/>
      <c r="B39" s="1532"/>
      <c r="C39" s="1530"/>
      <c r="D39" s="1532"/>
      <c r="E39" s="1532"/>
      <c r="F39" s="590"/>
      <c r="G39" s="544"/>
      <c r="H39" s="544"/>
      <c r="I39" s="545"/>
      <c r="J39" s="544"/>
      <c r="K39" s="544"/>
      <c r="L39" s="1526"/>
      <c r="M39" s="1526"/>
      <c r="N39" s="1476"/>
      <c r="O39" s="546"/>
    </row>
    <row r="40" spans="1:15" s="183" customFormat="1" ht="23.25" customHeight="1">
      <c r="A40" s="1493"/>
      <c r="B40" s="1532"/>
      <c r="C40" s="1530"/>
      <c r="D40" s="1532"/>
      <c r="E40" s="1532"/>
      <c r="F40" s="590"/>
      <c r="G40" s="544"/>
      <c r="H40" s="544"/>
      <c r="I40" s="545"/>
      <c r="J40" s="544"/>
      <c r="K40" s="544"/>
      <c r="L40" s="1526"/>
      <c r="M40" s="1526"/>
      <c r="N40" s="1476"/>
      <c r="O40" s="546"/>
    </row>
    <row r="41" spans="1:15" s="183" customFormat="1" ht="23.25" customHeight="1">
      <c r="A41" s="1493"/>
      <c r="B41" s="1532"/>
      <c r="C41" s="1530"/>
      <c r="D41" s="1532"/>
      <c r="E41" s="1532"/>
      <c r="F41" s="590"/>
      <c r="G41" s="544"/>
      <c r="H41" s="544"/>
      <c r="I41" s="545"/>
      <c r="J41" s="544"/>
      <c r="K41" s="544"/>
      <c r="L41" s="1526"/>
      <c r="M41" s="1526"/>
      <c r="N41" s="1476"/>
      <c r="O41" s="546"/>
    </row>
    <row r="42" spans="1:15" s="183" customFormat="1" ht="23.25" customHeight="1">
      <c r="A42" s="1493"/>
      <c r="B42" s="1532"/>
      <c r="C42" s="1530"/>
      <c r="D42" s="1532"/>
      <c r="E42" s="1532"/>
      <c r="F42" s="590"/>
      <c r="G42" s="544"/>
      <c r="H42" s="544"/>
      <c r="I42" s="545"/>
      <c r="J42" s="544"/>
      <c r="K42" s="544"/>
      <c r="L42" s="1526"/>
      <c r="M42" s="1526"/>
      <c r="N42" s="1476"/>
      <c r="O42" s="546"/>
    </row>
    <row r="43" spans="1:15" s="183" customFormat="1" ht="23.25" customHeight="1">
      <c r="A43" s="1493"/>
      <c r="B43" s="1532"/>
      <c r="C43" s="1530"/>
      <c r="D43" s="1532"/>
      <c r="E43" s="1532"/>
      <c r="F43" s="590"/>
      <c r="G43" s="544"/>
      <c r="H43" s="544"/>
      <c r="I43" s="545"/>
      <c r="J43" s="544"/>
      <c r="K43" s="544"/>
      <c r="L43" s="1526"/>
      <c r="M43" s="1526"/>
      <c r="N43" s="1476"/>
      <c r="O43" s="546"/>
    </row>
    <row r="44" spans="1:15" s="183" customFormat="1" ht="23.25" customHeight="1">
      <c r="A44" s="1493"/>
      <c r="B44" s="1532"/>
      <c r="C44" s="1530"/>
      <c r="D44" s="1532"/>
      <c r="E44" s="1532"/>
      <c r="F44" s="590"/>
      <c r="G44" s="544"/>
      <c r="H44" s="544"/>
      <c r="I44" s="545"/>
      <c r="J44" s="544"/>
      <c r="K44" s="544"/>
      <c r="L44" s="1526"/>
      <c r="M44" s="1526"/>
      <c r="N44" s="1476"/>
      <c r="O44" s="546"/>
    </row>
    <row r="45" spans="1:15" s="183" customFormat="1" ht="23.25" customHeight="1">
      <c r="A45" s="1493"/>
      <c r="B45" s="1532"/>
      <c r="C45" s="1530"/>
      <c r="D45" s="1532"/>
      <c r="E45" s="1532"/>
      <c r="F45" s="590"/>
      <c r="G45" s="544"/>
      <c r="H45" s="544"/>
      <c r="I45" s="545"/>
      <c r="J45" s="544"/>
      <c r="K45" s="544"/>
      <c r="L45" s="1526"/>
      <c r="M45" s="1526"/>
      <c r="N45" s="1476"/>
      <c r="O45" s="546"/>
    </row>
    <row r="46" spans="1:15" s="183" customFormat="1" ht="23.25" customHeight="1">
      <c r="A46" s="1493"/>
      <c r="B46" s="1532"/>
      <c r="C46" s="1530"/>
      <c r="D46" s="1532"/>
      <c r="E46" s="1532"/>
      <c r="F46" s="590"/>
      <c r="G46" s="544"/>
      <c r="H46" s="544"/>
      <c r="I46" s="545"/>
      <c r="J46" s="544"/>
      <c r="K46" s="544"/>
      <c r="L46" s="1526"/>
      <c r="M46" s="1526"/>
      <c r="N46" s="1476"/>
      <c r="O46" s="546"/>
    </row>
    <row r="47" spans="1:15" s="183" customFormat="1" ht="23.25" customHeight="1">
      <c r="A47" s="1493"/>
      <c r="B47" s="1532"/>
      <c r="C47" s="1530"/>
      <c r="D47" s="1532"/>
      <c r="E47" s="1532"/>
      <c r="F47" s="590"/>
      <c r="G47" s="544"/>
      <c r="H47" s="544"/>
      <c r="I47" s="545"/>
      <c r="J47" s="544"/>
      <c r="K47" s="544"/>
      <c r="L47" s="1526"/>
      <c r="M47" s="1526"/>
      <c r="N47" s="1476"/>
      <c r="O47" s="546"/>
    </row>
    <row r="48" spans="1:15" s="183" customFormat="1" ht="23.25" customHeight="1">
      <c r="A48" s="1493"/>
      <c r="B48" s="1532"/>
      <c r="C48" s="1530"/>
      <c r="D48" s="1532"/>
      <c r="E48" s="1532"/>
      <c r="F48" s="590"/>
      <c r="G48" s="544"/>
      <c r="H48" s="544"/>
      <c r="I48" s="545"/>
      <c r="J48" s="544"/>
      <c r="K48" s="544"/>
      <c r="L48" s="1526"/>
      <c r="M48" s="1526"/>
      <c r="N48" s="1476"/>
      <c r="O48" s="546"/>
    </row>
    <row r="49" spans="1:15" s="183" customFormat="1" ht="23.25" customHeight="1">
      <c r="A49" s="1493"/>
      <c r="B49" s="1532"/>
      <c r="C49" s="1530"/>
      <c r="D49" s="1532"/>
      <c r="E49" s="1532"/>
      <c r="F49" s="590"/>
      <c r="G49" s="544"/>
      <c r="H49" s="544"/>
      <c r="I49" s="545"/>
      <c r="J49" s="544"/>
      <c r="K49" s="544"/>
      <c r="L49" s="1526"/>
      <c r="M49" s="1526"/>
      <c r="N49" s="1476"/>
      <c r="O49" s="546"/>
    </row>
    <row r="50" spans="1:15" s="183" customFormat="1" ht="23.25" customHeight="1">
      <c r="A50" s="1493"/>
      <c r="B50" s="1532"/>
      <c r="C50" s="1530"/>
      <c r="D50" s="1532"/>
      <c r="E50" s="1532"/>
      <c r="F50" s="590"/>
      <c r="G50" s="544"/>
      <c r="H50" s="544"/>
      <c r="I50" s="545"/>
      <c r="J50" s="544"/>
      <c r="K50" s="544"/>
      <c r="L50" s="1526"/>
      <c r="M50" s="1526"/>
      <c r="N50" s="1476"/>
      <c r="O50" s="546"/>
    </row>
    <row r="51" spans="1:15" s="183" customFormat="1" ht="23.25" customHeight="1">
      <c r="A51" s="1493"/>
      <c r="B51" s="1532"/>
      <c r="C51" s="1530"/>
      <c r="D51" s="1532"/>
      <c r="E51" s="1532"/>
      <c r="F51" s="590"/>
      <c r="G51" s="544"/>
      <c r="H51" s="544"/>
      <c r="I51" s="545"/>
      <c r="J51" s="544"/>
      <c r="K51" s="544"/>
      <c r="L51" s="1526"/>
      <c r="M51" s="1526"/>
      <c r="N51" s="1476"/>
      <c r="O51" s="546"/>
    </row>
    <row r="52" spans="1:15" s="183" customFormat="1" ht="23.25" customHeight="1">
      <c r="A52" s="1493"/>
      <c r="B52" s="1532"/>
      <c r="C52" s="1530"/>
      <c r="D52" s="1532"/>
      <c r="E52" s="1532"/>
      <c r="F52" s="590"/>
      <c r="G52" s="544"/>
      <c r="H52" s="544"/>
      <c r="I52" s="545"/>
      <c r="J52" s="544"/>
      <c r="K52" s="544"/>
      <c r="L52" s="1526"/>
      <c r="M52" s="1526"/>
      <c r="N52" s="1476"/>
      <c r="O52" s="546"/>
    </row>
    <row r="53" spans="1:15" s="183" customFormat="1" ht="23.25" customHeight="1">
      <c r="A53" s="1493"/>
      <c r="B53" s="1532"/>
      <c r="C53" s="1530"/>
      <c r="D53" s="1532"/>
      <c r="E53" s="1532"/>
      <c r="F53" s="590"/>
      <c r="G53" s="544"/>
      <c r="H53" s="544"/>
      <c r="I53" s="545"/>
      <c r="J53" s="544"/>
      <c r="K53" s="544"/>
      <c r="L53" s="1526"/>
      <c r="M53" s="1526"/>
      <c r="N53" s="1476"/>
      <c r="O53" s="546"/>
    </row>
    <row r="54" spans="1:15" s="183" customFormat="1" ht="23.25" customHeight="1">
      <c r="A54" s="1493"/>
      <c r="B54" s="1532"/>
      <c r="C54" s="1530"/>
      <c r="D54" s="1532"/>
      <c r="E54" s="1532"/>
      <c r="F54" s="590"/>
      <c r="G54" s="544"/>
      <c r="H54" s="544"/>
      <c r="I54" s="545"/>
      <c r="J54" s="544"/>
      <c r="K54" s="544"/>
      <c r="L54" s="1526"/>
      <c r="M54" s="1526"/>
      <c r="N54" s="1476"/>
      <c r="O54" s="546"/>
    </row>
    <row r="55" spans="1:15" s="183" customFormat="1" ht="23.25" customHeight="1">
      <c r="A55" s="1493"/>
      <c r="B55" s="1532"/>
      <c r="C55" s="1530"/>
      <c r="D55" s="1532"/>
      <c r="E55" s="1532"/>
      <c r="F55" s="590"/>
      <c r="G55" s="544"/>
      <c r="H55" s="544"/>
      <c r="I55" s="545"/>
      <c r="J55" s="544"/>
      <c r="K55" s="544"/>
      <c r="L55" s="1526"/>
      <c r="M55" s="1526"/>
      <c r="N55" s="1476"/>
      <c r="O55" s="546"/>
    </row>
    <row r="56" spans="1:15" s="183" customFormat="1" ht="23.25" customHeight="1">
      <c r="A56" s="1493"/>
      <c r="B56" s="1532"/>
      <c r="C56" s="1530"/>
      <c r="D56" s="1532"/>
      <c r="E56" s="1532"/>
      <c r="F56" s="590"/>
      <c r="G56" s="544"/>
      <c r="H56" s="544"/>
      <c r="I56" s="545"/>
      <c r="J56" s="544"/>
      <c r="K56" s="544"/>
      <c r="L56" s="1526"/>
      <c r="M56" s="1526"/>
      <c r="N56" s="1476"/>
      <c r="O56" s="546"/>
    </row>
    <row r="57" spans="1:15" s="183" customFormat="1" ht="23.25" customHeight="1">
      <c r="A57" s="1493"/>
      <c r="B57" s="1532"/>
      <c r="C57" s="1530"/>
      <c r="D57" s="1532"/>
      <c r="E57" s="1532"/>
      <c r="F57" s="590"/>
      <c r="G57" s="544"/>
      <c r="H57" s="544"/>
      <c r="I57" s="545"/>
      <c r="J57" s="544"/>
      <c r="K57" s="544"/>
      <c r="L57" s="1526"/>
      <c r="M57" s="1526"/>
      <c r="N57" s="1476"/>
      <c r="O57" s="546"/>
    </row>
    <row r="58" spans="1:15" s="183" customFormat="1" ht="23.25" customHeight="1">
      <c r="A58" s="1493"/>
      <c r="B58" s="1532"/>
      <c r="C58" s="1530"/>
      <c r="D58" s="1532"/>
      <c r="E58" s="1532"/>
      <c r="F58" s="590"/>
      <c r="G58" s="544"/>
      <c r="H58" s="544"/>
      <c r="I58" s="545"/>
      <c r="J58" s="544"/>
      <c r="K58" s="544"/>
      <c r="L58" s="1526"/>
      <c r="M58" s="1526"/>
      <c r="N58" s="1476"/>
      <c r="O58" s="546"/>
    </row>
    <row r="59" spans="1:15" s="183" customFormat="1" ht="23.25" customHeight="1">
      <c r="A59" s="1493"/>
      <c r="B59" s="1532"/>
      <c r="C59" s="1530"/>
      <c r="D59" s="1532"/>
      <c r="E59" s="1532"/>
      <c r="F59" s="590"/>
      <c r="G59" s="544"/>
      <c r="H59" s="544"/>
      <c r="I59" s="545"/>
      <c r="J59" s="544"/>
      <c r="K59" s="544"/>
      <c r="L59" s="1526"/>
      <c r="M59" s="1526"/>
      <c r="N59" s="1476"/>
      <c r="O59" s="546"/>
    </row>
    <row r="60" spans="1:15" s="183" customFormat="1" ht="23.25" customHeight="1">
      <c r="A60" s="1493"/>
      <c r="B60" s="1532"/>
      <c r="C60" s="1530"/>
      <c r="D60" s="1532"/>
      <c r="E60" s="1532"/>
      <c r="F60" s="590"/>
      <c r="G60" s="544"/>
      <c r="H60" s="544"/>
      <c r="I60" s="545"/>
      <c r="J60" s="544"/>
      <c r="K60" s="544"/>
      <c r="L60" s="1526"/>
      <c r="M60" s="1526"/>
      <c r="N60" s="1476"/>
      <c r="O60" s="546"/>
    </row>
    <row r="61" spans="1:15" s="183" customFormat="1" ht="23.25" customHeight="1">
      <c r="A61" s="1493"/>
      <c r="B61" s="1532"/>
      <c r="C61" s="1530"/>
      <c r="D61" s="1532"/>
      <c r="E61" s="1532"/>
      <c r="F61" s="590"/>
      <c r="G61" s="544"/>
      <c r="H61" s="544"/>
      <c r="I61" s="545"/>
      <c r="J61" s="544"/>
      <c r="K61" s="544"/>
      <c r="L61" s="1526"/>
      <c r="M61" s="1526"/>
      <c r="N61" s="1476"/>
      <c r="O61" s="546"/>
    </row>
    <row r="62" spans="1:15" s="183" customFormat="1" ht="23.25" customHeight="1">
      <c r="A62" s="1493"/>
      <c r="B62" s="1532"/>
      <c r="C62" s="1530"/>
      <c r="D62" s="1532"/>
      <c r="E62" s="1532"/>
      <c r="F62" s="590"/>
      <c r="G62" s="544"/>
      <c r="H62" s="544"/>
      <c r="I62" s="545"/>
      <c r="J62" s="544"/>
      <c r="K62" s="544"/>
      <c r="L62" s="1526"/>
      <c r="M62" s="1526"/>
      <c r="N62" s="1476"/>
      <c r="O62" s="546"/>
    </row>
    <row r="63" spans="1:15" s="183" customFormat="1" ht="23.25" customHeight="1">
      <c r="A63" s="1493"/>
      <c r="B63" s="1532"/>
      <c r="C63" s="1530"/>
      <c r="D63" s="1532"/>
      <c r="E63" s="1532"/>
      <c r="F63" s="590"/>
      <c r="G63" s="544"/>
      <c r="H63" s="544"/>
      <c r="I63" s="545"/>
      <c r="J63" s="544"/>
      <c r="K63" s="544"/>
      <c r="L63" s="1526"/>
      <c r="M63" s="1526"/>
      <c r="N63" s="1476"/>
      <c r="O63" s="546"/>
    </row>
    <row r="64" spans="1:15" s="183" customFormat="1" ht="23.25" customHeight="1">
      <c r="A64" s="1493"/>
      <c r="B64" s="1532"/>
      <c r="C64" s="1530"/>
      <c r="D64" s="1532"/>
      <c r="E64" s="1532"/>
      <c r="F64" s="590"/>
      <c r="G64" s="544"/>
      <c r="H64" s="544"/>
      <c r="I64" s="545"/>
      <c r="J64" s="544"/>
      <c r="K64" s="544"/>
      <c r="L64" s="1526"/>
      <c r="M64" s="1526"/>
      <c r="N64" s="1476"/>
      <c r="O64" s="546"/>
    </row>
    <row r="65" spans="1:15" s="183" customFormat="1" ht="23.25" customHeight="1">
      <c r="A65" s="1493"/>
      <c r="B65" s="1532"/>
      <c r="C65" s="1530"/>
      <c r="D65" s="1532"/>
      <c r="E65" s="1532"/>
      <c r="F65" s="590"/>
      <c r="G65" s="544"/>
      <c r="H65" s="544"/>
      <c r="I65" s="545"/>
      <c r="J65" s="544"/>
      <c r="K65" s="544"/>
      <c r="L65" s="1526"/>
      <c r="M65" s="1526"/>
      <c r="N65" s="1476"/>
      <c r="O65" s="546"/>
    </row>
    <row r="66" spans="1:15" s="183" customFormat="1" ht="23.25" customHeight="1">
      <c r="A66" s="1493"/>
      <c r="B66" s="1532"/>
      <c r="C66" s="1530"/>
      <c r="D66" s="1532"/>
      <c r="E66" s="1532"/>
      <c r="F66" s="590"/>
      <c r="G66" s="544"/>
      <c r="H66" s="544"/>
      <c r="I66" s="545"/>
      <c r="J66" s="544"/>
      <c r="K66" s="544"/>
      <c r="L66" s="1526"/>
      <c r="M66" s="1526"/>
      <c r="N66" s="1476"/>
      <c r="O66" s="546"/>
    </row>
    <row r="67" spans="1:15" s="183" customFormat="1" ht="23.25" customHeight="1">
      <c r="A67" s="1493"/>
      <c r="B67" s="1532"/>
      <c r="C67" s="1530"/>
      <c r="D67" s="1532"/>
      <c r="E67" s="1532"/>
      <c r="F67" s="590"/>
      <c r="G67" s="544"/>
      <c r="H67" s="544"/>
      <c r="I67" s="545"/>
      <c r="J67" s="544"/>
      <c r="K67" s="544"/>
      <c r="L67" s="1526"/>
      <c r="M67" s="1526"/>
      <c r="N67" s="1476"/>
      <c r="O67" s="546"/>
    </row>
    <row r="68" spans="1:15" s="183" customFormat="1" ht="23.25" customHeight="1">
      <c r="A68" s="1493"/>
      <c r="B68" s="1532"/>
      <c r="C68" s="1530"/>
      <c r="D68" s="1532"/>
      <c r="E68" s="1532"/>
      <c r="F68" s="590"/>
      <c r="G68" s="544"/>
      <c r="H68" s="544"/>
      <c r="I68" s="545"/>
      <c r="J68" s="544"/>
      <c r="K68" s="544"/>
      <c r="L68" s="1526"/>
      <c r="M68" s="1526"/>
      <c r="N68" s="1476"/>
      <c r="O68" s="546"/>
    </row>
    <row r="69" spans="1:15" s="183" customFormat="1" ht="23.25" customHeight="1">
      <c r="A69" s="1493"/>
      <c r="B69" s="1532"/>
      <c r="C69" s="1530"/>
      <c r="D69" s="1532"/>
      <c r="E69" s="1532"/>
      <c r="F69" s="590"/>
      <c r="G69" s="544"/>
      <c r="H69" s="544"/>
      <c r="I69" s="545"/>
      <c r="J69" s="544"/>
      <c r="K69" s="544"/>
      <c r="L69" s="1526"/>
      <c r="M69" s="1526"/>
      <c r="N69" s="1476"/>
      <c r="O69" s="546"/>
    </row>
    <row r="70" spans="1:15" s="183" customFormat="1" ht="23.25" customHeight="1">
      <c r="A70" s="1493"/>
      <c r="B70" s="1532"/>
      <c r="C70" s="1530"/>
      <c r="D70" s="1532"/>
      <c r="E70" s="1532"/>
      <c r="F70" s="590"/>
      <c r="G70" s="544"/>
      <c r="H70" s="544"/>
      <c r="I70" s="545"/>
      <c r="J70" s="544"/>
      <c r="K70" s="544"/>
      <c r="L70" s="1526"/>
      <c r="M70" s="1526"/>
      <c r="N70" s="1476"/>
      <c r="O70" s="546"/>
    </row>
    <row r="71" spans="1:15" s="183" customFormat="1" ht="23.25" customHeight="1">
      <c r="A71" s="1493"/>
      <c r="B71" s="1532"/>
      <c r="C71" s="1530"/>
      <c r="D71" s="1532"/>
      <c r="E71" s="1532"/>
      <c r="F71" s="590"/>
      <c r="G71" s="544"/>
      <c r="H71" s="544"/>
      <c r="I71" s="545"/>
      <c r="J71" s="544"/>
      <c r="K71" s="544"/>
      <c r="L71" s="1526"/>
      <c r="M71" s="1526"/>
      <c r="N71" s="1476"/>
      <c r="O71" s="546"/>
    </row>
    <row r="72" spans="1:15" s="183" customFormat="1" ht="23.25" customHeight="1">
      <c r="A72" s="1493"/>
      <c r="B72" s="1532"/>
      <c r="C72" s="1530"/>
      <c r="D72" s="1532"/>
      <c r="E72" s="1532"/>
      <c r="F72" s="590"/>
      <c r="G72" s="544"/>
      <c r="H72" s="544"/>
      <c r="I72" s="545"/>
      <c r="J72" s="544"/>
      <c r="K72" s="544"/>
      <c r="L72" s="1526"/>
      <c r="M72" s="1526"/>
      <c r="N72" s="1476"/>
      <c r="O72" s="546"/>
    </row>
    <row r="73" spans="1:15" s="183" customFormat="1" ht="23.25" customHeight="1">
      <c r="A73" s="1493"/>
      <c r="B73" s="1532"/>
      <c r="C73" s="1530"/>
      <c r="D73" s="1532"/>
      <c r="E73" s="1532"/>
      <c r="F73" s="590"/>
      <c r="G73" s="544"/>
      <c r="H73" s="544"/>
      <c r="I73" s="545"/>
      <c r="J73" s="544"/>
      <c r="K73" s="544"/>
      <c r="L73" s="1526"/>
      <c r="M73" s="1526"/>
      <c r="N73" s="1476"/>
      <c r="O73" s="546"/>
    </row>
    <row r="74" spans="1:15" s="183" customFormat="1" ht="23.25" customHeight="1">
      <c r="A74" s="1493"/>
      <c r="B74" s="1532"/>
      <c r="C74" s="1530"/>
      <c r="D74" s="1532"/>
      <c r="E74" s="1532"/>
      <c r="F74" s="590"/>
      <c r="G74" s="544"/>
      <c r="H74" s="544"/>
      <c r="I74" s="545"/>
      <c r="J74" s="544"/>
      <c r="K74" s="544"/>
      <c r="L74" s="1526"/>
      <c r="M74" s="1526"/>
      <c r="N74" s="1476"/>
      <c r="O74" s="546"/>
    </row>
    <row r="75" spans="1:15" s="183" customFormat="1" ht="23.25" customHeight="1">
      <c r="A75" s="1493"/>
      <c r="B75" s="1532"/>
      <c r="C75" s="1530"/>
      <c r="D75" s="1532"/>
      <c r="E75" s="1532"/>
      <c r="F75" s="590"/>
      <c r="G75" s="544"/>
      <c r="H75" s="544"/>
      <c r="I75" s="545"/>
      <c r="J75" s="544"/>
      <c r="K75" s="544"/>
      <c r="L75" s="1526"/>
      <c r="M75" s="1526"/>
      <c r="N75" s="1476"/>
      <c r="O75" s="546"/>
    </row>
    <row r="76" spans="1:15" s="183" customFormat="1" ht="23.25" customHeight="1">
      <c r="A76" s="1493"/>
      <c r="B76" s="1532"/>
      <c r="C76" s="1530"/>
      <c r="D76" s="1532"/>
      <c r="E76" s="1532"/>
      <c r="F76" s="590"/>
      <c r="G76" s="544"/>
      <c r="H76" s="544"/>
      <c r="I76" s="545"/>
      <c r="J76" s="544"/>
      <c r="K76" s="544"/>
      <c r="L76" s="1526"/>
      <c r="M76" s="1526"/>
      <c r="N76" s="1476"/>
      <c r="O76" s="546"/>
    </row>
    <row r="77" spans="1:15" s="183" customFormat="1" ht="23.25" customHeight="1">
      <c r="A77" s="1493"/>
      <c r="B77" s="1532"/>
      <c r="C77" s="1530"/>
      <c r="D77" s="1532"/>
      <c r="E77" s="1532"/>
      <c r="F77" s="590"/>
      <c r="G77" s="544"/>
      <c r="H77" s="544"/>
      <c r="I77" s="545"/>
      <c r="J77" s="544"/>
      <c r="K77" s="544"/>
      <c r="L77" s="1526"/>
      <c r="M77" s="1526"/>
      <c r="N77" s="1476"/>
      <c r="O77" s="546"/>
    </row>
    <row r="78" spans="1:15" s="183" customFormat="1" ht="23.25" customHeight="1">
      <c r="A78" s="1493"/>
      <c r="B78" s="1532"/>
      <c r="C78" s="1530"/>
      <c r="D78" s="1532"/>
      <c r="E78" s="1532"/>
      <c r="F78" s="590"/>
      <c r="G78" s="544"/>
      <c r="H78" s="544"/>
      <c r="I78" s="545"/>
      <c r="J78" s="544"/>
      <c r="K78" s="544"/>
      <c r="L78" s="1526"/>
      <c r="M78" s="1526"/>
      <c r="N78" s="1476"/>
      <c r="O78" s="546"/>
    </row>
    <row r="79" spans="1:15" s="183" customFormat="1" ht="23.25" customHeight="1">
      <c r="A79" s="1493"/>
      <c r="B79" s="1532"/>
      <c r="C79" s="1530"/>
      <c r="D79" s="1532"/>
      <c r="E79" s="1532"/>
      <c r="F79" s="590"/>
      <c r="G79" s="544"/>
      <c r="H79" s="544"/>
      <c r="I79" s="545"/>
      <c r="J79" s="544"/>
      <c r="K79" s="544"/>
      <c r="L79" s="1526"/>
      <c r="M79" s="1526"/>
      <c r="N79" s="1476"/>
      <c r="O79" s="546"/>
    </row>
    <row r="80" spans="1:15" s="183" customFormat="1" ht="23.25" customHeight="1">
      <c r="A80" s="1493"/>
      <c r="B80" s="1532"/>
      <c r="C80" s="1530"/>
      <c r="D80" s="1532"/>
      <c r="E80" s="1532"/>
      <c r="F80" s="590"/>
      <c r="G80" s="544"/>
      <c r="H80" s="544"/>
      <c r="I80" s="545"/>
      <c r="J80" s="544"/>
      <c r="K80" s="544"/>
      <c r="L80" s="1526"/>
      <c r="M80" s="1526"/>
      <c r="N80" s="1476"/>
      <c r="O80" s="546"/>
    </row>
    <row r="81" spans="1:15" s="183" customFormat="1" ht="23.25" customHeight="1">
      <c r="A81" s="1493"/>
      <c r="B81" s="1532"/>
      <c r="C81" s="1530"/>
      <c r="D81" s="1532"/>
      <c r="E81" s="1532"/>
      <c r="F81" s="590"/>
      <c r="G81" s="544"/>
      <c r="H81" s="544"/>
      <c r="I81" s="545"/>
      <c r="J81" s="544"/>
      <c r="K81" s="544"/>
      <c r="L81" s="1526"/>
      <c r="M81" s="1526"/>
      <c r="N81" s="1476"/>
      <c r="O81" s="546"/>
    </row>
    <row r="82" spans="1:15" s="183" customFormat="1" ht="23.25" customHeight="1">
      <c r="A82" s="1493"/>
      <c r="B82" s="1532"/>
      <c r="C82" s="1530"/>
      <c r="D82" s="1532"/>
      <c r="E82" s="1532"/>
      <c r="F82" s="590"/>
      <c r="G82" s="544"/>
      <c r="H82" s="544"/>
      <c r="I82" s="545"/>
      <c r="J82" s="544"/>
      <c r="K82" s="544"/>
      <c r="L82" s="1526"/>
      <c r="M82" s="1526"/>
      <c r="N82" s="1476"/>
      <c r="O82" s="546"/>
    </row>
    <row r="83" spans="1:15" s="183" customFormat="1" ht="23.25" customHeight="1">
      <c r="A83" s="1493"/>
      <c r="B83" s="1532"/>
      <c r="C83" s="1530"/>
      <c r="D83" s="1532"/>
      <c r="E83" s="1532"/>
      <c r="F83" s="590"/>
      <c r="G83" s="544"/>
      <c r="H83" s="544"/>
      <c r="I83" s="545"/>
      <c r="J83" s="544"/>
      <c r="K83" s="544"/>
      <c r="L83" s="1526"/>
      <c r="M83" s="1526"/>
      <c r="N83" s="1476"/>
      <c r="O83" s="546"/>
    </row>
    <row r="84" spans="1:15" s="183" customFormat="1" ht="23.25" customHeight="1">
      <c r="A84" s="1493"/>
      <c r="B84" s="1532"/>
      <c r="C84" s="1530"/>
      <c r="D84" s="1532"/>
      <c r="E84" s="1532"/>
      <c r="F84" s="590"/>
      <c r="G84" s="544"/>
      <c r="H84" s="544"/>
      <c r="I84" s="545"/>
      <c r="J84" s="544"/>
      <c r="K84" s="544"/>
      <c r="L84" s="1526"/>
      <c r="M84" s="1526"/>
      <c r="N84" s="1476"/>
      <c r="O84" s="546"/>
    </row>
    <row r="85" spans="1:15" s="183" customFormat="1" ht="23.25" customHeight="1">
      <c r="A85" s="1493"/>
      <c r="B85" s="1532"/>
      <c r="C85" s="1530"/>
      <c r="D85" s="1532"/>
      <c r="E85" s="1532"/>
      <c r="F85" s="590"/>
      <c r="G85" s="544"/>
      <c r="H85" s="544"/>
      <c r="I85" s="545"/>
      <c r="J85" s="544"/>
      <c r="K85" s="544"/>
      <c r="L85" s="1526"/>
      <c r="M85" s="1526"/>
      <c r="N85" s="1476"/>
      <c r="O85" s="546"/>
    </row>
    <row r="86" spans="1:15" s="183" customFormat="1" ht="23.25" customHeight="1">
      <c r="A86" s="1493"/>
      <c r="B86" s="1532"/>
      <c r="C86" s="1530"/>
      <c r="D86" s="1532"/>
      <c r="E86" s="1532"/>
      <c r="F86" s="590"/>
      <c r="G86" s="544"/>
      <c r="H86" s="544"/>
      <c r="I86" s="545"/>
      <c r="J86" s="544"/>
      <c r="K86" s="544"/>
      <c r="L86" s="1526"/>
      <c r="M86" s="1526"/>
      <c r="N86" s="1476"/>
      <c r="O86" s="546"/>
    </row>
    <row r="87" spans="1:15" s="183" customFormat="1" ht="23.25" customHeight="1">
      <c r="A87" s="1493"/>
      <c r="B87" s="1532"/>
      <c r="C87" s="1530"/>
      <c r="D87" s="1532"/>
      <c r="E87" s="1532"/>
      <c r="F87" s="590"/>
      <c r="G87" s="544"/>
      <c r="H87" s="544"/>
      <c r="I87" s="545"/>
      <c r="J87" s="544"/>
      <c r="K87" s="544"/>
      <c r="L87" s="1526"/>
      <c r="M87" s="1526"/>
      <c r="N87" s="1476"/>
      <c r="O87" s="546"/>
    </row>
    <row r="88" spans="1:15" s="183" customFormat="1" ht="23.25" customHeight="1">
      <c r="A88" s="1493"/>
      <c r="B88" s="1532"/>
      <c r="C88" s="1530"/>
      <c r="D88" s="1532"/>
      <c r="E88" s="1532"/>
      <c r="F88" s="590"/>
      <c r="G88" s="544"/>
      <c r="H88" s="544"/>
      <c r="I88" s="545"/>
      <c r="J88" s="544"/>
      <c r="K88" s="544"/>
      <c r="L88" s="1526"/>
      <c r="M88" s="1526"/>
      <c r="N88" s="1476"/>
      <c r="O88" s="546"/>
    </row>
    <row r="89" spans="1:15" s="183" customFormat="1" ht="23.25" customHeight="1">
      <c r="A89" s="1493"/>
      <c r="B89" s="1532"/>
      <c r="C89" s="1530"/>
      <c r="D89" s="1532"/>
      <c r="E89" s="1532"/>
      <c r="F89" s="590"/>
      <c r="G89" s="544"/>
      <c r="H89" s="544"/>
      <c r="I89" s="545"/>
      <c r="J89" s="544"/>
      <c r="K89" s="544"/>
      <c r="L89" s="1526"/>
      <c r="M89" s="1526"/>
      <c r="N89" s="1476"/>
      <c r="O89" s="546"/>
    </row>
    <row r="90" spans="1:15" s="183" customFormat="1" ht="23.25" customHeight="1">
      <c r="A90" s="1493"/>
      <c r="B90" s="1532"/>
      <c r="C90" s="1530"/>
      <c r="D90" s="1532"/>
      <c r="E90" s="1532"/>
      <c r="F90" s="590"/>
      <c r="G90" s="544"/>
      <c r="H90" s="544"/>
      <c r="I90" s="545"/>
      <c r="J90" s="544"/>
      <c r="K90" s="544"/>
      <c r="L90" s="1526"/>
      <c r="M90" s="1526"/>
      <c r="N90" s="1476"/>
      <c r="O90" s="546"/>
    </row>
    <row r="91" spans="1:15" s="183" customFormat="1" ht="23.25" customHeight="1">
      <c r="A91" s="1493"/>
      <c r="B91" s="1532"/>
      <c r="C91" s="1530"/>
      <c r="D91" s="1532"/>
      <c r="E91" s="1532"/>
      <c r="F91" s="590"/>
      <c r="G91" s="544"/>
      <c r="H91" s="544"/>
      <c r="I91" s="545"/>
      <c r="J91" s="544"/>
      <c r="K91" s="544"/>
      <c r="L91" s="1526"/>
      <c r="M91" s="1526"/>
      <c r="N91" s="1476"/>
      <c r="O91" s="546"/>
    </row>
    <row r="92" spans="1:15" s="183" customFormat="1" ht="23.25" customHeight="1">
      <c r="A92" s="1493"/>
      <c r="B92" s="1532"/>
      <c r="C92" s="1530"/>
      <c r="D92" s="1532"/>
      <c r="E92" s="1532"/>
      <c r="F92" s="590"/>
      <c r="G92" s="544"/>
      <c r="H92" s="544"/>
      <c r="I92" s="545"/>
      <c r="J92" s="544"/>
      <c r="K92" s="544"/>
      <c r="L92" s="1526"/>
      <c r="M92" s="1526"/>
      <c r="N92" s="1476"/>
      <c r="O92" s="546"/>
    </row>
    <row r="93" spans="1:15" s="183" customFormat="1" ht="23.25" customHeight="1">
      <c r="A93" s="1493"/>
      <c r="B93" s="1532"/>
      <c r="C93" s="1530"/>
      <c r="D93" s="1532"/>
      <c r="E93" s="1532"/>
      <c r="F93" s="590"/>
      <c r="G93" s="544"/>
      <c r="H93" s="544"/>
      <c r="I93" s="545"/>
      <c r="J93" s="544"/>
      <c r="K93" s="544"/>
      <c r="L93" s="1526"/>
      <c r="M93" s="1526"/>
      <c r="N93" s="1476"/>
      <c r="O93" s="546"/>
    </row>
    <row r="94" spans="1:15" s="183" customFormat="1" ht="23.25" customHeight="1">
      <c r="A94" s="1493"/>
      <c r="B94" s="1532"/>
      <c r="C94" s="1530"/>
      <c r="D94" s="1532"/>
      <c r="E94" s="1532"/>
      <c r="F94" s="590"/>
      <c r="G94" s="544"/>
      <c r="H94" s="544"/>
      <c r="I94" s="545"/>
      <c r="J94" s="544"/>
      <c r="K94" s="544"/>
      <c r="L94" s="1526"/>
      <c r="M94" s="1526"/>
      <c r="N94" s="1476"/>
      <c r="O94" s="546"/>
    </row>
    <row r="95" spans="1:15" s="183" customFormat="1" ht="23.25" customHeight="1">
      <c r="A95" s="1493"/>
      <c r="B95" s="1532"/>
      <c r="C95" s="1530"/>
      <c r="D95" s="1532"/>
      <c r="E95" s="1532"/>
      <c r="F95" s="590"/>
      <c r="G95" s="544"/>
      <c r="H95" s="544"/>
      <c r="I95" s="545"/>
      <c r="J95" s="544"/>
      <c r="K95" s="544"/>
      <c r="L95" s="1526"/>
      <c r="M95" s="1526"/>
      <c r="N95" s="1476"/>
      <c r="O95" s="546"/>
    </row>
    <row r="96" spans="1:15" s="183" customFormat="1" ht="23.25" customHeight="1">
      <c r="A96" s="1493"/>
      <c r="B96" s="1532"/>
      <c r="C96" s="1530"/>
      <c r="D96" s="1532"/>
      <c r="E96" s="1532"/>
      <c r="F96" s="590"/>
      <c r="G96" s="544"/>
      <c r="H96" s="544"/>
      <c r="I96" s="545"/>
      <c r="J96" s="544"/>
      <c r="K96" s="544"/>
      <c r="L96" s="1526"/>
      <c r="M96" s="1526"/>
      <c r="N96" s="1476"/>
      <c r="O96" s="546"/>
    </row>
    <row r="97" spans="1:15" s="183" customFormat="1" ht="23.25" customHeight="1">
      <c r="A97" s="1493"/>
      <c r="B97" s="1532"/>
      <c r="C97" s="1530"/>
      <c r="D97" s="1532"/>
      <c r="E97" s="1532"/>
      <c r="F97" s="590"/>
      <c r="G97" s="544"/>
      <c r="H97" s="544"/>
      <c r="I97" s="545"/>
      <c r="J97" s="544"/>
      <c r="K97" s="544"/>
      <c r="L97" s="1526"/>
      <c r="M97" s="1526"/>
      <c r="N97" s="1476"/>
      <c r="O97" s="546"/>
    </row>
    <row r="98" spans="1:15" s="183" customFormat="1" ht="23.25" customHeight="1">
      <c r="A98" s="1493"/>
      <c r="B98" s="1532"/>
      <c r="C98" s="1530"/>
      <c r="D98" s="1532"/>
      <c r="E98" s="1532"/>
      <c r="F98" s="590"/>
      <c r="G98" s="544"/>
      <c r="H98" s="544"/>
      <c r="I98" s="545"/>
      <c r="J98" s="544"/>
      <c r="K98" s="544"/>
      <c r="L98" s="1526"/>
      <c r="M98" s="1526"/>
      <c r="N98" s="1476"/>
      <c r="O98" s="546"/>
    </row>
    <row r="99" spans="1:15" s="183" customFormat="1" ht="23.25" customHeight="1">
      <c r="A99" s="1493"/>
      <c r="B99" s="1532"/>
      <c r="C99" s="1530"/>
      <c r="D99" s="1532"/>
      <c r="E99" s="1532"/>
      <c r="F99" s="590"/>
      <c r="G99" s="544"/>
      <c r="H99" s="544"/>
      <c r="I99" s="545"/>
      <c r="J99" s="544"/>
      <c r="K99" s="544"/>
      <c r="L99" s="1526"/>
      <c r="M99" s="1526"/>
      <c r="N99" s="1476"/>
      <c r="O99" s="546"/>
    </row>
    <row r="100" spans="1:15" s="183" customFormat="1" ht="23.25" customHeight="1">
      <c r="A100" s="1493"/>
      <c r="B100" s="1532"/>
      <c r="C100" s="1530"/>
      <c r="D100" s="1532"/>
      <c r="E100" s="1532"/>
      <c r="F100" s="590"/>
      <c r="G100" s="544"/>
      <c r="H100" s="544"/>
      <c r="I100" s="545"/>
      <c r="J100" s="544"/>
      <c r="K100" s="544"/>
      <c r="L100" s="1526"/>
      <c r="M100" s="1526"/>
      <c r="N100" s="1476"/>
      <c r="O100" s="546"/>
    </row>
    <row r="101" spans="1:15" s="183" customFormat="1" ht="23.25" customHeight="1">
      <c r="A101" s="1493"/>
      <c r="B101" s="1532"/>
      <c r="C101" s="1530"/>
      <c r="D101" s="1532"/>
      <c r="E101" s="1532"/>
      <c r="F101" s="590"/>
      <c r="G101" s="544"/>
      <c r="H101" s="544"/>
      <c r="I101" s="545"/>
      <c r="J101" s="544"/>
      <c r="K101" s="544"/>
      <c r="L101" s="1526"/>
      <c r="M101" s="1526"/>
      <c r="N101" s="1476"/>
      <c r="O101" s="546"/>
    </row>
    <row r="102" spans="1:15" s="183" customFormat="1" ht="23.25" customHeight="1">
      <c r="A102" s="1493"/>
      <c r="B102" s="1532"/>
      <c r="C102" s="1530"/>
      <c r="D102" s="1532"/>
      <c r="E102" s="1532"/>
      <c r="F102" s="590"/>
      <c r="G102" s="544"/>
      <c r="H102" s="544"/>
      <c r="I102" s="545"/>
      <c r="J102" s="544"/>
      <c r="K102" s="544"/>
      <c r="L102" s="1526"/>
      <c r="M102" s="1526"/>
      <c r="N102" s="1476"/>
      <c r="O102" s="546"/>
    </row>
    <row r="103" spans="1:15" s="183" customFormat="1" ht="23.25" customHeight="1">
      <c r="A103" s="1493"/>
      <c r="B103" s="1532"/>
      <c r="C103" s="1530"/>
      <c r="D103" s="1532"/>
      <c r="E103" s="1532"/>
      <c r="F103" s="590"/>
      <c r="G103" s="544"/>
      <c r="H103" s="544"/>
      <c r="I103" s="545"/>
      <c r="J103" s="544"/>
      <c r="K103" s="544"/>
      <c r="L103" s="1526"/>
      <c r="M103" s="1526"/>
      <c r="N103" s="1476"/>
      <c r="O103" s="546"/>
    </row>
    <row r="104" spans="1:15" s="183" customFormat="1" ht="23.25" customHeight="1">
      <c r="A104" s="1493"/>
      <c r="B104" s="1532"/>
      <c r="C104" s="1530"/>
      <c r="D104" s="1532"/>
      <c r="E104" s="1532"/>
      <c r="F104" s="590"/>
      <c r="G104" s="544"/>
      <c r="H104" s="544"/>
      <c r="I104" s="545"/>
      <c r="J104" s="544"/>
      <c r="K104" s="544"/>
      <c r="L104" s="1526"/>
      <c r="M104" s="1526"/>
      <c r="N104" s="1476"/>
      <c r="O104" s="546"/>
    </row>
    <row r="105" spans="1:15" s="183" customFormat="1" ht="23.25" customHeight="1">
      <c r="A105" s="1493"/>
      <c r="B105" s="1532"/>
      <c r="C105" s="1530"/>
      <c r="D105" s="1532"/>
      <c r="E105" s="1532"/>
      <c r="F105" s="590"/>
      <c r="G105" s="544"/>
      <c r="H105" s="544"/>
      <c r="I105" s="545"/>
      <c r="J105" s="544"/>
      <c r="K105" s="544"/>
      <c r="L105" s="1526"/>
      <c r="M105" s="1526"/>
      <c r="N105" s="1476"/>
      <c r="O105" s="546"/>
    </row>
    <row r="106" spans="1:15" s="183" customFormat="1" ht="23.25" customHeight="1">
      <c r="A106" s="1493"/>
      <c r="B106" s="1532"/>
      <c r="C106" s="1530"/>
      <c r="D106" s="1532"/>
      <c r="E106" s="1532"/>
      <c r="F106" s="590"/>
      <c r="G106" s="544"/>
      <c r="H106" s="544"/>
      <c r="I106" s="545"/>
      <c r="J106" s="544"/>
      <c r="K106" s="544"/>
      <c r="L106" s="1526"/>
      <c r="M106" s="1526"/>
      <c r="N106" s="1476"/>
      <c r="O106" s="546"/>
    </row>
    <row r="107" spans="1:15" s="183" customFormat="1" ht="23.25" customHeight="1">
      <c r="A107" s="1493"/>
      <c r="B107" s="1532"/>
      <c r="C107" s="1530"/>
      <c r="D107" s="1532"/>
      <c r="E107" s="1532"/>
      <c r="F107" s="590"/>
      <c r="G107" s="544"/>
      <c r="H107" s="544"/>
      <c r="I107" s="545"/>
      <c r="J107" s="544"/>
      <c r="K107" s="544"/>
      <c r="L107" s="1526"/>
      <c r="M107" s="1526"/>
      <c r="N107" s="1476"/>
      <c r="O107" s="546"/>
    </row>
    <row r="108" spans="1:15" s="183" customFormat="1" ht="23.25" customHeight="1">
      <c r="A108" s="1493"/>
      <c r="B108" s="1532"/>
      <c r="C108" s="1530"/>
      <c r="D108" s="1532"/>
      <c r="E108" s="1532"/>
      <c r="F108" s="590"/>
      <c r="G108" s="544"/>
      <c r="H108" s="544"/>
      <c r="I108" s="545"/>
      <c r="J108" s="544"/>
      <c r="K108" s="544"/>
      <c r="L108" s="1526"/>
      <c r="M108" s="1526"/>
      <c r="N108" s="1476"/>
      <c r="O108" s="546"/>
    </row>
    <row r="109" spans="1:15" s="183" customFormat="1" ht="23.25" customHeight="1">
      <c r="A109" s="1493"/>
      <c r="B109" s="1532"/>
      <c r="C109" s="1530"/>
      <c r="D109" s="1532"/>
      <c r="E109" s="1532"/>
      <c r="F109" s="590"/>
      <c r="G109" s="544"/>
      <c r="H109" s="544"/>
      <c r="I109" s="545"/>
      <c r="J109" s="544"/>
      <c r="K109" s="544"/>
      <c r="L109" s="1526"/>
      <c r="M109" s="1526"/>
      <c r="N109" s="1476"/>
      <c r="O109" s="546"/>
    </row>
    <row r="110" spans="1:15" s="183" customFormat="1" ht="23.25" customHeight="1">
      <c r="A110" s="1493"/>
      <c r="B110" s="1532"/>
      <c r="C110" s="1530"/>
      <c r="D110" s="1532"/>
      <c r="E110" s="1532"/>
      <c r="F110" s="590"/>
      <c r="G110" s="544"/>
      <c r="H110" s="544"/>
      <c r="I110" s="545"/>
      <c r="J110" s="544"/>
      <c r="K110" s="544"/>
      <c r="L110" s="1526"/>
      <c r="M110" s="1526"/>
      <c r="N110" s="1476"/>
      <c r="O110" s="546"/>
    </row>
    <row r="111" spans="1:15" s="183" customFormat="1" ht="23.25" customHeight="1">
      <c r="A111" s="1493"/>
      <c r="B111" s="1532"/>
      <c r="C111" s="1530"/>
      <c r="D111" s="1532"/>
      <c r="E111" s="1532"/>
      <c r="F111" s="590"/>
      <c r="G111" s="544"/>
      <c r="H111" s="544"/>
      <c r="I111" s="545"/>
      <c r="J111" s="544"/>
      <c r="K111" s="544"/>
      <c r="L111" s="1526"/>
      <c r="M111" s="1526"/>
      <c r="N111" s="1476"/>
      <c r="O111" s="546"/>
    </row>
    <row r="112" spans="1:15" s="183" customFormat="1" ht="23.25" customHeight="1">
      <c r="A112" s="1493"/>
      <c r="B112" s="1532"/>
      <c r="C112" s="1530"/>
      <c r="D112" s="1532"/>
      <c r="E112" s="1532"/>
      <c r="F112" s="590"/>
      <c r="G112" s="544"/>
      <c r="H112" s="544"/>
      <c r="I112" s="545"/>
      <c r="J112" s="544"/>
      <c r="K112" s="544"/>
      <c r="L112" s="1526"/>
      <c r="M112" s="1526"/>
      <c r="N112" s="1476"/>
      <c r="O112" s="546"/>
    </row>
    <row r="113" spans="1:15" s="183" customFormat="1" ht="23.25" customHeight="1">
      <c r="A113" s="1493"/>
      <c r="B113" s="1532"/>
      <c r="C113" s="1530"/>
      <c r="D113" s="1532"/>
      <c r="E113" s="1532"/>
      <c r="F113" s="590"/>
      <c r="G113" s="544"/>
      <c r="H113" s="544"/>
      <c r="I113" s="545"/>
      <c r="J113" s="544"/>
      <c r="K113" s="544"/>
      <c r="L113" s="1526"/>
      <c r="M113" s="1526"/>
      <c r="N113" s="1476"/>
      <c r="O113" s="546"/>
    </row>
    <row r="114" spans="1:15" s="183" customFormat="1" ht="23.25" customHeight="1" thickBot="1">
      <c r="A114" s="1492"/>
      <c r="B114" s="1532"/>
      <c r="C114" s="1530"/>
      <c r="D114" s="1532"/>
      <c r="E114" s="1532"/>
      <c r="F114" s="590"/>
      <c r="G114" s="544"/>
      <c r="H114" s="544"/>
      <c r="I114" s="545"/>
      <c r="J114" s="544"/>
      <c r="K114" s="544"/>
      <c r="L114" s="1526"/>
      <c r="M114" s="1526"/>
      <c r="N114" s="1476"/>
      <c r="O114" s="546"/>
    </row>
    <row r="115" spans="1:15" s="183" customFormat="1" ht="23.25" customHeight="1" thickBot="1">
      <c r="A115" s="2211"/>
      <c r="B115" s="2212" t="s">
        <v>1984</v>
      </c>
      <c r="C115" s="1556"/>
      <c r="D115" s="1557"/>
      <c r="E115" s="1562"/>
      <c r="F115" s="1489"/>
      <c r="G115" s="1488">
        <f>SUM(G13:G114)</f>
        <v>0</v>
      </c>
      <c r="H115" s="1488">
        <f>SUM(H13:H114)</f>
        <v>0</v>
      </c>
      <c r="I115" s="1490"/>
      <c r="J115" s="1488">
        <f>SUM(J13:J114)</f>
        <v>0</v>
      </c>
      <c r="K115" s="1488">
        <f>SUM(K13:K114)</f>
        <v>0</v>
      </c>
      <c r="L115" s="1489"/>
      <c r="M115" s="1489"/>
      <c r="N115" s="1489"/>
      <c r="O115" s="1488">
        <f>SUM(O13:O114)</f>
        <v>0</v>
      </c>
    </row>
    <row r="116" spans="1:15" s="183" customFormat="1" ht="19.5" customHeight="1">
      <c r="A116" s="2709" t="s">
        <v>1986</v>
      </c>
      <c r="B116" s="2710"/>
      <c r="C116" s="2713"/>
      <c r="D116" s="2713"/>
      <c r="E116" s="2713"/>
      <c r="F116" s="2705"/>
      <c r="G116" s="2705"/>
      <c r="H116" s="2705"/>
      <c r="I116" s="2705"/>
      <c r="J116" s="2705"/>
      <c r="K116" s="2705"/>
      <c r="L116" s="2705"/>
      <c r="M116" s="2705"/>
      <c r="N116" s="2705"/>
      <c r="O116" s="2707"/>
    </row>
    <row r="117" spans="1:15" s="183" customFormat="1" ht="13.5" customHeight="1">
      <c r="A117" s="2711" t="s">
        <v>1985</v>
      </c>
      <c r="B117" s="2712"/>
      <c r="C117" s="2714"/>
      <c r="D117" s="2714"/>
      <c r="E117" s="2714"/>
      <c r="F117" s="2706"/>
      <c r="G117" s="2706"/>
      <c r="H117" s="2706"/>
      <c r="I117" s="2706"/>
      <c r="J117" s="2706"/>
      <c r="K117" s="2706"/>
      <c r="L117" s="2706"/>
      <c r="M117" s="2706"/>
      <c r="N117" s="2706"/>
      <c r="O117" s="2708"/>
    </row>
    <row r="118" spans="1:15" s="183" customFormat="1" ht="23.25" customHeight="1">
      <c r="A118" s="1493"/>
      <c r="B118" s="1532"/>
      <c r="C118" s="1530"/>
      <c r="D118" s="1532"/>
      <c r="E118" s="1532"/>
      <c r="F118" s="590"/>
      <c r="G118" s="544"/>
      <c r="H118" s="544"/>
      <c r="I118" s="545"/>
      <c r="J118" s="544"/>
      <c r="K118" s="544"/>
      <c r="L118" s="1526"/>
      <c r="M118" s="1526"/>
      <c r="N118" s="1476"/>
      <c r="O118" s="546"/>
    </row>
    <row r="119" spans="1:15" s="183" customFormat="1" ht="23.25" customHeight="1">
      <c r="A119" s="1493"/>
      <c r="B119" s="1532"/>
      <c r="C119" s="1530"/>
      <c r="D119" s="1532"/>
      <c r="E119" s="1532"/>
      <c r="F119" s="590"/>
      <c r="G119" s="544"/>
      <c r="H119" s="544"/>
      <c r="I119" s="545"/>
      <c r="J119" s="544"/>
      <c r="K119" s="544"/>
      <c r="L119" s="1526"/>
      <c r="M119" s="1526"/>
      <c r="N119" s="1476"/>
      <c r="O119" s="546"/>
    </row>
    <row r="120" spans="1:15" s="183" customFormat="1" ht="23.25" customHeight="1">
      <c r="A120" s="1493"/>
      <c r="B120" s="1532"/>
      <c r="C120" s="1530"/>
      <c r="D120" s="1532"/>
      <c r="E120" s="1532"/>
      <c r="F120" s="590"/>
      <c r="G120" s="544"/>
      <c r="H120" s="544"/>
      <c r="I120" s="545"/>
      <c r="J120" s="544"/>
      <c r="K120" s="544"/>
      <c r="L120" s="1526"/>
      <c r="M120" s="1526"/>
      <c r="N120" s="1476"/>
      <c r="O120" s="546"/>
    </row>
    <row r="121" spans="1:15" s="183" customFormat="1" ht="23.25" customHeight="1">
      <c r="A121" s="1493"/>
      <c r="B121" s="1532"/>
      <c r="C121" s="1530"/>
      <c r="D121" s="1532"/>
      <c r="E121" s="1532"/>
      <c r="F121" s="590"/>
      <c r="G121" s="544"/>
      <c r="H121" s="544"/>
      <c r="I121" s="545"/>
      <c r="J121" s="544"/>
      <c r="K121" s="544"/>
      <c r="L121" s="1526"/>
      <c r="M121" s="1526"/>
      <c r="N121" s="1476"/>
      <c r="O121" s="546"/>
    </row>
    <row r="122" spans="1:15" s="183" customFormat="1" ht="23.25" customHeight="1">
      <c r="A122" s="1493"/>
      <c r="B122" s="1532"/>
      <c r="C122" s="1530"/>
      <c r="D122" s="1532"/>
      <c r="E122" s="1532"/>
      <c r="F122" s="590"/>
      <c r="G122" s="544"/>
      <c r="H122" s="544"/>
      <c r="I122" s="545"/>
      <c r="J122" s="544"/>
      <c r="K122" s="544"/>
      <c r="L122" s="1526"/>
      <c r="M122" s="1526"/>
      <c r="N122" s="1476"/>
      <c r="O122" s="546"/>
    </row>
    <row r="123" spans="1:15" s="183" customFormat="1" ht="23.25" customHeight="1">
      <c r="A123" s="1493"/>
      <c r="B123" s="1531"/>
      <c r="C123" s="1531"/>
      <c r="D123" s="1531"/>
      <c r="E123" s="1532"/>
      <c r="F123" s="590"/>
      <c r="G123" s="544"/>
      <c r="H123" s="544"/>
      <c r="I123" s="545"/>
      <c r="J123" s="544"/>
      <c r="K123" s="544"/>
      <c r="L123" s="590"/>
      <c r="M123" s="590"/>
      <c r="N123" s="590"/>
      <c r="O123" s="546"/>
    </row>
    <row r="124" spans="1:15" s="183" customFormat="1" ht="23.25" customHeight="1">
      <c r="A124" s="1493"/>
      <c r="B124" s="1531"/>
      <c r="C124" s="1531"/>
      <c r="D124" s="1531"/>
      <c r="E124" s="1532"/>
      <c r="F124" s="590"/>
      <c r="G124" s="544"/>
      <c r="H124" s="544"/>
      <c r="I124" s="545"/>
      <c r="J124" s="544"/>
      <c r="K124" s="544"/>
      <c r="L124" s="590"/>
      <c r="M124" s="590"/>
      <c r="N124" s="590"/>
      <c r="O124" s="546"/>
    </row>
    <row r="125" spans="1:15" s="183" customFormat="1" ht="23.25" customHeight="1">
      <c r="A125" s="1493"/>
      <c r="B125" s="1531"/>
      <c r="C125" s="1531"/>
      <c r="D125" s="1531"/>
      <c r="E125" s="1532"/>
      <c r="F125" s="590"/>
      <c r="G125" s="544"/>
      <c r="H125" s="544"/>
      <c r="I125" s="545"/>
      <c r="J125" s="544"/>
      <c r="K125" s="544"/>
      <c r="L125" s="590"/>
      <c r="M125" s="590"/>
      <c r="N125" s="590"/>
      <c r="O125" s="546"/>
    </row>
    <row r="126" spans="1:15" s="183" customFormat="1" ht="23.25" customHeight="1">
      <c r="A126" s="1493"/>
      <c r="B126" s="1531"/>
      <c r="C126" s="1531"/>
      <c r="D126" s="1531"/>
      <c r="E126" s="1532"/>
      <c r="F126" s="590"/>
      <c r="G126" s="544"/>
      <c r="H126" s="544"/>
      <c r="I126" s="545"/>
      <c r="J126" s="544"/>
      <c r="K126" s="544"/>
      <c r="L126" s="590"/>
      <c r="M126" s="590"/>
      <c r="N126" s="590"/>
      <c r="O126" s="546"/>
    </row>
    <row r="127" spans="1:15" s="183" customFormat="1" ht="23.25" customHeight="1">
      <c r="A127" s="1493"/>
      <c r="B127" s="1531"/>
      <c r="C127" s="1531"/>
      <c r="D127" s="1531"/>
      <c r="E127" s="1532"/>
      <c r="F127" s="590"/>
      <c r="G127" s="544"/>
      <c r="H127" s="544"/>
      <c r="I127" s="545"/>
      <c r="J127" s="544"/>
      <c r="K127" s="544"/>
      <c r="L127" s="590"/>
      <c r="M127" s="590"/>
      <c r="N127" s="590"/>
      <c r="O127" s="546"/>
    </row>
    <row r="128" spans="1:15" s="183" customFormat="1" ht="23.25" customHeight="1">
      <c r="A128" s="1493"/>
      <c r="B128" s="1531"/>
      <c r="C128" s="1531"/>
      <c r="D128" s="1531"/>
      <c r="E128" s="1532"/>
      <c r="F128" s="590"/>
      <c r="G128" s="544"/>
      <c r="H128" s="544"/>
      <c r="I128" s="545"/>
      <c r="J128" s="544"/>
      <c r="K128" s="544"/>
      <c r="L128" s="590"/>
      <c r="M128" s="590"/>
      <c r="N128" s="590"/>
      <c r="O128" s="546"/>
    </row>
    <row r="129" spans="1:15" s="183" customFormat="1" ht="23.25" customHeight="1">
      <c r="A129" s="1493"/>
      <c r="B129" s="1531"/>
      <c r="C129" s="1531"/>
      <c r="D129" s="1531"/>
      <c r="E129" s="1532"/>
      <c r="F129" s="590"/>
      <c r="G129" s="544"/>
      <c r="H129" s="544"/>
      <c r="I129" s="545"/>
      <c r="J129" s="544"/>
      <c r="K129" s="544"/>
      <c r="L129" s="590"/>
      <c r="M129" s="590"/>
      <c r="N129" s="590"/>
      <c r="O129" s="546"/>
    </row>
    <row r="130" spans="1:15" s="183" customFormat="1" ht="23.25" customHeight="1">
      <c r="A130" s="1493"/>
      <c r="B130" s="1531"/>
      <c r="C130" s="1531"/>
      <c r="D130" s="1531"/>
      <c r="E130" s="1532"/>
      <c r="F130" s="590"/>
      <c r="G130" s="544"/>
      <c r="H130" s="544"/>
      <c r="I130" s="545"/>
      <c r="J130" s="544"/>
      <c r="K130" s="544"/>
      <c r="L130" s="590"/>
      <c r="M130" s="590"/>
      <c r="N130" s="590"/>
      <c r="O130" s="546"/>
    </row>
    <row r="131" spans="1:15" s="183" customFormat="1" ht="23.25" customHeight="1">
      <c r="A131" s="1493"/>
      <c r="B131" s="1531"/>
      <c r="C131" s="1531"/>
      <c r="D131" s="1531"/>
      <c r="E131" s="1532"/>
      <c r="F131" s="590"/>
      <c r="G131" s="544"/>
      <c r="H131" s="544"/>
      <c r="I131" s="545"/>
      <c r="J131" s="544"/>
      <c r="K131" s="544"/>
      <c r="L131" s="590"/>
      <c r="M131" s="590"/>
      <c r="N131" s="590"/>
      <c r="O131" s="546"/>
    </row>
    <row r="132" spans="1:15" s="183" customFormat="1" ht="23.25" customHeight="1">
      <c r="A132" s="1493"/>
      <c r="B132" s="1531"/>
      <c r="C132" s="1531"/>
      <c r="D132" s="1531"/>
      <c r="E132" s="1532"/>
      <c r="F132" s="590"/>
      <c r="G132" s="544"/>
      <c r="H132" s="544"/>
      <c r="I132" s="545"/>
      <c r="J132" s="544"/>
      <c r="K132" s="544"/>
      <c r="L132" s="590"/>
      <c r="M132" s="590"/>
      <c r="N132" s="590"/>
      <c r="O132" s="546"/>
    </row>
    <row r="133" spans="1:15" s="183" customFormat="1" ht="23.25" customHeight="1">
      <c r="A133" s="1493"/>
      <c r="B133" s="1531"/>
      <c r="C133" s="1531"/>
      <c r="D133" s="1531"/>
      <c r="E133" s="1532"/>
      <c r="F133" s="590"/>
      <c r="G133" s="544"/>
      <c r="H133" s="544"/>
      <c r="I133" s="545"/>
      <c r="J133" s="544"/>
      <c r="K133" s="544"/>
      <c r="L133" s="590"/>
      <c r="M133" s="590"/>
      <c r="N133" s="590"/>
      <c r="O133" s="546"/>
    </row>
    <row r="134" spans="1:15" s="183" customFormat="1" ht="23.25" customHeight="1">
      <c r="A134" s="1493"/>
      <c r="B134" s="1531"/>
      <c r="C134" s="1531"/>
      <c r="D134" s="1531"/>
      <c r="E134" s="1532"/>
      <c r="F134" s="590"/>
      <c r="G134" s="544"/>
      <c r="H134" s="544"/>
      <c r="I134" s="545"/>
      <c r="J134" s="544"/>
      <c r="K134" s="544"/>
      <c r="L134" s="590"/>
      <c r="M134" s="590"/>
      <c r="N134" s="590"/>
      <c r="O134" s="546"/>
    </row>
    <row r="135" spans="1:15" s="183" customFormat="1" ht="23.25" customHeight="1">
      <c r="A135" s="1493"/>
      <c r="B135" s="1531"/>
      <c r="C135" s="1531"/>
      <c r="D135" s="1531"/>
      <c r="E135" s="1532"/>
      <c r="F135" s="590"/>
      <c r="G135" s="544"/>
      <c r="H135" s="544"/>
      <c r="I135" s="545"/>
      <c r="J135" s="544"/>
      <c r="K135" s="544"/>
      <c r="L135" s="590"/>
      <c r="M135" s="590"/>
      <c r="N135" s="590"/>
      <c r="O135" s="546"/>
    </row>
    <row r="136" spans="1:15" s="183" customFormat="1" ht="23.25" customHeight="1">
      <c r="A136" s="1493"/>
      <c r="B136" s="1531"/>
      <c r="C136" s="1531"/>
      <c r="D136" s="1531"/>
      <c r="E136" s="1532"/>
      <c r="F136" s="590"/>
      <c r="G136" s="544"/>
      <c r="H136" s="544"/>
      <c r="I136" s="545"/>
      <c r="J136" s="544"/>
      <c r="K136" s="544"/>
      <c r="L136" s="590"/>
      <c r="M136" s="590"/>
      <c r="N136" s="590"/>
      <c r="O136" s="546"/>
    </row>
    <row r="137" spans="1:15" s="183" customFormat="1" ht="23.25" customHeight="1">
      <c r="A137" s="1493"/>
      <c r="B137" s="1531"/>
      <c r="C137" s="1531"/>
      <c r="D137" s="1531"/>
      <c r="E137" s="1532"/>
      <c r="F137" s="590"/>
      <c r="G137" s="544"/>
      <c r="H137" s="544"/>
      <c r="I137" s="545"/>
      <c r="J137" s="544"/>
      <c r="K137" s="544"/>
      <c r="L137" s="590"/>
      <c r="M137" s="590"/>
      <c r="N137" s="590"/>
      <c r="O137" s="546"/>
    </row>
    <row r="138" spans="1:15" s="183" customFormat="1" ht="23.25" customHeight="1">
      <c r="A138" s="1493"/>
      <c r="B138" s="1531"/>
      <c r="C138" s="1531"/>
      <c r="D138" s="1531"/>
      <c r="E138" s="1532"/>
      <c r="F138" s="590"/>
      <c r="G138" s="544"/>
      <c r="H138" s="544"/>
      <c r="I138" s="545"/>
      <c r="J138" s="544"/>
      <c r="K138" s="544"/>
      <c r="L138" s="590"/>
      <c r="M138" s="590"/>
      <c r="N138" s="590"/>
      <c r="O138" s="546"/>
    </row>
    <row r="139" spans="1:15" s="183" customFormat="1" ht="23.25" customHeight="1">
      <c r="A139" s="1493"/>
      <c r="B139" s="1531"/>
      <c r="C139" s="1531"/>
      <c r="D139" s="1531"/>
      <c r="E139" s="1532"/>
      <c r="F139" s="590"/>
      <c r="G139" s="544"/>
      <c r="H139" s="544"/>
      <c r="I139" s="545"/>
      <c r="J139" s="544"/>
      <c r="K139" s="544"/>
      <c r="L139" s="590"/>
      <c r="M139" s="590"/>
      <c r="N139" s="590"/>
      <c r="O139" s="546"/>
    </row>
    <row r="140" spans="1:15" s="183" customFormat="1" ht="23.25" customHeight="1">
      <c r="A140" s="1493"/>
      <c r="B140" s="1531"/>
      <c r="C140" s="1531"/>
      <c r="D140" s="1531"/>
      <c r="E140" s="1532"/>
      <c r="F140" s="590"/>
      <c r="G140" s="544"/>
      <c r="H140" s="544"/>
      <c r="I140" s="545"/>
      <c r="J140" s="544"/>
      <c r="K140" s="544"/>
      <c r="L140" s="590"/>
      <c r="M140" s="590"/>
      <c r="N140" s="590"/>
      <c r="O140" s="546"/>
    </row>
    <row r="141" spans="1:15" s="183" customFormat="1" ht="23.25" customHeight="1">
      <c r="A141" s="1493"/>
      <c r="B141" s="1531"/>
      <c r="C141" s="1531"/>
      <c r="D141" s="1531"/>
      <c r="E141" s="1532"/>
      <c r="F141" s="590"/>
      <c r="G141" s="544"/>
      <c r="H141" s="544"/>
      <c r="I141" s="545"/>
      <c r="J141" s="544"/>
      <c r="K141" s="544"/>
      <c r="L141" s="590"/>
      <c r="M141" s="590"/>
      <c r="N141" s="590"/>
      <c r="O141" s="546"/>
    </row>
    <row r="142" spans="1:15" s="183" customFormat="1" ht="23.25" customHeight="1">
      <c r="A142" s="1493"/>
      <c r="B142" s="1531"/>
      <c r="C142" s="1531"/>
      <c r="D142" s="1531"/>
      <c r="E142" s="1532"/>
      <c r="F142" s="590"/>
      <c r="G142" s="544"/>
      <c r="H142" s="544"/>
      <c r="I142" s="545"/>
      <c r="J142" s="544"/>
      <c r="K142" s="544"/>
      <c r="L142" s="590"/>
      <c r="M142" s="590"/>
      <c r="N142" s="590"/>
      <c r="O142" s="546"/>
    </row>
    <row r="143" spans="1:15" s="183" customFormat="1" ht="23.25" customHeight="1">
      <c r="A143" s="1493"/>
      <c r="B143" s="1531"/>
      <c r="C143" s="1531"/>
      <c r="D143" s="1531"/>
      <c r="E143" s="1532"/>
      <c r="F143" s="590"/>
      <c r="G143" s="544"/>
      <c r="H143" s="544"/>
      <c r="I143" s="545"/>
      <c r="J143" s="544"/>
      <c r="K143" s="544"/>
      <c r="L143" s="590"/>
      <c r="M143" s="590"/>
      <c r="N143" s="590"/>
      <c r="O143" s="546"/>
    </row>
    <row r="144" spans="1:15" s="183" customFormat="1" ht="23.25" customHeight="1">
      <c r="A144" s="1493"/>
      <c r="B144" s="1531"/>
      <c r="C144" s="1531"/>
      <c r="D144" s="1531"/>
      <c r="E144" s="1532"/>
      <c r="F144" s="590"/>
      <c r="G144" s="544"/>
      <c r="H144" s="544"/>
      <c r="I144" s="545"/>
      <c r="J144" s="544"/>
      <c r="K144" s="544"/>
      <c r="L144" s="590"/>
      <c r="M144" s="590"/>
      <c r="N144" s="590"/>
      <c r="O144" s="546"/>
    </row>
    <row r="145" spans="1:15" s="183" customFormat="1" ht="23.25" customHeight="1">
      <c r="A145" s="1493"/>
      <c r="B145" s="1531"/>
      <c r="C145" s="1531"/>
      <c r="D145" s="1531"/>
      <c r="E145" s="1532"/>
      <c r="F145" s="590"/>
      <c r="G145" s="544"/>
      <c r="H145" s="544"/>
      <c r="I145" s="545"/>
      <c r="J145" s="544"/>
      <c r="K145" s="544"/>
      <c r="L145" s="590"/>
      <c r="M145" s="590"/>
      <c r="N145" s="590"/>
      <c r="O145" s="546"/>
    </row>
    <row r="146" spans="1:15" s="183" customFormat="1" ht="23.25" customHeight="1">
      <c r="A146" s="1493"/>
      <c r="B146" s="1531"/>
      <c r="C146" s="1531"/>
      <c r="D146" s="1531"/>
      <c r="E146" s="1532"/>
      <c r="F146" s="590"/>
      <c r="G146" s="544"/>
      <c r="H146" s="544"/>
      <c r="I146" s="545"/>
      <c r="J146" s="544"/>
      <c r="K146" s="544"/>
      <c r="L146" s="590"/>
      <c r="M146" s="590"/>
      <c r="N146" s="590"/>
      <c r="O146" s="546"/>
    </row>
    <row r="147" spans="1:15" s="183" customFormat="1" ht="23.25" customHeight="1">
      <c r="A147" s="1493"/>
      <c r="B147" s="1531"/>
      <c r="C147" s="1531"/>
      <c r="D147" s="1531"/>
      <c r="E147" s="1532"/>
      <c r="F147" s="590"/>
      <c r="G147" s="544"/>
      <c r="H147" s="544"/>
      <c r="I147" s="545"/>
      <c r="J147" s="544"/>
      <c r="K147" s="544"/>
      <c r="L147" s="590"/>
      <c r="M147" s="590"/>
      <c r="N147" s="590"/>
      <c r="O147" s="546"/>
    </row>
    <row r="148" spans="1:15" s="183" customFormat="1" ht="23.25" customHeight="1">
      <c r="A148" s="1493"/>
      <c r="B148" s="1531"/>
      <c r="C148" s="1531"/>
      <c r="D148" s="1531"/>
      <c r="E148" s="1532"/>
      <c r="F148" s="590"/>
      <c r="G148" s="544"/>
      <c r="H148" s="544"/>
      <c r="I148" s="545"/>
      <c r="J148" s="544"/>
      <c r="K148" s="544"/>
      <c r="L148" s="590"/>
      <c r="M148" s="590"/>
      <c r="N148" s="590"/>
      <c r="O148" s="546"/>
    </row>
    <row r="149" spans="1:15" s="183" customFormat="1" ht="23.25" customHeight="1">
      <c r="A149" s="1493"/>
      <c r="B149" s="1531"/>
      <c r="C149" s="1531"/>
      <c r="D149" s="1531"/>
      <c r="E149" s="1532"/>
      <c r="F149" s="590"/>
      <c r="G149" s="544"/>
      <c r="H149" s="544"/>
      <c r="I149" s="545"/>
      <c r="J149" s="544"/>
      <c r="K149" s="544"/>
      <c r="L149" s="590"/>
      <c r="M149" s="590"/>
      <c r="N149" s="590"/>
      <c r="O149" s="546"/>
    </row>
    <row r="150" spans="1:15" s="183" customFormat="1" ht="23.25" customHeight="1">
      <c r="A150" s="1493"/>
      <c r="B150" s="1531"/>
      <c r="C150" s="1531"/>
      <c r="D150" s="1531"/>
      <c r="E150" s="1532"/>
      <c r="F150" s="590"/>
      <c r="G150" s="544"/>
      <c r="H150" s="544"/>
      <c r="I150" s="545"/>
      <c r="J150" s="544"/>
      <c r="K150" s="544"/>
      <c r="L150" s="590"/>
      <c r="M150" s="590"/>
      <c r="N150" s="590"/>
      <c r="O150" s="546"/>
    </row>
    <row r="151" spans="1:15" s="183" customFormat="1" ht="23.25" customHeight="1">
      <c r="A151" s="1493"/>
      <c r="B151" s="1531"/>
      <c r="C151" s="1531"/>
      <c r="D151" s="1531"/>
      <c r="E151" s="1532"/>
      <c r="F151" s="590"/>
      <c r="G151" s="544"/>
      <c r="H151" s="544"/>
      <c r="I151" s="545"/>
      <c r="J151" s="544"/>
      <c r="K151" s="544"/>
      <c r="L151" s="590"/>
      <c r="M151" s="590"/>
      <c r="N151" s="590"/>
      <c r="O151" s="546"/>
    </row>
    <row r="152" spans="1:15" s="183" customFormat="1" ht="23.25" customHeight="1">
      <c r="A152" s="1493"/>
      <c r="B152" s="1531"/>
      <c r="C152" s="1531"/>
      <c r="D152" s="1531"/>
      <c r="E152" s="1532"/>
      <c r="F152" s="590"/>
      <c r="G152" s="544"/>
      <c r="H152" s="544"/>
      <c r="I152" s="545"/>
      <c r="J152" s="544"/>
      <c r="K152" s="544"/>
      <c r="L152" s="590"/>
      <c r="M152" s="590"/>
      <c r="N152" s="590"/>
      <c r="O152" s="546"/>
    </row>
    <row r="153" spans="1:15" s="183" customFormat="1" ht="23.25" customHeight="1">
      <c r="A153" s="1493"/>
      <c r="B153" s="1531"/>
      <c r="C153" s="1531"/>
      <c r="D153" s="1531"/>
      <c r="E153" s="1532"/>
      <c r="F153" s="590"/>
      <c r="G153" s="544"/>
      <c r="H153" s="544"/>
      <c r="I153" s="545"/>
      <c r="J153" s="544"/>
      <c r="K153" s="544"/>
      <c r="L153" s="590"/>
      <c r="M153" s="590"/>
      <c r="N153" s="590"/>
      <c r="O153" s="546"/>
    </row>
    <row r="154" spans="1:15" s="183" customFormat="1" ht="23.25" customHeight="1">
      <c r="A154" s="1493"/>
      <c r="B154" s="1531"/>
      <c r="C154" s="1531"/>
      <c r="D154" s="1531"/>
      <c r="E154" s="1532"/>
      <c r="F154" s="590"/>
      <c r="G154" s="544"/>
      <c r="H154" s="544"/>
      <c r="I154" s="545"/>
      <c r="J154" s="544"/>
      <c r="K154" s="544"/>
      <c r="L154" s="590"/>
      <c r="M154" s="590"/>
      <c r="N154" s="590"/>
      <c r="O154" s="546"/>
    </row>
    <row r="155" spans="1:15" s="183" customFormat="1" ht="23.25" customHeight="1">
      <c r="A155" s="1493"/>
      <c r="B155" s="1531"/>
      <c r="C155" s="1531"/>
      <c r="D155" s="1531"/>
      <c r="E155" s="1532"/>
      <c r="F155" s="590"/>
      <c r="G155" s="544"/>
      <c r="H155" s="544"/>
      <c r="I155" s="545"/>
      <c r="J155" s="544"/>
      <c r="K155" s="544"/>
      <c r="L155" s="590"/>
      <c r="M155" s="590"/>
      <c r="N155" s="590"/>
      <c r="O155" s="546"/>
    </row>
    <row r="156" spans="1:15" s="183" customFormat="1" ht="23.25" customHeight="1">
      <c r="A156" s="1493"/>
      <c r="B156" s="1531"/>
      <c r="C156" s="1531"/>
      <c r="D156" s="1531"/>
      <c r="E156" s="1532"/>
      <c r="F156" s="590"/>
      <c r="G156" s="544"/>
      <c r="H156" s="544"/>
      <c r="I156" s="545"/>
      <c r="J156" s="544"/>
      <c r="K156" s="544"/>
      <c r="L156" s="590"/>
      <c r="M156" s="590"/>
      <c r="N156" s="590"/>
      <c r="O156" s="546"/>
    </row>
    <row r="157" spans="1:15" s="183" customFormat="1" ht="23.25" customHeight="1">
      <c r="A157" s="1493"/>
      <c r="B157" s="1531"/>
      <c r="C157" s="1531"/>
      <c r="D157" s="1531"/>
      <c r="E157" s="1532"/>
      <c r="F157" s="590"/>
      <c r="G157" s="544"/>
      <c r="H157" s="544"/>
      <c r="I157" s="545"/>
      <c r="J157" s="544"/>
      <c r="K157" s="544"/>
      <c r="L157" s="590"/>
      <c r="M157" s="590"/>
      <c r="N157" s="590"/>
      <c r="O157" s="546"/>
    </row>
    <row r="158" spans="1:15" s="183" customFormat="1" ht="23.25" customHeight="1">
      <c r="A158" s="1493"/>
      <c r="B158" s="1531"/>
      <c r="C158" s="1531"/>
      <c r="D158" s="1531"/>
      <c r="E158" s="1532"/>
      <c r="F158" s="590"/>
      <c r="G158" s="544"/>
      <c r="H158" s="544"/>
      <c r="I158" s="545"/>
      <c r="J158" s="544"/>
      <c r="K158" s="544"/>
      <c r="L158" s="590"/>
      <c r="M158" s="590"/>
      <c r="N158" s="590"/>
      <c r="O158" s="546"/>
    </row>
    <row r="159" spans="1:15" s="183" customFormat="1" ht="23.25" customHeight="1">
      <c r="A159" s="1493"/>
      <c r="B159" s="1531"/>
      <c r="C159" s="1531"/>
      <c r="D159" s="1531"/>
      <c r="E159" s="1532"/>
      <c r="F159" s="590"/>
      <c r="G159" s="544"/>
      <c r="H159" s="544"/>
      <c r="I159" s="545"/>
      <c r="J159" s="544"/>
      <c r="K159" s="544"/>
      <c r="L159" s="590"/>
      <c r="M159" s="590"/>
      <c r="N159" s="590"/>
      <c r="O159" s="546"/>
    </row>
    <row r="160" spans="1:15" s="183" customFormat="1" ht="23.25" customHeight="1">
      <c r="A160" s="1493"/>
      <c r="B160" s="1531"/>
      <c r="C160" s="1531"/>
      <c r="D160" s="1531"/>
      <c r="E160" s="1532"/>
      <c r="F160" s="590"/>
      <c r="G160" s="544"/>
      <c r="H160" s="544"/>
      <c r="I160" s="545"/>
      <c r="J160" s="544"/>
      <c r="K160" s="544"/>
      <c r="L160" s="590"/>
      <c r="M160" s="590"/>
      <c r="N160" s="590"/>
      <c r="O160" s="546"/>
    </row>
    <row r="161" spans="1:15" s="183" customFormat="1" ht="23.25" customHeight="1">
      <c r="A161" s="1493"/>
      <c r="B161" s="1531"/>
      <c r="C161" s="1531"/>
      <c r="D161" s="1531"/>
      <c r="E161" s="1532"/>
      <c r="F161" s="590"/>
      <c r="G161" s="544"/>
      <c r="H161" s="544"/>
      <c r="I161" s="545"/>
      <c r="J161" s="544"/>
      <c r="K161" s="544"/>
      <c r="L161" s="590"/>
      <c r="M161" s="590"/>
      <c r="N161" s="590"/>
      <c r="O161" s="546"/>
    </row>
    <row r="162" spans="1:15" s="183" customFormat="1" ht="23.25" customHeight="1">
      <c r="A162" s="1493"/>
      <c r="B162" s="1531"/>
      <c r="C162" s="1531"/>
      <c r="D162" s="1531"/>
      <c r="E162" s="1532"/>
      <c r="F162" s="590"/>
      <c r="G162" s="544"/>
      <c r="H162" s="544"/>
      <c r="I162" s="545"/>
      <c r="J162" s="544"/>
      <c r="K162" s="544"/>
      <c r="L162" s="590"/>
      <c r="M162" s="590"/>
      <c r="N162" s="590"/>
      <c r="O162" s="546"/>
    </row>
    <row r="163" spans="1:15" s="183" customFormat="1" ht="23.25" customHeight="1">
      <c r="A163" s="1493"/>
      <c r="B163" s="1531"/>
      <c r="C163" s="1531"/>
      <c r="D163" s="1531"/>
      <c r="E163" s="1532"/>
      <c r="F163" s="590"/>
      <c r="G163" s="544"/>
      <c r="H163" s="544"/>
      <c r="I163" s="545"/>
      <c r="J163" s="544"/>
      <c r="K163" s="544"/>
      <c r="L163" s="590"/>
      <c r="M163" s="590"/>
      <c r="N163" s="590"/>
      <c r="O163" s="546"/>
    </row>
    <row r="164" spans="1:15" s="183" customFormat="1" ht="23.25" customHeight="1">
      <c r="A164" s="1493"/>
      <c r="B164" s="1531"/>
      <c r="C164" s="1531"/>
      <c r="D164" s="1531"/>
      <c r="E164" s="1532"/>
      <c r="F164" s="590"/>
      <c r="G164" s="544"/>
      <c r="H164" s="544"/>
      <c r="I164" s="545"/>
      <c r="J164" s="544"/>
      <c r="K164" s="544"/>
      <c r="L164" s="590"/>
      <c r="M164" s="590"/>
      <c r="N164" s="590"/>
      <c r="O164" s="546"/>
    </row>
    <row r="165" spans="1:15" s="183" customFormat="1" ht="23.25" customHeight="1">
      <c r="A165" s="1493"/>
      <c r="B165" s="1531"/>
      <c r="C165" s="1531"/>
      <c r="D165" s="1531"/>
      <c r="E165" s="1532"/>
      <c r="F165" s="590"/>
      <c r="G165" s="544"/>
      <c r="H165" s="544"/>
      <c r="I165" s="545"/>
      <c r="J165" s="544"/>
      <c r="K165" s="544"/>
      <c r="L165" s="590"/>
      <c r="M165" s="590"/>
      <c r="N165" s="590"/>
      <c r="O165" s="546"/>
    </row>
    <row r="166" spans="1:15" s="183" customFormat="1" ht="23.25" customHeight="1">
      <c r="A166" s="1493"/>
      <c r="B166" s="1531"/>
      <c r="C166" s="1531"/>
      <c r="D166" s="1531"/>
      <c r="E166" s="1532"/>
      <c r="F166" s="590"/>
      <c r="G166" s="544"/>
      <c r="H166" s="544"/>
      <c r="I166" s="545"/>
      <c r="J166" s="544"/>
      <c r="K166" s="544"/>
      <c r="L166" s="590"/>
      <c r="M166" s="590"/>
      <c r="N166" s="590"/>
      <c r="O166" s="546"/>
    </row>
    <row r="167" spans="1:15" s="183" customFormat="1" ht="23.25" customHeight="1">
      <c r="A167" s="1493"/>
      <c r="B167" s="1531"/>
      <c r="C167" s="1531"/>
      <c r="D167" s="1531"/>
      <c r="E167" s="1532"/>
      <c r="F167" s="590"/>
      <c r="G167" s="544"/>
      <c r="H167" s="544"/>
      <c r="I167" s="545"/>
      <c r="J167" s="544"/>
      <c r="K167" s="544"/>
      <c r="L167" s="590"/>
      <c r="M167" s="590"/>
      <c r="N167" s="590"/>
      <c r="O167" s="546"/>
    </row>
    <row r="168" spans="1:15" s="183" customFormat="1" ht="23.25" customHeight="1">
      <c r="A168" s="1493"/>
      <c r="B168" s="1531"/>
      <c r="C168" s="1531"/>
      <c r="D168" s="1531"/>
      <c r="E168" s="1531"/>
      <c r="F168" s="590"/>
      <c r="G168" s="544"/>
      <c r="H168" s="544"/>
      <c r="I168" s="545"/>
      <c r="J168" s="544"/>
      <c r="K168" s="544"/>
      <c r="L168" s="590"/>
      <c r="M168" s="590"/>
      <c r="N168" s="590"/>
      <c r="O168" s="546"/>
    </row>
    <row r="169" spans="1:15" s="183" customFormat="1" ht="23.25" customHeight="1">
      <c r="A169" s="1493"/>
      <c r="B169" s="1531"/>
      <c r="C169" s="1531"/>
      <c r="D169" s="1531"/>
      <c r="E169" s="1531"/>
      <c r="F169" s="590"/>
      <c r="G169" s="544"/>
      <c r="H169" s="544"/>
      <c r="I169" s="545"/>
      <c r="J169" s="544"/>
      <c r="K169" s="544"/>
      <c r="L169" s="590"/>
      <c r="M169" s="590"/>
      <c r="N169" s="590"/>
      <c r="O169" s="546"/>
    </row>
    <row r="170" spans="1:15" s="183" customFormat="1" ht="23.25" customHeight="1">
      <c r="A170" s="1493"/>
      <c r="B170" s="1531"/>
      <c r="C170" s="1531"/>
      <c r="D170" s="1531"/>
      <c r="E170" s="1531"/>
      <c r="F170" s="590"/>
      <c r="G170" s="544"/>
      <c r="H170" s="544"/>
      <c r="I170" s="545"/>
      <c r="J170" s="544"/>
      <c r="K170" s="544"/>
      <c r="L170" s="590"/>
      <c r="M170" s="590"/>
      <c r="N170" s="590"/>
      <c r="O170" s="546"/>
    </row>
    <row r="171" spans="1:15" s="183" customFormat="1" ht="23.25" customHeight="1">
      <c r="A171" s="1493"/>
      <c r="B171" s="1531"/>
      <c r="C171" s="1531"/>
      <c r="D171" s="1531"/>
      <c r="E171" s="1531"/>
      <c r="F171" s="590"/>
      <c r="G171" s="544"/>
      <c r="H171" s="544"/>
      <c r="I171" s="545"/>
      <c r="J171" s="544"/>
      <c r="K171" s="544"/>
      <c r="L171" s="590"/>
      <c r="M171" s="590"/>
      <c r="N171" s="590"/>
      <c r="O171" s="546"/>
    </row>
    <row r="172" spans="1:15" s="183" customFormat="1" ht="23.25" customHeight="1">
      <c r="A172" s="1493"/>
      <c r="B172" s="1531"/>
      <c r="C172" s="1531"/>
      <c r="D172" s="1531"/>
      <c r="E172" s="1531"/>
      <c r="F172" s="590"/>
      <c r="G172" s="544"/>
      <c r="H172" s="544"/>
      <c r="I172" s="545"/>
      <c r="J172" s="544"/>
      <c r="K172" s="544"/>
      <c r="L172" s="590"/>
      <c r="M172" s="590"/>
      <c r="N172" s="590"/>
      <c r="O172" s="546"/>
    </row>
    <row r="173" spans="1:15" s="183" customFormat="1" ht="23.25" customHeight="1">
      <c r="A173" s="1493"/>
      <c r="B173" s="1531"/>
      <c r="C173" s="1531"/>
      <c r="D173" s="1531"/>
      <c r="E173" s="1531"/>
      <c r="F173" s="590"/>
      <c r="G173" s="544"/>
      <c r="H173" s="544"/>
      <c r="I173" s="545"/>
      <c r="J173" s="544"/>
      <c r="K173" s="544"/>
      <c r="L173" s="590"/>
      <c r="M173" s="590"/>
      <c r="N173" s="590"/>
      <c r="O173" s="546"/>
    </row>
    <row r="174" spans="1:15" s="183" customFormat="1" ht="23.25" customHeight="1" thickBot="1">
      <c r="A174" s="1492"/>
      <c r="B174" s="1552"/>
      <c r="C174" s="1552"/>
      <c r="D174" s="1552"/>
      <c r="E174" s="1552"/>
      <c r="F174" s="1491"/>
      <c r="G174" s="547"/>
      <c r="H174" s="547"/>
      <c r="I174" s="548"/>
      <c r="J174" s="547"/>
      <c r="K174" s="547"/>
      <c r="L174" s="1491"/>
      <c r="M174" s="1491"/>
      <c r="N174" s="1491"/>
      <c r="O174" s="549"/>
    </row>
    <row r="175" spans="1:15" s="183" customFormat="1" ht="23.25" customHeight="1" thickBot="1">
      <c r="A175" s="2701" t="s">
        <v>1984</v>
      </c>
      <c r="B175" s="2702"/>
      <c r="C175" s="1556"/>
      <c r="D175" s="1557"/>
      <c r="E175" s="1557"/>
      <c r="F175" s="1489"/>
      <c r="G175" s="1488">
        <f>SUM(G118:G174)</f>
        <v>0</v>
      </c>
      <c r="H175" s="1488">
        <f>SUM(H118:H174)</f>
        <v>0</v>
      </c>
      <c r="I175" s="1490"/>
      <c r="J175" s="1488">
        <f>SUM(J118:J174)</f>
        <v>0</v>
      </c>
      <c r="K175" s="1488">
        <f>SUM(K118:K174)</f>
        <v>0</v>
      </c>
      <c r="L175" s="1489"/>
      <c r="M175" s="1489"/>
      <c r="N175" s="1489"/>
      <c r="O175" s="1488">
        <f>SUM(O118:O174)</f>
        <v>0</v>
      </c>
    </row>
    <row r="176" spans="1:15" ht="20.25" customHeight="1" thickBot="1">
      <c r="A176" s="2717" t="s">
        <v>425</v>
      </c>
      <c r="B176" s="2718"/>
      <c r="C176" s="2718"/>
      <c r="D176" s="2718"/>
      <c r="E176" s="2718"/>
      <c r="F176" s="2718"/>
      <c r="G176" s="1484">
        <f>+G175+G115</f>
        <v>0</v>
      </c>
      <c r="H176" s="1484">
        <f>+H175+H115</f>
        <v>0</v>
      </c>
      <c r="I176" s="1487"/>
      <c r="J176" s="1484">
        <f>+J175+J115</f>
        <v>0</v>
      </c>
      <c r="K176" s="1484">
        <f>+K175+K115</f>
        <v>0</v>
      </c>
      <c r="L176" s="1486"/>
      <c r="M176" s="1485"/>
      <c r="N176" s="1485"/>
      <c r="O176" s="1484">
        <f>+O175+O115</f>
        <v>0</v>
      </c>
    </row>
    <row r="177" spans="1:14" s="183" customFormat="1" ht="13.5" thickTop="1">
      <c r="B177" s="1558"/>
      <c r="C177" s="1558"/>
      <c r="D177" s="1558"/>
      <c r="E177" s="1558"/>
    </row>
    <row r="178" spans="1:14" s="183" customFormat="1" ht="12.75">
      <c r="A178" s="1249" t="s">
        <v>395</v>
      </c>
      <c r="B178" s="1559"/>
      <c r="C178" s="1558"/>
      <c r="D178" s="1558"/>
      <c r="E178" s="1558"/>
      <c r="L178" s="2609" t="s">
        <v>396</v>
      </c>
      <c r="M178" s="2609"/>
      <c r="N178" s="2609"/>
    </row>
    <row r="179" spans="1:14" s="183" customFormat="1" ht="12.75">
      <c r="A179" s="1249" t="s">
        <v>397</v>
      </c>
      <c r="B179" s="1559"/>
      <c r="C179" s="1558"/>
      <c r="D179" s="1558"/>
      <c r="E179" s="1558"/>
      <c r="L179" s="2715" t="s">
        <v>398</v>
      </c>
      <c r="M179" s="2609"/>
      <c r="N179" s="2609"/>
    </row>
    <row r="180" spans="1:14" s="183" customFormat="1" ht="12.75">
      <c r="B180" s="1558"/>
      <c r="C180" s="1558"/>
      <c r="D180" s="1560" t="s">
        <v>399</v>
      </c>
      <c r="E180" s="1558"/>
      <c r="H180" s="1481" t="s">
        <v>400</v>
      </c>
      <c r="I180" s="342"/>
      <c r="L180" s="2716" t="s">
        <v>401</v>
      </c>
      <c r="M180" s="2716"/>
      <c r="N180" s="2716"/>
    </row>
    <row r="181" spans="1:14" s="183" customFormat="1" ht="12.75">
      <c r="B181" s="1558"/>
      <c r="C181" s="1558"/>
      <c r="D181" s="1561" t="s">
        <v>402</v>
      </c>
      <c r="E181" s="1558"/>
      <c r="H181" s="1480" t="s">
        <v>403</v>
      </c>
      <c r="I181" s="1480"/>
      <c r="L181" s="2609" t="s">
        <v>404</v>
      </c>
      <c r="M181" s="2609"/>
      <c r="N181" s="2609"/>
    </row>
    <row r="182" spans="1:14" s="183" customFormat="1" ht="12.75">
      <c r="B182" s="1558"/>
      <c r="C182" s="1558"/>
      <c r="D182" s="1558"/>
      <c r="E182" s="1558"/>
    </row>
    <row r="183" spans="1:14" s="183" customFormat="1" ht="12.75">
      <c r="B183" s="1558"/>
      <c r="C183" s="1558"/>
      <c r="D183" s="1558"/>
      <c r="E183" s="1558"/>
    </row>
    <row r="184" spans="1:14" s="183" customFormat="1" ht="19.5" customHeight="1">
      <c r="B184" s="1558"/>
      <c r="C184" s="1558"/>
      <c r="D184" s="1558"/>
      <c r="E184" s="1558"/>
      <c r="H184" s="1481"/>
      <c r="L184" s="2716"/>
      <c r="M184" s="2716"/>
    </row>
    <row r="185" spans="1:14" s="183" customFormat="1" ht="12.75">
      <c r="B185" s="1558"/>
      <c r="C185" s="1558"/>
      <c r="D185" s="1558"/>
      <c r="E185" s="1558"/>
      <c r="H185" s="1480"/>
      <c r="L185" s="2609"/>
      <c r="M185" s="2609"/>
    </row>
    <row r="186" spans="1:14" s="183" customFormat="1" ht="12.75">
      <c r="A186" s="1293" t="s">
        <v>1992</v>
      </c>
      <c r="B186" s="1558"/>
      <c r="C186" s="1558"/>
      <c r="D186" s="1558"/>
      <c r="E186" s="1558"/>
    </row>
    <row r="187" spans="1:14" s="183" customFormat="1" ht="12.75">
      <c r="B187" s="1558"/>
      <c r="C187" s="1558"/>
      <c r="D187" s="1558"/>
      <c r="E187" s="1558"/>
    </row>
    <row r="188" spans="1:14" s="183" customFormat="1" ht="12.75">
      <c r="B188" s="1558"/>
      <c r="C188" s="1558"/>
      <c r="D188" s="1558"/>
      <c r="E188" s="1558"/>
    </row>
    <row r="189" spans="1:14" s="183" customFormat="1" ht="12.75">
      <c r="B189" s="1558"/>
      <c r="C189" s="1558"/>
      <c r="D189" s="1558"/>
      <c r="E189" s="1558"/>
    </row>
    <row r="190" spans="1:14" ht="12.75"/>
    <row r="191" spans="1:14" ht="12.75"/>
    <row r="192" spans="1:14"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customHeight="1"/>
    <row r="269" ht="12.75" customHeight="1"/>
  </sheetData>
  <sheetProtection password="C5F7" sheet="1" objects="1" scenarios="1" formatCells="0" formatColumns="0" formatRows="0" insertRows="0" deleteRows="0"/>
  <mergeCells count="43">
    <mergeCell ref="A1:O1"/>
    <mergeCell ref="A2:O2"/>
    <mergeCell ref="A3:O3"/>
    <mergeCell ref="A4:O4"/>
    <mergeCell ref="L11:M11"/>
    <mergeCell ref="N11:O11"/>
    <mergeCell ref="N13:N14"/>
    <mergeCell ref="O13:O14"/>
    <mergeCell ref="A116:B116"/>
    <mergeCell ref="C116:C117"/>
    <mergeCell ref="D116:D117"/>
    <mergeCell ref="E116:E117"/>
    <mergeCell ref="F116:F117"/>
    <mergeCell ref="G13:G14"/>
    <mergeCell ref="A13:A14"/>
    <mergeCell ref="C13:C14"/>
    <mergeCell ref="D13:D14"/>
    <mergeCell ref="L13:L14"/>
    <mergeCell ref="M13:M14"/>
    <mergeCell ref="A117:B117"/>
    <mergeCell ref="I13:I14"/>
    <mergeCell ref="J13:J14"/>
    <mergeCell ref="A175:B175"/>
    <mergeCell ref="A176:F176"/>
    <mergeCell ref="G116:G117"/>
    <mergeCell ref="H116:H117"/>
    <mergeCell ref="H13:H14"/>
    <mergeCell ref="K13:K14"/>
    <mergeCell ref="E13:E14"/>
    <mergeCell ref="F13:F14"/>
    <mergeCell ref="I116:I117"/>
    <mergeCell ref="J116:J117"/>
    <mergeCell ref="K116:K117"/>
    <mergeCell ref="L185:M185"/>
    <mergeCell ref="O116:O117"/>
    <mergeCell ref="L179:N179"/>
    <mergeCell ref="N116:N117"/>
    <mergeCell ref="L178:N178"/>
    <mergeCell ref="L116:L117"/>
    <mergeCell ref="M116:M117"/>
    <mergeCell ref="L180:N180"/>
    <mergeCell ref="L181:N181"/>
    <mergeCell ref="L184:M184"/>
  </mergeCells>
  <dataValidations count="2">
    <dataValidation type="list" allowBlank="1" showInputMessage="1" showErrorMessage="1" sqref="F15:F115 F118:F175">
      <formula1>"Overdraft, Term Loan, Trust Receipt, Bill of Exchange, Financing Commitment, Guarantee, Others"</formula1>
    </dataValidation>
    <dataValidation type="decimal" operator="greaterThanOrEqual" allowBlank="1" showInputMessage="1" showErrorMessage="1" errorTitle="Validation Rule" error="Allow only number" sqref="G15:K115 O15:O115 O118:O175 G118:K175">
      <formula1>0</formula1>
    </dataValidation>
  </dataValidations>
  <pageMargins left="0.25" right="0" top="0.5" bottom="0.5" header="0.5" footer="0.5"/>
  <pageSetup paperSize="9" scale="65" fitToHeight="2"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sheetPr>
  <dimension ref="A1:P269"/>
  <sheetViews>
    <sheetView showGridLines="0" topLeftCell="A7" workbookViewId="0">
      <selection activeCell="B118" sqref="B118:B120"/>
    </sheetView>
  </sheetViews>
  <sheetFormatPr defaultColWidth="0" defaultRowHeight="0" customHeight="1" zeroHeight="1"/>
  <cols>
    <col min="1" max="1" width="3.7109375" customWidth="1"/>
    <col min="2" max="2" width="21.5703125" style="181" customWidth="1"/>
    <col min="3" max="3" width="17.5703125" style="181" customWidth="1"/>
    <col min="4" max="4" width="14.85546875" style="181" customWidth="1"/>
    <col min="5" max="5" width="13.5703125" style="181" customWidth="1"/>
    <col min="6" max="6" width="15.85546875" customWidth="1"/>
    <col min="7" max="8" width="17.7109375" customWidth="1"/>
    <col min="9" max="9" width="11.140625" customWidth="1"/>
    <col min="10" max="10" width="14.140625" customWidth="1"/>
    <col min="11" max="11" width="12.7109375" customWidth="1"/>
    <col min="12" max="13" width="10.42578125" customWidth="1"/>
    <col min="14" max="15" width="12.28515625" customWidth="1"/>
    <col min="16" max="16" width="9.140625" customWidth="1"/>
  </cols>
  <sheetData>
    <row r="1" spans="1:16" s="191" customFormat="1" ht="27">
      <c r="A1" s="2679" t="s">
        <v>357</v>
      </c>
      <c r="B1" s="2679"/>
      <c r="C1" s="2679"/>
      <c r="D1" s="2679"/>
      <c r="E1" s="2679"/>
      <c r="F1" s="2679"/>
      <c r="G1" s="2679"/>
      <c r="H1" s="2679"/>
      <c r="I1" s="2679"/>
      <c r="J1" s="2679"/>
      <c r="K1" s="2679"/>
      <c r="L1" s="2679"/>
      <c r="M1" s="2679"/>
      <c r="N1" s="2679"/>
      <c r="O1" s="2679"/>
      <c r="P1" s="1258"/>
    </row>
    <row r="2" spans="1:16" s="191" customFormat="1" ht="15.75">
      <c r="A2" s="2680" t="s">
        <v>358</v>
      </c>
      <c r="B2" s="2680"/>
      <c r="C2" s="2680"/>
      <c r="D2" s="2680"/>
      <c r="E2" s="2680"/>
      <c r="F2" s="2680"/>
      <c r="G2" s="2680"/>
      <c r="H2" s="2680"/>
      <c r="I2" s="2680"/>
      <c r="J2" s="2680"/>
      <c r="K2" s="2680"/>
      <c r="L2" s="2680"/>
      <c r="M2" s="2680"/>
      <c r="N2" s="2680"/>
      <c r="O2" s="2680"/>
      <c r="P2" s="1259"/>
    </row>
    <row r="3" spans="1:16" s="183" customFormat="1" ht="12.75">
      <c r="A3" s="2681" t="s">
        <v>359</v>
      </c>
      <c r="B3" s="2681"/>
      <c r="C3" s="2681"/>
      <c r="D3" s="2681"/>
      <c r="E3" s="2681"/>
      <c r="F3" s="2681"/>
      <c r="G3" s="2681"/>
      <c r="H3" s="2681"/>
      <c r="I3" s="2681"/>
      <c r="J3" s="2681"/>
      <c r="K3" s="2681"/>
      <c r="L3" s="2681"/>
      <c r="M3" s="2681"/>
      <c r="N3" s="2681"/>
      <c r="O3" s="2681"/>
      <c r="P3" s="342"/>
    </row>
    <row r="4" spans="1:16" s="183" customFormat="1" ht="15.75">
      <c r="A4" s="2682" t="s">
        <v>360</v>
      </c>
      <c r="B4" s="2682"/>
      <c r="C4" s="2682"/>
      <c r="D4" s="2682"/>
      <c r="E4" s="2682"/>
      <c r="F4" s="2682"/>
      <c r="G4" s="2682"/>
      <c r="H4" s="2682"/>
      <c r="I4" s="2682"/>
      <c r="J4" s="2682"/>
      <c r="K4" s="2682"/>
      <c r="L4" s="2682"/>
      <c r="M4" s="2682"/>
      <c r="N4" s="2682"/>
      <c r="O4" s="2682"/>
      <c r="P4" s="1250"/>
    </row>
    <row r="5" spans="1:16" s="183" customFormat="1" ht="15" customHeight="1">
      <c r="A5" s="1244" t="s">
        <v>361</v>
      </c>
      <c r="B5" s="1533"/>
      <c r="C5" s="1534"/>
      <c r="D5" s="1534"/>
      <c r="E5" s="1534"/>
      <c r="F5" s="342"/>
      <c r="G5" s="342"/>
      <c r="H5" s="342"/>
      <c r="I5" s="342"/>
      <c r="J5" s="342"/>
      <c r="K5" s="342"/>
      <c r="L5" s="342"/>
      <c r="M5" s="342"/>
      <c r="O5" s="1232"/>
      <c r="P5" s="342"/>
    </row>
    <row r="6" spans="1:16" s="183" customFormat="1" ht="12.75">
      <c r="A6" s="1245" t="s">
        <v>362</v>
      </c>
      <c r="B6" s="1535"/>
      <c r="C6" s="1536"/>
      <c r="D6" s="1536"/>
      <c r="E6" s="1536"/>
      <c r="F6" s="343"/>
      <c r="G6" s="343"/>
      <c r="H6" s="343"/>
      <c r="I6" s="343"/>
      <c r="J6" s="343"/>
      <c r="K6" s="343"/>
      <c r="L6" s="343"/>
      <c r="M6" s="343"/>
      <c r="N6" s="890" t="s">
        <v>853</v>
      </c>
      <c r="O6" s="1251"/>
      <c r="P6" s="343"/>
    </row>
    <row r="7" spans="1:16" s="267" customFormat="1" ht="16.5" customHeight="1">
      <c r="B7" s="1537"/>
      <c r="C7" s="1538"/>
      <c r="D7" s="1537"/>
      <c r="E7" s="1537"/>
    </row>
    <row r="8" spans="1:16" s="183" customFormat="1" ht="20.25" customHeight="1">
      <c r="A8" s="1252"/>
      <c r="B8" s="1539" t="s">
        <v>877</v>
      </c>
      <c r="C8" s="1540"/>
      <c r="D8" s="1540"/>
      <c r="E8" s="1540"/>
      <c r="F8" s="550"/>
      <c r="J8" s="1253" t="s">
        <v>363</v>
      </c>
      <c r="L8" s="1247" t="s">
        <v>364</v>
      </c>
      <c r="M8" s="1247"/>
      <c r="N8" s="1254" t="s">
        <v>365</v>
      </c>
    </row>
    <row r="9" spans="1:16" s="183" customFormat="1" ht="17.25" customHeight="1">
      <c r="A9" s="1252"/>
      <c r="B9" s="1539" t="s">
        <v>878</v>
      </c>
      <c r="C9" s="1541" t="s">
        <v>1994</v>
      </c>
      <c r="D9" s="1540"/>
      <c r="E9" s="1540"/>
      <c r="F9" s="550"/>
      <c r="J9" s="1255" t="s">
        <v>366</v>
      </c>
      <c r="L9" s="1248" t="s">
        <v>367</v>
      </c>
      <c r="M9" s="1256"/>
      <c r="N9" s="1257" t="s">
        <v>368</v>
      </c>
    </row>
    <row r="10" spans="1:16" ht="7.5" customHeight="1" thickBot="1">
      <c r="A10" s="2"/>
      <c r="B10" s="1542"/>
      <c r="C10" s="1542"/>
      <c r="D10" s="1542"/>
      <c r="E10" s="1542"/>
      <c r="F10" s="2"/>
      <c r="G10" s="2"/>
      <c r="H10" s="2"/>
      <c r="I10" s="2"/>
      <c r="J10" s="2"/>
      <c r="L10" s="5"/>
      <c r="M10" s="5"/>
      <c r="N10" s="2"/>
      <c r="O10" s="2"/>
    </row>
    <row r="11" spans="1:16" s="6" customFormat="1" ht="41.25" customHeight="1" thickTop="1">
      <c r="A11" s="1497" t="s">
        <v>369</v>
      </c>
      <c r="B11" s="1543" t="s">
        <v>405</v>
      </c>
      <c r="C11" s="1544" t="s">
        <v>406</v>
      </c>
      <c r="D11" s="1545" t="s">
        <v>407</v>
      </c>
      <c r="E11" s="1546" t="s">
        <v>408</v>
      </c>
      <c r="F11" s="541" t="s">
        <v>370</v>
      </c>
      <c r="G11" s="541" t="s">
        <v>371</v>
      </c>
      <c r="H11" s="1483" t="s">
        <v>372</v>
      </c>
      <c r="I11" s="541" t="s">
        <v>409</v>
      </c>
      <c r="J11" s="541" t="s">
        <v>373</v>
      </c>
      <c r="K11" s="541" t="s">
        <v>410</v>
      </c>
      <c r="L11" s="2719" t="s">
        <v>411</v>
      </c>
      <c r="M11" s="2720"/>
      <c r="N11" s="2721" t="s">
        <v>412</v>
      </c>
      <c r="O11" s="2722"/>
    </row>
    <row r="12" spans="1:16" s="6" customFormat="1" ht="25.5" customHeight="1" thickBot="1">
      <c r="A12" s="1496" t="s">
        <v>374</v>
      </c>
      <c r="B12" s="1547" t="s">
        <v>413</v>
      </c>
      <c r="C12" s="1548" t="s">
        <v>414</v>
      </c>
      <c r="D12" s="1549" t="s">
        <v>415</v>
      </c>
      <c r="E12" s="1549" t="s">
        <v>416</v>
      </c>
      <c r="F12" s="1482" t="s">
        <v>417</v>
      </c>
      <c r="G12" s="1482" t="s">
        <v>376</v>
      </c>
      <c r="H12" s="1482" t="s">
        <v>377</v>
      </c>
      <c r="I12" s="1482" t="s">
        <v>418</v>
      </c>
      <c r="J12" s="1482" t="s">
        <v>379</v>
      </c>
      <c r="K12" s="1482" t="s">
        <v>419</v>
      </c>
      <c r="L12" s="542" t="s">
        <v>420</v>
      </c>
      <c r="M12" s="542" t="s">
        <v>421</v>
      </c>
      <c r="N12" s="543" t="s">
        <v>422</v>
      </c>
      <c r="O12" s="1495" t="s">
        <v>423</v>
      </c>
    </row>
    <row r="13" spans="1:16" s="183" customFormat="1" ht="15" customHeight="1">
      <c r="A13" s="2699"/>
      <c r="B13" s="1550" t="s">
        <v>1988</v>
      </c>
      <c r="C13" s="2703"/>
      <c r="D13" s="2703"/>
      <c r="E13" s="2703"/>
      <c r="F13" s="2697"/>
      <c r="G13" s="2697"/>
      <c r="H13" s="2697"/>
      <c r="I13" s="2697"/>
      <c r="J13" s="2697"/>
      <c r="K13" s="2697"/>
      <c r="L13" s="2697"/>
      <c r="M13" s="2697"/>
      <c r="N13" s="2697"/>
      <c r="O13" s="2723"/>
    </row>
    <row r="14" spans="1:16" s="183" customFormat="1" ht="15.75" customHeight="1" thickBot="1">
      <c r="A14" s="2700"/>
      <c r="B14" s="1551" t="s">
        <v>1987</v>
      </c>
      <c r="C14" s="2704"/>
      <c r="D14" s="2704"/>
      <c r="E14" s="2704"/>
      <c r="F14" s="2698"/>
      <c r="G14" s="2698"/>
      <c r="H14" s="2698"/>
      <c r="I14" s="2698"/>
      <c r="J14" s="2698"/>
      <c r="K14" s="2698"/>
      <c r="L14" s="2698"/>
      <c r="M14" s="2698"/>
      <c r="N14" s="2698"/>
      <c r="O14" s="2724"/>
    </row>
    <row r="15" spans="1:16" s="183" customFormat="1" ht="23.25" customHeight="1">
      <c r="A15" s="1494"/>
      <c r="B15" s="1532"/>
      <c r="C15" s="1530"/>
      <c r="D15" s="1532"/>
      <c r="E15" s="1532"/>
      <c r="F15" s="590"/>
      <c r="G15" s="544"/>
      <c r="H15" s="544"/>
      <c r="I15" s="545"/>
      <c r="J15" s="544"/>
      <c r="K15" s="544"/>
      <c r="L15" s="1526"/>
      <c r="M15" s="1526"/>
      <c r="N15" s="1476"/>
      <c r="O15" s="546"/>
    </row>
    <row r="16" spans="1:16" s="183" customFormat="1" ht="23.25" customHeight="1">
      <c r="A16" s="1494"/>
      <c r="B16" s="1532"/>
      <c r="C16" s="1530"/>
      <c r="D16" s="1532"/>
      <c r="E16" s="1532"/>
      <c r="F16" s="590"/>
      <c r="G16" s="544"/>
      <c r="H16" s="544"/>
      <c r="I16" s="545"/>
      <c r="J16" s="544"/>
      <c r="K16" s="544"/>
      <c r="L16" s="1526"/>
      <c r="M16" s="1526"/>
      <c r="N16" s="1476"/>
      <c r="O16" s="546"/>
    </row>
    <row r="17" spans="1:15" s="183" customFormat="1" ht="23.25" customHeight="1">
      <c r="A17" s="1493"/>
      <c r="B17" s="1293"/>
      <c r="C17" s="1530"/>
      <c r="D17" s="1532"/>
      <c r="E17" s="1532"/>
      <c r="F17" s="590"/>
      <c r="G17" s="544"/>
      <c r="H17" s="544"/>
      <c r="I17" s="545"/>
      <c r="J17" s="544"/>
      <c r="K17" s="544"/>
      <c r="L17" s="1526"/>
      <c r="M17" s="1526"/>
      <c r="N17" s="1476"/>
      <c r="O17" s="546"/>
    </row>
    <row r="18" spans="1:15" s="183" customFormat="1" ht="23.25" customHeight="1">
      <c r="A18" s="1493"/>
      <c r="B18" s="1532"/>
      <c r="C18" s="1530"/>
      <c r="D18" s="1532"/>
      <c r="E18" s="1532"/>
      <c r="F18" s="590"/>
      <c r="G18" s="544"/>
      <c r="H18" s="544"/>
      <c r="I18" s="545"/>
      <c r="J18" s="544"/>
      <c r="K18" s="544"/>
      <c r="L18" s="1526"/>
      <c r="M18" s="1526"/>
      <c r="N18" s="1476"/>
      <c r="O18" s="546"/>
    </row>
    <row r="19" spans="1:15" s="183" customFormat="1" ht="23.25" customHeight="1">
      <c r="A19" s="1493"/>
      <c r="B19" s="1532"/>
      <c r="C19" s="1530"/>
      <c r="D19" s="1532"/>
      <c r="E19" s="1532"/>
      <c r="F19" s="590"/>
      <c r="G19" s="544"/>
      <c r="H19" s="544"/>
      <c r="I19" s="545"/>
      <c r="J19" s="544"/>
      <c r="K19" s="544"/>
      <c r="L19" s="1526"/>
      <c r="M19" s="1526"/>
      <c r="N19" s="1476"/>
      <c r="O19" s="546"/>
    </row>
    <row r="20" spans="1:15" s="183" customFormat="1" ht="23.25" customHeight="1">
      <c r="A20" s="1493"/>
      <c r="B20" s="1532"/>
      <c r="C20" s="1530"/>
      <c r="D20" s="1532"/>
      <c r="E20" s="1532"/>
      <c r="F20" s="590"/>
      <c r="G20" s="544"/>
      <c r="H20" s="544"/>
      <c r="I20" s="545"/>
      <c r="J20" s="544"/>
      <c r="K20" s="544"/>
      <c r="L20" s="1526"/>
      <c r="M20" s="1526"/>
      <c r="N20" s="1476"/>
      <c r="O20" s="546"/>
    </row>
    <row r="21" spans="1:15" s="183" customFormat="1" ht="23.25" customHeight="1">
      <c r="A21" s="1493"/>
      <c r="B21" s="1532"/>
      <c r="C21" s="1530"/>
      <c r="D21" s="1532"/>
      <c r="E21" s="1532"/>
      <c r="F21" s="590"/>
      <c r="G21" s="544"/>
      <c r="H21" s="544"/>
      <c r="I21" s="545"/>
      <c r="J21" s="544"/>
      <c r="K21" s="544"/>
      <c r="L21" s="1526"/>
      <c r="M21" s="1526"/>
      <c r="N21" s="1476"/>
      <c r="O21" s="546"/>
    </row>
    <row r="22" spans="1:15" s="183" customFormat="1" ht="23.25" customHeight="1">
      <c r="A22" s="1493"/>
      <c r="B22" s="1532"/>
      <c r="C22" s="1530"/>
      <c r="D22" s="1532"/>
      <c r="E22" s="1532"/>
      <c r="F22" s="590"/>
      <c r="G22" s="544"/>
      <c r="H22" s="544"/>
      <c r="I22" s="545"/>
      <c r="J22" s="544"/>
      <c r="K22" s="544"/>
      <c r="L22" s="1526"/>
      <c r="M22" s="1526"/>
      <c r="N22" s="1476"/>
      <c r="O22" s="546"/>
    </row>
    <row r="23" spans="1:15" s="183" customFormat="1" ht="23.25" customHeight="1">
      <c r="A23" s="1493"/>
      <c r="B23" s="1532"/>
      <c r="C23" s="1530"/>
      <c r="D23" s="1532"/>
      <c r="E23" s="1532"/>
      <c r="F23" s="590"/>
      <c r="G23" s="544"/>
      <c r="H23" s="544"/>
      <c r="I23" s="545"/>
      <c r="J23" s="544"/>
      <c r="K23" s="544"/>
      <c r="L23" s="1526"/>
      <c r="M23" s="1526"/>
      <c r="N23" s="1476"/>
      <c r="O23" s="546"/>
    </row>
    <row r="24" spans="1:15" s="183" customFormat="1" ht="23.25" customHeight="1">
      <c r="A24" s="1493"/>
      <c r="B24" s="1532"/>
      <c r="C24" s="1530"/>
      <c r="D24" s="1532"/>
      <c r="E24" s="1532"/>
      <c r="F24" s="590"/>
      <c r="G24" s="544"/>
      <c r="H24" s="544"/>
      <c r="I24" s="545"/>
      <c r="J24" s="544"/>
      <c r="K24" s="544"/>
      <c r="L24" s="1526"/>
      <c r="M24" s="1526"/>
      <c r="N24" s="1476"/>
      <c r="O24" s="546"/>
    </row>
    <row r="25" spans="1:15" s="183" customFormat="1" ht="23.25" customHeight="1">
      <c r="A25" s="1493"/>
      <c r="B25" s="1532"/>
      <c r="C25" s="1530"/>
      <c r="D25" s="1532"/>
      <c r="E25" s="1532"/>
      <c r="F25" s="590"/>
      <c r="G25" s="544"/>
      <c r="H25" s="544"/>
      <c r="I25" s="545"/>
      <c r="J25" s="544"/>
      <c r="K25" s="544"/>
      <c r="L25" s="1526"/>
      <c r="M25" s="1526"/>
      <c r="N25" s="1476"/>
      <c r="O25" s="546"/>
    </row>
    <row r="26" spans="1:15" s="183" customFormat="1" ht="23.25" customHeight="1">
      <c r="A26" s="1493"/>
      <c r="B26" s="1532"/>
      <c r="C26" s="1530"/>
      <c r="D26" s="1532"/>
      <c r="E26" s="1532"/>
      <c r="F26" s="590"/>
      <c r="G26" s="544"/>
      <c r="H26" s="544"/>
      <c r="I26" s="545"/>
      <c r="J26" s="544"/>
      <c r="K26" s="544"/>
      <c r="L26" s="1526"/>
      <c r="M26" s="1526"/>
      <c r="N26" s="1476"/>
      <c r="O26" s="546"/>
    </row>
    <row r="27" spans="1:15" s="183" customFormat="1" ht="23.25" customHeight="1">
      <c r="A27" s="1493"/>
      <c r="B27" s="1532"/>
      <c r="C27" s="1530"/>
      <c r="D27" s="1532"/>
      <c r="E27" s="1532"/>
      <c r="F27" s="590"/>
      <c r="G27" s="544"/>
      <c r="H27" s="544"/>
      <c r="I27" s="545"/>
      <c r="J27" s="544"/>
      <c r="K27" s="544"/>
      <c r="L27" s="1526"/>
      <c r="M27" s="1526"/>
      <c r="N27" s="1476"/>
      <c r="O27" s="546"/>
    </row>
    <row r="28" spans="1:15" s="183" customFormat="1" ht="23.25" customHeight="1">
      <c r="A28" s="1493"/>
      <c r="B28" s="1532"/>
      <c r="C28" s="1530"/>
      <c r="D28" s="1532"/>
      <c r="E28" s="1532"/>
      <c r="F28" s="590"/>
      <c r="G28" s="544"/>
      <c r="H28" s="544"/>
      <c r="I28" s="545"/>
      <c r="J28" s="544"/>
      <c r="K28" s="544"/>
      <c r="L28" s="1526"/>
      <c r="M28" s="1526"/>
      <c r="N28" s="1476"/>
      <c r="O28" s="546"/>
    </row>
    <row r="29" spans="1:15" s="183" customFormat="1" ht="23.25" customHeight="1">
      <c r="A29" s="1493"/>
      <c r="B29" s="1532"/>
      <c r="C29" s="1530"/>
      <c r="D29" s="1532"/>
      <c r="E29" s="1532"/>
      <c r="F29" s="590"/>
      <c r="G29" s="544"/>
      <c r="H29" s="544"/>
      <c r="I29" s="545"/>
      <c r="J29" s="544"/>
      <c r="K29" s="544"/>
      <c r="L29" s="1526"/>
      <c r="M29" s="1526"/>
      <c r="N29" s="1476"/>
      <c r="O29" s="546"/>
    </row>
    <row r="30" spans="1:15" s="183" customFormat="1" ht="23.25" customHeight="1">
      <c r="A30" s="1493"/>
      <c r="B30" s="1532"/>
      <c r="C30" s="1530"/>
      <c r="D30" s="1532"/>
      <c r="E30" s="1532"/>
      <c r="F30" s="590"/>
      <c r="G30" s="544"/>
      <c r="H30" s="544"/>
      <c r="I30" s="545"/>
      <c r="J30" s="544"/>
      <c r="K30" s="544"/>
      <c r="L30" s="1526"/>
      <c r="M30" s="1526"/>
      <c r="N30" s="1476"/>
      <c r="O30" s="546"/>
    </row>
    <row r="31" spans="1:15" s="183" customFormat="1" ht="23.25" customHeight="1">
      <c r="A31" s="1493"/>
      <c r="B31" s="1532"/>
      <c r="C31" s="1530"/>
      <c r="D31" s="1532"/>
      <c r="E31" s="1532"/>
      <c r="F31" s="590"/>
      <c r="G31" s="544"/>
      <c r="H31" s="544"/>
      <c r="I31" s="545"/>
      <c r="J31" s="544"/>
      <c r="K31" s="544"/>
      <c r="L31" s="1526"/>
      <c r="M31" s="1526"/>
      <c r="N31" s="1476"/>
      <c r="O31" s="546"/>
    </row>
    <row r="32" spans="1:15" s="183" customFormat="1" ht="23.25" customHeight="1">
      <c r="A32" s="1493"/>
      <c r="B32" s="1532"/>
      <c r="C32" s="1530"/>
      <c r="D32" s="1532"/>
      <c r="E32" s="1532"/>
      <c r="F32" s="590"/>
      <c r="G32" s="544"/>
      <c r="H32" s="544"/>
      <c r="I32" s="545"/>
      <c r="J32" s="544"/>
      <c r="K32" s="544"/>
      <c r="L32" s="1526"/>
      <c r="M32" s="1526"/>
      <c r="N32" s="1476"/>
      <c r="O32" s="546"/>
    </row>
    <row r="33" spans="1:15" s="183" customFormat="1" ht="23.25" customHeight="1">
      <c r="A33" s="1493"/>
      <c r="B33" s="1532"/>
      <c r="C33" s="1530"/>
      <c r="D33" s="1532"/>
      <c r="E33" s="1532"/>
      <c r="F33" s="590"/>
      <c r="G33" s="544"/>
      <c r="H33" s="544"/>
      <c r="I33" s="545"/>
      <c r="J33" s="544"/>
      <c r="K33" s="544"/>
      <c r="L33" s="1526"/>
      <c r="M33" s="1526"/>
      <c r="N33" s="1476"/>
      <c r="O33" s="546"/>
    </row>
    <row r="34" spans="1:15" s="183" customFormat="1" ht="23.25" customHeight="1">
      <c r="A34" s="1493"/>
      <c r="B34" s="1532"/>
      <c r="C34" s="1530"/>
      <c r="D34" s="1532"/>
      <c r="E34" s="1532"/>
      <c r="F34" s="590"/>
      <c r="G34" s="544"/>
      <c r="H34" s="544"/>
      <c r="I34" s="545"/>
      <c r="J34" s="544"/>
      <c r="K34" s="544"/>
      <c r="L34" s="1526"/>
      <c r="M34" s="1526"/>
      <c r="N34" s="1476"/>
      <c r="O34" s="546"/>
    </row>
    <row r="35" spans="1:15" s="183" customFormat="1" ht="23.25" customHeight="1">
      <c r="A35" s="1493"/>
      <c r="B35" s="1532"/>
      <c r="C35" s="1530"/>
      <c r="D35" s="1532"/>
      <c r="E35" s="1532"/>
      <c r="F35" s="590"/>
      <c r="G35" s="544"/>
      <c r="H35" s="544"/>
      <c r="I35" s="545"/>
      <c r="J35" s="544"/>
      <c r="K35" s="544"/>
      <c r="L35" s="1526"/>
      <c r="M35" s="1526"/>
      <c r="N35" s="1476"/>
      <c r="O35" s="546"/>
    </row>
    <row r="36" spans="1:15" s="183" customFormat="1" ht="23.25" customHeight="1">
      <c r="A36" s="1493"/>
      <c r="B36" s="1532"/>
      <c r="C36" s="1530"/>
      <c r="D36" s="1532"/>
      <c r="E36" s="1532"/>
      <c r="F36" s="590"/>
      <c r="G36" s="544"/>
      <c r="H36" s="544"/>
      <c r="I36" s="545"/>
      <c r="J36" s="544"/>
      <c r="K36" s="544"/>
      <c r="L36" s="1526"/>
      <c r="M36" s="1526"/>
      <c r="N36" s="1476"/>
      <c r="O36" s="546"/>
    </row>
    <row r="37" spans="1:15" s="183" customFormat="1" ht="23.25" customHeight="1">
      <c r="A37" s="1493"/>
      <c r="B37" s="1532"/>
      <c r="C37" s="1530"/>
      <c r="D37" s="1532"/>
      <c r="E37" s="1532"/>
      <c r="F37" s="590"/>
      <c r="G37" s="544"/>
      <c r="H37" s="544"/>
      <c r="I37" s="545"/>
      <c r="J37" s="544"/>
      <c r="K37" s="544"/>
      <c r="L37" s="1526"/>
      <c r="M37" s="1526"/>
      <c r="N37" s="1476"/>
      <c r="O37" s="546"/>
    </row>
    <row r="38" spans="1:15" s="183" customFormat="1" ht="23.25" customHeight="1">
      <c r="A38" s="1493"/>
      <c r="B38" s="1532"/>
      <c r="C38" s="1530"/>
      <c r="D38" s="1532"/>
      <c r="E38" s="1532"/>
      <c r="F38" s="590"/>
      <c r="G38" s="544"/>
      <c r="H38" s="544"/>
      <c r="I38" s="545"/>
      <c r="J38" s="544"/>
      <c r="K38" s="544"/>
      <c r="L38" s="1526"/>
      <c r="M38" s="1526"/>
      <c r="N38" s="1476"/>
      <c r="O38" s="546"/>
    </row>
    <row r="39" spans="1:15" s="183" customFormat="1" ht="23.25" customHeight="1">
      <c r="A39" s="1493"/>
      <c r="B39" s="1532"/>
      <c r="C39" s="1530"/>
      <c r="D39" s="1532"/>
      <c r="E39" s="1532"/>
      <c r="F39" s="590"/>
      <c r="G39" s="544"/>
      <c r="H39" s="544"/>
      <c r="I39" s="545"/>
      <c r="J39" s="544"/>
      <c r="K39" s="544"/>
      <c r="L39" s="1526"/>
      <c r="M39" s="1526"/>
      <c r="N39" s="1476"/>
      <c r="O39" s="546"/>
    </row>
    <row r="40" spans="1:15" s="183" customFormat="1" ht="23.25" customHeight="1">
      <c r="A40" s="1493"/>
      <c r="B40" s="1532"/>
      <c r="C40" s="1530"/>
      <c r="D40" s="1532"/>
      <c r="E40" s="1532"/>
      <c r="F40" s="590"/>
      <c r="G40" s="544"/>
      <c r="H40" s="544"/>
      <c r="I40" s="545"/>
      <c r="J40" s="544"/>
      <c r="K40" s="544"/>
      <c r="L40" s="1526"/>
      <c r="M40" s="1526"/>
      <c r="N40" s="1476"/>
      <c r="O40" s="546"/>
    </row>
    <row r="41" spans="1:15" s="183" customFormat="1" ht="23.25" customHeight="1">
      <c r="A41" s="1493"/>
      <c r="B41" s="1532"/>
      <c r="C41" s="1530"/>
      <c r="D41" s="1532"/>
      <c r="E41" s="1532"/>
      <c r="F41" s="590"/>
      <c r="G41" s="544"/>
      <c r="H41" s="544"/>
      <c r="I41" s="545"/>
      <c r="J41" s="544"/>
      <c r="K41" s="544"/>
      <c r="L41" s="1526"/>
      <c r="M41" s="1526"/>
      <c r="N41" s="1476"/>
      <c r="O41" s="546"/>
    </row>
    <row r="42" spans="1:15" s="183" customFormat="1" ht="23.25" customHeight="1">
      <c r="A42" s="1493"/>
      <c r="B42" s="1532"/>
      <c r="C42" s="1530"/>
      <c r="D42" s="1532"/>
      <c r="E42" s="1532"/>
      <c r="F42" s="590"/>
      <c r="G42" s="544"/>
      <c r="H42" s="544"/>
      <c r="I42" s="545"/>
      <c r="J42" s="544"/>
      <c r="K42" s="544"/>
      <c r="L42" s="1526"/>
      <c r="M42" s="1526"/>
      <c r="N42" s="1476"/>
      <c r="O42" s="546"/>
    </row>
    <row r="43" spans="1:15" s="183" customFormat="1" ht="23.25" customHeight="1">
      <c r="A43" s="1493"/>
      <c r="B43" s="1532"/>
      <c r="C43" s="1530"/>
      <c r="D43" s="1532"/>
      <c r="E43" s="1532"/>
      <c r="F43" s="590"/>
      <c r="G43" s="544"/>
      <c r="H43" s="544"/>
      <c r="I43" s="545"/>
      <c r="J43" s="544"/>
      <c r="K43" s="544"/>
      <c r="L43" s="1526"/>
      <c r="M43" s="1526"/>
      <c r="N43" s="1476"/>
      <c r="O43" s="546"/>
    </row>
    <row r="44" spans="1:15" s="183" customFormat="1" ht="23.25" customHeight="1">
      <c r="A44" s="1493"/>
      <c r="B44" s="1532"/>
      <c r="C44" s="1530"/>
      <c r="D44" s="1532"/>
      <c r="E44" s="1532"/>
      <c r="F44" s="590"/>
      <c r="G44" s="544"/>
      <c r="H44" s="544"/>
      <c r="I44" s="545"/>
      <c r="J44" s="544"/>
      <c r="K44" s="544"/>
      <c r="L44" s="1526"/>
      <c r="M44" s="1526"/>
      <c r="N44" s="1476"/>
      <c r="O44" s="546"/>
    </row>
    <row r="45" spans="1:15" s="183" customFormat="1" ht="23.25" customHeight="1">
      <c r="A45" s="1493"/>
      <c r="B45" s="1532"/>
      <c r="C45" s="1530"/>
      <c r="D45" s="1532"/>
      <c r="E45" s="1532"/>
      <c r="F45" s="590"/>
      <c r="G45" s="544"/>
      <c r="H45" s="544"/>
      <c r="I45" s="545"/>
      <c r="J45" s="544"/>
      <c r="K45" s="544"/>
      <c r="L45" s="1526"/>
      <c r="M45" s="1526"/>
      <c r="N45" s="1476"/>
      <c r="O45" s="546"/>
    </row>
    <row r="46" spans="1:15" s="183" customFormat="1" ht="23.25" customHeight="1">
      <c r="A46" s="1493"/>
      <c r="B46" s="1532"/>
      <c r="C46" s="1530"/>
      <c r="D46" s="1532"/>
      <c r="E46" s="1532"/>
      <c r="F46" s="590"/>
      <c r="G46" s="544"/>
      <c r="H46" s="544"/>
      <c r="I46" s="545"/>
      <c r="J46" s="544"/>
      <c r="K46" s="544"/>
      <c r="L46" s="1526"/>
      <c r="M46" s="1526"/>
      <c r="N46" s="1476"/>
      <c r="O46" s="546"/>
    </row>
    <row r="47" spans="1:15" s="183" customFormat="1" ht="23.25" customHeight="1">
      <c r="A47" s="1493"/>
      <c r="B47" s="1532"/>
      <c r="C47" s="1530"/>
      <c r="D47" s="1532"/>
      <c r="E47" s="1532"/>
      <c r="F47" s="590"/>
      <c r="G47" s="544"/>
      <c r="H47" s="544"/>
      <c r="I47" s="545"/>
      <c r="J47" s="544"/>
      <c r="K47" s="544"/>
      <c r="L47" s="1526"/>
      <c r="M47" s="1526"/>
      <c r="N47" s="1476"/>
      <c r="O47" s="546"/>
    </row>
    <row r="48" spans="1:15" s="183" customFormat="1" ht="23.25" customHeight="1">
      <c r="A48" s="1493"/>
      <c r="B48" s="1532"/>
      <c r="C48" s="1530"/>
      <c r="D48" s="1532"/>
      <c r="E48" s="1532"/>
      <c r="F48" s="590"/>
      <c r="G48" s="544"/>
      <c r="H48" s="544"/>
      <c r="I48" s="545"/>
      <c r="J48" s="544"/>
      <c r="K48" s="544"/>
      <c r="L48" s="1526"/>
      <c r="M48" s="1526"/>
      <c r="N48" s="1476"/>
      <c r="O48" s="546"/>
    </row>
    <row r="49" spans="1:15" s="183" customFormat="1" ht="23.25" customHeight="1">
      <c r="A49" s="1493"/>
      <c r="B49" s="1532"/>
      <c r="C49" s="1530"/>
      <c r="D49" s="1532"/>
      <c r="E49" s="1532"/>
      <c r="F49" s="590"/>
      <c r="G49" s="544"/>
      <c r="H49" s="544"/>
      <c r="I49" s="545"/>
      <c r="J49" s="544"/>
      <c r="K49" s="544"/>
      <c r="L49" s="1526"/>
      <c r="M49" s="1526"/>
      <c r="N49" s="1476"/>
      <c r="O49" s="546"/>
    </row>
    <row r="50" spans="1:15" s="183" customFormat="1" ht="23.25" customHeight="1">
      <c r="A50" s="1493"/>
      <c r="B50" s="1532"/>
      <c r="C50" s="1530"/>
      <c r="D50" s="1532"/>
      <c r="E50" s="1532"/>
      <c r="F50" s="590"/>
      <c r="G50" s="544"/>
      <c r="H50" s="544"/>
      <c r="I50" s="545"/>
      <c r="J50" s="544"/>
      <c r="K50" s="544"/>
      <c r="L50" s="1526"/>
      <c r="M50" s="1526"/>
      <c r="N50" s="1476"/>
      <c r="O50" s="546"/>
    </row>
    <row r="51" spans="1:15" s="183" customFormat="1" ht="23.25" customHeight="1">
      <c r="A51" s="1493"/>
      <c r="B51" s="1532"/>
      <c r="C51" s="1530"/>
      <c r="D51" s="1532"/>
      <c r="E51" s="1532"/>
      <c r="F51" s="590"/>
      <c r="G51" s="544"/>
      <c r="H51" s="544"/>
      <c r="I51" s="545"/>
      <c r="J51" s="544"/>
      <c r="K51" s="544"/>
      <c r="L51" s="1526"/>
      <c r="M51" s="1526"/>
      <c r="N51" s="1476"/>
      <c r="O51" s="546"/>
    </row>
    <row r="52" spans="1:15" s="183" customFormat="1" ht="23.25" customHeight="1">
      <c r="A52" s="1493"/>
      <c r="B52" s="1532"/>
      <c r="C52" s="1530"/>
      <c r="D52" s="1532"/>
      <c r="E52" s="1532"/>
      <c r="F52" s="590"/>
      <c r="G52" s="544"/>
      <c r="H52" s="544"/>
      <c r="I52" s="545"/>
      <c r="J52" s="544"/>
      <c r="K52" s="544"/>
      <c r="L52" s="1526"/>
      <c r="M52" s="1526"/>
      <c r="N52" s="1476"/>
      <c r="O52" s="546"/>
    </row>
    <row r="53" spans="1:15" s="183" customFormat="1" ht="23.25" customHeight="1">
      <c r="A53" s="1493"/>
      <c r="B53" s="1532"/>
      <c r="C53" s="1530"/>
      <c r="D53" s="1532"/>
      <c r="E53" s="1532"/>
      <c r="F53" s="590"/>
      <c r="G53" s="544"/>
      <c r="H53" s="544"/>
      <c r="I53" s="545"/>
      <c r="J53" s="544"/>
      <c r="K53" s="544"/>
      <c r="L53" s="1526"/>
      <c r="M53" s="1526"/>
      <c r="N53" s="1476"/>
      <c r="O53" s="546"/>
    </row>
    <row r="54" spans="1:15" s="183" customFormat="1" ht="23.25" customHeight="1">
      <c r="A54" s="1493"/>
      <c r="B54" s="1532"/>
      <c r="C54" s="1530"/>
      <c r="D54" s="1532"/>
      <c r="E54" s="1532"/>
      <c r="F54" s="590"/>
      <c r="G54" s="544"/>
      <c r="H54" s="544"/>
      <c r="I54" s="545"/>
      <c r="J54" s="544"/>
      <c r="K54" s="544"/>
      <c r="L54" s="1526"/>
      <c r="M54" s="1526"/>
      <c r="N54" s="1476"/>
      <c r="O54" s="546"/>
    </row>
    <row r="55" spans="1:15" s="183" customFormat="1" ht="23.25" customHeight="1">
      <c r="A55" s="1493"/>
      <c r="B55" s="1532"/>
      <c r="C55" s="1530"/>
      <c r="D55" s="1532"/>
      <c r="E55" s="1532"/>
      <c r="F55" s="590"/>
      <c r="G55" s="544"/>
      <c r="H55" s="544"/>
      <c r="I55" s="545"/>
      <c r="J55" s="544"/>
      <c r="K55" s="544"/>
      <c r="L55" s="1526"/>
      <c r="M55" s="1526"/>
      <c r="N55" s="1476"/>
      <c r="O55" s="546"/>
    </row>
    <row r="56" spans="1:15" s="183" customFormat="1" ht="23.25" customHeight="1">
      <c r="A56" s="1493"/>
      <c r="B56" s="1532"/>
      <c r="C56" s="1530"/>
      <c r="D56" s="1532"/>
      <c r="E56" s="1532"/>
      <c r="F56" s="590"/>
      <c r="G56" s="544"/>
      <c r="H56" s="544"/>
      <c r="I56" s="545"/>
      <c r="J56" s="544"/>
      <c r="K56" s="544"/>
      <c r="L56" s="1526"/>
      <c r="M56" s="1526"/>
      <c r="N56" s="1476"/>
      <c r="O56" s="546"/>
    </row>
    <row r="57" spans="1:15" s="183" customFormat="1" ht="23.25" customHeight="1">
      <c r="A57" s="1493"/>
      <c r="B57" s="1532"/>
      <c r="C57" s="1530"/>
      <c r="D57" s="1532"/>
      <c r="E57" s="1532"/>
      <c r="F57" s="590"/>
      <c r="G57" s="544"/>
      <c r="H57" s="544"/>
      <c r="I57" s="545"/>
      <c r="J57" s="544"/>
      <c r="K57" s="544"/>
      <c r="L57" s="1526"/>
      <c r="M57" s="1526"/>
      <c r="N57" s="1476"/>
      <c r="O57" s="546"/>
    </row>
    <row r="58" spans="1:15" s="183" customFormat="1" ht="23.25" customHeight="1">
      <c r="A58" s="1493"/>
      <c r="B58" s="1532"/>
      <c r="C58" s="1530"/>
      <c r="D58" s="1532"/>
      <c r="E58" s="1532"/>
      <c r="F58" s="590"/>
      <c r="G58" s="544"/>
      <c r="H58" s="544"/>
      <c r="I58" s="545"/>
      <c r="J58" s="544"/>
      <c r="K58" s="544"/>
      <c r="L58" s="1526"/>
      <c r="M58" s="1526"/>
      <c r="N58" s="1476"/>
      <c r="O58" s="546"/>
    </row>
    <row r="59" spans="1:15" s="183" customFormat="1" ht="23.25" customHeight="1">
      <c r="A59" s="1493"/>
      <c r="B59" s="1532"/>
      <c r="C59" s="1530"/>
      <c r="D59" s="1532"/>
      <c r="E59" s="1532"/>
      <c r="F59" s="590"/>
      <c r="G59" s="544"/>
      <c r="H59" s="544"/>
      <c r="I59" s="545"/>
      <c r="J59" s="544"/>
      <c r="K59" s="544"/>
      <c r="L59" s="1526"/>
      <c r="M59" s="1526"/>
      <c r="N59" s="1476"/>
      <c r="O59" s="546"/>
    </row>
    <row r="60" spans="1:15" s="183" customFormat="1" ht="23.25" customHeight="1">
      <c r="A60" s="1493"/>
      <c r="B60" s="1532"/>
      <c r="C60" s="1530"/>
      <c r="D60" s="1532"/>
      <c r="E60" s="1532"/>
      <c r="F60" s="590"/>
      <c r="G60" s="544"/>
      <c r="H60" s="544"/>
      <c r="I60" s="545"/>
      <c r="J60" s="544"/>
      <c r="K60" s="544"/>
      <c r="L60" s="1526"/>
      <c r="M60" s="1526"/>
      <c r="N60" s="1476"/>
      <c r="O60" s="546"/>
    </row>
    <row r="61" spans="1:15" s="183" customFormat="1" ht="23.25" customHeight="1">
      <c r="A61" s="1493"/>
      <c r="B61" s="1532"/>
      <c r="C61" s="1530"/>
      <c r="D61" s="1532"/>
      <c r="E61" s="1532"/>
      <c r="F61" s="590"/>
      <c r="G61" s="544"/>
      <c r="H61" s="544"/>
      <c r="I61" s="545"/>
      <c r="J61" s="544"/>
      <c r="K61" s="544"/>
      <c r="L61" s="1526"/>
      <c r="M61" s="1526"/>
      <c r="N61" s="1476"/>
      <c r="O61" s="546"/>
    </row>
    <row r="62" spans="1:15" s="183" customFormat="1" ht="23.25" customHeight="1">
      <c r="A62" s="1493"/>
      <c r="B62" s="1532"/>
      <c r="C62" s="1530"/>
      <c r="D62" s="1532"/>
      <c r="E62" s="1532"/>
      <c r="F62" s="590"/>
      <c r="G62" s="544"/>
      <c r="H62" s="544"/>
      <c r="I62" s="545"/>
      <c r="J62" s="544"/>
      <c r="K62" s="544"/>
      <c r="L62" s="1526"/>
      <c r="M62" s="1526"/>
      <c r="N62" s="1476"/>
      <c r="O62" s="546"/>
    </row>
    <row r="63" spans="1:15" s="183" customFormat="1" ht="23.25" customHeight="1">
      <c r="A63" s="1493"/>
      <c r="B63" s="1532"/>
      <c r="C63" s="1530"/>
      <c r="D63" s="1532"/>
      <c r="E63" s="1532"/>
      <c r="F63" s="590"/>
      <c r="G63" s="544"/>
      <c r="H63" s="544"/>
      <c r="I63" s="545"/>
      <c r="J63" s="544"/>
      <c r="K63" s="544"/>
      <c r="L63" s="1526"/>
      <c r="M63" s="1526"/>
      <c r="N63" s="1476"/>
      <c r="O63" s="546"/>
    </row>
    <row r="64" spans="1:15" s="183" customFormat="1" ht="23.25" customHeight="1">
      <c r="A64" s="1493"/>
      <c r="B64" s="1532"/>
      <c r="C64" s="1530"/>
      <c r="D64" s="1532"/>
      <c r="E64" s="1532"/>
      <c r="F64" s="590"/>
      <c r="G64" s="544"/>
      <c r="H64" s="544"/>
      <c r="I64" s="545"/>
      <c r="J64" s="544"/>
      <c r="K64" s="544"/>
      <c r="L64" s="1526"/>
      <c r="M64" s="1526"/>
      <c r="N64" s="1476"/>
      <c r="O64" s="546"/>
    </row>
    <row r="65" spans="1:15" s="183" customFormat="1" ht="23.25" customHeight="1">
      <c r="A65" s="1493"/>
      <c r="B65" s="1532"/>
      <c r="C65" s="1530"/>
      <c r="D65" s="1532"/>
      <c r="E65" s="1532"/>
      <c r="F65" s="590"/>
      <c r="G65" s="544"/>
      <c r="H65" s="544"/>
      <c r="I65" s="545"/>
      <c r="J65" s="544"/>
      <c r="K65" s="544"/>
      <c r="L65" s="1526"/>
      <c r="M65" s="1526"/>
      <c r="N65" s="1476"/>
      <c r="O65" s="546"/>
    </row>
    <row r="66" spans="1:15" s="183" customFormat="1" ht="23.25" customHeight="1">
      <c r="A66" s="1493"/>
      <c r="B66" s="1532"/>
      <c r="C66" s="1530"/>
      <c r="D66" s="1532"/>
      <c r="E66" s="1532"/>
      <c r="F66" s="590"/>
      <c r="G66" s="544"/>
      <c r="H66" s="544"/>
      <c r="I66" s="545"/>
      <c r="J66" s="544"/>
      <c r="K66" s="544"/>
      <c r="L66" s="1526"/>
      <c r="M66" s="1526"/>
      <c r="N66" s="1476"/>
      <c r="O66" s="546"/>
    </row>
    <row r="67" spans="1:15" s="183" customFormat="1" ht="23.25" customHeight="1">
      <c r="A67" s="1493"/>
      <c r="B67" s="1532"/>
      <c r="C67" s="1530"/>
      <c r="D67" s="1532"/>
      <c r="E67" s="1532"/>
      <c r="F67" s="590"/>
      <c r="G67" s="544"/>
      <c r="H67" s="544"/>
      <c r="I67" s="545"/>
      <c r="J67" s="544"/>
      <c r="K67" s="544"/>
      <c r="L67" s="1526"/>
      <c r="M67" s="1526"/>
      <c r="N67" s="1476"/>
      <c r="O67" s="546"/>
    </row>
    <row r="68" spans="1:15" s="183" customFormat="1" ht="23.25" customHeight="1">
      <c r="A68" s="1493"/>
      <c r="B68" s="1532"/>
      <c r="C68" s="1530"/>
      <c r="D68" s="1532"/>
      <c r="E68" s="1532"/>
      <c r="F68" s="590"/>
      <c r="G68" s="544"/>
      <c r="H68" s="544"/>
      <c r="I68" s="545"/>
      <c r="J68" s="544"/>
      <c r="K68" s="544"/>
      <c r="L68" s="1526"/>
      <c r="M68" s="1526"/>
      <c r="N68" s="1476"/>
      <c r="O68" s="546"/>
    </row>
    <row r="69" spans="1:15" s="183" customFormat="1" ht="23.25" customHeight="1">
      <c r="A69" s="1493"/>
      <c r="B69" s="1532"/>
      <c r="C69" s="1530"/>
      <c r="D69" s="1532"/>
      <c r="E69" s="1532"/>
      <c r="F69" s="590"/>
      <c r="G69" s="544"/>
      <c r="H69" s="544"/>
      <c r="I69" s="545"/>
      <c r="J69" s="544"/>
      <c r="K69" s="544"/>
      <c r="L69" s="1526"/>
      <c r="M69" s="1526"/>
      <c r="N69" s="1476"/>
      <c r="O69" s="546"/>
    </row>
    <row r="70" spans="1:15" s="183" customFormat="1" ht="23.25" customHeight="1">
      <c r="A70" s="1493"/>
      <c r="B70" s="1532"/>
      <c r="C70" s="1530"/>
      <c r="D70" s="1532"/>
      <c r="E70" s="1532"/>
      <c r="F70" s="590"/>
      <c r="G70" s="544"/>
      <c r="H70" s="544"/>
      <c r="I70" s="545"/>
      <c r="J70" s="544"/>
      <c r="K70" s="544"/>
      <c r="L70" s="1526"/>
      <c r="M70" s="1526"/>
      <c r="N70" s="1476"/>
      <c r="O70" s="546"/>
    </row>
    <row r="71" spans="1:15" s="183" customFormat="1" ht="23.25" customHeight="1">
      <c r="A71" s="1493"/>
      <c r="B71" s="1532"/>
      <c r="C71" s="1530"/>
      <c r="D71" s="1532"/>
      <c r="E71" s="1532"/>
      <c r="F71" s="590"/>
      <c r="G71" s="544"/>
      <c r="H71" s="544"/>
      <c r="I71" s="545"/>
      <c r="J71" s="544"/>
      <c r="K71" s="544"/>
      <c r="L71" s="1526"/>
      <c r="M71" s="1526"/>
      <c r="N71" s="1476"/>
      <c r="O71" s="546"/>
    </row>
    <row r="72" spans="1:15" s="183" customFormat="1" ht="23.25" customHeight="1">
      <c r="A72" s="1493"/>
      <c r="B72" s="1532"/>
      <c r="C72" s="1530"/>
      <c r="D72" s="1532"/>
      <c r="E72" s="1532"/>
      <c r="F72" s="590"/>
      <c r="G72" s="544"/>
      <c r="H72" s="544"/>
      <c r="I72" s="545"/>
      <c r="J72" s="544"/>
      <c r="K72" s="544"/>
      <c r="L72" s="1526"/>
      <c r="M72" s="1526"/>
      <c r="N72" s="1476"/>
      <c r="O72" s="546"/>
    </row>
    <row r="73" spans="1:15" s="183" customFormat="1" ht="23.25" customHeight="1">
      <c r="A73" s="1493"/>
      <c r="B73" s="1532"/>
      <c r="C73" s="1530"/>
      <c r="D73" s="1532"/>
      <c r="E73" s="1532"/>
      <c r="F73" s="590"/>
      <c r="G73" s="544"/>
      <c r="H73" s="544"/>
      <c r="I73" s="545"/>
      <c r="J73" s="544"/>
      <c r="K73" s="544"/>
      <c r="L73" s="1526"/>
      <c r="M73" s="1526"/>
      <c r="N73" s="1476"/>
      <c r="O73" s="546"/>
    </row>
    <row r="74" spans="1:15" s="183" customFormat="1" ht="23.25" customHeight="1">
      <c r="A74" s="1493"/>
      <c r="B74" s="1532"/>
      <c r="C74" s="1530"/>
      <c r="D74" s="1532"/>
      <c r="E74" s="1532"/>
      <c r="F74" s="590"/>
      <c r="G74" s="544"/>
      <c r="H74" s="544"/>
      <c r="I74" s="545"/>
      <c r="J74" s="544"/>
      <c r="K74" s="544"/>
      <c r="L74" s="1526"/>
      <c r="M74" s="1526"/>
      <c r="N74" s="1476"/>
      <c r="O74" s="546"/>
    </row>
    <row r="75" spans="1:15" s="183" customFormat="1" ht="23.25" customHeight="1">
      <c r="A75" s="1493"/>
      <c r="B75" s="1532"/>
      <c r="C75" s="1530"/>
      <c r="D75" s="1532"/>
      <c r="E75" s="1532"/>
      <c r="F75" s="590"/>
      <c r="G75" s="544"/>
      <c r="H75" s="544"/>
      <c r="I75" s="545"/>
      <c r="J75" s="544"/>
      <c r="K75" s="544"/>
      <c r="L75" s="1526"/>
      <c r="M75" s="1526"/>
      <c r="N75" s="1476"/>
      <c r="O75" s="546"/>
    </row>
    <row r="76" spans="1:15" s="183" customFormat="1" ht="23.25" customHeight="1">
      <c r="A76" s="1493"/>
      <c r="B76" s="1532"/>
      <c r="C76" s="1530"/>
      <c r="D76" s="1532"/>
      <c r="E76" s="1532"/>
      <c r="F76" s="590"/>
      <c r="G76" s="544"/>
      <c r="H76" s="544"/>
      <c r="I76" s="545"/>
      <c r="J76" s="544"/>
      <c r="K76" s="544"/>
      <c r="L76" s="1526"/>
      <c r="M76" s="1526"/>
      <c r="N76" s="1476"/>
      <c r="O76" s="546"/>
    </row>
    <row r="77" spans="1:15" s="183" customFormat="1" ht="23.25" customHeight="1">
      <c r="A77" s="1493"/>
      <c r="B77" s="1532"/>
      <c r="C77" s="1530"/>
      <c r="D77" s="1532"/>
      <c r="E77" s="1532"/>
      <c r="F77" s="590"/>
      <c r="G77" s="544"/>
      <c r="H77" s="544"/>
      <c r="I77" s="545"/>
      <c r="J77" s="544"/>
      <c r="K77" s="544"/>
      <c r="L77" s="1526"/>
      <c r="M77" s="1526"/>
      <c r="N77" s="1476"/>
      <c r="O77" s="546"/>
    </row>
    <row r="78" spans="1:15" s="183" customFormat="1" ht="23.25" customHeight="1">
      <c r="A78" s="1493"/>
      <c r="B78" s="1532"/>
      <c r="C78" s="1530"/>
      <c r="D78" s="1532"/>
      <c r="E78" s="1532"/>
      <c r="F78" s="590"/>
      <c r="G78" s="544"/>
      <c r="H78" s="544"/>
      <c r="I78" s="545"/>
      <c r="J78" s="544"/>
      <c r="K78" s="544"/>
      <c r="L78" s="1526"/>
      <c r="M78" s="1526"/>
      <c r="N78" s="1476"/>
      <c r="O78" s="546"/>
    </row>
    <row r="79" spans="1:15" s="183" customFormat="1" ht="23.25" customHeight="1">
      <c r="A79" s="1493"/>
      <c r="B79" s="1532"/>
      <c r="C79" s="1530"/>
      <c r="D79" s="1532"/>
      <c r="E79" s="1532"/>
      <c r="F79" s="590"/>
      <c r="G79" s="544"/>
      <c r="H79" s="544"/>
      <c r="I79" s="545"/>
      <c r="J79" s="544"/>
      <c r="K79" s="544"/>
      <c r="L79" s="1526"/>
      <c r="M79" s="1526"/>
      <c r="N79" s="1476"/>
      <c r="O79" s="546"/>
    </row>
    <row r="80" spans="1:15" s="183" customFormat="1" ht="23.25" customHeight="1">
      <c r="A80" s="1493"/>
      <c r="B80" s="1532"/>
      <c r="C80" s="1530"/>
      <c r="D80" s="1532"/>
      <c r="E80" s="1532"/>
      <c r="F80" s="590"/>
      <c r="G80" s="544"/>
      <c r="H80" s="544"/>
      <c r="I80" s="545"/>
      <c r="J80" s="544"/>
      <c r="K80" s="544"/>
      <c r="L80" s="1526"/>
      <c r="M80" s="1526"/>
      <c r="N80" s="1476"/>
      <c r="O80" s="546"/>
    </row>
    <row r="81" spans="1:15" s="183" customFormat="1" ht="23.25" customHeight="1">
      <c r="A81" s="1493"/>
      <c r="B81" s="1532"/>
      <c r="C81" s="1530"/>
      <c r="D81" s="1532"/>
      <c r="E81" s="1532"/>
      <c r="F81" s="590"/>
      <c r="G81" s="544"/>
      <c r="H81" s="544"/>
      <c r="I81" s="545"/>
      <c r="J81" s="544"/>
      <c r="K81" s="544"/>
      <c r="L81" s="1526"/>
      <c r="M81" s="1526"/>
      <c r="N81" s="1476"/>
      <c r="O81" s="546"/>
    </row>
    <row r="82" spans="1:15" s="183" customFormat="1" ht="23.25" customHeight="1">
      <c r="A82" s="1493"/>
      <c r="B82" s="1532"/>
      <c r="C82" s="1530"/>
      <c r="D82" s="1532"/>
      <c r="E82" s="1532"/>
      <c r="F82" s="590"/>
      <c r="G82" s="544"/>
      <c r="H82" s="544"/>
      <c r="I82" s="545"/>
      <c r="J82" s="544"/>
      <c r="K82" s="544"/>
      <c r="L82" s="1526"/>
      <c r="M82" s="1526"/>
      <c r="N82" s="1476"/>
      <c r="O82" s="546"/>
    </row>
    <row r="83" spans="1:15" s="183" customFormat="1" ht="23.25" customHeight="1">
      <c r="A83" s="1493"/>
      <c r="B83" s="1532"/>
      <c r="C83" s="1530"/>
      <c r="D83" s="1532"/>
      <c r="E83" s="1532"/>
      <c r="F83" s="590"/>
      <c r="G83" s="544"/>
      <c r="H83" s="544"/>
      <c r="I83" s="545"/>
      <c r="J83" s="544"/>
      <c r="K83" s="544"/>
      <c r="L83" s="1526"/>
      <c r="M83" s="1526"/>
      <c r="N83" s="1476"/>
      <c r="O83" s="546"/>
    </row>
    <row r="84" spans="1:15" s="183" customFormat="1" ht="23.25" customHeight="1">
      <c r="A84" s="1493"/>
      <c r="B84" s="1532"/>
      <c r="C84" s="1530"/>
      <c r="D84" s="1532"/>
      <c r="E84" s="1532"/>
      <c r="F84" s="590"/>
      <c r="G84" s="544"/>
      <c r="H84" s="544"/>
      <c r="I84" s="545"/>
      <c r="J84" s="544"/>
      <c r="K84" s="544"/>
      <c r="L84" s="1526"/>
      <c r="M84" s="1526"/>
      <c r="N84" s="1476"/>
      <c r="O84" s="546"/>
    </row>
    <row r="85" spans="1:15" s="183" customFormat="1" ht="23.25" customHeight="1">
      <c r="A85" s="1493"/>
      <c r="B85" s="1532"/>
      <c r="C85" s="1530"/>
      <c r="D85" s="1532"/>
      <c r="E85" s="1532"/>
      <c r="F85" s="590"/>
      <c r="G85" s="544"/>
      <c r="H85" s="544"/>
      <c r="I85" s="545"/>
      <c r="J85" s="544"/>
      <c r="K85" s="544"/>
      <c r="L85" s="1526"/>
      <c r="M85" s="1526"/>
      <c r="N85" s="1476"/>
      <c r="O85" s="546"/>
    </row>
    <row r="86" spans="1:15" s="183" customFormat="1" ht="23.25" customHeight="1">
      <c r="A86" s="1493"/>
      <c r="B86" s="1532"/>
      <c r="C86" s="1530"/>
      <c r="D86" s="1532"/>
      <c r="E86" s="1532"/>
      <c r="F86" s="590"/>
      <c r="G86" s="544"/>
      <c r="H86" s="544"/>
      <c r="I86" s="545"/>
      <c r="J86" s="544"/>
      <c r="K86" s="544"/>
      <c r="L86" s="1526"/>
      <c r="M86" s="1526"/>
      <c r="N86" s="1476"/>
      <c r="O86" s="546"/>
    </row>
    <row r="87" spans="1:15" s="183" customFormat="1" ht="23.25" customHeight="1">
      <c r="A87" s="1493"/>
      <c r="B87" s="1532"/>
      <c r="C87" s="1530"/>
      <c r="D87" s="1532"/>
      <c r="E87" s="1532"/>
      <c r="F87" s="590"/>
      <c r="G87" s="544"/>
      <c r="H87" s="544"/>
      <c r="I87" s="545"/>
      <c r="J87" s="544"/>
      <c r="K87" s="544"/>
      <c r="L87" s="1526"/>
      <c r="M87" s="1526"/>
      <c r="N87" s="1476"/>
      <c r="O87" s="546"/>
    </row>
    <row r="88" spans="1:15" s="183" customFormat="1" ht="23.25" customHeight="1">
      <c r="A88" s="1493"/>
      <c r="B88" s="1532"/>
      <c r="C88" s="1530"/>
      <c r="D88" s="1532"/>
      <c r="E88" s="1532"/>
      <c r="F88" s="590"/>
      <c r="G88" s="544"/>
      <c r="H88" s="544"/>
      <c r="I88" s="545"/>
      <c r="J88" s="544"/>
      <c r="K88" s="544"/>
      <c r="L88" s="1526"/>
      <c r="M88" s="1526"/>
      <c r="N88" s="1476"/>
      <c r="O88" s="546"/>
    </row>
    <row r="89" spans="1:15" s="183" customFormat="1" ht="23.25" customHeight="1">
      <c r="A89" s="1493"/>
      <c r="B89" s="1532"/>
      <c r="C89" s="1530"/>
      <c r="D89" s="1532"/>
      <c r="E89" s="1532"/>
      <c r="F89" s="590"/>
      <c r="G89" s="544"/>
      <c r="H89" s="544"/>
      <c r="I89" s="545"/>
      <c r="J89" s="544"/>
      <c r="K89" s="544"/>
      <c r="L89" s="1526"/>
      <c r="M89" s="1526"/>
      <c r="N89" s="1476"/>
      <c r="O89" s="546"/>
    </row>
    <row r="90" spans="1:15" s="183" customFormat="1" ht="23.25" customHeight="1">
      <c r="A90" s="1493"/>
      <c r="B90" s="1532"/>
      <c r="C90" s="1530"/>
      <c r="D90" s="1532"/>
      <c r="E90" s="1532"/>
      <c r="F90" s="590"/>
      <c r="G90" s="544"/>
      <c r="H90" s="544"/>
      <c r="I90" s="545"/>
      <c r="J90" s="544"/>
      <c r="K90" s="544"/>
      <c r="L90" s="1526"/>
      <c r="M90" s="1526"/>
      <c r="N90" s="1476"/>
      <c r="O90" s="546"/>
    </row>
    <row r="91" spans="1:15" s="183" customFormat="1" ht="23.25" customHeight="1">
      <c r="A91" s="1493"/>
      <c r="B91" s="1532"/>
      <c r="C91" s="1530"/>
      <c r="D91" s="1532"/>
      <c r="E91" s="1532"/>
      <c r="F91" s="590"/>
      <c r="G91" s="544"/>
      <c r="H91" s="544"/>
      <c r="I91" s="545"/>
      <c r="J91" s="544"/>
      <c r="K91" s="544"/>
      <c r="L91" s="1526"/>
      <c r="M91" s="1526"/>
      <c r="N91" s="1476"/>
      <c r="O91" s="546"/>
    </row>
    <row r="92" spans="1:15" s="183" customFormat="1" ht="23.25" customHeight="1">
      <c r="A92" s="1493"/>
      <c r="B92" s="1532"/>
      <c r="C92" s="1530"/>
      <c r="D92" s="1532"/>
      <c r="E92" s="1532"/>
      <c r="F92" s="590"/>
      <c r="G92" s="544"/>
      <c r="H92" s="544"/>
      <c r="I92" s="545"/>
      <c r="J92" s="544"/>
      <c r="K92" s="544"/>
      <c r="L92" s="1526"/>
      <c r="M92" s="1526"/>
      <c r="N92" s="1476"/>
      <c r="O92" s="546"/>
    </row>
    <row r="93" spans="1:15" s="183" customFormat="1" ht="23.25" customHeight="1">
      <c r="A93" s="1493"/>
      <c r="B93" s="1532"/>
      <c r="C93" s="1530"/>
      <c r="D93" s="1532"/>
      <c r="E93" s="1532"/>
      <c r="F93" s="590"/>
      <c r="G93" s="544"/>
      <c r="H93" s="544"/>
      <c r="I93" s="545"/>
      <c r="J93" s="544"/>
      <c r="K93" s="544"/>
      <c r="L93" s="1526"/>
      <c r="M93" s="1526"/>
      <c r="N93" s="1476"/>
      <c r="O93" s="546"/>
    </row>
    <row r="94" spans="1:15" s="183" customFormat="1" ht="23.25" customHeight="1">
      <c r="A94" s="1493"/>
      <c r="B94" s="1532"/>
      <c r="C94" s="1530"/>
      <c r="D94" s="1532"/>
      <c r="E94" s="1532"/>
      <c r="F94" s="590"/>
      <c r="G94" s="544"/>
      <c r="H94" s="544"/>
      <c r="I94" s="545"/>
      <c r="J94" s="544"/>
      <c r="K94" s="544"/>
      <c r="L94" s="1526"/>
      <c r="M94" s="1526"/>
      <c r="N94" s="1476"/>
      <c r="O94" s="546"/>
    </row>
    <row r="95" spans="1:15" s="183" customFormat="1" ht="23.25" customHeight="1">
      <c r="A95" s="1493"/>
      <c r="B95" s="1532"/>
      <c r="C95" s="1530"/>
      <c r="D95" s="1532"/>
      <c r="E95" s="1532"/>
      <c r="F95" s="590"/>
      <c r="G95" s="544"/>
      <c r="H95" s="544"/>
      <c r="I95" s="545"/>
      <c r="J95" s="544"/>
      <c r="K95" s="544"/>
      <c r="L95" s="1526"/>
      <c r="M95" s="1526"/>
      <c r="N95" s="1476"/>
      <c r="O95" s="546"/>
    </row>
    <row r="96" spans="1:15" s="183" customFormat="1" ht="23.25" customHeight="1">
      <c r="A96" s="1493"/>
      <c r="B96" s="1532"/>
      <c r="C96" s="1530"/>
      <c r="D96" s="1532"/>
      <c r="E96" s="1532"/>
      <c r="F96" s="590"/>
      <c r="G96" s="544"/>
      <c r="H96" s="544"/>
      <c r="I96" s="545"/>
      <c r="J96" s="544"/>
      <c r="K96" s="544"/>
      <c r="L96" s="1526"/>
      <c r="M96" s="1526"/>
      <c r="N96" s="1476"/>
      <c r="O96" s="546"/>
    </row>
    <row r="97" spans="1:15" s="183" customFormat="1" ht="23.25" customHeight="1">
      <c r="A97" s="1493"/>
      <c r="B97" s="1532"/>
      <c r="C97" s="1530"/>
      <c r="D97" s="1532"/>
      <c r="E97" s="1532"/>
      <c r="F97" s="590"/>
      <c r="G97" s="544"/>
      <c r="H97" s="544"/>
      <c r="I97" s="545"/>
      <c r="J97" s="544"/>
      <c r="K97" s="544"/>
      <c r="L97" s="1526"/>
      <c r="M97" s="1526"/>
      <c r="N97" s="1476"/>
      <c r="O97" s="546"/>
    </row>
    <row r="98" spans="1:15" s="183" customFormat="1" ht="23.25" customHeight="1">
      <c r="A98" s="1493"/>
      <c r="B98" s="1532"/>
      <c r="C98" s="1530"/>
      <c r="D98" s="1532"/>
      <c r="E98" s="1532"/>
      <c r="F98" s="590"/>
      <c r="G98" s="544"/>
      <c r="H98" s="544"/>
      <c r="I98" s="545"/>
      <c r="J98" s="544"/>
      <c r="K98" s="544"/>
      <c r="L98" s="1526"/>
      <c r="M98" s="1526"/>
      <c r="N98" s="1476"/>
      <c r="O98" s="546"/>
    </row>
    <row r="99" spans="1:15" s="183" customFormat="1" ht="23.25" customHeight="1">
      <c r="A99" s="1493"/>
      <c r="B99" s="1532"/>
      <c r="C99" s="1530"/>
      <c r="D99" s="1532"/>
      <c r="E99" s="1532"/>
      <c r="F99" s="590"/>
      <c r="G99" s="544"/>
      <c r="H99" s="544"/>
      <c r="I99" s="545"/>
      <c r="J99" s="544"/>
      <c r="K99" s="544"/>
      <c r="L99" s="1526"/>
      <c r="M99" s="1526"/>
      <c r="N99" s="1476"/>
      <c r="O99" s="546"/>
    </row>
    <row r="100" spans="1:15" s="183" customFormat="1" ht="23.25" customHeight="1">
      <c r="A100" s="1493"/>
      <c r="B100" s="1532"/>
      <c r="C100" s="1530"/>
      <c r="D100" s="1532"/>
      <c r="E100" s="1532"/>
      <c r="F100" s="590"/>
      <c r="G100" s="544"/>
      <c r="H100" s="544"/>
      <c r="I100" s="545"/>
      <c r="J100" s="544"/>
      <c r="K100" s="544"/>
      <c r="L100" s="1526"/>
      <c r="M100" s="1526"/>
      <c r="N100" s="1476"/>
      <c r="O100" s="546"/>
    </row>
    <row r="101" spans="1:15" s="183" customFormat="1" ht="23.25" customHeight="1">
      <c r="A101" s="1493"/>
      <c r="B101" s="1532"/>
      <c r="C101" s="1530"/>
      <c r="D101" s="1532"/>
      <c r="E101" s="1532"/>
      <c r="F101" s="590"/>
      <c r="G101" s="544"/>
      <c r="H101" s="544"/>
      <c r="I101" s="545"/>
      <c r="J101" s="544"/>
      <c r="K101" s="544"/>
      <c r="L101" s="1526"/>
      <c r="M101" s="1526"/>
      <c r="N101" s="1476"/>
      <c r="O101" s="546"/>
    </row>
    <row r="102" spans="1:15" s="183" customFormat="1" ht="23.25" customHeight="1">
      <c r="A102" s="1493"/>
      <c r="B102" s="1532"/>
      <c r="C102" s="1530"/>
      <c r="D102" s="1532"/>
      <c r="E102" s="1532"/>
      <c r="F102" s="590"/>
      <c r="G102" s="544"/>
      <c r="H102" s="544"/>
      <c r="I102" s="545"/>
      <c r="J102" s="544"/>
      <c r="K102" s="544"/>
      <c r="L102" s="1526"/>
      <c r="M102" s="1526"/>
      <c r="N102" s="1476"/>
      <c r="O102" s="546"/>
    </row>
    <row r="103" spans="1:15" s="183" customFormat="1" ht="23.25" customHeight="1">
      <c r="A103" s="1493"/>
      <c r="B103" s="1532"/>
      <c r="C103" s="1530"/>
      <c r="D103" s="1532"/>
      <c r="E103" s="1532"/>
      <c r="F103" s="590"/>
      <c r="G103" s="544"/>
      <c r="H103" s="544"/>
      <c r="I103" s="545"/>
      <c r="J103" s="544"/>
      <c r="K103" s="544"/>
      <c r="L103" s="1526"/>
      <c r="M103" s="1526"/>
      <c r="N103" s="1476"/>
      <c r="O103" s="546"/>
    </row>
    <row r="104" spans="1:15" s="183" customFormat="1" ht="23.25" customHeight="1">
      <c r="A104" s="1493"/>
      <c r="B104" s="1532"/>
      <c r="C104" s="1530"/>
      <c r="D104" s="1532"/>
      <c r="E104" s="1532"/>
      <c r="F104" s="590"/>
      <c r="G104" s="544"/>
      <c r="H104" s="544"/>
      <c r="I104" s="545"/>
      <c r="J104" s="544"/>
      <c r="K104" s="544"/>
      <c r="L104" s="1526"/>
      <c r="M104" s="1526"/>
      <c r="N104" s="1476"/>
      <c r="O104" s="546"/>
    </row>
    <row r="105" spans="1:15" s="183" customFormat="1" ht="23.25" customHeight="1">
      <c r="A105" s="1493"/>
      <c r="B105" s="1532"/>
      <c r="C105" s="1530"/>
      <c r="D105" s="1532"/>
      <c r="E105" s="1532"/>
      <c r="F105" s="590"/>
      <c r="G105" s="544"/>
      <c r="H105" s="544"/>
      <c r="I105" s="545"/>
      <c r="J105" s="544"/>
      <c r="K105" s="544"/>
      <c r="L105" s="1526"/>
      <c r="M105" s="1526"/>
      <c r="N105" s="1476"/>
      <c r="O105" s="546"/>
    </row>
    <row r="106" spans="1:15" s="183" customFormat="1" ht="23.25" customHeight="1">
      <c r="A106" s="1493"/>
      <c r="B106" s="1532"/>
      <c r="C106" s="1530"/>
      <c r="D106" s="1532"/>
      <c r="E106" s="1532"/>
      <c r="F106" s="590"/>
      <c r="G106" s="544"/>
      <c r="H106" s="544"/>
      <c r="I106" s="545"/>
      <c r="J106" s="544"/>
      <c r="K106" s="544"/>
      <c r="L106" s="1526"/>
      <c r="M106" s="1526"/>
      <c r="N106" s="1476"/>
      <c r="O106" s="546"/>
    </row>
    <row r="107" spans="1:15" s="183" customFormat="1" ht="23.25" customHeight="1">
      <c r="A107" s="1493"/>
      <c r="B107" s="1532"/>
      <c r="C107" s="1530"/>
      <c r="D107" s="1532"/>
      <c r="E107" s="1532"/>
      <c r="F107" s="590"/>
      <c r="G107" s="544"/>
      <c r="H107" s="544"/>
      <c r="I107" s="545"/>
      <c r="J107" s="544"/>
      <c r="K107" s="544"/>
      <c r="L107" s="1526"/>
      <c r="M107" s="1526"/>
      <c r="N107" s="1476"/>
      <c r="O107" s="546"/>
    </row>
    <row r="108" spans="1:15" s="183" customFormat="1" ht="23.25" customHeight="1">
      <c r="A108" s="1493"/>
      <c r="B108" s="1532"/>
      <c r="C108" s="1530"/>
      <c r="D108" s="1532"/>
      <c r="E108" s="1532"/>
      <c r="F108" s="590"/>
      <c r="G108" s="544"/>
      <c r="H108" s="544"/>
      <c r="I108" s="545"/>
      <c r="J108" s="544"/>
      <c r="K108" s="544"/>
      <c r="L108" s="1526"/>
      <c r="M108" s="1526"/>
      <c r="N108" s="1476"/>
      <c r="O108" s="546"/>
    </row>
    <row r="109" spans="1:15" s="183" customFormat="1" ht="23.25" customHeight="1">
      <c r="A109" s="1493"/>
      <c r="B109" s="1532"/>
      <c r="C109" s="1530"/>
      <c r="D109" s="1532"/>
      <c r="E109" s="1532"/>
      <c r="F109" s="590"/>
      <c r="G109" s="544"/>
      <c r="H109" s="544"/>
      <c r="I109" s="545"/>
      <c r="J109" s="544"/>
      <c r="K109" s="544"/>
      <c r="L109" s="1526"/>
      <c r="M109" s="1526"/>
      <c r="N109" s="1476"/>
      <c r="O109" s="546"/>
    </row>
    <row r="110" spans="1:15" s="183" customFormat="1" ht="23.25" customHeight="1">
      <c r="A110" s="1493"/>
      <c r="B110" s="1532"/>
      <c r="C110" s="1530"/>
      <c r="D110" s="1532"/>
      <c r="E110" s="1532"/>
      <c r="F110" s="590"/>
      <c r="G110" s="544"/>
      <c r="H110" s="544"/>
      <c r="I110" s="545"/>
      <c r="J110" s="544"/>
      <c r="K110" s="544"/>
      <c r="L110" s="1526"/>
      <c r="M110" s="1526"/>
      <c r="N110" s="1476"/>
      <c r="O110" s="546"/>
    </row>
    <row r="111" spans="1:15" s="183" customFormat="1" ht="23.25" customHeight="1">
      <c r="A111" s="1493"/>
      <c r="B111" s="1532"/>
      <c r="C111" s="1530"/>
      <c r="D111" s="1532"/>
      <c r="E111" s="1532"/>
      <c r="F111" s="590"/>
      <c r="G111" s="544"/>
      <c r="H111" s="544"/>
      <c r="I111" s="545"/>
      <c r="J111" s="544"/>
      <c r="K111" s="544"/>
      <c r="L111" s="1526"/>
      <c r="M111" s="1526"/>
      <c r="N111" s="1476"/>
      <c r="O111" s="546"/>
    </row>
    <row r="112" spans="1:15" s="183" customFormat="1" ht="23.25" customHeight="1">
      <c r="A112" s="1493"/>
      <c r="B112" s="1532"/>
      <c r="C112" s="1530"/>
      <c r="D112" s="1532"/>
      <c r="E112" s="1532"/>
      <c r="F112" s="590"/>
      <c r="G112" s="544"/>
      <c r="H112" s="544"/>
      <c r="I112" s="545"/>
      <c r="J112" s="544"/>
      <c r="K112" s="544"/>
      <c r="L112" s="1526"/>
      <c r="M112" s="1526"/>
      <c r="N112" s="1476"/>
      <c r="O112" s="546"/>
    </row>
    <row r="113" spans="1:15" s="183" customFormat="1" ht="23.25" customHeight="1">
      <c r="A113" s="1493"/>
      <c r="B113" s="1532"/>
      <c r="C113" s="1530"/>
      <c r="D113" s="1532"/>
      <c r="E113" s="1532"/>
      <c r="F113" s="590"/>
      <c r="G113" s="544"/>
      <c r="H113" s="544"/>
      <c r="I113" s="545"/>
      <c r="J113" s="544"/>
      <c r="K113" s="544"/>
      <c r="L113" s="1526"/>
      <c r="M113" s="1526"/>
      <c r="N113" s="1476"/>
      <c r="O113" s="546"/>
    </row>
    <row r="114" spans="1:15" s="183" customFormat="1" ht="23.25" customHeight="1" thickBot="1">
      <c r="A114" s="1492"/>
      <c r="B114" s="1532"/>
      <c r="C114" s="1530"/>
      <c r="D114" s="1532"/>
      <c r="E114" s="1532"/>
      <c r="F114" s="590"/>
      <c r="G114" s="544"/>
      <c r="H114" s="544"/>
      <c r="I114" s="545"/>
      <c r="J114" s="544"/>
      <c r="K114" s="544"/>
      <c r="L114" s="1526"/>
      <c r="M114" s="1526"/>
      <c r="N114" s="1476"/>
      <c r="O114" s="546"/>
    </row>
    <row r="115" spans="1:15" s="183" customFormat="1" ht="23.25" customHeight="1" thickBot="1">
      <c r="A115" s="2211"/>
      <c r="B115" s="2212" t="s">
        <v>1984</v>
      </c>
      <c r="C115" s="1556"/>
      <c r="D115" s="1557"/>
      <c r="E115" s="1562"/>
      <c r="F115" s="1489"/>
      <c r="G115" s="1488">
        <f>SUM(G13:G114)</f>
        <v>0</v>
      </c>
      <c r="H115" s="1488">
        <f>SUM(H13:H114)</f>
        <v>0</v>
      </c>
      <c r="I115" s="1490"/>
      <c r="J115" s="1488">
        <f>SUM(J13:J114)</f>
        <v>0</v>
      </c>
      <c r="K115" s="1488">
        <f>SUM(K13:K114)</f>
        <v>0</v>
      </c>
      <c r="L115" s="1489"/>
      <c r="M115" s="1489"/>
      <c r="N115" s="1489"/>
      <c r="O115" s="1488">
        <f>SUM(O13:O114)</f>
        <v>0</v>
      </c>
    </row>
    <row r="116" spans="1:15" s="183" customFormat="1" ht="19.5" customHeight="1">
      <c r="A116" s="2709" t="s">
        <v>1986</v>
      </c>
      <c r="B116" s="2710"/>
      <c r="C116" s="2713"/>
      <c r="D116" s="2713"/>
      <c r="E116" s="2713"/>
      <c r="F116" s="2705"/>
      <c r="G116" s="2705"/>
      <c r="H116" s="2705"/>
      <c r="I116" s="2705"/>
      <c r="J116" s="2705"/>
      <c r="K116" s="2705"/>
      <c r="L116" s="2705"/>
      <c r="M116" s="2705"/>
      <c r="N116" s="2705"/>
      <c r="O116" s="2707"/>
    </row>
    <row r="117" spans="1:15" s="183" customFormat="1" ht="13.5" customHeight="1">
      <c r="A117" s="2711" t="s">
        <v>1985</v>
      </c>
      <c r="B117" s="2712"/>
      <c r="C117" s="2714"/>
      <c r="D117" s="2714"/>
      <c r="E117" s="2714"/>
      <c r="F117" s="2706"/>
      <c r="G117" s="2706"/>
      <c r="H117" s="2706"/>
      <c r="I117" s="2706"/>
      <c r="J117" s="2706"/>
      <c r="K117" s="2706"/>
      <c r="L117" s="2706"/>
      <c r="M117" s="2706"/>
      <c r="N117" s="2706"/>
      <c r="O117" s="2708"/>
    </row>
    <row r="118" spans="1:15" s="183" customFormat="1" ht="23.25" customHeight="1">
      <c r="A118" s="1493"/>
      <c r="B118" s="1532"/>
      <c r="C118" s="1530"/>
      <c r="D118" s="1532"/>
      <c r="E118" s="1532"/>
      <c r="F118" s="590"/>
      <c r="G118" s="544"/>
      <c r="H118" s="544"/>
      <c r="I118" s="545"/>
      <c r="J118" s="544"/>
      <c r="K118" s="544"/>
      <c r="L118" s="1526"/>
      <c r="M118" s="1526"/>
      <c r="N118" s="1476"/>
      <c r="O118" s="546"/>
    </row>
    <row r="119" spans="1:15" s="183" customFormat="1" ht="23.25" customHeight="1">
      <c r="A119" s="1493"/>
      <c r="B119" s="1532"/>
      <c r="C119" s="1530"/>
      <c r="D119" s="1532"/>
      <c r="E119" s="1532"/>
      <c r="F119" s="590"/>
      <c r="G119" s="544"/>
      <c r="H119" s="544"/>
      <c r="I119" s="545"/>
      <c r="J119" s="544"/>
      <c r="K119" s="544"/>
      <c r="L119" s="1526"/>
      <c r="M119" s="1526"/>
      <c r="N119" s="1476"/>
      <c r="O119" s="546"/>
    </row>
    <row r="120" spans="1:15" s="183" customFormat="1" ht="23.25" customHeight="1">
      <c r="A120" s="1493"/>
      <c r="B120" s="1532"/>
      <c r="C120" s="1530"/>
      <c r="D120" s="1532"/>
      <c r="E120" s="1532"/>
      <c r="F120" s="590"/>
      <c r="G120" s="544"/>
      <c r="H120" s="544"/>
      <c r="I120" s="545"/>
      <c r="J120" s="544"/>
      <c r="K120" s="544"/>
      <c r="L120" s="1526"/>
      <c r="M120" s="1526"/>
      <c r="N120" s="1476"/>
      <c r="O120" s="546"/>
    </row>
    <row r="121" spans="1:15" s="183" customFormat="1" ht="23.25" customHeight="1">
      <c r="A121" s="1493"/>
      <c r="B121" s="1532"/>
      <c r="C121" s="1530"/>
      <c r="D121" s="1532"/>
      <c r="E121" s="1532"/>
      <c r="F121" s="590"/>
      <c r="G121" s="544"/>
      <c r="H121" s="544"/>
      <c r="I121" s="545"/>
      <c r="J121" s="544"/>
      <c r="K121" s="544"/>
      <c r="L121" s="1526"/>
      <c r="M121" s="1526"/>
      <c r="N121" s="1476"/>
      <c r="O121" s="546"/>
    </row>
    <row r="122" spans="1:15" s="183" customFormat="1" ht="23.25" customHeight="1">
      <c r="A122" s="1493"/>
      <c r="B122" s="1532"/>
      <c r="C122" s="1530"/>
      <c r="D122" s="1532"/>
      <c r="E122" s="1532"/>
      <c r="F122" s="590"/>
      <c r="G122" s="544"/>
      <c r="H122" s="544"/>
      <c r="I122" s="545"/>
      <c r="J122" s="544"/>
      <c r="K122" s="544"/>
      <c r="L122" s="1526"/>
      <c r="M122" s="1526"/>
      <c r="N122" s="1476"/>
      <c r="O122" s="546"/>
    </row>
    <row r="123" spans="1:15" s="183" customFormat="1" ht="23.25" customHeight="1">
      <c r="A123" s="1493"/>
      <c r="B123" s="1531"/>
      <c r="C123" s="1531"/>
      <c r="D123" s="1531"/>
      <c r="E123" s="1532"/>
      <c r="F123" s="590"/>
      <c r="G123" s="544"/>
      <c r="H123" s="544"/>
      <c r="I123" s="545"/>
      <c r="J123" s="544"/>
      <c r="K123" s="544"/>
      <c r="L123" s="590"/>
      <c r="M123" s="590"/>
      <c r="N123" s="590"/>
      <c r="O123" s="546"/>
    </row>
    <row r="124" spans="1:15" s="183" customFormat="1" ht="23.25" customHeight="1">
      <c r="A124" s="1493"/>
      <c r="B124" s="1531"/>
      <c r="C124" s="1531"/>
      <c r="D124" s="1531"/>
      <c r="E124" s="1532"/>
      <c r="F124" s="590"/>
      <c r="G124" s="544"/>
      <c r="H124" s="544"/>
      <c r="I124" s="545"/>
      <c r="J124" s="544"/>
      <c r="K124" s="544"/>
      <c r="L124" s="590"/>
      <c r="M124" s="590"/>
      <c r="N124" s="590"/>
      <c r="O124" s="546"/>
    </row>
    <row r="125" spans="1:15" s="183" customFormat="1" ht="23.25" customHeight="1">
      <c r="A125" s="1493"/>
      <c r="B125" s="1531"/>
      <c r="C125" s="1531"/>
      <c r="D125" s="1531"/>
      <c r="E125" s="1532"/>
      <c r="F125" s="590"/>
      <c r="G125" s="544"/>
      <c r="H125" s="544"/>
      <c r="I125" s="545"/>
      <c r="J125" s="544"/>
      <c r="K125" s="544"/>
      <c r="L125" s="590"/>
      <c r="M125" s="590"/>
      <c r="N125" s="590"/>
      <c r="O125" s="546"/>
    </row>
    <row r="126" spans="1:15" s="183" customFormat="1" ht="23.25" customHeight="1">
      <c r="A126" s="1493"/>
      <c r="B126" s="1531"/>
      <c r="C126" s="1531"/>
      <c r="D126" s="1531"/>
      <c r="E126" s="1532"/>
      <c r="F126" s="590"/>
      <c r="G126" s="544"/>
      <c r="H126" s="544"/>
      <c r="I126" s="545"/>
      <c r="J126" s="544"/>
      <c r="K126" s="544"/>
      <c r="L126" s="590"/>
      <c r="M126" s="590"/>
      <c r="N126" s="590"/>
      <c r="O126" s="546"/>
    </row>
    <row r="127" spans="1:15" s="183" customFormat="1" ht="23.25" customHeight="1">
      <c r="A127" s="1493"/>
      <c r="B127" s="1531"/>
      <c r="C127" s="1531"/>
      <c r="D127" s="1531"/>
      <c r="E127" s="1532"/>
      <c r="F127" s="590"/>
      <c r="G127" s="544"/>
      <c r="H127" s="544"/>
      <c r="I127" s="545"/>
      <c r="J127" s="544"/>
      <c r="K127" s="544"/>
      <c r="L127" s="590"/>
      <c r="M127" s="590"/>
      <c r="N127" s="590"/>
      <c r="O127" s="546"/>
    </row>
    <row r="128" spans="1:15" s="183" customFormat="1" ht="23.25" customHeight="1">
      <c r="A128" s="1493"/>
      <c r="B128" s="1531"/>
      <c r="C128" s="1531"/>
      <c r="D128" s="1531"/>
      <c r="E128" s="1532"/>
      <c r="F128" s="590"/>
      <c r="G128" s="544"/>
      <c r="H128" s="544"/>
      <c r="I128" s="545"/>
      <c r="J128" s="544"/>
      <c r="K128" s="544"/>
      <c r="L128" s="590"/>
      <c r="M128" s="590"/>
      <c r="N128" s="590"/>
      <c r="O128" s="546"/>
    </row>
    <row r="129" spans="1:15" s="183" customFormat="1" ht="23.25" customHeight="1">
      <c r="A129" s="1493"/>
      <c r="B129" s="1531"/>
      <c r="C129" s="1531"/>
      <c r="D129" s="1531"/>
      <c r="E129" s="1532"/>
      <c r="F129" s="590"/>
      <c r="G129" s="544"/>
      <c r="H129" s="544"/>
      <c r="I129" s="545"/>
      <c r="J129" s="544"/>
      <c r="K129" s="544"/>
      <c r="L129" s="590"/>
      <c r="M129" s="590"/>
      <c r="N129" s="590"/>
      <c r="O129" s="546"/>
    </row>
    <row r="130" spans="1:15" s="183" customFormat="1" ht="23.25" customHeight="1">
      <c r="A130" s="1493"/>
      <c r="B130" s="1531"/>
      <c r="C130" s="1531"/>
      <c r="D130" s="1531"/>
      <c r="E130" s="1532"/>
      <c r="F130" s="590"/>
      <c r="G130" s="544"/>
      <c r="H130" s="544"/>
      <c r="I130" s="545"/>
      <c r="J130" s="544"/>
      <c r="K130" s="544"/>
      <c r="L130" s="590"/>
      <c r="M130" s="590"/>
      <c r="N130" s="590"/>
      <c r="O130" s="546"/>
    </row>
    <row r="131" spans="1:15" s="183" customFormat="1" ht="23.25" customHeight="1">
      <c r="A131" s="1493"/>
      <c r="B131" s="1531"/>
      <c r="C131" s="1531"/>
      <c r="D131" s="1531"/>
      <c r="E131" s="1532"/>
      <c r="F131" s="590"/>
      <c r="G131" s="544"/>
      <c r="H131" s="544"/>
      <c r="I131" s="545"/>
      <c r="J131" s="544"/>
      <c r="K131" s="544"/>
      <c r="L131" s="590"/>
      <c r="M131" s="590"/>
      <c r="N131" s="590"/>
      <c r="O131" s="546"/>
    </row>
    <row r="132" spans="1:15" s="183" customFormat="1" ht="23.25" customHeight="1">
      <c r="A132" s="1493"/>
      <c r="B132" s="1531"/>
      <c r="C132" s="1531"/>
      <c r="D132" s="1531"/>
      <c r="E132" s="1532"/>
      <c r="F132" s="590"/>
      <c r="G132" s="544"/>
      <c r="H132" s="544"/>
      <c r="I132" s="545"/>
      <c r="J132" s="544"/>
      <c r="K132" s="544"/>
      <c r="L132" s="590"/>
      <c r="M132" s="590"/>
      <c r="N132" s="590"/>
      <c r="O132" s="546"/>
    </row>
    <row r="133" spans="1:15" s="183" customFormat="1" ht="23.25" customHeight="1">
      <c r="A133" s="1493"/>
      <c r="B133" s="1531"/>
      <c r="C133" s="1531"/>
      <c r="D133" s="1531"/>
      <c r="E133" s="1532"/>
      <c r="F133" s="590"/>
      <c r="G133" s="544"/>
      <c r="H133" s="544"/>
      <c r="I133" s="545"/>
      <c r="J133" s="544"/>
      <c r="K133" s="544"/>
      <c r="L133" s="590"/>
      <c r="M133" s="590"/>
      <c r="N133" s="590"/>
      <c r="O133" s="546"/>
    </row>
    <row r="134" spans="1:15" s="183" customFormat="1" ht="23.25" customHeight="1">
      <c r="A134" s="1493"/>
      <c r="B134" s="1531"/>
      <c r="C134" s="1531"/>
      <c r="D134" s="1531"/>
      <c r="E134" s="1532"/>
      <c r="F134" s="590"/>
      <c r="G134" s="544"/>
      <c r="H134" s="544"/>
      <c r="I134" s="545"/>
      <c r="J134" s="544"/>
      <c r="K134" s="544"/>
      <c r="L134" s="590"/>
      <c r="M134" s="590"/>
      <c r="N134" s="590"/>
      <c r="O134" s="546"/>
    </row>
    <row r="135" spans="1:15" s="183" customFormat="1" ht="23.25" customHeight="1">
      <c r="A135" s="1493"/>
      <c r="B135" s="1531"/>
      <c r="C135" s="1531"/>
      <c r="D135" s="1531"/>
      <c r="E135" s="1532"/>
      <c r="F135" s="590"/>
      <c r="G135" s="544"/>
      <c r="H135" s="544"/>
      <c r="I135" s="545"/>
      <c r="J135" s="544"/>
      <c r="K135" s="544"/>
      <c r="L135" s="590"/>
      <c r="M135" s="590"/>
      <c r="N135" s="590"/>
      <c r="O135" s="546"/>
    </row>
    <row r="136" spans="1:15" s="183" customFormat="1" ht="23.25" customHeight="1">
      <c r="A136" s="1493"/>
      <c r="B136" s="1531"/>
      <c r="C136" s="1531"/>
      <c r="D136" s="1531"/>
      <c r="E136" s="1532"/>
      <c r="F136" s="590"/>
      <c r="G136" s="544"/>
      <c r="H136" s="544"/>
      <c r="I136" s="545"/>
      <c r="J136" s="544"/>
      <c r="K136" s="544"/>
      <c r="L136" s="590"/>
      <c r="M136" s="590"/>
      <c r="N136" s="590"/>
      <c r="O136" s="546"/>
    </row>
    <row r="137" spans="1:15" s="183" customFormat="1" ht="23.25" customHeight="1">
      <c r="A137" s="1493"/>
      <c r="B137" s="1531"/>
      <c r="C137" s="1531"/>
      <c r="D137" s="1531"/>
      <c r="E137" s="1532"/>
      <c r="F137" s="590"/>
      <c r="G137" s="544"/>
      <c r="H137" s="544"/>
      <c r="I137" s="545"/>
      <c r="J137" s="544"/>
      <c r="K137" s="544"/>
      <c r="L137" s="590"/>
      <c r="M137" s="590"/>
      <c r="N137" s="590"/>
      <c r="O137" s="546"/>
    </row>
    <row r="138" spans="1:15" s="183" customFormat="1" ht="23.25" customHeight="1">
      <c r="A138" s="1493"/>
      <c r="B138" s="1531"/>
      <c r="C138" s="1531"/>
      <c r="D138" s="1531"/>
      <c r="E138" s="1532"/>
      <c r="F138" s="590"/>
      <c r="G138" s="544"/>
      <c r="H138" s="544"/>
      <c r="I138" s="545"/>
      <c r="J138" s="544"/>
      <c r="K138" s="544"/>
      <c r="L138" s="590"/>
      <c r="M138" s="590"/>
      <c r="N138" s="590"/>
      <c r="O138" s="546"/>
    </row>
    <row r="139" spans="1:15" s="183" customFormat="1" ht="23.25" customHeight="1">
      <c r="A139" s="1493"/>
      <c r="B139" s="1531"/>
      <c r="C139" s="1531"/>
      <c r="D139" s="1531"/>
      <c r="E139" s="1532"/>
      <c r="F139" s="590"/>
      <c r="G139" s="544"/>
      <c r="H139" s="544"/>
      <c r="I139" s="545"/>
      <c r="J139" s="544"/>
      <c r="K139" s="544"/>
      <c r="L139" s="590"/>
      <c r="M139" s="590"/>
      <c r="N139" s="590"/>
      <c r="O139" s="546"/>
    </row>
    <row r="140" spans="1:15" s="183" customFormat="1" ht="23.25" customHeight="1">
      <c r="A140" s="1493"/>
      <c r="B140" s="1531"/>
      <c r="C140" s="1531"/>
      <c r="D140" s="1531"/>
      <c r="E140" s="1532"/>
      <c r="F140" s="590"/>
      <c r="G140" s="544"/>
      <c r="H140" s="544"/>
      <c r="I140" s="545"/>
      <c r="J140" s="544"/>
      <c r="K140" s="544"/>
      <c r="L140" s="590"/>
      <c r="M140" s="590"/>
      <c r="N140" s="590"/>
      <c r="O140" s="546"/>
    </row>
    <row r="141" spans="1:15" s="183" customFormat="1" ht="23.25" customHeight="1">
      <c r="A141" s="1493"/>
      <c r="B141" s="1531"/>
      <c r="C141" s="1531"/>
      <c r="D141" s="1531"/>
      <c r="E141" s="1532"/>
      <c r="F141" s="590"/>
      <c r="G141" s="544"/>
      <c r="H141" s="544"/>
      <c r="I141" s="545"/>
      <c r="J141" s="544"/>
      <c r="K141" s="544"/>
      <c r="L141" s="590"/>
      <c r="M141" s="590"/>
      <c r="N141" s="590"/>
      <c r="O141" s="546"/>
    </row>
    <row r="142" spans="1:15" s="183" customFormat="1" ht="23.25" customHeight="1">
      <c r="A142" s="1493"/>
      <c r="B142" s="1531"/>
      <c r="C142" s="1531"/>
      <c r="D142" s="1531"/>
      <c r="E142" s="1532"/>
      <c r="F142" s="590"/>
      <c r="G142" s="544"/>
      <c r="H142" s="544"/>
      <c r="I142" s="545"/>
      <c r="J142" s="544"/>
      <c r="K142" s="544"/>
      <c r="L142" s="590"/>
      <c r="M142" s="590"/>
      <c r="N142" s="590"/>
      <c r="O142" s="546"/>
    </row>
    <row r="143" spans="1:15" s="183" customFormat="1" ht="23.25" customHeight="1">
      <c r="A143" s="1493"/>
      <c r="B143" s="1531"/>
      <c r="C143" s="1531"/>
      <c r="D143" s="1531"/>
      <c r="E143" s="1532"/>
      <c r="F143" s="590"/>
      <c r="G143" s="544"/>
      <c r="H143" s="544"/>
      <c r="I143" s="545"/>
      <c r="J143" s="544"/>
      <c r="K143" s="544"/>
      <c r="L143" s="590"/>
      <c r="M143" s="590"/>
      <c r="N143" s="590"/>
      <c r="O143" s="546"/>
    </row>
    <row r="144" spans="1:15" s="183" customFormat="1" ht="23.25" customHeight="1">
      <c r="A144" s="1493"/>
      <c r="B144" s="1531"/>
      <c r="C144" s="1531"/>
      <c r="D144" s="1531"/>
      <c r="E144" s="1532"/>
      <c r="F144" s="590"/>
      <c r="G144" s="544"/>
      <c r="H144" s="544"/>
      <c r="I144" s="545"/>
      <c r="J144" s="544"/>
      <c r="K144" s="544"/>
      <c r="L144" s="590"/>
      <c r="M144" s="590"/>
      <c r="N144" s="590"/>
      <c r="O144" s="546"/>
    </row>
    <row r="145" spans="1:15" s="183" customFormat="1" ht="23.25" customHeight="1">
      <c r="A145" s="1493"/>
      <c r="B145" s="1531"/>
      <c r="C145" s="1531"/>
      <c r="D145" s="1531"/>
      <c r="E145" s="1532"/>
      <c r="F145" s="590"/>
      <c r="G145" s="544"/>
      <c r="H145" s="544"/>
      <c r="I145" s="545"/>
      <c r="J145" s="544"/>
      <c r="K145" s="544"/>
      <c r="L145" s="590"/>
      <c r="M145" s="590"/>
      <c r="N145" s="590"/>
      <c r="O145" s="546"/>
    </row>
    <row r="146" spans="1:15" s="183" customFormat="1" ht="23.25" customHeight="1">
      <c r="A146" s="1493"/>
      <c r="B146" s="1531"/>
      <c r="C146" s="1531"/>
      <c r="D146" s="1531"/>
      <c r="E146" s="1532"/>
      <c r="F146" s="590"/>
      <c r="G146" s="544"/>
      <c r="H146" s="544"/>
      <c r="I146" s="545"/>
      <c r="J146" s="544"/>
      <c r="K146" s="544"/>
      <c r="L146" s="590"/>
      <c r="M146" s="590"/>
      <c r="N146" s="590"/>
      <c r="O146" s="546"/>
    </row>
    <row r="147" spans="1:15" s="183" customFormat="1" ht="23.25" customHeight="1">
      <c r="A147" s="1493"/>
      <c r="B147" s="1531"/>
      <c r="C147" s="1531"/>
      <c r="D147" s="1531"/>
      <c r="E147" s="1532"/>
      <c r="F147" s="590"/>
      <c r="G147" s="544"/>
      <c r="H147" s="544"/>
      <c r="I147" s="545"/>
      <c r="J147" s="544"/>
      <c r="K147" s="544"/>
      <c r="L147" s="590"/>
      <c r="M147" s="590"/>
      <c r="N147" s="590"/>
      <c r="O147" s="546"/>
    </row>
    <row r="148" spans="1:15" s="183" customFormat="1" ht="23.25" customHeight="1">
      <c r="A148" s="1493"/>
      <c r="B148" s="1531"/>
      <c r="C148" s="1531"/>
      <c r="D148" s="1531"/>
      <c r="E148" s="1532"/>
      <c r="F148" s="590"/>
      <c r="G148" s="544"/>
      <c r="H148" s="544"/>
      <c r="I148" s="545"/>
      <c r="J148" s="544"/>
      <c r="K148" s="544"/>
      <c r="L148" s="590"/>
      <c r="M148" s="590"/>
      <c r="N148" s="590"/>
      <c r="O148" s="546"/>
    </row>
    <row r="149" spans="1:15" s="183" customFormat="1" ht="23.25" customHeight="1">
      <c r="A149" s="1493"/>
      <c r="B149" s="1531"/>
      <c r="C149" s="1531"/>
      <c r="D149" s="1531"/>
      <c r="E149" s="1532"/>
      <c r="F149" s="590"/>
      <c r="G149" s="544"/>
      <c r="H149" s="544"/>
      <c r="I149" s="545"/>
      <c r="J149" s="544"/>
      <c r="K149" s="544"/>
      <c r="L149" s="590"/>
      <c r="M149" s="590"/>
      <c r="N149" s="590"/>
      <c r="O149" s="546"/>
    </row>
    <row r="150" spans="1:15" s="183" customFormat="1" ht="23.25" customHeight="1">
      <c r="A150" s="1493"/>
      <c r="B150" s="1531"/>
      <c r="C150" s="1531"/>
      <c r="D150" s="1531"/>
      <c r="E150" s="1532"/>
      <c r="F150" s="590"/>
      <c r="G150" s="544"/>
      <c r="H150" s="544"/>
      <c r="I150" s="545"/>
      <c r="J150" s="544"/>
      <c r="K150" s="544"/>
      <c r="L150" s="590"/>
      <c r="M150" s="590"/>
      <c r="N150" s="590"/>
      <c r="O150" s="546"/>
    </row>
    <row r="151" spans="1:15" s="183" customFormat="1" ht="23.25" customHeight="1">
      <c r="A151" s="1493"/>
      <c r="B151" s="1531"/>
      <c r="C151" s="1531"/>
      <c r="D151" s="1531"/>
      <c r="E151" s="1532"/>
      <c r="F151" s="590"/>
      <c r="G151" s="544"/>
      <c r="H151" s="544"/>
      <c r="I151" s="545"/>
      <c r="J151" s="544"/>
      <c r="K151" s="544"/>
      <c r="L151" s="590"/>
      <c r="M151" s="590"/>
      <c r="N151" s="590"/>
      <c r="O151" s="546"/>
    </row>
    <row r="152" spans="1:15" s="183" customFormat="1" ht="23.25" customHeight="1">
      <c r="A152" s="1493"/>
      <c r="B152" s="1531"/>
      <c r="C152" s="1531"/>
      <c r="D152" s="1531"/>
      <c r="E152" s="1532"/>
      <c r="F152" s="590"/>
      <c r="G152" s="544"/>
      <c r="H152" s="544"/>
      <c r="I152" s="545"/>
      <c r="J152" s="544"/>
      <c r="K152" s="544"/>
      <c r="L152" s="590"/>
      <c r="M152" s="590"/>
      <c r="N152" s="590"/>
      <c r="O152" s="546"/>
    </row>
    <row r="153" spans="1:15" s="183" customFormat="1" ht="23.25" customHeight="1">
      <c r="A153" s="1493"/>
      <c r="B153" s="1531"/>
      <c r="C153" s="1531"/>
      <c r="D153" s="1531"/>
      <c r="E153" s="1532"/>
      <c r="F153" s="590"/>
      <c r="G153" s="544"/>
      <c r="H153" s="544"/>
      <c r="I153" s="545"/>
      <c r="J153" s="544"/>
      <c r="K153" s="544"/>
      <c r="L153" s="590"/>
      <c r="M153" s="590"/>
      <c r="N153" s="590"/>
      <c r="O153" s="546"/>
    </row>
    <row r="154" spans="1:15" s="183" customFormat="1" ht="23.25" customHeight="1">
      <c r="A154" s="1493"/>
      <c r="B154" s="1531"/>
      <c r="C154" s="1531"/>
      <c r="D154" s="1531"/>
      <c r="E154" s="1532"/>
      <c r="F154" s="590"/>
      <c r="G154" s="544"/>
      <c r="H154" s="544"/>
      <c r="I154" s="545"/>
      <c r="J154" s="544"/>
      <c r="K154" s="544"/>
      <c r="L154" s="590"/>
      <c r="M154" s="590"/>
      <c r="N154" s="590"/>
      <c r="O154" s="546"/>
    </row>
    <row r="155" spans="1:15" s="183" customFormat="1" ht="23.25" customHeight="1">
      <c r="A155" s="1493"/>
      <c r="B155" s="1531"/>
      <c r="C155" s="1531"/>
      <c r="D155" s="1531"/>
      <c r="E155" s="1532"/>
      <c r="F155" s="590"/>
      <c r="G155" s="544"/>
      <c r="H155" s="544"/>
      <c r="I155" s="545"/>
      <c r="J155" s="544"/>
      <c r="K155" s="544"/>
      <c r="L155" s="590"/>
      <c r="M155" s="590"/>
      <c r="N155" s="590"/>
      <c r="O155" s="546"/>
    </row>
    <row r="156" spans="1:15" s="183" customFormat="1" ht="23.25" customHeight="1">
      <c r="A156" s="1493"/>
      <c r="B156" s="1531"/>
      <c r="C156" s="1531"/>
      <c r="D156" s="1531"/>
      <c r="E156" s="1532"/>
      <c r="F156" s="590"/>
      <c r="G156" s="544"/>
      <c r="H156" s="544"/>
      <c r="I156" s="545"/>
      <c r="J156" s="544"/>
      <c r="K156" s="544"/>
      <c r="L156" s="590"/>
      <c r="M156" s="590"/>
      <c r="N156" s="590"/>
      <c r="O156" s="546"/>
    </row>
    <row r="157" spans="1:15" s="183" customFormat="1" ht="23.25" customHeight="1">
      <c r="A157" s="1493"/>
      <c r="B157" s="1531"/>
      <c r="C157" s="1531"/>
      <c r="D157" s="1531"/>
      <c r="E157" s="1532"/>
      <c r="F157" s="590"/>
      <c r="G157" s="544"/>
      <c r="H157" s="544"/>
      <c r="I157" s="545"/>
      <c r="J157" s="544"/>
      <c r="K157" s="544"/>
      <c r="L157" s="590"/>
      <c r="M157" s="590"/>
      <c r="N157" s="590"/>
      <c r="O157" s="546"/>
    </row>
    <row r="158" spans="1:15" s="183" customFormat="1" ht="23.25" customHeight="1">
      <c r="A158" s="1493"/>
      <c r="B158" s="1531"/>
      <c r="C158" s="1531"/>
      <c r="D158" s="1531"/>
      <c r="E158" s="1532"/>
      <c r="F158" s="590"/>
      <c r="G158" s="544"/>
      <c r="H158" s="544"/>
      <c r="I158" s="545"/>
      <c r="J158" s="544"/>
      <c r="K158" s="544"/>
      <c r="L158" s="590"/>
      <c r="M158" s="590"/>
      <c r="N158" s="590"/>
      <c r="O158" s="546"/>
    </row>
    <row r="159" spans="1:15" s="183" customFormat="1" ht="23.25" customHeight="1">
      <c r="A159" s="1493"/>
      <c r="B159" s="1531"/>
      <c r="C159" s="1531"/>
      <c r="D159" s="1531"/>
      <c r="E159" s="1532"/>
      <c r="F159" s="590"/>
      <c r="G159" s="544"/>
      <c r="H159" s="544"/>
      <c r="I159" s="545"/>
      <c r="J159" s="544"/>
      <c r="K159" s="544"/>
      <c r="L159" s="590"/>
      <c r="M159" s="590"/>
      <c r="N159" s="590"/>
      <c r="O159" s="546"/>
    </row>
    <row r="160" spans="1:15" s="183" customFormat="1" ht="23.25" customHeight="1">
      <c r="A160" s="1493"/>
      <c r="B160" s="1531"/>
      <c r="C160" s="1531"/>
      <c r="D160" s="1531"/>
      <c r="E160" s="1532"/>
      <c r="F160" s="590"/>
      <c r="G160" s="544"/>
      <c r="H160" s="544"/>
      <c r="I160" s="545"/>
      <c r="J160" s="544"/>
      <c r="K160" s="544"/>
      <c r="L160" s="590"/>
      <c r="M160" s="590"/>
      <c r="N160" s="590"/>
      <c r="O160" s="546"/>
    </row>
    <row r="161" spans="1:15" s="183" customFormat="1" ht="23.25" customHeight="1">
      <c r="A161" s="1493"/>
      <c r="B161" s="1531"/>
      <c r="C161" s="1531"/>
      <c r="D161" s="1531"/>
      <c r="E161" s="1532"/>
      <c r="F161" s="590"/>
      <c r="G161" s="544"/>
      <c r="H161" s="544"/>
      <c r="I161" s="545"/>
      <c r="J161" s="544"/>
      <c r="K161" s="544"/>
      <c r="L161" s="590"/>
      <c r="M161" s="590"/>
      <c r="N161" s="590"/>
      <c r="O161" s="546"/>
    </row>
    <row r="162" spans="1:15" s="183" customFormat="1" ht="23.25" customHeight="1">
      <c r="A162" s="1493"/>
      <c r="B162" s="1531"/>
      <c r="C162" s="1531"/>
      <c r="D162" s="1531"/>
      <c r="E162" s="1532"/>
      <c r="F162" s="590"/>
      <c r="G162" s="544"/>
      <c r="H162" s="544"/>
      <c r="I162" s="545"/>
      <c r="J162" s="544"/>
      <c r="K162" s="544"/>
      <c r="L162" s="590"/>
      <c r="M162" s="590"/>
      <c r="N162" s="590"/>
      <c r="O162" s="546"/>
    </row>
    <row r="163" spans="1:15" s="183" customFormat="1" ht="23.25" customHeight="1">
      <c r="A163" s="1493"/>
      <c r="B163" s="1531"/>
      <c r="C163" s="1531"/>
      <c r="D163" s="1531"/>
      <c r="E163" s="1532"/>
      <c r="F163" s="590"/>
      <c r="G163" s="544"/>
      <c r="H163" s="544"/>
      <c r="I163" s="545"/>
      <c r="J163" s="544"/>
      <c r="K163" s="544"/>
      <c r="L163" s="590"/>
      <c r="M163" s="590"/>
      <c r="N163" s="590"/>
      <c r="O163" s="546"/>
    </row>
    <row r="164" spans="1:15" s="183" customFormat="1" ht="23.25" customHeight="1">
      <c r="A164" s="1493"/>
      <c r="B164" s="1531"/>
      <c r="C164" s="1531"/>
      <c r="D164" s="1531"/>
      <c r="E164" s="1532"/>
      <c r="F164" s="590"/>
      <c r="G164" s="544"/>
      <c r="H164" s="544"/>
      <c r="I164" s="545"/>
      <c r="J164" s="544"/>
      <c r="K164" s="544"/>
      <c r="L164" s="590"/>
      <c r="M164" s="590"/>
      <c r="N164" s="590"/>
      <c r="O164" s="546"/>
    </row>
    <row r="165" spans="1:15" s="183" customFormat="1" ht="23.25" customHeight="1">
      <c r="A165" s="1493"/>
      <c r="B165" s="1531"/>
      <c r="C165" s="1531"/>
      <c r="D165" s="1531"/>
      <c r="E165" s="1532"/>
      <c r="F165" s="590"/>
      <c r="G165" s="544"/>
      <c r="H165" s="544"/>
      <c r="I165" s="545"/>
      <c r="J165" s="544"/>
      <c r="K165" s="544"/>
      <c r="L165" s="590"/>
      <c r="M165" s="590"/>
      <c r="N165" s="590"/>
      <c r="O165" s="546"/>
    </row>
    <row r="166" spans="1:15" s="183" customFormat="1" ht="23.25" customHeight="1">
      <c r="A166" s="1493"/>
      <c r="B166" s="1531"/>
      <c r="C166" s="1531"/>
      <c r="D166" s="1531"/>
      <c r="E166" s="1532"/>
      <c r="F166" s="590"/>
      <c r="G166" s="544"/>
      <c r="H166" s="544"/>
      <c r="I166" s="545"/>
      <c r="J166" s="544"/>
      <c r="K166" s="544"/>
      <c r="L166" s="590"/>
      <c r="M166" s="590"/>
      <c r="N166" s="590"/>
      <c r="O166" s="546"/>
    </row>
    <row r="167" spans="1:15" s="183" customFormat="1" ht="23.25" customHeight="1">
      <c r="A167" s="1493"/>
      <c r="B167" s="1531"/>
      <c r="C167" s="1531"/>
      <c r="D167" s="1531"/>
      <c r="E167" s="1532"/>
      <c r="F167" s="590"/>
      <c r="G167" s="544"/>
      <c r="H167" s="544"/>
      <c r="I167" s="545"/>
      <c r="J167" s="544"/>
      <c r="K167" s="544"/>
      <c r="L167" s="590"/>
      <c r="M167" s="590"/>
      <c r="N167" s="590"/>
      <c r="O167" s="546"/>
    </row>
    <row r="168" spans="1:15" s="183" customFormat="1" ht="23.25" customHeight="1">
      <c r="A168" s="1493"/>
      <c r="B168" s="1531"/>
      <c r="C168" s="1531"/>
      <c r="D168" s="1531"/>
      <c r="E168" s="1531"/>
      <c r="F168" s="590"/>
      <c r="G168" s="544"/>
      <c r="H168" s="544"/>
      <c r="I168" s="545"/>
      <c r="J168" s="544"/>
      <c r="K168" s="544"/>
      <c r="L168" s="590"/>
      <c r="M168" s="590"/>
      <c r="N168" s="590"/>
      <c r="O168" s="546"/>
    </row>
    <row r="169" spans="1:15" s="183" customFormat="1" ht="23.25" customHeight="1">
      <c r="A169" s="1493"/>
      <c r="B169" s="1531"/>
      <c r="C169" s="1531"/>
      <c r="D169" s="1531"/>
      <c r="E169" s="1531"/>
      <c r="F169" s="590"/>
      <c r="G169" s="544"/>
      <c r="H169" s="544"/>
      <c r="I169" s="545"/>
      <c r="J169" s="544"/>
      <c r="K169" s="544"/>
      <c r="L169" s="590"/>
      <c r="M169" s="590"/>
      <c r="N169" s="590"/>
      <c r="O169" s="546"/>
    </row>
    <row r="170" spans="1:15" s="183" customFormat="1" ht="23.25" customHeight="1">
      <c r="A170" s="1493"/>
      <c r="B170" s="1531"/>
      <c r="C170" s="1531"/>
      <c r="D170" s="1531"/>
      <c r="E170" s="1531"/>
      <c r="F170" s="590"/>
      <c r="G170" s="544"/>
      <c r="H170" s="544"/>
      <c r="I170" s="545"/>
      <c r="J170" s="544"/>
      <c r="K170" s="544"/>
      <c r="L170" s="590"/>
      <c r="M170" s="590"/>
      <c r="N170" s="590"/>
      <c r="O170" s="546"/>
    </row>
    <row r="171" spans="1:15" s="183" customFormat="1" ht="23.25" customHeight="1">
      <c r="A171" s="1493"/>
      <c r="B171" s="1531"/>
      <c r="C171" s="1531"/>
      <c r="D171" s="1531"/>
      <c r="E171" s="1531"/>
      <c r="F171" s="590"/>
      <c r="G171" s="544"/>
      <c r="H171" s="544"/>
      <c r="I171" s="545"/>
      <c r="J171" s="544"/>
      <c r="K171" s="544"/>
      <c r="L171" s="590"/>
      <c r="M171" s="590"/>
      <c r="N171" s="590"/>
      <c r="O171" s="546"/>
    </row>
    <row r="172" spans="1:15" s="183" customFormat="1" ht="23.25" customHeight="1">
      <c r="A172" s="1493"/>
      <c r="B172" s="1531"/>
      <c r="C172" s="1531"/>
      <c r="D172" s="1531"/>
      <c r="E172" s="1531"/>
      <c r="F172" s="590"/>
      <c r="G172" s="544"/>
      <c r="H172" s="544"/>
      <c r="I172" s="545"/>
      <c r="J172" s="544"/>
      <c r="K172" s="544"/>
      <c r="L172" s="590"/>
      <c r="M172" s="590"/>
      <c r="N172" s="590"/>
      <c r="O172" s="546"/>
    </row>
    <row r="173" spans="1:15" s="183" customFormat="1" ht="23.25" customHeight="1">
      <c r="A173" s="1493"/>
      <c r="B173" s="1531"/>
      <c r="C173" s="1531"/>
      <c r="D173" s="1531"/>
      <c r="E173" s="1531"/>
      <c r="F173" s="590"/>
      <c r="G173" s="544"/>
      <c r="H173" s="544"/>
      <c r="I173" s="545"/>
      <c r="J173" s="544"/>
      <c r="K173" s="544"/>
      <c r="L173" s="590"/>
      <c r="M173" s="590"/>
      <c r="N173" s="590"/>
      <c r="O173" s="546"/>
    </row>
    <row r="174" spans="1:15" s="183" customFormat="1" ht="23.25" customHeight="1" thickBot="1">
      <c r="A174" s="1492"/>
      <c r="B174" s="1552"/>
      <c r="C174" s="1552"/>
      <c r="D174" s="1552"/>
      <c r="E174" s="1552"/>
      <c r="F174" s="1491"/>
      <c r="G174" s="547"/>
      <c r="H174" s="547"/>
      <c r="I174" s="548"/>
      <c r="J174" s="547"/>
      <c r="K174" s="547"/>
      <c r="L174" s="1491"/>
      <c r="M174" s="1491"/>
      <c r="N174" s="1491"/>
      <c r="O174" s="549"/>
    </row>
    <row r="175" spans="1:15" s="183" customFormat="1" ht="23.25" customHeight="1" thickBot="1">
      <c r="A175" s="2701" t="s">
        <v>1984</v>
      </c>
      <c r="B175" s="2702"/>
      <c r="C175" s="1556"/>
      <c r="D175" s="1557"/>
      <c r="E175" s="1557"/>
      <c r="F175" s="1489"/>
      <c r="G175" s="1488">
        <f>SUM(G118:G174)</f>
        <v>0</v>
      </c>
      <c r="H175" s="1488">
        <f>SUM(H118:H174)</f>
        <v>0</v>
      </c>
      <c r="I175" s="1490"/>
      <c r="J175" s="1488">
        <f>SUM(J118:J174)</f>
        <v>0</v>
      </c>
      <c r="K175" s="1488">
        <f>SUM(K118:K174)</f>
        <v>0</v>
      </c>
      <c r="L175" s="1489"/>
      <c r="M175" s="1489"/>
      <c r="N175" s="1489"/>
      <c r="O175" s="1488">
        <f>SUM(O118:O174)</f>
        <v>0</v>
      </c>
    </row>
    <row r="176" spans="1:15" ht="20.25" customHeight="1" thickBot="1">
      <c r="A176" s="2717" t="s">
        <v>425</v>
      </c>
      <c r="B176" s="2718"/>
      <c r="C176" s="2718"/>
      <c r="D176" s="2718"/>
      <c r="E176" s="2718"/>
      <c r="F176" s="2718"/>
      <c r="G176" s="1484">
        <f>+G175+G115</f>
        <v>0</v>
      </c>
      <c r="H176" s="1484">
        <f>+H175+H115</f>
        <v>0</v>
      </c>
      <c r="I176" s="1487"/>
      <c r="J176" s="1484">
        <f>+J175+J115</f>
        <v>0</v>
      </c>
      <c r="K176" s="1484">
        <f>+K175+K115</f>
        <v>0</v>
      </c>
      <c r="L176" s="1486"/>
      <c r="M176" s="1485"/>
      <c r="N176" s="1485"/>
      <c r="O176" s="1484">
        <f>+O175+O115</f>
        <v>0</v>
      </c>
    </row>
    <row r="177" spans="1:14" s="183" customFormat="1" ht="13.5" thickTop="1">
      <c r="B177" s="1558"/>
      <c r="C177" s="1558"/>
      <c r="D177" s="1558"/>
      <c r="E177" s="1558"/>
    </row>
    <row r="178" spans="1:14" s="183" customFormat="1" ht="12.75">
      <c r="A178" s="1249" t="s">
        <v>395</v>
      </c>
      <c r="B178" s="1559"/>
      <c r="C178" s="1558"/>
      <c r="D178" s="1558"/>
      <c r="E178" s="1558"/>
      <c r="L178" s="2609" t="s">
        <v>396</v>
      </c>
      <c r="M178" s="2609"/>
      <c r="N178" s="2609"/>
    </row>
    <row r="179" spans="1:14" s="183" customFormat="1" ht="12.75">
      <c r="A179" s="1249" t="s">
        <v>397</v>
      </c>
      <c r="B179" s="1559"/>
      <c r="C179" s="1558"/>
      <c r="D179" s="1558"/>
      <c r="E179" s="1558"/>
      <c r="L179" s="2715" t="s">
        <v>398</v>
      </c>
      <c r="M179" s="2609"/>
      <c r="N179" s="2609"/>
    </row>
    <row r="180" spans="1:14" s="183" customFormat="1" ht="12.75">
      <c r="B180" s="1558"/>
      <c r="C180" s="1558"/>
      <c r="D180" s="1560" t="s">
        <v>399</v>
      </c>
      <c r="E180" s="1558"/>
      <c r="H180" s="1481" t="s">
        <v>400</v>
      </c>
      <c r="I180" s="342"/>
      <c r="L180" s="2716" t="s">
        <v>401</v>
      </c>
      <c r="M180" s="2716"/>
      <c r="N180" s="2716"/>
    </row>
    <row r="181" spans="1:14" s="183" customFormat="1" ht="12.75">
      <c r="B181" s="1558"/>
      <c r="C181" s="1558"/>
      <c r="D181" s="1561" t="s">
        <v>402</v>
      </c>
      <c r="E181" s="1558"/>
      <c r="H181" s="1480" t="s">
        <v>403</v>
      </c>
      <c r="I181" s="1480"/>
      <c r="L181" s="2609" t="s">
        <v>404</v>
      </c>
      <c r="M181" s="2609"/>
      <c r="N181" s="2609"/>
    </row>
    <row r="182" spans="1:14" s="183" customFormat="1" ht="12.75">
      <c r="B182" s="1558"/>
      <c r="C182" s="1558"/>
      <c r="D182" s="1558"/>
      <c r="E182" s="1558"/>
    </row>
    <row r="183" spans="1:14" s="183" customFormat="1" ht="12.75">
      <c r="B183" s="1558"/>
      <c r="C183" s="1558"/>
      <c r="D183" s="1558"/>
      <c r="E183" s="1558"/>
    </row>
    <row r="184" spans="1:14" s="183" customFormat="1" ht="19.5" customHeight="1">
      <c r="B184" s="1558"/>
      <c r="C184" s="1558"/>
      <c r="D184" s="1558"/>
      <c r="E184" s="1558"/>
      <c r="H184" s="1481"/>
      <c r="L184" s="2716"/>
      <c r="M184" s="2716"/>
    </row>
    <row r="185" spans="1:14" s="183" customFormat="1" ht="12.75">
      <c r="B185" s="1558"/>
      <c r="C185" s="1558"/>
      <c r="D185" s="1558"/>
      <c r="E185" s="1558"/>
      <c r="H185" s="1480"/>
      <c r="L185" s="2609"/>
      <c r="M185" s="2609"/>
    </row>
    <row r="186" spans="1:14" s="183" customFormat="1" ht="12.75">
      <c r="A186" s="1293" t="s">
        <v>1862</v>
      </c>
      <c r="B186" s="1558"/>
      <c r="C186" s="1558"/>
      <c r="D186" s="1558"/>
      <c r="E186" s="1558"/>
    </row>
    <row r="187" spans="1:14" s="183" customFormat="1" ht="12.75">
      <c r="B187" s="1558"/>
      <c r="C187" s="1558"/>
      <c r="D187" s="1558"/>
      <c r="E187" s="1558"/>
    </row>
    <row r="188" spans="1:14" s="183" customFormat="1" ht="12.75">
      <c r="B188" s="1558"/>
      <c r="C188" s="1558"/>
      <c r="D188" s="1558"/>
      <c r="E188" s="1558"/>
    </row>
    <row r="189" spans="1:14" s="183" customFormat="1" ht="12.75">
      <c r="B189" s="1558"/>
      <c r="C189" s="1558"/>
      <c r="D189" s="1558"/>
      <c r="E189" s="1558"/>
    </row>
    <row r="190" spans="1:14" ht="12.75"/>
    <row r="191" spans="1:14" ht="12.75"/>
    <row r="192" spans="1:14"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customHeight="1"/>
    <row r="269" ht="12.75" customHeight="1"/>
  </sheetData>
  <sheetProtection password="C5F7" sheet="1" objects="1" scenarios="1" formatCells="0" formatColumns="0" formatRows="0" insertRows="0" deleteRows="0"/>
  <mergeCells count="43">
    <mergeCell ref="A1:O1"/>
    <mergeCell ref="A2:O2"/>
    <mergeCell ref="A3:O3"/>
    <mergeCell ref="A4:O4"/>
    <mergeCell ref="L11:M11"/>
    <mergeCell ref="N11:O11"/>
    <mergeCell ref="N13:N14"/>
    <mergeCell ref="O13:O14"/>
    <mergeCell ref="A116:B116"/>
    <mergeCell ref="C116:C117"/>
    <mergeCell ref="D116:D117"/>
    <mergeCell ref="E116:E117"/>
    <mergeCell ref="F116:F117"/>
    <mergeCell ref="G13:G14"/>
    <mergeCell ref="A13:A14"/>
    <mergeCell ref="C13:C14"/>
    <mergeCell ref="D13:D14"/>
    <mergeCell ref="L13:L14"/>
    <mergeCell ref="M13:M14"/>
    <mergeCell ref="A117:B117"/>
    <mergeCell ref="I13:I14"/>
    <mergeCell ref="J13:J14"/>
    <mergeCell ref="A175:B175"/>
    <mergeCell ref="A176:F176"/>
    <mergeCell ref="G116:G117"/>
    <mergeCell ref="H116:H117"/>
    <mergeCell ref="H13:H14"/>
    <mergeCell ref="K13:K14"/>
    <mergeCell ref="E13:E14"/>
    <mergeCell ref="F13:F14"/>
    <mergeCell ref="I116:I117"/>
    <mergeCell ref="J116:J117"/>
    <mergeCell ref="K116:K117"/>
    <mergeCell ref="L185:M185"/>
    <mergeCell ref="O116:O117"/>
    <mergeCell ref="L179:N179"/>
    <mergeCell ref="N116:N117"/>
    <mergeCell ref="L178:N178"/>
    <mergeCell ref="L116:L117"/>
    <mergeCell ref="M116:M117"/>
    <mergeCell ref="L180:N180"/>
    <mergeCell ref="L181:N181"/>
    <mergeCell ref="L184:M184"/>
  </mergeCells>
  <dataValidations count="2">
    <dataValidation type="decimal" operator="greaterThanOrEqual" allowBlank="1" showInputMessage="1" showErrorMessage="1" errorTitle="Validation Rule" error="Allow only number" sqref="G15:K115 G118:K175 O118:O175 O15:O115">
      <formula1>0</formula1>
    </dataValidation>
    <dataValidation type="list" allowBlank="1" showInputMessage="1" showErrorMessage="1" sqref="F118:F175 F15:F115">
      <formula1>"Overdraft, Term Loan, Trust Receipt, Bill of Exchange, Financing Commitment, Guarantee, Others"</formula1>
    </dataValidation>
  </dataValidations>
  <pageMargins left="0.25" right="0" top="0.5" bottom="0.5" header="0.5" footer="0.5"/>
  <pageSetup paperSize="9" scale="65" fitToHeight="2"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tabColor theme="0"/>
  </sheetPr>
  <dimension ref="A1:W108"/>
  <sheetViews>
    <sheetView showGridLines="0" topLeftCell="A93" workbookViewId="0">
      <selection activeCell="E86" sqref="E86:P86"/>
    </sheetView>
  </sheetViews>
  <sheetFormatPr defaultColWidth="0" defaultRowHeight="12.75" zeroHeight="1"/>
  <cols>
    <col min="1" max="1" width="7.42578125" style="31" customWidth="1"/>
    <col min="2" max="2" width="4.7109375" style="31" customWidth="1"/>
    <col min="3" max="3" width="6" style="31" customWidth="1"/>
    <col min="4" max="4" width="61.7109375" style="31" customWidth="1"/>
    <col min="5" max="16" width="15.7109375" style="1620" customWidth="1"/>
    <col min="17" max="17" width="18.28515625" style="1620" customWidth="1"/>
    <col min="18" max="18" width="15.7109375" style="1620" customWidth="1"/>
    <col min="19" max="19" width="23.28515625" style="1721" customWidth="1"/>
    <col min="20" max="20" width="21.140625" style="1620" customWidth="1"/>
    <col min="21" max="21" width="23.42578125" style="1620" customWidth="1"/>
    <col min="22" max="22" width="22" style="1620" customWidth="1"/>
    <col min="23" max="23" width="24.28515625" style="1620" customWidth="1"/>
    <col min="24" max="24" width="9.140625" customWidth="1"/>
  </cols>
  <sheetData>
    <row r="1" spans="1:23"/>
    <row r="2" spans="1:23"/>
    <row r="3" spans="1:23" s="191" customFormat="1" ht="31.5" customHeight="1">
      <c r="A3" s="2725" t="s">
        <v>80</v>
      </c>
      <c r="B3" s="2725"/>
      <c r="C3" s="2725"/>
      <c r="D3" s="2725"/>
      <c r="E3" s="2725"/>
      <c r="F3" s="2725"/>
      <c r="G3" s="2725"/>
      <c r="H3" s="2725"/>
      <c r="I3" s="2725"/>
      <c r="J3" s="2725"/>
      <c r="K3" s="2725"/>
      <c r="L3" s="2725"/>
      <c r="M3" s="2725"/>
      <c r="N3" s="2725"/>
      <c r="O3" s="2725"/>
      <c r="P3" s="2725"/>
      <c r="Q3" s="2725"/>
      <c r="R3" s="2725"/>
      <c r="S3" s="2725"/>
      <c r="T3" s="2725"/>
      <c r="U3" s="2725"/>
      <c r="V3" s="2725"/>
      <c r="W3" s="1722"/>
    </row>
    <row r="4" spans="1:23" s="191" customFormat="1" ht="19.5" customHeight="1">
      <c r="A4" s="2726" t="s">
        <v>81</v>
      </c>
      <c r="B4" s="2726"/>
      <c r="C4" s="2726"/>
      <c r="D4" s="2726"/>
      <c r="E4" s="2726"/>
      <c r="F4" s="2726"/>
      <c r="G4" s="2726"/>
      <c r="H4" s="2726"/>
      <c r="I4" s="2726"/>
      <c r="J4" s="2726"/>
      <c r="K4" s="2726"/>
      <c r="L4" s="2726"/>
      <c r="M4" s="2726"/>
      <c r="N4" s="2726"/>
      <c r="O4" s="2726"/>
      <c r="P4" s="2726"/>
      <c r="Q4" s="2726"/>
      <c r="R4" s="2726"/>
      <c r="S4" s="2726"/>
      <c r="T4" s="2726"/>
      <c r="U4" s="2726"/>
      <c r="V4" s="2726"/>
      <c r="W4" s="1722"/>
    </row>
    <row r="5" spans="1:23" s="183" customFormat="1" ht="20.25" customHeight="1">
      <c r="A5" s="2741" t="s">
        <v>475</v>
      </c>
      <c r="B5" s="2741"/>
      <c r="C5" s="2741"/>
      <c r="D5" s="2741"/>
      <c r="E5" s="2741"/>
      <c r="F5" s="2741"/>
      <c r="G5" s="2741"/>
      <c r="H5" s="2741"/>
      <c r="I5" s="2741"/>
      <c r="J5" s="2741"/>
      <c r="K5" s="2741"/>
      <c r="L5" s="2741"/>
      <c r="M5" s="2741"/>
      <c r="N5" s="2741"/>
      <c r="O5" s="2741"/>
      <c r="P5" s="2741"/>
      <c r="Q5" s="2741"/>
      <c r="R5" s="2741"/>
      <c r="S5" s="2741"/>
      <c r="T5" s="2741"/>
      <c r="U5" s="2741"/>
      <c r="V5" s="2741"/>
      <c r="W5" s="872"/>
    </row>
    <row r="6" spans="1:23" s="183" customFormat="1" ht="17.25" customHeight="1">
      <c r="A6" s="2741" t="s">
        <v>82</v>
      </c>
      <c r="B6" s="2741"/>
      <c r="C6" s="2741"/>
      <c r="D6" s="2741"/>
      <c r="E6" s="2741"/>
      <c r="F6" s="2741"/>
      <c r="G6" s="2741"/>
      <c r="H6" s="2741"/>
      <c r="I6" s="2741"/>
      <c r="J6" s="2741"/>
      <c r="K6" s="2741"/>
      <c r="L6" s="2741"/>
      <c r="M6" s="2741"/>
      <c r="N6" s="2741"/>
      <c r="O6" s="2741"/>
      <c r="P6" s="2741"/>
      <c r="Q6" s="2741"/>
      <c r="R6" s="2741"/>
      <c r="S6" s="2741"/>
      <c r="T6" s="2741"/>
      <c r="U6" s="2741"/>
      <c r="V6" s="2741"/>
      <c r="W6" s="872"/>
    </row>
    <row r="7" spans="1:23" s="183" customFormat="1" ht="17.25" customHeight="1">
      <c r="A7" s="843"/>
      <c r="B7" s="843"/>
      <c r="C7" s="843"/>
      <c r="D7" s="843"/>
      <c r="E7" s="1723"/>
      <c r="F7" s="1723"/>
      <c r="G7" s="1723"/>
      <c r="H7" s="1723"/>
      <c r="I7" s="1723"/>
      <c r="J7" s="1723"/>
      <c r="K7" s="1723"/>
      <c r="L7" s="1723"/>
      <c r="M7" s="1723"/>
      <c r="N7" s="1723"/>
      <c r="O7" s="1723"/>
      <c r="P7" s="1723"/>
      <c r="Q7" s="1723"/>
      <c r="R7" s="1723"/>
      <c r="S7" s="1723"/>
      <c r="T7" s="1723"/>
      <c r="U7" s="1723"/>
      <c r="V7" s="872"/>
      <c r="W7" s="872"/>
    </row>
    <row r="8" spans="1:23" s="183" customFormat="1" ht="26.25" customHeight="1">
      <c r="A8" s="965" t="s">
        <v>472</v>
      </c>
      <c r="B8" s="1261"/>
      <c r="C8" s="1261"/>
      <c r="D8" s="618"/>
      <c r="E8" s="1723"/>
      <c r="F8" s="1724"/>
      <c r="G8" s="1724"/>
      <c r="H8" s="1724"/>
      <c r="I8" s="1724"/>
      <c r="J8" s="1724"/>
      <c r="K8" s="1724"/>
      <c r="L8" s="1724"/>
      <c r="M8" s="1724"/>
      <c r="N8" s="1724"/>
      <c r="O8" s="1724"/>
      <c r="P8" s="1724"/>
      <c r="Q8" s="1724"/>
      <c r="R8" s="1724"/>
      <c r="S8" s="1725"/>
      <c r="T8" s="1726"/>
      <c r="U8" s="1726"/>
      <c r="V8" s="1727"/>
      <c r="W8" s="1655" t="s">
        <v>854</v>
      </c>
    </row>
    <row r="9" spans="1:23" s="183" customFormat="1" ht="18.75" customHeight="1">
      <c r="A9" s="274" t="s">
        <v>429</v>
      </c>
      <c r="B9" s="1261"/>
      <c r="C9" s="1261"/>
      <c r="D9" s="618"/>
      <c r="E9" s="872"/>
      <c r="F9" s="1724"/>
      <c r="G9" s="1724"/>
      <c r="H9" s="1724"/>
      <c r="I9" s="1724"/>
      <c r="J9" s="1724"/>
      <c r="K9" s="1724"/>
      <c r="L9" s="1724"/>
      <c r="M9" s="1724"/>
      <c r="N9" s="1724"/>
      <c r="O9" s="1724"/>
      <c r="P9" s="1724"/>
      <c r="Q9" s="1724"/>
      <c r="R9" s="1724"/>
      <c r="S9" s="1725"/>
      <c r="T9" s="1611" t="s">
        <v>38</v>
      </c>
      <c r="U9" s="1726" t="s">
        <v>661</v>
      </c>
      <c r="V9" s="1728" t="s">
        <v>431</v>
      </c>
      <c r="W9" s="1729" t="s">
        <v>365</v>
      </c>
    </row>
    <row r="10" spans="1:23" s="183" customFormat="1" ht="17.25" customHeight="1" thickBot="1">
      <c r="A10" s="618"/>
      <c r="B10" s="618"/>
      <c r="C10" s="618"/>
      <c r="D10" s="618"/>
      <c r="E10" s="1730"/>
      <c r="F10" s="872"/>
      <c r="G10" s="872"/>
      <c r="H10" s="872"/>
      <c r="I10" s="872"/>
      <c r="J10" s="872"/>
      <c r="K10" s="872"/>
      <c r="L10" s="872"/>
      <c r="M10" s="872"/>
      <c r="N10" s="872"/>
      <c r="O10" s="1731"/>
      <c r="P10" s="1732"/>
      <c r="Q10" s="1732"/>
      <c r="R10" s="1732"/>
      <c r="S10" s="1725"/>
      <c r="T10" s="1733" t="s">
        <v>617</v>
      </c>
      <c r="U10" s="1731">
        <v>4000</v>
      </c>
      <c r="V10" s="1734" t="s">
        <v>83</v>
      </c>
      <c r="W10" s="1735" t="s">
        <v>84</v>
      </c>
    </row>
    <row r="11" spans="1:23" ht="29.25" customHeight="1" thickTop="1">
      <c r="A11" s="642"/>
      <c r="B11" s="643"/>
      <c r="C11" s="643"/>
      <c r="D11" s="644" t="s">
        <v>213</v>
      </c>
      <c r="E11" s="2727" t="s">
        <v>85</v>
      </c>
      <c r="F11" s="2728"/>
      <c r="G11" s="2729"/>
      <c r="H11" s="2738" t="s">
        <v>86</v>
      </c>
      <c r="I11" s="2739"/>
      <c r="J11" s="2738" t="s">
        <v>87</v>
      </c>
      <c r="K11" s="2740"/>
      <c r="L11" s="2740"/>
      <c r="M11" s="2740"/>
      <c r="N11" s="2739"/>
      <c r="O11" s="2740" t="s">
        <v>88</v>
      </c>
      <c r="P11" s="2740"/>
      <c r="Q11" s="1736" t="s">
        <v>89</v>
      </c>
      <c r="R11" s="2746" t="s">
        <v>90</v>
      </c>
      <c r="S11" s="2753" t="s">
        <v>91</v>
      </c>
      <c r="T11" s="2755" t="s">
        <v>92</v>
      </c>
      <c r="U11" s="2749" t="s">
        <v>93</v>
      </c>
      <c r="V11" s="2751" t="s">
        <v>94</v>
      </c>
      <c r="W11" s="2742" t="s">
        <v>848</v>
      </c>
    </row>
    <row r="12" spans="1:23" ht="27.75" customHeight="1">
      <c r="A12" s="645"/>
      <c r="B12" s="646"/>
      <c r="C12" s="647"/>
      <c r="D12" s="648"/>
      <c r="E12" s="2734" t="s">
        <v>95</v>
      </c>
      <c r="F12" s="2735"/>
      <c r="G12" s="2736"/>
      <c r="H12" s="2737" t="s">
        <v>96</v>
      </c>
      <c r="I12" s="2737"/>
      <c r="J12" s="2732" t="s">
        <v>97</v>
      </c>
      <c r="K12" s="2732"/>
      <c r="L12" s="2732"/>
      <c r="M12" s="2732"/>
      <c r="N12" s="2732"/>
      <c r="O12" s="2732" t="s">
        <v>98</v>
      </c>
      <c r="P12" s="2748"/>
      <c r="Q12" s="1737" t="s">
        <v>99</v>
      </c>
      <c r="R12" s="2747"/>
      <c r="S12" s="2754"/>
      <c r="T12" s="2756"/>
      <c r="U12" s="2750"/>
      <c r="V12" s="2752"/>
      <c r="W12" s="2743"/>
    </row>
    <row r="13" spans="1:23" ht="42.75" customHeight="1">
      <c r="A13" s="645"/>
      <c r="B13" s="649" t="s">
        <v>214</v>
      </c>
      <c r="C13" s="647"/>
      <c r="D13" s="648"/>
      <c r="E13" s="1738" t="s">
        <v>100</v>
      </c>
      <c r="F13" s="1739" t="s">
        <v>101</v>
      </c>
      <c r="G13" s="1740" t="s">
        <v>102</v>
      </c>
      <c r="H13" s="1741" t="s">
        <v>103</v>
      </c>
      <c r="I13" s="1742" t="s">
        <v>104</v>
      </c>
      <c r="J13" s="1741" t="s">
        <v>105</v>
      </c>
      <c r="K13" s="1741" t="s">
        <v>106</v>
      </c>
      <c r="L13" s="1741" t="s">
        <v>107</v>
      </c>
      <c r="M13" s="1741" t="s">
        <v>108</v>
      </c>
      <c r="N13" s="1742" t="s">
        <v>111</v>
      </c>
      <c r="O13" s="1741" t="s">
        <v>112</v>
      </c>
      <c r="P13" s="1741" t="s">
        <v>113</v>
      </c>
      <c r="Q13" s="1743" t="s">
        <v>114</v>
      </c>
      <c r="R13" s="1744" t="s">
        <v>115</v>
      </c>
      <c r="S13" s="1745" t="s">
        <v>116</v>
      </c>
      <c r="T13" s="1746" t="s">
        <v>117</v>
      </c>
      <c r="U13" s="1747" t="s">
        <v>118</v>
      </c>
      <c r="V13" s="1748" t="s">
        <v>119</v>
      </c>
      <c r="W13" s="1749" t="s">
        <v>849</v>
      </c>
    </row>
    <row r="14" spans="1:23" ht="32.25" customHeight="1" thickBot="1">
      <c r="A14" s="650"/>
      <c r="B14" s="651"/>
      <c r="C14" s="652"/>
      <c r="D14" s="653"/>
      <c r="E14" s="1750" t="s">
        <v>120</v>
      </c>
      <c r="F14" s="1751" t="s">
        <v>121</v>
      </c>
      <c r="G14" s="1751" t="s">
        <v>122</v>
      </c>
      <c r="H14" s="1751" t="s">
        <v>123</v>
      </c>
      <c r="I14" s="1751" t="s">
        <v>124</v>
      </c>
      <c r="J14" s="1752" t="s">
        <v>125</v>
      </c>
      <c r="K14" s="1752" t="s">
        <v>126</v>
      </c>
      <c r="L14" s="1752" t="s">
        <v>127</v>
      </c>
      <c r="M14" s="1752" t="s">
        <v>128</v>
      </c>
      <c r="N14" s="1752" t="s">
        <v>129</v>
      </c>
      <c r="O14" s="1753" t="s">
        <v>130</v>
      </c>
      <c r="P14" s="1754" t="s">
        <v>131</v>
      </c>
      <c r="Q14" s="1755" t="s">
        <v>39</v>
      </c>
      <c r="R14" s="1756" t="s">
        <v>40</v>
      </c>
      <c r="S14" s="1757" t="s">
        <v>132</v>
      </c>
      <c r="T14" s="1758" t="s">
        <v>42</v>
      </c>
      <c r="U14" s="1759" t="s">
        <v>43</v>
      </c>
      <c r="V14" s="1760" t="s">
        <v>133</v>
      </c>
      <c r="W14" s="1761" t="s">
        <v>880</v>
      </c>
    </row>
    <row r="15" spans="1:23" s="67" customFormat="1" ht="26.25" customHeight="1">
      <c r="A15" s="619" t="s">
        <v>380</v>
      </c>
      <c r="B15" s="620" t="s">
        <v>215</v>
      </c>
      <c r="C15" s="621"/>
      <c r="D15" s="622"/>
      <c r="E15" s="1762">
        <f t="shared" ref="E15:R15" si="0">E16+E17+E21</f>
        <v>0</v>
      </c>
      <c r="F15" s="1762">
        <f t="shared" si="0"/>
        <v>0</v>
      </c>
      <c r="G15" s="1762">
        <f t="shared" si="0"/>
        <v>0</v>
      </c>
      <c r="H15" s="1762">
        <f t="shared" si="0"/>
        <v>0</v>
      </c>
      <c r="I15" s="1762">
        <f t="shared" si="0"/>
        <v>0</v>
      </c>
      <c r="J15" s="1762">
        <f t="shared" si="0"/>
        <v>0</v>
      </c>
      <c r="K15" s="1762">
        <f t="shared" si="0"/>
        <v>0</v>
      </c>
      <c r="L15" s="1762">
        <f t="shared" si="0"/>
        <v>0</v>
      </c>
      <c r="M15" s="1762">
        <f t="shared" si="0"/>
        <v>0</v>
      </c>
      <c r="N15" s="1762">
        <f t="shared" si="0"/>
        <v>0</v>
      </c>
      <c r="O15" s="1762">
        <f t="shared" si="0"/>
        <v>0</v>
      </c>
      <c r="P15" s="1763">
        <f t="shared" si="0"/>
        <v>0</v>
      </c>
      <c r="Q15" s="1764">
        <f t="shared" si="0"/>
        <v>0</v>
      </c>
      <c r="R15" s="1765">
        <f t="shared" si="0"/>
        <v>0</v>
      </c>
      <c r="S15" s="1766">
        <f t="shared" ref="S15:S46" si="1">Q15+R15</f>
        <v>0</v>
      </c>
      <c r="T15" s="1767">
        <f>T16+T17+T21</f>
        <v>0</v>
      </c>
      <c r="U15" s="1768">
        <f>U16+U17+U21</f>
        <v>0</v>
      </c>
      <c r="V15" s="1769">
        <f t="shared" ref="V15:V46" si="2">S15-U15</f>
        <v>0</v>
      </c>
      <c r="W15" s="1770">
        <f>W16+W17+W21</f>
        <v>0</v>
      </c>
    </row>
    <row r="16" spans="1:23" s="67" customFormat="1" ht="27.75" customHeight="1">
      <c r="A16" s="623"/>
      <c r="B16" s="624" t="s">
        <v>382</v>
      </c>
      <c r="C16" s="625" t="s">
        <v>216</v>
      </c>
      <c r="D16" s="626"/>
      <c r="E16" s="1771"/>
      <c r="F16" s="1771"/>
      <c r="G16" s="1771">
        <v>0</v>
      </c>
      <c r="H16" s="1771">
        <v>0</v>
      </c>
      <c r="I16" s="1771">
        <v>0</v>
      </c>
      <c r="J16" s="1771">
        <v>0</v>
      </c>
      <c r="K16" s="1771">
        <v>0</v>
      </c>
      <c r="L16" s="1771">
        <v>0</v>
      </c>
      <c r="M16" s="1771">
        <v>0</v>
      </c>
      <c r="N16" s="1771">
        <v>0</v>
      </c>
      <c r="O16" s="1771">
        <v>0</v>
      </c>
      <c r="P16" s="1772">
        <v>0</v>
      </c>
      <c r="Q16" s="1773">
        <f t="shared" ref="Q16:Q28" si="3">SUM(E16:P16)</f>
        <v>0</v>
      </c>
      <c r="R16" s="1774">
        <v>0</v>
      </c>
      <c r="S16" s="1775">
        <f t="shared" si="1"/>
        <v>0</v>
      </c>
      <c r="T16" s="1776">
        <v>0</v>
      </c>
      <c r="U16" s="1776">
        <v>0</v>
      </c>
      <c r="V16" s="1777">
        <f t="shared" si="2"/>
        <v>0</v>
      </c>
      <c r="W16" s="1778">
        <v>0</v>
      </c>
    </row>
    <row r="17" spans="1:23" s="67" customFormat="1" ht="27.75" customHeight="1">
      <c r="A17" s="623"/>
      <c r="B17" s="624" t="s">
        <v>384</v>
      </c>
      <c r="C17" s="591" t="s">
        <v>217</v>
      </c>
      <c r="D17" s="626"/>
      <c r="E17" s="1779">
        <f t="shared" ref="E17:P17" si="4">SUM(E18:E20)</f>
        <v>0</v>
      </c>
      <c r="F17" s="1779">
        <f t="shared" si="4"/>
        <v>0</v>
      </c>
      <c r="G17" s="1779">
        <f t="shared" si="4"/>
        <v>0</v>
      </c>
      <c r="H17" s="1779">
        <f t="shared" si="4"/>
        <v>0</v>
      </c>
      <c r="I17" s="1779">
        <f t="shared" si="4"/>
        <v>0</v>
      </c>
      <c r="J17" s="1779">
        <f t="shared" si="4"/>
        <v>0</v>
      </c>
      <c r="K17" s="1779">
        <f t="shared" si="4"/>
        <v>0</v>
      </c>
      <c r="L17" s="1779">
        <f t="shared" si="4"/>
        <v>0</v>
      </c>
      <c r="M17" s="1779">
        <f t="shared" si="4"/>
        <v>0</v>
      </c>
      <c r="N17" s="1779">
        <f t="shared" si="4"/>
        <v>0</v>
      </c>
      <c r="O17" s="1779">
        <f t="shared" si="4"/>
        <v>0</v>
      </c>
      <c r="P17" s="1780">
        <f t="shared" si="4"/>
        <v>0</v>
      </c>
      <c r="Q17" s="1773">
        <f t="shared" si="3"/>
        <v>0</v>
      </c>
      <c r="R17" s="1781">
        <f>SUM(R18:R20)</f>
        <v>0</v>
      </c>
      <c r="S17" s="1775">
        <f t="shared" si="1"/>
        <v>0</v>
      </c>
      <c r="T17" s="1782">
        <f>SUM(T18:T20)</f>
        <v>0</v>
      </c>
      <c r="U17" s="1783">
        <f>SUM(U18:U20)</f>
        <v>0</v>
      </c>
      <c r="V17" s="1777">
        <f t="shared" si="2"/>
        <v>0</v>
      </c>
      <c r="W17" s="1784">
        <f>SUM(W18:W20)</f>
        <v>0</v>
      </c>
    </row>
    <row r="18" spans="1:23" s="67" customFormat="1" ht="26.25" customHeight="1">
      <c r="A18" s="623"/>
      <c r="B18" s="624"/>
      <c r="C18" s="627" t="s">
        <v>512</v>
      </c>
      <c r="D18" s="628" t="s">
        <v>218</v>
      </c>
      <c r="E18" s="1771">
        <v>0</v>
      </c>
      <c r="F18" s="1771">
        <v>0</v>
      </c>
      <c r="G18" s="1771">
        <v>0</v>
      </c>
      <c r="H18" s="1771">
        <v>0</v>
      </c>
      <c r="I18" s="1771">
        <v>0</v>
      </c>
      <c r="J18" s="1771">
        <v>0</v>
      </c>
      <c r="K18" s="1771">
        <v>0</v>
      </c>
      <c r="L18" s="1771">
        <v>0</v>
      </c>
      <c r="M18" s="1771">
        <v>0</v>
      </c>
      <c r="N18" s="1771">
        <v>0</v>
      </c>
      <c r="O18" s="1771">
        <v>0</v>
      </c>
      <c r="P18" s="1772">
        <v>0</v>
      </c>
      <c r="Q18" s="1773">
        <f t="shared" si="3"/>
        <v>0</v>
      </c>
      <c r="R18" s="1774">
        <v>0</v>
      </c>
      <c r="S18" s="1775">
        <f t="shared" si="1"/>
        <v>0</v>
      </c>
      <c r="T18" s="1776">
        <v>0</v>
      </c>
      <c r="U18" s="1776">
        <v>0</v>
      </c>
      <c r="V18" s="1777">
        <f t="shared" si="2"/>
        <v>0</v>
      </c>
      <c r="W18" s="1778">
        <v>0</v>
      </c>
    </row>
    <row r="19" spans="1:23" s="67" customFormat="1" ht="26.25" customHeight="1">
      <c r="A19" s="623"/>
      <c r="B19" s="624"/>
      <c r="C19" s="629" t="s">
        <v>514</v>
      </c>
      <c r="D19" s="630" t="s">
        <v>219</v>
      </c>
      <c r="E19" s="1771">
        <v>0</v>
      </c>
      <c r="F19" s="1771">
        <v>0</v>
      </c>
      <c r="G19" s="1771">
        <v>0</v>
      </c>
      <c r="H19" s="1771">
        <v>0</v>
      </c>
      <c r="I19" s="1771">
        <v>0</v>
      </c>
      <c r="J19" s="1771">
        <v>0</v>
      </c>
      <c r="K19" s="1771">
        <v>0</v>
      </c>
      <c r="L19" s="1771">
        <v>0</v>
      </c>
      <c r="M19" s="1771">
        <v>0</v>
      </c>
      <c r="N19" s="1771">
        <v>0</v>
      </c>
      <c r="O19" s="1771">
        <v>0</v>
      </c>
      <c r="P19" s="1772">
        <v>0</v>
      </c>
      <c r="Q19" s="1773">
        <f t="shared" si="3"/>
        <v>0</v>
      </c>
      <c r="R19" s="1774">
        <v>0</v>
      </c>
      <c r="S19" s="1775">
        <f t="shared" si="1"/>
        <v>0</v>
      </c>
      <c r="T19" s="1776">
        <v>0</v>
      </c>
      <c r="U19" s="1776">
        <v>0</v>
      </c>
      <c r="V19" s="1777">
        <f t="shared" si="2"/>
        <v>0</v>
      </c>
      <c r="W19" s="1778">
        <v>0</v>
      </c>
    </row>
    <row r="20" spans="1:23" s="67" customFormat="1" ht="24.75" customHeight="1">
      <c r="A20" s="623"/>
      <c r="B20" s="624"/>
      <c r="C20" s="627" t="s">
        <v>134</v>
      </c>
      <c r="D20" s="628" t="s">
        <v>220</v>
      </c>
      <c r="E20" s="1771">
        <v>0</v>
      </c>
      <c r="F20" s="1771">
        <v>0</v>
      </c>
      <c r="G20" s="1771">
        <v>0</v>
      </c>
      <c r="H20" s="1771">
        <v>0</v>
      </c>
      <c r="I20" s="1771">
        <v>0</v>
      </c>
      <c r="J20" s="1771">
        <v>0</v>
      </c>
      <c r="K20" s="1771">
        <v>0</v>
      </c>
      <c r="L20" s="1771">
        <v>0</v>
      </c>
      <c r="M20" s="1771">
        <v>0</v>
      </c>
      <c r="N20" s="1771">
        <v>0</v>
      </c>
      <c r="O20" s="1771">
        <v>0</v>
      </c>
      <c r="P20" s="1772">
        <v>0</v>
      </c>
      <c r="Q20" s="1773">
        <f t="shared" si="3"/>
        <v>0</v>
      </c>
      <c r="R20" s="1774">
        <v>0</v>
      </c>
      <c r="S20" s="1775">
        <f t="shared" si="1"/>
        <v>0</v>
      </c>
      <c r="T20" s="1776">
        <v>0</v>
      </c>
      <c r="U20" s="1776">
        <v>0</v>
      </c>
      <c r="V20" s="1777">
        <f t="shared" si="2"/>
        <v>0</v>
      </c>
      <c r="W20" s="1778">
        <v>0</v>
      </c>
    </row>
    <row r="21" spans="1:23" s="67" customFormat="1" ht="27.75">
      <c r="A21" s="623"/>
      <c r="B21" s="624" t="s">
        <v>385</v>
      </c>
      <c r="C21" s="625" t="s">
        <v>221</v>
      </c>
      <c r="D21" s="626"/>
      <c r="E21" s="1779">
        <f t="shared" ref="E21:P21" si="5">SUM(E22:E28)</f>
        <v>0</v>
      </c>
      <c r="F21" s="1779">
        <f t="shared" si="5"/>
        <v>0</v>
      </c>
      <c r="G21" s="1779">
        <f t="shared" si="5"/>
        <v>0</v>
      </c>
      <c r="H21" s="1779">
        <f t="shared" si="5"/>
        <v>0</v>
      </c>
      <c r="I21" s="1779">
        <f t="shared" si="5"/>
        <v>0</v>
      </c>
      <c r="J21" s="1779">
        <f t="shared" si="5"/>
        <v>0</v>
      </c>
      <c r="K21" s="1779">
        <f t="shared" si="5"/>
        <v>0</v>
      </c>
      <c r="L21" s="1779">
        <f t="shared" si="5"/>
        <v>0</v>
      </c>
      <c r="M21" s="1779">
        <f t="shared" si="5"/>
        <v>0</v>
      </c>
      <c r="N21" s="1779">
        <f t="shared" si="5"/>
        <v>0</v>
      </c>
      <c r="O21" s="1779">
        <f t="shared" si="5"/>
        <v>0</v>
      </c>
      <c r="P21" s="1780">
        <f t="shared" si="5"/>
        <v>0</v>
      </c>
      <c r="Q21" s="1773">
        <f t="shared" si="3"/>
        <v>0</v>
      </c>
      <c r="R21" s="1781">
        <f>SUM(R22:R28)</f>
        <v>0</v>
      </c>
      <c r="S21" s="1775">
        <f t="shared" si="1"/>
        <v>0</v>
      </c>
      <c r="T21" s="1782">
        <f>SUM(T22:T28)</f>
        <v>0</v>
      </c>
      <c r="U21" s="1783">
        <f>SUM(U22:U28)</f>
        <v>0</v>
      </c>
      <c r="V21" s="1777">
        <f t="shared" si="2"/>
        <v>0</v>
      </c>
      <c r="W21" s="1785">
        <f>SUM(W22:W28)</f>
        <v>0</v>
      </c>
    </row>
    <row r="22" spans="1:23" s="67" customFormat="1" ht="26.25" customHeight="1">
      <c r="A22" s="623"/>
      <c r="B22" s="624"/>
      <c r="C22" s="627" t="s">
        <v>517</v>
      </c>
      <c r="D22" s="631" t="s">
        <v>222</v>
      </c>
      <c r="E22" s="1771">
        <v>0</v>
      </c>
      <c r="F22" s="1771">
        <v>0</v>
      </c>
      <c r="G22" s="1771">
        <v>0</v>
      </c>
      <c r="H22" s="1771">
        <v>0</v>
      </c>
      <c r="I22" s="1771">
        <v>0</v>
      </c>
      <c r="J22" s="1771">
        <v>0</v>
      </c>
      <c r="K22" s="1771">
        <v>0</v>
      </c>
      <c r="L22" s="1771">
        <v>0</v>
      </c>
      <c r="M22" s="1771">
        <v>0</v>
      </c>
      <c r="N22" s="1771">
        <v>0</v>
      </c>
      <c r="O22" s="1771">
        <v>0</v>
      </c>
      <c r="P22" s="1772">
        <v>0</v>
      </c>
      <c r="Q22" s="1773">
        <f t="shared" si="3"/>
        <v>0</v>
      </c>
      <c r="R22" s="1774">
        <v>0</v>
      </c>
      <c r="S22" s="1775">
        <f t="shared" si="1"/>
        <v>0</v>
      </c>
      <c r="T22" s="1776">
        <v>0</v>
      </c>
      <c r="U22" s="1776">
        <v>0</v>
      </c>
      <c r="V22" s="1777">
        <f t="shared" si="2"/>
        <v>0</v>
      </c>
      <c r="W22" s="1778">
        <v>0</v>
      </c>
    </row>
    <row r="23" spans="1:23" s="67" customFormat="1" ht="29.25">
      <c r="A23" s="623"/>
      <c r="B23" s="624"/>
      <c r="C23" s="627" t="s">
        <v>519</v>
      </c>
      <c r="D23" s="631" t="s">
        <v>223</v>
      </c>
      <c r="E23" s="1771">
        <v>0</v>
      </c>
      <c r="F23" s="1771">
        <v>0</v>
      </c>
      <c r="G23" s="1771">
        <v>0</v>
      </c>
      <c r="H23" s="1771">
        <v>0</v>
      </c>
      <c r="I23" s="1771">
        <v>0</v>
      </c>
      <c r="J23" s="1771">
        <v>0</v>
      </c>
      <c r="K23" s="1771">
        <v>0</v>
      </c>
      <c r="L23" s="1771">
        <v>0</v>
      </c>
      <c r="M23" s="1771">
        <v>0</v>
      </c>
      <c r="N23" s="1771">
        <v>0</v>
      </c>
      <c r="O23" s="1771">
        <v>0</v>
      </c>
      <c r="P23" s="1772">
        <v>0</v>
      </c>
      <c r="Q23" s="1773">
        <f t="shared" si="3"/>
        <v>0</v>
      </c>
      <c r="R23" s="1774">
        <v>0</v>
      </c>
      <c r="S23" s="1775">
        <f t="shared" si="1"/>
        <v>0</v>
      </c>
      <c r="T23" s="1776">
        <v>0</v>
      </c>
      <c r="U23" s="1776">
        <v>0</v>
      </c>
      <c r="V23" s="1777">
        <f t="shared" si="2"/>
        <v>0</v>
      </c>
      <c r="W23" s="1778">
        <v>0</v>
      </c>
    </row>
    <row r="24" spans="1:23" s="67" customFormat="1" ht="26.25" customHeight="1">
      <c r="A24" s="623"/>
      <c r="B24" s="624"/>
      <c r="C24" s="627" t="s">
        <v>135</v>
      </c>
      <c r="D24" s="631" t="s">
        <v>224</v>
      </c>
      <c r="E24" s="1771">
        <v>0</v>
      </c>
      <c r="F24" s="1771">
        <v>0</v>
      </c>
      <c r="G24" s="1771">
        <v>0</v>
      </c>
      <c r="H24" s="1771">
        <v>0</v>
      </c>
      <c r="I24" s="1771">
        <v>0</v>
      </c>
      <c r="J24" s="1771">
        <v>0</v>
      </c>
      <c r="K24" s="1771">
        <v>0</v>
      </c>
      <c r="L24" s="1771">
        <v>0</v>
      </c>
      <c r="M24" s="1771">
        <v>0</v>
      </c>
      <c r="N24" s="1771">
        <v>0</v>
      </c>
      <c r="O24" s="1771">
        <v>0</v>
      </c>
      <c r="P24" s="1772">
        <v>0</v>
      </c>
      <c r="Q24" s="1773">
        <f t="shared" si="3"/>
        <v>0</v>
      </c>
      <c r="R24" s="1774">
        <v>0</v>
      </c>
      <c r="S24" s="1775">
        <f t="shared" si="1"/>
        <v>0</v>
      </c>
      <c r="T24" s="1776">
        <v>0</v>
      </c>
      <c r="U24" s="1776">
        <v>0</v>
      </c>
      <c r="V24" s="1777">
        <f t="shared" si="2"/>
        <v>0</v>
      </c>
      <c r="W24" s="1778">
        <v>0</v>
      </c>
    </row>
    <row r="25" spans="1:23" s="67" customFormat="1" ht="26.25" customHeight="1">
      <c r="A25" s="623"/>
      <c r="B25" s="624"/>
      <c r="C25" s="627" t="s">
        <v>136</v>
      </c>
      <c r="D25" s="631" t="s">
        <v>225</v>
      </c>
      <c r="E25" s="1771">
        <v>0</v>
      </c>
      <c r="F25" s="1771">
        <v>0</v>
      </c>
      <c r="G25" s="1771">
        <v>0</v>
      </c>
      <c r="H25" s="1771">
        <v>0</v>
      </c>
      <c r="I25" s="1771">
        <v>0</v>
      </c>
      <c r="J25" s="1771">
        <v>0</v>
      </c>
      <c r="K25" s="1771">
        <v>0</v>
      </c>
      <c r="L25" s="1771">
        <v>0</v>
      </c>
      <c r="M25" s="1771">
        <v>0</v>
      </c>
      <c r="N25" s="1771">
        <v>0</v>
      </c>
      <c r="O25" s="1771">
        <v>0</v>
      </c>
      <c r="P25" s="1772">
        <v>0</v>
      </c>
      <c r="Q25" s="1773">
        <f t="shared" si="3"/>
        <v>0</v>
      </c>
      <c r="R25" s="1774">
        <v>0</v>
      </c>
      <c r="S25" s="1775">
        <f t="shared" si="1"/>
        <v>0</v>
      </c>
      <c r="T25" s="1776">
        <v>0</v>
      </c>
      <c r="U25" s="1776">
        <v>0</v>
      </c>
      <c r="V25" s="1777">
        <f t="shared" si="2"/>
        <v>0</v>
      </c>
      <c r="W25" s="1778">
        <v>0</v>
      </c>
    </row>
    <row r="26" spans="1:23" s="67" customFormat="1" ht="26.25" customHeight="1">
      <c r="A26" s="623"/>
      <c r="B26" s="624"/>
      <c r="C26" s="627" t="s">
        <v>137</v>
      </c>
      <c r="D26" s="631" t="s">
        <v>226</v>
      </c>
      <c r="E26" s="1771">
        <v>0</v>
      </c>
      <c r="F26" s="1771">
        <v>0</v>
      </c>
      <c r="G26" s="1771">
        <v>0</v>
      </c>
      <c r="H26" s="1771">
        <v>0</v>
      </c>
      <c r="I26" s="1771">
        <v>0</v>
      </c>
      <c r="J26" s="1771">
        <v>0</v>
      </c>
      <c r="K26" s="1771">
        <v>0</v>
      </c>
      <c r="L26" s="1771">
        <v>0</v>
      </c>
      <c r="M26" s="1771">
        <v>0</v>
      </c>
      <c r="N26" s="1771">
        <v>0</v>
      </c>
      <c r="O26" s="1771">
        <v>0</v>
      </c>
      <c r="P26" s="1772">
        <v>0</v>
      </c>
      <c r="Q26" s="1773">
        <f t="shared" si="3"/>
        <v>0</v>
      </c>
      <c r="R26" s="1774">
        <v>0</v>
      </c>
      <c r="S26" s="1775">
        <f t="shared" si="1"/>
        <v>0</v>
      </c>
      <c r="T26" s="1776">
        <v>0</v>
      </c>
      <c r="U26" s="1776">
        <v>0</v>
      </c>
      <c r="V26" s="1777">
        <f t="shared" si="2"/>
        <v>0</v>
      </c>
      <c r="W26" s="1778">
        <v>0</v>
      </c>
    </row>
    <row r="27" spans="1:23" s="67" customFormat="1" ht="29.25">
      <c r="A27" s="623"/>
      <c r="B27" s="624"/>
      <c r="C27" s="627" t="s">
        <v>138</v>
      </c>
      <c r="D27" s="631" t="s">
        <v>227</v>
      </c>
      <c r="E27" s="1771">
        <v>0</v>
      </c>
      <c r="F27" s="1771">
        <v>0</v>
      </c>
      <c r="G27" s="1771">
        <v>0</v>
      </c>
      <c r="H27" s="1771">
        <v>0</v>
      </c>
      <c r="I27" s="1771">
        <v>0</v>
      </c>
      <c r="J27" s="1771">
        <v>0</v>
      </c>
      <c r="K27" s="1771">
        <v>0</v>
      </c>
      <c r="L27" s="1771">
        <v>0</v>
      </c>
      <c r="M27" s="1771">
        <v>0</v>
      </c>
      <c r="N27" s="1771">
        <v>0</v>
      </c>
      <c r="O27" s="1771">
        <v>0</v>
      </c>
      <c r="P27" s="1772">
        <v>0</v>
      </c>
      <c r="Q27" s="1773">
        <f t="shared" si="3"/>
        <v>0</v>
      </c>
      <c r="R27" s="1774">
        <v>0</v>
      </c>
      <c r="S27" s="1775">
        <f t="shared" si="1"/>
        <v>0</v>
      </c>
      <c r="T27" s="1776">
        <v>0</v>
      </c>
      <c r="U27" s="1776">
        <v>0</v>
      </c>
      <c r="V27" s="1777">
        <f t="shared" si="2"/>
        <v>0</v>
      </c>
      <c r="W27" s="1778">
        <v>0</v>
      </c>
    </row>
    <row r="28" spans="1:23" s="67" customFormat="1" ht="41.25" customHeight="1">
      <c r="A28" s="623"/>
      <c r="B28" s="624"/>
      <c r="C28" s="627" t="s">
        <v>139</v>
      </c>
      <c r="D28" s="632" t="s">
        <v>228</v>
      </c>
      <c r="E28" s="1771">
        <v>0</v>
      </c>
      <c r="F28" s="1771">
        <v>0</v>
      </c>
      <c r="G28" s="1771">
        <v>0</v>
      </c>
      <c r="H28" s="1771">
        <v>0</v>
      </c>
      <c r="I28" s="1771">
        <v>0</v>
      </c>
      <c r="J28" s="1771">
        <v>0</v>
      </c>
      <c r="K28" s="1771">
        <v>0</v>
      </c>
      <c r="L28" s="1771">
        <v>0</v>
      </c>
      <c r="M28" s="1771">
        <v>0</v>
      </c>
      <c r="N28" s="1771">
        <v>0</v>
      </c>
      <c r="O28" s="1771">
        <v>0</v>
      </c>
      <c r="P28" s="1772">
        <v>0</v>
      </c>
      <c r="Q28" s="1773">
        <f t="shared" si="3"/>
        <v>0</v>
      </c>
      <c r="R28" s="1774">
        <v>0</v>
      </c>
      <c r="S28" s="1775">
        <f t="shared" si="1"/>
        <v>0</v>
      </c>
      <c r="T28" s="1776">
        <v>0</v>
      </c>
      <c r="U28" s="1776">
        <v>0</v>
      </c>
      <c r="V28" s="1777">
        <f t="shared" si="2"/>
        <v>0</v>
      </c>
      <c r="W28" s="1778">
        <v>0</v>
      </c>
    </row>
    <row r="29" spans="1:23" s="67" customFormat="1" ht="21">
      <c r="A29" s="633" t="s">
        <v>388</v>
      </c>
      <c r="B29" s="634" t="s">
        <v>229</v>
      </c>
      <c r="C29" s="624"/>
      <c r="D29" s="626"/>
      <c r="E29" s="1786">
        <f t="shared" ref="E29:R29" si="6">E30+E34+E35+E47+E52+E61+E65+E66+E67+E68+E69+E70+E77</f>
        <v>0</v>
      </c>
      <c r="F29" s="1786">
        <f t="shared" si="6"/>
        <v>0</v>
      </c>
      <c r="G29" s="1786">
        <f t="shared" si="6"/>
        <v>0</v>
      </c>
      <c r="H29" s="1786">
        <f t="shared" si="6"/>
        <v>0</v>
      </c>
      <c r="I29" s="1786">
        <f t="shared" si="6"/>
        <v>0</v>
      </c>
      <c r="J29" s="1786">
        <f t="shared" si="6"/>
        <v>0</v>
      </c>
      <c r="K29" s="1786">
        <f t="shared" si="6"/>
        <v>0</v>
      </c>
      <c r="L29" s="1786">
        <f t="shared" si="6"/>
        <v>0</v>
      </c>
      <c r="M29" s="1786">
        <f t="shared" si="6"/>
        <v>0</v>
      </c>
      <c r="N29" s="1786">
        <f t="shared" si="6"/>
        <v>0</v>
      </c>
      <c r="O29" s="1786">
        <f t="shared" si="6"/>
        <v>0</v>
      </c>
      <c r="P29" s="1787">
        <f t="shared" si="6"/>
        <v>0</v>
      </c>
      <c r="Q29" s="1773">
        <f t="shared" si="6"/>
        <v>0</v>
      </c>
      <c r="R29" s="1788">
        <f t="shared" si="6"/>
        <v>0</v>
      </c>
      <c r="S29" s="1789">
        <f t="shared" si="1"/>
        <v>0</v>
      </c>
      <c r="T29" s="1790">
        <f>T30+T34+T35+T47+T52+T61+T65+T66+T67+T68+T69+T70+T77</f>
        <v>0</v>
      </c>
      <c r="U29" s="1791">
        <f>U30+U34+U35+U47+U52+U61+U65+U66+U67+U68+U69+U70+U77</f>
        <v>0</v>
      </c>
      <c r="V29" s="1792">
        <f t="shared" si="2"/>
        <v>0</v>
      </c>
      <c r="W29" s="1793">
        <f>W30+W34+W35+W47+W52+W61+W65+W66+W67+W68+W69+W70+W77</f>
        <v>0</v>
      </c>
    </row>
    <row r="30" spans="1:23" s="67" customFormat="1" ht="27.75">
      <c r="A30" s="623"/>
      <c r="B30" s="624" t="s">
        <v>390</v>
      </c>
      <c r="C30" s="591" t="s">
        <v>230</v>
      </c>
      <c r="D30" s="626"/>
      <c r="E30" s="1779">
        <f t="shared" ref="E30:P30" si="7">SUM(E31:E33)</f>
        <v>0</v>
      </c>
      <c r="F30" s="1779">
        <f t="shared" si="7"/>
        <v>0</v>
      </c>
      <c r="G30" s="1779">
        <f t="shared" si="7"/>
        <v>0</v>
      </c>
      <c r="H30" s="1779">
        <f t="shared" si="7"/>
        <v>0</v>
      </c>
      <c r="I30" s="1779">
        <f t="shared" si="7"/>
        <v>0</v>
      </c>
      <c r="J30" s="1779">
        <f t="shared" si="7"/>
        <v>0</v>
      </c>
      <c r="K30" s="1779">
        <f t="shared" si="7"/>
        <v>0</v>
      </c>
      <c r="L30" s="1779">
        <f t="shared" si="7"/>
        <v>0</v>
      </c>
      <c r="M30" s="1779">
        <f t="shared" si="7"/>
        <v>0</v>
      </c>
      <c r="N30" s="1779">
        <f t="shared" si="7"/>
        <v>0</v>
      </c>
      <c r="O30" s="1779">
        <f t="shared" si="7"/>
        <v>0</v>
      </c>
      <c r="P30" s="1779">
        <f t="shared" si="7"/>
        <v>0</v>
      </c>
      <c r="Q30" s="1773">
        <f t="shared" ref="Q30:Q77" si="8">SUM(E30:P30)</f>
        <v>0</v>
      </c>
      <c r="R30" s="1781">
        <f>SUM(R31:R33)</f>
        <v>0</v>
      </c>
      <c r="S30" s="1775">
        <f t="shared" si="1"/>
        <v>0</v>
      </c>
      <c r="T30" s="1782">
        <f>SUM(T31:T33)</f>
        <v>0</v>
      </c>
      <c r="U30" s="1783">
        <f>SUM(U31:U33)</f>
        <v>0</v>
      </c>
      <c r="V30" s="1777">
        <f t="shared" si="2"/>
        <v>0</v>
      </c>
      <c r="W30" s="1793">
        <f>SUM(W31:W33)</f>
        <v>0</v>
      </c>
    </row>
    <row r="31" spans="1:23" s="67" customFormat="1" ht="21">
      <c r="A31" s="623"/>
      <c r="B31" s="624"/>
      <c r="C31" s="627" t="s">
        <v>523</v>
      </c>
      <c r="D31" s="631" t="s">
        <v>231</v>
      </c>
      <c r="E31" s="1771">
        <v>0</v>
      </c>
      <c r="F31" s="1771">
        <v>0</v>
      </c>
      <c r="G31" s="1771">
        <v>0</v>
      </c>
      <c r="H31" s="1771">
        <v>0</v>
      </c>
      <c r="I31" s="1771">
        <v>0</v>
      </c>
      <c r="J31" s="1771">
        <v>0</v>
      </c>
      <c r="K31" s="1771">
        <v>0</v>
      </c>
      <c r="L31" s="1771">
        <v>0</v>
      </c>
      <c r="M31" s="1771">
        <v>0</v>
      </c>
      <c r="N31" s="1771">
        <v>0</v>
      </c>
      <c r="O31" s="1771">
        <v>0</v>
      </c>
      <c r="P31" s="1772">
        <v>0</v>
      </c>
      <c r="Q31" s="1773">
        <f t="shared" si="8"/>
        <v>0</v>
      </c>
      <c r="R31" s="1774">
        <v>0</v>
      </c>
      <c r="S31" s="1775">
        <f t="shared" si="1"/>
        <v>0</v>
      </c>
      <c r="T31" s="1776">
        <v>0</v>
      </c>
      <c r="U31" s="1776">
        <v>0</v>
      </c>
      <c r="V31" s="1777">
        <f t="shared" si="2"/>
        <v>0</v>
      </c>
      <c r="W31" s="1778">
        <v>0</v>
      </c>
    </row>
    <row r="32" spans="1:23" s="67" customFormat="1" ht="29.25">
      <c r="A32" s="623"/>
      <c r="B32" s="624"/>
      <c r="C32" s="627" t="s">
        <v>525</v>
      </c>
      <c r="D32" s="631" t="s">
        <v>232</v>
      </c>
      <c r="E32" s="1771">
        <v>0</v>
      </c>
      <c r="F32" s="1771">
        <v>0</v>
      </c>
      <c r="G32" s="1771">
        <v>0</v>
      </c>
      <c r="H32" s="1771">
        <v>0</v>
      </c>
      <c r="I32" s="1771">
        <v>0</v>
      </c>
      <c r="J32" s="1771">
        <v>0</v>
      </c>
      <c r="K32" s="1771">
        <v>0</v>
      </c>
      <c r="L32" s="1771">
        <v>0</v>
      </c>
      <c r="M32" s="1771">
        <v>0</v>
      </c>
      <c r="N32" s="1771">
        <v>0</v>
      </c>
      <c r="O32" s="1771">
        <v>0</v>
      </c>
      <c r="P32" s="1794">
        <v>0</v>
      </c>
      <c r="Q32" s="1773">
        <f t="shared" si="8"/>
        <v>0</v>
      </c>
      <c r="R32" s="1774">
        <v>0</v>
      </c>
      <c r="S32" s="1775">
        <f t="shared" si="1"/>
        <v>0</v>
      </c>
      <c r="T32" s="1776">
        <v>0</v>
      </c>
      <c r="U32" s="1776">
        <v>0</v>
      </c>
      <c r="V32" s="1777">
        <f t="shared" si="2"/>
        <v>0</v>
      </c>
      <c r="W32" s="1778">
        <v>0</v>
      </c>
    </row>
    <row r="33" spans="1:23" s="67" customFormat="1" ht="29.25">
      <c r="A33" s="623"/>
      <c r="B33" s="624"/>
      <c r="C33" s="627" t="s">
        <v>527</v>
      </c>
      <c r="D33" s="631" t="s">
        <v>233</v>
      </c>
      <c r="E33" s="1771">
        <v>0</v>
      </c>
      <c r="F33" s="1771">
        <v>0</v>
      </c>
      <c r="G33" s="1771">
        <v>0</v>
      </c>
      <c r="H33" s="1771">
        <v>0</v>
      </c>
      <c r="I33" s="1771">
        <v>0</v>
      </c>
      <c r="J33" s="1771">
        <v>0</v>
      </c>
      <c r="K33" s="1771">
        <v>0</v>
      </c>
      <c r="L33" s="1771">
        <v>0</v>
      </c>
      <c r="M33" s="1771">
        <v>0</v>
      </c>
      <c r="N33" s="1771">
        <v>0</v>
      </c>
      <c r="O33" s="1771">
        <v>0</v>
      </c>
      <c r="P33" s="1772">
        <v>0</v>
      </c>
      <c r="Q33" s="1773">
        <f t="shared" si="8"/>
        <v>0</v>
      </c>
      <c r="R33" s="1774">
        <v>0</v>
      </c>
      <c r="S33" s="1775">
        <f t="shared" si="1"/>
        <v>0</v>
      </c>
      <c r="T33" s="1776">
        <v>0</v>
      </c>
      <c r="U33" s="1776">
        <v>0</v>
      </c>
      <c r="V33" s="1777">
        <f t="shared" si="2"/>
        <v>0</v>
      </c>
      <c r="W33" s="1778">
        <v>0</v>
      </c>
    </row>
    <row r="34" spans="1:23" s="67" customFormat="1" ht="27.75">
      <c r="A34" s="623"/>
      <c r="B34" s="624" t="s">
        <v>391</v>
      </c>
      <c r="C34" s="591" t="s">
        <v>234</v>
      </c>
      <c r="D34" s="626"/>
      <c r="E34" s="1771">
        <v>0</v>
      </c>
      <c r="F34" s="1771">
        <v>0</v>
      </c>
      <c r="G34" s="1771">
        <v>0</v>
      </c>
      <c r="H34" s="1771">
        <v>0</v>
      </c>
      <c r="I34" s="1771">
        <v>0</v>
      </c>
      <c r="J34" s="1771">
        <v>0</v>
      </c>
      <c r="K34" s="1771">
        <v>0</v>
      </c>
      <c r="L34" s="1771">
        <v>0</v>
      </c>
      <c r="M34" s="1771">
        <v>0</v>
      </c>
      <c r="N34" s="1771">
        <v>0</v>
      </c>
      <c r="O34" s="1771">
        <v>0</v>
      </c>
      <c r="P34" s="1772">
        <v>0</v>
      </c>
      <c r="Q34" s="1773">
        <f t="shared" si="8"/>
        <v>0</v>
      </c>
      <c r="R34" s="1774">
        <v>0</v>
      </c>
      <c r="S34" s="1775">
        <f t="shared" si="1"/>
        <v>0</v>
      </c>
      <c r="T34" s="1776">
        <v>0</v>
      </c>
      <c r="U34" s="1776">
        <v>0</v>
      </c>
      <c r="V34" s="1777">
        <f t="shared" si="2"/>
        <v>0</v>
      </c>
      <c r="W34" s="1778">
        <v>0</v>
      </c>
    </row>
    <row r="35" spans="1:23" s="67" customFormat="1" ht="27.75">
      <c r="A35" s="623"/>
      <c r="B35" s="624" t="s">
        <v>392</v>
      </c>
      <c r="C35" s="591" t="s">
        <v>235</v>
      </c>
      <c r="D35" s="626"/>
      <c r="E35" s="1779">
        <f t="shared" ref="E35:P35" si="9">SUM(E36:E46)</f>
        <v>0</v>
      </c>
      <c r="F35" s="1779">
        <f t="shared" si="9"/>
        <v>0</v>
      </c>
      <c r="G35" s="1779">
        <f t="shared" si="9"/>
        <v>0</v>
      </c>
      <c r="H35" s="1779">
        <f t="shared" si="9"/>
        <v>0</v>
      </c>
      <c r="I35" s="1779">
        <f t="shared" si="9"/>
        <v>0</v>
      </c>
      <c r="J35" s="1779">
        <f t="shared" si="9"/>
        <v>0</v>
      </c>
      <c r="K35" s="1779">
        <f t="shared" si="9"/>
        <v>0</v>
      </c>
      <c r="L35" s="1779">
        <f t="shared" si="9"/>
        <v>0</v>
      </c>
      <c r="M35" s="1779">
        <f t="shared" si="9"/>
        <v>0</v>
      </c>
      <c r="N35" s="1779">
        <f t="shared" si="9"/>
        <v>0</v>
      </c>
      <c r="O35" s="1779">
        <f t="shared" si="9"/>
        <v>0</v>
      </c>
      <c r="P35" s="1779">
        <f t="shared" si="9"/>
        <v>0</v>
      </c>
      <c r="Q35" s="1773">
        <f t="shared" si="8"/>
        <v>0</v>
      </c>
      <c r="R35" s="1781">
        <f>SUM(R36:R46)</f>
        <v>0</v>
      </c>
      <c r="S35" s="1775">
        <f t="shared" si="1"/>
        <v>0</v>
      </c>
      <c r="T35" s="1782">
        <f>SUM(T36:T46)</f>
        <v>0</v>
      </c>
      <c r="U35" s="1783">
        <f>SUM(U36:U46)</f>
        <v>0</v>
      </c>
      <c r="V35" s="1777">
        <f t="shared" si="2"/>
        <v>0</v>
      </c>
      <c r="W35" s="1793">
        <f>SUM(W36:W46)</f>
        <v>0</v>
      </c>
    </row>
    <row r="36" spans="1:23" s="67" customFormat="1" ht="21">
      <c r="A36" s="623"/>
      <c r="B36" s="624"/>
      <c r="C36" s="627" t="s">
        <v>537</v>
      </c>
      <c r="D36" s="631" t="s">
        <v>236</v>
      </c>
      <c r="E36" s="1771">
        <v>0</v>
      </c>
      <c r="F36" s="1771">
        <v>0</v>
      </c>
      <c r="G36" s="1771">
        <v>0</v>
      </c>
      <c r="H36" s="1771">
        <v>0</v>
      </c>
      <c r="I36" s="1771">
        <v>0</v>
      </c>
      <c r="J36" s="1771">
        <v>0</v>
      </c>
      <c r="K36" s="1771">
        <v>0</v>
      </c>
      <c r="L36" s="1771">
        <v>0</v>
      </c>
      <c r="M36" s="1771">
        <v>0</v>
      </c>
      <c r="N36" s="1771">
        <v>0</v>
      </c>
      <c r="O36" s="1771">
        <v>0</v>
      </c>
      <c r="P36" s="1772">
        <v>0</v>
      </c>
      <c r="Q36" s="1773">
        <f t="shared" si="8"/>
        <v>0</v>
      </c>
      <c r="R36" s="1774">
        <v>0</v>
      </c>
      <c r="S36" s="1775">
        <f t="shared" si="1"/>
        <v>0</v>
      </c>
      <c r="T36" s="1776">
        <v>0</v>
      </c>
      <c r="U36" s="1776">
        <v>0</v>
      </c>
      <c r="V36" s="1777">
        <f t="shared" si="2"/>
        <v>0</v>
      </c>
      <c r="W36" s="1778">
        <v>0</v>
      </c>
    </row>
    <row r="37" spans="1:23" s="67" customFormat="1" ht="21">
      <c r="A37" s="623"/>
      <c r="B37" s="624"/>
      <c r="C37" s="627" t="s">
        <v>140</v>
      </c>
      <c r="D37" s="631" t="s">
        <v>237</v>
      </c>
      <c r="E37" s="1771">
        <v>0</v>
      </c>
      <c r="F37" s="1771">
        <v>0</v>
      </c>
      <c r="G37" s="1771">
        <v>0</v>
      </c>
      <c r="H37" s="1771">
        <v>0</v>
      </c>
      <c r="I37" s="1771">
        <v>0</v>
      </c>
      <c r="J37" s="1771">
        <v>0</v>
      </c>
      <c r="K37" s="1771">
        <v>0</v>
      </c>
      <c r="L37" s="1771">
        <v>0</v>
      </c>
      <c r="M37" s="1771">
        <v>0</v>
      </c>
      <c r="N37" s="1771">
        <v>0</v>
      </c>
      <c r="O37" s="1771">
        <v>0</v>
      </c>
      <c r="P37" s="1772">
        <v>0</v>
      </c>
      <c r="Q37" s="1773">
        <f t="shared" si="8"/>
        <v>0</v>
      </c>
      <c r="R37" s="1774">
        <v>0</v>
      </c>
      <c r="S37" s="1775">
        <f t="shared" si="1"/>
        <v>0</v>
      </c>
      <c r="T37" s="1776">
        <v>0</v>
      </c>
      <c r="U37" s="1776">
        <v>0</v>
      </c>
      <c r="V37" s="1777">
        <f t="shared" si="2"/>
        <v>0</v>
      </c>
      <c r="W37" s="1778">
        <v>0</v>
      </c>
    </row>
    <row r="38" spans="1:23" s="67" customFormat="1" ht="33.75">
      <c r="A38" s="623"/>
      <c r="B38" s="624"/>
      <c r="C38" s="627" t="s">
        <v>141</v>
      </c>
      <c r="D38" s="631" t="s">
        <v>238</v>
      </c>
      <c r="E38" s="1771">
        <v>0</v>
      </c>
      <c r="F38" s="1771">
        <v>0</v>
      </c>
      <c r="G38" s="1771">
        <v>0</v>
      </c>
      <c r="H38" s="1771">
        <v>0</v>
      </c>
      <c r="I38" s="1771">
        <v>0</v>
      </c>
      <c r="J38" s="1771">
        <v>0</v>
      </c>
      <c r="K38" s="1771">
        <v>0</v>
      </c>
      <c r="L38" s="1771">
        <v>0</v>
      </c>
      <c r="M38" s="1771">
        <v>0</v>
      </c>
      <c r="N38" s="1771">
        <v>0</v>
      </c>
      <c r="O38" s="1771">
        <v>0</v>
      </c>
      <c r="P38" s="1772">
        <v>0</v>
      </c>
      <c r="Q38" s="1773">
        <f t="shared" si="8"/>
        <v>0</v>
      </c>
      <c r="R38" s="1774">
        <v>0</v>
      </c>
      <c r="S38" s="1775">
        <f t="shared" si="1"/>
        <v>0</v>
      </c>
      <c r="T38" s="1776">
        <v>0</v>
      </c>
      <c r="U38" s="1776">
        <v>0</v>
      </c>
      <c r="V38" s="1777">
        <f t="shared" si="2"/>
        <v>0</v>
      </c>
      <c r="W38" s="1778">
        <v>0</v>
      </c>
    </row>
    <row r="39" spans="1:23" s="67" customFormat="1" ht="35.25" customHeight="1">
      <c r="A39" s="623"/>
      <c r="B39" s="624"/>
      <c r="C39" s="627" t="s">
        <v>142</v>
      </c>
      <c r="D39" s="635" t="s">
        <v>239</v>
      </c>
      <c r="E39" s="1771">
        <v>0</v>
      </c>
      <c r="F39" s="1771">
        <v>0</v>
      </c>
      <c r="G39" s="1771">
        <v>0</v>
      </c>
      <c r="H39" s="1771">
        <v>0</v>
      </c>
      <c r="I39" s="1771">
        <v>0</v>
      </c>
      <c r="J39" s="1771">
        <v>0</v>
      </c>
      <c r="K39" s="1771">
        <v>0</v>
      </c>
      <c r="L39" s="1771">
        <v>0</v>
      </c>
      <c r="M39" s="1771">
        <v>0</v>
      </c>
      <c r="N39" s="1771">
        <v>0</v>
      </c>
      <c r="O39" s="1771">
        <v>0</v>
      </c>
      <c r="P39" s="1772">
        <v>0</v>
      </c>
      <c r="Q39" s="1773">
        <f t="shared" si="8"/>
        <v>0</v>
      </c>
      <c r="R39" s="1774">
        <v>0</v>
      </c>
      <c r="S39" s="1775">
        <f t="shared" si="1"/>
        <v>0</v>
      </c>
      <c r="T39" s="1776">
        <v>0</v>
      </c>
      <c r="U39" s="1776">
        <v>0</v>
      </c>
      <c r="V39" s="1777">
        <f t="shared" si="2"/>
        <v>0</v>
      </c>
      <c r="W39" s="1778">
        <v>0</v>
      </c>
    </row>
    <row r="40" spans="1:23" s="67" customFormat="1" ht="29.25">
      <c r="A40" s="623"/>
      <c r="B40" s="624"/>
      <c r="C40" s="627" t="s">
        <v>143</v>
      </c>
      <c r="D40" s="631" t="s">
        <v>240</v>
      </c>
      <c r="E40" s="1771">
        <v>0</v>
      </c>
      <c r="F40" s="1771">
        <v>0</v>
      </c>
      <c r="G40" s="1771">
        <v>0</v>
      </c>
      <c r="H40" s="1771">
        <v>0</v>
      </c>
      <c r="I40" s="1771">
        <v>0</v>
      </c>
      <c r="J40" s="1771">
        <v>0</v>
      </c>
      <c r="K40" s="1771">
        <v>0</v>
      </c>
      <c r="L40" s="1771">
        <v>0</v>
      </c>
      <c r="M40" s="1771">
        <v>0</v>
      </c>
      <c r="N40" s="1771">
        <v>0</v>
      </c>
      <c r="O40" s="1771">
        <v>0</v>
      </c>
      <c r="P40" s="1772">
        <v>0</v>
      </c>
      <c r="Q40" s="1773">
        <f t="shared" si="8"/>
        <v>0</v>
      </c>
      <c r="R40" s="1774">
        <v>0</v>
      </c>
      <c r="S40" s="1775">
        <f t="shared" si="1"/>
        <v>0</v>
      </c>
      <c r="T40" s="1776">
        <v>0</v>
      </c>
      <c r="U40" s="1776">
        <v>0</v>
      </c>
      <c r="V40" s="1777">
        <f t="shared" si="2"/>
        <v>0</v>
      </c>
      <c r="W40" s="1778">
        <v>0</v>
      </c>
    </row>
    <row r="41" spans="1:23" s="67" customFormat="1" ht="42">
      <c r="A41" s="623"/>
      <c r="B41" s="624"/>
      <c r="C41" s="627" t="s">
        <v>144</v>
      </c>
      <c r="D41" s="631" t="s">
        <v>241</v>
      </c>
      <c r="E41" s="1771">
        <v>0</v>
      </c>
      <c r="F41" s="1771">
        <v>0</v>
      </c>
      <c r="G41" s="1771">
        <v>0</v>
      </c>
      <c r="H41" s="1771">
        <v>0</v>
      </c>
      <c r="I41" s="1771">
        <v>0</v>
      </c>
      <c r="J41" s="1771">
        <v>0</v>
      </c>
      <c r="K41" s="1771">
        <v>0</v>
      </c>
      <c r="L41" s="1771">
        <v>0</v>
      </c>
      <c r="M41" s="1771">
        <v>0</v>
      </c>
      <c r="N41" s="1771">
        <v>0</v>
      </c>
      <c r="O41" s="1771">
        <v>0</v>
      </c>
      <c r="P41" s="1772">
        <v>0</v>
      </c>
      <c r="Q41" s="1773">
        <f t="shared" si="8"/>
        <v>0</v>
      </c>
      <c r="R41" s="1774">
        <v>0</v>
      </c>
      <c r="S41" s="1775">
        <f t="shared" si="1"/>
        <v>0</v>
      </c>
      <c r="T41" s="1776">
        <v>0</v>
      </c>
      <c r="U41" s="1776">
        <v>0</v>
      </c>
      <c r="V41" s="1777">
        <f t="shared" si="2"/>
        <v>0</v>
      </c>
      <c r="W41" s="1778">
        <v>0</v>
      </c>
    </row>
    <row r="42" spans="1:23" s="67" customFormat="1" ht="42">
      <c r="A42" s="623"/>
      <c r="B42" s="624"/>
      <c r="C42" s="627" t="s">
        <v>145</v>
      </c>
      <c r="D42" s="635" t="s">
        <v>242</v>
      </c>
      <c r="E42" s="1771">
        <v>0</v>
      </c>
      <c r="F42" s="1771">
        <v>0</v>
      </c>
      <c r="G42" s="1771">
        <v>0</v>
      </c>
      <c r="H42" s="1771">
        <v>0</v>
      </c>
      <c r="I42" s="1771">
        <v>0</v>
      </c>
      <c r="J42" s="1771">
        <v>0</v>
      </c>
      <c r="K42" s="1771">
        <v>0</v>
      </c>
      <c r="L42" s="1771">
        <v>0</v>
      </c>
      <c r="M42" s="1771">
        <v>0</v>
      </c>
      <c r="N42" s="1771">
        <v>0</v>
      </c>
      <c r="O42" s="1771">
        <v>0</v>
      </c>
      <c r="P42" s="1772">
        <v>0</v>
      </c>
      <c r="Q42" s="1773">
        <f t="shared" si="8"/>
        <v>0</v>
      </c>
      <c r="R42" s="1774">
        <v>0</v>
      </c>
      <c r="S42" s="1775">
        <f t="shared" si="1"/>
        <v>0</v>
      </c>
      <c r="T42" s="1776">
        <v>0</v>
      </c>
      <c r="U42" s="1776">
        <v>0</v>
      </c>
      <c r="V42" s="1777">
        <f t="shared" si="2"/>
        <v>0</v>
      </c>
      <c r="W42" s="1778">
        <v>0</v>
      </c>
    </row>
    <row r="43" spans="1:23" s="67" customFormat="1" ht="42">
      <c r="A43" s="623"/>
      <c r="B43" s="624"/>
      <c r="C43" s="627" t="s">
        <v>146</v>
      </c>
      <c r="D43" s="635" t="s">
        <v>243</v>
      </c>
      <c r="E43" s="1771">
        <v>0</v>
      </c>
      <c r="F43" s="1771">
        <v>0</v>
      </c>
      <c r="G43" s="1771">
        <v>0</v>
      </c>
      <c r="H43" s="1771">
        <v>0</v>
      </c>
      <c r="I43" s="1771">
        <v>0</v>
      </c>
      <c r="J43" s="1771">
        <v>0</v>
      </c>
      <c r="K43" s="1771">
        <v>0</v>
      </c>
      <c r="L43" s="1771">
        <v>0</v>
      </c>
      <c r="M43" s="1771">
        <v>0</v>
      </c>
      <c r="N43" s="1771">
        <v>0</v>
      </c>
      <c r="O43" s="1771">
        <v>0</v>
      </c>
      <c r="P43" s="1772">
        <v>0</v>
      </c>
      <c r="Q43" s="1773">
        <f t="shared" si="8"/>
        <v>0</v>
      </c>
      <c r="R43" s="1774">
        <v>0</v>
      </c>
      <c r="S43" s="1775">
        <f t="shared" si="1"/>
        <v>0</v>
      </c>
      <c r="T43" s="1776">
        <v>0</v>
      </c>
      <c r="U43" s="1776">
        <v>0</v>
      </c>
      <c r="V43" s="1777">
        <f t="shared" si="2"/>
        <v>0</v>
      </c>
      <c r="W43" s="1778">
        <v>0</v>
      </c>
    </row>
    <row r="44" spans="1:23" s="67" customFormat="1" ht="21">
      <c r="A44" s="623"/>
      <c r="B44" s="624"/>
      <c r="C44" s="627" t="s">
        <v>147</v>
      </c>
      <c r="D44" s="631" t="s">
        <v>244</v>
      </c>
      <c r="E44" s="1771">
        <v>0</v>
      </c>
      <c r="F44" s="1771">
        <v>0</v>
      </c>
      <c r="G44" s="1771">
        <v>0</v>
      </c>
      <c r="H44" s="1771">
        <v>0</v>
      </c>
      <c r="I44" s="1771">
        <v>0</v>
      </c>
      <c r="J44" s="1771">
        <v>0</v>
      </c>
      <c r="K44" s="1771">
        <v>0</v>
      </c>
      <c r="L44" s="1771">
        <v>0</v>
      </c>
      <c r="M44" s="1771">
        <v>0</v>
      </c>
      <c r="N44" s="1771">
        <v>0</v>
      </c>
      <c r="O44" s="1771">
        <v>0</v>
      </c>
      <c r="P44" s="1772">
        <v>0</v>
      </c>
      <c r="Q44" s="1773">
        <f t="shared" si="8"/>
        <v>0</v>
      </c>
      <c r="R44" s="1774">
        <v>0</v>
      </c>
      <c r="S44" s="1775">
        <f t="shared" si="1"/>
        <v>0</v>
      </c>
      <c r="T44" s="1776">
        <v>0</v>
      </c>
      <c r="U44" s="1776">
        <v>0</v>
      </c>
      <c r="V44" s="1777">
        <f t="shared" si="2"/>
        <v>0</v>
      </c>
      <c r="W44" s="1778">
        <v>0</v>
      </c>
    </row>
    <row r="45" spans="1:23" s="67" customFormat="1" ht="33.75">
      <c r="A45" s="623"/>
      <c r="B45" s="624"/>
      <c r="C45" s="627" t="s">
        <v>148</v>
      </c>
      <c r="D45" s="631" t="s">
        <v>245</v>
      </c>
      <c r="E45" s="1771">
        <v>0</v>
      </c>
      <c r="F45" s="1771">
        <v>0</v>
      </c>
      <c r="G45" s="1771">
        <v>0</v>
      </c>
      <c r="H45" s="1771">
        <v>0</v>
      </c>
      <c r="I45" s="1771">
        <v>0</v>
      </c>
      <c r="J45" s="1771">
        <v>0</v>
      </c>
      <c r="K45" s="1771">
        <v>0</v>
      </c>
      <c r="L45" s="1771">
        <v>0</v>
      </c>
      <c r="M45" s="1771">
        <v>0</v>
      </c>
      <c r="N45" s="1771">
        <v>0</v>
      </c>
      <c r="O45" s="1771">
        <v>0</v>
      </c>
      <c r="P45" s="1772">
        <v>0</v>
      </c>
      <c r="Q45" s="1773">
        <f t="shared" si="8"/>
        <v>0</v>
      </c>
      <c r="R45" s="1774">
        <v>0</v>
      </c>
      <c r="S45" s="1775">
        <f t="shared" si="1"/>
        <v>0</v>
      </c>
      <c r="T45" s="1776">
        <v>0</v>
      </c>
      <c r="U45" s="1776">
        <v>0</v>
      </c>
      <c r="V45" s="1777">
        <f t="shared" si="2"/>
        <v>0</v>
      </c>
      <c r="W45" s="1778">
        <v>0</v>
      </c>
    </row>
    <row r="46" spans="1:23" s="67" customFormat="1" ht="26.25" customHeight="1">
      <c r="A46" s="623"/>
      <c r="B46" s="624"/>
      <c r="C46" s="627" t="s">
        <v>149</v>
      </c>
      <c r="D46" s="631" t="s">
        <v>246</v>
      </c>
      <c r="E46" s="1771">
        <v>0</v>
      </c>
      <c r="F46" s="1771">
        <v>0</v>
      </c>
      <c r="G46" s="1771">
        <v>0</v>
      </c>
      <c r="H46" s="1771">
        <v>0</v>
      </c>
      <c r="I46" s="1771">
        <v>0</v>
      </c>
      <c r="J46" s="1771">
        <v>0</v>
      </c>
      <c r="K46" s="1771">
        <v>0</v>
      </c>
      <c r="L46" s="1771">
        <v>0</v>
      </c>
      <c r="M46" s="1771">
        <v>0</v>
      </c>
      <c r="N46" s="1771">
        <v>0</v>
      </c>
      <c r="O46" s="1771">
        <v>0</v>
      </c>
      <c r="P46" s="1772">
        <v>0</v>
      </c>
      <c r="Q46" s="1773">
        <f t="shared" si="8"/>
        <v>0</v>
      </c>
      <c r="R46" s="1774">
        <v>0</v>
      </c>
      <c r="S46" s="1775">
        <f t="shared" si="1"/>
        <v>0</v>
      </c>
      <c r="T46" s="1776">
        <v>0</v>
      </c>
      <c r="U46" s="1776">
        <v>0</v>
      </c>
      <c r="V46" s="1777">
        <f t="shared" si="2"/>
        <v>0</v>
      </c>
      <c r="W46" s="1778">
        <v>0</v>
      </c>
    </row>
    <row r="47" spans="1:23" s="67" customFormat="1" ht="27.75">
      <c r="A47" s="623"/>
      <c r="B47" s="624" t="s">
        <v>393</v>
      </c>
      <c r="C47" s="591" t="s">
        <v>247</v>
      </c>
      <c r="D47" s="626"/>
      <c r="E47" s="1795">
        <f t="shared" ref="E47:P47" si="10">SUM(E48:E51)</f>
        <v>0</v>
      </c>
      <c r="F47" s="1795">
        <f t="shared" si="10"/>
        <v>0</v>
      </c>
      <c r="G47" s="1795">
        <f t="shared" si="10"/>
        <v>0</v>
      </c>
      <c r="H47" s="1795">
        <f t="shared" si="10"/>
        <v>0</v>
      </c>
      <c r="I47" s="1795">
        <f t="shared" si="10"/>
        <v>0</v>
      </c>
      <c r="J47" s="1795">
        <f t="shared" si="10"/>
        <v>0</v>
      </c>
      <c r="K47" s="1795">
        <f t="shared" si="10"/>
        <v>0</v>
      </c>
      <c r="L47" s="1795">
        <f t="shared" si="10"/>
        <v>0</v>
      </c>
      <c r="M47" s="1795">
        <f t="shared" si="10"/>
        <v>0</v>
      </c>
      <c r="N47" s="1795">
        <f t="shared" si="10"/>
        <v>0</v>
      </c>
      <c r="O47" s="1795">
        <f t="shared" si="10"/>
        <v>0</v>
      </c>
      <c r="P47" s="1795">
        <f t="shared" si="10"/>
        <v>0</v>
      </c>
      <c r="Q47" s="1796">
        <f t="shared" si="8"/>
        <v>0</v>
      </c>
      <c r="R47" s="1797">
        <f>SUM(R48:R51)</f>
        <v>0</v>
      </c>
      <c r="S47" s="1798">
        <f t="shared" ref="S47:S78" si="11">Q47+R47</f>
        <v>0</v>
      </c>
      <c r="T47" s="1799">
        <f>SUM(T48:T51)</f>
        <v>0</v>
      </c>
      <c r="U47" s="1800">
        <f>SUM(U48:U51)</f>
        <v>0</v>
      </c>
      <c r="V47" s="1801">
        <f t="shared" ref="V47:V78" si="12">S47-U47</f>
        <v>0</v>
      </c>
      <c r="W47" s="1802">
        <f>SUM(W48:W51)</f>
        <v>0</v>
      </c>
    </row>
    <row r="48" spans="1:23" s="67" customFormat="1" ht="26.25" customHeight="1">
      <c r="A48" s="623"/>
      <c r="B48" s="624"/>
      <c r="C48" s="627" t="s">
        <v>150</v>
      </c>
      <c r="D48" s="630" t="s">
        <v>248</v>
      </c>
      <c r="E48" s="1771">
        <v>0</v>
      </c>
      <c r="F48" s="1771">
        <v>0</v>
      </c>
      <c r="G48" s="1771">
        <v>0</v>
      </c>
      <c r="H48" s="1771">
        <v>0</v>
      </c>
      <c r="I48" s="1771">
        <v>0</v>
      </c>
      <c r="J48" s="1771">
        <v>0</v>
      </c>
      <c r="K48" s="1771">
        <v>0</v>
      </c>
      <c r="L48" s="1771">
        <v>0</v>
      </c>
      <c r="M48" s="1771">
        <v>0</v>
      </c>
      <c r="N48" s="1771">
        <v>0</v>
      </c>
      <c r="O48" s="1771">
        <v>0</v>
      </c>
      <c r="P48" s="1772">
        <v>0</v>
      </c>
      <c r="Q48" s="1773">
        <f t="shared" si="8"/>
        <v>0</v>
      </c>
      <c r="R48" s="1774">
        <v>0</v>
      </c>
      <c r="S48" s="1775">
        <f t="shared" si="11"/>
        <v>0</v>
      </c>
      <c r="T48" s="1776">
        <v>0</v>
      </c>
      <c r="U48" s="1776">
        <v>0</v>
      </c>
      <c r="V48" s="1777">
        <f t="shared" si="12"/>
        <v>0</v>
      </c>
      <c r="W48" s="1778">
        <v>0</v>
      </c>
    </row>
    <row r="49" spans="1:23" s="67" customFormat="1" ht="26.25" customHeight="1">
      <c r="A49" s="623"/>
      <c r="B49" s="624"/>
      <c r="C49" s="627" t="s">
        <v>151</v>
      </c>
      <c r="D49" s="631" t="s">
        <v>249</v>
      </c>
      <c r="E49" s="1771">
        <v>0</v>
      </c>
      <c r="F49" s="1771">
        <v>0</v>
      </c>
      <c r="G49" s="1771">
        <v>0</v>
      </c>
      <c r="H49" s="1771">
        <v>0</v>
      </c>
      <c r="I49" s="1771">
        <v>0</v>
      </c>
      <c r="J49" s="1771">
        <v>0</v>
      </c>
      <c r="K49" s="1771">
        <v>0</v>
      </c>
      <c r="L49" s="1771">
        <v>0</v>
      </c>
      <c r="M49" s="1771">
        <v>0</v>
      </c>
      <c r="N49" s="1771">
        <v>0</v>
      </c>
      <c r="O49" s="1771">
        <v>0</v>
      </c>
      <c r="P49" s="1772">
        <v>0</v>
      </c>
      <c r="Q49" s="1773">
        <f t="shared" si="8"/>
        <v>0</v>
      </c>
      <c r="R49" s="1774">
        <v>0</v>
      </c>
      <c r="S49" s="1775">
        <f t="shared" si="11"/>
        <v>0</v>
      </c>
      <c r="T49" s="1776">
        <v>0</v>
      </c>
      <c r="U49" s="1776">
        <v>0</v>
      </c>
      <c r="V49" s="1777">
        <f t="shared" si="12"/>
        <v>0</v>
      </c>
      <c r="W49" s="1778">
        <v>0</v>
      </c>
    </row>
    <row r="50" spans="1:23" s="67" customFormat="1" ht="29.25">
      <c r="A50" s="623"/>
      <c r="B50" s="624"/>
      <c r="C50" s="627" t="s">
        <v>152</v>
      </c>
      <c r="D50" s="631" t="s">
        <v>250</v>
      </c>
      <c r="E50" s="1771">
        <v>0</v>
      </c>
      <c r="F50" s="1771">
        <v>0</v>
      </c>
      <c r="G50" s="1771">
        <v>0</v>
      </c>
      <c r="H50" s="1771">
        <v>0</v>
      </c>
      <c r="I50" s="1771">
        <v>0</v>
      </c>
      <c r="J50" s="1771">
        <v>0</v>
      </c>
      <c r="K50" s="1771">
        <v>0</v>
      </c>
      <c r="L50" s="1771">
        <v>0</v>
      </c>
      <c r="M50" s="1771">
        <v>0</v>
      </c>
      <c r="N50" s="1771">
        <v>0</v>
      </c>
      <c r="O50" s="1771">
        <v>0</v>
      </c>
      <c r="P50" s="1772">
        <v>0</v>
      </c>
      <c r="Q50" s="1773">
        <f t="shared" si="8"/>
        <v>0</v>
      </c>
      <c r="R50" s="1774">
        <v>0</v>
      </c>
      <c r="S50" s="1775">
        <f t="shared" si="11"/>
        <v>0</v>
      </c>
      <c r="T50" s="1776">
        <v>0</v>
      </c>
      <c r="U50" s="1776">
        <v>0</v>
      </c>
      <c r="V50" s="1777">
        <f t="shared" si="12"/>
        <v>0</v>
      </c>
      <c r="W50" s="1778">
        <v>0</v>
      </c>
    </row>
    <row r="51" spans="1:23" s="67" customFormat="1" ht="33.75">
      <c r="A51" s="623"/>
      <c r="B51" s="624"/>
      <c r="C51" s="627" t="s">
        <v>153</v>
      </c>
      <c r="D51" s="631" t="s">
        <v>251</v>
      </c>
      <c r="E51" s="1771">
        <v>0</v>
      </c>
      <c r="F51" s="1771">
        <v>0</v>
      </c>
      <c r="G51" s="1771">
        <v>0</v>
      </c>
      <c r="H51" s="1771">
        <v>0</v>
      </c>
      <c r="I51" s="1771">
        <v>0</v>
      </c>
      <c r="J51" s="1771">
        <v>0</v>
      </c>
      <c r="K51" s="1771">
        <v>0</v>
      </c>
      <c r="L51" s="1771">
        <v>0</v>
      </c>
      <c r="M51" s="1771">
        <v>0</v>
      </c>
      <c r="N51" s="1771">
        <v>0</v>
      </c>
      <c r="O51" s="1771">
        <v>0</v>
      </c>
      <c r="P51" s="1772">
        <v>0</v>
      </c>
      <c r="Q51" s="1773">
        <f t="shared" si="8"/>
        <v>0</v>
      </c>
      <c r="R51" s="1774">
        <v>0</v>
      </c>
      <c r="S51" s="1775">
        <f t="shared" si="11"/>
        <v>0</v>
      </c>
      <c r="T51" s="1776">
        <v>0</v>
      </c>
      <c r="U51" s="1776">
        <v>0</v>
      </c>
      <c r="V51" s="1777">
        <f t="shared" si="12"/>
        <v>0</v>
      </c>
      <c r="W51" s="1778">
        <v>0</v>
      </c>
    </row>
    <row r="52" spans="1:23" s="67" customFormat="1" ht="27.75">
      <c r="A52" s="623"/>
      <c r="B52" s="624" t="s">
        <v>394</v>
      </c>
      <c r="C52" s="591" t="s">
        <v>252</v>
      </c>
      <c r="D52" s="626"/>
      <c r="E52" s="1779">
        <f t="shared" ref="E52:P52" si="13">SUM(E53:E60)</f>
        <v>0</v>
      </c>
      <c r="F52" s="1779">
        <f t="shared" si="13"/>
        <v>0</v>
      </c>
      <c r="G52" s="1779">
        <f t="shared" si="13"/>
        <v>0</v>
      </c>
      <c r="H52" s="1779">
        <f t="shared" si="13"/>
        <v>0</v>
      </c>
      <c r="I52" s="1779">
        <f t="shared" si="13"/>
        <v>0</v>
      </c>
      <c r="J52" s="1779">
        <f t="shared" si="13"/>
        <v>0</v>
      </c>
      <c r="K52" s="1779">
        <f t="shared" si="13"/>
        <v>0</v>
      </c>
      <c r="L52" s="1779">
        <f t="shared" si="13"/>
        <v>0</v>
      </c>
      <c r="M52" s="1779">
        <f t="shared" si="13"/>
        <v>0</v>
      </c>
      <c r="N52" s="1779">
        <f t="shared" si="13"/>
        <v>0</v>
      </c>
      <c r="O52" s="1779">
        <f t="shared" si="13"/>
        <v>0</v>
      </c>
      <c r="P52" s="1779">
        <f t="shared" si="13"/>
        <v>0</v>
      </c>
      <c r="Q52" s="1773">
        <f t="shared" si="8"/>
        <v>0</v>
      </c>
      <c r="R52" s="1781">
        <f>SUM(R53:R60)</f>
        <v>0</v>
      </c>
      <c r="S52" s="1775">
        <f t="shared" si="11"/>
        <v>0</v>
      </c>
      <c r="T52" s="1782">
        <f>SUM(T53:T60)</f>
        <v>0</v>
      </c>
      <c r="U52" s="1783">
        <f>SUM(U53:U60)</f>
        <v>0</v>
      </c>
      <c r="V52" s="1777">
        <f t="shared" si="12"/>
        <v>0</v>
      </c>
      <c r="W52" s="1793">
        <f>SUM(W53:W60)</f>
        <v>0</v>
      </c>
    </row>
    <row r="53" spans="1:23" s="67" customFormat="1" ht="42">
      <c r="A53" s="623"/>
      <c r="B53" s="624"/>
      <c r="C53" s="627" t="s">
        <v>154</v>
      </c>
      <c r="D53" s="628" t="s">
        <v>253</v>
      </c>
      <c r="E53" s="1771">
        <v>0</v>
      </c>
      <c r="F53" s="1771">
        <v>0</v>
      </c>
      <c r="G53" s="1771">
        <v>0</v>
      </c>
      <c r="H53" s="1771">
        <v>0</v>
      </c>
      <c r="I53" s="1771">
        <v>0</v>
      </c>
      <c r="J53" s="1771">
        <v>0</v>
      </c>
      <c r="K53" s="1771">
        <v>0</v>
      </c>
      <c r="L53" s="1771">
        <v>0</v>
      </c>
      <c r="M53" s="1771">
        <v>0</v>
      </c>
      <c r="N53" s="1771">
        <v>0</v>
      </c>
      <c r="O53" s="1771">
        <v>0</v>
      </c>
      <c r="P53" s="1772">
        <v>0</v>
      </c>
      <c r="Q53" s="1773">
        <f t="shared" si="8"/>
        <v>0</v>
      </c>
      <c r="R53" s="1774">
        <v>0</v>
      </c>
      <c r="S53" s="1775">
        <f t="shared" si="11"/>
        <v>0</v>
      </c>
      <c r="T53" s="1776">
        <v>0</v>
      </c>
      <c r="U53" s="1776">
        <v>0</v>
      </c>
      <c r="V53" s="1777">
        <f t="shared" si="12"/>
        <v>0</v>
      </c>
      <c r="W53" s="1778">
        <v>0</v>
      </c>
    </row>
    <row r="54" spans="1:23" s="67" customFormat="1" ht="42">
      <c r="A54" s="623"/>
      <c r="B54" s="624"/>
      <c r="C54" s="627" t="s">
        <v>155</v>
      </c>
      <c r="D54" s="631" t="s">
        <v>254</v>
      </c>
      <c r="E54" s="1771">
        <v>0</v>
      </c>
      <c r="F54" s="1771">
        <v>0</v>
      </c>
      <c r="G54" s="1771">
        <v>0</v>
      </c>
      <c r="H54" s="1771">
        <v>0</v>
      </c>
      <c r="I54" s="1771">
        <v>0</v>
      </c>
      <c r="J54" s="1771">
        <v>0</v>
      </c>
      <c r="K54" s="1771">
        <v>0</v>
      </c>
      <c r="L54" s="1771">
        <v>0</v>
      </c>
      <c r="M54" s="1771">
        <v>0</v>
      </c>
      <c r="N54" s="1771">
        <v>0</v>
      </c>
      <c r="O54" s="1771">
        <v>0</v>
      </c>
      <c r="P54" s="1772">
        <v>0</v>
      </c>
      <c r="Q54" s="1773">
        <f t="shared" si="8"/>
        <v>0</v>
      </c>
      <c r="R54" s="1774">
        <v>0</v>
      </c>
      <c r="S54" s="1775">
        <f t="shared" si="11"/>
        <v>0</v>
      </c>
      <c r="T54" s="1776">
        <v>0</v>
      </c>
      <c r="U54" s="1776">
        <v>0</v>
      </c>
      <c r="V54" s="1777">
        <f t="shared" si="12"/>
        <v>0</v>
      </c>
      <c r="W54" s="1778">
        <v>0</v>
      </c>
    </row>
    <row r="55" spans="1:23" s="67" customFormat="1" ht="42">
      <c r="A55" s="623"/>
      <c r="B55" s="624"/>
      <c r="C55" s="627" t="s">
        <v>156</v>
      </c>
      <c r="D55" s="631" t="s">
        <v>255</v>
      </c>
      <c r="E55" s="1771">
        <v>0</v>
      </c>
      <c r="F55" s="1771">
        <v>0</v>
      </c>
      <c r="G55" s="1771">
        <v>0</v>
      </c>
      <c r="H55" s="1771">
        <v>0</v>
      </c>
      <c r="I55" s="1771">
        <v>0</v>
      </c>
      <c r="J55" s="1771">
        <v>0</v>
      </c>
      <c r="K55" s="1771">
        <v>0</v>
      </c>
      <c r="L55" s="1771">
        <v>0</v>
      </c>
      <c r="M55" s="1771">
        <v>0</v>
      </c>
      <c r="N55" s="1771">
        <v>0</v>
      </c>
      <c r="O55" s="1771">
        <v>0</v>
      </c>
      <c r="P55" s="1772">
        <v>0</v>
      </c>
      <c r="Q55" s="1773">
        <f t="shared" si="8"/>
        <v>0</v>
      </c>
      <c r="R55" s="1774">
        <v>0</v>
      </c>
      <c r="S55" s="1775">
        <f t="shared" si="11"/>
        <v>0</v>
      </c>
      <c r="T55" s="1776">
        <v>0</v>
      </c>
      <c r="U55" s="1776">
        <v>0</v>
      </c>
      <c r="V55" s="1777">
        <f t="shared" si="12"/>
        <v>0</v>
      </c>
      <c r="W55" s="1778">
        <v>0</v>
      </c>
    </row>
    <row r="56" spans="1:23" s="67" customFormat="1" ht="29.25">
      <c r="A56" s="623"/>
      <c r="B56" s="624"/>
      <c r="C56" s="627" t="s">
        <v>157</v>
      </c>
      <c r="D56" s="631" t="s">
        <v>256</v>
      </c>
      <c r="E56" s="1771">
        <v>0</v>
      </c>
      <c r="F56" s="1771">
        <v>0</v>
      </c>
      <c r="G56" s="1771">
        <v>0</v>
      </c>
      <c r="H56" s="1771">
        <v>0</v>
      </c>
      <c r="I56" s="1771">
        <v>0</v>
      </c>
      <c r="J56" s="1771">
        <v>0</v>
      </c>
      <c r="K56" s="1771">
        <v>0</v>
      </c>
      <c r="L56" s="1771">
        <v>0</v>
      </c>
      <c r="M56" s="1771">
        <v>0</v>
      </c>
      <c r="N56" s="1771">
        <v>0</v>
      </c>
      <c r="O56" s="1771">
        <v>0</v>
      </c>
      <c r="P56" s="1772">
        <v>0</v>
      </c>
      <c r="Q56" s="1773">
        <f t="shared" si="8"/>
        <v>0</v>
      </c>
      <c r="R56" s="1774">
        <v>0</v>
      </c>
      <c r="S56" s="1775">
        <f t="shared" si="11"/>
        <v>0</v>
      </c>
      <c r="T56" s="1776">
        <v>0</v>
      </c>
      <c r="U56" s="1776">
        <v>0</v>
      </c>
      <c r="V56" s="1777">
        <f t="shared" si="12"/>
        <v>0</v>
      </c>
      <c r="W56" s="1778">
        <v>0</v>
      </c>
    </row>
    <row r="57" spans="1:23" s="67" customFormat="1" ht="21">
      <c r="A57" s="623"/>
      <c r="B57" s="624"/>
      <c r="C57" s="627" t="s">
        <v>158</v>
      </c>
      <c r="D57" s="631" t="s">
        <v>159</v>
      </c>
      <c r="E57" s="1771">
        <v>0</v>
      </c>
      <c r="F57" s="1771">
        <v>0</v>
      </c>
      <c r="G57" s="1771">
        <v>0</v>
      </c>
      <c r="H57" s="1771">
        <v>0</v>
      </c>
      <c r="I57" s="1771">
        <v>0</v>
      </c>
      <c r="J57" s="1771">
        <v>0</v>
      </c>
      <c r="K57" s="1771">
        <v>0</v>
      </c>
      <c r="L57" s="1771">
        <v>0</v>
      </c>
      <c r="M57" s="1771">
        <v>0</v>
      </c>
      <c r="N57" s="1771">
        <v>0</v>
      </c>
      <c r="O57" s="1771">
        <v>0</v>
      </c>
      <c r="P57" s="1772">
        <v>0</v>
      </c>
      <c r="Q57" s="1773">
        <f t="shared" si="8"/>
        <v>0</v>
      </c>
      <c r="R57" s="1774">
        <v>0</v>
      </c>
      <c r="S57" s="1775">
        <f t="shared" si="11"/>
        <v>0</v>
      </c>
      <c r="T57" s="1776">
        <v>0</v>
      </c>
      <c r="U57" s="1776">
        <v>0</v>
      </c>
      <c r="V57" s="1777">
        <f t="shared" si="12"/>
        <v>0</v>
      </c>
      <c r="W57" s="1778">
        <v>0</v>
      </c>
    </row>
    <row r="58" spans="1:23" s="67" customFormat="1" ht="29.25">
      <c r="A58" s="623"/>
      <c r="B58" s="624"/>
      <c r="C58" s="627" t="s">
        <v>160</v>
      </c>
      <c r="D58" s="631" t="s">
        <v>257</v>
      </c>
      <c r="E58" s="1771">
        <v>0</v>
      </c>
      <c r="F58" s="1771">
        <v>0</v>
      </c>
      <c r="G58" s="1771">
        <v>0</v>
      </c>
      <c r="H58" s="1771">
        <v>0</v>
      </c>
      <c r="I58" s="1771">
        <v>0</v>
      </c>
      <c r="J58" s="1771">
        <v>0</v>
      </c>
      <c r="K58" s="1771">
        <v>0</v>
      </c>
      <c r="L58" s="1771">
        <v>0</v>
      </c>
      <c r="M58" s="1771">
        <v>0</v>
      </c>
      <c r="N58" s="1771">
        <v>0</v>
      </c>
      <c r="O58" s="1771">
        <v>0</v>
      </c>
      <c r="P58" s="1772">
        <v>0</v>
      </c>
      <c r="Q58" s="1773">
        <f t="shared" si="8"/>
        <v>0</v>
      </c>
      <c r="R58" s="1774">
        <v>0</v>
      </c>
      <c r="S58" s="1775">
        <f t="shared" si="11"/>
        <v>0</v>
      </c>
      <c r="T58" s="1776">
        <v>0</v>
      </c>
      <c r="U58" s="1776">
        <v>0</v>
      </c>
      <c r="V58" s="1777">
        <f t="shared" si="12"/>
        <v>0</v>
      </c>
      <c r="W58" s="1778">
        <v>0</v>
      </c>
    </row>
    <row r="59" spans="1:23" s="67" customFormat="1" ht="29.25">
      <c r="A59" s="623"/>
      <c r="B59" s="624"/>
      <c r="C59" s="627" t="s">
        <v>161</v>
      </c>
      <c r="D59" s="631" t="s">
        <v>258</v>
      </c>
      <c r="E59" s="1771">
        <v>0</v>
      </c>
      <c r="F59" s="1771">
        <v>0</v>
      </c>
      <c r="G59" s="1771">
        <v>0</v>
      </c>
      <c r="H59" s="1771">
        <v>0</v>
      </c>
      <c r="I59" s="1771">
        <v>0</v>
      </c>
      <c r="J59" s="1771">
        <v>0</v>
      </c>
      <c r="K59" s="1771">
        <v>0</v>
      </c>
      <c r="L59" s="1771">
        <v>0</v>
      </c>
      <c r="M59" s="1771">
        <v>0</v>
      </c>
      <c r="N59" s="1771">
        <v>0</v>
      </c>
      <c r="O59" s="1771">
        <v>0</v>
      </c>
      <c r="P59" s="1772">
        <v>0</v>
      </c>
      <c r="Q59" s="1773">
        <f t="shared" si="8"/>
        <v>0</v>
      </c>
      <c r="R59" s="1774">
        <v>0</v>
      </c>
      <c r="S59" s="1775">
        <f t="shared" si="11"/>
        <v>0</v>
      </c>
      <c r="T59" s="1776">
        <v>0</v>
      </c>
      <c r="U59" s="1776">
        <v>0</v>
      </c>
      <c r="V59" s="1777">
        <f t="shared" si="12"/>
        <v>0</v>
      </c>
      <c r="W59" s="1778">
        <v>0</v>
      </c>
    </row>
    <row r="60" spans="1:23" s="67" customFormat="1" ht="29.25">
      <c r="A60" s="623"/>
      <c r="B60" s="624"/>
      <c r="C60" s="627" t="s">
        <v>162</v>
      </c>
      <c r="D60" s="631" t="s">
        <v>259</v>
      </c>
      <c r="E60" s="1771">
        <v>0</v>
      </c>
      <c r="F60" s="1771">
        <v>0</v>
      </c>
      <c r="G60" s="1771">
        <v>0</v>
      </c>
      <c r="H60" s="1771">
        <v>0</v>
      </c>
      <c r="I60" s="1771">
        <v>0</v>
      </c>
      <c r="J60" s="1771">
        <v>0</v>
      </c>
      <c r="K60" s="1771">
        <v>0</v>
      </c>
      <c r="L60" s="1771">
        <v>0</v>
      </c>
      <c r="M60" s="1771">
        <v>0</v>
      </c>
      <c r="N60" s="1771">
        <v>0</v>
      </c>
      <c r="O60" s="1771">
        <v>0</v>
      </c>
      <c r="P60" s="1772">
        <v>0</v>
      </c>
      <c r="Q60" s="1773">
        <f t="shared" si="8"/>
        <v>0</v>
      </c>
      <c r="R60" s="1774">
        <v>0</v>
      </c>
      <c r="S60" s="1775">
        <f t="shared" si="11"/>
        <v>0</v>
      </c>
      <c r="T60" s="1776">
        <v>0</v>
      </c>
      <c r="U60" s="1776">
        <v>0</v>
      </c>
      <c r="V60" s="1777">
        <f t="shared" si="12"/>
        <v>0</v>
      </c>
      <c r="W60" s="1778">
        <v>0</v>
      </c>
    </row>
    <row r="61" spans="1:23" s="67" customFormat="1" ht="27.75">
      <c r="A61" s="623"/>
      <c r="B61" s="624" t="s">
        <v>163</v>
      </c>
      <c r="C61" s="591" t="s">
        <v>260</v>
      </c>
      <c r="D61" s="626"/>
      <c r="E61" s="1779">
        <f t="shared" ref="E61:P61" si="14">SUM(E62:E64)</f>
        <v>0</v>
      </c>
      <c r="F61" s="1779">
        <f t="shared" si="14"/>
        <v>0</v>
      </c>
      <c r="G61" s="1779">
        <f t="shared" si="14"/>
        <v>0</v>
      </c>
      <c r="H61" s="1779">
        <f t="shared" si="14"/>
        <v>0</v>
      </c>
      <c r="I61" s="1779">
        <f t="shared" si="14"/>
        <v>0</v>
      </c>
      <c r="J61" s="1779">
        <f t="shared" si="14"/>
        <v>0</v>
      </c>
      <c r="K61" s="1779">
        <f t="shared" si="14"/>
        <v>0</v>
      </c>
      <c r="L61" s="1779">
        <f t="shared" si="14"/>
        <v>0</v>
      </c>
      <c r="M61" s="1779">
        <f t="shared" si="14"/>
        <v>0</v>
      </c>
      <c r="N61" s="1779">
        <f t="shared" si="14"/>
        <v>0</v>
      </c>
      <c r="O61" s="1779">
        <f t="shared" si="14"/>
        <v>0</v>
      </c>
      <c r="P61" s="1779">
        <f t="shared" si="14"/>
        <v>0</v>
      </c>
      <c r="Q61" s="1773">
        <f t="shared" si="8"/>
        <v>0</v>
      </c>
      <c r="R61" s="1781">
        <f>SUM(R62:R64)</f>
        <v>0</v>
      </c>
      <c r="S61" s="1775">
        <f t="shared" si="11"/>
        <v>0</v>
      </c>
      <c r="T61" s="1782">
        <f>SUM(T62:T64)</f>
        <v>0</v>
      </c>
      <c r="U61" s="1783">
        <f>SUM(U62:U64)</f>
        <v>0</v>
      </c>
      <c r="V61" s="1777">
        <f t="shared" si="12"/>
        <v>0</v>
      </c>
      <c r="W61" s="1793">
        <f>SUM(W62:W64)</f>
        <v>0</v>
      </c>
    </row>
    <row r="62" spans="1:23" s="67" customFormat="1" ht="29.25">
      <c r="A62" s="623"/>
      <c r="B62" s="636"/>
      <c r="C62" s="627" t="s">
        <v>164</v>
      </c>
      <c r="D62" s="631" t="s">
        <v>261</v>
      </c>
      <c r="E62" s="1771">
        <v>0</v>
      </c>
      <c r="F62" s="1771">
        <v>0</v>
      </c>
      <c r="G62" s="1771">
        <v>0</v>
      </c>
      <c r="H62" s="1771">
        <v>0</v>
      </c>
      <c r="I62" s="1771">
        <v>0</v>
      </c>
      <c r="J62" s="1771">
        <v>0</v>
      </c>
      <c r="K62" s="1771">
        <v>0</v>
      </c>
      <c r="L62" s="1771">
        <v>0</v>
      </c>
      <c r="M62" s="1771">
        <v>0</v>
      </c>
      <c r="N62" s="1771">
        <v>0</v>
      </c>
      <c r="O62" s="1771">
        <v>0</v>
      </c>
      <c r="P62" s="1772">
        <v>0</v>
      </c>
      <c r="Q62" s="1773">
        <f t="shared" si="8"/>
        <v>0</v>
      </c>
      <c r="R62" s="1774">
        <v>0</v>
      </c>
      <c r="S62" s="1775">
        <f t="shared" si="11"/>
        <v>0</v>
      </c>
      <c r="T62" s="1776">
        <v>0</v>
      </c>
      <c r="U62" s="1776">
        <v>0</v>
      </c>
      <c r="V62" s="1777">
        <f t="shared" si="12"/>
        <v>0</v>
      </c>
      <c r="W62" s="1778">
        <v>0</v>
      </c>
    </row>
    <row r="63" spans="1:23" s="67" customFormat="1" ht="29.25">
      <c r="A63" s="623"/>
      <c r="B63" s="624"/>
      <c r="C63" s="627" t="s">
        <v>165</v>
      </c>
      <c r="D63" s="631" t="s">
        <v>262</v>
      </c>
      <c r="E63" s="1771">
        <v>0</v>
      </c>
      <c r="F63" s="1771">
        <v>0</v>
      </c>
      <c r="G63" s="1771">
        <v>0</v>
      </c>
      <c r="H63" s="1771">
        <v>0</v>
      </c>
      <c r="I63" s="1771">
        <v>0</v>
      </c>
      <c r="J63" s="1771">
        <v>0</v>
      </c>
      <c r="K63" s="1771">
        <v>0</v>
      </c>
      <c r="L63" s="1771">
        <v>0</v>
      </c>
      <c r="M63" s="1771">
        <v>0</v>
      </c>
      <c r="N63" s="1771">
        <v>0</v>
      </c>
      <c r="O63" s="1771">
        <v>0</v>
      </c>
      <c r="P63" s="1772">
        <v>0</v>
      </c>
      <c r="Q63" s="1773">
        <f t="shared" si="8"/>
        <v>0</v>
      </c>
      <c r="R63" s="1774">
        <v>0</v>
      </c>
      <c r="S63" s="1775">
        <f t="shared" si="11"/>
        <v>0</v>
      </c>
      <c r="T63" s="1776">
        <v>0</v>
      </c>
      <c r="U63" s="1776">
        <v>0</v>
      </c>
      <c r="V63" s="1777">
        <f t="shared" si="12"/>
        <v>0</v>
      </c>
      <c r="W63" s="1778">
        <v>0</v>
      </c>
    </row>
    <row r="64" spans="1:23" s="67" customFormat="1" ht="29.25">
      <c r="A64" s="623"/>
      <c r="B64" s="624"/>
      <c r="C64" s="627" t="s">
        <v>166</v>
      </c>
      <c r="D64" s="631" t="s">
        <v>263</v>
      </c>
      <c r="E64" s="1771">
        <v>0</v>
      </c>
      <c r="F64" s="1771">
        <v>0</v>
      </c>
      <c r="G64" s="1771">
        <v>0</v>
      </c>
      <c r="H64" s="1771">
        <v>0</v>
      </c>
      <c r="I64" s="1771">
        <v>0</v>
      </c>
      <c r="J64" s="1771">
        <v>0</v>
      </c>
      <c r="K64" s="1771">
        <v>0</v>
      </c>
      <c r="L64" s="1771">
        <v>0</v>
      </c>
      <c r="M64" s="1771">
        <v>0</v>
      </c>
      <c r="N64" s="1771">
        <v>0</v>
      </c>
      <c r="O64" s="1771">
        <v>0</v>
      </c>
      <c r="P64" s="1772">
        <v>0</v>
      </c>
      <c r="Q64" s="1773">
        <f t="shared" si="8"/>
        <v>0</v>
      </c>
      <c r="R64" s="1774">
        <v>0</v>
      </c>
      <c r="S64" s="1775">
        <f t="shared" si="11"/>
        <v>0</v>
      </c>
      <c r="T64" s="1776">
        <v>0</v>
      </c>
      <c r="U64" s="1776">
        <v>0</v>
      </c>
      <c r="V64" s="1777">
        <f t="shared" si="12"/>
        <v>0</v>
      </c>
      <c r="W64" s="1778">
        <v>0</v>
      </c>
    </row>
    <row r="65" spans="1:23" s="67" customFormat="1" ht="27.75">
      <c r="A65" s="623"/>
      <c r="B65" s="624" t="s">
        <v>167</v>
      </c>
      <c r="C65" s="591" t="s">
        <v>264</v>
      </c>
      <c r="D65" s="626"/>
      <c r="E65" s="1771">
        <v>0</v>
      </c>
      <c r="F65" s="1771">
        <v>0</v>
      </c>
      <c r="G65" s="1771">
        <v>0</v>
      </c>
      <c r="H65" s="1771">
        <v>0</v>
      </c>
      <c r="I65" s="1771">
        <v>0</v>
      </c>
      <c r="J65" s="1771">
        <v>0</v>
      </c>
      <c r="K65" s="1771">
        <v>0</v>
      </c>
      <c r="L65" s="1771">
        <v>0</v>
      </c>
      <c r="M65" s="1771">
        <v>0</v>
      </c>
      <c r="N65" s="1771">
        <v>0</v>
      </c>
      <c r="O65" s="1771">
        <v>0</v>
      </c>
      <c r="P65" s="1772">
        <v>0</v>
      </c>
      <c r="Q65" s="1773">
        <f t="shared" si="8"/>
        <v>0</v>
      </c>
      <c r="R65" s="1774">
        <v>0</v>
      </c>
      <c r="S65" s="1775">
        <f t="shared" si="11"/>
        <v>0</v>
      </c>
      <c r="T65" s="1776">
        <v>0</v>
      </c>
      <c r="U65" s="1776">
        <v>0</v>
      </c>
      <c r="V65" s="1777">
        <f t="shared" si="12"/>
        <v>0</v>
      </c>
      <c r="W65" s="1778">
        <v>0</v>
      </c>
    </row>
    <row r="66" spans="1:23" s="67" customFormat="1" ht="27.75">
      <c r="A66" s="623"/>
      <c r="B66" s="624" t="s">
        <v>168</v>
      </c>
      <c r="C66" s="591" t="s">
        <v>265</v>
      </c>
      <c r="D66" s="626"/>
      <c r="E66" s="1771">
        <v>0</v>
      </c>
      <c r="F66" s="1771">
        <v>0</v>
      </c>
      <c r="G66" s="1771">
        <v>0</v>
      </c>
      <c r="H66" s="1771">
        <v>0</v>
      </c>
      <c r="I66" s="1771">
        <v>0</v>
      </c>
      <c r="J66" s="1771">
        <v>0</v>
      </c>
      <c r="K66" s="1771">
        <v>0</v>
      </c>
      <c r="L66" s="1771">
        <v>0</v>
      </c>
      <c r="M66" s="1771">
        <v>0</v>
      </c>
      <c r="N66" s="1771">
        <v>0</v>
      </c>
      <c r="O66" s="1771">
        <v>0</v>
      </c>
      <c r="P66" s="1772">
        <v>0</v>
      </c>
      <c r="Q66" s="1773">
        <f t="shared" si="8"/>
        <v>0</v>
      </c>
      <c r="R66" s="1774">
        <v>0</v>
      </c>
      <c r="S66" s="1775">
        <f t="shared" si="11"/>
        <v>0</v>
      </c>
      <c r="T66" s="1776">
        <v>0</v>
      </c>
      <c r="U66" s="1776">
        <v>0</v>
      </c>
      <c r="V66" s="1777">
        <f t="shared" si="12"/>
        <v>0</v>
      </c>
      <c r="W66" s="1778">
        <v>0</v>
      </c>
    </row>
    <row r="67" spans="1:23" s="67" customFormat="1" ht="27.75">
      <c r="A67" s="623"/>
      <c r="B67" s="624" t="s">
        <v>169</v>
      </c>
      <c r="C67" s="591" t="s">
        <v>266</v>
      </c>
      <c r="D67" s="626"/>
      <c r="E67" s="1771">
        <v>0</v>
      </c>
      <c r="F67" s="1771">
        <v>0</v>
      </c>
      <c r="G67" s="1771">
        <v>0</v>
      </c>
      <c r="H67" s="1771">
        <v>0</v>
      </c>
      <c r="I67" s="1771">
        <v>0</v>
      </c>
      <c r="J67" s="1771">
        <v>0</v>
      </c>
      <c r="K67" s="1771">
        <v>0</v>
      </c>
      <c r="L67" s="1771">
        <v>0</v>
      </c>
      <c r="M67" s="1771">
        <v>0</v>
      </c>
      <c r="N67" s="1771">
        <v>0</v>
      </c>
      <c r="O67" s="1771">
        <v>0</v>
      </c>
      <c r="P67" s="1772">
        <v>0</v>
      </c>
      <c r="Q67" s="1773">
        <f t="shared" si="8"/>
        <v>0</v>
      </c>
      <c r="R67" s="1774">
        <v>0</v>
      </c>
      <c r="S67" s="1775">
        <f t="shared" si="11"/>
        <v>0</v>
      </c>
      <c r="T67" s="1776">
        <v>0</v>
      </c>
      <c r="U67" s="1776">
        <v>0</v>
      </c>
      <c r="V67" s="1777">
        <f t="shared" si="12"/>
        <v>0</v>
      </c>
      <c r="W67" s="1778">
        <v>0</v>
      </c>
    </row>
    <row r="68" spans="1:23" s="67" customFormat="1" ht="27.75">
      <c r="A68" s="623"/>
      <c r="B68" s="624" t="s">
        <v>170</v>
      </c>
      <c r="C68" s="2730" t="s">
        <v>267</v>
      </c>
      <c r="D68" s="2731"/>
      <c r="E68" s="1771">
        <v>0</v>
      </c>
      <c r="F68" s="1771">
        <v>0</v>
      </c>
      <c r="G68" s="1771">
        <v>0</v>
      </c>
      <c r="H68" s="1771">
        <v>0</v>
      </c>
      <c r="I68" s="1771">
        <v>0</v>
      </c>
      <c r="J68" s="1771">
        <v>0</v>
      </c>
      <c r="K68" s="1771">
        <v>0</v>
      </c>
      <c r="L68" s="1771">
        <v>0</v>
      </c>
      <c r="M68" s="1771">
        <v>0</v>
      </c>
      <c r="N68" s="1771">
        <v>0</v>
      </c>
      <c r="O68" s="1771">
        <v>0</v>
      </c>
      <c r="P68" s="1772">
        <v>0</v>
      </c>
      <c r="Q68" s="1773">
        <f t="shared" si="8"/>
        <v>0</v>
      </c>
      <c r="R68" s="1774">
        <v>0</v>
      </c>
      <c r="S68" s="1775">
        <f t="shared" si="11"/>
        <v>0</v>
      </c>
      <c r="T68" s="1776">
        <v>0</v>
      </c>
      <c r="U68" s="1776">
        <v>0</v>
      </c>
      <c r="V68" s="1777">
        <f t="shared" si="12"/>
        <v>0</v>
      </c>
      <c r="W68" s="1778">
        <v>0</v>
      </c>
    </row>
    <row r="69" spans="1:23" s="67" customFormat="1" ht="60.75" customHeight="1">
      <c r="A69" s="623"/>
      <c r="B69" s="624" t="s">
        <v>171</v>
      </c>
      <c r="C69" s="2730" t="s">
        <v>268</v>
      </c>
      <c r="D69" s="2733"/>
      <c r="E69" s="1771">
        <v>0</v>
      </c>
      <c r="F69" s="1771">
        <v>0</v>
      </c>
      <c r="G69" s="1771">
        <v>0</v>
      </c>
      <c r="H69" s="1771">
        <v>0</v>
      </c>
      <c r="I69" s="1771">
        <v>0</v>
      </c>
      <c r="J69" s="1771">
        <v>0</v>
      </c>
      <c r="K69" s="1771">
        <v>0</v>
      </c>
      <c r="L69" s="1771">
        <v>0</v>
      </c>
      <c r="M69" s="1771">
        <v>0</v>
      </c>
      <c r="N69" s="1771">
        <v>0</v>
      </c>
      <c r="O69" s="1771">
        <v>0</v>
      </c>
      <c r="P69" s="1772">
        <v>0</v>
      </c>
      <c r="Q69" s="1773">
        <f t="shared" si="8"/>
        <v>0</v>
      </c>
      <c r="R69" s="1774">
        <v>0</v>
      </c>
      <c r="S69" s="1775">
        <f t="shared" si="11"/>
        <v>0</v>
      </c>
      <c r="T69" s="1776">
        <v>0</v>
      </c>
      <c r="U69" s="1776">
        <v>0</v>
      </c>
      <c r="V69" s="1777">
        <f t="shared" si="12"/>
        <v>0</v>
      </c>
      <c r="W69" s="1778"/>
    </row>
    <row r="70" spans="1:23" s="67" customFormat="1" ht="27.75">
      <c r="A70" s="623"/>
      <c r="B70" s="624" t="s">
        <v>172</v>
      </c>
      <c r="C70" s="591" t="s">
        <v>269</v>
      </c>
      <c r="D70" s="626"/>
      <c r="E70" s="1779">
        <f t="shared" ref="E70:P70" si="15">SUM(E71:E76)</f>
        <v>0</v>
      </c>
      <c r="F70" s="1779">
        <f t="shared" si="15"/>
        <v>0</v>
      </c>
      <c r="G70" s="1779">
        <f t="shared" si="15"/>
        <v>0</v>
      </c>
      <c r="H70" s="1779">
        <f t="shared" si="15"/>
        <v>0</v>
      </c>
      <c r="I70" s="1779">
        <f t="shared" si="15"/>
        <v>0</v>
      </c>
      <c r="J70" s="1779">
        <f t="shared" si="15"/>
        <v>0</v>
      </c>
      <c r="K70" s="1779">
        <f t="shared" si="15"/>
        <v>0</v>
      </c>
      <c r="L70" s="1779">
        <f t="shared" si="15"/>
        <v>0</v>
      </c>
      <c r="M70" s="1779">
        <f t="shared" si="15"/>
        <v>0</v>
      </c>
      <c r="N70" s="1779">
        <f t="shared" si="15"/>
        <v>0</v>
      </c>
      <c r="O70" s="1779">
        <f t="shared" si="15"/>
        <v>0</v>
      </c>
      <c r="P70" s="1779">
        <f t="shared" si="15"/>
        <v>0</v>
      </c>
      <c r="Q70" s="1773">
        <f t="shared" si="8"/>
        <v>0</v>
      </c>
      <c r="R70" s="1781">
        <f>SUM(R71:R76)</f>
        <v>0</v>
      </c>
      <c r="S70" s="1775">
        <f t="shared" si="11"/>
        <v>0</v>
      </c>
      <c r="T70" s="1782">
        <f>SUM(T71:T76)</f>
        <v>0</v>
      </c>
      <c r="U70" s="1783">
        <f>SUM(U71:U76)</f>
        <v>0</v>
      </c>
      <c r="V70" s="1777">
        <f t="shared" si="12"/>
        <v>0</v>
      </c>
      <c r="W70" s="1793">
        <f>SUM(W71:W76)</f>
        <v>0</v>
      </c>
    </row>
    <row r="71" spans="1:23" s="67" customFormat="1" ht="37.5" customHeight="1">
      <c r="A71" s="623"/>
      <c r="B71" s="624"/>
      <c r="C71" s="627" t="s">
        <v>173</v>
      </c>
      <c r="D71" s="631" t="s">
        <v>270</v>
      </c>
      <c r="E71" s="1771">
        <v>0</v>
      </c>
      <c r="F71" s="1771">
        <v>0</v>
      </c>
      <c r="G71" s="1771">
        <v>0</v>
      </c>
      <c r="H71" s="1771">
        <v>0</v>
      </c>
      <c r="I71" s="1771">
        <v>0</v>
      </c>
      <c r="J71" s="1771">
        <v>0</v>
      </c>
      <c r="K71" s="1771">
        <v>0</v>
      </c>
      <c r="L71" s="1771">
        <v>0</v>
      </c>
      <c r="M71" s="1771">
        <v>0</v>
      </c>
      <c r="N71" s="1771">
        <v>0</v>
      </c>
      <c r="O71" s="1771">
        <v>0</v>
      </c>
      <c r="P71" s="1772">
        <v>0</v>
      </c>
      <c r="Q71" s="1773">
        <f t="shared" si="8"/>
        <v>0</v>
      </c>
      <c r="R71" s="1774">
        <v>0</v>
      </c>
      <c r="S71" s="1775">
        <f t="shared" si="11"/>
        <v>0</v>
      </c>
      <c r="T71" s="1776">
        <v>0</v>
      </c>
      <c r="U71" s="1776">
        <v>0</v>
      </c>
      <c r="V71" s="1777">
        <f t="shared" si="12"/>
        <v>0</v>
      </c>
      <c r="W71" s="1778">
        <v>0</v>
      </c>
    </row>
    <row r="72" spans="1:23" s="67" customFormat="1" ht="39.75" customHeight="1">
      <c r="A72" s="623"/>
      <c r="B72" s="624"/>
      <c r="C72" s="627" t="s">
        <v>174</v>
      </c>
      <c r="D72" s="631" t="s">
        <v>271</v>
      </c>
      <c r="E72" s="1771">
        <v>0</v>
      </c>
      <c r="F72" s="1771">
        <v>0</v>
      </c>
      <c r="G72" s="1771">
        <v>0</v>
      </c>
      <c r="H72" s="1771">
        <v>0</v>
      </c>
      <c r="I72" s="1771">
        <v>0</v>
      </c>
      <c r="J72" s="1771">
        <v>0</v>
      </c>
      <c r="K72" s="1771">
        <v>0</v>
      </c>
      <c r="L72" s="1771">
        <v>0</v>
      </c>
      <c r="M72" s="1771">
        <v>0</v>
      </c>
      <c r="N72" s="1771">
        <v>0</v>
      </c>
      <c r="O72" s="1771">
        <v>0</v>
      </c>
      <c r="P72" s="1772">
        <v>0</v>
      </c>
      <c r="Q72" s="1773">
        <f t="shared" si="8"/>
        <v>0</v>
      </c>
      <c r="R72" s="1774">
        <v>0</v>
      </c>
      <c r="S72" s="1775">
        <f t="shared" si="11"/>
        <v>0</v>
      </c>
      <c r="T72" s="1776">
        <v>0</v>
      </c>
      <c r="U72" s="1776">
        <v>0</v>
      </c>
      <c r="V72" s="1777">
        <f t="shared" si="12"/>
        <v>0</v>
      </c>
      <c r="W72" s="1778">
        <v>0</v>
      </c>
    </row>
    <row r="73" spans="1:23" s="67" customFormat="1" ht="40.5" customHeight="1">
      <c r="A73" s="623"/>
      <c r="B73" s="624"/>
      <c r="C73" s="627" t="s">
        <v>175</v>
      </c>
      <c r="D73" s="631" t="s">
        <v>272</v>
      </c>
      <c r="E73" s="1771">
        <v>0</v>
      </c>
      <c r="F73" s="1771">
        <v>0</v>
      </c>
      <c r="G73" s="1771">
        <v>0</v>
      </c>
      <c r="H73" s="1771">
        <v>0</v>
      </c>
      <c r="I73" s="1771">
        <v>0</v>
      </c>
      <c r="J73" s="1771">
        <v>0</v>
      </c>
      <c r="K73" s="1771">
        <v>0</v>
      </c>
      <c r="L73" s="1771">
        <v>0</v>
      </c>
      <c r="M73" s="1771">
        <v>0</v>
      </c>
      <c r="N73" s="1771">
        <v>0</v>
      </c>
      <c r="O73" s="1771">
        <v>0</v>
      </c>
      <c r="P73" s="1772">
        <v>0</v>
      </c>
      <c r="Q73" s="1773">
        <f t="shared" si="8"/>
        <v>0</v>
      </c>
      <c r="R73" s="1774">
        <v>0</v>
      </c>
      <c r="S73" s="1775">
        <f t="shared" si="11"/>
        <v>0</v>
      </c>
      <c r="T73" s="1776">
        <v>0</v>
      </c>
      <c r="U73" s="1776">
        <v>0</v>
      </c>
      <c r="V73" s="1777">
        <f t="shared" si="12"/>
        <v>0</v>
      </c>
      <c r="W73" s="1778">
        <v>0</v>
      </c>
    </row>
    <row r="74" spans="1:23" s="67" customFormat="1" ht="27" customHeight="1">
      <c r="A74" s="623"/>
      <c r="B74" s="624"/>
      <c r="C74" s="627" t="s">
        <v>176</v>
      </c>
      <c r="D74" s="631" t="s">
        <v>273</v>
      </c>
      <c r="E74" s="1771">
        <v>0</v>
      </c>
      <c r="F74" s="1771">
        <v>0</v>
      </c>
      <c r="G74" s="1771">
        <v>0</v>
      </c>
      <c r="H74" s="1771">
        <v>0</v>
      </c>
      <c r="I74" s="1771">
        <v>0</v>
      </c>
      <c r="J74" s="1771">
        <v>0</v>
      </c>
      <c r="K74" s="1771">
        <v>0</v>
      </c>
      <c r="L74" s="1771">
        <v>0</v>
      </c>
      <c r="M74" s="1771">
        <v>0</v>
      </c>
      <c r="N74" s="1771">
        <v>0</v>
      </c>
      <c r="O74" s="1771">
        <v>0</v>
      </c>
      <c r="P74" s="1772">
        <v>0</v>
      </c>
      <c r="Q74" s="1773">
        <f t="shared" si="8"/>
        <v>0</v>
      </c>
      <c r="R74" s="1774">
        <v>0</v>
      </c>
      <c r="S74" s="1775">
        <f t="shared" si="11"/>
        <v>0</v>
      </c>
      <c r="T74" s="1776">
        <v>0</v>
      </c>
      <c r="U74" s="1776">
        <v>0</v>
      </c>
      <c r="V74" s="1777">
        <f t="shared" si="12"/>
        <v>0</v>
      </c>
      <c r="W74" s="1778">
        <v>0</v>
      </c>
    </row>
    <row r="75" spans="1:23" s="67" customFormat="1" ht="27" customHeight="1">
      <c r="A75" s="623"/>
      <c r="B75" s="624"/>
      <c r="C75" s="627" t="s">
        <v>177</v>
      </c>
      <c r="D75" s="631" t="s">
        <v>274</v>
      </c>
      <c r="E75" s="1771">
        <v>0</v>
      </c>
      <c r="F75" s="1771">
        <v>0</v>
      </c>
      <c r="G75" s="1771">
        <v>0</v>
      </c>
      <c r="H75" s="1771">
        <v>0</v>
      </c>
      <c r="I75" s="1771">
        <v>0</v>
      </c>
      <c r="J75" s="1771">
        <v>0</v>
      </c>
      <c r="K75" s="1771">
        <v>0</v>
      </c>
      <c r="L75" s="1771">
        <v>0</v>
      </c>
      <c r="M75" s="1771">
        <v>0</v>
      </c>
      <c r="N75" s="1771">
        <v>0</v>
      </c>
      <c r="O75" s="1771">
        <v>0</v>
      </c>
      <c r="P75" s="1772">
        <v>0</v>
      </c>
      <c r="Q75" s="1773">
        <f t="shared" si="8"/>
        <v>0</v>
      </c>
      <c r="R75" s="1774">
        <v>0</v>
      </c>
      <c r="S75" s="1775">
        <f t="shared" si="11"/>
        <v>0</v>
      </c>
      <c r="T75" s="1776">
        <v>0</v>
      </c>
      <c r="U75" s="1776">
        <v>0</v>
      </c>
      <c r="V75" s="1777">
        <f t="shared" si="12"/>
        <v>0</v>
      </c>
      <c r="W75" s="1778">
        <v>0</v>
      </c>
    </row>
    <row r="76" spans="1:23" s="67" customFormat="1" ht="33.75">
      <c r="A76" s="623"/>
      <c r="B76" s="624"/>
      <c r="C76" s="627" t="s">
        <v>178</v>
      </c>
      <c r="D76" s="631" t="s">
        <v>275</v>
      </c>
      <c r="E76" s="1771">
        <v>0</v>
      </c>
      <c r="F76" s="1771">
        <v>0</v>
      </c>
      <c r="G76" s="1771">
        <v>0</v>
      </c>
      <c r="H76" s="1771">
        <v>0</v>
      </c>
      <c r="I76" s="1771">
        <v>0</v>
      </c>
      <c r="J76" s="1771">
        <v>0</v>
      </c>
      <c r="K76" s="1771">
        <v>0</v>
      </c>
      <c r="L76" s="1771">
        <v>0</v>
      </c>
      <c r="M76" s="1771">
        <v>0</v>
      </c>
      <c r="N76" s="1771">
        <v>0</v>
      </c>
      <c r="O76" s="1771">
        <v>0</v>
      </c>
      <c r="P76" s="1772">
        <v>0</v>
      </c>
      <c r="Q76" s="1773">
        <f t="shared" si="8"/>
        <v>0</v>
      </c>
      <c r="R76" s="1774">
        <v>0</v>
      </c>
      <c r="S76" s="1775">
        <f t="shared" si="11"/>
        <v>0</v>
      </c>
      <c r="T76" s="1776">
        <v>0</v>
      </c>
      <c r="U76" s="1776">
        <v>0</v>
      </c>
      <c r="V76" s="1777">
        <f t="shared" si="12"/>
        <v>0</v>
      </c>
      <c r="W76" s="1778">
        <v>0</v>
      </c>
    </row>
    <row r="77" spans="1:23" s="67" customFormat="1" ht="27.75">
      <c r="A77" s="623"/>
      <c r="B77" s="624" t="s">
        <v>179</v>
      </c>
      <c r="C77" s="2730" t="s">
        <v>276</v>
      </c>
      <c r="D77" s="2731"/>
      <c r="E77" s="1771">
        <v>0</v>
      </c>
      <c r="F77" s="1771">
        <v>0</v>
      </c>
      <c r="G77" s="1771">
        <v>0</v>
      </c>
      <c r="H77" s="1771">
        <v>0</v>
      </c>
      <c r="I77" s="1771">
        <v>0</v>
      </c>
      <c r="J77" s="1771">
        <v>0</v>
      </c>
      <c r="K77" s="1771">
        <v>0</v>
      </c>
      <c r="L77" s="1771">
        <v>0</v>
      </c>
      <c r="M77" s="1771">
        <v>0</v>
      </c>
      <c r="N77" s="1771">
        <v>0</v>
      </c>
      <c r="O77" s="1771">
        <v>0</v>
      </c>
      <c r="P77" s="1772">
        <v>0</v>
      </c>
      <c r="Q77" s="1773">
        <f t="shared" si="8"/>
        <v>0</v>
      </c>
      <c r="R77" s="1774">
        <v>0</v>
      </c>
      <c r="S77" s="1775">
        <f t="shared" si="11"/>
        <v>0</v>
      </c>
      <c r="T77" s="1776">
        <v>0</v>
      </c>
      <c r="U77" s="1776">
        <v>0</v>
      </c>
      <c r="V77" s="1777">
        <f t="shared" si="12"/>
        <v>0</v>
      </c>
      <c r="W77" s="1778">
        <v>0</v>
      </c>
    </row>
    <row r="78" spans="1:23" s="67" customFormat="1" ht="27.75">
      <c r="A78" s="633" t="s">
        <v>539</v>
      </c>
      <c r="B78" s="634" t="s">
        <v>277</v>
      </c>
      <c r="C78" s="624"/>
      <c r="D78" s="626"/>
      <c r="E78" s="1786">
        <f t="shared" ref="E78:R78" si="16">E79+E82+E83</f>
        <v>0</v>
      </c>
      <c r="F78" s="1786">
        <f t="shared" si="16"/>
        <v>0</v>
      </c>
      <c r="G78" s="1786">
        <f t="shared" si="16"/>
        <v>0</v>
      </c>
      <c r="H78" s="1786">
        <f t="shared" si="16"/>
        <v>0</v>
      </c>
      <c r="I78" s="1786">
        <f t="shared" si="16"/>
        <v>0</v>
      </c>
      <c r="J78" s="1786">
        <f t="shared" si="16"/>
        <v>0</v>
      </c>
      <c r="K78" s="1786">
        <f t="shared" si="16"/>
        <v>0</v>
      </c>
      <c r="L78" s="1786">
        <f t="shared" si="16"/>
        <v>0</v>
      </c>
      <c r="M78" s="1786">
        <f t="shared" si="16"/>
        <v>0</v>
      </c>
      <c r="N78" s="1786">
        <f t="shared" si="16"/>
        <v>0</v>
      </c>
      <c r="O78" s="1786">
        <f t="shared" si="16"/>
        <v>0</v>
      </c>
      <c r="P78" s="1787">
        <f t="shared" si="16"/>
        <v>0</v>
      </c>
      <c r="Q78" s="1773">
        <f t="shared" si="16"/>
        <v>0</v>
      </c>
      <c r="R78" s="1788">
        <f t="shared" si="16"/>
        <v>0</v>
      </c>
      <c r="S78" s="1789">
        <f t="shared" si="11"/>
        <v>0</v>
      </c>
      <c r="T78" s="1790">
        <f>T79+T82+T83</f>
        <v>0</v>
      </c>
      <c r="U78" s="1791">
        <f>U79+U82+U83</f>
        <v>0</v>
      </c>
      <c r="V78" s="1792">
        <f t="shared" si="12"/>
        <v>0</v>
      </c>
      <c r="W78" s="1793">
        <f>W79+W82+W83</f>
        <v>0</v>
      </c>
    </row>
    <row r="79" spans="1:23" s="67" customFormat="1" ht="27.75">
      <c r="A79" s="623"/>
      <c r="B79" s="624" t="s">
        <v>541</v>
      </c>
      <c r="C79" s="591" t="s">
        <v>278</v>
      </c>
      <c r="D79" s="626"/>
      <c r="E79" s="1779">
        <f t="shared" ref="E79:P79" si="17">SUM(E80:E81)</f>
        <v>0</v>
      </c>
      <c r="F79" s="1779">
        <f t="shared" si="17"/>
        <v>0</v>
      </c>
      <c r="G79" s="1779">
        <f t="shared" si="17"/>
        <v>0</v>
      </c>
      <c r="H79" s="1779">
        <f t="shared" si="17"/>
        <v>0</v>
      </c>
      <c r="I79" s="1779">
        <f t="shared" si="17"/>
        <v>0</v>
      </c>
      <c r="J79" s="1779">
        <f t="shared" si="17"/>
        <v>0</v>
      </c>
      <c r="K79" s="1779">
        <f t="shared" si="17"/>
        <v>0</v>
      </c>
      <c r="L79" s="1779">
        <f t="shared" si="17"/>
        <v>0</v>
      </c>
      <c r="M79" s="1779">
        <f t="shared" si="17"/>
        <v>0</v>
      </c>
      <c r="N79" s="1779">
        <f t="shared" si="17"/>
        <v>0</v>
      </c>
      <c r="O79" s="1779">
        <f t="shared" si="17"/>
        <v>0</v>
      </c>
      <c r="P79" s="1779">
        <f t="shared" si="17"/>
        <v>0</v>
      </c>
      <c r="Q79" s="1773">
        <f t="shared" ref="Q79:Q84" si="18">SUM(E79:P79)</f>
        <v>0</v>
      </c>
      <c r="R79" s="1781">
        <f>SUM(R80:R81)</f>
        <v>0</v>
      </c>
      <c r="S79" s="1775">
        <f t="shared" ref="S79:S84" si="19">Q79+R79</f>
        <v>0</v>
      </c>
      <c r="T79" s="1782">
        <f>SUM(T80:T81)</f>
        <v>0</v>
      </c>
      <c r="U79" s="1783">
        <f>SUM(U80:U81)</f>
        <v>0</v>
      </c>
      <c r="V79" s="1777">
        <f t="shared" ref="V79:V84" si="20">S79-U79</f>
        <v>0</v>
      </c>
      <c r="W79" s="1793">
        <f>SUM(W80:W81)</f>
        <v>0</v>
      </c>
    </row>
    <row r="80" spans="1:23" s="67" customFormat="1" ht="33" customHeight="1">
      <c r="A80" s="623"/>
      <c r="B80" s="624"/>
      <c r="C80" s="627" t="s">
        <v>180</v>
      </c>
      <c r="D80" s="635" t="s">
        <v>279</v>
      </c>
      <c r="E80" s="1771">
        <v>0</v>
      </c>
      <c r="F80" s="1771">
        <v>0</v>
      </c>
      <c r="G80" s="1771">
        <v>0</v>
      </c>
      <c r="H80" s="1771">
        <v>0</v>
      </c>
      <c r="I80" s="1771">
        <v>0</v>
      </c>
      <c r="J80" s="1771">
        <v>0</v>
      </c>
      <c r="K80" s="1771">
        <v>0</v>
      </c>
      <c r="L80" s="1771">
        <v>0</v>
      </c>
      <c r="M80" s="1771">
        <v>0</v>
      </c>
      <c r="N80" s="1771">
        <v>0</v>
      </c>
      <c r="O80" s="1771">
        <v>0</v>
      </c>
      <c r="P80" s="1772">
        <v>0</v>
      </c>
      <c r="Q80" s="1773">
        <f t="shared" si="18"/>
        <v>0</v>
      </c>
      <c r="R80" s="1774">
        <v>0</v>
      </c>
      <c r="S80" s="1775">
        <f t="shared" si="19"/>
        <v>0</v>
      </c>
      <c r="T80" s="1776">
        <v>0</v>
      </c>
      <c r="U80" s="1776">
        <v>0</v>
      </c>
      <c r="V80" s="1777">
        <f t="shared" si="20"/>
        <v>0</v>
      </c>
      <c r="W80" s="1778">
        <v>0</v>
      </c>
    </row>
    <row r="81" spans="1:23" s="67" customFormat="1" ht="27" customHeight="1">
      <c r="A81" s="623"/>
      <c r="B81" s="624"/>
      <c r="C81" s="627" t="s">
        <v>181</v>
      </c>
      <c r="D81" s="631" t="s">
        <v>280</v>
      </c>
      <c r="E81" s="1771">
        <v>0</v>
      </c>
      <c r="F81" s="1771">
        <v>0</v>
      </c>
      <c r="G81" s="1771">
        <v>0</v>
      </c>
      <c r="H81" s="1771">
        <v>0</v>
      </c>
      <c r="I81" s="1771">
        <v>0</v>
      </c>
      <c r="J81" s="1771">
        <v>0</v>
      </c>
      <c r="K81" s="1771">
        <v>0</v>
      </c>
      <c r="L81" s="1771">
        <v>0</v>
      </c>
      <c r="M81" s="1771">
        <v>0</v>
      </c>
      <c r="N81" s="1771">
        <v>0</v>
      </c>
      <c r="O81" s="1771">
        <v>0</v>
      </c>
      <c r="P81" s="1772">
        <v>0</v>
      </c>
      <c r="Q81" s="1773">
        <f t="shared" si="18"/>
        <v>0</v>
      </c>
      <c r="R81" s="1774">
        <v>0</v>
      </c>
      <c r="S81" s="1775">
        <f t="shared" si="19"/>
        <v>0</v>
      </c>
      <c r="T81" s="1776">
        <v>0</v>
      </c>
      <c r="U81" s="1776">
        <v>0</v>
      </c>
      <c r="V81" s="1777">
        <f t="shared" si="20"/>
        <v>0</v>
      </c>
      <c r="W81" s="1778">
        <v>0</v>
      </c>
    </row>
    <row r="82" spans="1:23" s="67" customFormat="1" ht="27.75">
      <c r="A82" s="623"/>
      <c r="B82" s="624" t="s">
        <v>543</v>
      </c>
      <c r="C82" s="591" t="s">
        <v>281</v>
      </c>
      <c r="D82" s="626"/>
      <c r="E82" s="1771">
        <v>0</v>
      </c>
      <c r="F82" s="1771">
        <v>0</v>
      </c>
      <c r="G82" s="1771">
        <v>0</v>
      </c>
      <c r="H82" s="1771">
        <v>0</v>
      </c>
      <c r="I82" s="1771">
        <v>0</v>
      </c>
      <c r="J82" s="1771">
        <v>0</v>
      </c>
      <c r="K82" s="1771">
        <v>0</v>
      </c>
      <c r="L82" s="1771">
        <v>0</v>
      </c>
      <c r="M82" s="1771">
        <v>0</v>
      </c>
      <c r="N82" s="1771">
        <v>0</v>
      </c>
      <c r="O82" s="1771">
        <v>0</v>
      </c>
      <c r="P82" s="1772">
        <v>0</v>
      </c>
      <c r="Q82" s="1773">
        <f t="shared" si="18"/>
        <v>0</v>
      </c>
      <c r="R82" s="1774">
        <v>0</v>
      </c>
      <c r="S82" s="1775">
        <f t="shared" si="19"/>
        <v>0</v>
      </c>
      <c r="T82" s="1776">
        <v>0</v>
      </c>
      <c r="U82" s="1776">
        <v>0</v>
      </c>
      <c r="V82" s="1777">
        <f t="shared" si="20"/>
        <v>0</v>
      </c>
      <c r="W82" s="1778">
        <v>0</v>
      </c>
    </row>
    <row r="83" spans="1:23" s="67" customFormat="1" ht="27.75">
      <c r="A83" s="637"/>
      <c r="B83" s="638" t="s">
        <v>560</v>
      </c>
      <c r="C83" s="2730" t="s">
        <v>282</v>
      </c>
      <c r="D83" s="2731"/>
      <c r="E83" s="1771">
        <v>0</v>
      </c>
      <c r="F83" s="1771">
        <v>0</v>
      </c>
      <c r="G83" s="1771">
        <v>0</v>
      </c>
      <c r="H83" s="1771">
        <v>0</v>
      </c>
      <c r="I83" s="1771">
        <v>0</v>
      </c>
      <c r="J83" s="1771">
        <v>0</v>
      </c>
      <c r="K83" s="1771">
        <v>0</v>
      </c>
      <c r="L83" s="1771">
        <v>0</v>
      </c>
      <c r="M83" s="1771">
        <v>0</v>
      </c>
      <c r="N83" s="1771">
        <v>0</v>
      </c>
      <c r="O83" s="1771">
        <v>0</v>
      </c>
      <c r="P83" s="1772">
        <v>0</v>
      </c>
      <c r="Q83" s="1773">
        <f t="shared" si="18"/>
        <v>0</v>
      </c>
      <c r="R83" s="1774">
        <v>0</v>
      </c>
      <c r="S83" s="1775">
        <f t="shared" si="19"/>
        <v>0</v>
      </c>
      <c r="T83" s="1776">
        <v>0</v>
      </c>
      <c r="U83" s="1776">
        <v>0</v>
      </c>
      <c r="V83" s="1777">
        <f t="shared" si="20"/>
        <v>0</v>
      </c>
      <c r="W83" s="1778">
        <v>0</v>
      </c>
    </row>
    <row r="84" spans="1:23" s="67" customFormat="1" ht="27.75" customHeight="1" thickBot="1">
      <c r="A84" s="619" t="s">
        <v>566</v>
      </c>
      <c r="B84" s="639" t="s">
        <v>283</v>
      </c>
      <c r="C84" s="640"/>
      <c r="D84" s="641"/>
      <c r="E84" s="1771"/>
      <c r="F84" s="1803"/>
      <c r="G84" s="1803"/>
      <c r="H84" s="1803"/>
      <c r="I84" s="1803"/>
      <c r="J84" s="1803"/>
      <c r="K84" s="1803"/>
      <c r="L84" s="1803"/>
      <c r="M84" s="1803"/>
      <c r="N84" s="1803"/>
      <c r="O84" s="1803"/>
      <c r="P84" s="1804"/>
      <c r="Q84" s="1773">
        <f t="shared" si="18"/>
        <v>0</v>
      </c>
      <c r="R84" s="1805"/>
      <c r="S84" s="1789">
        <f t="shared" si="19"/>
        <v>0</v>
      </c>
      <c r="T84" s="1776"/>
      <c r="U84" s="1776"/>
      <c r="V84" s="1806">
        <f t="shared" si="20"/>
        <v>0</v>
      </c>
      <c r="W84" s="1807"/>
    </row>
    <row r="85" spans="1:23" s="67" customFormat="1" ht="27.75" customHeight="1" thickBot="1">
      <c r="A85" s="106"/>
      <c r="B85" s="107"/>
      <c r="C85" s="108"/>
      <c r="D85" s="109" t="s">
        <v>284</v>
      </c>
      <c r="E85" s="1808">
        <f t="shared" ref="E85:Q85" si="21">E15+E29+E78+E84</f>
        <v>0</v>
      </c>
      <c r="F85" s="1808">
        <f t="shared" si="21"/>
        <v>0</v>
      </c>
      <c r="G85" s="1808">
        <f t="shared" si="21"/>
        <v>0</v>
      </c>
      <c r="H85" s="1808">
        <f t="shared" si="21"/>
        <v>0</v>
      </c>
      <c r="I85" s="1808">
        <f t="shared" si="21"/>
        <v>0</v>
      </c>
      <c r="J85" s="1808">
        <f t="shared" si="21"/>
        <v>0</v>
      </c>
      <c r="K85" s="1808">
        <f t="shared" si="21"/>
        <v>0</v>
      </c>
      <c r="L85" s="1808">
        <f t="shared" si="21"/>
        <v>0</v>
      </c>
      <c r="M85" s="1808">
        <f t="shared" si="21"/>
        <v>0</v>
      </c>
      <c r="N85" s="1808">
        <f t="shared" si="21"/>
        <v>0</v>
      </c>
      <c r="O85" s="1808">
        <f t="shared" si="21"/>
        <v>0</v>
      </c>
      <c r="P85" s="1808">
        <f t="shared" si="21"/>
        <v>0</v>
      </c>
      <c r="Q85" s="1809">
        <f t="shared" si="21"/>
        <v>0</v>
      </c>
      <c r="R85" s="1810"/>
      <c r="S85" s="1811"/>
      <c r="T85" s="1812"/>
      <c r="U85" s="1813"/>
      <c r="V85" s="1814"/>
      <c r="W85" s="1815"/>
    </row>
    <row r="86" spans="1:23" ht="27" customHeight="1" thickBot="1">
      <c r="A86" s="110"/>
      <c r="B86" s="111"/>
      <c r="C86" s="111"/>
      <c r="D86" s="112" t="s">
        <v>285</v>
      </c>
      <c r="E86" s="1816"/>
      <c r="F86" s="1817"/>
      <c r="G86" s="1817"/>
      <c r="H86" s="1817"/>
      <c r="I86" s="1817"/>
      <c r="J86" s="1817"/>
      <c r="K86" s="1817"/>
      <c r="L86" s="1817"/>
      <c r="M86" s="1817"/>
      <c r="N86" s="1817"/>
      <c r="O86" s="1817"/>
      <c r="P86" s="1818"/>
      <c r="Q86" s="1819">
        <f>SUM(E86:P86)</f>
        <v>0</v>
      </c>
      <c r="R86" s="1820">
        <f>R15+R29+R78+R84</f>
        <v>0</v>
      </c>
      <c r="S86" s="1821"/>
      <c r="T86" s="1822"/>
      <c r="U86" s="1823"/>
      <c r="V86" s="1824"/>
      <c r="W86" s="1825"/>
    </row>
    <row r="87" spans="1:23" s="116" customFormat="1" ht="27" customHeight="1" thickTop="1" thickBot="1">
      <c r="A87" s="113"/>
      <c r="B87" s="114"/>
      <c r="C87" s="114"/>
      <c r="D87" s="115" t="s">
        <v>286</v>
      </c>
      <c r="E87" s="1826">
        <f t="shared" ref="E87:P87" si="22">E85+E86</f>
        <v>0</v>
      </c>
      <c r="F87" s="1826">
        <f t="shared" si="22"/>
        <v>0</v>
      </c>
      <c r="G87" s="1826">
        <f t="shared" si="22"/>
        <v>0</v>
      </c>
      <c r="H87" s="1826">
        <f t="shared" si="22"/>
        <v>0</v>
      </c>
      <c r="I87" s="1826">
        <f t="shared" si="22"/>
        <v>0</v>
      </c>
      <c r="J87" s="1826">
        <f t="shared" si="22"/>
        <v>0</v>
      </c>
      <c r="K87" s="1826">
        <f t="shared" si="22"/>
        <v>0</v>
      </c>
      <c r="L87" s="1826">
        <f t="shared" si="22"/>
        <v>0</v>
      </c>
      <c r="M87" s="1826">
        <f t="shared" si="22"/>
        <v>0</v>
      </c>
      <c r="N87" s="1826">
        <f t="shared" si="22"/>
        <v>0</v>
      </c>
      <c r="O87" s="1826">
        <f t="shared" si="22"/>
        <v>0</v>
      </c>
      <c r="P87" s="1826">
        <f t="shared" si="22"/>
        <v>0</v>
      </c>
      <c r="Q87" s="1827"/>
      <c r="R87" s="1828">
        <f>SUM(E87:P87)</f>
        <v>0</v>
      </c>
      <c r="S87" s="1829">
        <f>S15+S29+S78+S84</f>
        <v>0</v>
      </c>
      <c r="T87" s="1830"/>
      <c r="U87" s="1831"/>
      <c r="V87" s="1832"/>
      <c r="W87" s="1833"/>
    </row>
    <row r="88" spans="1:23" s="67" customFormat="1" ht="27" customHeight="1" thickBot="1">
      <c r="A88" s="117"/>
      <c r="B88" s="118"/>
      <c r="C88" s="118"/>
      <c r="D88" s="119" t="s">
        <v>287</v>
      </c>
      <c r="E88" s="1834"/>
      <c r="F88" s="1835"/>
      <c r="G88" s="1834"/>
      <c r="H88" s="1835"/>
      <c r="I88" s="1834"/>
      <c r="J88" s="1835"/>
      <c r="K88" s="1834"/>
      <c r="L88" s="1835"/>
      <c r="M88" s="1834"/>
      <c r="N88" s="1835"/>
      <c r="O88" s="1834"/>
      <c r="P88" s="1835"/>
      <c r="Q88" s="1836"/>
      <c r="R88" s="1837"/>
      <c r="S88" s="1838">
        <f>SUM(E88:P88)</f>
        <v>0</v>
      </c>
      <c r="T88" s="1839">
        <f>T15+T29+T78+T84</f>
        <v>0</v>
      </c>
      <c r="U88" s="1840"/>
      <c r="V88" s="1841"/>
      <c r="W88" s="1815"/>
    </row>
    <row r="89" spans="1:23" s="67" customFormat="1" ht="27" customHeight="1" thickBot="1">
      <c r="A89" s="120"/>
      <c r="B89" s="121"/>
      <c r="C89" s="121"/>
      <c r="D89" s="122" t="s">
        <v>288</v>
      </c>
      <c r="E89" s="1842"/>
      <c r="F89" s="1842"/>
      <c r="G89" s="1842"/>
      <c r="H89" s="1842"/>
      <c r="I89" s="1842"/>
      <c r="J89" s="1842"/>
      <c r="K89" s="1842"/>
      <c r="L89" s="1842"/>
      <c r="M89" s="1842"/>
      <c r="N89" s="1842"/>
      <c r="O89" s="1842"/>
      <c r="P89" s="1843"/>
      <c r="Q89" s="1844"/>
      <c r="R89" s="1837"/>
      <c r="S89" s="1845"/>
      <c r="T89" s="1846">
        <f>SUM(E89:P89)</f>
        <v>0</v>
      </c>
      <c r="U89" s="1847">
        <f>U15+U29+U78+U84</f>
        <v>0</v>
      </c>
      <c r="V89" s="1848">
        <f>V15+V29+V78+V84</f>
        <v>0</v>
      </c>
      <c r="W89" s="1815"/>
    </row>
    <row r="90" spans="1:23" s="67" customFormat="1" ht="27" customHeight="1" thickBot="1">
      <c r="A90" s="123"/>
      <c r="B90" s="124"/>
      <c r="C90" s="124"/>
      <c r="D90" s="125" t="s">
        <v>289</v>
      </c>
      <c r="E90" s="1849">
        <f t="shared" ref="E90:P90" si="23">E87-E89</f>
        <v>0</v>
      </c>
      <c r="F90" s="1850">
        <f t="shared" si="23"/>
        <v>0</v>
      </c>
      <c r="G90" s="1850">
        <f t="shared" si="23"/>
        <v>0</v>
      </c>
      <c r="H90" s="1850">
        <f t="shared" si="23"/>
        <v>0</v>
      </c>
      <c r="I90" s="1850">
        <f t="shared" si="23"/>
        <v>0</v>
      </c>
      <c r="J90" s="1850">
        <f t="shared" si="23"/>
        <v>0</v>
      </c>
      <c r="K90" s="1850">
        <f t="shared" si="23"/>
        <v>0</v>
      </c>
      <c r="L90" s="1850">
        <f t="shared" si="23"/>
        <v>0</v>
      </c>
      <c r="M90" s="1850">
        <f t="shared" si="23"/>
        <v>0</v>
      </c>
      <c r="N90" s="1850">
        <f t="shared" si="23"/>
        <v>0</v>
      </c>
      <c r="O90" s="1850">
        <f t="shared" si="23"/>
        <v>0</v>
      </c>
      <c r="P90" s="1850">
        <f t="shared" si="23"/>
        <v>0</v>
      </c>
      <c r="Q90" s="1851"/>
      <c r="R90" s="1852"/>
      <c r="S90" s="1853"/>
      <c r="T90" s="1854"/>
      <c r="U90" s="1855">
        <f>SUM(E90:P90)</f>
        <v>0</v>
      </c>
      <c r="V90" s="1856">
        <f>S87-(U89)</f>
        <v>0</v>
      </c>
      <c r="W90" s="1857"/>
    </row>
    <row r="91" spans="1:23" s="67" customFormat="1" ht="27" customHeight="1" thickBot="1">
      <c r="A91" s="126"/>
      <c r="B91" s="127"/>
      <c r="C91" s="127"/>
      <c r="D91" s="128" t="s">
        <v>290</v>
      </c>
      <c r="E91" s="1858"/>
      <c r="F91" s="1858"/>
      <c r="G91" s="1858"/>
      <c r="H91" s="1858"/>
      <c r="I91" s="1858"/>
      <c r="J91" s="1858"/>
      <c r="K91" s="1858"/>
      <c r="L91" s="1858"/>
      <c r="M91" s="1858"/>
      <c r="N91" s="1858"/>
      <c r="O91" s="1858"/>
      <c r="P91" s="1858"/>
      <c r="Q91" s="1858"/>
      <c r="R91" s="1859"/>
      <c r="S91" s="1860"/>
      <c r="T91" s="1861"/>
      <c r="U91" s="1862"/>
      <c r="V91" s="1863"/>
      <c r="W91" s="1864">
        <f>W15+W29+W78+W84</f>
        <v>0</v>
      </c>
    </row>
    <row r="92" spans="1:23" s="183" customFormat="1" ht="22.5" customHeight="1" thickTop="1">
      <c r="A92" s="979" t="s">
        <v>465</v>
      </c>
      <c r="B92" s="618"/>
      <c r="C92" s="618"/>
      <c r="D92" s="618"/>
      <c r="E92" s="872"/>
      <c r="F92" s="872"/>
      <c r="G92" s="872"/>
      <c r="H92" s="872"/>
      <c r="I92" s="872"/>
      <c r="J92" s="872"/>
      <c r="K92" s="872"/>
      <c r="L92" s="872"/>
      <c r="M92" s="872"/>
      <c r="N92" s="872"/>
      <c r="O92" s="872"/>
      <c r="P92" s="872"/>
      <c r="Q92" s="872"/>
      <c r="R92" s="872"/>
      <c r="S92" s="1725"/>
      <c r="T92" s="2744" t="s">
        <v>210</v>
      </c>
      <c r="U92" s="2744"/>
      <c r="V92" s="2744"/>
      <c r="W92" s="1865"/>
    </row>
    <row r="93" spans="1:23" s="183" customFormat="1" ht="15.75" customHeight="1">
      <c r="A93" s="1249" t="s">
        <v>397</v>
      </c>
      <c r="B93" s="618"/>
      <c r="C93" s="618"/>
      <c r="D93" s="618"/>
      <c r="E93" s="872"/>
      <c r="F93" s="872"/>
      <c r="G93" s="872"/>
      <c r="H93" s="872"/>
      <c r="I93" s="872"/>
      <c r="J93" s="872"/>
      <c r="K93" s="872"/>
      <c r="L93" s="872"/>
      <c r="M93" s="872"/>
      <c r="N93" s="872"/>
      <c r="O93" s="872"/>
      <c r="P93" s="872"/>
      <c r="Q93" s="872"/>
      <c r="R93" s="872"/>
      <c r="S93" s="1725"/>
      <c r="T93" s="2745" t="s">
        <v>398</v>
      </c>
      <c r="U93" s="2745"/>
      <c r="V93" s="2745"/>
      <c r="W93" s="1865"/>
    </row>
    <row r="94" spans="1:23" s="183" customFormat="1" ht="24.75" customHeight="1">
      <c r="A94" s="618"/>
      <c r="B94" s="618"/>
      <c r="C94" s="618"/>
      <c r="D94" s="618"/>
      <c r="E94" s="1866" t="s">
        <v>399</v>
      </c>
      <c r="F94" s="872"/>
      <c r="G94" s="872"/>
      <c r="H94" s="872"/>
      <c r="I94" s="872"/>
      <c r="J94" s="872"/>
      <c r="K94" s="872"/>
      <c r="L94" s="1866" t="s">
        <v>468</v>
      </c>
      <c r="M94" s="872"/>
      <c r="N94" s="872"/>
      <c r="O94" s="872"/>
      <c r="P94" s="872"/>
      <c r="Q94" s="872"/>
      <c r="R94" s="872"/>
      <c r="S94" s="1725"/>
      <c r="T94" s="872"/>
      <c r="U94" s="1866" t="s">
        <v>211</v>
      </c>
      <c r="V94" s="872"/>
      <c r="W94" s="1867"/>
    </row>
    <row r="95" spans="1:23" s="183" customFormat="1" ht="24.75" customHeight="1">
      <c r="A95" s="618"/>
      <c r="B95" s="618"/>
      <c r="C95" s="618"/>
      <c r="D95" s="618"/>
      <c r="E95" s="1720" t="s">
        <v>402</v>
      </c>
      <c r="F95" s="872"/>
      <c r="G95" s="872"/>
      <c r="H95" s="872"/>
      <c r="I95" s="872"/>
      <c r="J95" s="872"/>
      <c r="K95" s="872"/>
      <c r="L95" s="1720" t="s">
        <v>497</v>
      </c>
      <c r="M95" s="872"/>
      <c r="N95" s="872"/>
      <c r="O95" s="872"/>
      <c r="P95" s="872"/>
      <c r="Q95" s="872"/>
      <c r="R95" s="872"/>
      <c r="S95" s="1725"/>
      <c r="T95" s="872"/>
      <c r="U95" s="1720" t="s">
        <v>212</v>
      </c>
      <c r="V95" s="872"/>
      <c r="W95" s="1867"/>
    </row>
    <row r="96" spans="1:23" s="183" customFormat="1">
      <c r="A96" s="618"/>
      <c r="B96" s="618"/>
      <c r="C96" s="618"/>
      <c r="D96" s="618"/>
      <c r="E96" s="872"/>
      <c r="F96" s="872"/>
      <c r="G96" s="872"/>
      <c r="H96" s="872"/>
      <c r="I96" s="872"/>
      <c r="J96" s="872"/>
      <c r="K96" s="872"/>
      <c r="L96" s="872"/>
      <c r="M96" s="872"/>
      <c r="N96" s="872"/>
      <c r="O96" s="872"/>
      <c r="P96" s="872"/>
      <c r="Q96" s="872"/>
      <c r="R96" s="872"/>
      <c r="S96" s="1725"/>
      <c r="T96" s="872"/>
      <c r="U96" s="872"/>
      <c r="V96" s="872"/>
      <c r="W96" s="872"/>
    </row>
    <row r="97" spans="1:23" s="183" customFormat="1" ht="15" customHeight="1">
      <c r="A97" s="618"/>
      <c r="B97" s="618"/>
      <c r="C97" s="618"/>
      <c r="D97" s="618"/>
      <c r="E97" s="872"/>
      <c r="F97" s="872"/>
      <c r="G97" s="872"/>
      <c r="H97" s="872"/>
      <c r="I97" s="872"/>
      <c r="J97" s="872"/>
      <c r="K97" s="872"/>
      <c r="L97" s="872"/>
      <c r="M97" s="872"/>
      <c r="N97" s="872"/>
      <c r="O97" s="872"/>
      <c r="P97" s="872"/>
      <c r="Q97" s="872"/>
      <c r="R97" s="872"/>
      <c r="S97" s="1725"/>
      <c r="T97" s="872"/>
      <c r="U97" s="872"/>
      <c r="V97" s="872"/>
      <c r="W97" s="872"/>
    </row>
    <row r="98" spans="1:23" s="183" customFormat="1" ht="15" customHeight="1">
      <c r="A98" s="618"/>
      <c r="B98" s="618"/>
      <c r="C98" s="618"/>
      <c r="D98" s="618"/>
      <c r="E98" s="872"/>
      <c r="F98" s="872"/>
      <c r="G98" s="872"/>
      <c r="H98" s="872"/>
      <c r="I98" s="872"/>
      <c r="J98" s="872"/>
      <c r="K98" s="872"/>
      <c r="L98" s="872"/>
      <c r="M98" s="872"/>
      <c r="N98" s="872"/>
      <c r="O98" s="872"/>
      <c r="P98" s="872"/>
      <c r="Q98" s="872"/>
      <c r="R98" s="872"/>
      <c r="S98" s="1725"/>
      <c r="T98" s="872"/>
      <c r="U98" s="872"/>
      <c r="V98" s="872"/>
      <c r="W98" s="872"/>
    </row>
    <row r="99" spans="1:23" s="183" customFormat="1" ht="15" customHeight="1">
      <c r="A99" s="618"/>
      <c r="B99" s="618"/>
      <c r="C99" s="618"/>
      <c r="D99" s="618"/>
      <c r="E99" s="872"/>
      <c r="F99" s="872"/>
      <c r="G99" s="872"/>
      <c r="H99" s="872"/>
      <c r="I99" s="872"/>
      <c r="J99" s="872"/>
      <c r="K99" s="872"/>
      <c r="L99" s="872"/>
      <c r="M99" s="872"/>
      <c r="N99" s="872"/>
      <c r="O99" s="872"/>
      <c r="P99" s="872"/>
      <c r="Q99" s="872"/>
      <c r="R99" s="872"/>
      <c r="S99" s="1725"/>
      <c r="T99" s="872"/>
      <c r="U99" s="872"/>
      <c r="V99" s="872"/>
      <c r="W99" s="872"/>
    </row>
    <row r="100" spans="1:23" s="183" customFormat="1" ht="15" customHeight="1">
      <c r="A100" s="618"/>
      <c r="B100" s="618"/>
      <c r="C100" s="618"/>
      <c r="D100" s="618"/>
      <c r="E100" s="872"/>
      <c r="F100" s="872"/>
      <c r="G100" s="872"/>
      <c r="H100" s="872"/>
      <c r="I100" s="872"/>
      <c r="J100" s="872"/>
      <c r="K100" s="872"/>
      <c r="L100" s="872"/>
      <c r="M100" s="872"/>
      <c r="N100" s="872"/>
      <c r="O100" s="872"/>
      <c r="P100" s="872"/>
      <c r="Q100" s="872"/>
      <c r="R100" s="872"/>
      <c r="S100" s="1725"/>
      <c r="T100" s="872"/>
      <c r="U100" s="872"/>
      <c r="V100" s="872"/>
      <c r="W100" s="872"/>
    </row>
    <row r="101" spans="1:23" s="183" customFormat="1" ht="15" customHeight="1">
      <c r="A101" s="618"/>
      <c r="B101" s="618"/>
      <c r="C101" s="618"/>
      <c r="D101" s="618"/>
      <c r="E101" s="872"/>
      <c r="F101" s="872"/>
      <c r="G101" s="872"/>
      <c r="H101" s="872"/>
      <c r="I101" s="872"/>
      <c r="J101" s="872"/>
      <c r="K101" s="872"/>
      <c r="L101" s="872"/>
      <c r="M101" s="872"/>
      <c r="N101" s="872"/>
      <c r="O101" s="872"/>
      <c r="P101" s="872"/>
      <c r="Q101" s="872"/>
      <c r="R101" s="872"/>
      <c r="S101" s="1725"/>
      <c r="T101" s="872"/>
      <c r="U101" s="872"/>
      <c r="V101" s="872"/>
      <c r="W101" s="872"/>
    </row>
    <row r="102" spans="1:23" s="183" customFormat="1" ht="15" customHeight="1">
      <c r="A102" s="618"/>
      <c r="B102" s="618"/>
      <c r="C102" s="618"/>
      <c r="D102" s="618"/>
      <c r="E102" s="872"/>
      <c r="F102" s="872"/>
      <c r="G102" s="872"/>
      <c r="H102" s="872"/>
      <c r="I102" s="872"/>
      <c r="J102" s="872"/>
      <c r="K102" s="872"/>
      <c r="L102" s="872"/>
      <c r="M102" s="872"/>
      <c r="N102" s="872"/>
      <c r="O102" s="872"/>
      <c r="P102" s="872"/>
      <c r="Q102" s="872"/>
      <c r="R102" s="872"/>
      <c r="S102" s="1725"/>
      <c r="T102" s="872"/>
      <c r="U102" s="872"/>
      <c r="V102" s="872"/>
      <c r="W102" s="872"/>
    </row>
    <row r="103" spans="1:23" s="183" customFormat="1" ht="15" customHeight="1">
      <c r="A103" s="618"/>
      <c r="B103" s="618"/>
      <c r="C103" s="618"/>
      <c r="D103" s="618"/>
      <c r="E103" s="872"/>
      <c r="F103" s="872"/>
      <c r="G103" s="872"/>
      <c r="H103" s="872"/>
      <c r="I103" s="872"/>
      <c r="J103" s="872"/>
      <c r="K103" s="872"/>
      <c r="L103" s="872"/>
      <c r="M103" s="872"/>
      <c r="N103" s="872"/>
      <c r="O103" s="872"/>
      <c r="P103" s="872"/>
      <c r="Q103" s="872"/>
      <c r="R103" s="872"/>
      <c r="S103" s="1725"/>
      <c r="T103" s="872"/>
      <c r="U103" s="872"/>
      <c r="V103" s="872"/>
      <c r="W103" s="872"/>
    </row>
    <row r="104" spans="1:23" s="183" customFormat="1" ht="15" customHeight="1">
      <c r="A104" s="618"/>
      <c r="B104" s="618"/>
      <c r="C104" s="618"/>
      <c r="D104" s="618"/>
      <c r="E104" s="872"/>
      <c r="F104" s="872"/>
      <c r="G104" s="872"/>
      <c r="H104" s="872"/>
      <c r="I104" s="872"/>
      <c r="J104" s="872"/>
      <c r="K104" s="872"/>
      <c r="L104" s="872"/>
      <c r="M104" s="872"/>
      <c r="N104" s="872"/>
      <c r="O104" s="872"/>
      <c r="P104" s="872"/>
      <c r="Q104" s="872"/>
      <c r="R104" s="872"/>
      <c r="S104" s="1725"/>
      <c r="T104" s="872"/>
      <c r="U104" s="872"/>
      <c r="V104" s="872"/>
      <c r="W104" s="872"/>
    </row>
    <row r="105" spans="1:23" s="183" customFormat="1">
      <c r="A105" s="618"/>
      <c r="B105" s="618"/>
      <c r="C105" s="618"/>
      <c r="D105" s="618"/>
      <c r="E105" s="872"/>
      <c r="F105" s="872"/>
      <c r="G105" s="872"/>
      <c r="H105" s="872"/>
      <c r="I105" s="872"/>
      <c r="J105" s="872"/>
      <c r="K105" s="872"/>
      <c r="L105" s="872"/>
      <c r="M105" s="872"/>
      <c r="N105" s="872"/>
      <c r="O105" s="872"/>
      <c r="P105" s="872"/>
      <c r="Q105" s="872"/>
      <c r="R105" s="872"/>
      <c r="S105" s="1725"/>
      <c r="T105" s="872"/>
      <c r="U105" s="872"/>
      <c r="V105" s="872"/>
      <c r="W105" s="872"/>
    </row>
    <row r="106" spans="1:23" s="183" customFormat="1">
      <c r="A106" s="618"/>
      <c r="B106" s="618"/>
      <c r="C106" s="618"/>
      <c r="D106" s="618"/>
      <c r="E106" s="872"/>
      <c r="F106" s="872"/>
      <c r="G106" s="872"/>
      <c r="H106" s="872"/>
      <c r="I106" s="872"/>
      <c r="J106" s="872"/>
      <c r="K106" s="872"/>
      <c r="L106" s="872"/>
      <c r="M106" s="872"/>
      <c r="N106" s="872"/>
      <c r="O106" s="872"/>
      <c r="P106" s="872"/>
      <c r="Q106" s="872"/>
      <c r="R106" s="872"/>
      <c r="S106" s="1725"/>
      <c r="T106" s="872"/>
      <c r="U106" s="872"/>
      <c r="V106" s="872"/>
      <c r="W106" s="872"/>
    </row>
    <row r="107" spans="1:23" s="183" customFormat="1">
      <c r="A107" s="618"/>
      <c r="B107" s="618"/>
      <c r="C107" s="618"/>
      <c r="D107" s="618"/>
      <c r="E107" s="872"/>
      <c r="F107" s="872"/>
      <c r="G107" s="872"/>
      <c r="H107" s="872"/>
      <c r="I107" s="872"/>
      <c r="J107" s="872"/>
      <c r="K107" s="872"/>
      <c r="L107" s="872"/>
      <c r="M107" s="872"/>
      <c r="N107" s="872"/>
      <c r="O107" s="872"/>
      <c r="P107" s="872"/>
      <c r="Q107" s="872"/>
      <c r="R107" s="872"/>
      <c r="S107" s="1725"/>
      <c r="T107" s="872"/>
      <c r="U107" s="872"/>
      <c r="V107" s="872"/>
      <c r="W107" s="872"/>
    </row>
    <row r="108" spans="1:23" s="183" customFormat="1">
      <c r="A108" s="618" t="s">
        <v>1877</v>
      </c>
      <c r="B108" s="618"/>
      <c r="C108" s="618"/>
      <c r="D108" s="618"/>
      <c r="E108" s="872"/>
      <c r="F108" s="872"/>
      <c r="G108" s="872"/>
      <c r="H108" s="872"/>
      <c r="I108" s="872"/>
      <c r="J108" s="872"/>
      <c r="K108" s="872"/>
      <c r="L108" s="872"/>
      <c r="M108" s="872"/>
      <c r="N108" s="872"/>
      <c r="O108" s="872"/>
      <c r="P108" s="872"/>
      <c r="Q108" s="872"/>
      <c r="R108" s="872"/>
      <c r="S108" s="1725"/>
      <c r="T108" s="872"/>
      <c r="U108" s="872"/>
      <c r="V108" s="872"/>
      <c r="W108" s="872"/>
    </row>
  </sheetData>
  <sheetProtection password="C5F7" sheet="1" objects="1" scenarios="1" formatCells="0" formatColumns="0" formatRows="0"/>
  <protectedRanges>
    <protectedRange password="CF0E" sqref="D92:D96 D106 B92:C106 A94:A106 E94:E95 E97:E106 F92:K106 L92:L95 L97:L106 M92:T106 V92:V106 U92:U95 U97:U106" name="Range27"/>
    <protectedRange password="CF0E" sqref="E88:Q88" name="Range25"/>
    <protectedRange password="CF0E" sqref="T80:T85 U80:U84" name="Range23"/>
    <protectedRange password="CF0E" sqref="T71:U77" name="Range21"/>
    <protectedRange password="CF0E" sqref="T62:U69" name="Range19"/>
    <protectedRange password="CF0E" sqref="T53:U60" name="Range17"/>
    <protectedRange password="CF0E" sqref="T48:U51" name="Range15"/>
    <protectedRange password="CF0E" sqref="T36:U46" name="Range13"/>
    <protectedRange password="CF0E" sqref="T31:U34" name="Range11"/>
    <protectedRange password="CF0E" sqref="T22:U28" name="Range9"/>
    <protectedRange password="CF0E" sqref="T18:U20" name="Range7"/>
    <protectedRange password="CF0E" sqref="T16:U16" name="Range5"/>
    <protectedRange password="CF0E" sqref="U10" name="Range3"/>
    <protectedRange password="CF0E" sqref="A9" name="Range1"/>
    <protectedRange password="CF0E" sqref="F5:Q9 A5:A7 E6:E8" name="Range2"/>
    <protectedRange password="CF0E" sqref="E16:R16 Q17:Q28 Q30:Q77 Q79:Q84" name="Range4"/>
    <protectedRange password="CF0E" sqref="E18:P20 R18:R20" name="Range6"/>
    <protectedRange password="CF0E" sqref="E22:P28 R22:R28 E79:P84 E30:P77" name="Range8"/>
    <protectedRange password="CF0E" sqref="R31:R34" name="Range10"/>
    <protectedRange password="CF0E" sqref="R36:R46" name="Range12"/>
    <protectedRange password="CF0E" sqref="R48:R51" name="Range14"/>
    <protectedRange password="CF0E" sqref="R53:R60" name="Range16"/>
    <protectedRange password="CF0E" sqref="R62:R69" name="Range18"/>
    <protectedRange password="CF0E" sqref="R71:R77" name="Range20"/>
    <protectedRange password="CF0E" sqref="R80:R85 E85:Q85" name="Range22"/>
    <protectedRange password="CF0E" sqref="E86:Q86" name="Range24"/>
    <protectedRange password="CF0E" sqref="U91 U89" name="Range26"/>
  </protectedRanges>
  <mergeCells count="24">
    <mergeCell ref="W11:W12"/>
    <mergeCell ref="T92:V92"/>
    <mergeCell ref="T93:V93"/>
    <mergeCell ref="R11:R12"/>
    <mergeCell ref="O12:P12"/>
    <mergeCell ref="U11:U12"/>
    <mergeCell ref="V11:V12"/>
    <mergeCell ref="S11:S12"/>
    <mergeCell ref="T11:T12"/>
    <mergeCell ref="A3:V3"/>
    <mergeCell ref="A4:V4"/>
    <mergeCell ref="E11:G11"/>
    <mergeCell ref="C83:D83"/>
    <mergeCell ref="C68:D68"/>
    <mergeCell ref="C77:D77"/>
    <mergeCell ref="J12:N12"/>
    <mergeCell ref="C69:D69"/>
    <mergeCell ref="E12:G12"/>
    <mergeCell ref="H12:I12"/>
    <mergeCell ref="H11:I11"/>
    <mergeCell ref="O11:P11"/>
    <mergeCell ref="J11:N11"/>
    <mergeCell ref="A6:V6"/>
    <mergeCell ref="A5:V5"/>
  </mergeCells>
  <phoneticPr fontId="19" type="noConversion"/>
  <dataValidations count="1">
    <dataValidation type="decimal" operator="greaterThanOrEqual" allowBlank="1" showInputMessage="1" showErrorMessage="1" errorTitle="Validation Rule" error="Allow only number" sqref="V91 E16:P16 E18:P20 E22:P28 E31:P34 E36:P51 E53:P60 E62:P69 E71:P77 E80:P84 E86:P86 E88:P89 R16 R18:R20 R22:R28 R31:R34 R36:R46 R48:R51 R53:R60 R62:R69 R71:R77 R80:R84 T18:U20 T22:U28 T31:U34 T36:U46 T48:U51 T53:U60 T62:U69 T71:U77 T80:U84 T16:U16 W16:W20 W22:W28 W31:W34 W36:W46 W48:W51 W53:W60 W62:W69 W71:W77 W80:W84">
      <formula1>0</formula1>
    </dataValidation>
  </dataValidations>
  <pageMargins left="0.24" right="0" top="0" bottom="0" header="0" footer="0"/>
  <pageSetup paperSize="9" scale="35" pageOrder="overThenDown" orientation="landscape" r:id="rId1"/>
  <headerFooter alignWithMargins="0">
    <oddHeader>&amp;R&amp;P/&amp;N</oddHead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enableFormatConditionsCalculation="0">
    <tabColor theme="0"/>
  </sheetPr>
  <dimension ref="A1:Y90"/>
  <sheetViews>
    <sheetView showGridLines="0" topLeftCell="A25" workbookViewId="0">
      <selection activeCell="B15" sqref="B15:B17"/>
    </sheetView>
  </sheetViews>
  <sheetFormatPr defaultColWidth="0" defaultRowHeight="12.75" zeroHeight="1"/>
  <cols>
    <col min="1" max="1" width="4.5703125" customWidth="1"/>
    <col min="2" max="2" width="18.42578125" customWidth="1"/>
    <col min="3" max="3" width="18" customWidth="1"/>
    <col min="4" max="4" width="15.7109375" customWidth="1"/>
    <col min="5" max="9" width="11.85546875" customWidth="1"/>
    <col min="10" max="10" width="12.7109375" style="1620" customWidth="1"/>
    <col min="11" max="15" width="11.85546875" customWidth="1"/>
    <col min="16" max="16" width="12.7109375" style="1620" customWidth="1"/>
    <col min="17" max="17" width="11.7109375" style="1620" customWidth="1"/>
    <col min="18" max="21" width="11.85546875" style="1620" customWidth="1"/>
    <col min="22" max="22" width="12.7109375" style="1620" customWidth="1"/>
    <col min="23" max="23" width="13.7109375" style="1620" customWidth="1"/>
    <col min="24" max="25" width="9.140625" customWidth="1"/>
    <col min="26" max="16384" width="9.140625" hidden="1"/>
  </cols>
  <sheetData>
    <row r="1" spans="1:23" s="191" customFormat="1" ht="33.75" customHeight="1">
      <c r="A1" s="2588" t="s">
        <v>291</v>
      </c>
      <c r="B1" s="2588"/>
      <c r="C1" s="2588"/>
      <c r="D1" s="2588"/>
      <c r="E1" s="2588"/>
      <c r="F1" s="2588"/>
      <c r="G1" s="2588"/>
      <c r="H1" s="2588"/>
      <c r="I1" s="2588"/>
      <c r="J1" s="2588"/>
      <c r="K1" s="2588"/>
      <c r="L1" s="2588"/>
      <c r="M1" s="2588"/>
      <c r="N1" s="2588"/>
      <c r="O1" s="2588"/>
      <c r="P1" s="2588"/>
      <c r="Q1" s="2588"/>
      <c r="R1" s="2588"/>
      <c r="S1" s="2588"/>
      <c r="T1" s="2588"/>
      <c r="U1" s="2588"/>
      <c r="V1" s="2588"/>
      <c r="W1" s="2588"/>
    </row>
    <row r="2" spans="1:23" s="191" customFormat="1" ht="18" customHeight="1">
      <c r="A2" s="2589" t="s">
        <v>292</v>
      </c>
      <c r="B2" s="2589"/>
      <c r="C2" s="2589"/>
      <c r="D2" s="2589"/>
      <c r="E2" s="2589"/>
      <c r="F2" s="2589"/>
      <c r="G2" s="2589"/>
      <c r="H2" s="2589"/>
      <c r="I2" s="2589"/>
      <c r="J2" s="2589"/>
      <c r="K2" s="2589"/>
      <c r="L2" s="2589"/>
      <c r="M2" s="2589"/>
      <c r="N2" s="2589"/>
      <c r="O2" s="2589"/>
      <c r="P2" s="2589"/>
      <c r="Q2" s="2589"/>
      <c r="R2" s="2589"/>
      <c r="S2" s="2589"/>
      <c r="T2" s="2589"/>
      <c r="U2" s="2589"/>
      <c r="V2" s="2589"/>
      <c r="W2" s="2589"/>
    </row>
    <row r="3" spans="1:23" s="183" customFormat="1" ht="15.75" customHeight="1">
      <c r="A3" s="2590" t="s">
        <v>36</v>
      </c>
      <c r="B3" s="2590"/>
      <c r="C3" s="2590"/>
      <c r="D3" s="2590"/>
      <c r="E3" s="2590"/>
      <c r="F3" s="2590"/>
      <c r="G3" s="2590"/>
      <c r="H3" s="2590"/>
      <c r="I3" s="2590"/>
      <c r="J3" s="2590"/>
      <c r="K3" s="2590"/>
      <c r="L3" s="2590"/>
      <c r="M3" s="2590"/>
      <c r="N3" s="2590"/>
      <c r="O3" s="2590"/>
      <c r="P3" s="2590"/>
      <c r="Q3" s="2590"/>
      <c r="R3" s="2590"/>
      <c r="S3" s="2590"/>
      <c r="T3" s="2590"/>
      <c r="U3" s="2590"/>
      <c r="V3" s="2590"/>
      <c r="W3" s="2590"/>
    </row>
    <row r="4" spans="1:23" s="183" customFormat="1" ht="15.75" customHeight="1">
      <c r="A4" s="2590" t="s">
        <v>360</v>
      </c>
      <c r="B4" s="2590"/>
      <c r="C4" s="2590"/>
      <c r="D4" s="2590"/>
      <c r="E4" s="2590"/>
      <c r="F4" s="2590"/>
      <c r="G4" s="2590"/>
      <c r="H4" s="2590"/>
      <c r="I4" s="2590"/>
      <c r="J4" s="2590"/>
      <c r="K4" s="2590"/>
      <c r="L4" s="2590"/>
      <c r="M4" s="2590"/>
      <c r="N4" s="2590"/>
      <c r="O4" s="2590"/>
      <c r="P4" s="2590"/>
      <c r="Q4" s="2590"/>
      <c r="R4" s="2590"/>
      <c r="S4" s="2590"/>
      <c r="T4" s="2590"/>
      <c r="U4" s="2590"/>
      <c r="V4" s="2590"/>
      <c r="W4" s="2590"/>
    </row>
    <row r="5" spans="1:23" s="183" customFormat="1" ht="18.75" customHeight="1">
      <c r="A5" s="1262" t="s">
        <v>472</v>
      </c>
      <c r="B5" s="1263"/>
      <c r="C5" s="840"/>
      <c r="D5" s="840"/>
      <c r="E5" s="840"/>
      <c r="F5" s="840"/>
      <c r="G5" s="840"/>
      <c r="H5" s="840"/>
      <c r="I5" s="840"/>
      <c r="J5" s="1610"/>
      <c r="K5" s="840"/>
      <c r="L5" s="840"/>
      <c r="M5" s="840"/>
      <c r="N5" s="840"/>
      <c r="O5" s="840"/>
      <c r="P5" s="1610"/>
      <c r="Q5" s="1610"/>
      <c r="R5" s="1610"/>
      <c r="S5" s="1610"/>
      <c r="T5" s="1610"/>
      <c r="U5" s="1610"/>
      <c r="V5" s="2769" t="s">
        <v>855</v>
      </c>
      <c r="W5" s="2769"/>
    </row>
    <row r="6" spans="1:23" s="183" customFormat="1" ht="15.75" customHeight="1">
      <c r="A6" s="1264" t="s">
        <v>429</v>
      </c>
      <c r="B6" s="1263"/>
      <c r="C6" s="840"/>
      <c r="D6" s="840"/>
      <c r="E6" s="840"/>
      <c r="F6" s="840"/>
      <c r="G6" s="840"/>
      <c r="H6" s="840"/>
      <c r="I6" s="840"/>
      <c r="J6" s="1610"/>
      <c r="K6" s="840"/>
      <c r="L6" s="840"/>
      <c r="M6" s="840"/>
      <c r="N6" s="840"/>
      <c r="O6" s="840"/>
      <c r="P6" s="1610"/>
      <c r="Q6" s="1610"/>
      <c r="R6" s="1610"/>
      <c r="S6" s="1610"/>
      <c r="T6" s="1610"/>
      <c r="U6" s="1610"/>
      <c r="V6" s="872"/>
      <c r="W6" s="1874"/>
    </row>
    <row r="7" spans="1:23" s="183" customFormat="1" ht="19.5" customHeight="1">
      <c r="A7" s="1265"/>
      <c r="B7" s="237"/>
      <c r="C7" s="237"/>
      <c r="D7" s="237"/>
      <c r="E7" s="238"/>
      <c r="F7" s="238"/>
      <c r="G7" s="238"/>
      <c r="H7" s="238"/>
      <c r="I7" s="238"/>
      <c r="J7" s="1720"/>
      <c r="K7" s="238"/>
      <c r="L7" s="238"/>
      <c r="M7" s="846"/>
      <c r="N7" s="238"/>
      <c r="O7" s="238"/>
      <c r="P7" s="1720"/>
      <c r="Q7" s="1875"/>
      <c r="R7" s="1876" t="s">
        <v>38</v>
      </c>
      <c r="S7" s="1726" t="s">
        <v>661</v>
      </c>
      <c r="T7" s="1729" t="s">
        <v>431</v>
      </c>
      <c r="U7" s="872"/>
      <c r="V7" s="1877" t="s">
        <v>365</v>
      </c>
      <c r="W7" s="872"/>
    </row>
    <row r="8" spans="1:23" s="183" customFormat="1" ht="16.5" customHeight="1">
      <c r="A8" s="1265"/>
      <c r="B8" s="1266"/>
      <c r="C8" s="1266"/>
      <c r="D8" s="1266"/>
      <c r="E8" s="238"/>
      <c r="F8" s="238"/>
      <c r="G8" s="238"/>
      <c r="H8" s="238"/>
      <c r="I8" s="238"/>
      <c r="J8" s="1720"/>
      <c r="K8" s="238"/>
      <c r="L8" s="238"/>
      <c r="M8" s="238"/>
      <c r="P8" s="872"/>
      <c r="Q8" s="1875"/>
      <c r="R8" s="1878" t="s">
        <v>617</v>
      </c>
      <c r="S8" s="1879">
        <v>4000</v>
      </c>
      <c r="T8" s="872" t="s">
        <v>433</v>
      </c>
      <c r="U8" s="872"/>
      <c r="V8" s="1880" t="s">
        <v>434</v>
      </c>
      <c r="W8" s="872"/>
    </row>
    <row r="9" spans="1:23" ht="8.25" customHeight="1" thickBot="1"/>
    <row r="10" spans="1:23" s="129" customFormat="1" ht="16.5" customHeight="1" thickTop="1">
      <c r="A10" s="404" t="s">
        <v>369</v>
      </c>
      <c r="B10" s="406" t="s">
        <v>293</v>
      </c>
      <c r="C10" s="522" t="s">
        <v>294</v>
      </c>
      <c r="D10" s="523" t="s">
        <v>295</v>
      </c>
      <c r="E10" s="2766" t="s">
        <v>296</v>
      </c>
      <c r="F10" s="2767"/>
      <c r="G10" s="2767"/>
      <c r="H10" s="2767"/>
      <c r="I10" s="2767"/>
      <c r="J10" s="2768"/>
      <c r="K10" s="2766" t="s">
        <v>297</v>
      </c>
      <c r="L10" s="2767"/>
      <c r="M10" s="2767"/>
      <c r="N10" s="2767"/>
      <c r="O10" s="2767"/>
      <c r="P10" s="2768"/>
      <c r="Q10" s="2763" t="s">
        <v>298</v>
      </c>
      <c r="R10" s="2764"/>
      <c r="S10" s="2764"/>
      <c r="T10" s="2764"/>
      <c r="U10" s="2764"/>
      <c r="V10" s="2765"/>
      <c r="W10" s="1881" t="s">
        <v>481</v>
      </c>
    </row>
    <row r="11" spans="1:23" s="30" customFormat="1">
      <c r="A11" s="524" t="s">
        <v>374</v>
      </c>
      <c r="B11" s="525" t="s">
        <v>299</v>
      </c>
      <c r="C11" s="526" t="s">
        <v>300</v>
      </c>
      <c r="D11" s="527" t="s">
        <v>301</v>
      </c>
      <c r="E11" s="2760" t="s">
        <v>302</v>
      </c>
      <c r="F11" s="2761"/>
      <c r="G11" s="2761"/>
      <c r="H11" s="2761"/>
      <c r="I11" s="2761"/>
      <c r="J11" s="2762"/>
      <c r="K11" s="2760" t="s">
        <v>303</v>
      </c>
      <c r="L11" s="2761"/>
      <c r="M11" s="2761"/>
      <c r="N11" s="2761"/>
      <c r="O11" s="2761"/>
      <c r="P11" s="2762"/>
      <c r="Q11" s="2757" t="s">
        <v>304</v>
      </c>
      <c r="R11" s="2758"/>
      <c r="S11" s="2758"/>
      <c r="T11" s="2758"/>
      <c r="U11" s="2758"/>
      <c r="V11" s="2759"/>
      <c r="W11" s="1882" t="s">
        <v>485</v>
      </c>
    </row>
    <row r="12" spans="1:23" s="129" customFormat="1" ht="17.25" customHeight="1">
      <c r="A12" s="411"/>
      <c r="B12" s="412"/>
      <c r="C12" s="528" t="s">
        <v>305</v>
      </c>
      <c r="D12" s="529"/>
      <c r="E12" s="530" t="s">
        <v>306</v>
      </c>
      <c r="F12" s="475" t="s">
        <v>307</v>
      </c>
      <c r="G12" s="2771" t="s">
        <v>203</v>
      </c>
      <c r="H12" s="2772"/>
      <c r="I12" s="475" t="s">
        <v>308</v>
      </c>
      <c r="J12" s="1868" t="s">
        <v>481</v>
      </c>
      <c r="K12" s="413" t="s">
        <v>306</v>
      </c>
      <c r="L12" s="414" t="s">
        <v>307</v>
      </c>
      <c r="M12" s="2771" t="s">
        <v>203</v>
      </c>
      <c r="N12" s="2772"/>
      <c r="O12" s="414" t="s">
        <v>308</v>
      </c>
      <c r="P12" s="1883" t="s">
        <v>481</v>
      </c>
      <c r="Q12" s="1884" t="s">
        <v>306</v>
      </c>
      <c r="R12" s="1885" t="s">
        <v>307</v>
      </c>
      <c r="S12" s="2775" t="s">
        <v>203</v>
      </c>
      <c r="T12" s="2776"/>
      <c r="U12" s="1885" t="s">
        <v>308</v>
      </c>
      <c r="V12" s="1883" t="s">
        <v>481</v>
      </c>
      <c r="W12" s="1886"/>
    </row>
    <row r="13" spans="1:23">
      <c r="A13" s="524"/>
      <c r="B13" s="531"/>
      <c r="C13" s="532"/>
      <c r="D13" s="533"/>
      <c r="E13" s="534" t="s">
        <v>309</v>
      </c>
      <c r="F13" s="535" t="s">
        <v>310</v>
      </c>
      <c r="G13" s="2773" t="s">
        <v>311</v>
      </c>
      <c r="H13" s="2774"/>
      <c r="I13" s="536" t="s">
        <v>312</v>
      </c>
      <c r="J13" s="1869" t="s">
        <v>485</v>
      </c>
      <c r="K13" s="534" t="s">
        <v>309</v>
      </c>
      <c r="L13" s="535" t="s">
        <v>310</v>
      </c>
      <c r="M13" s="2773" t="s">
        <v>311</v>
      </c>
      <c r="N13" s="2774"/>
      <c r="O13" s="536" t="s">
        <v>312</v>
      </c>
      <c r="P13" s="1887" t="s">
        <v>485</v>
      </c>
      <c r="Q13" s="1888" t="s">
        <v>309</v>
      </c>
      <c r="R13" s="1889" t="s">
        <v>310</v>
      </c>
      <c r="S13" s="2777" t="s">
        <v>311</v>
      </c>
      <c r="T13" s="2778"/>
      <c r="U13" s="1890" t="s">
        <v>312</v>
      </c>
      <c r="V13" s="1887" t="s">
        <v>485</v>
      </c>
      <c r="W13" s="1891"/>
    </row>
    <row r="14" spans="1:23" ht="15" customHeight="1" thickBot="1">
      <c r="A14" s="420"/>
      <c r="B14" s="421"/>
      <c r="C14" s="537"/>
      <c r="D14" s="538"/>
      <c r="E14" s="422"/>
      <c r="F14" s="423"/>
      <c r="G14" s="539" t="s">
        <v>314</v>
      </c>
      <c r="H14" s="423" t="s">
        <v>313</v>
      </c>
      <c r="I14" s="540"/>
      <c r="J14" s="1870"/>
      <c r="K14" s="422"/>
      <c r="L14" s="423"/>
      <c r="M14" s="539" t="s">
        <v>314</v>
      </c>
      <c r="N14" s="423" t="s">
        <v>313</v>
      </c>
      <c r="O14" s="424"/>
      <c r="P14" s="1892"/>
      <c r="Q14" s="1893"/>
      <c r="R14" s="1894"/>
      <c r="S14" s="1895" t="s">
        <v>314</v>
      </c>
      <c r="T14" s="1894" t="s">
        <v>313</v>
      </c>
      <c r="U14" s="1896"/>
      <c r="V14" s="1892"/>
      <c r="W14" s="1897"/>
    </row>
    <row r="15" spans="1:23" s="1" customFormat="1" ht="28.5" customHeight="1">
      <c r="A15" s="491">
        <v>1</v>
      </c>
      <c r="B15" s="1473"/>
      <c r="C15" s="201"/>
      <c r="D15" s="1475"/>
      <c r="E15" s="200"/>
      <c r="F15" s="199"/>
      <c r="G15" s="196"/>
      <c r="H15" s="197"/>
      <c r="I15" s="197"/>
      <c r="J15" s="1871">
        <f>SUM(E15:I15)</f>
        <v>0</v>
      </c>
      <c r="K15" s="198"/>
      <c r="L15" s="199"/>
      <c r="M15" s="196"/>
      <c r="N15" s="197"/>
      <c r="O15" s="197"/>
      <c r="P15" s="1898">
        <f>SUM(K15:O15)</f>
        <v>0</v>
      </c>
      <c r="Q15" s="1899"/>
      <c r="R15" s="1900"/>
      <c r="S15" s="1901"/>
      <c r="T15" s="1901"/>
      <c r="U15" s="1901"/>
      <c r="V15" s="1898">
        <f>SUM(Q15:U15)</f>
        <v>0</v>
      </c>
      <c r="W15" s="1902">
        <f>J15+P15+V15</f>
        <v>0</v>
      </c>
    </row>
    <row r="16" spans="1:23" s="1" customFormat="1" ht="28.5" customHeight="1">
      <c r="A16" s="493">
        <v>2</v>
      </c>
      <c r="B16" s="2213"/>
      <c r="C16" s="201"/>
      <c r="D16" s="203"/>
      <c r="E16" s="200"/>
      <c r="F16" s="199"/>
      <c r="G16" s="196"/>
      <c r="H16" s="197"/>
      <c r="I16" s="197"/>
      <c r="J16" s="1871">
        <f t="shared" ref="J16:J32" si="0">SUM(E16:I16)</f>
        <v>0</v>
      </c>
      <c r="K16" s="198"/>
      <c r="L16" s="199"/>
      <c r="M16" s="196"/>
      <c r="N16" s="197"/>
      <c r="O16" s="197"/>
      <c r="P16" s="1898">
        <f t="shared" ref="P16:P32" si="1">SUM(K16:O16)</f>
        <v>0</v>
      </c>
      <c r="Q16" s="1903"/>
      <c r="R16" s="1900"/>
      <c r="S16" s="1901"/>
      <c r="T16" s="1901"/>
      <c r="U16" s="1901"/>
      <c r="V16" s="1898">
        <f t="shared" ref="V16:V32" si="2">SUM(Q16:U16)</f>
        <v>0</v>
      </c>
      <c r="W16" s="1902">
        <f>J16+P16+V16</f>
        <v>0</v>
      </c>
    </row>
    <row r="17" spans="1:23" s="1" customFormat="1" ht="28.5" customHeight="1">
      <c r="A17" s="493">
        <v>3</v>
      </c>
      <c r="B17" s="2213"/>
      <c r="C17" s="201"/>
      <c r="D17" s="205"/>
      <c r="E17" s="200"/>
      <c r="F17" s="199"/>
      <c r="G17" s="196"/>
      <c r="H17" s="197"/>
      <c r="I17" s="197"/>
      <c r="J17" s="1871">
        <f t="shared" si="0"/>
        <v>0</v>
      </c>
      <c r="K17" s="198"/>
      <c r="L17" s="199"/>
      <c r="M17" s="196"/>
      <c r="N17" s="197"/>
      <c r="O17" s="197"/>
      <c r="P17" s="1898">
        <f t="shared" si="1"/>
        <v>0</v>
      </c>
      <c r="Q17" s="1903"/>
      <c r="R17" s="1900"/>
      <c r="S17" s="1901"/>
      <c r="T17" s="1901"/>
      <c r="U17" s="1901"/>
      <c r="V17" s="1898">
        <f t="shared" si="2"/>
        <v>0</v>
      </c>
      <c r="W17" s="1902">
        <f>J17+P17+V17</f>
        <v>0</v>
      </c>
    </row>
    <row r="18" spans="1:23" s="1" customFormat="1" ht="28.5" customHeight="1">
      <c r="A18" s="493">
        <v>4</v>
      </c>
      <c r="B18" s="2214"/>
      <c r="C18" s="201"/>
      <c r="D18" s="205"/>
      <c r="E18" s="200"/>
      <c r="F18" s="199"/>
      <c r="G18" s="196"/>
      <c r="H18" s="197"/>
      <c r="I18" s="197"/>
      <c r="J18" s="1871">
        <f t="shared" si="0"/>
        <v>0</v>
      </c>
      <c r="K18" s="198"/>
      <c r="L18" s="199"/>
      <c r="M18" s="196"/>
      <c r="N18" s="197"/>
      <c r="O18" s="197"/>
      <c r="P18" s="1898">
        <f t="shared" si="1"/>
        <v>0</v>
      </c>
      <c r="Q18" s="1903"/>
      <c r="R18" s="1900"/>
      <c r="S18" s="1901"/>
      <c r="T18" s="1901"/>
      <c r="U18" s="1901"/>
      <c r="V18" s="1898">
        <f t="shared" si="2"/>
        <v>0</v>
      </c>
      <c r="W18" s="1902">
        <f>J18+P18+V18</f>
        <v>0</v>
      </c>
    </row>
    <row r="19" spans="1:23" s="1" customFormat="1" ht="28.5" customHeight="1">
      <c r="A19" s="493">
        <v>5</v>
      </c>
      <c r="B19" s="2213"/>
      <c r="C19" s="201"/>
      <c r="D19" s="205"/>
      <c r="E19" s="200"/>
      <c r="F19" s="199"/>
      <c r="G19" s="196"/>
      <c r="H19" s="197"/>
      <c r="I19" s="197"/>
      <c r="J19" s="1871">
        <f t="shared" si="0"/>
        <v>0</v>
      </c>
      <c r="K19" s="198"/>
      <c r="L19" s="199"/>
      <c r="M19" s="196"/>
      <c r="N19" s="197"/>
      <c r="O19" s="197"/>
      <c r="P19" s="1898">
        <f t="shared" si="1"/>
        <v>0</v>
      </c>
      <c r="Q19" s="1903"/>
      <c r="R19" s="1900"/>
      <c r="S19" s="1901"/>
      <c r="T19" s="1901"/>
      <c r="U19" s="1901"/>
      <c r="V19" s="1898">
        <f t="shared" si="2"/>
        <v>0</v>
      </c>
      <c r="W19" s="1902">
        <f>J19+P19+V19</f>
        <v>0</v>
      </c>
    </row>
    <row r="20" spans="1:23" s="1" customFormat="1" ht="28.5" customHeight="1">
      <c r="A20" s="493">
        <v>6</v>
      </c>
      <c r="B20" s="2213"/>
      <c r="C20" s="201"/>
      <c r="D20" s="205"/>
      <c r="E20" s="200"/>
      <c r="F20" s="199"/>
      <c r="G20" s="196"/>
      <c r="H20" s="197"/>
      <c r="I20" s="197"/>
      <c r="J20" s="1871">
        <f t="shared" si="0"/>
        <v>0</v>
      </c>
      <c r="K20" s="198"/>
      <c r="L20" s="199"/>
      <c r="M20" s="196"/>
      <c r="N20" s="197"/>
      <c r="O20" s="197"/>
      <c r="P20" s="1898">
        <f t="shared" si="1"/>
        <v>0</v>
      </c>
      <c r="Q20" s="1903"/>
      <c r="R20" s="1900"/>
      <c r="S20" s="1901"/>
      <c r="T20" s="1901"/>
      <c r="U20" s="1901"/>
      <c r="V20" s="1898">
        <f t="shared" si="2"/>
        <v>0</v>
      </c>
      <c r="W20" s="1902">
        <f t="shared" ref="W20:W32" si="3">J20+P20+V20</f>
        <v>0</v>
      </c>
    </row>
    <row r="21" spans="1:23" s="1" customFormat="1" ht="28.5" customHeight="1">
      <c r="A21" s="493">
        <v>7</v>
      </c>
      <c r="B21" s="2213"/>
      <c r="C21" s="201"/>
      <c r="D21" s="205"/>
      <c r="E21" s="200"/>
      <c r="F21" s="199"/>
      <c r="G21" s="196"/>
      <c r="H21" s="197"/>
      <c r="I21" s="197"/>
      <c r="J21" s="1871">
        <f t="shared" si="0"/>
        <v>0</v>
      </c>
      <c r="K21" s="198"/>
      <c r="L21" s="199"/>
      <c r="M21" s="196"/>
      <c r="N21" s="197"/>
      <c r="O21" s="197"/>
      <c r="P21" s="1898">
        <f t="shared" si="1"/>
        <v>0</v>
      </c>
      <c r="Q21" s="1903"/>
      <c r="R21" s="1900"/>
      <c r="S21" s="1901"/>
      <c r="T21" s="1901"/>
      <c r="U21" s="1901"/>
      <c r="V21" s="1898">
        <f t="shared" si="2"/>
        <v>0</v>
      </c>
      <c r="W21" s="1902">
        <f t="shared" si="3"/>
        <v>0</v>
      </c>
    </row>
    <row r="22" spans="1:23" s="1" customFormat="1" ht="28.5" customHeight="1">
      <c r="A22" s="493">
        <v>8</v>
      </c>
      <c r="B22" s="2213"/>
      <c r="C22" s="201"/>
      <c r="D22" s="205"/>
      <c r="E22" s="200"/>
      <c r="F22" s="199"/>
      <c r="G22" s="196"/>
      <c r="H22" s="197"/>
      <c r="I22" s="197"/>
      <c r="J22" s="1871">
        <f t="shared" si="0"/>
        <v>0</v>
      </c>
      <c r="K22" s="198"/>
      <c r="L22" s="199"/>
      <c r="M22" s="196"/>
      <c r="N22" s="197"/>
      <c r="O22" s="197"/>
      <c r="P22" s="1898">
        <f t="shared" si="1"/>
        <v>0</v>
      </c>
      <c r="Q22" s="1903"/>
      <c r="R22" s="1900"/>
      <c r="S22" s="1901"/>
      <c r="T22" s="1901"/>
      <c r="U22" s="1901"/>
      <c r="V22" s="1898">
        <f t="shared" si="2"/>
        <v>0</v>
      </c>
      <c r="W22" s="1902">
        <f t="shared" si="3"/>
        <v>0</v>
      </c>
    </row>
    <row r="23" spans="1:23" s="1" customFormat="1" ht="28.5" customHeight="1">
      <c r="A23" s="493">
        <v>9</v>
      </c>
      <c r="B23" s="2213"/>
      <c r="C23" s="201"/>
      <c r="D23" s="205"/>
      <c r="E23" s="200"/>
      <c r="F23" s="199"/>
      <c r="G23" s="196"/>
      <c r="H23" s="197"/>
      <c r="I23" s="197"/>
      <c r="J23" s="1871">
        <f t="shared" si="0"/>
        <v>0</v>
      </c>
      <c r="K23" s="198"/>
      <c r="L23" s="199"/>
      <c r="M23" s="196"/>
      <c r="N23" s="197"/>
      <c r="O23" s="197"/>
      <c r="P23" s="1898">
        <f t="shared" si="1"/>
        <v>0</v>
      </c>
      <c r="Q23" s="1903"/>
      <c r="R23" s="1900"/>
      <c r="S23" s="1901"/>
      <c r="T23" s="1901"/>
      <c r="U23" s="1901"/>
      <c r="V23" s="1898">
        <f t="shared" si="2"/>
        <v>0</v>
      </c>
      <c r="W23" s="1902">
        <f t="shared" si="3"/>
        <v>0</v>
      </c>
    </row>
    <row r="24" spans="1:23" s="1" customFormat="1" ht="28.5" customHeight="1">
      <c r="A24" s="491">
        <v>10</v>
      </c>
      <c r="B24" s="204"/>
      <c r="C24" s="201"/>
      <c r="D24" s="205"/>
      <c r="E24" s="200"/>
      <c r="F24" s="199"/>
      <c r="G24" s="196"/>
      <c r="H24" s="197"/>
      <c r="I24" s="197"/>
      <c r="J24" s="1871">
        <f t="shared" si="0"/>
        <v>0</v>
      </c>
      <c r="K24" s="198"/>
      <c r="L24" s="199"/>
      <c r="M24" s="196"/>
      <c r="N24" s="197"/>
      <c r="O24" s="197"/>
      <c r="P24" s="1898">
        <f t="shared" si="1"/>
        <v>0</v>
      </c>
      <c r="Q24" s="1903"/>
      <c r="R24" s="1900"/>
      <c r="S24" s="1901"/>
      <c r="T24" s="1901"/>
      <c r="U24" s="1901"/>
      <c r="V24" s="1898">
        <f t="shared" si="2"/>
        <v>0</v>
      </c>
      <c r="W24" s="1902">
        <f t="shared" si="3"/>
        <v>0</v>
      </c>
    </row>
    <row r="25" spans="1:23" s="1" customFormat="1" ht="28.5" customHeight="1">
      <c r="A25" s="493">
        <v>11</v>
      </c>
      <c r="B25" s="204"/>
      <c r="C25" s="201"/>
      <c r="D25" s="205"/>
      <c r="E25" s="200"/>
      <c r="F25" s="199"/>
      <c r="G25" s="196"/>
      <c r="H25" s="197"/>
      <c r="I25" s="197"/>
      <c r="J25" s="1871">
        <f t="shared" si="0"/>
        <v>0</v>
      </c>
      <c r="K25" s="198"/>
      <c r="L25" s="199"/>
      <c r="M25" s="196"/>
      <c r="N25" s="197"/>
      <c r="O25" s="197"/>
      <c r="P25" s="1898">
        <f t="shared" si="1"/>
        <v>0</v>
      </c>
      <c r="Q25" s="1903"/>
      <c r="R25" s="1900"/>
      <c r="S25" s="1901"/>
      <c r="T25" s="1901"/>
      <c r="U25" s="1901"/>
      <c r="V25" s="1898">
        <f t="shared" si="2"/>
        <v>0</v>
      </c>
      <c r="W25" s="1902">
        <f t="shared" si="3"/>
        <v>0</v>
      </c>
    </row>
    <row r="26" spans="1:23" s="1" customFormat="1" ht="28.5" customHeight="1">
      <c r="A26" s="493">
        <v>12</v>
      </c>
      <c r="B26" s="204"/>
      <c r="C26" s="201"/>
      <c r="D26" s="205"/>
      <c r="E26" s="200"/>
      <c r="F26" s="199"/>
      <c r="G26" s="196"/>
      <c r="H26" s="197"/>
      <c r="I26" s="197"/>
      <c r="J26" s="1871">
        <f t="shared" si="0"/>
        <v>0</v>
      </c>
      <c r="K26" s="198"/>
      <c r="L26" s="199"/>
      <c r="M26" s="196"/>
      <c r="N26" s="197"/>
      <c r="O26" s="197"/>
      <c r="P26" s="1898">
        <f t="shared" si="1"/>
        <v>0</v>
      </c>
      <c r="Q26" s="1903"/>
      <c r="R26" s="1900"/>
      <c r="S26" s="1901"/>
      <c r="T26" s="1901"/>
      <c r="U26" s="1901"/>
      <c r="V26" s="1898">
        <f t="shared" si="2"/>
        <v>0</v>
      </c>
      <c r="W26" s="1902">
        <f t="shared" si="3"/>
        <v>0</v>
      </c>
    </row>
    <row r="27" spans="1:23" s="1" customFormat="1" ht="28.5" customHeight="1">
      <c r="A27" s="493">
        <v>13</v>
      </c>
      <c r="B27" s="204"/>
      <c r="C27" s="201"/>
      <c r="D27" s="205"/>
      <c r="E27" s="200"/>
      <c r="F27" s="199"/>
      <c r="G27" s="196"/>
      <c r="H27" s="197"/>
      <c r="I27" s="197"/>
      <c r="J27" s="1871">
        <f t="shared" si="0"/>
        <v>0</v>
      </c>
      <c r="K27" s="198"/>
      <c r="L27" s="199"/>
      <c r="M27" s="196"/>
      <c r="N27" s="197"/>
      <c r="O27" s="197"/>
      <c r="P27" s="1898">
        <f t="shared" si="1"/>
        <v>0</v>
      </c>
      <c r="Q27" s="1903"/>
      <c r="R27" s="1900"/>
      <c r="S27" s="1901"/>
      <c r="T27" s="1901"/>
      <c r="U27" s="1901"/>
      <c r="V27" s="1898">
        <f t="shared" si="2"/>
        <v>0</v>
      </c>
      <c r="W27" s="1902">
        <f t="shared" si="3"/>
        <v>0</v>
      </c>
    </row>
    <row r="28" spans="1:23" s="1" customFormat="1" ht="28.5" customHeight="1">
      <c r="A28" s="493">
        <v>14</v>
      </c>
      <c r="B28" s="204"/>
      <c r="C28" s="201"/>
      <c r="D28" s="205"/>
      <c r="E28" s="200"/>
      <c r="F28" s="199"/>
      <c r="G28" s="196"/>
      <c r="H28" s="197"/>
      <c r="I28" s="197"/>
      <c r="J28" s="1871">
        <f t="shared" si="0"/>
        <v>0</v>
      </c>
      <c r="K28" s="198"/>
      <c r="L28" s="199"/>
      <c r="M28" s="196"/>
      <c r="N28" s="197"/>
      <c r="O28" s="197"/>
      <c r="P28" s="1898">
        <f t="shared" si="1"/>
        <v>0</v>
      </c>
      <c r="Q28" s="1903"/>
      <c r="R28" s="1900"/>
      <c r="S28" s="1901"/>
      <c r="T28" s="1901"/>
      <c r="U28" s="1901"/>
      <c r="V28" s="1898">
        <f t="shared" si="2"/>
        <v>0</v>
      </c>
      <c r="W28" s="1902">
        <f t="shared" si="3"/>
        <v>0</v>
      </c>
    </row>
    <row r="29" spans="1:23" s="1" customFormat="1" ht="28.5" customHeight="1">
      <c r="A29" s="493">
        <v>15</v>
      </c>
      <c r="B29" s="204"/>
      <c r="C29" s="201"/>
      <c r="D29" s="205"/>
      <c r="E29" s="200"/>
      <c r="F29" s="199"/>
      <c r="G29" s="196"/>
      <c r="H29" s="197"/>
      <c r="I29" s="197"/>
      <c r="J29" s="1871">
        <f t="shared" si="0"/>
        <v>0</v>
      </c>
      <c r="K29" s="198"/>
      <c r="L29" s="199"/>
      <c r="M29" s="196"/>
      <c r="N29" s="197"/>
      <c r="O29" s="197"/>
      <c r="P29" s="1898">
        <f t="shared" si="1"/>
        <v>0</v>
      </c>
      <c r="Q29" s="1903"/>
      <c r="R29" s="1900"/>
      <c r="S29" s="1901"/>
      <c r="T29" s="1901"/>
      <c r="U29" s="1901"/>
      <c r="V29" s="1898">
        <f t="shared" si="2"/>
        <v>0</v>
      </c>
      <c r="W29" s="1902">
        <f t="shared" si="3"/>
        <v>0</v>
      </c>
    </row>
    <row r="30" spans="1:23" s="1" customFormat="1" ht="28.5" customHeight="1">
      <c r="A30" s="493">
        <v>16</v>
      </c>
      <c r="B30" s="204"/>
      <c r="C30" s="201"/>
      <c r="D30" s="205"/>
      <c r="E30" s="200"/>
      <c r="F30" s="199"/>
      <c r="G30" s="196"/>
      <c r="H30" s="197"/>
      <c r="I30" s="197"/>
      <c r="J30" s="1871">
        <f t="shared" si="0"/>
        <v>0</v>
      </c>
      <c r="K30" s="198"/>
      <c r="L30" s="199"/>
      <c r="M30" s="196"/>
      <c r="N30" s="197"/>
      <c r="O30" s="197"/>
      <c r="P30" s="1898">
        <f t="shared" si="1"/>
        <v>0</v>
      </c>
      <c r="Q30" s="1903"/>
      <c r="R30" s="1900"/>
      <c r="S30" s="1901"/>
      <c r="T30" s="1901"/>
      <c r="U30" s="1901"/>
      <c r="V30" s="1898">
        <f t="shared" si="2"/>
        <v>0</v>
      </c>
      <c r="W30" s="1902">
        <f t="shared" si="3"/>
        <v>0</v>
      </c>
    </row>
    <row r="31" spans="1:23" s="1" customFormat="1" ht="28.5" customHeight="1">
      <c r="A31" s="493">
        <v>17</v>
      </c>
      <c r="B31" s="204"/>
      <c r="C31" s="201"/>
      <c r="D31" s="205"/>
      <c r="E31" s="200"/>
      <c r="F31" s="199"/>
      <c r="G31" s="196"/>
      <c r="H31" s="197"/>
      <c r="I31" s="197"/>
      <c r="J31" s="1871">
        <f t="shared" si="0"/>
        <v>0</v>
      </c>
      <c r="K31" s="198"/>
      <c r="L31" s="199"/>
      <c r="M31" s="196"/>
      <c r="N31" s="197"/>
      <c r="O31" s="197"/>
      <c r="P31" s="1898">
        <f t="shared" si="1"/>
        <v>0</v>
      </c>
      <c r="Q31" s="1903"/>
      <c r="R31" s="1900"/>
      <c r="S31" s="1901"/>
      <c r="T31" s="1901"/>
      <c r="U31" s="1901"/>
      <c r="V31" s="1898">
        <f t="shared" si="2"/>
        <v>0</v>
      </c>
      <c r="W31" s="1902">
        <f t="shared" si="3"/>
        <v>0</v>
      </c>
    </row>
    <row r="32" spans="1:23" s="1" customFormat="1" ht="28.5" customHeight="1">
      <c r="A32" s="493">
        <v>18</v>
      </c>
      <c r="B32" s="204"/>
      <c r="C32" s="201"/>
      <c r="D32" s="205"/>
      <c r="E32" s="200"/>
      <c r="F32" s="199"/>
      <c r="G32" s="196"/>
      <c r="H32" s="197"/>
      <c r="I32" s="197"/>
      <c r="J32" s="1871">
        <f t="shared" si="0"/>
        <v>0</v>
      </c>
      <c r="K32" s="198"/>
      <c r="L32" s="199"/>
      <c r="M32" s="196"/>
      <c r="N32" s="197"/>
      <c r="O32" s="197"/>
      <c r="P32" s="1898">
        <f t="shared" si="1"/>
        <v>0</v>
      </c>
      <c r="Q32" s="1903"/>
      <c r="R32" s="1900"/>
      <c r="S32" s="1901"/>
      <c r="T32" s="1901"/>
      <c r="U32" s="1901"/>
      <c r="V32" s="1898">
        <f t="shared" si="2"/>
        <v>0</v>
      </c>
      <c r="W32" s="1902">
        <f t="shared" si="3"/>
        <v>0</v>
      </c>
    </row>
    <row r="33" spans="1:23" s="1" customFormat="1" ht="28.5" customHeight="1">
      <c r="A33" s="493">
        <v>19</v>
      </c>
      <c r="B33" s="202"/>
      <c r="C33" s="201"/>
      <c r="D33" s="203"/>
      <c r="E33" s="200"/>
      <c r="F33" s="199"/>
      <c r="G33" s="196"/>
      <c r="H33" s="197"/>
      <c r="I33" s="197"/>
      <c r="J33" s="1871">
        <f t="shared" ref="J33:J34" si="4">SUM(E33:I33)</f>
        <v>0</v>
      </c>
      <c r="K33" s="198"/>
      <c r="L33" s="199"/>
      <c r="M33" s="196"/>
      <c r="N33" s="197"/>
      <c r="O33" s="197"/>
      <c r="P33" s="1898">
        <f t="shared" ref="P33:P34" si="5">SUM(K33:O33)</f>
        <v>0</v>
      </c>
      <c r="Q33" s="1903"/>
      <c r="R33" s="1900"/>
      <c r="S33" s="1901"/>
      <c r="T33" s="1901"/>
      <c r="U33" s="1901"/>
      <c r="V33" s="1898">
        <f t="shared" ref="V33:V34" si="6">SUM(Q33:U33)</f>
        <v>0</v>
      </c>
      <c r="W33" s="1902">
        <f>J33+P33+V33</f>
        <v>0</v>
      </c>
    </row>
    <row r="34" spans="1:23" s="1" customFormat="1" ht="28.5" customHeight="1" thickBot="1">
      <c r="A34" s="493">
        <v>20</v>
      </c>
      <c r="B34" s="204"/>
      <c r="C34" s="201"/>
      <c r="D34" s="205"/>
      <c r="E34" s="200"/>
      <c r="F34" s="199"/>
      <c r="G34" s="196"/>
      <c r="H34" s="197"/>
      <c r="I34" s="197"/>
      <c r="J34" s="1871">
        <f t="shared" si="4"/>
        <v>0</v>
      </c>
      <c r="K34" s="198"/>
      <c r="L34" s="199"/>
      <c r="M34" s="196"/>
      <c r="N34" s="197"/>
      <c r="O34" s="197"/>
      <c r="P34" s="1898">
        <f t="shared" si="5"/>
        <v>0</v>
      </c>
      <c r="Q34" s="1903"/>
      <c r="R34" s="1900"/>
      <c r="S34" s="1901"/>
      <c r="T34" s="1901"/>
      <c r="U34" s="1901"/>
      <c r="V34" s="1898">
        <f t="shared" si="6"/>
        <v>0</v>
      </c>
      <c r="W34" s="1902">
        <f>J34+P34+V34</f>
        <v>0</v>
      </c>
    </row>
    <row r="35" spans="1:23" s="1" customFormat="1" ht="30.75" customHeight="1" thickBot="1">
      <c r="A35" s="2779" t="s">
        <v>46</v>
      </c>
      <c r="B35" s="2780"/>
      <c r="C35" s="2780"/>
      <c r="D35" s="2781"/>
      <c r="E35" s="194">
        <f t="shared" ref="E35:W35" si="7">SUM(E15:E34)</f>
        <v>0</v>
      </c>
      <c r="F35" s="192">
        <f t="shared" si="7"/>
        <v>0</v>
      </c>
      <c r="G35" s="192">
        <f t="shared" si="7"/>
        <v>0</v>
      </c>
      <c r="H35" s="192">
        <f t="shared" si="7"/>
        <v>0</v>
      </c>
      <c r="I35" s="193">
        <f t="shared" si="7"/>
        <v>0</v>
      </c>
      <c r="J35" s="1872">
        <f t="shared" si="7"/>
        <v>0</v>
      </c>
      <c r="K35" s="818">
        <f t="shared" si="7"/>
        <v>0</v>
      </c>
      <c r="L35" s="195">
        <f t="shared" si="7"/>
        <v>0</v>
      </c>
      <c r="M35" s="195">
        <f t="shared" si="7"/>
        <v>0</v>
      </c>
      <c r="N35" s="195">
        <f t="shared" si="7"/>
        <v>0</v>
      </c>
      <c r="O35" s="819">
        <f t="shared" si="7"/>
        <v>0</v>
      </c>
      <c r="P35" s="1904">
        <f t="shared" si="7"/>
        <v>0</v>
      </c>
      <c r="Q35" s="1905">
        <f t="shared" si="7"/>
        <v>0</v>
      </c>
      <c r="R35" s="1906">
        <f t="shared" si="7"/>
        <v>0</v>
      </c>
      <c r="S35" s="1907">
        <f t="shared" si="7"/>
        <v>0</v>
      </c>
      <c r="T35" s="1907">
        <f t="shared" si="7"/>
        <v>0</v>
      </c>
      <c r="U35" s="1904">
        <f t="shared" si="7"/>
        <v>0</v>
      </c>
      <c r="V35" s="1904">
        <f t="shared" si="7"/>
        <v>0</v>
      </c>
      <c r="W35" s="1908">
        <f t="shared" si="7"/>
        <v>0</v>
      </c>
    </row>
    <row r="36" spans="1:23" s="1273" customFormat="1" ht="11.25" customHeight="1" thickTop="1">
      <c r="A36" s="1268"/>
      <c r="B36" s="1268"/>
      <c r="C36" s="1268"/>
      <c r="D36" s="1268"/>
      <c r="E36" s="1269"/>
      <c r="F36" s="1270"/>
      <c r="G36" s="1270"/>
      <c r="H36" s="1270"/>
      <c r="I36" s="1270"/>
      <c r="J36" s="1873"/>
      <c r="K36" s="1271"/>
      <c r="L36" s="1271"/>
      <c r="M36" s="1271"/>
      <c r="N36" s="1271"/>
      <c r="O36" s="1272"/>
      <c r="P36" s="1909"/>
      <c r="Q36" s="1910"/>
      <c r="R36" s="1910"/>
      <c r="S36" s="1910"/>
      <c r="T36" s="1910"/>
      <c r="U36" s="1909"/>
      <c r="V36" s="1909"/>
      <c r="W36" s="1911"/>
    </row>
    <row r="37" spans="1:23" s="183" customFormat="1" ht="16.5" customHeight="1">
      <c r="B37" s="979" t="s">
        <v>465</v>
      </c>
      <c r="C37" s="979"/>
      <c r="D37" s="979"/>
      <c r="J37" s="872"/>
      <c r="P37" s="872"/>
      <c r="Q37" s="872"/>
      <c r="R37" s="872"/>
      <c r="S37" s="872"/>
      <c r="T37" s="872"/>
      <c r="U37" s="872"/>
      <c r="V37" s="872"/>
      <c r="W37" s="872"/>
    </row>
    <row r="38" spans="1:23" s="183" customFormat="1">
      <c r="B38" s="980" t="s">
        <v>397</v>
      </c>
      <c r="C38" s="980"/>
      <c r="D38" s="980"/>
      <c r="J38" s="872"/>
      <c r="P38" s="872"/>
      <c r="Q38" s="872"/>
      <c r="R38" s="872"/>
      <c r="S38" s="872"/>
      <c r="T38" s="872"/>
      <c r="U38" s="872"/>
      <c r="V38" s="872"/>
      <c r="W38" s="872"/>
    </row>
    <row r="39" spans="1:23" s="183" customFormat="1" ht="21">
      <c r="J39" s="872"/>
      <c r="P39" s="872"/>
      <c r="Q39" s="1866"/>
      <c r="R39" s="1866"/>
      <c r="S39" s="1866"/>
      <c r="T39" s="2782" t="s">
        <v>48</v>
      </c>
      <c r="U39" s="2782"/>
      <c r="V39" s="2782"/>
      <c r="W39" s="2782"/>
    </row>
    <row r="40" spans="1:23" s="183" customFormat="1">
      <c r="J40" s="872"/>
      <c r="P40" s="872"/>
      <c r="Q40" s="1912"/>
      <c r="R40" s="1912"/>
      <c r="S40" s="1912"/>
      <c r="T40" s="872"/>
      <c r="U40" s="2770" t="s">
        <v>398</v>
      </c>
      <c r="V40" s="2770"/>
      <c r="W40" s="872"/>
    </row>
    <row r="41" spans="1:23" s="183" customFormat="1" ht="21">
      <c r="D41" s="2591" t="s">
        <v>399</v>
      </c>
      <c r="E41" s="2591"/>
      <c r="J41" s="872"/>
      <c r="N41" s="981" t="s">
        <v>468</v>
      </c>
      <c r="P41" s="872"/>
      <c r="Q41" s="872"/>
      <c r="R41" s="1866"/>
      <c r="S41" s="1866"/>
      <c r="T41" s="872"/>
      <c r="U41" s="2782" t="s">
        <v>469</v>
      </c>
      <c r="V41" s="2782"/>
      <c r="W41" s="872"/>
    </row>
    <row r="42" spans="1:23" s="183" customFormat="1">
      <c r="D42" s="2592" t="s">
        <v>402</v>
      </c>
      <c r="E42" s="2592"/>
      <c r="J42" s="872"/>
      <c r="N42" s="238" t="s">
        <v>497</v>
      </c>
      <c r="P42" s="872"/>
      <c r="Q42" s="872"/>
      <c r="R42" s="1912"/>
      <c r="S42" s="1912"/>
      <c r="T42" s="872"/>
      <c r="U42" s="2770" t="s">
        <v>471</v>
      </c>
      <c r="V42" s="2770"/>
      <c r="W42" s="872"/>
    </row>
    <row r="43" spans="1:23" s="183" customFormat="1">
      <c r="J43" s="872"/>
      <c r="P43" s="872"/>
      <c r="Q43" s="872"/>
      <c r="R43" s="872"/>
      <c r="S43" s="872"/>
      <c r="T43" s="872"/>
      <c r="U43" s="872"/>
      <c r="V43" s="872"/>
      <c r="W43" s="872"/>
    </row>
    <row r="44" spans="1:23" s="183" customFormat="1">
      <c r="J44" s="872"/>
      <c r="P44" s="872"/>
      <c r="Q44" s="872"/>
      <c r="R44" s="872"/>
      <c r="S44" s="872"/>
      <c r="T44" s="872"/>
      <c r="U44" s="872"/>
      <c r="V44" s="872"/>
      <c r="W44" s="872"/>
    </row>
    <row r="45" spans="1:23" s="183" customFormat="1">
      <c r="J45" s="872"/>
      <c r="P45" s="872"/>
      <c r="Q45" s="872"/>
      <c r="R45" s="872"/>
      <c r="S45" s="872"/>
      <c r="T45" s="872"/>
      <c r="U45" s="872"/>
      <c r="V45" s="872"/>
      <c r="W45" s="872"/>
    </row>
    <row r="46" spans="1:23" s="183" customFormat="1">
      <c r="A46" s="183" t="s">
        <v>1877</v>
      </c>
      <c r="J46" s="872"/>
      <c r="P46" s="872"/>
      <c r="Q46" s="872"/>
      <c r="R46" s="872"/>
      <c r="S46" s="872"/>
      <c r="T46" s="872"/>
      <c r="U46" s="872"/>
      <c r="V46" s="872"/>
      <c r="W46" s="872"/>
    </row>
    <row r="47" spans="1:23" hidden="1"/>
    <row r="48" spans="1:23" hidden="1"/>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sheetData>
  <sheetProtection password="C5F7" sheet="1" objects="1" scenarios="1" formatCells="0" formatColumns="0" formatRows="0"/>
  <protectedRanges>
    <protectedRange password="CF0E" sqref="A6" name="Range1"/>
  </protectedRanges>
  <mergeCells count="24">
    <mergeCell ref="U42:V42"/>
    <mergeCell ref="D42:E42"/>
    <mergeCell ref="G12:H12"/>
    <mergeCell ref="M12:N12"/>
    <mergeCell ref="M13:N13"/>
    <mergeCell ref="D41:E41"/>
    <mergeCell ref="S12:T12"/>
    <mergeCell ref="S13:T13"/>
    <mergeCell ref="A35:D35"/>
    <mergeCell ref="U40:V40"/>
    <mergeCell ref="G13:H13"/>
    <mergeCell ref="T39:W39"/>
    <mergeCell ref="U41:V41"/>
    <mergeCell ref="V5:W5"/>
    <mergeCell ref="A2:W2"/>
    <mergeCell ref="A1:W1"/>
    <mergeCell ref="A4:W4"/>
    <mergeCell ref="A3:W3"/>
    <mergeCell ref="Q11:V11"/>
    <mergeCell ref="K11:P11"/>
    <mergeCell ref="E11:J11"/>
    <mergeCell ref="Q10:V10"/>
    <mergeCell ref="K10:P10"/>
    <mergeCell ref="E10:J10"/>
  </mergeCells>
  <phoneticPr fontId="19" type="noConversion"/>
  <dataValidations count="2">
    <dataValidation type="list" allowBlank="1" showInputMessage="1" showErrorMessage="1" sqref="C15:C34">
      <formula1>"Resident,Non-Resident"</formula1>
    </dataValidation>
    <dataValidation type="decimal" allowBlank="1" showInputMessage="1" showErrorMessage="1" errorTitle="Wrong Format" error="Only number is allowed!" sqref="K15:O34 E15:I34 Q15:U34">
      <formula1>0</formula1>
      <formula2>9.99999999999999E+38</formula2>
    </dataValidation>
  </dataValidations>
  <pageMargins left="0.25" right="0" top="0.25" bottom="0.25" header="0.25" footer="0.25"/>
  <pageSetup paperSize="9" scale="52"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theme="0"/>
  </sheetPr>
  <dimension ref="A1:R41"/>
  <sheetViews>
    <sheetView showGridLines="0" topLeftCell="A10" zoomScaleSheetLayoutView="100" workbookViewId="0">
      <selection activeCell="C15" sqref="C15:F16"/>
    </sheetView>
  </sheetViews>
  <sheetFormatPr defaultColWidth="0" defaultRowHeight="12.75" zeroHeight="1"/>
  <cols>
    <col min="1" max="1" width="3.42578125" customWidth="1"/>
    <col min="2" max="2" width="47" customWidth="1"/>
    <col min="3" max="3" width="13.5703125" customWidth="1"/>
    <col min="4" max="4" width="12.5703125" customWidth="1"/>
    <col min="5" max="5" width="14.140625" customWidth="1"/>
    <col min="6" max="6" width="12.5703125" customWidth="1"/>
    <col min="7" max="7" width="12.7109375" customWidth="1"/>
    <col min="8" max="9" width="12.5703125" customWidth="1"/>
    <col min="10" max="10" width="13.7109375" customWidth="1"/>
    <col min="11" max="11" width="12.5703125" customWidth="1"/>
    <col min="12" max="12" width="11.5703125" style="69" customWidth="1"/>
    <col min="13" max="16" width="12.5703125" customWidth="1"/>
    <col min="17" max="18" width="13.7109375" customWidth="1"/>
    <col min="19" max="19" width="9.140625" customWidth="1"/>
  </cols>
  <sheetData>
    <row r="1" spans="1:18" s="191" customFormat="1" ht="33.75" customHeight="1">
      <c r="A1" s="2783" t="s">
        <v>315</v>
      </c>
      <c r="B1" s="2783"/>
      <c r="C1" s="2783"/>
      <c r="D1" s="2783"/>
      <c r="E1" s="2783"/>
      <c r="F1" s="2783"/>
      <c r="G1" s="2783"/>
      <c r="H1" s="2783"/>
      <c r="I1" s="2783"/>
      <c r="J1" s="2783"/>
      <c r="K1" s="2783"/>
      <c r="L1" s="2783"/>
      <c r="M1" s="2783"/>
      <c r="N1" s="2783"/>
      <c r="O1" s="2783"/>
      <c r="P1" s="2783"/>
      <c r="Q1" s="2783"/>
      <c r="R1" s="2783"/>
    </row>
    <row r="2" spans="1:18" s="191" customFormat="1" ht="18" customHeight="1">
      <c r="A2" s="2784" t="s">
        <v>316</v>
      </c>
      <c r="B2" s="2784"/>
      <c r="C2" s="2784"/>
      <c r="D2" s="2784"/>
      <c r="E2" s="2784"/>
      <c r="F2" s="2784"/>
      <c r="G2" s="2784"/>
      <c r="H2" s="2784"/>
      <c r="I2" s="2784"/>
      <c r="J2" s="2784"/>
      <c r="K2" s="2784"/>
      <c r="L2" s="2784"/>
      <c r="M2" s="2784"/>
      <c r="N2" s="2784"/>
      <c r="O2" s="2784"/>
      <c r="P2" s="2784"/>
      <c r="Q2" s="2784"/>
      <c r="R2" s="2784"/>
    </row>
    <row r="3" spans="1:18" s="183" customFormat="1" ht="15.75" customHeight="1">
      <c r="A3" s="2590" t="s">
        <v>36</v>
      </c>
      <c r="B3" s="2590"/>
      <c r="C3" s="2590"/>
      <c r="D3" s="2590"/>
      <c r="E3" s="2590"/>
      <c r="F3" s="2590"/>
      <c r="G3" s="2590"/>
      <c r="H3" s="2590"/>
      <c r="I3" s="2590"/>
      <c r="J3" s="2590"/>
      <c r="K3" s="2590"/>
      <c r="L3" s="2590"/>
      <c r="M3" s="2590"/>
      <c r="N3" s="2590"/>
      <c r="O3" s="2590"/>
      <c r="P3" s="2590"/>
      <c r="Q3" s="2590"/>
      <c r="R3" s="2590"/>
    </row>
    <row r="4" spans="1:18" s="183" customFormat="1" ht="15.75" customHeight="1">
      <c r="A4" s="2590" t="s">
        <v>360</v>
      </c>
      <c r="B4" s="2590"/>
      <c r="C4" s="2590"/>
      <c r="D4" s="2590"/>
      <c r="E4" s="2590"/>
      <c r="F4" s="2590"/>
      <c r="G4" s="2590"/>
      <c r="H4" s="2590"/>
      <c r="I4" s="2590"/>
      <c r="J4" s="2590"/>
      <c r="K4" s="2590"/>
      <c r="L4" s="2590"/>
      <c r="M4" s="2590"/>
      <c r="N4" s="2590"/>
      <c r="O4" s="2590"/>
      <c r="P4" s="2590"/>
      <c r="Q4" s="2590"/>
      <c r="R4" s="2590"/>
    </row>
    <row r="5" spans="1:18" s="183" customFormat="1" ht="18.75" customHeight="1">
      <c r="B5" s="840"/>
      <c r="C5" s="265"/>
      <c r="D5" s="265"/>
      <c r="E5" s="265"/>
      <c r="F5" s="265"/>
      <c r="G5" s="265"/>
      <c r="H5" s="265"/>
      <c r="I5" s="840"/>
      <c r="J5" s="840"/>
      <c r="K5" s="840"/>
      <c r="L5" s="1274"/>
      <c r="M5" s="840"/>
      <c r="N5" s="840"/>
      <c r="O5" s="840"/>
      <c r="P5" s="840"/>
      <c r="Q5" s="1191" t="s">
        <v>856</v>
      </c>
      <c r="R5" s="1192"/>
    </row>
    <row r="6" spans="1:18" s="183" customFormat="1" ht="19.5" customHeight="1">
      <c r="A6" s="264" t="s">
        <v>472</v>
      </c>
      <c r="B6" s="840"/>
      <c r="C6" s="265"/>
      <c r="D6" s="265"/>
      <c r="E6" s="265"/>
      <c r="F6" s="265"/>
      <c r="G6" s="265"/>
      <c r="H6" s="265"/>
      <c r="I6" s="840"/>
      <c r="J6" s="840"/>
      <c r="K6" s="840"/>
      <c r="L6" s="1274"/>
      <c r="M6" s="840"/>
      <c r="N6" s="840"/>
      <c r="O6" s="840"/>
      <c r="P6" s="840"/>
    </row>
    <row r="7" spans="1:18" s="183" customFormat="1" ht="19.5" customHeight="1">
      <c r="A7" s="236" t="s">
        <v>429</v>
      </c>
      <c r="B7" s="237"/>
      <c r="C7" s="266"/>
      <c r="D7" s="266"/>
      <c r="E7" s="266"/>
      <c r="F7" s="266"/>
      <c r="G7" s="266"/>
      <c r="H7" s="266"/>
      <c r="I7" s="238"/>
      <c r="J7" s="238"/>
      <c r="K7" s="238"/>
      <c r="L7" s="1275"/>
      <c r="M7" s="238"/>
      <c r="N7" s="206" t="s">
        <v>38</v>
      </c>
      <c r="O7" s="206" t="s">
        <v>661</v>
      </c>
      <c r="P7" s="973" t="s">
        <v>431</v>
      </c>
      <c r="Q7" s="2785" t="s">
        <v>365</v>
      </c>
      <c r="R7" s="2785"/>
    </row>
    <row r="8" spans="1:18" s="183" customFormat="1" ht="16.5" customHeight="1">
      <c r="A8" s="1265"/>
      <c r="B8" s="1276"/>
      <c r="C8" s="238"/>
      <c r="D8" s="238"/>
      <c r="E8" s="238"/>
      <c r="F8" s="238"/>
      <c r="G8" s="238"/>
      <c r="H8" s="238"/>
      <c r="I8" s="238"/>
      <c r="L8" s="303"/>
      <c r="M8" s="238"/>
      <c r="N8" s="1277" t="s">
        <v>617</v>
      </c>
      <c r="O8" s="183">
        <v>4000</v>
      </c>
      <c r="P8" s="183" t="s">
        <v>433</v>
      </c>
      <c r="Q8" s="2786" t="s">
        <v>434</v>
      </c>
      <c r="R8" s="2786"/>
    </row>
    <row r="9" spans="1:18" ht="8.25" customHeight="1" thickBot="1"/>
    <row r="10" spans="1:18" s="129" customFormat="1" ht="16.5" customHeight="1" thickTop="1">
      <c r="A10" s="404" t="s">
        <v>369</v>
      </c>
      <c r="B10" s="405" t="s">
        <v>317</v>
      </c>
      <c r="C10" s="2766" t="s">
        <v>296</v>
      </c>
      <c r="D10" s="2767"/>
      <c r="E10" s="2767"/>
      <c r="F10" s="2767"/>
      <c r="G10" s="2790"/>
      <c r="H10" s="2766" t="s">
        <v>297</v>
      </c>
      <c r="I10" s="2767"/>
      <c r="J10" s="2767"/>
      <c r="K10" s="2767"/>
      <c r="L10" s="2768"/>
      <c r="M10" s="2766" t="s">
        <v>298</v>
      </c>
      <c r="N10" s="2767"/>
      <c r="O10" s="2767"/>
      <c r="P10" s="2767"/>
      <c r="Q10" s="2768"/>
      <c r="R10" s="407" t="s">
        <v>481</v>
      </c>
    </row>
    <row r="11" spans="1:18" s="30" customFormat="1">
      <c r="A11" s="408" t="s">
        <v>374</v>
      </c>
      <c r="B11" s="409" t="s">
        <v>318</v>
      </c>
      <c r="C11" s="2760" t="s">
        <v>302</v>
      </c>
      <c r="D11" s="2761"/>
      <c r="E11" s="2761"/>
      <c r="F11" s="2761"/>
      <c r="G11" s="2791"/>
      <c r="H11" s="2760" t="s">
        <v>303</v>
      </c>
      <c r="I11" s="2761"/>
      <c r="J11" s="2761"/>
      <c r="K11" s="2761"/>
      <c r="L11" s="2762"/>
      <c r="M11" s="2787" t="s">
        <v>304</v>
      </c>
      <c r="N11" s="2788"/>
      <c r="O11" s="2788"/>
      <c r="P11" s="2788"/>
      <c r="Q11" s="2789"/>
      <c r="R11" s="410" t="s">
        <v>485</v>
      </c>
    </row>
    <row r="12" spans="1:18" s="129" customFormat="1" ht="17.25" customHeight="1">
      <c r="A12" s="411"/>
      <c r="B12" s="412"/>
      <c r="C12" s="413" t="s">
        <v>306</v>
      </c>
      <c r="D12" s="414" t="s">
        <v>307</v>
      </c>
      <c r="E12" s="415" t="s">
        <v>204</v>
      </c>
      <c r="F12" s="414" t="s">
        <v>308</v>
      </c>
      <c r="G12" s="416" t="s">
        <v>481</v>
      </c>
      <c r="H12" s="413" t="s">
        <v>306</v>
      </c>
      <c r="I12" s="414" t="s">
        <v>307</v>
      </c>
      <c r="J12" s="415" t="s">
        <v>204</v>
      </c>
      <c r="K12" s="414" t="s">
        <v>308</v>
      </c>
      <c r="L12" s="417" t="s">
        <v>481</v>
      </c>
      <c r="M12" s="413" t="s">
        <v>306</v>
      </c>
      <c r="N12" s="414" t="s">
        <v>307</v>
      </c>
      <c r="O12" s="415" t="s">
        <v>204</v>
      </c>
      <c r="P12" s="414" t="s">
        <v>308</v>
      </c>
      <c r="Q12" s="418" t="s">
        <v>481</v>
      </c>
      <c r="R12" s="419"/>
    </row>
    <row r="13" spans="1:18" ht="15" customHeight="1" thickBot="1">
      <c r="A13" s="420"/>
      <c r="B13" s="421"/>
      <c r="C13" s="422" t="s">
        <v>309</v>
      </c>
      <c r="D13" s="423" t="s">
        <v>310</v>
      </c>
      <c r="E13" s="423" t="s">
        <v>319</v>
      </c>
      <c r="F13" s="424" t="s">
        <v>312</v>
      </c>
      <c r="G13" s="425" t="s">
        <v>485</v>
      </c>
      <c r="H13" s="422" t="s">
        <v>309</v>
      </c>
      <c r="I13" s="423" t="s">
        <v>310</v>
      </c>
      <c r="J13" s="423" t="s">
        <v>319</v>
      </c>
      <c r="K13" s="424" t="s">
        <v>312</v>
      </c>
      <c r="L13" s="426" t="s">
        <v>485</v>
      </c>
      <c r="M13" s="422" t="s">
        <v>309</v>
      </c>
      <c r="N13" s="423" t="s">
        <v>310</v>
      </c>
      <c r="O13" s="423" t="s">
        <v>319</v>
      </c>
      <c r="P13" s="424" t="s">
        <v>312</v>
      </c>
      <c r="Q13" s="427" t="s">
        <v>485</v>
      </c>
      <c r="R13" s="428"/>
    </row>
    <row r="14" spans="1:18" s="1" customFormat="1" ht="17.25" customHeight="1" thickBot="1">
      <c r="A14" s="429" t="s">
        <v>328</v>
      </c>
      <c r="B14" s="430" t="s">
        <v>320</v>
      </c>
      <c r="C14" s="464"/>
      <c r="D14" s="464"/>
      <c r="E14" s="464"/>
      <c r="F14" s="464"/>
      <c r="G14" s="445"/>
      <c r="H14" s="464"/>
      <c r="I14" s="464"/>
      <c r="J14" s="464"/>
      <c r="K14" s="464"/>
      <c r="L14" s="465"/>
      <c r="M14" s="464"/>
      <c r="N14" s="464"/>
      <c r="O14" s="464"/>
      <c r="P14" s="464"/>
      <c r="Q14" s="466"/>
      <c r="R14" s="467"/>
    </row>
    <row r="15" spans="1:18" s="1" customFormat="1" ht="24.75" customHeight="1" thickBot="1">
      <c r="A15" s="431" t="s">
        <v>380</v>
      </c>
      <c r="B15" s="432" t="s">
        <v>321</v>
      </c>
      <c r="C15" s="239"/>
      <c r="D15" s="239"/>
      <c r="E15" s="239"/>
      <c r="F15" s="239"/>
      <c r="G15" s="446">
        <f>SUM(C15:F15)</f>
        <v>0</v>
      </c>
      <c r="H15" s="257"/>
      <c r="I15" s="239"/>
      <c r="J15" s="239"/>
      <c r="K15" s="239"/>
      <c r="L15" s="468">
        <f>SUM(H15:K15)</f>
        <v>0</v>
      </c>
      <c r="M15" s="240"/>
      <c r="N15" s="239"/>
      <c r="O15" s="239"/>
      <c r="P15" s="239"/>
      <c r="Q15" s="468">
        <f>SUM(M15:P15)</f>
        <v>0</v>
      </c>
      <c r="R15" s="470">
        <f>G15+L15+Q15</f>
        <v>0</v>
      </c>
    </row>
    <row r="16" spans="1:18" s="1" customFormat="1" ht="24.75" customHeight="1" thickBot="1">
      <c r="A16" s="433" t="s">
        <v>388</v>
      </c>
      <c r="B16" s="434" t="s">
        <v>322</v>
      </c>
      <c r="C16" s="239"/>
      <c r="D16" s="239"/>
      <c r="E16" s="239"/>
      <c r="F16" s="239"/>
      <c r="G16" s="446">
        <f t="shared" ref="G16:G21" si="0">SUM(C16:F16)</f>
        <v>0</v>
      </c>
      <c r="H16" s="257"/>
      <c r="I16" s="239"/>
      <c r="J16" s="239"/>
      <c r="K16" s="239"/>
      <c r="L16" s="468">
        <f t="shared" ref="L16:L21" si="1">SUM(H16:K16)</f>
        <v>0</v>
      </c>
      <c r="M16" s="240"/>
      <c r="N16" s="239"/>
      <c r="O16" s="239"/>
      <c r="P16" s="239"/>
      <c r="Q16" s="468">
        <f t="shared" ref="Q16:Q21" si="2">SUM(M16:P16)</f>
        <v>0</v>
      </c>
      <c r="R16" s="470">
        <f t="shared" ref="R16:R21" si="3">G16+L16+Q16</f>
        <v>0</v>
      </c>
    </row>
    <row r="17" spans="1:18" s="1" customFormat="1" ht="27.75" customHeight="1" thickBot="1">
      <c r="A17" s="433" t="s">
        <v>539</v>
      </c>
      <c r="B17" s="435" t="s">
        <v>205</v>
      </c>
      <c r="C17" s="239"/>
      <c r="D17" s="239"/>
      <c r="E17" s="239"/>
      <c r="F17" s="239"/>
      <c r="G17" s="446">
        <f t="shared" si="0"/>
        <v>0</v>
      </c>
      <c r="H17" s="257"/>
      <c r="I17" s="239"/>
      <c r="J17" s="239"/>
      <c r="K17" s="239"/>
      <c r="L17" s="468">
        <f t="shared" si="1"/>
        <v>0</v>
      </c>
      <c r="M17" s="240"/>
      <c r="N17" s="239"/>
      <c r="O17" s="239"/>
      <c r="P17" s="239"/>
      <c r="Q17" s="468">
        <f t="shared" si="2"/>
        <v>0</v>
      </c>
      <c r="R17" s="470">
        <f t="shared" si="3"/>
        <v>0</v>
      </c>
    </row>
    <row r="18" spans="1:18" s="1" customFormat="1" ht="24.75" customHeight="1" thickBot="1">
      <c r="A18" s="433" t="s">
        <v>566</v>
      </c>
      <c r="B18" s="436" t="s">
        <v>323</v>
      </c>
      <c r="C18" s="239"/>
      <c r="D18" s="239"/>
      <c r="E18" s="239"/>
      <c r="F18" s="239"/>
      <c r="G18" s="446">
        <f t="shared" si="0"/>
        <v>0</v>
      </c>
      <c r="H18" s="257"/>
      <c r="I18" s="239"/>
      <c r="J18" s="239"/>
      <c r="K18" s="239"/>
      <c r="L18" s="468">
        <f t="shared" si="1"/>
        <v>0</v>
      </c>
      <c r="M18" s="240"/>
      <c r="N18" s="239"/>
      <c r="O18" s="239"/>
      <c r="P18" s="239"/>
      <c r="Q18" s="468">
        <f t="shared" si="2"/>
        <v>0</v>
      </c>
      <c r="R18" s="470">
        <f t="shared" si="3"/>
        <v>0</v>
      </c>
    </row>
    <row r="19" spans="1:18" s="1" customFormat="1" ht="24.75" customHeight="1" thickBot="1">
      <c r="A19" s="433" t="s">
        <v>576</v>
      </c>
      <c r="B19" s="434" t="s">
        <v>324</v>
      </c>
      <c r="C19" s="239"/>
      <c r="D19" s="239"/>
      <c r="E19" s="239"/>
      <c r="F19" s="239"/>
      <c r="G19" s="446">
        <f t="shared" si="0"/>
        <v>0</v>
      </c>
      <c r="H19" s="257"/>
      <c r="I19" s="239"/>
      <c r="J19" s="239"/>
      <c r="K19" s="239"/>
      <c r="L19" s="468">
        <f t="shared" si="1"/>
        <v>0</v>
      </c>
      <c r="M19" s="240"/>
      <c r="N19" s="239"/>
      <c r="O19" s="239"/>
      <c r="P19" s="239"/>
      <c r="Q19" s="468">
        <f t="shared" si="2"/>
        <v>0</v>
      </c>
      <c r="R19" s="470">
        <f t="shared" si="3"/>
        <v>0</v>
      </c>
    </row>
    <row r="20" spans="1:18" s="1" customFormat="1" ht="24.75" customHeight="1" thickBot="1">
      <c r="A20" s="433" t="s">
        <v>587</v>
      </c>
      <c r="B20" s="434" t="s">
        <v>325</v>
      </c>
      <c r="C20" s="239"/>
      <c r="D20" s="239"/>
      <c r="E20" s="239"/>
      <c r="F20" s="239"/>
      <c r="G20" s="446">
        <f t="shared" si="0"/>
        <v>0</v>
      </c>
      <c r="H20" s="257"/>
      <c r="I20" s="239"/>
      <c r="J20" s="239"/>
      <c r="K20" s="246"/>
      <c r="L20" s="468">
        <f t="shared" si="1"/>
        <v>0</v>
      </c>
      <c r="M20" s="240"/>
      <c r="N20" s="239"/>
      <c r="O20" s="239"/>
      <c r="P20" s="239"/>
      <c r="Q20" s="468">
        <f t="shared" si="2"/>
        <v>0</v>
      </c>
      <c r="R20" s="470">
        <f t="shared" si="3"/>
        <v>0</v>
      </c>
    </row>
    <row r="21" spans="1:18" s="1" customFormat="1" ht="24.75" customHeight="1" thickBot="1">
      <c r="A21" s="437" t="s">
        <v>595</v>
      </c>
      <c r="B21" s="438" t="s">
        <v>521</v>
      </c>
      <c r="C21" s="239"/>
      <c r="D21" s="239"/>
      <c r="E21" s="239"/>
      <c r="F21" s="239"/>
      <c r="G21" s="446">
        <f t="shared" si="0"/>
        <v>0</v>
      </c>
      <c r="H21" s="258"/>
      <c r="I21" s="246"/>
      <c r="J21" s="244"/>
      <c r="K21" s="246"/>
      <c r="L21" s="469">
        <f t="shared" si="1"/>
        <v>0</v>
      </c>
      <c r="M21" s="240"/>
      <c r="N21" s="239"/>
      <c r="O21" s="239"/>
      <c r="P21" s="239"/>
      <c r="Q21" s="468">
        <f t="shared" si="2"/>
        <v>0</v>
      </c>
      <c r="R21" s="470">
        <f t="shared" si="3"/>
        <v>0</v>
      </c>
    </row>
    <row r="22" spans="1:18" s="3" customFormat="1" ht="22.5" customHeight="1" thickBot="1">
      <c r="A22" s="169"/>
      <c r="B22" s="170" t="s">
        <v>922</v>
      </c>
      <c r="C22" s="245">
        <f t="shared" ref="C22:R22" si="4">SUM(C15:C21)</f>
        <v>0</v>
      </c>
      <c r="D22" s="245">
        <f t="shared" si="4"/>
        <v>0</v>
      </c>
      <c r="E22" s="245">
        <f t="shared" si="4"/>
        <v>0</v>
      </c>
      <c r="F22" s="245">
        <f t="shared" si="4"/>
        <v>0</v>
      </c>
      <c r="G22" s="242">
        <f t="shared" si="4"/>
        <v>0</v>
      </c>
      <c r="H22" s="243">
        <f t="shared" si="4"/>
        <v>0</v>
      </c>
      <c r="I22" s="243">
        <f t="shared" si="4"/>
        <v>0</v>
      </c>
      <c r="J22" s="243">
        <f t="shared" si="4"/>
        <v>0</v>
      </c>
      <c r="K22" s="243">
        <f t="shared" si="4"/>
        <v>0</v>
      </c>
      <c r="L22" s="241">
        <f t="shared" si="4"/>
        <v>0</v>
      </c>
      <c r="M22" s="245">
        <f t="shared" si="4"/>
        <v>0</v>
      </c>
      <c r="N22" s="247">
        <f t="shared" si="4"/>
        <v>0</v>
      </c>
      <c r="O22" s="247">
        <f t="shared" si="4"/>
        <v>0</v>
      </c>
      <c r="P22" s="247">
        <f t="shared" si="4"/>
        <v>0</v>
      </c>
      <c r="Q22" s="241">
        <f t="shared" si="4"/>
        <v>0</v>
      </c>
      <c r="R22" s="263">
        <f t="shared" si="4"/>
        <v>0</v>
      </c>
    </row>
    <row r="23" spans="1:18" s="1" customFormat="1" ht="24.75" customHeight="1" thickTop="1">
      <c r="A23" s="439" t="s">
        <v>329</v>
      </c>
      <c r="B23" s="440" t="s">
        <v>1977</v>
      </c>
      <c r="C23" s="449"/>
      <c r="D23" s="450"/>
      <c r="E23" s="450"/>
      <c r="F23" s="451"/>
      <c r="G23" s="447"/>
      <c r="H23" s="452"/>
      <c r="I23" s="453"/>
      <c r="J23" s="453"/>
      <c r="K23" s="454"/>
      <c r="L23" s="455"/>
      <c r="M23" s="452"/>
      <c r="N23" s="453"/>
      <c r="O23" s="453"/>
      <c r="P23" s="454"/>
      <c r="Q23" s="456"/>
      <c r="R23" s="457"/>
    </row>
    <row r="24" spans="1:18" s="1" customFormat="1" ht="15" customHeight="1" thickBot="1">
      <c r="A24" s="441"/>
      <c r="B24" s="442" t="s">
        <v>1976</v>
      </c>
      <c r="C24" s="458"/>
      <c r="D24" s="459"/>
      <c r="E24" s="459"/>
      <c r="F24" s="460"/>
      <c r="G24" s="447"/>
      <c r="H24" s="461"/>
      <c r="I24" s="462"/>
      <c r="J24" s="462"/>
      <c r="K24" s="463"/>
      <c r="L24" s="455"/>
      <c r="M24" s="461"/>
      <c r="N24" s="462"/>
      <c r="O24" s="462"/>
      <c r="P24" s="463"/>
      <c r="Q24" s="456"/>
      <c r="R24" s="457"/>
    </row>
    <row r="25" spans="1:18" s="1" customFormat="1" ht="24.75" customHeight="1" thickBot="1">
      <c r="A25" s="443" t="s">
        <v>380</v>
      </c>
      <c r="B25" s="444" t="s">
        <v>326</v>
      </c>
      <c r="C25" s="239"/>
      <c r="D25" s="239"/>
      <c r="E25" s="239"/>
      <c r="F25" s="239"/>
      <c r="G25" s="448">
        <f>SUM(C25:F25)</f>
        <v>0</v>
      </c>
      <c r="H25" s="240"/>
      <c r="I25" s="239"/>
      <c r="J25" s="239"/>
      <c r="K25" s="239"/>
      <c r="L25" s="468">
        <f>SUM(H25:K25)</f>
        <v>0</v>
      </c>
      <c r="M25" s="240"/>
      <c r="N25" s="239"/>
      <c r="O25" s="239"/>
      <c r="P25" s="239"/>
      <c r="Q25" s="468">
        <f>SUM(M25:P25)</f>
        <v>0</v>
      </c>
      <c r="R25" s="470">
        <f>G25+L25+Q25</f>
        <v>0</v>
      </c>
    </row>
    <row r="26" spans="1:18" s="1" customFormat="1" ht="30.75" customHeight="1" thickBot="1">
      <c r="A26" s="433" t="s">
        <v>388</v>
      </c>
      <c r="B26" s="436" t="s">
        <v>1875</v>
      </c>
      <c r="C26" s="239"/>
      <c r="D26" s="239"/>
      <c r="E26" s="239"/>
      <c r="F26" s="239"/>
      <c r="G26" s="448">
        <f>SUM(C26:F26)</f>
        <v>0</v>
      </c>
      <c r="H26" s="240"/>
      <c r="I26" s="239"/>
      <c r="J26" s="239"/>
      <c r="K26" s="239"/>
      <c r="L26" s="468">
        <f>SUM(H26:K26)</f>
        <v>0</v>
      </c>
      <c r="M26" s="240"/>
      <c r="N26" s="239"/>
      <c r="O26" s="239"/>
      <c r="P26" s="239"/>
      <c r="Q26" s="468">
        <f>SUM(M26:P26)</f>
        <v>0</v>
      </c>
      <c r="R26" s="470">
        <f>G26+L26+Q26</f>
        <v>0</v>
      </c>
    </row>
    <row r="27" spans="1:18" s="1" customFormat="1" ht="24.75" customHeight="1" thickBot="1">
      <c r="A27" s="433" t="s">
        <v>539</v>
      </c>
      <c r="B27" s="434" t="s">
        <v>327</v>
      </c>
      <c r="C27" s="239"/>
      <c r="D27" s="239"/>
      <c r="E27" s="239"/>
      <c r="F27" s="239"/>
      <c r="G27" s="448">
        <f>SUM(C27:F27)</f>
        <v>0</v>
      </c>
      <c r="H27" s="240"/>
      <c r="I27" s="239"/>
      <c r="J27" s="239"/>
      <c r="K27" s="239"/>
      <c r="L27" s="468">
        <f>SUM(H27:K27)</f>
        <v>0</v>
      </c>
      <c r="M27" s="240"/>
      <c r="N27" s="239"/>
      <c r="O27" s="239"/>
      <c r="P27" s="239"/>
      <c r="Q27" s="468">
        <f>SUM(M27:P27)</f>
        <v>0</v>
      </c>
      <c r="R27" s="470">
        <f>G27+L27+Q27</f>
        <v>0</v>
      </c>
    </row>
    <row r="28" spans="1:18" s="1" customFormat="1" ht="24.75" customHeight="1">
      <c r="A28" s="443" t="s">
        <v>566</v>
      </c>
      <c r="B28" s="1382" t="s">
        <v>1876</v>
      </c>
      <c r="C28" s="239"/>
      <c r="D28" s="239"/>
      <c r="E28" s="239"/>
      <c r="F28" s="239"/>
      <c r="G28" s="448">
        <f>SUM(C28:F28)</f>
        <v>0</v>
      </c>
      <c r="H28" s="240"/>
      <c r="I28" s="239"/>
      <c r="J28" s="239"/>
      <c r="K28" s="239"/>
      <c r="L28" s="468">
        <f>SUM(H28:K28)</f>
        <v>0</v>
      </c>
      <c r="M28" s="240"/>
      <c r="N28" s="239"/>
      <c r="O28" s="239"/>
      <c r="P28" s="239"/>
      <c r="Q28" s="468">
        <f>SUM(M28:P28)</f>
        <v>0</v>
      </c>
      <c r="R28" s="470">
        <f>G28+L28+Q28</f>
        <v>0</v>
      </c>
    </row>
    <row r="29" spans="1:18" s="1" customFormat="1" ht="22.5" customHeight="1" thickBot="1">
      <c r="A29" s="134"/>
      <c r="B29" s="135" t="s">
        <v>330</v>
      </c>
      <c r="C29" s="248">
        <f>SUM(C25:C28)</f>
        <v>0</v>
      </c>
      <c r="D29" s="249">
        <f t="shared" ref="D29:R29" si="5">SUM(D25:D28)</f>
        <v>0</v>
      </c>
      <c r="E29" s="249">
        <f t="shared" si="5"/>
        <v>0</v>
      </c>
      <c r="F29" s="249">
        <f t="shared" si="5"/>
        <v>0</v>
      </c>
      <c r="G29" s="242">
        <f t="shared" si="5"/>
        <v>0</v>
      </c>
      <c r="H29" s="255">
        <f t="shared" si="5"/>
        <v>0</v>
      </c>
      <c r="I29" s="249">
        <f t="shared" si="5"/>
        <v>0</v>
      </c>
      <c r="J29" s="249">
        <f t="shared" si="5"/>
        <v>0</v>
      </c>
      <c r="K29" s="249">
        <f t="shared" si="5"/>
        <v>0</v>
      </c>
      <c r="L29" s="253">
        <f t="shared" si="5"/>
        <v>0</v>
      </c>
      <c r="M29" s="248">
        <f t="shared" si="5"/>
        <v>0</v>
      </c>
      <c r="N29" s="249">
        <f t="shared" si="5"/>
        <v>0</v>
      </c>
      <c r="O29" s="249">
        <f t="shared" si="5"/>
        <v>0</v>
      </c>
      <c r="P29" s="249">
        <f t="shared" si="5"/>
        <v>0</v>
      </c>
      <c r="Q29" s="259">
        <f t="shared" si="5"/>
        <v>0</v>
      </c>
      <c r="R29" s="260">
        <f t="shared" si="5"/>
        <v>0</v>
      </c>
    </row>
    <row r="30" spans="1:18" s="133" customFormat="1" ht="23.25" customHeight="1" thickBot="1">
      <c r="A30" s="136"/>
      <c r="B30" s="137" t="s">
        <v>331</v>
      </c>
      <c r="C30" s="250">
        <f>C22+C29</f>
        <v>0</v>
      </c>
      <c r="D30" s="251">
        <f t="shared" ref="D30:R30" si="6">D22+D29</f>
        <v>0</v>
      </c>
      <c r="E30" s="251">
        <f t="shared" si="6"/>
        <v>0</v>
      </c>
      <c r="F30" s="251">
        <f t="shared" si="6"/>
        <v>0</v>
      </c>
      <c r="G30" s="252">
        <f t="shared" si="6"/>
        <v>0</v>
      </c>
      <c r="H30" s="256">
        <f t="shared" si="6"/>
        <v>0</v>
      </c>
      <c r="I30" s="251">
        <f t="shared" si="6"/>
        <v>0</v>
      </c>
      <c r="J30" s="251">
        <f t="shared" si="6"/>
        <v>0</v>
      </c>
      <c r="K30" s="251">
        <f t="shared" si="6"/>
        <v>0</v>
      </c>
      <c r="L30" s="254">
        <f t="shared" si="6"/>
        <v>0</v>
      </c>
      <c r="M30" s="250">
        <f t="shared" si="6"/>
        <v>0</v>
      </c>
      <c r="N30" s="251">
        <f t="shared" si="6"/>
        <v>0</v>
      </c>
      <c r="O30" s="251">
        <f t="shared" si="6"/>
        <v>0</v>
      </c>
      <c r="P30" s="251">
        <f t="shared" si="6"/>
        <v>0</v>
      </c>
      <c r="Q30" s="261">
        <f t="shared" si="6"/>
        <v>0</v>
      </c>
      <c r="R30" s="262">
        <f t="shared" si="6"/>
        <v>0</v>
      </c>
    </row>
    <row r="31" spans="1:18" s="183" customFormat="1" ht="17.25" customHeight="1" thickTop="1">
      <c r="B31" s="979" t="s">
        <v>465</v>
      </c>
      <c r="L31" s="303"/>
    </row>
    <row r="32" spans="1:18" s="183" customFormat="1">
      <c r="B32" s="980" t="s">
        <v>397</v>
      </c>
      <c r="L32" s="303"/>
    </row>
    <row r="33" spans="1:17" s="183" customFormat="1" ht="21">
      <c r="L33" s="303"/>
      <c r="M33" s="981"/>
      <c r="N33" s="981"/>
      <c r="O33" s="2591" t="s">
        <v>466</v>
      </c>
      <c r="P33" s="2591"/>
      <c r="Q33" s="2591"/>
    </row>
    <row r="34" spans="1:17" s="183" customFormat="1">
      <c r="L34" s="303"/>
      <c r="M34" s="982"/>
      <c r="N34" s="982"/>
      <c r="O34" s="2592" t="s">
        <v>398</v>
      </c>
      <c r="P34" s="2592"/>
      <c r="Q34" s="2592"/>
    </row>
    <row r="35" spans="1:17" s="183" customFormat="1" ht="21">
      <c r="C35" s="2591" t="s">
        <v>399</v>
      </c>
      <c r="D35" s="2591"/>
      <c r="J35" s="981" t="s">
        <v>468</v>
      </c>
      <c r="L35" s="303"/>
      <c r="M35" s="981"/>
      <c r="N35" s="981"/>
      <c r="O35" s="2591" t="s">
        <v>469</v>
      </c>
      <c r="P35" s="2591"/>
      <c r="Q35" s="2591"/>
    </row>
    <row r="36" spans="1:17" s="183" customFormat="1">
      <c r="C36" s="2592" t="s">
        <v>402</v>
      </c>
      <c r="D36" s="2592"/>
      <c r="J36" s="238" t="s">
        <v>497</v>
      </c>
      <c r="L36" s="303"/>
      <c r="M36" s="982"/>
      <c r="N36" s="982"/>
      <c r="O36" s="2592" t="s">
        <v>471</v>
      </c>
      <c r="P36" s="2592"/>
      <c r="Q36" s="2592"/>
    </row>
    <row r="37" spans="1:17" s="183" customFormat="1">
      <c r="L37" s="303"/>
    </row>
    <row r="38" spans="1:17" s="183" customFormat="1">
      <c r="L38" s="303"/>
    </row>
    <row r="39" spans="1:17" s="183" customFormat="1">
      <c r="L39" s="303"/>
    </row>
    <row r="40" spans="1:17" s="183" customFormat="1">
      <c r="L40" s="303"/>
    </row>
    <row r="41" spans="1:17" s="183" customFormat="1">
      <c r="A41" s="183" t="s">
        <v>1877</v>
      </c>
      <c r="L41" s="303"/>
    </row>
  </sheetData>
  <sheetProtection password="C5F7" sheet="1" objects="1" scenarios="1" formatCells="0" formatColumns="0" formatRows="0"/>
  <protectedRanges>
    <protectedRange password="CF0E" sqref="A7" name="Range1"/>
    <protectedRange password="CF0E" sqref="J36" name="Range27_1"/>
  </protectedRanges>
  <mergeCells count="18">
    <mergeCell ref="O36:Q36"/>
    <mergeCell ref="C36:D36"/>
    <mergeCell ref="O33:Q33"/>
    <mergeCell ref="A4:R4"/>
    <mergeCell ref="H10:L10"/>
    <mergeCell ref="H11:L11"/>
    <mergeCell ref="C10:G10"/>
    <mergeCell ref="C11:G11"/>
    <mergeCell ref="A1:R1"/>
    <mergeCell ref="O34:Q34"/>
    <mergeCell ref="O35:Q35"/>
    <mergeCell ref="M10:Q10"/>
    <mergeCell ref="C35:D35"/>
    <mergeCell ref="A2:R2"/>
    <mergeCell ref="A3:R3"/>
    <mergeCell ref="Q7:R7"/>
    <mergeCell ref="Q8:R8"/>
    <mergeCell ref="M11:Q11"/>
  </mergeCells>
  <phoneticPr fontId="19" type="noConversion"/>
  <dataValidations count="2">
    <dataValidation type="decimal" allowBlank="1" showInputMessage="1" showErrorMessage="1" errorTitle="Validation Rule" error="Allow only number" sqref="C15:F21">
      <formula1>0</formula1>
      <formula2>9.99999999999999E+40</formula2>
    </dataValidation>
    <dataValidation type="decimal" operator="greaterThanOrEqual" allowBlank="1" showInputMessage="1" showErrorMessage="1" errorTitle="Validation Rule" error="Allow only number" sqref="C25:F28 H15:K21 H25:K28 M15:P21 M25:P28">
      <formula1>0</formula1>
    </dataValidation>
  </dataValidations>
  <pageMargins left="0.47" right="0" top="0.25" bottom="0.25" header="0.25" footer="0.25"/>
  <pageSetup paperSize="9" scale="55" orientation="landscape"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theme="0"/>
  </sheetPr>
  <dimension ref="A1:P41"/>
  <sheetViews>
    <sheetView showGridLines="0" topLeftCell="A10" zoomScale="85" workbookViewId="0">
      <selection activeCell="C25" sqref="C25:D26"/>
    </sheetView>
  </sheetViews>
  <sheetFormatPr defaultColWidth="0" defaultRowHeight="12.75" zeroHeight="1"/>
  <cols>
    <col min="1" max="1" width="3.85546875" customWidth="1"/>
    <col min="2" max="2" width="26.42578125" customWidth="1"/>
    <col min="3" max="3" width="14.28515625" customWidth="1"/>
    <col min="4" max="4" width="12.5703125" customWidth="1"/>
    <col min="5" max="5" width="9.85546875" customWidth="1"/>
    <col min="6" max="6" width="12.5703125" customWidth="1"/>
    <col min="7" max="7" width="10.85546875" customWidth="1"/>
    <col min="8" max="8" width="13.28515625" customWidth="1"/>
    <col min="9" max="9" width="14.42578125" customWidth="1"/>
    <col min="10" max="15" width="12.42578125" customWidth="1"/>
    <col min="16" max="16" width="15.28515625" customWidth="1"/>
    <col min="17" max="17" width="9.140625" customWidth="1"/>
  </cols>
  <sheetData>
    <row r="1" spans="1:16" s="191" customFormat="1" ht="35.25" customHeight="1">
      <c r="A1" s="2797" t="s">
        <v>332</v>
      </c>
      <c r="B1" s="2797"/>
      <c r="C1" s="2797"/>
      <c r="D1" s="2797"/>
      <c r="E1" s="2797"/>
      <c r="F1" s="2797"/>
      <c r="G1" s="2797"/>
      <c r="H1" s="2797"/>
      <c r="I1" s="2797"/>
      <c r="J1" s="2797"/>
      <c r="K1" s="2797"/>
      <c r="L1" s="2797"/>
      <c r="M1" s="2797"/>
      <c r="N1" s="2797"/>
      <c r="O1" s="2797"/>
      <c r="P1" s="2797"/>
    </row>
    <row r="2" spans="1:16" s="191" customFormat="1" ht="16.5">
      <c r="A2" s="2798" t="s">
        <v>333</v>
      </c>
      <c r="B2" s="2798"/>
      <c r="C2" s="2798"/>
      <c r="D2" s="2798"/>
      <c r="E2" s="2798"/>
      <c r="F2" s="2798"/>
      <c r="G2" s="2798"/>
      <c r="H2" s="2798"/>
      <c r="I2" s="2798"/>
      <c r="J2" s="2798"/>
      <c r="K2" s="2798"/>
      <c r="L2" s="2798"/>
      <c r="M2" s="2798"/>
      <c r="N2" s="2798"/>
      <c r="O2" s="2798"/>
      <c r="P2" s="2798"/>
    </row>
    <row r="3" spans="1:16" s="1278" customFormat="1" ht="18.75" customHeight="1">
      <c r="A3" s="2590" t="s">
        <v>334</v>
      </c>
      <c r="B3" s="2590"/>
      <c r="C3" s="2590"/>
      <c r="D3" s="2590"/>
      <c r="E3" s="2590"/>
      <c r="F3" s="2590"/>
      <c r="G3" s="2590"/>
      <c r="H3" s="2590"/>
      <c r="I3" s="2590"/>
      <c r="J3" s="2590"/>
      <c r="K3" s="2590"/>
      <c r="L3" s="2590"/>
      <c r="M3" s="2590"/>
      <c r="N3" s="2590"/>
      <c r="O3" s="2590"/>
      <c r="P3" s="2590"/>
    </row>
    <row r="4" spans="1:16" s="183" customFormat="1" ht="14.25" customHeight="1">
      <c r="A4" s="2590" t="s">
        <v>82</v>
      </c>
      <c r="B4" s="2590"/>
      <c r="C4" s="2590"/>
      <c r="D4" s="2590"/>
      <c r="E4" s="2590"/>
      <c r="F4" s="2590"/>
      <c r="G4" s="2590"/>
      <c r="H4" s="2590"/>
      <c r="I4" s="2590"/>
      <c r="J4" s="2590"/>
      <c r="K4" s="2590"/>
      <c r="L4" s="2590"/>
      <c r="M4" s="2590"/>
      <c r="N4" s="2590"/>
      <c r="O4" s="2590"/>
      <c r="P4" s="2590"/>
    </row>
    <row r="5" spans="1:16" s="183" customFormat="1" ht="21.75" customHeight="1">
      <c r="B5" s="1279"/>
      <c r="C5" s="840"/>
      <c r="D5" s="840"/>
      <c r="E5" s="840"/>
      <c r="F5" s="840"/>
      <c r="G5" s="840"/>
      <c r="H5" s="840"/>
      <c r="I5" s="840"/>
      <c r="J5" s="840"/>
      <c r="K5" s="840"/>
      <c r="L5" s="840"/>
      <c r="M5" s="840"/>
      <c r="N5" s="840"/>
      <c r="P5" s="1208"/>
    </row>
    <row r="6" spans="1:16" s="183" customFormat="1" ht="22.5" customHeight="1">
      <c r="A6" s="272" t="s">
        <v>472</v>
      </c>
      <c r="B6" s="273"/>
      <c r="C6" s="840"/>
      <c r="D6" s="840"/>
      <c r="E6" s="840"/>
      <c r="F6" s="840"/>
      <c r="G6" s="840"/>
      <c r="H6" s="840"/>
      <c r="I6" s="840"/>
      <c r="J6" s="840"/>
      <c r="K6" s="840"/>
      <c r="L6" s="840"/>
      <c r="M6" s="840"/>
      <c r="N6" s="840"/>
      <c r="O6" s="2500" t="s">
        <v>857</v>
      </c>
      <c r="P6" s="2500"/>
    </row>
    <row r="7" spans="1:16" s="183" customFormat="1" ht="19.5" customHeight="1">
      <c r="A7" s="274" t="s">
        <v>429</v>
      </c>
      <c r="B7" s="275"/>
      <c r="C7" s="238"/>
      <c r="D7" s="238"/>
      <c r="E7" s="238"/>
      <c r="F7" s="238"/>
      <c r="G7" s="238"/>
      <c r="H7" s="238"/>
      <c r="I7" s="238"/>
      <c r="J7" s="238"/>
      <c r="K7" s="238"/>
      <c r="L7" s="971" t="s">
        <v>38</v>
      </c>
      <c r="M7" s="206" t="s">
        <v>661</v>
      </c>
      <c r="N7" s="973" t="s">
        <v>431</v>
      </c>
      <c r="O7" s="2799" t="s">
        <v>365</v>
      </c>
      <c r="P7" s="2799"/>
    </row>
    <row r="8" spans="1:16" s="183" customFormat="1" ht="12.75" customHeight="1">
      <c r="A8" s="1280"/>
      <c r="B8" s="1281"/>
      <c r="C8" s="238"/>
      <c r="D8" s="238"/>
      <c r="E8" s="238"/>
      <c r="F8" s="238"/>
      <c r="G8" s="238"/>
      <c r="H8" s="238"/>
      <c r="I8" s="238"/>
      <c r="J8" s="238"/>
      <c r="K8" s="238"/>
      <c r="L8" s="1282" t="s">
        <v>617</v>
      </c>
      <c r="M8" s="183">
        <v>4000</v>
      </c>
      <c r="N8" s="183" t="s">
        <v>433</v>
      </c>
      <c r="O8" s="2803" t="s">
        <v>434</v>
      </c>
      <c r="P8" s="2803"/>
    </row>
    <row r="9" spans="1:16" ht="8.25" customHeight="1" thickBot="1">
      <c r="O9" s="276"/>
      <c r="P9" s="276"/>
    </row>
    <row r="10" spans="1:16" s="138" customFormat="1" ht="20.25" customHeight="1" thickTop="1">
      <c r="A10" s="471" t="s">
        <v>369</v>
      </c>
      <c r="B10" s="472" t="s">
        <v>206</v>
      </c>
      <c r="C10" s="2800" t="s">
        <v>335</v>
      </c>
      <c r="D10" s="2801"/>
      <c r="E10" s="2801"/>
      <c r="F10" s="2801"/>
      <c r="G10" s="2801"/>
      <c r="H10" s="2801"/>
      <c r="I10" s="2802"/>
      <c r="J10" s="2800" t="s">
        <v>336</v>
      </c>
      <c r="K10" s="2801"/>
      <c r="L10" s="2801"/>
      <c r="M10" s="2801"/>
      <c r="N10" s="2801"/>
      <c r="O10" s="2801"/>
      <c r="P10" s="2810"/>
    </row>
    <row r="11" spans="1:16" s="129" customFormat="1" ht="16.5" customHeight="1">
      <c r="A11" s="473" t="s">
        <v>374</v>
      </c>
      <c r="B11" s="474" t="s">
        <v>337</v>
      </c>
      <c r="C11" s="2792" t="s">
        <v>338</v>
      </c>
      <c r="D11" s="2793"/>
      <c r="E11" s="2793"/>
      <c r="F11" s="2793"/>
      <c r="G11" s="2793"/>
      <c r="H11" s="2793"/>
      <c r="I11" s="2794"/>
      <c r="J11" s="2792" t="s">
        <v>339</v>
      </c>
      <c r="K11" s="2793"/>
      <c r="L11" s="2793"/>
      <c r="M11" s="2793"/>
      <c r="N11" s="2793"/>
      <c r="O11" s="2793"/>
      <c r="P11" s="2811"/>
    </row>
    <row r="12" spans="1:16" s="129" customFormat="1" ht="17.25" customHeight="1">
      <c r="A12" s="411"/>
      <c r="B12" s="412"/>
      <c r="C12" s="413" t="s">
        <v>306</v>
      </c>
      <c r="D12" s="414" t="s">
        <v>307</v>
      </c>
      <c r="E12" s="2807" t="s">
        <v>204</v>
      </c>
      <c r="F12" s="2808"/>
      <c r="G12" s="2809"/>
      <c r="H12" s="414" t="s">
        <v>308</v>
      </c>
      <c r="I12" s="476" t="s">
        <v>481</v>
      </c>
      <c r="J12" s="413" t="s">
        <v>306</v>
      </c>
      <c r="K12" s="414" t="s">
        <v>307</v>
      </c>
      <c r="L12" s="2807" t="s">
        <v>204</v>
      </c>
      <c r="M12" s="2808"/>
      <c r="N12" s="2809"/>
      <c r="O12" s="414" t="s">
        <v>308</v>
      </c>
      <c r="P12" s="477" t="s">
        <v>481</v>
      </c>
    </row>
    <row r="13" spans="1:16" s="1" customFormat="1" ht="16.5" customHeight="1">
      <c r="A13" s="411"/>
      <c r="B13" s="412"/>
      <c r="C13" s="478" t="s">
        <v>309</v>
      </c>
      <c r="D13" s="479" t="s">
        <v>310</v>
      </c>
      <c r="E13" s="2804" t="s">
        <v>319</v>
      </c>
      <c r="F13" s="2805"/>
      <c r="G13" s="2806"/>
      <c r="H13" s="414" t="s">
        <v>312</v>
      </c>
      <c r="I13" s="480" t="s">
        <v>485</v>
      </c>
      <c r="J13" s="478" t="s">
        <v>309</v>
      </c>
      <c r="K13" s="479" t="s">
        <v>310</v>
      </c>
      <c r="L13" s="2804" t="s">
        <v>319</v>
      </c>
      <c r="M13" s="2805"/>
      <c r="N13" s="2806"/>
      <c r="O13" s="414" t="s">
        <v>312</v>
      </c>
      <c r="P13" s="481" t="s">
        <v>485</v>
      </c>
    </row>
    <row r="14" spans="1:16" s="139" customFormat="1" ht="16.5" customHeight="1" thickBot="1">
      <c r="A14" s="482"/>
      <c r="B14" s="483"/>
      <c r="C14" s="484"/>
      <c r="D14" s="485"/>
      <c r="E14" s="486" t="s">
        <v>348</v>
      </c>
      <c r="F14" s="486" t="s">
        <v>349</v>
      </c>
      <c r="G14" s="485" t="s">
        <v>340</v>
      </c>
      <c r="H14" s="486"/>
      <c r="I14" s="487"/>
      <c r="J14" s="484"/>
      <c r="K14" s="485"/>
      <c r="L14" s="486" t="s">
        <v>348</v>
      </c>
      <c r="M14" s="486" t="s">
        <v>349</v>
      </c>
      <c r="N14" s="485" t="s">
        <v>340</v>
      </c>
      <c r="O14" s="486"/>
      <c r="P14" s="488"/>
    </row>
    <row r="15" spans="1:16" s="139" customFormat="1" ht="20.25" customHeight="1">
      <c r="A15" s="489" t="s">
        <v>350</v>
      </c>
      <c r="B15" s="490" t="s">
        <v>320</v>
      </c>
      <c r="C15" s="503"/>
      <c r="D15" s="504"/>
      <c r="E15" s="505"/>
      <c r="F15" s="505"/>
      <c r="G15" s="506"/>
      <c r="H15" s="507"/>
      <c r="I15" s="508"/>
      <c r="J15" s="503"/>
      <c r="K15" s="504"/>
      <c r="L15" s="505"/>
      <c r="M15" s="505"/>
      <c r="N15" s="504"/>
      <c r="O15" s="507"/>
      <c r="P15" s="509"/>
    </row>
    <row r="16" spans="1:16" s="1" customFormat="1" ht="20.25" customHeight="1">
      <c r="A16" s="491">
        <v>1</v>
      </c>
      <c r="B16" s="492" t="s">
        <v>341</v>
      </c>
      <c r="C16" s="207"/>
      <c r="D16" s="208"/>
      <c r="E16" s="208"/>
      <c r="F16" s="208"/>
      <c r="G16" s="209"/>
      <c r="H16" s="210"/>
      <c r="I16" s="510">
        <f>SUM(C16:H16)</f>
        <v>0</v>
      </c>
      <c r="J16" s="217"/>
      <c r="K16" s="218"/>
      <c r="L16" s="218"/>
      <c r="M16" s="218"/>
      <c r="N16" s="218"/>
      <c r="O16" s="210"/>
      <c r="P16" s="511">
        <f>SUM(J16:O16)</f>
        <v>0</v>
      </c>
    </row>
    <row r="17" spans="1:16" s="1" customFormat="1" ht="20.25" customHeight="1">
      <c r="A17" s="493">
        <v>2</v>
      </c>
      <c r="B17" s="494" t="s">
        <v>351</v>
      </c>
      <c r="C17" s="211"/>
      <c r="D17" s="212"/>
      <c r="E17" s="208"/>
      <c r="F17" s="208"/>
      <c r="G17" s="208"/>
      <c r="H17" s="213"/>
      <c r="I17" s="510">
        <f t="shared" ref="I17:I22" si="0">SUM(C17:H17)</f>
        <v>0</v>
      </c>
      <c r="J17" s="219"/>
      <c r="K17" s="220"/>
      <c r="L17" s="220"/>
      <c r="M17" s="220"/>
      <c r="N17" s="220"/>
      <c r="O17" s="221"/>
      <c r="P17" s="511">
        <f t="shared" ref="P17:P22" si="1">SUM(J17:O17)</f>
        <v>0</v>
      </c>
    </row>
    <row r="18" spans="1:16" s="1" customFormat="1" ht="20.25" customHeight="1">
      <c r="A18" s="493">
        <v>3</v>
      </c>
      <c r="B18" s="494" t="s">
        <v>342</v>
      </c>
      <c r="C18" s="211"/>
      <c r="D18" s="208"/>
      <c r="E18" s="208"/>
      <c r="F18" s="208"/>
      <c r="G18" s="208"/>
      <c r="H18" s="213"/>
      <c r="I18" s="510">
        <f t="shared" si="0"/>
        <v>0</v>
      </c>
      <c r="J18" s="219"/>
      <c r="K18" s="218"/>
      <c r="L18" s="218"/>
      <c r="M18" s="218"/>
      <c r="N18" s="218"/>
      <c r="O18" s="221"/>
      <c r="P18" s="511">
        <f t="shared" si="1"/>
        <v>0</v>
      </c>
    </row>
    <row r="19" spans="1:16" s="1" customFormat="1" ht="20.25" customHeight="1">
      <c r="A19" s="493">
        <v>4</v>
      </c>
      <c r="B19" s="494" t="s">
        <v>343</v>
      </c>
      <c r="C19" s="211"/>
      <c r="D19" s="208"/>
      <c r="E19" s="208"/>
      <c r="F19" s="271"/>
      <c r="G19" s="208"/>
      <c r="H19" s="213"/>
      <c r="I19" s="510">
        <f t="shared" si="0"/>
        <v>0</v>
      </c>
      <c r="J19" s="219"/>
      <c r="K19" s="218"/>
      <c r="L19" s="218"/>
      <c r="M19" s="218"/>
      <c r="N19" s="218"/>
      <c r="O19" s="221"/>
      <c r="P19" s="511">
        <f t="shared" si="1"/>
        <v>0</v>
      </c>
    </row>
    <row r="20" spans="1:16" s="1" customFormat="1" ht="20.25" customHeight="1">
      <c r="A20" s="493">
        <v>5</v>
      </c>
      <c r="B20" s="494" t="s">
        <v>344</v>
      </c>
      <c r="C20" s="211"/>
      <c r="D20" s="208"/>
      <c r="E20" s="208"/>
      <c r="F20" s="208"/>
      <c r="G20" s="208"/>
      <c r="H20" s="213"/>
      <c r="I20" s="510">
        <f t="shared" si="0"/>
        <v>0</v>
      </c>
      <c r="J20" s="219"/>
      <c r="K20" s="218"/>
      <c r="L20" s="218"/>
      <c r="M20" s="218"/>
      <c r="N20" s="218"/>
      <c r="O20" s="221"/>
      <c r="P20" s="511">
        <f t="shared" si="1"/>
        <v>0</v>
      </c>
    </row>
    <row r="21" spans="1:16" s="1" customFormat="1" ht="20.25" customHeight="1">
      <c r="A21" s="493">
        <v>6</v>
      </c>
      <c r="B21" s="494" t="s">
        <v>345</v>
      </c>
      <c r="C21" s="211"/>
      <c r="D21" s="208"/>
      <c r="E21" s="208"/>
      <c r="F21" s="208"/>
      <c r="G21" s="208"/>
      <c r="H21" s="213"/>
      <c r="I21" s="510">
        <f t="shared" si="0"/>
        <v>0</v>
      </c>
      <c r="J21" s="219"/>
      <c r="K21" s="218"/>
      <c r="L21" s="218"/>
      <c r="M21" s="218"/>
      <c r="N21" s="218"/>
      <c r="O21" s="221"/>
      <c r="P21" s="511">
        <f t="shared" si="1"/>
        <v>0</v>
      </c>
    </row>
    <row r="22" spans="1:16" s="1" customFormat="1" ht="20.25" customHeight="1">
      <c r="A22" s="495">
        <v>7</v>
      </c>
      <c r="B22" s="496" t="s">
        <v>346</v>
      </c>
      <c r="C22" s="214"/>
      <c r="D22" s="215"/>
      <c r="E22" s="215"/>
      <c r="F22" s="215"/>
      <c r="G22" s="215"/>
      <c r="H22" s="216"/>
      <c r="I22" s="510">
        <f t="shared" si="0"/>
        <v>0</v>
      </c>
      <c r="J22" s="222"/>
      <c r="K22" s="223"/>
      <c r="L22" s="223"/>
      <c r="M22" s="223"/>
      <c r="N22" s="223"/>
      <c r="O22" s="224"/>
      <c r="P22" s="511">
        <f t="shared" si="1"/>
        <v>0</v>
      </c>
    </row>
    <row r="23" spans="1:16" s="1" customFormat="1" ht="23.25" customHeight="1">
      <c r="A23" s="140"/>
      <c r="B23" s="141" t="s">
        <v>352</v>
      </c>
      <c r="C23" s="228">
        <f>SUM(C16:C22)</f>
        <v>0</v>
      </c>
      <c r="D23" s="228">
        <f t="shared" ref="D23:H23" si="2">SUM(D16:D22)</f>
        <v>0</v>
      </c>
      <c r="E23" s="228">
        <f t="shared" si="2"/>
        <v>0</v>
      </c>
      <c r="F23" s="228">
        <f t="shared" si="2"/>
        <v>0</v>
      </c>
      <c r="G23" s="228">
        <f t="shared" si="2"/>
        <v>0</v>
      </c>
      <c r="H23" s="228">
        <f t="shared" si="2"/>
        <v>0</v>
      </c>
      <c r="I23" s="229">
        <f>SUM(I16:I22)</f>
        <v>0</v>
      </c>
      <c r="J23" s="228">
        <f t="shared" ref="J23" si="3">SUM(J16:J22)</f>
        <v>0</v>
      </c>
      <c r="K23" s="228">
        <f t="shared" ref="K23" si="4">SUM(K16:K22)</f>
        <v>0</v>
      </c>
      <c r="L23" s="228">
        <f t="shared" ref="L23" si="5">SUM(L16:L22)</f>
        <v>0</v>
      </c>
      <c r="M23" s="228">
        <f t="shared" ref="M23" si="6">SUM(M16:M22)</f>
        <v>0</v>
      </c>
      <c r="N23" s="228">
        <f t="shared" ref="N23" si="7">SUM(N16:N22)</f>
        <v>0</v>
      </c>
      <c r="O23" s="228">
        <f t="shared" ref="O23" si="8">SUM(O16:O22)</f>
        <v>0</v>
      </c>
      <c r="P23" s="230">
        <f>SUM(P16:P22)</f>
        <v>0</v>
      </c>
    </row>
    <row r="24" spans="1:16" ht="63" customHeight="1">
      <c r="A24" s="497" t="s">
        <v>353</v>
      </c>
      <c r="B24" s="498" t="s">
        <v>1874</v>
      </c>
      <c r="C24" s="512"/>
      <c r="D24" s="513"/>
      <c r="E24" s="513"/>
      <c r="F24" s="513"/>
      <c r="G24" s="513"/>
      <c r="H24" s="514"/>
      <c r="I24" s="515"/>
      <c r="J24" s="512"/>
      <c r="K24" s="513"/>
      <c r="L24" s="513"/>
      <c r="M24" s="516"/>
      <c r="N24" s="516"/>
      <c r="O24" s="517"/>
      <c r="P24" s="518"/>
    </row>
    <row r="25" spans="1:16" s="1" customFormat="1" ht="20.25" customHeight="1">
      <c r="A25" s="499">
        <v>1</v>
      </c>
      <c r="B25" s="500" t="s">
        <v>341</v>
      </c>
      <c r="C25" s="225"/>
      <c r="D25" s="215"/>
      <c r="E25" s="215"/>
      <c r="F25" s="215"/>
      <c r="G25" s="215"/>
      <c r="H25" s="216"/>
      <c r="I25" s="519">
        <f>SUM(C25:H25)</f>
        <v>0</v>
      </c>
      <c r="J25" s="226"/>
      <c r="K25" s="218"/>
      <c r="L25" s="218"/>
      <c r="M25" s="218"/>
      <c r="N25" s="218"/>
      <c r="O25" s="221"/>
      <c r="P25" s="521">
        <f>SUM(J25:O25)</f>
        <v>0</v>
      </c>
    </row>
    <row r="26" spans="1:16" s="1" customFormat="1" ht="20.25" customHeight="1">
      <c r="A26" s="501">
        <v>2</v>
      </c>
      <c r="B26" s="502" t="s">
        <v>354</v>
      </c>
      <c r="C26" s="225"/>
      <c r="D26" s="215"/>
      <c r="E26" s="215"/>
      <c r="F26" s="215"/>
      <c r="G26" s="215"/>
      <c r="H26" s="216"/>
      <c r="I26" s="519">
        <f>SUM(C26:H26)</f>
        <v>0</v>
      </c>
      <c r="J26" s="227"/>
      <c r="K26" s="223"/>
      <c r="L26" s="223"/>
      <c r="M26" s="223"/>
      <c r="N26" s="223"/>
      <c r="O26" s="224"/>
      <c r="P26" s="521">
        <f>SUM(J26:O26)</f>
        <v>0</v>
      </c>
    </row>
    <row r="27" spans="1:16" s="1" customFormat="1" ht="22.5" customHeight="1" thickBot="1">
      <c r="A27" s="142"/>
      <c r="B27" s="143" t="s">
        <v>355</v>
      </c>
      <c r="C27" s="231">
        <f>SUM(C25:C26)</f>
        <v>0</v>
      </c>
      <c r="D27" s="231">
        <f t="shared" ref="D27:H27" si="9">SUM(D25:D26)</f>
        <v>0</v>
      </c>
      <c r="E27" s="231">
        <f t="shared" si="9"/>
        <v>0</v>
      </c>
      <c r="F27" s="231">
        <f t="shared" si="9"/>
        <v>0</v>
      </c>
      <c r="G27" s="231">
        <f t="shared" si="9"/>
        <v>0</v>
      </c>
      <c r="H27" s="231">
        <f t="shared" si="9"/>
        <v>0</v>
      </c>
      <c r="I27" s="520">
        <f>SUM(I25:I26)</f>
        <v>0</v>
      </c>
      <c r="J27" s="231">
        <f t="shared" ref="J27:O27" si="10">SUM(J25:J26)</f>
        <v>0</v>
      </c>
      <c r="K27" s="231">
        <f t="shared" si="10"/>
        <v>0</v>
      </c>
      <c r="L27" s="231">
        <f t="shared" si="10"/>
        <v>0</v>
      </c>
      <c r="M27" s="231">
        <f t="shared" si="10"/>
        <v>0</v>
      </c>
      <c r="N27" s="231">
        <f t="shared" si="10"/>
        <v>0</v>
      </c>
      <c r="O27" s="231">
        <f t="shared" si="10"/>
        <v>0</v>
      </c>
      <c r="P27" s="232">
        <f>SUM(P25:P26)</f>
        <v>0</v>
      </c>
    </row>
    <row r="28" spans="1:16" s="133" customFormat="1" ht="23.25" customHeight="1" thickBot="1">
      <c r="A28" s="2795" t="s">
        <v>356</v>
      </c>
      <c r="B28" s="2796"/>
      <c r="C28" s="233">
        <f>C23+C27</f>
        <v>0</v>
      </c>
      <c r="D28" s="233">
        <f t="shared" ref="D28:H28" si="11">D23+D27</f>
        <v>0</v>
      </c>
      <c r="E28" s="233">
        <f t="shared" si="11"/>
        <v>0</v>
      </c>
      <c r="F28" s="233">
        <f t="shared" si="11"/>
        <v>0</v>
      </c>
      <c r="G28" s="233">
        <f t="shared" si="11"/>
        <v>0</v>
      </c>
      <c r="H28" s="233">
        <f t="shared" si="11"/>
        <v>0</v>
      </c>
      <c r="I28" s="234">
        <f>I23+I27</f>
        <v>0</v>
      </c>
      <c r="J28" s="233">
        <f t="shared" ref="J28:O28" si="12">J23+J27</f>
        <v>0</v>
      </c>
      <c r="K28" s="233">
        <f t="shared" si="12"/>
        <v>0</v>
      </c>
      <c r="L28" s="233">
        <f t="shared" si="12"/>
        <v>0</v>
      </c>
      <c r="M28" s="233">
        <f t="shared" si="12"/>
        <v>0</v>
      </c>
      <c r="N28" s="233">
        <f t="shared" si="12"/>
        <v>0</v>
      </c>
      <c r="O28" s="233">
        <f t="shared" si="12"/>
        <v>0</v>
      </c>
      <c r="P28" s="235">
        <f>P23+P27</f>
        <v>0</v>
      </c>
    </row>
    <row r="29" spans="1:16" s="133" customFormat="1" ht="8.25" customHeight="1" thickTop="1">
      <c r="A29" s="130"/>
      <c r="B29" s="130"/>
      <c r="C29" s="131"/>
      <c r="D29" s="131"/>
      <c r="E29" s="131"/>
      <c r="F29" s="131"/>
      <c r="G29" s="131"/>
      <c r="H29" s="131"/>
      <c r="I29" s="131"/>
      <c r="J29" s="132"/>
      <c r="K29" s="132"/>
      <c r="L29" s="132"/>
      <c r="M29" s="132"/>
      <c r="N29" s="132"/>
      <c r="O29" s="132"/>
      <c r="P29" s="132"/>
    </row>
    <row r="30" spans="1:16" s="183" customFormat="1">
      <c r="B30" s="979" t="s">
        <v>465</v>
      </c>
    </row>
    <row r="31" spans="1:16" s="183" customFormat="1">
      <c r="B31" s="980" t="s">
        <v>397</v>
      </c>
    </row>
    <row r="32" spans="1:16" s="183" customFormat="1" ht="21">
      <c r="N32" s="2591" t="s">
        <v>347</v>
      </c>
      <c r="O32" s="2591"/>
      <c r="P32" s="2591"/>
    </row>
    <row r="33" spans="1:16" s="183" customFormat="1">
      <c r="N33" s="2592" t="s">
        <v>398</v>
      </c>
      <c r="O33" s="2592"/>
      <c r="P33" s="2592"/>
    </row>
    <row r="34" spans="1:16" s="183" customFormat="1" ht="21">
      <c r="C34" s="981" t="s">
        <v>399</v>
      </c>
      <c r="D34" s="1283"/>
      <c r="J34" s="981" t="s">
        <v>468</v>
      </c>
      <c r="N34" s="2591" t="s">
        <v>469</v>
      </c>
      <c r="O34" s="2591"/>
      <c r="P34" s="2591"/>
    </row>
    <row r="35" spans="1:16" s="183" customFormat="1">
      <c r="C35" s="849" t="s">
        <v>402</v>
      </c>
      <c r="D35" s="1260"/>
      <c r="J35" s="238" t="s">
        <v>497</v>
      </c>
      <c r="N35" s="2592" t="s">
        <v>471</v>
      </c>
      <c r="O35" s="2592"/>
      <c r="P35" s="2592"/>
    </row>
    <row r="36" spans="1:16" s="183" customFormat="1"/>
    <row r="37" spans="1:16" s="183" customFormat="1"/>
    <row r="38" spans="1:16" s="183" customFormat="1"/>
    <row r="39" spans="1:16" s="183" customFormat="1"/>
    <row r="40" spans="1:16" s="183" customFormat="1"/>
    <row r="41" spans="1:16" s="183" customFormat="1">
      <c r="A41" s="183" t="s">
        <v>1877</v>
      </c>
    </row>
  </sheetData>
  <sheetProtection password="C5F7" sheet="1" objects="1" scenarios="1" formatCells="0" formatColumns="0" formatRows="0"/>
  <protectedRanges>
    <protectedRange password="CF0E" sqref="C35" name="Range27"/>
    <protectedRange password="CF0E" sqref="J35" name="Range27_1"/>
    <protectedRange password="CF0E" sqref="A7" name="Range1"/>
  </protectedRanges>
  <mergeCells count="20">
    <mergeCell ref="A28:B28"/>
    <mergeCell ref="A1:P1"/>
    <mergeCell ref="A2:P2"/>
    <mergeCell ref="A3:P3"/>
    <mergeCell ref="O7:P7"/>
    <mergeCell ref="A4:P4"/>
    <mergeCell ref="O6:P6"/>
    <mergeCell ref="C10:I10"/>
    <mergeCell ref="O8:P8"/>
    <mergeCell ref="E13:G13"/>
    <mergeCell ref="L12:N12"/>
    <mergeCell ref="L13:N13"/>
    <mergeCell ref="E12:G12"/>
    <mergeCell ref="J10:P10"/>
    <mergeCell ref="J11:P11"/>
    <mergeCell ref="N35:P35"/>
    <mergeCell ref="N32:P32"/>
    <mergeCell ref="N33:P33"/>
    <mergeCell ref="N34:P34"/>
    <mergeCell ref="C11:I11"/>
  </mergeCells>
  <phoneticPr fontId="19" type="noConversion"/>
  <dataValidations count="1">
    <dataValidation type="decimal" operator="greaterThanOrEqual" allowBlank="1" showInputMessage="1" showErrorMessage="1" errorTitle="Validation Rule" error="Allow only number" sqref="C16:H22 J16:O22 C25:H26 J25:O26">
      <formula1>0</formula1>
    </dataValidation>
  </dataValidations>
  <pageMargins left="0.25" right="0" top="0.25" bottom="0.25" header="0.25" footer="0.25"/>
  <pageSetup paperSize="9" scale="70" orientation="landscape"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sheetPr>
  <dimension ref="A1:J41"/>
  <sheetViews>
    <sheetView showGridLines="0" topLeftCell="B23" zoomScale="115" zoomScaleNormal="115" workbookViewId="0">
      <selection activeCell="H13" sqref="H13"/>
    </sheetView>
  </sheetViews>
  <sheetFormatPr defaultColWidth="0" defaultRowHeight="12.75" zeroHeight="1"/>
  <cols>
    <col min="1" max="1" width="43.5703125" customWidth="1"/>
    <col min="2" max="2" width="17.28515625" style="1620" customWidth="1"/>
    <col min="3" max="3" width="10.42578125" style="1620" customWidth="1"/>
    <col min="4" max="4" width="12" style="1620" customWidth="1"/>
    <col min="5" max="5" width="13" style="1620" customWidth="1"/>
    <col min="6" max="6" width="15.5703125" style="1620" customWidth="1"/>
    <col min="7" max="7" width="11.7109375" style="1620" customWidth="1"/>
    <col min="8" max="8" width="12" style="1620" customWidth="1"/>
    <col min="9" max="9" width="18.42578125" style="1620" customWidth="1"/>
    <col min="10" max="10" width="13.7109375" style="1620" customWidth="1"/>
    <col min="11" max="11" width="9.140625" customWidth="1"/>
  </cols>
  <sheetData>
    <row r="1" spans="1:10" s="191" customFormat="1">
      <c r="B1" s="1722"/>
      <c r="C1" s="1722"/>
      <c r="D1" s="1722"/>
      <c r="E1" s="1722"/>
      <c r="F1" s="1722"/>
      <c r="G1" s="1722"/>
      <c r="H1" s="1722"/>
      <c r="I1" s="2812" t="s">
        <v>865</v>
      </c>
      <c r="J1" s="2812"/>
    </row>
    <row r="2" spans="1:10" s="191" customFormat="1" ht="37.5" customHeight="1">
      <c r="A2" s="2813" t="s">
        <v>705</v>
      </c>
      <c r="B2" s="2814"/>
      <c r="C2" s="2814"/>
      <c r="D2" s="2814"/>
      <c r="E2" s="2814"/>
      <c r="F2" s="2814"/>
      <c r="G2" s="2814"/>
      <c r="H2" s="2814"/>
      <c r="I2" s="2814"/>
      <c r="J2" s="2814"/>
    </row>
    <row r="3" spans="1:10" s="191" customFormat="1" ht="27" customHeight="1">
      <c r="A3" s="2813" t="s">
        <v>706</v>
      </c>
      <c r="B3" s="2813"/>
      <c r="C3" s="2813"/>
      <c r="D3" s="2813"/>
      <c r="E3" s="2813"/>
      <c r="F3" s="2813"/>
      <c r="G3" s="2813"/>
      <c r="H3" s="2813"/>
      <c r="I3" s="2813"/>
      <c r="J3" s="2813"/>
    </row>
    <row r="4" spans="1:10" s="183" customFormat="1" ht="22.5" customHeight="1">
      <c r="A4" s="1284" t="s">
        <v>707</v>
      </c>
      <c r="B4" s="872"/>
      <c r="C4" s="872"/>
      <c r="D4" s="872"/>
      <c r="E4" s="872"/>
      <c r="F4" s="872"/>
      <c r="G4" s="872"/>
      <c r="H4" s="872"/>
      <c r="I4" s="872"/>
      <c r="J4" s="872"/>
    </row>
    <row r="5" spans="1:10" s="183" customFormat="1" ht="18.75" customHeight="1" thickBot="1">
      <c r="A5" s="1285" t="s">
        <v>708</v>
      </c>
      <c r="B5" s="872"/>
      <c r="C5" s="872"/>
      <c r="D5" s="872"/>
      <c r="E5" s="1913" t="s">
        <v>363</v>
      </c>
      <c r="F5" s="872"/>
      <c r="G5" s="1914" t="s">
        <v>364</v>
      </c>
      <c r="H5" s="872"/>
      <c r="I5" s="2683" t="s">
        <v>365</v>
      </c>
      <c r="J5" s="2683"/>
    </row>
    <row r="6" spans="1:10" s="183" customFormat="1" ht="21" customHeight="1" thickBot="1">
      <c r="A6" s="1286"/>
      <c r="B6" s="1915"/>
      <c r="C6" s="1915"/>
      <c r="D6" s="1915"/>
      <c r="E6" s="1916" t="s">
        <v>366</v>
      </c>
      <c r="F6" s="1917"/>
      <c r="G6" s="1918" t="s">
        <v>367</v>
      </c>
      <c r="H6" s="872"/>
      <c r="I6" s="2677" t="s">
        <v>368</v>
      </c>
      <c r="J6" s="2677"/>
    </row>
    <row r="7" spans="1:10" s="183" customFormat="1" ht="5.25" customHeight="1" thickBot="1">
      <c r="A7" s="1286"/>
      <c r="B7" s="1915"/>
      <c r="C7" s="1915"/>
      <c r="D7" s="1915"/>
      <c r="E7" s="1916"/>
      <c r="F7" s="1919"/>
      <c r="G7" s="1918"/>
      <c r="H7" s="872"/>
      <c r="I7" s="1920"/>
      <c r="J7" s="1920"/>
    </row>
    <row r="8" spans="1:10" ht="27.75" customHeight="1" thickTop="1">
      <c r="A8" s="2815" t="s">
        <v>709</v>
      </c>
      <c r="B8" s="2817" t="s">
        <v>710</v>
      </c>
      <c r="C8" s="2819" t="s">
        <v>711</v>
      </c>
      <c r="D8" s="2820"/>
      <c r="E8" s="2820"/>
      <c r="F8" s="2820"/>
      <c r="G8" s="2820"/>
      <c r="H8" s="2820"/>
      <c r="I8" s="2820"/>
      <c r="J8" s="2821"/>
    </row>
    <row r="9" spans="1:10" ht="67.5" customHeight="1" thickBot="1">
      <c r="A9" s="2816"/>
      <c r="B9" s="2818"/>
      <c r="C9" s="1921" t="s">
        <v>712</v>
      </c>
      <c r="D9" s="1921" t="s">
        <v>713</v>
      </c>
      <c r="E9" s="1921" t="s">
        <v>714</v>
      </c>
      <c r="F9" s="1921" t="s">
        <v>715</v>
      </c>
      <c r="G9" s="1921" t="s">
        <v>716</v>
      </c>
      <c r="H9" s="1921" t="s">
        <v>717</v>
      </c>
      <c r="I9" s="1921" t="s">
        <v>718</v>
      </c>
      <c r="J9" s="1922" t="s">
        <v>719</v>
      </c>
    </row>
    <row r="10" spans="1:10" ht="26.25" customHeight="1">
      <c r="A10" s="335" t="s">
        <v>720</v>
      </c>
      <c r="B10" s="1923"/>
      <c r="C10" s="1923"/>
      <c r="D10" s="1923"/>
      <c r="E10" s="1923"/>
      <c r="F10" s="1923"/>
      <c r="G10" s="1923"/>
      <c r="H10" s="1923"/>
      <c r="I10" s="1923"/>
      <c r="J10" s="1924"/>
    </row>
    <row r="11" spans="1:10" ht="15" customHeight="1">
      <c r="A11" s="336" t="s">
        <v>721</v>
      </c>
      <c r="B11" s="1925">
        <f>SUM(C11:J11)</f>
        <v>0</v>
      </c>
      <c r="C11" s="1926"/>
      <c r="D11" s="1926"/>
      <c r="E11" s="1926"/>
      <c r="F11" s="1926">
        <v>0</v>
      </c>
      <c r="G11" s="1926">
        <v>0</v>
      </c>
      <c r="H11" s="1926">
        <v>0</v>
      </c>
      <c r="I11" s="1926">
        <v>0</v>
      </c>
      <c r="J11" s="1927">
        <v>0</v>
      </c>
    </row>
    <row r="12" spans="1:10" ht="15" customHeight="1">
      <c r="A12" s="336" t="s">
        <v>722</v>
      </c>
      <c r="B12" s="1925">
        <f>SUM(C12:J12)</f>
        <v>0</v>
      </c>
      <c r="C12" s="1926"/>
      <c r="D12" s="1926"/>
      <c r="E12" s="1926"/>
      <c r="F12" s="1926">
        <v>0</v>
      </c>
      <c r="G12" s="1926">
        <v>0</v>
      </c>
      <c r="H12" s="1926">
        <v>0</v>
      </c>
      <c r="I12" s="1926">
        <v>0</v>
      </c>
      <c r="J12" s="1927">
        <v>0</v>
      </c>
    </row>
    <row r="13" spans="1:10" ht="15" customHeight="1">
      <c r="A13" s="336" t="s">
        <v>723</v>
      </c>
      <c r="B13" s="1925">
        <f>SUM(C13:J13)</f>
        <v>0</v>
      </c>
      <c r="C13" s="1926"/>
      <c r="D13" s="1926"/>
      <c r="E13" s="1926"/>
      <c r="F13" s="1926">
        <v>0</v>
      </c>
      <c r="G13" s="1926">
        <v>0</v>
      </c>
      <c r="H13" s="1926">
        <v>0</v>
      </c>
      <c r="I13" s="1926">
        <v>0</v>
      </c>
      <c r="J13" s="1927">
        <v>0</v>
      </c>
    </row>
    <row r="14" spans="1:10" ht="15" customHeight="1">
      <c r="A14" s="336" t="s">
        <v>724</v>
      </c>
      <c r="B14" s="1925">
        <f>SUM(C14:J14)</f>
        <v>0</v>
      </c>
      <c r="C14" s="1926">
        <v>0</v>
      </c>
      <c r="D14" s="1926">
        <v>0</v>
      </c>
      <c r="E14" s="1926">
        <v>0</v>
      </c>
      <c r="F14" s="1926">
        <v>0</v>
      </c>
      <c r="G14" s="1926">
        <v>0</v>
      </c>
      <c r="H14" s="1926">
        <v>0</v>
      </c>
      <c r="I14" s="1926">
        <v>0</v>
      </c>
      <c r="J14" s="1927">
        <v>0</v>
      </c>
    </row>
    <row r="15" spans="1:10" ht="37.5" customHeight="1">
      <c r="A15" s="337" t="s">
        <v>725</v>
      </c>
      <c r="B15" s="1928">
        <f>SUM(B16:B17)</f>
        <v>0</v>
      </c>
      <c r="C15" s="1928">
        <f>SUM(C16:C17)</f>
        <v>0</v>
      </c>
      <c r="D15" s="1928">
        <f t="shared" ref="D15:J15" si="0">SUM(D16:D17)</f>
        <v>0</v>
      </c>
      <c r="E15" s="1928">
        <f t="shared" si="0"/>
        <v>0</v>
      </c>
      <c r="F15" s="1928">
        <f t="shared" si="0"/>
        <v>0</v>
      </c>
      <c r="G15" s="1928">
        <f t="shared" si="0"/>
        <v>0</v>
      </c>
      <c r="H15" s="1928">
        <f t="shared" si="0"/>
        <v>0</v>
      </c>
      <c r="I15" s="1928">
        <f t="shared" si="0"/>
        <v>0</v>
      </c>
      <c r="J15" s="1929">
        <f t="shared" si="0"/>
        <v>0</v>
      </c>
    </row>
    <row r="16" spans="1:10" ht="15" customHeight="1">
      <c r="A16" s="338" t="s">
        <v>726</v>
      </c>
      <c r="B16" s="1928">
        <f>SUM(C16:J16)</f>
        <v>0</v>
      </c>
      <c r="C16" s="1926">
        <v>0</v>
      </c>
      <c r="D16" s="1926">
        <v>0</v>
      </c>
      <c r="E16" s="1926">
        <v>0</v>
      </c>
      <c r="F16" s="1926">
        <v>0</v>
      </c>
      <c r="G16" s="1926">
        <v>0</v>
      </c>
      <c r="H16" s="1926">
        <v>0</v>
      </c>
      <c r="I16" s="1926">
        <v>0</v>
      </c>
      <c r="J16" s="1927">
        <v>0</v>
      </c>
    </row>
    <row r="17" spans="1:10" ht="15" customHeight="1">
      <c r="A17" s="338" t="s">
        <v>727</v>
      </c>
      <c r="B17" s="1928">
        <f>SUM(C17:J17)</f>
        <v>0</v>
      </c>
      <c r="C17" s="1926">
        <v>0</v>
      </c>
      <c r="D17" s="1926">
        <v>0</v>
      </c>
      <c r="E17" s="1926">
        <v>0</v>
      </c>
      <c r="F17" s="1926">
        <v>0</v>
      </c>
      <c r="G17" s="1926">
        <v>0</v>
      </c>
      <c r="H17" s="1926">
        <v>0</v>
      </c>
      <c r="I17" s="1926">
        <v>0</v>
      </c>
      <c r="J17" s="1927">
        <v>0</v>
      </c>
    </row>
    <row r="18" spans="1:10" ht="15" customHeight="1">
      <c r="A18" s="336" t="s">
        <v>728</v>
      </c>
      <c r="B18" s="1930">
        <f>SUM(C18:J18)</f>
        <v>0</v>
      </c>
      <c r="C18" s="1926">
        <v>0</v>
      </c>
      <c r="D18" s="1926">
        <v>0</v>
      </c>
      <c r="E18" s="1926">
        <v>0</v>
      </c>
      <c r="F18" s="1926">
        <v>0</v>
      </c>
      <c r="G18" s="1926">
        <v>0</v>
      </c>
      <c r="H18" s="1926">
        <v>0</v>
      </c>
      <c r="I18" s="1926">
        <v>0</v>
      </c>
      <c r="J18" s="1927">
        <v>0</v>
      </c>
    </row>
    <row r="19" spans="1:10" ht="15" customHeight="1">
      <c r="A19" s="336" t="s">
        <v>729</v>
      </c>
      <c r="B19" s="1930">
        <f>SUM(C19:J19)</f>
        <v>0</v>
      </c>
      <c r="C19" s="1926">
        <v>0</v>
      </c>
      <c r="D19" s="1926">
        <v>0</v>
      </c>
      <c r="E19" s="1926">
        <v>0</v>
      </c>
      <c r="F19" s="1926">
        <v>0</v>
      </c>
      <c r="G19" s="1926">
        <v>0</v>
      </c>
      <c r="H19" s="1926">
        <v>0</v>
      </c>
      <c r="I19" s="1926">
        <v>0</v>
      </c>
      <c r="J19" s="1927">
        <v>0</v>
      </c>
    </row>
    <row r="20" spans="1:10" ht="18" customHeight="1">
      <c r="A20" s="339" t="s">
        <v>730</v>
      </c>
      <c r="B20" s="1931">
        <f>SUM(C20:J20)</f>
        <v>0</v>
      </c>
      <c r="C20" s="1931">
        <f t="shared" ref="C20:J20" si="1">SUM(C11,C12,C13,C14,C16,C17,C18,C19)</f>
        <v>0</v>
      </c>
      <c r="D20" s="1931">
        <f t="shared" si="1"/>
        <v>0</v>
      </c>
      <c r="E20" s="1931">
        <f t="shared" si="1"/>
        <v>0</v>
      </c>
      <c r="F20" s="1931">
        <f t="shared" si="1"/>
        <v>0</v>
      </c>
      <c r="G20" s="1931">
        <f t="shared" si="1"/>
        <v>0</v>
      </c>
      <c r="H20" s="1931">
        <f t="shared" si="1"/>
        <v>0</v>
      </c>
      <c r="I20" s="1931">
        <f t="shared" si="1"/>
        <v>0</v>
      </c>
      <c r="J20" s="1932">
        <f t="shared" si="1"/>
        <v>0</v>
      </c>
    </row>
    <row r="21" spans="1:10" ht="26.25" customHeight="1">
      <c r="A21" s="340" t="s">
        <v>731</v>
      </c>
      <c r="B21" s="1933"/>
      <c r="C21" s="1930"/>
      <c r="D21" s="1930"/>
      <c r="E21" s="1930"/>
      <c r="F21" s="1930"/>
      <c r="G21" s="1930"/>
      <c r="H21" s="1930"/>
      <c r="I21" s="1930"/>
      <c r="J21" s="1934"/>
    </row>
    <row r="22" spans="1:10" ht="15" customHeight="1">
      <c r="A22" s="336" t="s">
        <v>732</v>
      </c>
      <c r="B22" s="1928">
        <f>SUM(C22:J22)</f>
        <v>0</v>
      </c>
      <c r="C22" s="1928">
        <f>SUM(C23:C24)</f>
        <v>0</v>
      </c>
      <c r="D22" s="1928">
        <f t="shared" ref="D22:J22" si="2">SUM(D23:D24)</f>
        <v>0</v>
      </c>
      <c r="E22" s="1928">
        <f t="shared" si="2"/>
        <v>0</v>
      </c>
      <c r="F22" s="1928">
        <f t="shared" si="2"/>
        <v>0</v>
      </c>
      <c r="G22" s="1928">
        <f t="shared" si="2"/>
        <v>0</v>
      </c>
      <c r="H22" s="1928">
        <f t="shared" si="2"/>
        <v>0</v>
      </c>
      <c r="I22" s="1928">
        <f t="shared" si="2"/>
        <v>0</v>
      </c>
      <c r="J22" s="1929">
        <f t="shared" si="2"/>
        <v>0</v>
      </c>
    </row>
    <row r="23" spans="1:10" ht="15" customHeight="1">
      <c r="A23" s="338" t="s">
        <v>733</v>
      </c>
      <c r="B23" s="1928">
        <f>SUM(C23:J23)</f>
        <v>0</v>
      </c>
      <c r="C23" s="1935">
        <v>0</v>
      </c>
      <c r="D23" s="1935">
        <v>0</v>
      </c>
      <c r="E23" s="1935">
        <v>0</v>
      </c>
      <c r="F23" s="1926">
        <v>0</v>
      </c>
      <c r="G23" s="1926">
        <v>0</v>
      </c>
      <c r="H23" s="1926">
        <v>0</v>
      </c>
      <c r="I23" s="1926">
        <v>0</v>
      </c>
      <c r="J23" s="1927">
        <v>0</v>
      </c>
    </row>
    <row r="24" spans="1:10" ht="15" customHeight="1">
      <c r="A24" s="338" t="s">
        <v>734</v>
      </c>
      <c r="B24" s="1928">
        <f t="shared" ref="B24:B30" si="3">SUM(C24:J24)</f>
        <v>0</v>
      </c>
      <c r="C24" s="1935">
        <v>0</v>
      </c>
      <c r="D24" s="1935">
        <v>0</v>
      </c>
      <c r="E24" s="1935">
        <v>0</v>
      </c>
      <c r="F24" s="1926">
        <v>0</v>
      </c>
      <c r="G24" s="1926">
        <v>0</v>
      </c>
      <c r="H24" s="1926">
        <v>0</v>
      </c>
      <c r="I24" s="1926">
        <v>0</v>
      </c>
      <c r="J24" s="1927">
        <v>0</v>
      </c>
    </row>
    <row r="25" spans="1:10" ht="15" customHeight="1">
      <c r="A25" s="336" t="s">
        <v>735</v>
      </c>
      <c r="B25" s="1928">
        <f t="shared" si="3"/>
        <v>0</v>
      </c>
      <c r="C25" s="1935">
        <v>0</v>
      </c>
      <c r="D25" s="1935">
        <v>0</v>
      </c>
      <c r="E25" s="1935">
        <v>0</v>
      </c>
      <c r="F25" s="1926">
        <v>0</v>
      </c>
      <c r="G25" s="1926">
        <v>0</v>
      </c>
      <c r="H25" s="1926">
        <v>0</v>
      </c>
      <c r="I25" s="1926">
        <v>0</v>
      </c>
      <c r="J25" s="1927">
        <v>0</v>
      </c>
    </row>
    <row r="26" spans="1:10" ht="15" customHeight="1">
      <c r="A26" s="336" t="s">
        <v>736</v>
      </c>
      <c r="B26" s="1928">
        <f t="shared" si="3"/>
        <v>0</v>
      </c>
      <c r="C26" s="1935">
        <v>0</v>
      </c>
      <c r="D26" s="1935">
        <v>0</v>
      </c>
      <c r="E26" s="1935">
        <v>0</v>
      </c>
      <c r="F26" s="1926">
        <v>0</v>
      </c>
      <c r="G26" s="1926">
        <v>0</v>
      </c>
      <c r="H26" s="1926">
        <v>0</v>
      </c>
      <c r="I26" s="1926">
        <v>0</v>
      </c>
      <c r="J26" s="1927">
        <v>0</v>
      </c>
    </row>
    <row r="27" spans="1:10" ht="15" customHeight="1">
      <c r="A27" s="336" t="s">
        <v>737</v>
      </c>
      <c r="B27" s="1928">
        <f t="shared" si="3"/>
        <v>0</v>
      </c>
      <c r="C27" s="1935">
        <v>0</v>
      </c>
      <c r="D27" s="1935">
        <v>0</v>
      </c>
      <c r="E27" s="1935">
        <v>0</v>
      </c>
      <c r="F27" s="1926">
        <v>0</v>
      </c>
      <c r="G27" s="1926">
        <v>0</v>
      </c>
      <c r="H27" s="1926">
        <v>0</v>
      </c>
      <c r="I27" s="1926">
        <v>0</v>
      </c>
      <c r="J27" s="1927">
        <v>0</v>
      </c>
    </row>
    <row r="28" spans="1:10" ht="15" customHeight="1">
      <c r="A28" s="336" t="s">
        <v>738</v>
      </c>
      <c r="B28" s="1928">
        <f t="shared" si="3"/>
        <v>0</v>
      </c>
      <c r="C28" s="1935">
        <v>0</v>
      </c>
      <c r="D28" s="1935">
        <v>0</v>
      </c>
      <c r="E28" s="1935">
        <v>0</v>
      </c>
      <c r="F28" s="1926">
        <v>0</v>
      </c>
      <c r="G28" s="1926">
        <v>0</v>
      </c>
      <c r="H28" s="1926">
        <v>0</v>
      </c>
      <c r="I28" s="1926">
        <v>0</v>
      </c>
      <c r="J28" s="1927">
        <v>0</v>
      </c>
    </row>
    <row r="29" spans="1:10" ht="15" customHeight="1">
      <c r="A29" s="336" t="s">
        <v>739</v>
      </c>
      <c r="B29" s="1928">
        <f t="shared" si="3"/>
        <v>0</v>
      </c>
      <c r="C29" s="1935">
        <v>0</v>
      </c>
      <c r="D29" s="1935">
        <v>0</v>
      </c>
      <c r="E29" s="1935">
        <v>0</v>
      </c>
      <c r="F29" s="1926">
        <v>0</v>
      </c>
      <c r="G29" s="1926">
        <v>0</v>
      </c>
      <c r="H29" s="1926">
        <v>0</v>
      </c>
      <c r="I29" s="1926">
        <v>0</v>
      </c>
      <c r="J29" s="1927">
        <v>0</v>
      </c>
    </row>
    <row r="30" spans="1:10" ht="15" customHeight="1">
      <c r="A30" s="336" t="s">
        <v>740</v>
      </c>
      <c r="B30" s="1928">
        <f t="shared" si="3"/>
        <v>0</v>
      </c>
      <c r="C30" s="1935">
        <v>0</v>
      </c>
      <c r="D30" s="1935">
        <v>0</v>
      </c>
      <c r="E30" s="1935">
        <v>0</v>
      </c>
      <c r="F30" s="1926">
        <v>0</v>
      </c>
      <c r="G30" s="1926">
        <v>0</v>
      </c>
      <c r="H30" s="1926">
        <v>0</v>
      </c>
      <c r="I30" s="1926">
        <v>0</v>
      </c>
      <c r="J30" s="1927">
        <v>0</v>
      </c>
    </row>
    <row r="31" spans="1:10" ht="15" customHeight="1">
      <c r="A31" s="339" t="s">
        <v>1864</v>
      </c>
      <c r="B31" s="1931">
        <f>SUM(C31:J31)</f>
        <v>0</v>
      </c>
      <c r="C31" s="1931">
        <f>SUM(C23,C24,C25,C26,C27,C28,C29,C30)</f>
        <v>0</v>
      </c>
      <c r="D31" s="1931">
        <f t="shared" ref="D31:J31" si="4">SUM(D23,D24,D25,D26,D27,D28,D29,D30)</f>
        <v>0</v>
      </c>
      <c r="E31" s="1931">
        <f t="shared" si="4"/>
        <v>0</v>
      </c>
      <c r="F31" s="1931">
        <f t="shared" si="4"/>
        <v>0</v>
      </c>
      <c r="G31" s="1931">
        <f t="shared" si="4"/>
        <v>0</v>
      </c>
      <c r="H31" s="1931">
        <f t="shared" si="4"/>
        <v>0</v>
      </c>
      <c r="I31" s="1931">
        <f t="shared" si="4"/>
        <v>0</v>
      </c>
      <c r="J31" s="1932">
        <f t="shared" si="4"/>
        <v>0</v>
      </c>
    </row>
    <row r="32" spans="1:10" ht="30" customHeight="1" thickBot="1">
      <c r="A32" s="341" t="s">
        <v>741</v>
      </c>
      <c r="B32" s="1936">
        <f>SUM(C32:J32)</f>
        <v>0</v>
      </c>
      <c r="C32" s="1937">
        <f>C20-C31</f>
        <v>0</v>
      </c>
      <c r="D32" s="1937">
        <f t="shared" ref="D32:J32" si="5">D20-D31</f>
        <v>0</v>
      </c>
      <c r="E32" s="1937">
        <f t="shared" si="5"/>
        <v>0</v>
      </c>
      <c r="F32" s="1937">
        <f t="shared" si="5"/>
        <v>0</v>
      </c>
      <c r="G32" s="1937">
        <f t="shared" si="5"/>
        <v>0</v>
      </c>
      <c r="H32" s="1937">
        <f t="shared" si="5"/>
        <v>0</v>
      </c>
      <c r="I32" s="1937">
        <f t="shared" si="5"/>
        <v>0</v>
      </c>
      <c r="J32" s="1938">
        <f t="shared" si="5"/>
        <v>0</v>
      </c>
    </row>
    <row r="33" spans="1:10" s="183" customFormat="1" ht="15.75" customHeight="1" thickTop="1">
      <c r="A33" s="1287" t="s">
        <v>742</v>
      </c>
      <c r="B33" s="1939"/>
      <c r="C33" s="1939"/>
      <c r="D33" s="1939"/>
      <c r="E33" s="1939"/>
      <c r="F33" s="1939"/>
      <c r="G33" s="1939"/>
      <c r="H33" s="1939"/>
      <c r="I33" s="872"/>
      <c r="J33" s="872"/>
    </row>
    <row r="34" spans="1:10" s="183" customFormat="1" ht="24" customHeight="1">
      <c r="A34" s="2822" t="s">
        <v>743</v>
      </c>
      <c r="B34" s="2822"/>
      <c r="C34" s="2822"/>
      <c r="D34" s="1940"/>
      <c r="E34" s="2823"/>
      <c r="F34" s="2823"/>
      <c r="G34" s="1941"/>
      <c r="H34" s="2823"/>
      <c r="I34" s="2823"/>
      <c r="J34" s="872"/>
    </row>
    <row r="35" spans="1:10" s="183" customFormat="1" ht="18.75" customHeight="1">
      <c r="A35" s="1287" t="s">
        <v>744</v>
      </c>
      <c r="B35" s="1939"/>
      <c r="C35" s="1939"/>
      <c r="D35" s="1939"/>
      <c r="E35" s="2824"/>
      <c r="F35" s="2824"/>
      <c r="G35" s="872"/>
      <c r="H35" s="2825"/>
      <c r="I35" s="2825"/>
      <c r="J35" s="872"/>
    </row>
    <row r="36" spans="1:10" s="183" customFormat="1" ht="18" customHeight="1">
      <c r="A36" s="851" t="s">
        <v>399</v>
      </c>
      <c r="B36" s="872"/>
      <c r="C36" s="872"/>
      <c r="D36" s="1719" t="s">
        <v>400</v>
      </c>
      <c r="E36" s="872"/>
      <c r="F36" s="872"/>
      <c r="G36" s="1682"/>
      <c r="H36" s="2691" t="s">
        <v>401</v>
      </c>
      <c r="I36" s="2691"/>
      <c r="J36" s="872"/>
    </row>
    <row r="37" spans="1:10" s="183" customFormat="1">
      <c r="A37" s="238" t="s">
        <v>402</v>
      </c>
      <c r="B37" s="872"/>
      <c r="C37" s="872"/>
      <c r="D37" s="1720" t="s">
        <v>403</v>
      </c>
      <c r="E37" s="872"/>
      <c r="F37" s="872"/>
      <c r="G37" s="1942"/>
      <c r="H37" s="2690" t="s">
        <v>404</v>
      </c>
      <c r="I37" s="2690"/>
      <c r="J37" s="872"/>
    </row>
    <row r="38" spans="1:10" s="183" customFormat="1">
      <c r="B38" s="872"/>
      <c r="C38" s="872"/>
      <c r="D38" s="872"/>
      <c r="E38" s="872"/>
      <c r="F38" s="872"/>
      <c r="G38" s="872"/>
      <c r="H38" s="872"/>
      <c r="I38" s="872"/>
      <c r="J38" s="872"/>
    </row>
    <row r="39" spans="1:10" s="183" customFormat="1">
      <c r="B39" s="872"/>
      <c r="C39" s="872"/>
      <c r="D39" s="872"/>
      <c r="E39" s="872"/>
      <c r="F39" s="872"/>
      <c r="G39" s="872"/>
      <c r="H39" s="872"/>
      <c r="I39" s="872"/>
      <c r="J39" s="872"/>
    </row>
    <row r="40" spans="1:10" s="183" customFormat="1">
      <c r="B40" s="872"/>
      <c r="C40" s="872"/>
      <c r="D40" s="872"/>
      <c r="E40" s="872"/>
      <c r="F40" s="872"/>
      <c r="G40" s="872"/>
      <c r="H40" s="872"/>
      <c r="I40" s="872"/>
      <c r="J40" s="872"/>
    </row>
    <row r="41" spans="1:10" s="183" customFormat="1">
      <c r="A41" s="183" t="s">
        <v>1877</v>
      </c>
      <c r="B41" s="872"/>
      <c r="C41" s="872"/>
      <c r="D41" s="872"/>
      <c r="E41" s="872"/>
      <c r="F41" s="872"/>
      <c r="G41" s="872"/>
      <c r="H41" s="872"/>
      <c r="I41" s="872"/>
      <c r="J41" s="872"/>
    </row>
  </sheetData>
  <sheetProtection password="C5F7" sheet="1" objects="1" scenarios="1" formatCells="0" formatColumns="0" formatRows="0"/>
  <mergeCells count="15">
    <mergeCell ref="A8:A9"/>
    <mergeCell ref="B8:B9"/>
    <mergeCell ref="C8:J8"/>
    <mergeCell ref="H37:I37"/>
    <mergeCell ref="A34:C34"/>
    <mergeCell ref="E34:F34"/>
    <mergeCell ref="H34:I34"/>
    <mergeCell ref="E35:F35"/>
    <mergeCell ref="H35:I35"/>
    <mergeCell ref="H36:I36"/>
    <mergeCell ref="I1:J1"/>
    <mergeCell ref="A2:J2"/>
    <mergeCell ref="A3:J3"/>
    <mergeCell ref="I5:J5"/>
    <mergeCell ref="I6:J6"/>
  </mergeCells>
  <dataValidations count="1">
    <dataValidation type="decimal" operator="greaterThanOrEqual" allowBlank="1" showInputMessage="1" showErrorMessage="1" errorTitle="Validation Rule" error="Allow only number" sqref="C11:J14 C16:J19 C23:J30">
      <formula1>0</formula1>
    </dataValidation>
  </dataValidations>
  <pageMargins left="0.93" right="0.7" top="0.75" bottom="0.75" header="0.3" footer="0.3"/>
  <pageSetup scale="70" orientation="landscape"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193"/>
  <sheetViews>
    <sheetView showGridLines="0" topLeftCell="A13" workbookViewId="0">
      <selection activeCell="B32" sqref="B32:D32"/>
    </sheetView>
  </sheetViews>
  <sheetFormatPr defaultColWidth="0" defaultRowHeight="12.75" zeroHeight="1"/>
  <cols>
    <col min="1" max="1" width="7" style="183" customWidth="1"/>
    <col min="2" max="3" width="9.140625" style="183" customWidth="1"/>
    <col min="4" max="4" width="22.42578125" style="183" customWidth="1"/>
    <col min="5" max="5" width="16.7109375" style="183" customWidth="1"/>
    <col min="6" max="6" width="14.28515625" style="872" customWidth="1"/>
    <col min="7" max="7" width="14.42578125" style="872" customWidth="1"/>
    <col min="8" max="8" width="15" style="872" customWidth="1"/>
    <col min="9" max="9" width="13.7109375" style="872" customWidth="1"/>
    <col min="10" max="10" width="13.140625" style="872" customWidth="1"/>
    <col min="11" max="11" width="16" style="872" customWidth="1"/>
    <col min="12" max="13" width="9.140625" style="872" customWidth="1"/>
    <col min="14" max="14" width="9.140625" style="183" customWidth="1"/>
    <col min="15" max="16384" width="0" style="183" hidden="1"/>
  </cols>
  <sheetData>
    <row r="1" spans="1:13" s="191" customFormat="1" ht="41.25">
      <c r="A1" s="2828" t="s">
        <v>813</v>
      </c>
      <c r="B1" s="2829"/>
      <c r="C1" s="2829"/>
      <c r="D1" s="2829"/>
      <c r="E1" s="2829"/>
      <c r="F1" s="2829"/>
      <c r="G1" s="2829"/>
      <c r="H1" s="2829"/>
      <c r="I1" s="2829"/>
      <c r="J1" s="2829"/>
      <c r="K1" s="2829"/>
      <c r="L1" s="2829"/>
      <c r="M1" s="1722"/>
    </row>
    <row r="2" spans="1:13" s="191" customFormat="1" ht="18.75">
      <c r="A2" s="2830" t="s">
        <v>844</v>
      </c>
      <c r="B2" s="2830"/>
      <c r="C2" s="2830"/>
      <c r="D2" s="2830"/>
      <c r="E2" s="2830"/>
      <c r="F2" s="2830"/>
      <c r="G2" s="2830"/>
      <c r="H2" s="2830"/>
      <c r="I2" s="2830"/>
      <c r="J2" s="2830"/>
      <c r="K2" s="2830"/>
      <c r="L2" s="2830"/>
      <c r="M2" s="1722"/>
    </row>
    <row r="3" spans="1:13" ht="30.75">
      <c r="A3" s="2831" t="s">
        <v>814</v>
      </c>
      <c r="B3" s="2831"/>
      <c r="C3" s="2831"/>
      <c r="D3" s="2831"/>
      <c r="E3" s="2831"/>
      <c r="F3" s="2831"/>
      <c r="G3" s="2831"/>
      <c r="H3" s="2831"/>
      <c r="I3" s="2831"/>
      <c r="J3" s="2831"/>
      <c r="K3" s="2831"/>
      <c r="L3" s="2831"/>
    </row>
    <row r="4" spans="1:13" ht="30.75">
      <c r="A4" s="171"/>
      <c r="B4" s="838"/>
      <c r="C4" s="838"/>
      <c r="D4" s="838"/>
      <c r="E4" s="838"/>
      <c r="F4" s="1943"/>
      <c r="G4" s="1943"/>
      <c r="H4" s="1943"/>
      <c r="I4" s="1943"/>
      <c r="J4" s="1943"/>
      <c r="K4" s="1943"/>
      <c r="L4" s="2835" t="s">
        <v>866</v>
      </c>
      <c r="M4" s="2836"/>
    </row>
    <row r="5" spans="1:13" ht="25.5">
      <c r="A5" s="1288" t="s">
        <v>815</v>
      </c>
      <c r="B5" s="1288"/>
      <c r="C5" s="820"/>
      <c r="D5" s="820"/>
      <c r="E5" s="187"/>
      <c r="F5" s="1944"/>
      <c r="G5" s="1945"/>
      <c r="H5" s="1946"/>
      <c r="I5" s="1947" t="s">
        <v>816</v>
      </c>
      <c r="K5" s="1948" t="s">
        <v>817</v>
      </c>
      <c r="L5" s="2832" t="s">
        <v>818</v>
      </c>
      <c r="M5" s="2832"/>
    </row>
    <row r="6" spans="1:13" ht="15">
      <c r="A6" s="1289" t="s">
        <v>819</v>
      </c>
      <c r="B6" s="1290"/>
      <c r="C6" s="821"/>
      <c r="D6" s="821"/>
      <c r="E6" s="188"/>
      <c r="F6" s="1949"/>
      <c r="G6" s="1950"/>
      <c r="H6" s="1950"/>
      <c r="I6" s="1951" t="s">
        <v>617</v>
      </c>
      <c r="K6" s="872" t="s">
        <v>433</v>
      </c>
      <c r="L6" s="2834" t="s">
        <v>368</v>
      </c>
      <c r="M6" s="2834"/>
    </row>
    <row r="7" spans="1:13" ht="13.5" thickBot="1"/>
    <row r="8" spans="1:13" customFormat="1" ht="55.5" thickTop="1" thickBot="1">
      <c r="A8" s="2844" t="s">
        <v>820</v>
      </c>
      <c r="B8" s="2845"/>
      <c r="C8" s="2845"/>
      <c r="D8" s="2846"/>
      <c r="E8" s="397" t="s">
        <v>821</v>
      </c>
      <c r="F8" s="1952" t="s">
        <v>822</v>
      </c>
      <c r="G8" s="2837" t="s">
        <v>823</v>
      </c>
      <c r="H8" s="2837"/>
      <c r="I8" s="2838" t="s">
        <v>824</v>
      </c>
      <c r="J8" s="2838"/>
      <c r="K8" s="1952" t="s">
        <v>825</v>
      </c>
      <c r="L8" s="2839" t="s">
        <v>826</v>
      </c>
      <c r="M8" s="2840"/>
    </row>
    <row r="9" spans="1:13" customFormat="1" ht="15">
      <c r="A9" s="2216"/>
      <c r="B9" s="2849" t="s">
        <v>2001</v>
      </c>
      <c r="C9" s="2849"/>
      <c r="D9" s="2850"/>
      <c r="E9" s="398"/>
      <c r="F9" s="1953"/>
      <c r="G9" s="1954" t="s">
        <v>827</v>
      </c>
      <c r="H9" s="1954" t="s">
        <v>828</v>
      </c>
      <c r="I9" s="1954" t="s">
        <v>827</v>
      </c>
      <c r="J9" s="1954" t="s">
        <v>828</v>
      </c>
      <c r="K9" s="1955"/>
      <c r="L9" s="2841"/>
      <c r="M9" s="2842"/>
    </row>
    <row r="10" spans="1:13" customFormat="1">
      <c r="A10" s="401" t="s">
        <v>380</v>
      </c>
      <c r="B10" s="2833"/>
      <c r="C10" s="2833"/>
      <c r="D10" s="2833"/>
      <c r="E10" s="1474"/>
      <c r="F10" s="1956"/>
      <c r="G10" s="1957"/>
      <c r="H10" s="1958"/>
      <c r="I10" s="1959"/>
      <c r="J10" s="1958"/>
      <c r="K10" s="1960"/>
      <c r="L10" s="2843"/>
      <c r="M10" s="2826"/>
    </row>
    <row r="11" spans="1:13" customFormat="1">
      <c r="A11" s="401" t="s">
        <v>388</v>
      </c>
      <c r="B11" s="2827"/>
      <c r="C11" s="2827"/>
      <c r="D11" s="2827"/>
      <c r="E11" s="189"/>
      <c r="F11" s="1958">
        <v>0</v>
      </c>
      <c r="G11" s="1961"/>
      <c r="H11" s="1958">
        <v>0</v>
      </c>
      <c r="I11" s="1962"/>
      <c r="J11" s="1958">
        <v>0</v>
      </c>
      <c r="K11" s="1960"/>
      <c r="L11" s="2847"/>
      <c r="M11" s="2848"/>
    </row>
    <row r="12" spans="1:13" customFormat="1">
      <c r="A12" s="401" t="s">
        <v>539</v>
      </c>
      <c r="B12" s="2827"/>
      <c r="C12" s="2827"/>
      <c r="D12" s="2827"/>
      <c r="E12" s="189"/>
      <c r="F12" s="1958">
        <v>0</v>
      </c>
      <c r="G12" s="1961"/>
      <c r="H12" s="1958">
        <v>0</v>
      </c>
      <c r="I12" s="1962"/>
      <c r="J12" s="1958">
        <v>0</v>
      </c>
      <c r="K12" s="1960"/>
      <c r="L12" s="2826"/>
      <c r="M12" s="2826"/>
    </row>
    <row r="13" spans="1:13" customFormat="1">
      <c r="A13" s="401" t="s">
        <v>566</v>
      </c>
      <c r="B13" s="2827"/>
      <c r="C13" s="2827"/>
      <c r="D13" s="2827"/>
      <c r="E13" s="189"/>
      <c r="F13" s="1958">
        <v>0</v>
      </c>
      <c r="G13" s="1961"/>
      <c r="H13" s="1958">
        <v>0</v>
      </c>
      <c r="I13" s="1962"/>
      <c r="J13" s="1958">
        <v>0</v>
      </c>
      <c r="K13" s="1960"/>
      <c r="L13" s="2826"/>
      <c r="M13" s="2826"/>
    </row>
    <row r="14" spans="1:13" customFormat="1">
      <c r="A14" s="401" t="s">
        <v>576</v>
      </c>
      <c r="B14" s="2853"/>
      <c r="C14" s="2854"/>
      <c r="D14" s="2855"/>
      <c r="E14" s="189"/>
      <c r="F14" s="1958">
        <v>0</v>
      </c>
      <c r="G14" s="1961"/>
      <c r="H14" s="1958">
        <v>0</v>
      </c>
      <c r="I14" s="1962"/>
      <c r="J14" s="1958">
        <v>0</v>
      </c>
      <c r="K14" s="1960"/>
      <c r="L14" s="2826"/>
      <c r="M14" s="2826"/>
    </row>
    <row r="15" spans="1:13" customFormat="1">
      <c r="A15" s="804" t="s">
        <v>587</v>
      </c>
      <c r="B15" s="2833"/>
      <c r="C15" s="2833"/>
      <c r="D15" s="2833"/>
      <c r="E15" s="402"/>
      <c r="F15" s="1956">
        <v>0</v>
      </c>
      <c r="G15" s="1963"/>
      <c r="H15" s="1958">
        <v>0</v>
      </c>
      <c r="I15" s="1961"/>
      <c r="J15" s="1958">
        <v>0</v>
      </c>
      <c r="K15" s="1960"/>
      <c r="L15" s="2826"/>
      <c r="M15" s="2826"/>
    </row>
    <row r="16" spans="1:13" customFormat="1">
      <c r="A16" s="804" t="s">
        <v>595</v>
      </c>
      <c r="B16" s="2827"/>
      <c r="C16" s="2827"/>
      <c r="D16" s="2827"/>
      <c r="E16" s="189"/>
      <c r="F16" s="1958">
        <v>0</v>
      </c>
      <c r="G16" s="1961"/>
      <c r="H16" s="1958">
        <v>0</v>
      </c>
      <c r="I16" s="1962"/>
      <c r="J16" s="1958">
        <v>0</v>
      </c>
      <c r="K16" s="1960"/>
      <c r="L16" s="2847"/>
      <c r="M16" s="2848"/>
    </row>
    <row r="17" spans="1:13" customFormat="1">
      <c r="A17" s="804" t="s">
        <v>1230</v>
      </c>
      <c r="B17" s="2827"/>
      <c r="C17" s="2827"/>
      <c r="D17" s="2827"/>
      <c r="E17" s="189"/>
      <c r="F17" s="1958">
        <v>0</v>
      </c>
      <c r="G17" s="1961"/>
      <c r="H17" s="1958">
        <v>0</v>
      </c>
      <c r="I17" s="1962"/>
      <c r="J17" s="1958">
        <v>0</v>
      </c>
      <c r="K17" s="1960"/>
      <c r="L17" s="2826"/>
      <c r="M17" s="2826"/>
    </row>
    <row r="18" spans="1:13" customFormat="1">
      <c r="A18" s="804" t="s">
        <v>1237</v>
      </c>
      <c r="B18" s="2827"/>
      <c r="C18" s="2827"/>
      <c r="D18" s="2827"/>
      <c r="E18" s="822"/>
      <c r="F18" s="1958">
        <v>0</v>
      </c>
      <c r="G18" s="1961"/>
      <c r="H18" s="1958">
        <v>0</v>
      </c>
      <c r="I18" s="1962"/>
      <c r="J18" s="1958">
        <v>0</v>
      </c>
      <c r="K18" s="1960"/>
      <c r="L18" s="2826"/>
      <c r="M18" s="2826"/>
    </row>
    <row r="19" spans="1:13" customFormat="1">
      <c r="A19" s="804" t="s">
        <v>1303</v>
      </c>
      <c r="B19" s="2833"/>
      <c r="C19" s="2833"/>
      <c r="D19" s="2833"/>
      <c r="E19" s="402"/>
      <c r="F19" s="1956">
        <v>0</v>
      </c>
      <c r="G19" s="1963"/>
      <c r="H19" s="1958">
        <v>0</v>
      </c>
      <c r="I19" s="1961"/>
      <c r="J19" s="1958">
        <v>0</v>
      </c>
      <c r="K19" s="1960"/>
      <c r="L19" s="2826"/>
      <c r="M19" s="2826"/>
    </row>
    <row r="20" spans="1:13" customFormat="1" ht="15">
      <c r="A20" s="2215"/>
      <c r="B20" s="2856" t="s">
        <v>2000</v>
      </c>
      <c r="C20" s="2856"/>
      <c r="D20" s="2857"/>
      <c r="E20" s="403"/>
      <c r="F20" s="1964"/>
      <c r="G20" s="1964"/>
      <c r="H20" s="1964"/>
      <c r="I20" s="1964"/>
      <c r="J20" s="1964"/>
      <c r="K20" s="1965"/>
      <c r="L20" s="2851"/>
      <c r="M20" s="2852"/>
    </row>
    <row r="21" spans="1:13" customFormat="1">
      <c r="A21" s="401" t="s">
        <v>380</v>
      </c>
      <c r="B21" s="2827"/>
      <c r="C21" s="2827"/>
      <c r="D21" s="2827"/>
      <c r="E21" s="189"/>
      <c r="F21" s="1958">
        <v>0</v>
      </c>
      <c r="G21" s="1961"/>
      <c r="H21" s="1958">
        <v>0</v>
      </c>
      <c r="I21" s="1962"/>
      <c r="J21" s="1958">
        <v>0</v>
      </c>
      <c r="K21" s="1960"/>
      <c r="L21" s="2826"/>
      <c r="M21" s="2826"/>
    </row>
    <row r="22" spans="1:13" customFormat="1">
      <c r="A22" s="401" t="s">
        <v>388</v>
      </c>
      <c r="B22" s="2827"/>
      <c r="C22" s="2827"/>
      <c r="D22" s="2827"/>
      <c r="E22" s="189"/>
      <c r="F22" s="1958">
        <v>0</v>
      </c>
      <c r="G22" s="1962"/>
      <c r="H22" s="1958">
        <v>0</v>
      </c>
      <c r="I22" s="1962"/>
      <c r="J22" s="1958">
        <v>0</v>
      </c>
      <c r="K22" s="1960"/>
      <c r="L22" s="2826"/>
      <c r="M22" s="2826"/>
    </row>
    <row r="23" spans="1:13" customFormat="1">
      <c r="A23" s="401" t="s">
        <v>539</v>
      </c>
      <c r="B23" s="2827"/>
      <c r="C23" s="2827"/>
      <c r="D23" s="2827"/>
      <c r="E23" s="189"/>
      <c r="F23" s="1958">
        <v>0</v>
      </c>
      <c r="G23" s="1962"/>
      <c r="H23" s="1958">
        <v>0</v>
      </c>
      <c r="I23" s="1962"/>
      <c r="J23" s="1958">
        <v>0</v>
      </c>
      <c r="K23" s="1960"/>
      <c r="L23" s="2826"/>
      <c r="M23" s="2826"/>
    </row>
    <row r="24" spans="1:13" customFormat="1">
      <c r="A24" s="401" t="s">
        <v>566</v>
      </c>
      <c r="B24" s="2827"/>
      <c r="C24" s="2827"/>
      <c r="D24" s="2827"/>
      <c r="E24" s="189"/>
      <c r="F24" s="1958">
        <v>0</v>
      </c>
      <c r="G24" s="1962"/>
      <c r="H24" s="1958">
        <v>0</v>
      </c>
      <c r="I24" s="1962"/>
      <c r="J24" s="1958">
        <v>0</v>
      </c>
      <c r="K24" s="1960"/>
      <c r="L24" s="2826"/>
      <c r="M24" s="2826"/>
    </row>
    <row r="25" spans="1:13" customFormat="1">
      <c r="A25" s="401" t="s">
        <v>576</v>
      </c>
      <c r="B25" s="2853"/>
      <c r="C25" s="2854"/>
      <c r="D25" s="2855"/>
      <c r="E25" s="189"/>
      <c r="F25" s="1958">
        <v>0</v>
      </c>
      <c r="G25" s="1962"/>
      <c r="H25" s="1958">
        <v>0</v>
      </c>
      <c r="I25" s="1962"/>
      <c r="J25" s="1958">
        <v>0</v>
      </c>
      <c r="K25" s="1960"/>
      <c r="L25" s="2826"/>
      <c r="M25" s="2826"/>
    </row>
    <row r="26" spans="1:13" customFormat="1">
      <c r="A26" s="804" t="s">
        <v>587</v>
      </c>
      <c r="B26" s="2827"/>
      <c r="C26" s="2827"/>
      <c r="D26" s="2827"/>
      <c r="E26" s="189"/>
      <c r="F26" s="1958">
        <v>0</v>
      </c>
      <c r="G26" s="1961"/>
      <c r="H26" s="1958">
        <v>0</v>
      </c>
      <c r="I26" s="1962"/>
      <c r="J26" s="1958">
        <v>0</v>
      </c>
      <c r="K26" s="1960"/>
      <c r="L26" s="2826"/>
      <c r="M26" s="2826"/>
    </row>
    <row r="27" spans="1:13" customFormat="1">
      <c r="A27" s="804" t="s">
        <v>595</v>
      </c>
      <c r="B27" s="2827"/>
      <c r="C27" s="2827"/>
      <c r="D27" s="2827"/>
      <c r="E27" s="189"/>
      <c r="F27" s="1958">
        <v>0</v>
      </c>
      <c r="G27" s="1962"/>
      <c r="H27" s="1958">
        <v>0</v>
      </c>
      <c r="I27" s="1962"/>
      <c r="J27" s="1958">
        <v>0</v>
      </c>
      <c r="K27" s="1960"/>
      <c r="L27" s="2826"/>
      <c r="M27" s="2826"/>
    </row>
    <row r="28" spans="1:13" customFormat="1">
      <c r="A28" s="804" t="s">
        <v>1230</v>
      </c>
      <c r="B28" s="2827"/>
      <c r="C28" s="2827"/>
      <c r="D28" s="2827"/>
      <c r="E28" s="189"/>
      <c r="F28" s="1958">
        <v>0</v>
      </c>
      <c r="G28" s="1962"/>
      <c r="H28" s="1958">
        <v>0</v>
      </c>
      <c r="I28" s="1962"/>
      <c r="J28" s="1958">
        <v>0</v>
      </c>
      <c r="K28" s="1960"/>
      <c r="L28" s="2826"/>
      <c r="M28" s="2826"/>
    </row>
    <row r="29" spans="1:13" customFormat="1">
      <c r="A29" s="804" t="s">
        <v>1237</v>
      </c>
      <c r="B29" s="2827"/>
      <c r="C29" s="2827"/>
      <c r="D29" s="2827"/>
      <c r="E29" s="189"/>
      <c r="F29" s="1958">
        <v>0</v>
      </c>
      <c r="G29" s="1962"/>
      <c r="H29" s="1958">
        <v>0</v>
      </c>
      <c r="I29" s="1962"/>
      <c r="J29" s="1958">
        <v>0</v>
      </c>
      <c r="K29" s="1960"/>
      <c r="L29" s="2826"/>
      <c r="M29" s="2826"/>
    </row>
    <row r="30" spans="1:13" customFormat="1">
      <c r="A30" s="804" t="s">
        <v>1303</v>
      </c>
      <c r="B30" s="2827"/>
      <c r="C30" s="2827"/>
      <c r="D30" s="2827"/>
      <c r="E30" s="189"/>
      <c r="F30" s="1958">
        <v>0</v>
      </c>
      <c r="G30" s="1961"/>
      <c r="H30" s="1958">
        <v>0</v>
      </c>
      <c r="I30" s="1962"/>
      <c r="J30" s="1958">
        <v>0</v>
      </c>
      <c r="K30" s="1960"/>
      <c r="L30" s="2826"/>
      <c r="M30" s="2826"/>
    </row>
    <row r="31" spans="1:13" customFormat="1" ht="15">
      <c r="A31" s="2215"/>
      <c r="B31" s="2856" t="s">
        <v>2002</v>
      </c>
      <c r="C31" s="2856"/>
      <c r="D31" s="2857"/>
      <c r="E31" s="403"/>
      <c r="F31" s="1964"/>
      <c r="G31" s="1964"/>
      <c r="H31" s="1964"/>
      <c r="I31" s="1964"/>
      <c r="J31" s="1964"/>
      <c r="K31" s="1965"/>
      <c r="L31" s="2851"/>
      <c r="M31" s="2852"/>
    </row>
    <row r="32" spans="1:13" customFormat="1">
      <c r="A32" s="401" t="s">
        <v>380</v>
      </c>
      <c r="B32" s="2827"/>
      <c r="C32" s="2827"/>
      <c r="D32" s="2827"/>
      <c r="E32" s="189"/>
      <c r="F32" s="1958">
        <v>0</v>
      </c>
      <c r="G32" s="1962"/>
      <c r="H32" s="1958">
        <v>0</v>
      </c>
      <c r="I32" s="1962"/>
      <c r="J32" s="1958">
        <v>0</v>
      </c>
      <c r="K32" s="1960"/>
      <c r="L32" s="2868"/>
      <c r="M32" s="2826"/>
    </row>
    <row r="33" spans="1:13" customFormat="1">
      <c r="A33" s="401" t="s">
        <v>388</v>
      </c>
      <c r="B33" s="2827"/>
      <c r="C33" s="2827"/>
      <c r="D33" s="2827"/>
      <c r="E33" s="189"/>
      <c r="F33" s="1958">
        <v>0</v>
      </c>
      <c r="G33" s="1962"/>
      <c r="H33" s="1958">
        <v>0</v>
      </c>
      <c r="I33" s="1962"/>
      <c r="J33" s="1958">
        <v>0</v>
      </c>
      <c r="K33" s="1960"/>
      <c r="L33" s="2826"/>
      <c r="M33" s="2826"/>
    </row>
    <row r="34" spans="1:13" customFormat="1">
      <c r="A34" s="401" t="s">
        <v>539</v>
      </c>
      <c r="B34" s="2827"/>
      <c r="C34" s="2827"/>
      <c r="D34" s="2827"/>
      <c r="E34" s="189"/>
      <c r="F34" s="1958">
        <v>0</v>
      </c>
      <c r="G34" s="1962"/>
      <c r="H34" s="1958">
        <v>0</v>
      </c>
      <c r="I34" s="1962"/>
      <c r="J34" s="1958">
        <v>0</v>
      </c>
      <c r="K34" s="1960"/>
      <c r="L34" s="2826"/>
      <c r="M34" s="2826"/>
    </row>
    <row r="35" spans="1:13" customFormat="1">
      <c r="A35" s="401" t="s">
        <v>566</v>
      </c>
      <c r="B35" s="2853"/>
      <c r="C35" s="2854"/>
      <c r="D35" s="2855"/>
      <c r="E35" s="190"/>
      <c r="F35" s="1958">
        <v>0</v>
      </c>
      <c r="G35" s="1962"/>
      <c r="H35" s="1958">
        <v>0</v>
      </c>
      <c r="I35" s="1962"/>
      <c r="J35" s="1958">
        <v>0</v>
      </c>
      <c r="K35" s="1960"/>
      <c r="L35" s="2826"/>
      <c r="M35" s="2826"/>
    </row>
    <row r="36" spans="1:13" customFormat="1">
      <c r="A36" s="401" t="s">
        <v>576</v>
      </c>
      <c r="B36" s="2827"/>
      <c r="C36" s="2827"/>
      <c r="D36" s="2827"/>
      <c r="E36" s="189"/>
      <c r="F36" s="1958">
        <v>0</v>
      </c>
      <c r="G36" s="1962"/>
      <c r="H36" s="1958">
        <v>0</v>
      </c>
      <c r="I36" s="1962"/>
      <c r="J36" s="1958">
        <v>0</v>
      </c>
      <c r="K36" s="1960"/>
      <c r="L36" s="2868"/>
      <c r="M36" s="2826"/>
    </row>
    <row r="37" spans="1:13" customFormat="1">
      <c r="A37" s="804" t="s">
        <v>587</v>
      </c>
      <c r="B37" s="2827"/>
      <c r="C37" s="2827"/>
      <c r="D37" s="2827"/>
      <c r="E37" s="189"/>
      <c r="F37" s="1958">
        <v>0</v>
      </c>
      <c r="G37" s="1962"/>
      <c r="H37" s="1958">
        <v>0</v>
      </c>
      <c r="I37" s="1962"/>
      <c r="J37" s="1958">
        <v>0</v>
      </c>
      <c r="K37" s="1960"/>
      <c r="L37" s="2826"/>
      <c r="M37" s="2826"/>
    </row>
    <row r="38" spans="1:13" customFormat="1">
      <c r="A38" s="804" t="s">
        <v>595</v>
      </c>
      <c r="B38" s="2827"/>
      <c r="C38" s="2827"/>
      <c r="D38" s="2827"/>
      <c r="E38" s="189"/>
      <c r="F38" s="1958">
        <v>0</v>
      </c>
      <c r="G38" s="1962"/>
      <c r="H38" s="1958">
        <v>0</v>
      </c>
      <c r="I38" s="1962"/>
      <c r="J38" s="1958">
        <v>0</v>
      </c>
      <c r="K38" s="1960"/>
      <c r="L38" s="2826"/>
      <c r="M38" s="2826"/>
    </row>
    <row r="39" spans="1:13" customFormat="1">
      <c r="A39" s="804" t="s">
        <v>1230</v>
      </c>
      <c r="B39" s="2853"/>
      <c r="C39" s="2854"/>
      <c r="D39" s="2855"/>
      <c r="E39" s="190"/>
      <c r="F39" s="1958">
        <v>0</v>
      </c>
      <c r="G39" s="1962"/>
      <c r="H39" s="1958">
        <v>0</v>
      </c>
      <c r="I39" s="1962"/>
      <c r="J39" s="1958">
        <v>0</v>
      </c>
      <c r="K39" s="1960"/>
      <c r="L39" s="2826"/>
      <c r="M39" s="2826"/>
    </row>
    <row r="40" spans="1:13" customFormat="1">
      <c r="A40" s="804" t="s">
        <v>1237</v>
      </c>
      <c r="B40" s="2827"/>
      <c r="C40" s="2827"/>
      <c r="D40" s="2827"/>
      <c r="E40" s="189"/>
      <c r="F40" s="1958">
        <v>0</v>
      </c>
      <c r="G40" s="1962"/>
      <c r="H40" s="1958">
        <v>0</v>
      </c>
      <c r="I40" s="1962"/>
      <c r="J40" s="1958">
        <v>0</v>
      </c>
      <c r="K40" s="1960"/>
      <c r="L40" s="2826"/>
      <c r="M40" s="2826"/>
    </row>
    <row r="41" spans="1:13" customFormat="1">
      <c r="A41" s="804" t="s">
        <v>1303</v>
      </c>
      <c r="B41" s="2865"/>
      <c r="C41" s="2866"/>
      <c r="D41" s="2867"/>
      <c r="E41" s="189"/>
      <c r="F41" s="1958">
        <v>0</v>
      </c>
      <c r="G41" s="1962"/>
      <c r="H41" s="1958">
        <v>0</v>
      </c>
      <c r="I41" s="1962"/>
      <c r="J41" s="1958">
        <v>0</v>
      </c>
      <c r="K41" s="1960"/>
      <c r="L41" s="2863"/>
      <c r="M41" s="2864"/>
    </row>
    <row r="42" spans="1:13" customFormat="1" ht="13.5" thickBot="1">
      <c r="A42" s="727">
        <v>0</v>
      </c>
      <c r="B42" s="2217" t="s">
        <v>1997</v>
      </c>
      <c r="E42" s="181"/>
      <c r="F42" s="1620"/>
      <c r="G42" s="1620"/>
      <c r="H42" s="1620"/>
      <c r="I42" s="1620"/>
      <c r="J42" s="1620"/>
      <c r="K42" s="1620"/>
      <c r="L42" s="1620"/>
      <c r="M42" s="1620"/>
    </row>
    <row r="43" spans="1:13" customFormat="1" ht="15.75" thickTop="1">
      <c r="A43" s="2858" t="s">
        <v>829</v>
      </c>
      <c r="B43" s="2859"/>
      <c r="C43" s="2859"/>
      <c r="D43" s="2860"/>
      <c r="E43" s="399" t="s">
        <v>830</v>
      </c>
      <c r="F43" s="1966" t="s">
        <v>831</v>
      </c>
      <c r="G43" s="1966" t="s">
        <v>832</v>
      </c>
      <c r="H43" s="2838" t="s">
        <v>833</v>
      </c>
      <c r="I43" s="2861"/>
      <c r="J43" s="2862"/>
      <c r="K43" s="2862"/>
      <c r="L43" s="1967"/>
      <c r="M43" s="1620"/>
    </row>
    <row r="44" spans="1:13" customFormat="1">
      <c r="A44" s="2878" t="s">
        <v>845</v>
      </c>
      <c r="B44" s="2879"/>
      <c r="C44" s="2879"/>
      <c r="D44" s="2879"/>
      <c r="E44" s="400">
        <f>SUM(F44,G44)</f>
        <v>14</v>
      </c>
      <c r="F44" s="1961">
        <v>12</v>
      </c>
      <c r="G44" s="1961">
        <v>2</v>
      </c>
      <c r="H44" s="2880"/>
      <c r="I44" s="2881"/>
      <c r="J44" s="2882"/>
      <c r="K44" s="2882"/>
      <c r="L44" s="1968"/>
      <c r="M44" s="1620"/>
    </row>
    <row r="45" spans="1:13" customFormat="1">
      <c r="A45" s="2878" t="s">
        <v>846</v>
      </c>
      <c r="B45" s="2879"/>
      <c r="C45" s="2879"/>
      <c r="D45" s="2879"/>
      <c r="E45" s="400">
        <f>SUM(F45,G45)</f>
        <v>5</v>
      </c>
      <c r="F45" s="1962">
        <v>2</v>
      </c>
      <c r="G45" s="1962">
        <v>3</v>
      </c>
      <c r="H45" s="2880"/>
      <c r="I45" s="2881"/>
      <c r="J45" s="2882"/>
      <c r="K45" s="2882"/>
      <c r="L45" s="1968"/>
      <c r="M45" s="1620"/>
    </row>
    <row r="46" spans="1:13" customFormat="1">
      <c r="A46" s="2878" t="s">
        <v>847</v>
      </c>
      <c r="B46" s="2879"/>
      <c r="C46" s="2879"/>
      <c r="D46" s="2879"/>
      <c r="E46" s="400">
        <f>SUM(F46,G46)</f>
        <v>2</v>
      </c>
      <c r="F46" s="1962">
        <v>1</v>
      </c>
      <c r="G46" s="1962">
        <v>1</v>
      </c>
      <c r="H46" s="2881"/>
      <c r="I46" s="2881"/>
      <c r="J46" s="2882"/>
      <c r="K46" s="2882"/>
      <c r="L46" s="1968"/>
      <c r="M46" s="1620"/>
    </row>
    <row r="47" spans="1:13">
      <c r="B47" s="1291"/>
      <c r="C47" s="1291"/>
      <c r="D47" s="1291"/>
      <c r="E47" s="847"/>
      <c r="F47" s="1919"/>
      <c r="G47" s="1919"/>
      <c r="H47" s="1969"/>
      <c r="I47" s="1969"/>
      <c r="J47" s="1970"/>
      <c r="K47" s="1970"/>
      <c r="L47" s="1919"/>
    </row>
    <row r="48" spans="1:13">
      <c r="A48" s="2877" t="s">
        <v>834</v>
      </c>
      <c r="B48" s="2877"/>
    </row>
    <row r="49" spans="1:12" ht="27.75">
      <c r="A49" s="182" t="s">
        <v>397</v>
      </c>
      <c r="J49" s="2883" t="s">
        <v>835</v>
      </c>
      <c r="K49" s="2884"/>
      <c r="L49" s="2884"/>
    </row>
    <row r="50" spans="1:12" ht="27.75">
      <c r="A50" s="2877" t="s">
        <v>836</v>
      </c>
      <c r="B50" s="2877"/>
      <c r="C50" s="2877"/>
      <c r="D50" s="2877"/>
      <c r="E50" s="2877"/>
      <c r="F50" s="2877"/>
      <c r="G50" s="2877"/>
      <c r="J50" s="1971"/>
      <c r="K50" s="1972"/>
      <c r="L50" s="1972"/>
    </row>
    <row r="51" spans="1:12" ht="15">
      <c r="A51" s="2870" t="s">
        <v>837</v>
      </c>
      <c r="B51" s="2870"/>
      <c r="C51" s="2870"/>
      <c r="D51" s="2870"/>
      <c r="E51" s="2870"/>
      <c r="J51" s="2871" t="s">
        <v>838</v>
      </c>
      <c r="K51" s="2871"/>
      <c r="L51" s="2871"/>
    </row>
    <row r="52" spans="1:12" ht="28.5">
      <c r="A52" s="2872" t="s">
        <v>839</v>
      </c>
      <c r="B52" s="2872"/>
      <c r="C52" s="2872"/>
      <c r="D52" s="2872"/>
      <c r="G52" s="2873" t="s">
        <v>400</v>
      </c>
      <c r="H52" s="2873"/>
      <c r="J52" s="2874" t="s">
        <v>840</v>
      </c>
      <c r="K52" s="2874"/>
      <c r="L52" s="2874"/>
    </row>
    <row r="53" spans="1:12" ht="14.25">
      <c r="A53" s="2875" t="s">
        <v>841</v>
      </c>
      <c r="B53" s="2875"/>
      <c r="C53" s="2875"/>
      <c r="D53" s="2875"/>
      <c r="G53" s="2876" t="s">
        <v>842</v>
      </c>
      <c r="H53" s="2876"/>
      <c r="J53" s="2876" t="s">
        <v>212</v>
      </c>
      <c r="K53" s="2876"/>
      <c r="L53" s="2876"/>
    </row>
    <row r="54" spans="1:12" ht="14.25">
      <c r="A54" s="1292"/>
      <c r="B54" s="184"/>
      <c r="C54" s="185"/>
      <c r="D54" s="186"/>
      <c r="E54" s="2869"/>
      <c r="F54" s="2869"/>
      <c r="G54" s="2869"/>
    </row>
    <row r="55" spans="1:12"/>
    <row r="56" spans="1:12">
      <c r="H56" s="1879"/>
    </row>
    <row r="57" spans="1:12"/>
    <row r="58" spans="1:12">
      <c r="A58" s="183" t="s">
        <v>1877</v>
      </c>
    </row>
    <row r="59" spans="1:12" hidden="1"/>
    <row r="60" spans="1:12" hidden="1"/>
    <row r="61" spans="1:12" hidden="1"/>
    <row r="62" spans="1:12" hidden="1"/>
    <row r="63" spans="1:12" hidden="1"/>
    <row r="64" spans="1:12"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sheetData>
  <sheetProtection password="C5F7" sheet="1" objects="1" scenarios="1" formatCells="0" formatColumns="0" formatRows="0" insertRows="0" deleteRows="0"/>
  <mergeCells count="100">
    <mergeCell ref="B31:D31"/>
    <mergeCell ref="B32:D32"/>
    <mergeCell ref="L32:M32"/>
    <mergeCell ref="B33:D33"/>
    <mergeCell ref="L33:M33"/>
    <mergeCell ref="L31:M31"/>
    <mergeCell ref="B34:D34"/>
    <mergeCell ref="L34:M34"/>
    <mergeCell ref="B35:D35"/>
    <mergeCell ref="L35:M35"/>
    <mergeCell ref="B38:D38"/>
    <mergeCell ref="L38:M38"/>
    <mergeCell ref="A50:G50"/>
    <mergeCell ref="A44:D44"/>
    <mergeCell ref="H44:I44"/>
    <mergeCell ref="J44:K44"/>
    <mergeCell ref="A45:D45"/>
    <mergeCell ref="H45:I45"/>
    <mergeCell ref="J45:K45"/>
    <mergeCell ref="A46:D46"/>
    <mergeCell ref="H46:I46"/>
    <mergeCell ref="J46:K46"/>
    <mergeCell ref="A48:B48"/>
    <mergeCell ref="J49:L49"/>
    <mergeCell ref="E54:G54"/>
    <mergeCell ref="A51:E51"/>
    <mergeCell ref="J51:L51"/>
    <mergeCell ref="A52:D52"/>
    <mergeCell ref="G52:H52"/>
    <mergeCell ref="J52:L52"/>
    <mergeCell ref="A53:D53"/>
    <mergeCell ref="G53:H53"/>
    <mergeCell ref="J53:L53"/>
    <mergeCell ref="L40:M40"/>
    <mergeCell ref="B36:D36"/>
    <mergeCell ref="B37:D37"/>
    <mergeCell ref="B40:D40"/>
    <mergeCell ref="A43:D43"/>
    <mergeCell ref="H43:I43"/>
    <mergeCell ref="J43:K43"/>
    <mergeCell ref="L41:M41"/>
    <mergeCell ref="B41:D41"/>
    <mergeCell ref="B39:D39"/>
    <mergeCell ref="L39:M39"/>
    <mergeCell ref="L36:M36"/>
    <mergeCell ref="L37:M37"/>
    <mergeCell ref="B24:D24"/>
    <mergeCell ref="B25:D25"/>
    <mergeCell ref="B26:D26"/>
    <mergeCell ref="L26:M26"/>
    <mergeCell ref="B27:D27"/>
    <mergeCell ref="L27:M27"/>
    <mergeCell ref="L24:M24"/>
    <mergeCell ref="L25:M25"/>
    <mergeCell ref="B28:D28"/>
    <mergeCell ref="L28:M28"/>
    <mergeCell ref="B29:D29"/>
    <mergeCell ref="L29:M29"/>
    <mergeCell ref="B30:D30"/>
    <mergeCell ref="L30:M30"/>
    <mergeCell ref="L14:M14"/>
    <mergeCell ref="L20:M20"/>
    <mergeCell ref="B14:D14"/>
    <mergeCell ref="B15:D15"/>
    <mergeCell ref="L15:M15"/>
    <mergeCell ref="B16:D16"/>
    <mergeCell ref="L16:M16"/>
    <mergeCell ref="B17:D17"/>
    <mergeCell ref="L17:M17"/>
    <mergeCell ref="B18:D18"/>
    <mergeCell ref="L18:M18"/>
    <mergeCell ref="B19:D19"/>
    <mergeCell ref="L19:M19"/>
    <mergeCell ref="B20:D20"/>
    <mergeCell ref="L13:M13"/>
    <mergeCell ref="L9:M9"/>
    <mergeCell ref="L10:M10"/>
    <mergeCell ref="A8:D8"/>
    <mergeCell ref="L11:M11"/>
    <mergeCell ref="B13:D13"/>
    <mergeCell ref="B9:D9"/>
    <mergeCell ref="A1:L1"/>
    <mergeCell ref="A2:L2"/>
    <mergeCell ref="A3:L3"/>
    <mergeCell ref="L5:M5"/>
    <mergeCell ref="L12:M12"/>
    <mergeCell ref="B10:D10"/>
    <mergeCell ref="B11:D11"/>
    <mergeCell ref="B12:D12"/>
    <mergeCell ref="L6:M6"/>
    <mergeCell ref="L4:M4"/>
    <mergeCell ref="G8:H8"/>
    <mergeCell ref="I8:J8"/>
    <mergeCell ref="L8:M8"/>
    <mergeCell ref="L21:M21"/>
    <mergeCell ref="L22:M22"/>
    <mergeCell ref="L23:M23"/>
    <mergeCell ref="B21:D21"/>
    <mergeCell ref="B22:D22"/>
    <mergeCell ref="B23:D23"/>
  </mergeCells>
  <dataValidations count="3">
    <dataValidation type="whole" operator="greaterThanOrEqual" allowBlank="1" showInputMessage="1" showErrorMessage="1" errorTitle="Validation Rule" error="Allow only number" sqref="F44:G46">
      <formula1>0</formula1>
    </dataValidation>
    <dataValidation type="decimal" operator="greaterThanOrEqual" allowBlank="1" showInputMessage="1" showErrorMessage="1" errorTitle="Validation Rule" error="Allow only number" sqref="F32:F41 F21:F30 J21:J30 H21:H30 F10:F19 J10:J19 H10:H19 H32:H41 J32:J41">
      <formula1>0</formula1>
    </dataValidation>
    <dataValidation type="date" operator="equal" allowBlank="1" showInputMessage="1" showErrorMessage="1" sqref="K10:K41">
      <formula1>K10</formula1>
    </dataValidation>
  </dataValidations>
  <pageMargins left="0.78" right="0.7" top="0.75" bottom="0.75" header="0.3" footer="0.3"/>
  <pageSetup scale="75"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0"/>
  </sheetPr>
  <dimension ref="A1:L65745"/>
  <sheetViews>
    <sheetView showGridLines="0" topLeftCell="A28" zoomScale="115" zoomScaleNormal="115" workbookViewId="0">
      <selection activeCell="I8" sqref="I1:I1048576"/>
    </sheetView>
  </sheetViews>
  <sheetFormatPr defaultColWidth="0" defaultRowHeight="23.25" zeroHeight="1"/>
  <cols>
    <col min="1" max="1" width="2.85546875" style="1238" customWidth="1"/>
    <col min="2" max="2" width="3.28515625" style="1238" customWidth="1"/>
    <col min="3" max="3" width="4.140625" style="1238" customWidth="1"/>
    <col min="4" max="7" width="9.140625" style="1238" customWidth="1"/>
    <col min="8" max="8" width="57.7109375" style="1238" customWidth="1"/>
    <col min="9" max="9" width="21.42578125" style="1680" customWidth="1"/>
    <col min="10" max="10" width="9.140625" style="1238" customWidth="1"/>
    <col min="11" max="16384" width="0" style="1238" hidden="1"/>
  </cols>
  <sheetData>
    <row r="1" spans="1:12" s="1294" customFormat="1" ht="27" customHeight="1">
      <c r="A1" s="2885" t="s">
        <v>498</v>
      </c>
      <c r="B1" s="2885"/>
      <c r="C1" s="2885"/>
      <c r="D1" s="2885"/>
      <c r="E1" s="2885"/>
      <c r="F1" s="2885"/>
      <c r="G1" s="2885"/>
      <c r="H1" s="2885"/>
      <c r="I1" s="2885"/>
      <c r="J1" s="1203"/>
      <c r="K1" s="1203"/>
      <c r="L1" s="1203"/>
    </row>
    <row r="2" spans="1:12" s="1294" customFormat="1" ht="18" customHeight="1">
      <c r="A2" s="2886" t="s">
        <v>499</v>
      </c>
      <c r="B2" s="2886"/>
      <c r="C2" s="2886"/>
      <c r="D2" s="2886"/>
      <c r="E2" s="2886"/>
      <c r="F2" s="2886"/>
      <c r="G2" s="2886"/>
      <c r="H2" s="2886"/>
      <c r="I2" s="2886"/>
      <c r="J2" s="1203"/>
      <c r="K2" s="1203"/>
      <c r="L2" s="1203"/>
    </row>
    <row r="3" spans="1:12" ht="20.25" customHeight="1">
      <c r="A3" s="2887" t="s">
        <v>500</v>
      </c>
      <c r="B3" s="2887"/>
      <c r="C3" s="2887"/>
      <c r="D3" s="2887"/>
      <c r="E3" s="2887"/>
      <c r="F3" s="2887"/>
      <c r="G3" s="2887"/>
      <c r="H3" s="2887"/>
      <c r="I3" s="2887"/>
      <c r="J3" s="1206"/>
      <c r="K3" s="1206"/>
      <c r="L3" s="1206"/>
    </row>
    <row r="4" spans="1:12" ht="15" customHeight="1">
      <c r="A4" s="2888" t="s">
        <v>501</v>
      </c>
      <c r="B4" s="2888"/>
      <c r="C4" s="2888"/>
      <c r="D4" s="2888"/>
      <c r="E4" s="2888"/>
      <c r="F4" s="2888"/>
      <c r="G4" s="2888"/>
      <c r="H4" s="2888"/>
      <c r="I4" s="2888"/>
      <c r="J4" s="1206"/>
      <c r="K4" s="1206"/>
      <c r="L4" s="1206"/>
    </row>
    <row r="5" spans="1:12" ht="15" customHeight="1">
      <c r="A5" s="2893"/>
      <c r="B5" s="2893"/>
      <c r="C5" s="845"/>
      <c r="D5" s="845"/>
      <c r="E5" s="845"/>
      <c r="F5" s="845"/>
      <c r="G5" s="845"/>
      <c r="H5" s="845"/>
      <c r="I5" s="1973" t="s">
        <v>859</v>
      </c>
      <c r="J5" s="1206"/>
      <c r="K5" s="1206"/>
      <c r="L5" s="1206"/>
    </row>
    <row r="6" spans="1:12" ht="16.5" customHeight="1">
      <c r="A6" s="174" t="s">
        <v>502</v>
      </c>
      <c r="B6" s="174"/>
      <c r="C6" s="174"/>
      <c r="D6" s="174"/>
      <c r="E6" s="174"/>
      <c r="F6" s="174"/>
      <c r="G6" s="174"/>
      <c r="H6" s="174"/>
      <c r="I6" s="1874"/>
    </row>
    <row r="7" spans="1:12" ht="16.5" customHeight="1" thickBot="1">
      <c r="A7" s="174" t="s">
        <v>503</v>
      </c>
      <c r="B7" s="174"/>
      <c r="C7" s="174"/>
      <c r="D7" s="174"/>
      <c r="E7" s="174"/>
      <c r="F7" s="174"/>
      <c r="G7" s="174"/>
      <c r="H7" s="2895" t="s">
        <v>200</v>
      </c>
      <c r="I7" s="2895"/>
    </row>
    <row r="8" spans="1:12" s="25" customFormat="1" ht="16.5" customHeight="1" thickTop="1">
      <c r="A8" s="2896" t="s">
        <v>504</v>
      </c>
      <c r="B8" s="2897"/>
      <c r="C8" s="2897"/>
      <c r="D8" s="2897"/>
      <c r="E8" s="2897"/>
      <c r="F8" s="2897"/>
      <c r="G8" s="2897"/>
      <c r="H8" s="2898"/>
      <c r="I8" s="1974" t="s">
        <v>505</v>
      </c>
    </row>
    <row r="9" spans="1:12" s="26" customFormat="1" ht="18" customHeight="1">
      <c r="A9" s="344" t="s">
        <v>380</v>
      </c>
      <c r="B9" s="345" t="s">
        <v>506</v>
      </c>
      <c r="C9" s="345"/>
      <c r="D9" s="345"/>
      <c r="E9" s="345"/>
      <c r="F9" s="345"/>
      <c r="G9" s="345"/>
      <c r="H9" s="346"/>
      <c r="I9" s="1975">
        <f>SUM(I10,I13,I16,I19)</f>
        <v>0</v>
      </c>
    </row>
    <row r="10" spans="1:12" s="25" customFormat="1" ht="18" customHeight="1">
      <c r="A10" s="347"/>
      <c r="B10" s="348" t="s">
        <v>382</v>
      </c>
      <c r="C10" s="348" t="s">
        <v>201</v>
      </c>
      <c r="D10" s="348"/>
      <c r="E10" s="348"/>
      <c r="F10" s="348"/>
      <c r="G10" s="348"/>
      <c r="H10" s="349"/>
      <c r="I10" s="1976">
        <f>SUM(I11:I12)</f>
        <v>0</v>
      </c>
    </row>
    <row r="11" spans="1:12" s="25" customFormat="1" ht="18" customHeight="1">
      <c r="A11" s="350"/>
      <c r="B11" s="351"/>
      <c r="C11" s="352" t="s">
        <v>507</v>
      </c>
      <c r="D11" s="352" t="s">
        <v>508</v>
      </c>
      <c r="E11" s="352"/>
      <c r="F11" s="352"/>
      <c r="G11" s="352"/>
      <c r="H11" s="353"/>
      <c r="I11" s="1977"/>
    </row>
    <row r="12" spans="1:12" s="25" customFormat="1" ht="18" customHeight="1">
      <c r="A12" s="350"/>
      <c r="B12" s="351"/>
      <c r="C12" s="352" t="s">
        <v>509</v>
      </c>
      <c r="D12" s="352" t="s">
        <v>510</v>
      </c>
      <c r="E12" s="352"/>
      <c r="F12" s="352"/>
      <c r="G12" s="352"/>
      <c r="H12" s="353"/>
      <c r="I12" s="1977">
        <v>0</v>
      </c>
    </row>
    <row r="13" spans="1:12" s="25" customFormat="1" ht="18" customHeight="1">
      <c r="A13" s="350"/>
      <c r="B13" s="352" t="s">
        <v>384</v>
      </c>
      <c r="C13" s="352" t="s">
        <v>511</v>
      </c>
      <c r="D13" s="352"/>
      <c r="E13" s="352"/>
      <c r="F13" s="352"/>
      <c r="G13" s="352"/>
      <c r="H13" s="353"/>
      <c r="I13" s="1978">
        <f>SUM(I14,I15)</f>
        <v>0</v>
      </c>
    </row>
    <row r="14" spans="1:12" s="25" customFormat="1" ht="18" customHeight="1">
      <c r="A14" s="350"/>
      <c r="B14" s="351"/>
      <c r="C14" s="352" t="s">
        <v>512</v>
      </c>
      <c r="D14" s="352" t="s">
        <v>513</v>
      </c>
      <c r="E14" s="352"/>
      <c r="F14" s="352"/>
      <c r="G14" s="352"/>
      <c r="H14" s="353"/>
      <c r="I14" s="1977">
        <v>0</v>
      </c>
    </row>
    <row r="15" spans="1:12" s="25" customFormat="1" ht="18" customHeight="1">
      <c r="A15" s="350"/>
      <c r="B15" s="351"/>
      <c r="C15" s="352" t="s">
        <v>514</v>
      </c>
      <c r="D15" s="352" t="s">
        <v>515</v>
      </c>
      <c r="E15" s="352"/>
      <c r="F15" s="352"/>
      <c r="G15" s="352"/>
      <c r="H15" s="353"/>
      <c r="I15" s="1977">
        <v>0</v>
      </c>
    </row>
    <row r="16" spans="1:12" s="25" customFormat="1" ht="18" customHeight="1">
      <c r="A16" s="350"/>
      <c r="B16" s="352" t="s">
        <v>385</v>
      </c>
      <c r="C16" s="352" t="s">
        <v>516</v>
      </c>
      <c r="D16" s="352"/>
      <c r="E16" s="352"/>
      <c r="F16" s="352"/>
      <c r="G16" s="352"/>
      <c r="H16" s="353"/>
      <c r="I16" s="1978">
        <f>SUM(I17,I18)</f>
        <v>0</v>
      </c>
    </row>
    <row r="17" spans="1:9" s="25" customFormat="1" ht="18" customHeight="1">
      <c r="A17" s="350"/>
      <c r="B17" s="352"/>
      <c r="C17" s="352" t="s">
        <v>517</v>
      </c>
      <c r="D17" s="352" t="s">
        <v>518</v>
      </c>
      <c r="E17" s="352"/>
      <c r="F17" s="352"/>
      <c r="G17" s="352"/>
      <c r="H17" s="353"/>
      <c r="I17" s="1977">
        <v>0</v>
      </c>
    </row>
    <row r="18" spans="1:9" s="25" customFormat="1" ht="18" customHeight="1">
      <c r="A18" s="350"/>
      <c r="B18" s="352"/>
      <c r="C18" s="352" t="s">
        <v>519</v>
      </c>
      <c r="D18" s="352" t="s">
        <v>520</v>
      </c>
      <c r="E18" s="352"/>
      <c r="F18" s="352"/>
      <c r="G18" s="352"/>
      <c r="H18" s="353"/>
      <c r="I18" s="1977">
        <v>0</v>
      </c>
    </row>
    <row r="19" spans="1:9" s="25" customFormat="1" ht="18" customHeight="1">
      <c r="A19" s="354"/>
      <c r="B19" s="355" t="s">
        <v>386</v>
      </c>
      <c r="C19" s="355" t="s">
        <v>521</v>
      </c>
      <c r="D19" s="355"/>
      <c r="E19" s="355"/>
      <c r="F19" s="355"/>
      <c r="G19" s="355"/>
      <c r="H19" s="356"/>
      <c r="I19" s="1977">
        <v>0</v>
      </c>
    </row>
    <row r="20" spans="1:9" s="26" customFormat="1" ht="18" customHeight="1">
      <c r="A20" s="357" t="s">
        <v>388</v>
      </c>
      <c r="B20" s="358" t="s">
        <v>202</v>
      </c>
      <c r="C20" s="358"/>
      <c r="D20" s="358"/>
      <c r="E20" s="358"/>
      <c r="F20" s="358"/>
      <c r="G20" s="358"/>
      <c r="H20" s="359"/>
      <c r="I20" s="1976">
        <f>SUM(I21,I25,I29,I31)</f>
        <v>0</v>
      </c>
    </row>
    <row r="21" spans="1:9" s="25" customFormat="1" ht="18" customHeight="1">
      <c r="A21" s="360"/>
      <c r="B21" s="361" t="s">
        <v>390</v>
      </c>
      <c r="C21" s="361" t="s">
        <v>522</v>
      </c>
      <c r="D21" s="361"/>
      <c r="E21" s="361"/>
      <c r="F21" s="361"/>
      <c r="G21" s="361"/>
      <c r="H21" s="362"/>
      <c r="I21" s="1979">
        <f>SUM(I22,I23,I24)</f>
        <v>0</v>
      </c>
    </row>
    <row r="22" spans="1:9" s="25" customFormat="1" ht="18" customHeight="1">
      <c r="A22" s="350"/>
      <c r="B22" s="351"/>
      <c r="C22" s="352" t="s">
        <v>523</v>
      </c>
      <c r="D22" s="352" t="s">
        <v>524</v>
      </c>
      <c r="E22" s="352"/>
      <c r="F22" s="352"/>
      <c r="G22" s="352"/>
      <c r="H22" s="353"/>
      <c r="I22" s="1977">
        <v>0</v>
      </c>
    </row>
    <row r="23" spans="1:9" s="25" customFormat="1" ht="18" customHeight="1">
      <c r="A23" s="350"/>
      <c r="B23" s="351"/>
      <c r="C23" s="352" t="s">
        <v>525</v>
      </c>
      <c r="D23" s="352" t="s">
        <v>526</v>
      </c>
      <c r="E23" s="352"/>
      <c r="F23" s="352"/>
      <c r="G23" s="352"/>
      <c r="H23" s="353"/>
      <c r="I23" s="1977">
        <v>0</v>
      </c>
    </row>
    <row r="24" spans="1:9" s="25" customFormat="1" ht="18" customHeight="1">
      <c r="A24" s="350"/>
      <c r="B24" s="351"/>
      <c r="C24" s="352" t="s">
        <v>527</v>
      </c>
      <c r="D24" s="352" t="s">
        <v>528</v>
      </c>
      <c r="E24" s="352"/>
      <c r="F24" s="352"/>
      <c r="G24" s="352"/>
      <c r="H24" s="353"/>
      <c r="I24" s="1977">
        <v>0</v>
      </c>
    </row>
    <row r="25" spans="1:9" s="25" customFormat="1" ht="18" customHeight="1">
      <c r="A25" s="350"/>
      <c r="B25" s="352" t="s">
        <v>391</v>
      </c>
      <c r="C25" s="352" t="s">
        <v>529</v>
      </c>
      <c r="D25" s="352"/>
      <c r="E25" s="352"/>
      <c r="F25" s="352"/>
      <c r="G25" s="352"/>
      <c r="H25" s="353"/>
      <c r="I25" s="1978">
        <f>SUM(I26:I28)</f>
        <v>0</v>
      </c>
    </row>
    <row r="26" spans="1:9" s="25" customFormat="1" ht="18" customHeight="1">
      <c r="A26" s="350"/>
      <c r="B26" s="351"/>
      <c r="C26" s="352" t="s">
        <v>530</v>
      </c>
      <c r="D26" s="352" t="s">
        <v>531</v>
      </c>
      <c r="E26" s="352"/>
      <c r="F26" s="352"/>
      <c r="G26" s="352"/>
      <c r="H26" s="353"/>
      <c r="I26" s="1977">
        <v>0</v>
      </c>
    </row>
    <row r="27" spans="1:9" s="25" customFormat="1" ht="18" customHeight="1">
      <c r="A27" s="350"/>
      <c r="B27" s="351"/>
      <c r="C27" s="352" t="s">
        <v>532</v>
      </c>
      <c r="D27" s="352" t="s">
        <v>533</v>
      </c>
      <c r="E27" s="352"/>
      <c r="F27" s="352"/>
      <c r="G27" s="352"/>
      <c r="H27" s="353"/>
      <c r="I27" s="1977">
        <v>0</v>
      </c>
    </row>
    <row r="28" spans="1:9" s="25" customFormat="1" ht="18" customHeight="1">
      <c r="A28" s="350"/>
      <c r="B28" s="351"/>
      <c r="C28" s="352" t="s">
        <v>534</v>
      </c>
      <c r="D28" s="352" t="s">
        <v>535</v>
      </c>
      <c r="E28" s="352"/>
      <c r="F28" s="352"/>
      <c r="G28" s="352"/>
      <c r="H28" s="353"/>
      <c r="I28" s="1977">
        <v>0</v>
      </c>
    </row>
    <row r="29" spans="1:9" s="25" customFormat="1" ht="18" customHeight="1">
      <c r="A29" s="350"/>
      <c r="B29" s="352" t="s">
        <v>392</v>
      </c>
      <c r="C29" s="352" t="s">
        <v>536</v>
      </c>
      <c r="D29" s="352"/>
      <c r="E29" s="352"/>
      <c r="F29" s="352"/>
      <c r="G29" s="352"/>
      <c r="H29" s="353"/>
      <c r="I29" s="1978">
        <f>SUM(I30)</f>
        <v>0</v>
      </c>
    </row>
    <row r="30" spans="1:9" s="27" customFormat="1" ht="18" customHeight="1">
      <c r="A30" s="350"/>
      <c r="B30" s="351"/>
      <c r="C30" s="352" t="s">
        <v>537</v>
      </c>
      <c r="D30" s="352" t="s">
        <v>518</v>
      </c>
      <c r="E30" s="352"/>
      <c r="F30" s="352"/>
      <c r="G30" s="352"/>
      <c r="H30" s="353"/>
      <c r="I30" s="1980">
        <v>0</v>
      </c>
    </row>
    <row r="31" spans="1:9" s="25" customFormat="1" ht="18" customHeight="1">
      <c r="A31" s="363"/>
      <c r="B31" s="364" t="s">
        <v>393</v>
      </c>
      <c r="C31" s="364" t="s">
        <v>461</v>
      </c>
      <c r="D31" s="364"/>
      <c r="E31" s="364"/>
      <c r="F31" s="364"/>
      <c r="G31" s="364"/>
      <c r="H31" s="365"/>
      <c r="I31" s="1981">
        <v>0</v>
      </c>
    </row>
    <row r="32" spans="1:9" s="25" customFormat="1" ht="18" customHeight="1">
      <c r="A32" s="366" t="s">
        <v>538</v>
      </c>
      <c r="B32" s="367"/>
      <c r="C32" s="367"/>
      <c r="D32" s="367"/>
      <c r="E32" s="367"/>
      <c r="F32" s="367"/>
      <c r="G32" s="367"/>
      <c r="H32" s="368"/>
      <c r="I32" s="1975">
        <f>I9-I20</f>
        <v>0</v>
      </c>
    </row>
    <row r="33" spans="1:10" s="28" customFormat="1" ht="34.5" customHeight="1">
      <c r="A33" s="369" t="s">
        <v>539</v>
      </c>
      <c r="B33" s="2899" t="s">
        <v>540</v>
      </c>
      <c r="C33" s="2899"/>
      <c r="D33" s="2899"/>
      <c r="E33" s="2899"/>
      <c r="F33" s="2899"/>
      <c r="G33" s="2899"/>
      <c r="H33" s="2900"/>
      <c r="I33" s="1976"/>
    </row>
    <row r="34" spans="1:10" s="29" customFormat="1" ht="18" customHeight="1">
      <c r="A34" s="370"/>
      <c r="B34" s="371" t="s">
        <v>541</v>
      </c>
      <c r="C34" s="371" t="s">
        <v>542</v>
      </c>
      <c r="D34" s="371"/>
      <c r="E34" s="371"/>
      <c r="F34" s="371"/>
      <c r="G34" s="371"/>
      <c r="H34" s="372"/>
      <c r="I34" s="1982">
        <v>0</v>
      </c>
    </row>
    <row r="35" spans="1:10" s="29" customFormat="1" ht="18" customHeight="1">
      <c r="A35" s="373"/>
      <c r="B35" s="374" t="s">
        <v>543</v>
      </c>
      <c r="C35" s="374" t="s">
        <v>544</v>
      </c>
      <c r="D35" s="374"/>
      <c r="E35" s="374"/>
      <c r="F35" s="374"/>
      <c r="G35" s="374"/>
      <c r="H35" s="375"/>
      <c r="I35" s="1983">
        <v>0</v>
      </c>
    </row>
    <row r="36" spans="1:10" s="29" customFormat="1" ht="21" customHeight="1" thickBot="1">
      <c r="A36" s="2901" t="s">
        <v>545</v>
      </c>
      <c r="B36" s="2902"/>
      <c r="C36" s="2902"/>
      <c r="D36" s="2902"/>
      <c r="E36" s="2902"/>
      <c r="F36" s="2902"/>
      <c r="G36" s="2902"/>
      <c r="H36" s="2903"/>
      <c r="I36" s="1984">
        <f>I34-I35</f>
        <v>0</v>
      </c>
    </row>
    <row r="37" spans="1:10" s="178" customFormat="1" ht="20.100000000000001" customHeight="1" thickTop="1">
      <c r="A37" s="175" t="s">
        <v>465</v>
      </c>
      <c r="B37" s="176"/>
      <c r="C37" s="176"/>
      <c r="D37" s="176"/>
      <c r="E37" s="177"/>
      <c r="F37" s="177"/>
      <c r="G37" s="177"/>
      <c r="I37" s="1985"/>
    </row>
    <row r="38" spans="1:10" s="178" customFormat="1" ht="18.75" customHeight="1">
      <c r="A38" s="179" t="s">
        <v>397</v>
      </c>
      <c r="B38" s="176"/>
      <c r="C38" s="176"/>
      <c r="D38" s="176"/>
      <c r="E38" s="177"/>
      <c r="H38" s="180"/>
      <c r="I38" s="1985"/>
    </row>
    <row r="39" spans="1:10" s="178" customFormat="1" ht="17.25" customHeight="1">
      <c r="A39" s="174"/>
      <c r="B39" s="174"/>
      <c r="C39" s="174"/>
      <c r="D39" s="174"/>
      <c r="H39" s="2890" t="s">
        <v>496</v>
      </c>
      <c r="I39" s="2890"/>
      <c r="J39" s="180"/>
    </row>
    <row r="40" spans="1:10" s="178" customFormat="1" ht="15.75" customHeight="1">
      <c r="A40" s="174"/>
      <c r="E40" s="174"/>
      <c r="H40" s="2891" t="s">
        <v>546</v>
      </c>
      <c r="I40" s="2892"/>
      <c r="J40" s="1295"/>
    </row>
    <row r="41" spans="1:10" s="178" customFormat="1" ht="15" customHeight="1">
      <c r="A41" s="174"/>
      <c r="C41" s="2889" t="s">
        <v>399</v>
      </c>
      <c r="D41" s="2889"/>
      <c r="E41" s="174"/>
      <c r="G41" s="1296"/>
      <c r="H41" s="2889" t="s">
        <v>1863</v>
      </c>
      <c r="I41" s="2889"/>
      <c r="J41" s="1297"/>
    </row>
    <row r="42" spans="1:10" s="844" customFormat="1" ht="18" customHeight="1">
      <c r="C42" s="2892" t="s">
        <v>402</v>
      </c>
      <c r="D42" s="2892"/>
      <c r="G42" s="1298"/>
      <c r="H42" s="2892" t="s">
        <v>547</v>
      </c>
      <c r="I42" s="2892"/>
      <c r="J42" s="1295"/>
    </row>
    <row r="43" spans="1:10" s="844" customFormat="1" ht="18" customHeight="1">
      <c r="A43" s="1374"/>
      <c r="B43" s="1374"/>
      <c r="C43" s="1374"/>
      <c r="D43" s="1374"/>
      <c r="E43" s="1374"/>
      <c r="F43" s="1374"/>
      <c r="G43" s="1374"/>
      <c r="H43" s="1374"/>
      <c r="I43" s="1986"/>
      <c r="J43" s="1374"/>
    </row>
    <row r="44" spans="1:10" s="844" customFormat="1" ht="18" customHeight="1">
      <c r="A44" s="1374"/>
      <c r="B44" s="1380" t="s">
        <v>1877</v>
      </c>
      <c r="C44" s="1374"/>
      <c r="D44" s="1374"/>
      <c r="E44" s="1374"/>
      <c r="F44" s="1374"/>
      <c r="G44" s="1374"/>
      <c r="H44" s="1374"/>
      <c r="I44" s="1986"/>
      <c r="J44" s="1374"/>
    </row>
    <row r="45" spans="1:10" s="1299" customFormat="1" ht="18" customHeight="1">
      <c r="A45" s="1380"/>
      <c r="B45" s="2894"/>
      <c r="C45" s="2894"/>
      <c r="D45" s="2894"/>
      <c r="E45" s="1374"/>
      <c r="F45" s="1374"/>
      <c r="G45" s="1374"/>
      <c r="H45" s="1374"/>
      <c r="I45" s="1987"/>
      <c r="J45" s="1375"/>
    </row>
    <row r="46" spans="1:10" hidden="1">
      <c r="A46" s="174"/>
      <c r="B46" s="174"/>
      <c r="C46" s="174"/>
      <c r="D46" s="174"/>
      <c r="E46" s="174"/>
      <c r="F46" s="174"/>
      <c r="G46" s="174"/>
      <c r="H46" s="174"/>
      <c r="I46" s="1988"/>
    </row>
    <row r="47" spans="1:10" hidden="1">
      <c r="A47" s="814"/>
      <c r="B47" s="814"/>
      <c r="C47" s="814"/>
      <c r="D47" s="814"/>
      <c r="E47" s="814"/>
      <c r="F47" s="814"/>
      <c r="G47" s="814"/>
      <c r="H47" s="814"/>
      <c r="I47" s="1652"/>
    </row>
    <row r="48" spans="1:10" hidden="1">
      <c r="A48" s="814"/>
      <c r="B48" s="814"/>
      <c r="C48" s="814"/>
      <c r="D48" s="814"/>
      <c r="E48" s="814"/>
      <c r="F48" s="814"/>
      <c r="G48" s="814"/>
      <c r="H48" s="814"/>
      <c r="I48" s="1652"/>
    </row>
    <row r="49" hidden="1"/>
    <row r="50" hidden="1"/>
    <row r="51" hidden="1"/>
    <row r="52" hidden="1"/>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row r="65537" hidden="1"/>
    <row r="65538" hidden="1"/>
    <row r="65539" hidden="1"/>
    <row r="65540" hidden="1"/>
    <row r="65541" hidden="1"/>
    <row r="65542" hidden="1"/>
    <row r="65543" hidden="1"/>
    <row r="65544" hidden="1"/>
    <row r="65545" hidden="1"/>
    <row r="65546" hidden="1"/>
    <row r="65547" hidden="1"/>
    <row r="65548" hidden="1"/>
    <row r="65549" hidden="1"/>
    <row r="65550" hidden="1"/>
    <row r="65551" hidden="1"/>
    <row r="65552" hidden="1"/>
    <row r="65553" hidden="1"/>
    <row r="65554" hidden="1"/>
    <row r="65555" hidden="1"/>
    <row r="65556" hidden="1"/>
    <row r="65557" hidden="1"/>
    <row r="65558" hidden="1"/>
    <row r="65559" hidden="1"/>
    <row r="65560" hidden="1"/>
    <row r="65561" hidden="1"/>
    <row r="65562" hidden="1"/>
    <row r="65563" hidden="1"/>
    <row r="65564" hidden="1"/>
    <row r="65565" hidden="1"/>
    <row r="65566" hidden="1"/>
    <row r="65567" hidden="1"/>
    <row r="65568" hidden="1"/>
    <row r="65569" hidden="1"/>
    <row r="65570" hidden="1"/>
    <row r="65571" hidden="1"/>
    <row r="65572" hidden="1"/>
    <row r="65573" hidden="1"/>
    <row r="65574" hidden="1"/>
    <row r="65575" hidden="1"/>
    <row r="65576" hidden="1"/>
    <row r="65577" hidden="1"/>
    <row r="65578" hidden="1"/>
    <row r="65579" hidden="1"/>
    <row r="65580" hidden="1"/>
    <row r="65581" hidden="1"/>
    <row r="65582" hidden="1"/>
    <row r="65583" hidden="1"/>
    <row r="65584" hidden="1"/>
    <row r="65585" hidden="1"/>
    <row r="65586" hidden="1"/>
    <row r="65587" hidden="1"/>
    <row r="65588" hidden="1"/>
    <row r="65589" hidden="1"/>
    <row r="65590" hidden="1"/>
    <row r="65591" hidden="1"/>
    <row r="65592" hidden="1"/>
    <row r="65593" hidden="1"/>
    <row r="65594" hidden="1"/>
    <row r="65595" hidden="1"/>
    <row r="65596" hidden="1"/>
    <row r="65597" hidden="1"/>
    <row r="65598" hidden="1"/>
    <row r="65599" hidden="1"/>
    <row r="65600" hidden="1"/>
    <row r="65601" hidden="1"/>
    <row r="65602" hidden="1"/>
    <row r="65603" hidden="1"/>
    <row r="65604" hidden="1"/>
    <row r="65605" hidden="1"/>
    <row r="65606" hidden="1"/>
    <row r="65607" hidden="1"/>
    <row r="65608" hidden="1"/>
    <row r="65609" hidden="1"/>
    <row r="65610" hidden="1"/>
    <row r="65611" hidden="1"/>
    <row r="65612" hidden="1"/>
    <row r="65613" hidden="1"/>
    <row r="65614" hidden="1"/>
    <row r="65615" hidden="1"/>
    <row r="65616" hidden="1"/>
    <row r="65617" hidden="1"/>
    <row r="65618" hidden="1"/>
    <row r="65619" hidden="1"/>
    <row r="65620" hidden="1"/>
    <row r="65621" hidden="1"/>
    <row r="65622" hidden="1"/>
    <row r="65623" hidden="1"/>
    <row r="65624" hidden="1"/>
    <row r="65625" hidden="1"/>
    <row r="65626" hidden="1"/>
    <row r="65627" hidden="1"/>
    <row r="65628" hidden="1"/>
    <row r="65629" hidden="1"/>
    <row r="65630" hidden="1"/>
    <row r="65631" hidden="1"/>
    <row r="65632" hidden="1"/>
    <row r="65633" hidden="1"/>
    <row r="65634" hidden="1"/>
    <row r="65635" hidden="1"/>
    <row r="65636" hidden="1"/>
    <row r="65637" hidden="1"/>
    <row r="65638" hidden="1"/>
    <row r="65639" hidden="1"/>
    <row r="65640" hidden="1"/>
    <row r="65641" hidden="1"/>
    <row r="65642" hidden="1"/>
    <row r="65643" hidden="1"/>
    <row r="65644" hidden="1"/>
    <row r="65645" hidden="1"/>
    <row r="65646" hidden="1"/>
    <row r="65647" hidden="1"/>
    <row r="65648" hidden="1"/>
    <row r="65649" hidden="1"/>
    <row r="65650" hidden="1"/>
    <row r="65651" hidden="1"/>
    <row r="65652" hidden="1"/>
    <row r="65653" hidden="1"/>
    <row r="65654" hidden="1"/>
    <row r="65655" hidden="1"/>
    <row r="65656" hidden="1"/>
    <row r="65657" hidden="1"/>
    <row r="65658" hidden="1"/>
    <row r="65659" hidden="1"/>
    <row r="65660" hidden="1"/>
    <row r="65661" hidden="1"/>
    <row r="65662" hidden="1"/>
    <row r="65663" hidden="1"/>
    <row r="65664" hidden="1"/>
    <row r="65665" hidden="1"/>
    <row r="65666" hidden="1"/>
    <row r="65667" hidden="1"/>
    <row r="65668" hidden="1"/>
    <row r="65669" hidden="1"/>
    <row r="65670" hidden="1"/>
    <row r="65671" hidden="1"/>
    <row r="65672" hidden="1"/>
    <row r="65673" hidden="1"/>
    <row r="65674" hidden="1"/>
    <row r="65675" hidden="1"/>
    <row r="65676" hidden="1"/>
    <row r="65677" hidden="1"/>
    <row r="65678" hidden="1"/>
    <row r="65679" hidden="1"/>
    <row r="65680" hidden="1"/>
    <row r="65681" hidden="1"/>
    <row r="65682" hidden="1"/>
    <row r="65683" hidden="1"/>
    <row r="65684" hidden="1"/>
    <row r="65685" hidden="1"/>
    <row r="65686" hidden="1"/>
    <row r="65687" hidden="1"/>
    <row r="65688" hidden="1"/>
    <row r="65689" hidden="1"/>
    <row r="65690" hidden="1"/>
    <row r="65691" hidden="1"/>
    <row r="65692" hidden="1"/>
    <row r="65693" hidden="1"/>
    <row r="65694" hidden="1"/>
    <row r="65695" hidden="1"/>
    <row r="65696" hidden="1"/>
    <row r="65697" hidden="1"/>
    <row r="65698" hidden="1"/>
    <row r="65699" hidden="1"/>
    <row r="65700" hidden="1"/>
    <row r="65701" hidden="1"/>
    <row r="65702" hidden="1"/>
    <row r="65703" hidden="1"/>
    <row r="65704" hidden="1"/>
    <row r="65705" hidden="1"/>
    <row r="65706" hidden="1"/>
    <row r="65707" hidden="1"/>
    <row r="65708" hidden="1"/>
    <row r="65709" hidden="1"/>
    <row r="65710" hidden="1"/>
    <row r="65711" hidden="1"/>
    <row r="65712" hidden="1"/>
    <row r="65713" hidden="1"/>
    <row r="65714" hidden="1"/>
    <row r="65715" hidden="1"/>
    <row r="65716" hidden="1"/>
    <row r="65717" hidden="1"/>
    <row r="65718" hidden="1"/>
    <row r="65719" hidden="1"/>
    <row r="65720" hidden="1"/>
    <row r="65721" hidden="1"/>
    <row r="65722" hidden="1"/>
    <row r="65723" hidden="1"/>
    <row r="65724" hidden="1"/>
    <row r="65725" hidden="1"/>
    <row r="65726" hidden="1"/>
    <row r="65727" hidden="1"/>
    <row r="65728" hidden="1"/>
    <row r="65729" hidden="1"/>
    <row r="65730" hidden="1"/>
    <row r="65731" hidden="1"/>
    <row r="65732" hidden="1"/>
    <row r="65733" hidden="1"/>
    <row r="65734" hidden="1"/>
    <row r="65735" hidden="1"/>
    <row r="65736" hidden="1"/>
    <row r="65737" hidden="1"/>
    <row r="65738" hidden="1"/>
    <row r="65739" hidden="1"/>
    <row r="65740" hidden="1"/>
    <row r="65741" hidden="1"/>
    <row r="65742" hidden="1"/>
    <row r="65743" hidden="1"/>
    <row r="65744" hidden="1"/>
    <row r="65745" hidden="1"/>
  </sheetData>
  <sheetProtection password="C5F7" sheet="1" objects="1" scenarios="1" formatCells="0" formatColumns="0" formatRows="0"/>
  <protectedRanges>
    <protectedRange password="CF0E" sqref="G42" name="Range27_1"/>
  </protectedRanges>
  <mergeCells count="16">
    <mergeCell ref="B45:D45"/>
    <mergeCell ref="H7:I7"/>
    <mergeCell ref="A8:H8"/>
    <mergeCell ref="B33:H33"/>
    <mergeCell ref="A36:H36"/>
    <mergeCell ref="C42:D42"/>
    <mergeCell ref="H42:I42"/>
    <mergeCell ref="A1:I1"/>
    <mergeCell ref="A2:I2"/>
    <mergeCell ref="A3:I3"/>
    <mergeCell ref="A4:I4"/>
    <mergeCell ref="C41:D41"/>
    <mergeCell ref="H39:I39"/>
    <mergeCell ref="H40:I40"/>
    <mergeCell ref="H41:I41"/>
    <mergeCell ref="A5:B5"/>
  </mergeCells>
  <phoneticPr fontId="2" type="noConversion"/>
  <dataValidations count="1">
    <dataValidation type="decimal" operator="greaterThanOrEqual" allowBlank="1" showInputMessage="1" showErrorMessage="1" errorTitle="Validation Rule" error="Allow only number" sqref="I11 I12 I14 I15 I17 I18 I19 I22 I23 I24 I26 I27 I28 I30 I31 I34 I35">
      <formula1>0</formula1>
    </dataValidation>
  </dataValidations>
  <pageMargins left="0.6" right="0.37" top="0.98" bottom="0" header="0.17" footer="0"/>
  <pageSetup scale="75" orientation="portrait" r:id="rId1"/>
  <headerFooter alignWithMargins="0">
    <oddFooter>&amp;L&amp;D</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theme="0"/>
  </sheetPr>
  <dimension ref="A1:J66"/>
  <sheetViews>
    <sheetView showGridLines="0" topLeftCell="A28" zoomScale="115" zoomScaleNormal="115" workbookViewId="0">
      <selection activeCell="F29" sqref="F29"/>
    </sheetView>
  </sheetViews>
  <sheetFormatPr defaultColWidth="0" defaultRowHeight="12.75" zeroHeight="1"/>
  <cols>
    <col min="1" max="4" width="5" style="183" customWidth="1"/>
    <col min="5" max="5" width="47" style="183" customWidth="1"/>
    <col min="6" max="6" width="10.7109375" style="183" customWidth="1"/>
    <col min="7" max="7" width="14.140625" style="183" customWidth="1"/>
    <col min="8" max="8" width="16" style="183" customWidth="1"/>
    <col min="9" max="9" width="10.7109375" style="183" customWidth="1"/>
    <col min="10" max="10" width="9.140625" style="183" customWidth="1"/>
    <col min="11" max="16384" width="0" style="183" hidden="1"/>
  </cols>
  <sheetData>
    <row r="1" spans="1:10" s="191" customFormat="1" ht="29.25" customHeight="1">
      <c r="A1" s="2911" t="s">
        <v>1846</v>
      </c>
      <c r="B1" s="2911"/>
      <c r="C1" s="2911"/>
      <c r="D1" s="2911"/>
      <c r="E1" s="2911"/>
      <c r="F1" s="2911"/>
      <c r="G1" s="2911"/>
      <c r="H1" s="2911"/>
      <c r="I1" s="2911"/>
    </row>
    <row r="2" spans="1:10" s="1301" customFormat="1" ht="18.75" customHeight="1">
      <c r="A2" s="2910" t="s">
        <v>1847</v>
      </c>
      <c r="B2" s="2910"/>
      <c r="C2" s="2910"/>
      <c r="D2" s="2910"/>
      <c r="E2" s="2910"/>
      <c r="F2" s="2910"/>
      <c r="G2" s="2910"/>
      <c r="H2" s="2910"/>
      <c r="I2" s="2910"/>
    </row>
    <row r="3" spans="1:10" s="267" customFormat="1" ht="14.25" customHeight="1">
      <c r="A3" s="2912" t="s">
        <v>428</v>
      </c>
      <c r="B3" s="2912"/>
      <c r="C3" s="2912"/>
      <c r="D3" s="2912"/>
      <c r="E3" s="2912"/>
      <c r="F3" s="2912"/>
      <c r="G3" s="2912"/>
      <c r="H3" s="2912"/>
      <c r="I3" s="2912"/>
    </row>
    <row r="4" spans="1:10">
      <c r="A4" s="2715" t="s">
        <v>360</v>
      </c>
      <c r="B4" s="2715"/>
      <c r="C4" s="2715"/>
      <c r="D4" s="2715"/>
      <c r="E4" s="2715"/>
      <c r="F4" s="2715"/>
      <c r="G4" s="2715"/>
      <c r="H4" s="2715"/>
      <c r="I4" s="2715"/>
    </row>
    <row r="5" spans="1:10">
      <c r="A5" s="2914"/>
      <c r="B5" s="2914"/>
      <c r="C5" s="846"/>
      <c r="D5" s="846"/>
      <c r="E5" s="846"/>
      <c r="F5" s="846"/>
      <c r="G5" s="846"/>
      <c r="H5" s="846"/>
      <c r="I5" s="846"/>
    </row>
    <row r="6" spans="1:10" ht="16.5" customHeight="1">
      <c r="A6" s="1300" t="s">
        <v>607</v>
      </c>
      <c r="E6" s="396"/>
      <c r="H6" s="2913" t="s">
        <v>864</v>
      </c>
      <c r="I6" s="2913"/>
    </row>
    <row r="7" spans="1:10">
      <c r="A7" s="1260" t="s">
        <v>429</v>
      </c>
      <c r="F7" s="618" t="s">
        <v>62</v>
      </c>
      <c r="G7" s="618" t="s">
        <v>62</v>
      </c>
      <c r="H7" s="618" t="s">
        <v>62</v>
      </c>
      <c r="I7" s="618" t="s">
        <v>62</v>
      </c>
    </row>
    <row r="8" spans="1:10" ht="6" customHeight="1" thickBot="1">
      <c r="A8" s="236"/>
    </row>
    <row r="9" spans="1:10" s="1" customFormat="1" ht="17.25" customHeight="1" thickTop="1">
      <c r="A9" s="2907" t="s">
        <v>548</v>
      </c>
      <c r="B9" s="2908"/>
      <c r="C9" s="2908"/>
      <c r="D9" s="2908"/>
      <c r="E9" s="2909"/>
      <c r="F9" s="386" t="s">
        <v>480</v>
      </c>
      <c r="G9" s="386" t="s">
        <v>549</v>
      </c>
      <c r="H9" s="386" t="s">
        <v>550</v>
      </c>
      <c r="I9" s="387" t="s">
        <v>551</v>
      </c>
      <c r="J9" s="1" t="s">
        <v>843</v>
      </c>
    </row>
    <row r="10" spans="1:10" s="31" customFormat="1" ht="13.5" thickBot="1">
      <c r="A10" s="2904" t="s">
        <v>552</v>
      </c>
      <c r="B10" s="2905"/>
      <c r="C10" s="2905"/>
      <c r="D10" s="2905"/>
      <c r="E10" s="2906"/>
      <c r="F10" s="388" t="s">
        <v>553</v>
      </c>
      <c r="G10" s="388" t="s">
        <v>483</v>
      </c>
      <c r="H10" s="388" t="s">
        <v>554</v>
      </c>
      <c r="I10" s="389" t="s">
        <v>555</v>
      </c>
    </row>
    <row r="11" spans="1:10" s="31" customFormat="1" ht="7.5" customHeight="1">
      <c r="A11" s="32"/>
      <c r="B11" s="33"/>
      <c r="C11" s="33"/>
      <c r="D11" s="33"/>
      <c r="E11" s="34"/>
      <c r="F11" s="35"/>
      <c r="G11" s="35"/>
      <c r="H11" s="36"/>
      <c r="I11" s="37"/>
    </row>
    <row r="12" spans="1:10" s="31" customFormat="1" ht="15.75" customHeight="1">
      <c r="A12" s="38" t="s">
        <v>556</v>
      </c>
      <c r="B12" s="33"/>
      <c r="C12" s="33"/>
      <c r="D12" s="33"/>
      <c r="E12" s="39"/>
      <c r="F12" s="36"/>
      <c r="G12" s="36"/>
      <c r="H12" s="36"/>
      <c r="I12" s="37"/>
    </row>
    <row r="13" spans="1:10" s="31" customFormat="1" ht="7.5" customHeight="1">
      <c r="A13" s="40"/>
      <c r="B13" s="41"/>
      <c r="C13" s="41"/>
      <c r="D13" s="41"/>
      <c r="E13" s="42"/>
      <c r="F13" s="43"/>
      <c r="G13" s="43"/>
      <c r="H13" s="43"/>
      <c r="I13" s="44"/>
    </row>
    <row r="14" spans="1:10" customFormat="1" ht="15" customHeight="1">
      <c r="A14" s="376" t="s">
        <v>380</v>
      </c>
      <c r="B14" s="377" t="s">
        <v>557</v>
      </c>
      <c r="C14" s="378"/>
      <c r="D14" s="378"/>
      <c r="E14" s="379"/>
      <c r="F14" s="395"/>
      <c r="G14" s="395"/>
      <c r="H14" s="395"/>
      <c r="I14" s="395"/>
    </row>
    <row r="15" spans="1:10" customFormat="1" ht="15" customHeight="1">
      <c r="A15" s="376" t="s">
        <v>388</v>
      </c>
      <c r="B15" s="377" t="s">
        <v>608</v>
      </c>
      <c r="C15" s="378"/>
      <c r="D15" s="378"/>
      <c r="E15" s="379"/>
      <c r="F15" s="395"/>
      <c r="G15" s="395"/>
      <c r="H15" s="395"/>
      <c r="I15" s="395"/>
    </row>
    <row r="16" spans="1:10" customFormat="1" ht="15" customHeight="1">
      <c r="A16" s="376" t="s">
        <v>539</v>
      </c>
      <c r="B16" s="377" t="s">
        <v>198</v>
      </c>
      <c r="C16" s="378"/>
      <c r="D16" s="378"/>
      <c r="E16" s="379"/>
      <c r="F16" s="172"/>
      <c r="G16" s="172"/>
      <c r="H16" s="172"/>
      <c r="I16" s="173"/>
    </row>
    <row r="17" spans="1:9" customFormat="1" ht="15" customHeight="1">
      <c r="A17" s="380"/>
      <c r="B17" s="381" t="s">
        <v>541</v>
      </c>
      <c r="C17" s="377" t="s">
        <v>558</v>
      </c>
      <c r="D17" s="377"/>
      <c r="E17" s="379"/>
      <c r="F17" s="395"/>
      <c r="G17" s="395"/>
      <c r="H17" s="395"/>
      <c r="I17" s="395"/>
    </row>
    <row r="18" spans="1:9" customFormat="1" ht="15" customHeight="1">
      <c r="A18" s="380"/>
      <c r="B18" s="381" t="s">
        <v>543</v>
      </c>
      <c r="C18" s="377" t="s">
        <v>559</v>
      </c>
      <c r="D18" s="377"/>
      <c r="E18" s="379"/>
      <c r="F18" s="395"/>
      <c r="G18" s="395"/>
      <c r="H18" s="395"/>
      <c r="I18" s="395"/>
    </row>
    <row r="19" spans="1:9" customFormat="1" ht="15" customHeight="1">
      <c r="A19" s="380"/>
      <c r="B19" s="381" t="s">
        <v>560</v>
      </c>
      <c r="C19" s="377" t="s">
        <v>561</v>
      </c>
      <c r="D19" s="377"/>
      <c r="E19" s="379"/>
      <c r="F19" s="395"/>
      <c r="G19" s="395"/>
      <c r="H19" s="395"/>
      <c r="I19" s="395"/>
    </row>
    <row r="20" spans="1:9" customFormat="1" ht="15" customHeight="1">
      <c r="A20" s="380"/>
      <c r="B20" s="381" t="s">
        <v>562</v>
      </c>
      <c r="C20" s="377" t="s">
        <v>563</v>
      </c>
      <c r="D20" s="377"/>
      <c r="E20" s="379"/>
      <c r="F20" s="395"/>
      <c r="G20" s="395"/>
      <c r="H20" s="395"/>
      <c r="I20" s="395"/>
    </row>
    <row r="21" spans="1:9" customFormat="1" ht="15" customHeight="1">
      <c r="A21" s="380"/>
      <c r="B21" s="381" t="s">
        <v>564</v>
      </c>
      <c r="C21" s="377" t="s">
        <v>565</v>
      </c>
      <c r="D21" s="377"/>
      <c r="E21" s="379"/>
      <c r="F21" s="395"/>
      <c r="G21" s="395"/>
      <c r="H21" s="395"/>
      <c r="I21" s="395"/>
    </row>
    <row r="22" spans="1:9" customFormat="1" ht="15" customHeight="1">
      <c r="A22" s="382" t="s">
        <v>566</v>
      </c>
      <c r="B22" s="383" t="s">
        <v>567</v>
      </c>
      <c r="C22" s="384"/>
      <c r="D22" s="384"/>
      <c r="E22" s="385"/>
      <c r="F22" s="395"/>
      <c r="G22" s="395"/>
      <c r="H22" s="395"/>
      <c r="I22" s="395"/>
    </row>
    <row r="23" spans="1:9" customFormat="1" ht="7.5" customHeight="1">
      <c r="A23" s="45"/>
      <c r="B23" s="46"/>
      <c r="C23" s="46"/>
      <c r="D23" s="46"/>
      <c r="E23" s="47"/>
      <c r="F23" s="48"/>
      <c r="G23" s="48"/>
      <c r="H23" s="48"/>
      <c r="I23" s="49"/>
    </row>
    <row r="24" spans="1:9" customFormat="1" ht="15.75" customHeight="1">
      <c r="A24" s="32" t="s">
        <v>568</v>
      </c>
      <c r="B24" s="46"/>
      <c r="C24" s="46"/>
      <c r="D24" s="46"/>
      <c r="E24" s="47"/>
      <c r="F24" s="48"/>
      <c r="G24" s="48"/>
      <c r="H24" s="48"/>
      <c r="I24" s="49"/>
    </row>
    <row r="25" spans="1:9" customFormat="1" ht="7.5" customHeight="1">
      <c r="A25" s="50"/>
      <c r="B25" s="51"/>
      <c r="C25" s="51"/>
      <c r="D25" s="51"/>
      <c r="E25" s="52"/>
      <c r="F25" s="53"/>
      <c r="G25" s="53"/>
      <c r="H25" s="53"/>
      <c r="I25" s="54"/>
    </row>
    <row r="26" spans="1:9" customFormat="1" ht="15" customHeight="1">
      <c r="A26" s="376" t="s">
        <v>380</v>
      </c>
      <c r="B26" s="377" t="s">
        <v>569</v>
      </c>
      <c r="C26" s="378"/>
      <c r="D26" s="378"/>
      <c r="E26" s="379"/>
      <c r="F26" s="395"/>
      <c r="G26" s="395"/>
      <c r="H26" s="395"/>
      <c r="I26" s="395"/>
    </row>
    <row r="27" spans="1:9" customFormat="1" ht="15" customHeight="1">
      <c r="A27" s="376" t="s">
        <v>388</v>
      </c>
      <c r="B27" s="377" t="s">
        <v>570</v>
      </c>
      <c r="C27" s="378"/>
      <c r="D27" s="378"/>
      <c r="E27" s="379"/>
      <c r="F27" s="395"/>
      <c r="G27" s="395"/>
      <c r="H27" s="395"/>
      <c r="I27" s="395"/>
    </row>
    <row r="28" spans="1:9" customFormat="1" ht="15" customHeight="1">
      <c r="A28" s="376" t="s">
        <v>539</v>
      </c>
      <c r="B28" s="377" t="s">
        <v>571</v>
      </c>
      <c r="C28" s="378"/>
      <c r="D28" s="378"/>
      <c r="E28" s="379"/>
      <c r="F28" s="395"/>
      <c r="G28" s="395"/>
      <c r="H28" s="395"/>
      <c r="I28" s="395"/>
    </row>
    <row r="29" spans="1:9" customFormat="1" ht="15" customHeight="1">
      <c r="A29" s="376" t="s">
        <v>566</v>
      </c>
      <c r="B29" s="377" t="s">
        <v>572</v>
      </c>
      <c r="C29" s="378"/>
      <c r="D29" s="378"/>
      <c r="E29" s="379"/>
      <c r="F29" s="172"/>
      <c r="G29" s="172"/>
      <c r="H29" s="172"/>
      <c r="I29" s="173"/>
    </row>
    <row r="30" spans="1:9" customFormat="1" ht="15" customHeight="1">
      <c r="A30" s="380"/>
      <c r="B30" s="381" t="s">
        <v>573</v>
      </c>
      <c r="C30" s="377" t="s">
        <v>558</v>
      </c>
      <c r="D30" s="377"/>
      <c r="E30" s="379"/>
      <c r="F30" s="395"/>
      <c r="G30" s="395"/>
      <c r="H30" s="395"/>
      <c r="I30" s="395"/>
    </row>
    <row r="31" spans="1:9" customFormat="1" ht="15" customHeight="1">
      <c r="A31" s="380"/>
      <c r="B31" s="381" t="s">
        <v>574</v>
      </c>
      <c r="C31" s="377" t="s">
        <v>575</v>
      </c>
      <c r="D31" s="377"/>
      <c r="E31" s="379"/>
      <c r="F31" s="395"/>
      <c r="G31" s="395"/>
      <c r="H31" s="395"/>
      <c r="I31" s="395"/>
    </row>
    <row r="32" spans="1:9" customFormat="1" ht="15" customHeight="1">
      <c r="A32" s="376" t="s">
        <v>576</v>
      </c>
      <c r="B32" s="377" t="s">
        <v>577</v>
      </c>
      <c r="C32" s="378"/>
      <c r="D32" s="378"/>
      <c r="E32" s="379"/>
      <c r="F32" s="172"/>
      <c r="G32" s="172"/>
      <c r="H32" s="172"/>
      <c r="I32" s="173"/>
    </row>
    <row r="33" spans="1:9" customFormat="1" ht="15" customHeight="1">
      <c r="A33" s="380"/>
      <c r="B33" s="381" t="s">
        <v>578</v>
      </c>
      <c r="C33" s="377" t="s">
        <v>579</v>
      </c>
      <c r="D33" s="377"/>
      <c r="E33" s="379"/>
      <c r="F33" s="172"/>
      <c r="G33" s="172"/>
      <c r="H33" s="172"/>
      <c r="I33" s="173"/>
    </row>
    <row r="34" spans="1:9" customFormat="1" ht="15" customHeight="1">
      <c r="A34" s="380"/>
      <c r="B34" s="378"/>
      <c r="C34" s="381" t="s">
        <v>580</v>
      </c>
      <c r="D34" s="390" t="s">
        <v>581</v>
      </c>
      <c r="E34" s="378"/>
      <c r="F34" s="395"/>
      <c r="G34" s="395"/>
      <c r="H34" s="395"/>
      <c r="I34" s="395"/>
    </row>
    <row r="35" spans="1:9" customFormat="1" ht="15" customHeight="1">
      <c r="A35" s="380"/>
      <c r="B35" s="378"/>
      <c r="C35" s="381" t="s">
        <v>582</v>
      </c>
      <c r="D35" s="390" t="s">
        <v>565</v>
      </c>
      <c r="E35" s="378"/>
      <c r="F35" s="395"/>
      <c r="G35" s="395"/>
      <c r="H35" s="395"/>
      <c r="I35" s="395"/>
    </row>
    <row r="36" spans="1:9" customFormat="1" ht="15" customHeight="1">
      <c r="A36" s="380"/>
      <c r="B36" s="381" t="s">
        <v>583</v>
      </c>
      <c r="C36" s="377" t="s">
        <v>584</v>
      </c>
      <c r="D36" s="377"/>
      <c r="E36" s="379"/>
      <c r="F36" s="172"/>
      <c r="G36" s="172"/>
      <c r="H36" s="172"/>
      <c r="I36" s="173"/>
    </row>
    <row r="37" spans="1:9" customFormat="1" ht="15" customHeight="1">
      <c r="A37" s="380"/>
      <c r="B37" s="378"/>
      <c r="C37" s="381" t="s">
        <v>585</v>
      </c>
      <c r="D37" s="390" t="s">
        <v>581</v>
      </c>
      <c r="E37" s="378"/>
      <c r="F37" s="395"/>
      <c r="G37" s="395"/>
      <c r="H37" s="395"/>
      <c r="I37" s="395"/>
    </row>
    <row r="38" spans="1:9" customFormat="1" ht="15" customHeight="1">
      <c r="A38" s="380"/>
      <c r="B38" s="378"/>
      <c r="C38" s="381" t="s">
        <v>586</v>
      </c>
      <c r="D38" s="390" t="s">
        <v>565</v>
      </c>
      <c r="E38" s="378"/>
      <c r="F38" s="395"/>
      <c r="G38" s="395"/>
      <c r="H38" s="395"/>
      <c r="I38" s="395"/>
    </row>
    <row r="39" spans="1:9" customFormat="1" ht="15" customHeight="1">
      <c r="A39" s="376" t="s">
        <v>587</v>
      </c>
      <c r="B39" s="377" t="s">
        <v>588</v>
      </c>
      <c r="C39" s="378"/>
      <c r="D39" s="378"/>
      <c r="E39" s="379"/>
      <c r="F39" s="172"/>
      <c r="G39" s="172"/>
      <c r="H39" s="172"/>
      <c r="I39" s="173"/>
    </row>
    <row r="40" spans="1:9" customFormat="1" ht="15" customHeight="1">
      <c r="A40" s="380"/>
      <c r="B40" s="381" t="s">
        <v>589</v>
      </c>
      <c r="C40" s="377" t="s">
        <v>579</v>
      </c>
      <c r="D40" s="377"/>
      <c r="E40" s="379"/>
      <c r="F40" s="172"/>
      <c r="G40" s="172"/>
      <c r="H40" s="172"/>
      <c r="I40" s="173"/>
    </row>
    <row r="41" spans="1:9" customFormat="1" ht="15" customHeight="1">
      <c r="A41" s="380"/>
      <c r="B41" s="378"/>
      <c r="C41" s="381" t="s">
        <v>590</v>
      </c>
      <c r="D41" s="390" t="s">
        <v>581</v>
      </c>
      <c r="E41" s="378"/>
      <c r="F41" s="395"/>
      <c r="G41" s="395"/>
      <c r="H41" s="395"/>
      <c r="I41" s="395"/>
    </row>
    <row r="42" spans="1:9" customFormat="1" ht="15" customHeight="1">
      <c r="A42" s="380"/>
      <c r="B42" s="378"/>
      <c r="C42" s="381" t="s">
        <v>591</v>
      </c>
      <c r="D42" s="390" t="s">
        <v>565</v>
      </c>
      <c r="E42" s="378"/>
      <c r="F42" s="395"/>
      <c r="G42" s="395"/>
      <c r="H42" s="395"/>
      <c r="I42" s="395"/>
    </row>
    <row r="43" spans="1:9" customFormat="1" ht="15" customHeight="1">
      <c r="A43" s="380"/>
      <c r="B43" s="381" t="s">
        <v>592</v>
      </c>
      <c r="C43" s="377" t="s">
        <v>584</v>
      </c>
      <c r="D43" s="377"/>
      <c r="E43" s="379"/>
      <c r="F43" s="172"/>
      <c r="G43" s="172"/>
      <c r="H43" s="172"/>
      <c r="I43" s="173"/>
    </row>
    <row r="44" spans="1:9" customFormat="1" ht="15" customHeight="1">
      <c r="A44" s="380"/>
      <c r="B44" s="378"/>
      <c r="C44" s="381" t="s">
        <v>593</v>
      </c>
      <c r="D44" s="390" t="s">
        <v>581</v>
      </c>
      <c r="E44" s="378"/>
      <c r="F44" s="395"/>
      <c r="G44" s="395"/>
      <c r="H44" s="395"/>
      <c r="I44" s="395"/>
    </row>
    <row r="45" spans="1:9" customFormat="1" ht="15" customHeight="1">
      <c r="A45" s="380"/>
      <c r="B45" s="378"/>
      <c r="C45" s="381" t="s">
        <v>594</v>
      </c>
      <c r="D45" s="390" t="s">
        <v>565</v>
      </c>
      <c r="E45" s="378"/>
      <c r="F45" s="395"/>
      <c r="G45" s="395"/>
      <c r="H45" s="395"/>
      <c r="I45" s="395"/>
    </row>
    <row r="46" spans="1:9" customFormat="1" ht="15" customHeight="1" thickBot="1">
      <c r="A46" s="391" t="s">
        <v>595</v>
      </c>
      <c r="B46" s="392" t="s">
        <v>596</v>
      </c>
      <c r="C46" s="393"/>
      <c r="D46" s="393"/>
      <c r="E46" s="394"/>
      <c r="F46" s="395"/>
      <c r="G46" s="395"/>
      <c r="H46" s="395"/>
      <c r="I46" s="395"/>
    </row>
    <row r="47" spans="1:9" customFormat="1" ht="7.5" customHeight="1" thickTop="1"/>
    <row r="48" spans="1:9" ht="13.5" customHeight="1">
      <c r="A48" s="850" t="s">
        <v>397</v>
      </c>
    </row>
    <row r="49" spans="1:9" s="853" customFormat="1" ht="16.5" customHeight="1">
      <c r="A49" s="875" t="s">
        <v>597</v>
      </c>
      <c r="B49" s="1267" t="s">
        <v>598</v>
      </c>
    </row>
    <row r="50" spans="1:9" s="1278" customFormat="1" ht="14.25" customHeight="1">
      <c r="A50" s="1302"/>
      <c r="B50" s="1278" t="s">
        <v>599</v>
      </c>
    </row>
    <row r="51" spans="1:9" s="853" customFormat="1" ht="16.5" customHeight="1">
      <c r="A51" s="875" t="s">
        <v>597</v>
      </c>
      <c r="B51" s="1267" t="s">
        <v>600</v>
      </c>
    </row>
    <row r="52" spans="1:9" s="1278" customFormat="1" ht="14.25" customHeight="1">
      <c r="A52" s="1302"/>
      <c r="B52" s="1278" t="s">
        <v>601</v>
      </c>
    </row>
    <row r="53" spans="1:9" s="853" customFormat="1" ht="16.5" customHeight="1">
      <c r="A53" s="875" t="s">
        <v>597</v>
      </c>
      <c r="B53" s="1267" t="s">
        <v>609</v>
      </c>
    </row>
    <row r="54" spans="1:9" s="1278" customFormat="1" ht="14.25" customHeight="1">
      <c r="A54" s="1302"/>
      <c r="B54" s="1278" t="s">
        <v>610</v>
      </c>
    </row>
    <row r="55" spans="1:9" s="853" customFormat="1" ht="16.5" customHeight="1">
      <c r="A55" s="875" t="s">
        <v>597</v>
      </c>
      <c r="B55" s="1267" t="s">
        <v>602</v>
      </c>
    </row>
    <row r="56" spans="1:9" s="1278" customFormat="1" ht="14.25" customHeight="1">
      <c r="A56" s="1302"/>
      <c r="B56" s="1278" t="s">
        <v>603</v>
      </c>
    </row>
    <row r="57" spans="1:9" s="853" customFormat="1" ht="16.5" customHeight="1">
      <c r="A57" s="875" t="s">
        <v>597</v>
      </c>
      <c r="B57" s="1267" t="s">
        <v>611</v>
      </c>
    </row>
    <row r="58" spans="1:9" s="1278" customFormat="1" ht="14.25" customHeight="1">
      <c r="A58" s="1302"/>
      <c r="B58" s="1278" t="s">
        <v>612</v>
      </c>
    </row>
    <row r="59" spans="1:9" s="1278" customFormat="1" ht="18.75" customHeight="1">
      <c r="A59" s="1302"/>
      <c r="G59" s="2915" t="s">
        <v>604</v>
      </c>
      <c r="H59" s="2915"/>
      <c r="I59" s="2915"/>
    </row>
    <row r="60" spans="1:9" s="1278" customFormat="1" ht="12.75" customHeight="1">
      <c r="C60" s="1303"/>
      <c r="D60" s="1303"/>
      <c r="G60" s="2916" t="s">
        <v>398</v>
      </c>
      <c r="H60" s="2916"/>
      <c r="I60" s="2916"/>
    </row>
    <row r="61" spans="1:9" s="1278" customFormat="1" ht="17.25" customHeight="1">
      <c r="B61" s="2917" t="s">
        <v>399</v>
      </c>
      <c r="C61" s="2917"/>
      <c r="D61" s="2917"/>
      <c r="E61" s="1304" t="s">
        <v>605</v>
      </c>
      <c r="G61" s="2915" t="s">
        <v>469</v>
      </c>
      <c r="H61" s="2915"/>
      <c r="I61" s="2915"/>
    </row>
    <row r="62" spans="1:9" ht="12" customHeight="1">
      <c r="B62" s="2592" t="s">
        <v>402</v>
      </c>
      <c r="C62" s="2592"/>
      <c r="D62" s="2592"/>
      <c r="E62" s="238" t="s">
        <v>606</v>
      </c>
      <c r="G62" s="2592" t="s">
        <v>471</v>
      </c>
      <c r="H62" s="2592"/>
      <c r="I62" s="2592"/>
    </row>
    <row r="63" spans="1:9"/>
    <row r="64" spans="1:9"/>
    <row r="65" spans="1:1"/>
    <row r="66" spans="1:1">
      <c r="A66" s="183" t="s">
        <v>1877</v>
      </c>
    </row>
  </sheetData>
  <sheetProtection password="C5F7" sheet="1" objects="1" scenarios="1" formatCells="0" formatColumns="0"/>
  <protectedRanges>
    <protectedRange password="CF0E" sqref="A7:A9" name="Range1"/>
    <protectedRange password="CF0E" sqref="E62" name="Range27_1"/>
  </protectedRanges>
  <mergeCells count="14">
    <mergeCell ref="B62:D62"/>
    <mergeCell ref="G59:I59"/>
    <mergeCell ref="G60:I60"/>
    <mergeCell ref="G61:I61"/>
    <mergeCell ref="G62:I62"/>
    <mergeCell ref="B61:D61"/>
    <mergeCell ref="A10:E10"/>
    <mergeCell ref="A9:E9"/>
    <mergeCell ref="A2:I2"/>
    <mergeCell ref="A1:I1"/>
    <mergeCell ref="A3:I3"/>
    <mergeCell ref="A4:I4"/>
    <mergeCell ref="H6:I6"/>
    <mergeCell ref="A5:B5"/>
  </mergeCells>
  <phoneticPr fontId="19" type="noConversion"/>
  <dataValidations count="1">
    <dataValidation type="decimal" allowBlank="1" showInputMessage="1" showErrorMessage="1" errorTitle="Validation Rule" error="Allow only number" sqref="F14:I15 F17:I22 F26:I28 F30:I31 F34:I35 F37 G37 H37 I37 F38 G38 H38 I38 F41 G41 H41 I41 F42 G42 H42 I42 F44 G44 H44 I44 F45 G45 H45 I45 F46 G46 H46 I46">
      <formula1>0</formula1>
      <formula2>1</formula2>
    </dataValidation>
  </dataValidations>
  <pageMargins left="0.78" right="0" top="0.5" bottom="0.25" header="0.25" footer="0.25"/>
  <pageSetup paperSize="9" scale="75"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theme="0"/>
  </sheetPr>
  <dimension ref="A1:M46"/>
  <sheetViews>
    <sheetView showGridLines="0" topLeftCell="A13" zoomScaleNormal="140" workbookViewId="0">
      <selection activeCell="E12" sqref="E12:L12"/>
    </sheetView>
  </sheetViews>
  <sheetFormatPr defaultColWidth="0" defaultRowHeight="15" zeroHeight="1"/>
  <cols>
    <col min="1" max="1" width="3" style="56" customWidth="1"/>
    <col min="2" max="2" width="3.42578125" style="56" customWidth="1"/>
    <col min="3" max="3" width="4.5703125" style="56" customWidth="1"/>
    <col min="4" max="4" width="48.42578125" style="56" customWidth="1"/>
    <col min="5" max="6" width="10.28515625" style="2018" customWidth="1"/>
    <col min="7" max="7" width="10.7109375" style="2018" customWidth="1"/>
    <col min="8" max="12" width="10.28515625" style="2018" customWidth="1"/>
    <col min="13" max="13" width="14.85546875" style="2018" customWidth="1"/>
    <col min="14" max="16384" width="0" style="56" hidden="1"/>
  </cols>
  <sheetData>
    <row r="1" spans="1:13" s="1307" customFormat="1" ht="27.75" customHeight="1">
      <c r="D1" s="2926" t="s">
        <v>613</v>
      </c>
      <c r="E1" s="2926"/>
      <c r="F1" s="2926"/>
      <c r="G1" s="2926"/>
      <c r="H1" s="2926"/>
      <c r="I1" s="2926"/>
      <c r="J1" s="2926"/>
      <c r="K1" s="2926"/>
      <c r="L1" s="2926"/>
      <c r="M1" s="2926"/>
    </row>
    <row r="2" spans="1:13" s="1307" customFormat="1" ht="15" customHeight="1">
      <c r="D2" s="2927" t="s">
        <v>614</v>
      </c>
      <c r="E2" s="2928"/>
      <c r="F2" s="2928"/>
      <c r="G2" s="2928"/>
      <c r="H2" s="2928"/>
      <c r="I2" s="2928"/>
      <c r="J2" s="2928"/>
      <c r="K2" s="2928"/>
      <c r="L2" s="2928"/>
      <c r="M2" s="2928"/>
    </row>
    <row r="3" spans="1:13" s="589" customFormat="1" ht="14.25" customHeight="1">
      <c r="D3" s="2929" t="s">
        <v>428</v>
      </c>
      <c r="E3" s="2929"/>
      <c r="F3" s="2929"/>
      <c r="G3" s="2929"/>
      <c r="H3" s="2929"/>
      <c r="I3" s="2929"/>
      <c r="J3" s="2929"/>
      <c r="K3" s="2929"/>
      <c r="L3" s="2929"/>
      <c r="M3" s="2929"/>
    </row>
    <row r="4" spans="1:13" s="589" customFormat="1" ht="12" customHeight="1">
      <c r="D4" s="2930" t="s">
        <v>360</v>
      </c>
      <c r="E4" s="2930"/>
      <c r="F4" s="2930"/>
      <c r="G4" s="2930"/>
      <c r="H4" s="2930"/>
      <c r="I4" s="2930"/>
      <c r="J4" s="2930"/>
      <c r="K4" s="2930"/>
      <c r="L4" s="2930"/>
      <c r="M4" s="2930"/>
    </row>
    <row r="5" spans="1:13" s="589" customFormat="1" ht="15" customHeight="1">
      <c r="A5" s="588" t="s">
        <v>361</v>
      </c>
      <c r="E5" s="1989"/>
      <c r="F5" s="1989"/>
      <c r="G5" s="1990"/>
      <c r="H5" s="1991"/>
      <c r="I5" s="1991"/>
      <c r="J5" s="1991"/>
      <c r="K5" s="1991"/>
      <c r="L5" s="2932" t="s">
        <v>867</v>
      </c>
      <c r="M5" s="2932"/>
    </row>
    <row r="6" spans="1:13" s="589" customFormat="1" ht="21" customHeight="1">
      <c r="A6" s="588" t="s">
        <v>615</v>
      </c>
      <c r="E6" s="1989"/>
      <c r="F6" s="1989"/>
      <c r="G6" s="1990"/>
      <c r="H6" s="1991"/>
      <c r="I6" s="1991"/>
      <c r="J6" s="1991"/>
      <c r="K6" s="1991"/>
      <c r="L6" s="1992"/>
      <c r="M6" s="1874"/>
    </row>
    <row r="7" spans="1:13" s="1306" customFormat="1" ht="12" customHeight="1">
      <c r="D7" s="1305"/>
      <c r="E7" s="1990"/>
      <c r="F7" s="1990"/>
      <c r="G7" s="1991"/>
      <c r="H7" s="1991"/>
      <c r="I7" s="1991"/>
      <c r="J7" s="1993" t="s">
        <v>616</v>
      </c>
      <c r="K7" s="1993">
        <v>4000</v>
      </c>
      <c r="L7" s="1994" t="s">
        <v>431</v>
      </c>
      <c r="M7" s="1993" t="s">
        <v>365</v>
      </c>
    </row>
    <row r="8" spans="1:13" s="1306" customFormat="1" ht="11.25" customHeight="1" thickBot="1">
      <c r="D8" s="1305"/>
      <c r="E8" s="1990"/>
      <c r="F8" s="1990"/>
      <c r="G8" s="1991"/>
      <c r="H8" s="1991"/>
      <c r="I8" s="1991"/>
      <c r="J8" s="1995" t="s">
        <v>617</v>
      </c>
      <c r="K8" s="1996">
        <v>4000</v>
      </c>
      <c r="L8" s="1994" t="s">
        <v>618</v>
      </c>
      <c r="M8" s="1995" t="s">
        <v>434</v>
      </c>
    </row>
    <row r="9" spans="1:13" s="58" customFormat="1" ht="30" customHeight="1" thickTop="1">
      <c r="A9" s="2920" t="s">
        <v>504</v>
      </c>
      <c r="B9" s="2921"/>
      <c r="C9" s="2921"/>
      <c r="D9" s="2922"/>
      <c r="E9" s="1997" t="s">
        <v>619</v>
      </c>
      <c r="F9" s="1997" t="s">
        <v>620</v>
      </c>
      <c r="G9" s="1997" t="s">
        <v>621</v>
      </c>
      <c r="H9" s="1997" t="s">
        <v>622</v>
      </c>
      <c r="I9" s="1997" t="s">
        <v>623</v>
      </c>
      <c r="J9" s="1997" t="s">
        <v>624</v>
      </c>
      <c r="K9" s="1997" t="s">
        <v>625</v>
      </c>
      <c r="L9" s="1997" t="s">
        <v>626</v>
      </c>
      <c r="M9" s="1998" t="s">
        <v>481</v>
      </c>
    </row>
    <row r="10" spans="1:13" s="59" customFormat="1" ht="21" customHeight="1">
      <c r="A10" s="2923"/>
      <c r="B10" s="2924"/>
      <c r="C10" s="2924"/>
      <c r="D10" s="2925"/>
      <c r="E10" s="1999" t="s">
        <v>627</v>
      </c>
      <c r="F10" s="1999" t="s">
        <v>628</v>
      </c>
      <c r="G10" s="1999" t="s">
        <v>629</v>
      </c>
      <c r="H10" s="1999" t="s">
        <v>630</v>
      </c>
      <c r="I10" s="1999" t="s">
        <v>631</v>
      </c>
      <c r="J10" s="1999" t="s">
        <v>632</v>
      </c>
      <c r="K10" s="1999" t="s">
        <v>633</v>
      </c>
      <c r="L10" s="1999" t="s">
        <v>197</v>
      </c>
      <c r="M10" s="2000" t="s">
        <v>634</v>
      </c>
    </row>
    <row r="11" spans="1:13" s="570" customFormat="1" ht="15" customHeight="1">
      <c r="A11" s="566" t="s">
        <v>635</v>
      </c>
      <c r="B11" s="567" t="s">
        <v>636</v>
      </c>
      <c r="C11" s="568"/>
      <c r="D11" s="569"/>
      <c r="E11" s="2001">
        <f>SUM(E12:E16,E20,E21)</f>
        <v>1</v>
      </c>
      <c r="F11" s="2001">
        <f t="shared" ref="F11:L11" si="0">SUM(F12:F16,F20,F21)</f>
        <v>2</v>
      </c>
      <c r="G11" s="2001">
        <f t="shared" si="0"/>
        <v>3</v>
      </c>
      <c r="H11" s="2001">
        <f t="shared" si="0"/>
        <v>4</v>
      </c>
      <c r="I11" s="2001">
        <f t="shared" si="0"/>
        <v>5</v>
      </c>
      <c r="J11" s="2001">
        <f t="shared" si="0"/>
        <v>6</v>
      </c>
      <c r="K11" s="2001">
        <f t="shared" si="0"/>
        <v>7</v>
      </c>
      <c r="L11" s="2001">
        <f t="shared" si="0"/>
        <v>8</v>
      </c>
      <c r="M11" s="2002">
        <f>SUM(E11:L11)</f>
        <v>36</v>
      </c>
    </row>
    <row r="12" spans="1:13" s="57" customFormat="1" ht="15" customHeight="1">
      <c r="A12" s="578"/>
      <c r="B12" s="579" t="s">
        <v>382</v>
      </c>
      <c r="C12" s="580" t="s">
        <v>637</v>
      </c>
      <c r="D12" s="581"/>
      <c r="E12" s="2003">
        <v>1</v>
      </c>
      <c r="F12" s="2003">
        <v>2</v>
      </c>
      <c r="G12" s="2003">
        <v>3</v>
      </c>
      <c r="H12" s="2003">
        <v>4</v>
      </c>
      <c r="I12" s="2003">
        <v>5</v>
      </c>
      <c r="J12" s="2003">
        <v>6</v>
      </c>
      <c r="K12" s="2003">
        <v>7</v>
      </c>
      <c r="L12" s="2003">
        <v>8</v>
      </c>
      <c r="M12" s="2004">
        <f>SUM(E12:L12)</f>
        <v>36</v>
      </c>
    </row>
    <row r="13" spans="1:13" s="57" customFormat="1" ht="15" customHeight="1">
      <c r="A13" s="578"/>
      <c r="B13" s="579" t="s">
        <v>384</v>
      </c>
      <c r="C13" s="580" t="s">
        <v>638</v>
      </c>
      <c r="D13" s="581"/>
      <c r="E13" s="2003"/>
      <c r="F13" s="2003"/>
      <c r="G13" s="2003"/>
      <c r="H13" s="2003"/>
      <c r="I13" s="2003"/>
      <c r="J13" s="2003"/>
      <c r="K13" s="2003"/>
      <c r="L13" s="2003"/>
      <c r="M13" s="2004">
        <f>SUM(E13:L13)</f>
        <v>0</v>
      </c>
    </row>
    <row r="14" spans="1:13" s="57" customFormat="1" ht="15" customHeight="1">
      <c r="A14" s="578"/>
      <c r="B14" s="579" t="s">
        <v>385</v>
      </c>
      <c r="C14" s="580" t="s">
        <v>639</v>
      </c>
      <c r="D14" s="581"/>
      <c r="E14" s="2003"/>
      <c r="F14" s="2003"/>
      <c r="G14" s="2003"/>
      <c r="H14" s="2003"/>
      <c r="I14" s="2003"/>
      <c r="J14" s="2003"/>
      <c r="K14" s="2003"/>
      <c r="L14" s="2003"/>
      <c r="M14" s="2004">
        <f t="shared" ref="M14:M21" si="1">SUM(E14:L14)</f>
        <v>0</v>
      </c>
    </row>
    <row r="15" spans="1:13" s="57" customFormat="1" ht="15" customHeight="1">
      <c r="A15" s="578"/>
      <c r="B15" s="579" t="s">
        <v>386</v>
      </c>
      <c r="C15" s="580" t="s">
        <v>640</v>
      </c>
      <c r="D15" s="581"/>
      <c r="E15" s="2003"/>
      <c r="F15" s="2003"/>
      <c r="G15" s="2003"/>
      <c r="H15" s="2003"/>
      <c r="I15" s="2003"/>
      <c r="J15" s="2003"/>
      <c r="K15" s="2003"/>
      <c r="L15" s="2003"/>
      <c r="M15" s="2004">
        <f t="shared" si="1"/>
        <v>0</v>
      </c>
    </row>
    <row r="16" spans="1:13" s="57" customFormat="1" ht="15" customHeight="1">
      <c r="A16" s="578"/>
      <c r="B16" s="579" t="s">
        <v>387</v>
      </c>
      <c r="C16" s="580" t="s">
        <v>641</v>
      </c>
      <c r="D16" s="581"/>
      <c r="E16" s="2005">
        <f>SUM(E17:E19)</f>
        <v>0</v>
      </c>
      <c r="F16" s="2005">
        <f t="shared" ref="F16:L16" si="2">SUM(F17:F19)</f>
        <v>0</v>
      </c>
      <c r="G16" s="2005">
        <f t="shared" si="2"/>
        <v>0</v>
      </c>
      <c r="H16" s="2005">
        <f t="shared" si="2"/>
        <v>0</v>
      </c>
      <c r="I16" s="2005">
        <f t="shared" si="2"/>
        <v>0</v>
      </c>
      <c r="J16" s="2005">
        <f t="shared" si="2"/>
        <v>0</v>
      </c>
      <c r="K16" s="2005">
        <f t="shared" si="2"/>
        <v>0</v>
      </c>
      <c r="L16" s="2005">
        <f t="shared" si="2"/>
        <v>0</v>
      </c>
      <c r="M16" s="2004">
        <f t="shared" si="1"/>
        <v>0</v>
      </c>
    </row>
    <row r="17" spans="1:13" s="57" customFormat="1" ht="15" customHeight="1">
      <c r="A17" s="578"/>
      <c r="B17" s="579"/>
      <c r="C17" s="579" t="s">
        <v>642</v>
      </c>
      <c r="D17" s="582" t="s">
        <v>199</v>
      </c>
      <c r="E17" s="2003"/>
      <c r="F17" s="2003"/>
      <c r="G17" s="2003"/>
      <c r="H17" s="2003"/>
      <c r="I17" s="2003"/>
      <c r="J17" s="2003"/>
      <c r="K17" s="2003"/>
      <c r="L17" s="2003"/>
      <c r="M17" s="2004">
        <f t="shared" si="1"/>
        <v>0</v>
      </c>
    </row>
    <row r="18" spans="1:13" s="57" customFormat="1" ht="15" customHeight="1">
      <c r="A18" s="578"/>
      <c r="B18" s="579"/>
      <c r="C18" s="579" t="s">
        <v>643</v>
      </c>
      <c r="D18" s="582" t="s">
        <v>644</v>
      </c>
      <c r="E18" s="2003"/>
      <c r="F18" s="2003"/>
      <c r="G18" s="2003"/>
      <c r="H18" s="2003"/>
      <c r="I18" s="2003"/>
      <c r="J18" s="2003"/>
      <c r="K18" s="2003"/>
      <c r="L18" s="2003"/>
      <c r="M18" s="2004">
        <f t="shared" si="1"/>
        <v>0</v>
      </c>
    </row>
    <row r="19" spans="1:13" s="57" customFormat="1" ht="15" customHeight="1">
      <c r="A19" s="578"/>
      <c r="B19" s="579"/>
      <c r="C19" s="579" t="s">
        <v>645</v>
      </c>
      <c r="D19" s="582" t="s">
        <v>461</v>
      </c>
      <c r="E19" s="2003"/>
      <c r="F19" s="2003"/>
      <c r="G19" s="2003"/>
      <c r="H19" s="2003"/>
      <c r="I19" s="2003"/>
      <c r="J19" s="2003"/>
      <c r="K19" s="2003"/>
      <c r="L19" s="2003"/>
      <c r="M19" s="2004">
        <f t="shared" si="1"/>
        <v>0</v>
      </c>
    </row>
    <row r="20" spans="1:13" s="60" customFormat="1" ht="15" customHeight="1">
      <c r="A20" s="578"/>
      <c r="B20" s="579" t="s">
        <v>646</v>
      </c>
      <c r="C20" s="580" t="s">
        <v>647</v>
      </c>
      <c r="D20" s="583"/>
      <c r="E20" s="2003"/>
      <c r="F20" s="2003"/>
      <c r="G20" s="2003"/>
      <c r="H20" s="2003"/>
      <c r="I20" s="2003"/>
      <c r="J20" s="2003"/>
      <c r="K20" s="2003"/>
      <c r="L20" s="2003"/>
      <c r="M20" s="2004">
        <f t="shared" si="1"/>
        <v>0</v>
      </c>
    </row>
    <row r="21" spans="1:13" s="57" customFormat="1" ht="15" customHeight="1">
      <c r="A21" s="578"/>
      <c r="B21" s="579" t="s">
        <v>648</v>
      </c>
      <c r="C21" s="580" t="s">
        <v>649</v>
      </c>
      <c r="D21" s="583"/>
      <c r="E21" s="2003"/>
      <c r="F21" s="2003"/>
      <c r="G21" s="2003"/>
      <c r="H21" s="2003"/>
      <c r="I21" s="2003"/>
      <c r="J21" s="2003"/>
      <c r="K21" s="2003"/>
      <c r="L21" s="2003"/>
      <c r="M21" s="2004">
        <f t="shared" si="1"/>
        <v>0</v>
      </c>
    </row>
    <row r="22" spans="1:13" s="570" customFormat="1" ht="15" customHeight="1">
      <c r="A22" s="574" t="s">
        <v>388</v>
      </c>
      <c r="B22" s="575" t="s">
        <v>650</v>
      </c>
      <c r="C22" s="576"/>
      <c r="D22" s="577"/>
      <c r="E22" s="2006">
        <f>SUM(E23:E28)</f>
        <v>0</v>
      </c>
      <c r="F22" s="2006">
        <f t="shared" ref="F22:L22" si="3">SUM(F23:F28)</f>
        <v>0</v>
      </c>
      <c r="G22" s="2006">
        <f t="shared" si="3"/>
        <v>0</v>
      </c>
      <c r="H22" s="2006">
        <f t="shared" si="3"/>
        <v>0</v>
      </c>
      <c r="I22" s="2006">
        <f t="shared" si="3"/>
        <v>0</v>
      </c>
      <c r="J22" s="2006">
        <f t="shared" si="3"/>
        <v>0</v>
      </c>
      <c r="K22" s="2006">
        <f t="shared" si="3"/>
        <v>0</v>
      </c>
      <c r="L22" s="2006">
        <f t="shared" si="3"/>
        <v>0</v>
      </c>
      <c r="M22" s="2007">
        <f>SUM(E22:L22)</f>
        <v>0</v>
      </c>
    </row>
    <row r="23" spans="1:13" s="57" customFormat="1" ht="15" customHeight="1">
      <c r="A23" s="578"/>
      <c r="B23" s="579" t="s">
        <v>390</v>
      </c>
      <c r="C23" s="580" t="s">
        <v>651</v>
      </c>
      <c r="D23" s="583"/>
      <c r="E23" s="2003"/>
      <c r="F23" s="2003"/>
      <c r="G23" s="2003"/>
      <c r="H23" s="2003"/>
      <c r="I23" s="2003"/>
      <c r="J23" s="2003"/>
      <c r="K23" s="2003"/>
      <c r="L23" s="2003"/>
      <c r="M23" s="2004">
        <f t="shared" ref="M23:M27" si="4">SUM(E23:L23)</f>
        <v>0</v>
      </c>
    </row>
    <row r="24" spans="1:13" s="57" customFormat="1" ht="15" customHeight="1">
      <c r="A24" s="578"/>
      <c r="B24" s="579" t="s">
        <v>391</v>
      </c>
      <c r="C24" s="580" t="s">
        <v>652</v>
      </c>
      <c r="D24" s="583"/>
      <c r="E24" s="2003"/>
      <c r="F24" s="2003"/>
      <c r="G24" s="2003"/>
      <c r="H24" s="2003"/>
      <c r="I24" s="2003"/>
      <c r="J24" s="2003"/>
      <c r="K24" s="2003"/>
      <c r="L24" s="2003"/>
      <c r="M24" s="2004">
        <f t="shared" si="4"/>
        <v>0</v>
      </c>
    </row>
    <row r="25" spans="1:13" s="57" customFormat="1" ht="15" customHeight="1">
      <c r="A25" s="578"/>
      <c r="B25" s="579" t="s">
        <v>392</v>
      </c>
      <c r="C25" s="580" t="s">
        <v>653</v>
      </c>
      <c r="D25" s="583"/>
      <c r="E25" s="2003"/>
      <c r="F25" s="2003"/>
      <c r="G25" s="2003"/>
      <c r="H25" s="2003"/>
      <c r="I25" s="2003"/>
      <c r="J25" s="2003"/>
      <c r="K25" s="2003"/>
      <c r="L25" s="2003"/>
      <c r="M25" s="2004">
        <f t="shared" si="4"/>
        <v>0</v>
      </c>
    </row>
    <row r="26" spans="1:13" s="57" customFormat="1" ht="15" customHeight="1">
      <c r="A26" s="578"/>
      <c r="B26" s="579" t="s">
        <v>393</v>
      </c>
      <c r="C26" s="580" t="s">
        <v>654</v>
      </c>
      <c r="D26" s="583"/>
      <c r="E26" s="2003"/>
      <c r="F26" s="2003"/>
      <c r="G26" s="2003"/>
      <c r="H26" s="2003"/>
      <c r="I26" s="2003"/>
      <c r="J26" s="2003"/>
      <c r="K26" s="2003"/>
      <c r="L26" s="2003"/>
      <c r="M26" s="2004">
        <f t="shared" si="4"/>
        <v>0</v>
      </c>
    </row>
    <row r="27" spans="1:13" s="57" customFormat="1" ht="15" customHeight="1">
      <c r="A27" s="584"/>
      <c r="B27" s="585" t="s">
        <v>394</v>
      </c>
      <c r="C27" s="586" t="s">
        <v>655</v>
      </c>
      <c r="D27" s="587"/>
      <c r="E27" s="2003"/>
      <c r="F27" s="2003"/>
      <c r="G27" s="2003"/>
      <c r="H27" s="2003"/>
      <c r="I27" s="2003"/>
      <c r="J27" s="2003"/>
      <c r="K27" s="2003"/>
      <c r="L27" s="2003"/>
      <c r="M27" s="2004">
        <f t="shared" si="4"/>
        <v>0</v>
      </c>
    </row>
    <row r="28" spans="1:13" s="57" customFormat="1" ht="15" customHeight="1">
      <c r="A28" s="1379"/>
      <c r="B28" s="1376" t="s">
        <v>163</v>
      </c>
      <c r="C28" s="1377" t="s">
        <v>1866</v>
      </c>
      <c r="D28" s="1378"/>
      <c r="E28" s="2003"/>
      <c r="F28" s="2003"/>
      <c r="G28" s="2003"/>
      <c r="H28" s="2003"/>
      <c r="I28" s="2003"/>
      <c r="J28" s="2003"/>
      <c r="K28" s="2003"/>
      <c r="L28" s="2003"/>
      <c r="M28" s="2004">
        <f>SUM(E28:L28)</f>
        <v>0</v>
      </c>
    </row>
    <row r="29" spans="1:13" s="57" customFormat="1" ht="16.5" customHeight="1">
      <c r="A29" s="61" t="s">
        <v>1865</v>
      </c>
      <c r="B29" s="62"/>
      <c r="C29" s="63"/>
      <c r="D29" s="63"/>
      <c r="E29" s="2008">
        <f>E11-E22</f>
        <v>1</v>
      </c>
      <c r="F29" s="2008">
        <f t="shared" ref="F29:L29" si="5">F11-F22</f>
        <v>2</v>
      </c>
      <c r="G29" s="2008">
        <f t="shared" si="5"/>
        <v>3</v>
      </c>
      <c r="H29" s="2008">
        <f t="shared" si="5"/>
        <v>4</v>
      </c>
      <c r="I29" s="2008">
        <f t="shared" si="5"/>
        <v>5</v>
      </c>
      <c r="J29" s="2008">
        <f t="shared" si="5"/>
        <v>6</v>
      </c>
      <c r="K29" s="2008">
        <f t="shared" si="5"/>
        <v>7</v>
      </c>
      <c r="L29" s="2008">
        <f t="shared" si="5"/>
        <v>8</v>
      </c>
      <c r="M29" s="2009">
        <f>M11-M22</f>
        <v>36</v>
      </c>
    </row>
    <row r="30" spans="1:13" s="570" customFormat="1" ht="16.5" customHeight="1" thickBot="1">
      <c r="A30" s="571" t="s">
        <v>656</v>
      </c>
      <c r="B30" s="572"/>
      <c r="C30" s="573"/>
      <c r="D30" s="573"/>
      <c r="E30" s="2010">
        <f>+E29</f>
        <v>1</v>
      </c>
      <c r="F30" s="2010">
        <f>+E30+F29</f>
        <v>3</v>
      </c>
      <c r="G30" s="2010">
        <f>+F30+G29</f>
        <v>6</v>
      </c>
      <c r="H30" s="2010">
        <f>+G30+H29</f>
        <v>10</v>
      </c>
      <c r="I30" s="2010">
        <f t="shared" ref="I30:K30" si="6">+H30+I29</f>
        <v>15</v>
      </c>
      <c r="J30" s="2010">
        <f t="shared" si="6"/>
        <v>21</v>
      </c>
      <c r="K30" s="2010">
        <f t="shared" si="6"/>
        <v>28</v>
      </c>
      <c r="L30" s="2011"/>
      <c r="M30" s="2012"/>
    </row>
    <row r="31" spans="1:13" s="589" customFormat="1" ht="22.5" customHeight="1" thickTop="1">
      <c r="A31" s="1308" t="s">
        <v>395</v>
      </c>
      <c r="B31" s="1308"/>
      <c r="C31" s="1309"/>
      <c r="D31" s="1309"/>
      <c r="E31" s="2013"/>
      <c r="F31" s="2013"/>
      <c r="G31" s="2013"/>
      <c r="H31" s="2013"/>
      <c r="I31" s="2013"/>
      <c r="J31" s="2013"/>
      <c r="K31" s="2931" t="s">
        <v>396</v>
      </c>
      <c r="L31" s="2931"/>
      <c r="M31" s="2931"/>
    </row>
    <row r="32" spans="1:13" s="589" customFormat="1">
      <c r="A32" s="1308" t="s">
        <v>397</v>
      </c>
      <c r="B32" s="1308"/>
      <c r="C32" s="1309"/>
      <c r="D32" s="1309"/>
      <c r="E32" s="2013"/>
      <c r="F32" s="2013"/>
      <c r="G32" s="2013"/>
      <c r="H32" s="2013"/>
      <c r="I32" s="2013"/>
      <c r="J32" s="2013"/>
      <c r="K32" s="2918" t="s">
        <v>657</v>
      </c>
      <c r="L32" s="2918"/>
      <c r="M32" s="2918"/>
    </row>
    <row r="33" spans="1:13" s="589" customFormat="1" ht="16.5" customHeight="1">
      <c r="A33" s="1309"/>
      <c r="B33" s="1309"/>
      <c r="C33" s="1310"/>
      <c r="D33" s="1311" t="s">
        <v>399</v>
      </c>
      <c r="E33" s="2014"/>
      <c r="F33" s="2013"/>
      <c r="G33" s="2015" t="s">
        <v>400</v>
      </c>
      <c r="H33" s="2013"/>
      <c r="I33" s="2013"/>
      <c r="J33" s="2013"/>
      <c r="K33" s="2919" t="s">
        <v>401</v>
      </c>
      <c r="L33" s="2919"/>
      <c r="M33" s="2919"/>
    </row>
    <row r="34" spans="1:13" s="589" customFormat="1">
      <c r="A34" s="1309"/>
      <c r="B34" s="1309"/>
      <c r="C34" s="1309"/>
      <c r="D34" s="1312" t="s">
        <v>402</v>
      </c>
      <c r="E34" s="2013"/>
      <c r="F34" s="2013"/>
      <c r="G34" s="2016" t="s">
        <v>403</v>
      </c>
      <c r="H34" s="2013"/>
      <c r="I34" s="2013"/>
      <c r="J34" s="2013"/>
      <c r="K34" s="2918" t="s">
        <v>404</v>
      </c>
      <c r="L34" s="2918"/>
      <c r="M34" s="2918"/>
    </row>
    <row r="35" spans="1:13" s="589" customFormat="1">
      <c r="A35" s="1309"/>
      <c r="B35" s="1309"/>
      <c r="C35" s="1309"/>
      <c r="D35" s="1309"/>
      <c r="E35" s="2013"/>
      <c r="F35" s="2013"/>
      <c r="G35" s="2013"/>
      <c r="H35" s="2017"/>
      <c r="I35" s="2013"/>
      <c r="J35" s="2013"/>
      <c r="K35" s="2013"/>
      <c r="L35" s="2013"/>
      <c r="M35" s="2013"/>
    </row>
    <row r="36" spans="1:13" s="589" customFormat="1">
      <c r="A36" s="1309"/>
      <c r="B36" s="1309"/>
      <c r="C36" s="1309"/>
      <c r="D36" s="1309"/>
      <c r="E36" s="2013"/>
      <c r="F36" s="2013"/>
      <c r="G36" s="2013"/>
      <c r="H36" s="2016"/>
      <c r="I36" s="2013"/>
      <c r="J36" s="2013"/>
      <c r="K36" s="2013"/>
      <c r="L36" s="2013"/>
      <c r="M36" s="2013"/>
    </row>
    <row r="37" spans="1:13" s="589" customFormat="1">
      <c r="A37" s="1309"/>
      <c r="B37" s="1309"/>
      <c r="C37" s="1309"/>
      <c r="D37" s="1309"/>
      <c r="E37" s="2013"/>
      <c r="F37" s="2013"/>
      <c r="G37" s="2013"/>
      <c r="H37" s="2013"/>
      <c r="I37" s="2013"/>
      <c r="J37" s="2013"/>
      <c r="K37" s="2013"/>
      <c r="L37" s="2013"/>
      <c r="M37" s="2013"/>
    </row>
    <row r="38" spans="1:13" s="589" customFormat="1">
      <c r="A38" s="1309" t="s">
        <v>1877</v>
      </c>
      <c r="B38" s="1309"/>
      <c r="C38" s="1309"/>
      <c r="D38" s="1309"/>
      <c r="E38" s="2013"/>
      <c r="F38" s="2013"/>
      <c r="G38" s="2013"/>
      <c r="H38" s="2013"/>
      <c r="I38" s="2013"/>
      <c r="J38" s="2013"/>
      <c r="K38" s="2013"/>
      <c r="L38" s="2013"/>
      <c r="M38" s="2013"/>
    </row>
    <row r="39" spans="1:13" hidden="1"/>
    <row r="40" spans="1:13" hidden="1"/>
    <row r="41" spans="1:13" hidden="1"/>
    <row r="42" spans="1:13" hidden="1"/>
    <row r="43" spans="1:13" hidden="1"/>
    <row r="44" spans="1:13" hidden="1"/>
    <row r="45" spans="1:13" hidden="1"/>
    <row r="46" spans="1:13" hidden="1">
      <c r="J46" s="2019"/>
    </row>
  </sheetData>
  <sheetProtection password="C5F7" sheet="1" objects="1" scenarios="1" formatCells="0" formatColumns="0" formatRows="0"/>
  <mergeCells count="10">
    <mergeCell ref="K32:M32"/>
    <mergeCell ref="K33:M33"/>
    <mergeCell ref="K34:M34"/>
    <mergeCell ref="A9:D10"/>
    <mergeCell ref="D1:M1"/>
    <mergeCell ref="D2:M2"/>
    <mergeCell ref="D3:M3"/>
    <mergeCell ref="D4:M4"/>
    <mergeCell ref="K31:M31"/>
    <mergeCell ref="L5:M5"/>
  </mergeCells>
  <phoneticPr fontId="74" type="noConversion"/>
  <dataValidations count="1">
    <dataValidation type="decimal" operator="greaterThanOrEqual" allowBlank="1" showInputMessage="1" showErrorMessage="1" errorTitle="Validation Rule" error="Allow only number" sqref="E12:L15 E17:L21 E23:L28">
      <formula1>0</formula1>
    </dataValidation>
  </dataValidations>
  <pageMargins left="0.25" right="0" top="0.3" bottom="0.17" header="0.55000000000000004" footer="0.17"/>
  <pageSetup paperSize="9" scale="90" orientation="landscape"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fitToPage="1"/>
  </sheetPr>
  <dimension ref="A1:M290"/>
  <sheetViews>
    <sheetView showGridLines="0" topLeftCell="A142" workbookViewId="0">
      <selection activeCell="B119" sqref="B119:B121"/>
    </sheetView>
  </sheetViews>
  <sheetFormatPr defaultColWidth="0" defaultRowHeight="0" customHeight="1" zeroHeight="1"/>
  <cols>
    <col min="1" max="1" width="5.28515625" style="2142" customWidth="1"/>
    <col min="2" max="2" width="29" style="2142" customWidth="1"/>
    <col min="3" max="3" width="18.85546875" style="2142" customWidth="1"/>
    <col min="4" max="4" width="16.5703125" style="2142" customWidth="1"/>
    <col min="5" max="5" width="15.85546875" style="2220" customWidth="1"/>
    <col min="6" max="6" width="20.85546875" style="2142" customWidth="1"/>
    <col min="7" max="7" width="19.42578125" style="2142" customWidth="1"/>
    <col min="8" max="8" width="16.28515625" style="2142" customWidth="1"/>
    <col min="9" max="9" width="15.5703125" style="2142" customWidth="1"/>
    <col min="10" max="10" width="21.85546875" style="2142" customWidth="1"/>
    <col min="11" max="11" width="9.140625" style="2142" customWidth="1"/>
    <col min="12" max="16384" width="0" style="2142" hidden="1"/>
  </cols>
  <sheetData>
    <row r="1" spans="1:13" s="2139" customFormat="1" ht="27">
      <c r="A1" s="2943" t="s">
        <v>881</v>
      </c>
      <c r="B1" s="2943"/>
      <c r="C1" s="2943"/>
      <c r="D1" s="2943"/>
      <c r="E1" s="2943"/>
      <c r="F1" s="2943"/>
      <c r="G1" s="2943"/>
      <c r="H1" s="2943"/>
      <c r="I1" s="2943"/>
      <c r="J1" s="2943"/>
      <c r="K1" s="2138"/>
      <c r="L1" s="2138"/>
      <c r="M1" s="2138"/>
    </row>
    <row r="2" spans="1:13" s="2139" customFormat="1" ht="15.75">
      <c r="A2" s="2944" t="s">
        <v>882</v>
      </c>
      <c r="B2" s="2944"/>
      <c r="C2" s="2944"/>
      <c r="D2" s="2944"/>
      <c r="E2" s="2944"/>
      <c r="F2" s="2944"/>
      <c r="G2" s="2944"/>
      <c r="H2" s="2944"/>
      <c r="I2" s="2944"/>
      <c r="J2" s="2944"/>
      <c r="K2" s="2140"/>
      <c r="L2" s="2140"/>
      <c r="M2" s="2140"/>
    </row>
    <row r="3" spans="1:13" ht="12.75">
      <c r="A3" s="2945" t="s">
        <v>359</v>
      </c>
      <c r="B3" s="2945"/>
      <c r="C3" s="2945"/>
      <c r="D3" s="2945"/>
      <c r="E3" s="2945"/>
      <c r="F3" s="2945"/>
      <c r="G3" s="2945"/>
      <c r="H3" s="2945"/>
      <c r="I3" s="2945"/>
      <c r="J3" s="2945"/>
      <c r="K3" s="2141"/>
      <c r="L3" s="2141"/>
      <c r="M3" s="2141"/>
    </row>
    <row r="4" spans="1:13" ht="12.75">
      <c r="A4" s="2946" t="s">
        <v>360</v>
      </c>
      <c r="B4" s="2946"/>
      <c r="C4" s="2946"/>
      <c r="D4" s="2946"/>
      <c r="E4" s="2946"/>
      <c r="F4" s="2946"/>
      <c r="G4" s="2946"/>
      <c r="H4" s="2946"/>
      <c r="I4" s="2946"/>
      <c r="J4" s="2946"/>
      <c r="K4" s="2143"/>
      <c r="L4" s="2143"/>
      <c r="M4" s="2143"/>
    </row>
    <row r="5" spans="1:13" ht="21">
      <c r="A5" s="2144" t="s">
        <v>361</v>
      </c>
      <c r="B5" s="2145"/>
      <c r="C5" s="2146"/>
      <c r="D5" s="2146"/>
      <c r="E5" s="2219"/>
      <c r="F5" s="2146"/>
      <c r="G5" s="2146"/>
      <c r="H5" s="2146"/>
      <c r="I5" s="2146"/>
      <c r="J5" s="2147" t="s">
        <v>883</v>
      </c>
      <c r="M5" s="2148"/>
    </row>
    <row r="6" spans="1:13" ht="12.75">
      <c r="A6" s="2149" t="s">
        <v>362</v>
      </c>
      <c r="B6" s="2149"/>
      <c r="C6" s="2150"/>
      <c r="G6" s="2150"/>
      <c r="H6" s="2150"/>
      <c r="I6" s="2150"/>
      <c r="J6" s="2150"/>
    </row>
    <row r="7" spans="1:13" ht="12.75">
      <c r="A7" s="2151"/>
      <c r="B7" s="2151"/>
      <c r="C7" s="2151"/>
      <c r="D7" s="2151"/>
      <c r="E7" s="2221"/>
      <c r="F7" s="2151"/>
      <c r="H7" s="2152" t="s">
        <v>363</v>
      </c>
      <c r="J7" s="2153" t="s">
        <v>364</v>
      </c>
    </row>
    <row r="8" spans="1:13" ht="12.75">
      <c r="A8" s="2151"/>
      <c r="B8" s="2151"/>
      <c r="C8" s="2151"/>
      <c r="D8" s="2151"/>
      <c r="E8" s="2221"/>
      <c r="F8" s="2151"/>
      <c r="H8" s="2154" t="s">
        <v>366</v>
      </c>
      <c r="J8" s="2155" t="s">
        <v>367</v>
      </c>
    </row>
    <row r="9" spans="1:13" ht="12.75">
      <c r="A9" s="2151"/>
      <c r="B9" s="2151"/>
      <c r="C9" s="2151"/>
      <c r="D9" s="2151"/>
      <c r="E9" s="2221"/>
      <c r="F9" s="2151"/>
      <c r="H9" s="2154"/>
      <c r="J9" s="2156" t="s">
        <v>1872</v>
      </c>
    </row>
    <row r="10" spans="1:13" ht="13.5" thickBot="1">
      <c r="J10" s="2157" t="s">
        <v>1873</v>
      </c>
    </row>
    <row r="11" spans="1:13" s="2139" customFormat="1" ht="14.25" thickTop="1" thickBot="1">
      <c r="A11" s="2947" t="s">
        <v>884</v>
      </c>
      <c r="B11" s="2948"/>
      <c r="C11" s="2951" t="s">
        <v>885</v>
      </c>
      <c r="D11" s="2952"/>
      <c r="E11" s="2952"/>
      <c r="F11" s="2952"/>
      <c r="G11" s="2951" t="s">
        <v>886</v>
      </c>
      <c r="H11" s="2952"/>
      <c r="I11" s="2952"/>
      <c r="J11" s="2953"/>
    </row>
    <row r="12" spans="1:13" s="2139" customFormat="1" ht="13.5" thickTop="1">
      <c r="A12" s="2949"/>
      <c r="B12" s="2950"/>
      <c r="C12" s="2158" t="s">
        <v>887</v>
      </c>
      <c r="D12" s="2158" t="s">
        <v>418</v>
      </c>
      <c r="E12" s="2222" t="s">
        <v>424</v>
      </c>
      <c r="F12" s="2158" t="s">
        <v>888</v>
      </c>
      <c r="G12" s="2158" t="s">
        <v>887</v>
      </c>
      <c r="H12" s="2158" t="s">
        <v>418</v>
      </c>
      <c r="I12" s="2158" t="s">
        <v>424</v>
      </c>
      <c r="J12" s="2158" t="s">
        <v>888</v>
      </c>
    </row>
    <row r="13" spans="1:13" s="2139" customFormat="1" ht="21" customHeight="1" thickBot="1">
      <c r="A13" s="2935" t="s">
        <v>889</v>
      </c>
      <c r="B13" s="2936"/>
      <c r="C13" s="2159" t="s">
        <v>372</v>
      </c>
      <c r="D13" s="2160" t="s">
        <v>409</v>
      </c>
      <c r="E13" s="2223" t="s">
        <v>890</v>
      </c>
      <c r="F13" s="2160" t="s">
        <v>422</v>
      </c>
      <c r="G13" s="2161" t="s">
        <v>372</v>
      </c>
      <c r="H13" s="2160" t="s">
        <v>409</v>
      </c>
      <c r="I13" s="2160" t="s">
        <v>890</v>
      </c>
      <c r="J13" s="2160" t="s">
        <v>422</v>
      </c>
    </row>
    <row r="14" spans="1:13" s="2139" customFormat="1" ht="13.5" thickTop="1">
      <c r="A14" s="2937" t="s">
        <v>891</v>
      </c>
      <c r="B14" s="2938"/>
      <c r="C14" s="2162"/>
      <c r="D14" s="2163"/>
      <c r="E14" s="2224"/>
      <c r="F14" s="2165"/>
      <c r="G14" s="2162"/>
      <c r="H14" s="2163"/>
      <c r="I14" s="2163"/>
      <c r="J14" s="2166"/>
    </row>
    <row r="15" spans="1:13" s="2139" customFormat="1" ht="12.75">
      <c r="A15" s="2939" t="s">
        <v>892</v>
      </c>
      <c r="B15" s="2940"/>
      <c r="C15" s="2167">
        <f>+C16+C57</f>
        <v>0</v>
      </c>
      <c r="D15" s="2164"/>
      <c r="E15" s="2224"/>
      <c r="F15" s="2165"/>
      <c r="G15" s="2167">
        <f>+G16+G57</f>
        <v>0</v>
      </c>
      <c r="H15" s="2164"/>
      <c r="I15" s="2164"/>
      <c r="J15" s="2165"/>
    </row>
    <row r="16" spans="1:13" ht="12.75">
      <c r="A16" s="2168"/>
      <c r="B16" s="2169" t="s">
        <v>1995</v>
      </c>
      <c r="C16" s="2170">
        <f>SUM(C17:C56)</f>
        <v>0</v>
      </c>
      <c r="D16" s="2171"/>
      <c r="E16" s="2225"/>
      <c r="F16" s="2172"/>
      <c r="G16" s="2170">
        <f>SUM(G17:G56)</f>
        <v>0</v>
      </c>
      <c r="H16" s="2171"/>
      <c r="I16" s="2171"/>
      <c r="J16" s="2172"/>
    </row>
    <row r="17" spans="1:10" ht="12.75">
      <c r="A17" s="2168">
        <v>1</v>
      </c>
      <c r="B17" s="2173"/>
      <c r="C17" s="2174"/>
      <c r="D17" s="2175"/>
      <c r="E17" s="2218"/>
      <c r="F17" s="2176"/>
      <c r="G17" s="2177"/>
      <c r="H17" s="2175"/>
      <c r="I17" s="2175"/>
      <c r="J17" s="2176"/>
    </row>
    <row r="18" spans="1:10" ht="12.75">
      <c r="A18" s="2168">
        <v>2</v>
      </c>
      <c r="B18" s="2178"/>
      <c r="C18" s="2174"/>
      <c r="D18" s="2175"/>
      <c r="E18" s="2218"/>
      <c r="F18" s="2176"/>
      <c r="G18" s="2177"/>
      <c r="H18" s="2175"/>
      <c r="I18" s="2175"/>
      <c r="J18" s="2176"/>
    </row>
    <row r="19" spans="1:10" ht="12.75">
      <c r="A19" s="2168">
        <v>3</v>
      </c>
      <c r="B19" s="2173"/>
      <c r="C19" s="2174"/>
      <c r="D19" s="2175"/>
      <c r="E19" s="2218"/>
      <c r="F19" s="2176"/>
      <c r="G19" s="2177"/>
      <c r="H19" s="2175"/>
      <c r="I19" s="2175"/>
      <c r="J19" s="2176"/>
    </row>
    <row r="20" spans="1:10" ht="12.75">
      <c r="A20" s="2168">
        <v>4</v>
      </c>
      <c r="B20" s="2178"/>
      <c r="C20" s="2174"/>
      <c r="D20" s="2175"/>
      <c r="E20" s="2218"/>
      <c r="F20" s="2176"/>
      <c r="G20" s="2177"/>
      <c r="H20" s="2175"/>
      <c r="I20" s="2175"/>
      <c r="J20" s="2176"/>
    </row>
    <row r="21" spans="1:10" ht="12.75">
      <c r="A21" s="2168">
        <v>5</v>
      </c>
      <c r="B21" s="2178"/>
      <c r="C21" s="2174"/>
      <c r="D21" s="2175"/>
      <c r="E21" s="2218"/>
      <c r="F21" s="2176"/>
      <c r="G21" s="2177"/>
      <c r="H21" s="2175"/>
      <c r="I21" s="2175"/>
      <c r="J21" s="2176"/>
    </row>
    <row r="22" spans="1:10" ht="12.75">
      <c r="A22" s="2168">
        <v>6</v>
      </c>
      <c r="B22" s="2178"/>
      <c r="C22" s="2174"/>
      <c r="D22" s="2175"/>
      <c r="E22" s="2218"/>
      <c r="F22" s="2176"/>
      <c r="G22" s="2177"/>
      <c r="H22" s="2175"/>
      <c r="I22" s="2175"/>
      <c r="J22" s="2176"/>
    </row>
    <row r="23" spans="1:10" ht="12.75">
      <c r="A23" s="2168">
        <v>7</v>
      </c>
      <c r="B23" s="2179"/>
      <c r="C23" s="2174"/>
      <c r="D23" s="2175"/>
      <c r="E23" s="2218"/>
      <c r="F23" s="2176"/>
      <c r="G23" s="2177"/>
      <c r="H23" s="2175"/>
      <c r="I23" s="2175"/>
      <c r="J23" s="2176"/>
    </row>
    <row r="24" spans="1:10" ht="12.75">
      <c r="A24" s="2168">
        <v>8</v>
      </c>
      <c r="B24" s="2179"/>
      <c r="C24" s="2174"/>
      <c r="D24" s="2175"/>
      <c r="E24" s="2218"/>
      <c r="F24" s="2176"/>
      <c r="G24" s="2177"/>
      <c r="H24" s="2175"/>
      <c r="I24" s="2175"/>
      <c r="J24" s="2176"/>
    </row>
    <row r="25" spans="1:10" ht="12.75">
      <c r="A25" s="2168">
        <v>9</v>
      </c>
      <c r="B25" s="2173"/>
      <c r="C25" s="2174"/>
      <c r="D25" s="2175"/>
      <c r="E25" s="2218"/>
      <c r="F25" s="2176"/>
      <c r="G25" s="2177"/>
      <c r="H25" s="2175"/>
      <c r="I25" s="2175"/>
      <c r="J25" s="2176"/>
    </row>
    <row r="26" spans="1:10" ht="12.75">
      <c r="A26" s="2168">
        <v>10</v>
      </c>
      <c r="B26" s="2178"/>
      <c r="C26" s="2174"/>
      <c r="D26" s="2175"/>
      <c r="E26" s="2218"/>
      <c r="F26" s="2176"/>
      <c r="G26" s="2177"/>
      <c r="H26" s="2175"/>
      <c r="I26" s="2175"/>
      <c r="J26" s="2176"/>
    </row>
    <row r="27" spans="1:10" ht="12.75">
      <c r="A27" s="2168">
        <v>11</v>
      </c>
      <c r="B27" s="2173"/>
      <c r="C27" s="2174"/>
      <c r="D27" s="2175"/>
      <c r="E27" s="2218"/>
      <c r="F27" s="2176"/>
      <c r="G27" s="2177"/>
      <c r="H27" s="2175"/>
      <c r="I27" s="2175"/>
      <c r="J27" s="2176"/>
    </row>
    <row r="28" spans="1:10" ht="12.75">
      <c r="A28" s="2168">
        <v>12</v>
      </c>
      <c r="B28" s="2178"/>
      <c r="C28" s="2174"/>
      <c r="D28" s="2175"/>
      <c r="E28" s="2218"/>
      <c r="F28" s="2176"/>
      <c r="G28" s="2177"/>
      <c r="H28" s="2175"/>
      <c r="I28" s="2175"/>
      <c r="J28" s="2176"/>
    </row>
    <row r="29" spans="1:10" ht="12.75">
      <c r="A29" s="2168">
        <v>13</v>
      </c>
      <c r="B29" s="2178"/>
      <c r="C29" s="2174"/>
      <c r="D29" s="2175"/>
      <c r="E29" s="2218"/>
      <c r="F29" s="2176"/>
      <c r="G29" s="2177"/>
      <c r="H29" s="2175"/>
      <c r="I29" s="2175"/>
      <c r="J29" s="2176"/>
    </row>
    <row r="30" spans="1:10" ht="12.75">
      <c r="A30" s="2168">
        <v>14</v>
      </c>
      <c r="B30" s="2178"/>
      <c r="C30" s="2174"/>
      <c r="D30" s="2175"/>
      <c r="E30" s="2218"/>
      <c r="F30" s="2176"/>
      <c r="G30" s="2177"/>
      <c r="H30" s="2175"/>
      <c r="I30" s="2175"/>
      <c r="J30" s="2176"/>
    </row>
    <row r="31" spans="1:10" ht="12.75">
      <c r="A31" s="2168">
        <v>15</v>
      </c>
      <c r="B31" s="2179"/>
      <c r="C31" s="2174"/>
      <c r="D31" s="2175"/>
      <c r="E31" s="2218"/>
      <c r="F31" s="2176"/>
      <c r="G31" s="2177"/>
      <c r="H31" s="2175"/>
      <c r="I31" s="2175"/>
      <c r="J31" s="2176"/>
    </row>
    <row r="32" spans="1:10" ht="12.75">
      <c r="A32" s="2168">
        <v>16</v>
      </c>
      <c r="B32" s="2173"/>
      <c r="C32" s="2174"/>
      <c r="D32" s="2175"/>
      <c r="E32" s="2218"/>
      <c r="F32" s="2176"/>
      <c r="G32" s="2177"/>
      <c r="H32" s="2175"/>
      <c r="I32" s="2175"/>
      <c r="J32" s="2176"/>
    </row>
    <row r="33" spans="1:10" ht="12.75">
      <c r="A33" s="2168">
        <v>17</v>
      </c>
      <c r="B33" s="2178"/>
      <c r="C33" s="2174"/>
      <c r="D33" s="2175"/>
      <c r="E33" s="2218"/>
      <c r="F33" s="2176"/>
      <c r="G33" s="2177"/>
      <c r="H33" s="2175"/>
      <c r="I33" s="2175"/>
      <c r="J33" s="2176"/>
    </row>
    <row r="34" spans="1:10" ht="12.75">
      <c r="A34" s="2168">
        <v>18</v>
      </c>
      <c r="B34" s="2173"/>
      <c r="C34" s="2174"/>
      <c r="D34" s="2175"/>
      <c r="E34" s="2218"/>
      <c r="F34" s="2176"/>
      <c r="G34" s="2177"/>
      <c r="H34" s="2175"/>
      <c r="I34" s="2175"/>
      <c r="J34" s="2176"/>
    </row>
    <row r="35" spans="1:10" ht="12.75">
      <c r="A35" s="2168">
        <v>19</v>
      </c>
      <c r="B35" s="2178"/>
      <c r="C35" s="2174"/>
      <c r="D35" s="2175"/>
      <c r="E35" s="2218"/>
      <c r="F35" s="2176"/>
      <c r="G35" s="2177"/>
      <c r="H35" s="2175"/>
      <c r="I35" s="2175"/>
      <c r="J35" s="2176"/>
    </row>
    <row r="36" spans="1:10" ht="12.75">
      <c r="A36" s="2168">
        <v>20</v>
      </c>
      <c r="B36" s="2178"/>
      <c r="C36" s="2174"/>
      <c r="D36" s="2175"/>
      <c r="E36" s="2218"/>
      <c r="F36" s="2176"/>
      <c r="G36" s="2177"/>
      <c r="H36" s="2175"/>
      <c r="I36" s="2175"/>
      <c r="J36" s="2176"/>
    </row>
    <row r="37" spans="1:10" ht="12.75">
      <c r="A37" s="2168">
        <v>21</v>
      </c>
      <c r="B37" s="2178"/>
      <c r="C37" s="2174"/>
      <c r="D37" s="2175"/>
      <c r="E37" s="2218"/>
      <c r="F37" s="2176"/>
      <c r="G37" s="2177"/>
      <c r="H37" s="2175"/>
      <c r="I37" s="2175"/>
      <c r="J37" s="2176"/>
    </row>
    <row r="38" spans="1:10" ht="12.75">
      <c r="A38" s="2168">
        <v>22</v>
      </c>
      <c r="B38" s="2179"/>
      <c r="C38" s="2174"/>
      <c r="D38" s="2175"/>
      <c r="E38" s="2218"/>
      <c r="F38" s="2176"/>
      <c r="G38" s="2177"/>
      <c r="H38" s="2175"/>
      <c r="I38" s="2175"/>
      <c r="J38" s="2176"/>
    </row>
    <row r="39" spans="1:10" ht="12.75">
      <c r="A39" s="2168">
        <v>23</v>
      </c>
      <c r="B39" s="2179"/>
      <c r="C39" s="2174"/>
      <c r="D39" s="2175"/>
      <c r="E39" s="2218"/>
      <c r="F39" s="2176"/>
      <c r="G39" s="2177"/>
      <c r="H39" s="2175"/>
      <c r="I39" s="2175"/>
      <c r="J39" s="2176"/>
    </row>
    <row r="40" spans="1:10" ht="12.75">
      <c r="A40" s="2168">
        <v>24</v>
      </c>
      <c r="B40" s="2173"/>
      <c r="C40" s="2174"/>
      <c r="D40" s="2175"/>
      <c r="E40" s="2218"/>
      <c r="F40" s="2176"/>
      <c r="G40" s="2177"/>
      <c r="H40" s="2175"/>
      <c r="I40" s="2175"/>
      <c r="J40" s="2176"/>
    </row>
    <row r="41" spans="1:10" ht="12.75">
      <c r="A41" s="2168">
        <v>25</v>
      </c>
      <c r="B41" s="2178"/>
      <c r="C41" s="2174"/>
      <c r="D41" s="2175"/>
      <c r="E41" s="2218"/>
      <c r="F41" s="2176"/>
      <c r="G41" s="2177"/>
      <c r="H41" s="2175"/>
      <c r="I41" s="2175"/>
      <c r="J41" s="2176"/>
    </row>
    <row r="42" spans="1:10" ht="12.75">
      <c r="A42" s="2168">
        <v>26</v>
      </c>
      <c r="B42" s="2173"/>
      <c r="C42" s="2174"/>
      <c r="D42" s="2175"/>
      <c r="E42" s="2218"/>
      <c r="F42" s="2176"/>
      <c r="G42" s="2177"/>
      <c r="H42" s="2175"/>
      <c r="I42" s="2175"/>
      <c r="J42" s="2176"/>
    </row>
    <row r="43" spans="1:10" ht="12.75">
      <c r="A43" s="2168">
        <v>27</v>
      </c>
      <c r="B43" s="2178"/>
      <c r="C43" s="2174"/>
      <c r="D43" s="2175"/>
      <c r="E43" s="2218"/>
      <c r="F43" s="2176"/>
      <c r="G43" s="2177"/>
      <c r="H43" s="2175"/>
      <c r="I43" s="2175"/>
      <c r="J43" s="2176"/>
    </row>
    <row r="44" spans="1:10" ht="12.75">
      <c r="A44" s="2168">
        <v>28</v>
      </c>
      <c r="B44" s="2178"/>
      <c r="C44" s="2174"/>
      <c r="D44" s="2175"/>
      <c r="E44" s="2218"/>
      <c r="F44" s="2176"/>
      <c r="G44" s="2177"/>
      <c r="H44" s="2175"/>
      <c r="I44" s="2175"/>
      <c r="J44" s="2176"/>
    </row>
    <row r="45" spans="1:10" ht="12.75">
      <c r="A45" s="2168">
        <v>29</v>
      </c>
      <c r="B45" s="2178"/>
      <c r="C45" s="2174"/>
      <c r="D45" s="2175"/>
      <c r="E45" s="2218"/>
      <c r="F45" s="2176"/>
      <c r="G45" s="2177"/>
      <c r="H45" s="2175"/>
      <c r="I45" s="2175"/>
      <c r="J45" s="2176"/>
    </row>
    <row r="46" spans="1:10" ht="12.75">
      <c r="A46" s="2168">
        <v>30</v>
      </c>
      <c r="B46" s="2179"/>
      <c r="C46" s="2174"/>
      <c r="D46" s="2175"/>
      <c r="E46" s="2218"/>
      <c r="F46" s="2176"/>
      <c r="G46" s="2177"/>
      <c r="H46" s="2175"/>
      <c r="I46" s="2175"/>
      <c r="J46" s="2176"/>
    </row>
    <row r="47" spans="1:10" ht="12.75">
      <c r="A47" s="2168">
        <v>31</v>
      </c>
      <c r="B47" s="2178"/>
      <c r="C47" s="2174"/>
      <c r="D47" s="2175"/>
      <c r="E47" s="2218"/>
      <c r="F47" s="2176"/>
      <c r="G47" s="2177"/>
      <c r="H47" s="2175"/>
      <c r="I47" s="2175"/>
      <c r="J47" s="2176"/>
    </row>
    <row r="48" spans="1:10" ht="12.75">
      <c r="A48" s="2168">
        <v>32</v>
      </c>
      <c r="B48" s="2173"/>
      <c r="C48" s="2174"/>
      <c r="D48" s="2175"/>
      <c r="E48" s="2218"/>
      <c r="F48" s="2176"/>
      <c r="G48" s="2177"/>
      <c r="H48" s="2175"/>
      <c r="I48" s="2175"/>
      <c r="J48" s="2176"/>
    </row>
    <row r="49" spans="1:10" ht="12.75">
      <c r="A49" s="2168">
        <v>33</v>
      </c>
      <c r="B49" s="2178"/>
      <c r="C49" s="2174"/>
      <c r="D49" s="2175"/>
      <c r="E49" s="2218"/>
      <c r="F49" s="2176"/>
      <c r="G49" s="2177"/>
      <c r="H49" s="2175"/>
      <c r="I49" s="2175"/>
      <c r="J49" s="2176"/>
    </row>
    <row r="50" spans="1:10" ht="12.75">
      <c r="A50" s="2168">
        <v>34</v>
      </c>
      <c r="B50" s="2178"/>
      <c r="C50" s="2174"/>
      <c r="D50" s="2175"/>
      <c r="E50" s="2218"/>
      <c r="F50" s="2176"/>
      <c r="G50" s="2177"/>
      <c r="H50" s="2175"/>
      <c r="I50" s="2175"/>
      <c r="J50" s="2176"/>
    </row>
    <row r="51" spans="1:10" ht="12.75">
      <c r="A51" s="2168">
        <v>35</v>
      </c>
      <c r="B51" s="2178"/>
      <c r="C51" s="2174"/>
      <c r="D51" s="2175"/>
      <c r="E51" s="2218"/>
      <c r="F51" s="2176"/>
      <c r="G51" s="2177"/>
      <c r="H51" s="2175"/>
      <c r="I51" s="2175"/>
      <c r="J51" s="2176"/>
    </row>
    <row r="52" spans="1:10" ht="12.75">
      <c r="A52" s="2168">
        <v>36</v>
      </c>
      <c r="B52" s="2179"/>
      <c r="C52" s="2174"/>
      <c r="D52" s="2175"/>
      <c r="E52" s="2218"/>
      <c r="F52" s="2176"/>
      <c r="G52" s="2177"/>
      <c r="H52" s="2175"/>
      <c r="I52" s="2175"/>
      <c r="J52" s="2176"/>
    </row>
    <row r="53" spans="1:10" ht="12.75">
      <c r="A53" s="2168">
        <v>37</v>
      </c>
      <c r="B53" s="2173"/>
      <c r="C53" s="2174"/>
      <c r="D53" s="2175"/>
      <c r="E53" s="2218"/>
      <c r="F53" s="2176"/>
      <c r="G53" s="2177"/>
      <c r="H53" s="2175"/>
      <c r="I53" s="2175"/>
      <c r="J53" s="2176"/>
    </row>
    <row r="54" spans="1:10" ht="12.75">
      <c r="A54" s="2168">
        <v>38</v>
      </c>
      <c r="B54" s="2178"/>
      <c r="C54" s="2174"/>
      <c r="D54" s="2175"/>
      <c r="E54" s="2218"/>
      <c r="F54" s="2176"/>
      <c r="G54" s="2177"/>
      <c r="H54" s="2175"/>
      <c r="I54" s="2175"/>
      <c r="J54" s="2176"/>
    </row>
    <row r="55" spans="1:10" ht="12.75">
      <c r="A55" s="2168">
        <v>39</v>
      </c>
      <c r="B55" s="2173"/>
      <c r="C55" s="2174"/>
      <c r="D55" s="2175"/>
      <c r="E55" s="2218"/>
      <c r="F55" s="2176"/>
      <c r="G55" s="2177"/>
      <c r="H55" s="2175"/>
      <c r="I55" s="2175"/>
      <c r="J55" s="2176"/>
    </row>
    <row r="56" spans="1:10" ht="12.75">
      <c r="A56" s="2168">
        <v>40</v>
      </c>
      <c r="B56" s="2178"/>
      <c r="C56" s="2174"/>
      <c r="D56" s="2175"/>
      <c r="E56" s="2218"/>
      <c r="F56" s="2176"/>
      <c r="G56" s="2177"/>
      <c r="H56" s="2175"/>
      <c r="I56" s="2175"/>
      <c r="J56" s="2176"/>
    </row>
    <row r="57" spans="1:10" ht="12.75">
      <c r="A57" s="2180"/>
      <c r="B57" s="2181" t="s">
        <v>1996</v>
      </c>
      <c r="C57" s="2170">
        <f>SUM(C58:C71)</f>
        <v>0</v>
      </c>
      <c r="D57" s="2171"/>
      <c r="E57" s="2225"/>
      <c r="F57" s="2172"/>
      <c r="G57" s="2170">
        <f>SUM(G58:G71)</f>
        <v>0</v>
      </c>
      <c r="H57" s="2171"/>
      <c r="I57" s="2171"/>
      <c r="J57" s="2172"/>
    </row>
    <row r="58" spans="1:10" ht="12.75">
      <c r="A58" s="2168">
        <v>1</v>
      </c>
      <c r="B58" s="2178"/>
      <c r="C58" s="2174"/>
      <c r="D58" s="2175"/>
      <c r="E58" s="2218"/>
      <c r="F58" s="2176"/>
      <c r="G58" s="2177"/>
      <c r="H58" s="2175"/>
      <c r="I58" s="2175"/>
      <c r="J58" s="2176"/>
    </row>
    <row r="59" spans="1:10" ht="12.75">
      <c r="A59" s="2168">
        <v>2</v>
      </c>
      <c r="B59" s="2178"/>
      <c r="C59" s="2174"/>
      <c r="D59" s="2175"/>
      <c r="E59" s="2218"/>
      <c r="F59" s="2176"/>
      <c r="G59" s="2177"/>
      <c r="H59" s="2175"/>
      <c r="I59" s="2175"/>
      <c r="J59" s="2176"/>
    </row>
    <row r="60" spans="1:10" ht="12.75">
      <c r="A60" s="2168">
        <v>3</v>
      </c>
      <c r="B60" s="2178"/>
      <c r="C60" s="2174"/>
      <c r="D60" s="2175"/>
      <c r="E60" s="2218"/>
      <c r="F60" s="2176"/>
      <c r="G60" s="2177"/>
      <c r="H60" s="2175"/>
      <c r="I60" s="2175"/>
      <c r="J60" s="2176"/>
    </row>
    <row r="61" spans="1:10" ht="12.75">
      <c r="A61" s="2168">
        <v>4</v>
      </c>
      <c r="B61" s="2178"/>
      <c r="C61" s="2174"/>
      <c r="D61" s="2175"/>
      <c r="E61" s="2218"/>
      <c r="F61" s="2176"/>
      <c r="G61" s="2177"/>
      <c r="H61" s="2175"/>
      <c r="I61" s="2175"/>
      <c r="J61" s="2176"/>
    </row>
    <row r="62" spans="1:10" ht="12.75">
      <c r="A62" s="2168">
        <v>5</v>
      </c>
      <c r="B62" s="2178"/>
      <c r="C62" s="2174"/>
      <c r="D62" s="2175"/>
      <c r="E62" s="2218"/>
      <c r="F62" s="2176"/>
      <c r="G62" s="2177"/>
      <c r="H62" s="2175"/>
      <c r="I62" s="2175"/>
      <c r="J62" s="2176"/>
    </row>
    <row r="63" spans="1:10" ht="12.75">
      <c r="A63" s="2168">
        <v>6</v>
      </c>
      <c r="B63" s="2178"/>
      <c r="C63" s="2174"/>
      <c r="D63" s="2175"/>
      <c r="E63" s="2218"/>
      <c r="F63" s="2176"/>
      <c r="G63" s="2177"/>
      <c r="H63" s="2175"/>
      <c r="I63" s="2175"/>
      <c r="J63" s="2176"/>
    </row>
    <row r="64" spans="1:10" ht="12.75">
      <c r="A64" s="2168">
        <v>7</v>
      </c>
      <c r="B64" s="2178"/>
      <c r="C64" s="2174"/>
      <c r="D64" s="2175"/>
      <c r="E64" s="2218"/>
      <c r="F64" s="2176"/>
      <c r="G64" s="2177"/>
      <c r="H64" s="2175"/>
      <c r="I64" s="2175"/>
      <c r="J64" s="2176"/>
    </row>
    <row r="65" spans="1:10" ht="12.75">
      <c r="A65" s="2168">
        <v>8</v>
      </c>
      <c r="B65" s="2179"/>
      <c r="C65" s="2174"/>
      <c r="D65" s="2175"/>
      <c r="E65" s="2218"/>
      <c r="F65" s="2176"/>
      <c r="G65" s="2177"/>
      <c r="H65" s="2175"/>
      <c r="I65" s="2175"/>
      <c r="J65" s="2176"/>
    </row>
    <row r="66" spans="1:10" ht="12.75">
      <c r="A66" s="2168">
        <v>9</v>
      </c>
      <c r="B66" s="2179"/>
      <c r="C66" s="2174"/>
      <c r="D66" s="2175"/>
      <c r="E66" s="2218"/>
      <c r="F66" s="2176"/>
      <c r="G66" s="2177"/>
      <c r="H66" s="2175"/>
      <c r="I66" s="2175"/>
      <c r="J66" s="2176"/>
    </row>
    <row r="67" spans="1:10" ht="12.75">
      <c r="A67" s="2168">
        <v>10</v>
      </c>
      <c r="B67" s="2173"/>
      <c r="C67" s="2174"/>
      <c r="D67" s="2175"/>
      <c r="E67" s="2218"/>
      <c r="F67" s="2176"/>
      <c r="G67" s="2177"/>
      <c r="H67" s="2175"/>
      <c r="I67" s="2175"/>
      <c r="J67" s="2176"/>
    </row>
    <row r="68" spans="1:10" ht="12.75">
      <c r="A68" s="2168">
        <v>11</v>
      </c>
      <c r="B68" s="2178"/>
      <c r="C68" s="2174"/>
      <c r="D68" s="2175"/>
      <c r="E68" s="2218"/>
      <c r="F68" s="2176"/>
      <c r="G68" s="2177"/>
      <c r="H68" s="2175"/>
      <c r="I68" s="2175"/>
      <c r="J68" s="2176"/>
    </row>
    <row r="69" spans="1:10" ht="12.75">
      <c r="A69" s="2168">
        <v>12</v>
      </c>
      <c r="B69" s="2173"/>
      <c r="C69" s="2174"/>
      <c r="D69" s="2175"/>
      <c r="E69" s="2218"/>
      <c r="F69" s="2176"/>
      <c r="G69" s="2177"/>
      <c r="H69" s="2175"/>
      <c r="I69" s="2175"/>
      <c r="J69" s="2176"/>
    </row>
    <row r="70" spans="1:10" ht="12.75">
      <c r="A70" s="2168">
        <v>13</v>
      </c>
      <c r="B70" s="2178"/>
      <c r="C70" s="2174"/>
      <c r="D70" s="2175"/>
      <c r="E70" s="2218"/>
      <c r="F70" s="2176"/>
      <c r="G70" s="2177"/>
      <c r="H70" s="2175"/>
      <c r="I70" s="2175"/>
      <c r="J70" s="2176"/>
    </row>
    <row r="71" spans="1:10" ht="12.75">
      <c r="A71" s="2168">
        <v>14</v>
      </c>
      <c r="B71" s="2178"/>
      <c r="C71" s="2174"/>
      <c r="D71" s="2175"/>
      <c r="E71" s="2218"/>
      <c r="F71" s="2176"/>
      <c r="G71" s="2177"/>
      <c r="H71" s="2175"/>
      <c r="I71" s="2175"/>
      <c r="J71" s="2176"/>
    </row>
    <row r="72" spans="1:10" s="2139" customFormat="1" ht="12.75">
      <c r="A72" s="2182"/>
      <c r="B72" s="2183" t="s">
        <v>893</v>
      </c>
      <c r="C72" s="2184"/>
      <c r="D72" s="2185"/>
      <c r="E72" s="2226"/>
      <c r="F72" s="2186"/>
      <c r="G72" s="2184"/>
      <c r="H72" s="2185"/>
      <c r="I72" s="2185"/>
      <c r="J72" s="2187"/>
    </row>
    <row r="73" spans="1:10" s="2139" customFormat="1" ht="12.75">
      <c r="A73" s="2939" t="s">
        <v>894</v>
      </c>
      <c r="B73" s="2940"/>
      <c r="C73" s="2184">
        <f>+C74+C86</f>
        <v>0</v>
      </c>
      <c r="D73" s="2185"/>
      <c r="E73" s="2226"/>
      <c r="F73" s="2186"/>
      <c r="G73" s="2184">
        <f>+G74+G86</f>
        <v>0</v>
      </c>
      <c r="H73" s="2185"/>
      <c r="I73" s="2185"/>
      <c r="J73" s="2187"/>
    </row>
    <row r="74" spans="1:10" ht="12.75">
      <c r="A74" s="2180"/>
      <c r="B74" s="2181" t="s">
        <v>1995</v>
      </c>
      <c r="C74" s="2170">
        <f>SUM(C75:C85)</f>
        <v>0</v>
      </c>
      <c r="D74" s="2171"/>
      <c r="E74" s="2225"/>
      <c r="F74" s="2172"/>
      <c r="G74" s="2170">
        <f>SUM(G75:G85)</f>
        <v>0</v>
      </c>
      <c r="H74" s="2171"/>
      <c r="I74" s="2171"/>
      <c r="J74" s="2172"/>
    </row>
    <row r="75" spans="1:10" ht="12.75">
      <c r="A75" s="2168">
        <v>1</v>
      </c>
      <c r="B75" s="2173"/>
      <c r="C75" s="2174"/>
      <c r="D75" s="2175"/>
      <c r="E75" s="2218"/>
      <c r="F75" s="2176"/>
      <c r="G75" s="2177"/>
      <c r="H75" s="2175"/>
      <c r="I75" s="2175"/>
      <c r="J75" s="2176"/>
    </row>
    <row r="76" spans="1:10" ht="12.75">
      <c r="A76" s="2168">
        <v>2</v>
      </c>
      <c r="B76" s="2173"/>
      <c r="C76" s="2174"/>
      <c r="D76" s="2175"/>
      <c r="E76" s="2218"/>
      <c r="F76" s="2176"/>
      <c r="G76" s="2177"/>
      <c r="H76" s="2175"/>
      <c r="I76" s="2175"/>
      <c r="J76" s="2176"/>
    </row>
    <row r="77" spans="1:10" ht="12.75">
      <c r="A77" s="2168">
        <v>3</v>
      </c>
      <c r="B77" s="2178"/>
      <c r="C77" s="2174"/>
      <c r="D77" s="2175"/>
      <c r="E77" s="2218"/>
      <c r="F77" s="2176"/>
      <c r="G77" s="2177"/>
      <c r="H77" s="2175"/>
      <c r="I77" s="2175"/>
      <c r="J77" s="2176"/>
    </row>
    <row r="78" spans="1:10" ht="12.75">
      <c r="A78" s="2168">
        <v>4</v>
      </c>
      <c r="B78" s="2178"/>
      <c r="C78" s="2174"/>
      <c r="D78" s="2175"/>
      <c r="E78" s="2218"/>
      <c r="F78" s="2176"/>
      <c r="G78" s="2177"/>
      <c r="H78" s="2175"/>
      <c r="I78" s="2175"/>
      <c r="J78" s="2176"/>
    </row>
    <row r="79" spans="1:10" ht="12.75">
      <c r="A79" s="2168">
        <v>5</v>
      </c>
      <c r="B79" s="2178"/>
      <c r="C79" s="2174"/>
      <c r="D79" s="2175"/>
      <c r="E79" s="2218"/>
      <c r="F79" s="2176"/>
      <c r="G79" s="2177"/>
      <c r="H79" s="2175"/>
      <c r="I79" s="2175"/>
      <c r="J79" s="2176"/>
    </row>
    <row r="80" spans="1:10" ht="12.75">
      <c r="A80" s="2168">
        <v>6</v>
      </c>
      <c r="B80" s="2178"/>
      <c r="C80" s="2174"/>
      <c r="D80" s="2175"/>
      <c r="E80" s="2218"/>
      <c r="F80" s="2176"/>
      <c r="G80" s="2177"/>
      <c r="H80" s="2175"/>
      <c r="I80" s="2175"/>
      <c r="J80" s="2176"/>
    </row>
    <row r="81" spans="1:10" ht="12.75">
      <c r="A81" s="2168">
        <v>7</v>
      </c>
      <c r="B81" s="2178"/>
      <c r="C81" s="2174"/>
      <c r="D81" s="2175"/>
      <c r="E81" s="2218"/>
      <c r="F81" s="2176"/>
      <c r="G81" s="2177"/>
      <c r="H81" s="2175"/>
      <c r="I81" s="2175"/>
      <c r="J81" s="2176"/>
    </row>
    <row r="82" spans="1:10" ht="12.75">
      <c r="A82" s="2168">
        <v>8</v>
      </c>
      <c r="B82" s="2178"/>
      <c r="C82" s="2174"/>
      <c r="D82" s="2175"/>
      <c r="E82" s="2218"/>
      <c r="F82" s="2176"/>
      <c r="G82" s="2177"/>
      <c r="H82" s="2175"/>
      <c r="I82" s="2175"/>
      <c r="J82" s="2176"/>
    </row>
    <row r="83" spans="1:10" ht="12.75">
      <c r="A83" s="2168">
        <v>9</v>
      </c>
      <c r="B83" s="2173"/>
      <c r="C83" s="2174"/>
      <c r="D83" s="2175"/>
      <c r="E83" s="2218"/>
      <c r="F83" s="2176"/>
      <c r="G83" s="2177"/>
      <c r="H83" s="2175"/>
      <c r="I83" s="2175"/>
      <c r="J83" s="2176"/>
    </row>
    <row r="84" spans="1:10" ht="12.75">
      <c r="A84" s="2168">
        <v>10</v>
      </c>
      <c r="B84" s="2173"/>
      <c r="C84" s="2174"/>
      <c r="D84" s="2175"/>
      <c r="E84" s="2218"/>
      <c r="F84" s="2176"/>
      <c r="G84" s="2177"/>
      <c r="H84" s="2175"/>
      <c r="I84" s="2175"/>
      <c r="J84" s="2176"/>
    </row>
    <row r="85" spans="1:10" ht="12.75">
      <c r="A85" s="2168">
        <v>11</v>
      </c>
      <c r="B85" s="2178"/>
      <c r="C85" s="2174"/>
      <c r="D85" s="2175"/>
      <c r="E85" s="2218"/>
      <c r="F85" s="2176"/>
      <c r="G85" s="2177"/>
      <c r="H85" s="2175"/>
      <c r="I85" s="2175"/>
      <c r="J85" s="2176"/>
    </row>
    <row r="86" spans="1:10" ht="12.75">
      <c r="A86" s="2180"/>
      <c r="B86" s="2181" t="s">
        <v>1996</v>
      </c>
      <c r="C86" s="2170">
        <f>+SUM(C87:C93)</f>
        <v>0</v>
      </c>
      <c r="D86" s="2171"/>
      <c r="E86" s="2225"/>
      <c r="F86" s="2172"/>
      <c r="G86" s="2170">
        <f>+SUM(G87:G93)</f>
        <v>0</v>
      </c>
      <c r="H86" s="2171"/>
      <c r="I86" s="2171"/>
      <c r="J86" s="2172"/>
    </row>
    <row r="87" spans="1:10" ht="12.75">
      <c r="A87" s="2168">
        <v>1</v>
      </c>
      <c r="B87" s="2178"/>
      <c r="C87" s="2174"/>
      <c r="D87" s="2175"/>
      <c r="E87" s="2218"/>
      <c r="F87" s="2176"/>
      <c r="G87" s="2177"/>
      <c r="H87" s="2175"/>
      <c r="I87" s="2175"/>
      <c r="J87" s="2176"/>
    </row>
    <row r="88" spans="1:10" ht="12.75">
      <c r="A88" s="2168">
        <v>2</v>
      </c>
      <c r="B88" s="2178"/>
      <c r="C88" s="2174"/>
      <c r="D88" s="2175"/>
      <c r="E88" s="2218"/>
      <c r="F88" s="2176"/>
      <c r="G88" s="2177"/>
      <c r="H88" s="2175"/>
      <c r="I88" s="2175"/>
      <c r="J88" s="2176"/>
    </row>
    <row r="89" spans="1:10" ht="12.75">
      <c r="A89" s="2168">
        <v>3</v>
      </c>
      <c r="B89" s="2178"/>
      <c r="C89" s="2174"/>
      <c r="D89" s="2175"/>
      <c r="E89" s="2218"/>
      <c r="F89" s="2176"/>
      <c r="G89" s="2177"/>
      <c r="H89" s="2175"/>
      <c r="I89" s="2175"/>
      <c r="J89" s="2176"/>
    </row>
    <row r="90" spans="1:10" ht="12.75">
      <c r="A90" s="2168">
        <v>4</v>
      </c>
      <c r="B90" s="2178"/>
      <c r="C90" s="2174"/>
      <c r="D90" s="2175"/>
      <c r="E90" s="2218"/>
      <c r="F90" s="2176"/>
      <c r="G90" s="2177"/>
      <c r="H90" s="2175"/>
      <c r="I90" s="2175"/>
      <c r="J90" s="2176"/>
    </row>
    <row r="91" spans="1:10" ht="12.75">
      <c r="A91" s="2168">
        <v>5</v>
      </c>
      <c r="B91" s="2173"/>
      <c r="C91" s="2174"/>
      <c r="D91" s="2175"/>
      <c r="E91" s="2218"/>
      <c r="F91" s="2176"/>
      <c r="G91" s="2177"/>
      <c r="H91" s="2175"/>
      <c r="I91" s="2175"/>
      <c r="J91" s="2176"/>
    </row>
    <row r="92" spans="1:10" ht="12.75">
      <c r="A92" s="2168">
        <v>6</v>
      </c>
      <c r="B92" s="2178"/>
      <c r="C92" s="2174"/>
      <c r="D92" s="2175"/>
      <c r="E92" s="2218"/>
      <c r="F92" s="2176"/>
      <c r="G92" s="2177"/>
      <c r="H92" s="2175"/>
      <c r="I92" s="2175"/>
      <c r="J92" s="2176"/>
    </row>
    <row r="93" spans="1:10" ht="12.75">
      <c r="A93" s="2168">
        <v>7</v>
      </c>
      <c r="B93" s="2178"/>
      <c r="C93" s="2174"/>
      <c r="D93" s="2175"/>
      <c r="E93" s="2218"/>
      <c r="F93" s="2176"/>
      <c r="G93" s="2177"/>
      <c r="H93" s="2175"/>
      <c r="I93" s="2175"/>
      <c r="J93" s="2176"/>
    </row>
    <row r="94" spans="1:10" s="2139" customFormat="1" ht="12.75">
      <c r="A94" s="2182"/>
      <c r="B94" s="2183" t="s">
        <v>895</v>
      </c>
      <c r="C94" s="2184"/>
      <c r="D94" s="2185"/>
      <c r="E94" s="2226"/>
      <c r="F94" s="2186"/>
      <c r="G94" s="2184"/>
      <c r="H94" s="2185"/>
      <c r="I94" s="2185"/>
      <c r="J94" s="2187"/>
    </row>
    <row r="95" spans="1:10" s="2139" customFormat="1" ht="12.75">
      <c r="A95" s="2939" t="s">
        <v>896</v>
      </c>
      <c r="B95" s="2940"/>
      <c r="C95" s="2184">
        <f>+C96+C106</f>
        <v>0</v>
      </c>
      <c r="D95" s="2185"/>
      <c r="E95" s="2226"/>
      <c r="F95" s="2186"/>
      <c r="G95" s="2184">
        <f>+G96+G106</f>
        <v>0</v>
      </c>
      <c r="H95" s="2185"/>
      <c r="I95" s="2185"/>
      <c r="J95" s="2187"/>
    </row>
    <row r="96" spans="1:10" ht="12.75">
      <c r="A96" s="2180"/>
      <c r="B96" s="2181" t="s">
        <v>1995</v>
      </c>
      <c r="C96" s="2170">
        <f>SUM(C97:C105)</f>
        <v>0</v>
      </c>
      <c r="D96" s="2171"/>
      <c r="E96" s="2225"/>
      <c r="F96" s="2172"/>
      <c r="G96" s="2170">
        <f>SUM(G97:G105)</f>
        <v>0</v>
      </c>
      <c r="H96" s="2171"/>
      <c r="I96" s="2171"/>
      <c r="J96" s="2172"/>
    </row>
    <row r="97" spans="1:10" ht="12.75">
      <c r="A97" s="2168">
        <v>1</v>
      </c>
      <c r="B97" s="2173"/>
      <c r="C97" s="2174"/>
      <c r="D97" s="2175"/>
      <c r="E97" s="2218"/>
      <c r="F97" s="2176"/>
      <c r="G97" s="2177"/>
      <c r="H97" s="2175"/>
      <c r="I97" s="2175"/>
      <c r="J97" s="2176"/>
    </row>
    <row r="98" spans="1:10" ht="12.75">
      <c r="A98" s="2168">
        <v>2</v>
      </c>
      <c r="B98" s="2173"/>
      <c r="C98" s="2174"/>
      <c r="D98" s="2175"/>
      <c r="E98" s="2218"/>
      <c r="F98" s="2176"/>
      <c r="G98" s="2177"/>
      <c r="H98" s="2175"/>
      <c r="I98" s="2175"/>
      <c r="J98" s="2176"/>
    </row>
    <row r="99" spans="1:10" ht="12.75">
      <c r="A99" s="2168">
        <v>3</v>
      </c>
      <c r="B99" s="2173"/>
      <c r="C99" s="2174"/>
      <c r="D99" s="2175"/>
      <c r="E99" s="2218"/>
      <c r="F99" s="2176"/>
      <c r="G99" s="2177"/>
      <c r="H99" s="2175"/>
      <c r="I99" s="2175"/>
      <c r="J99" s="2176"/>
    </row>
    <row r="100" spans="1:10" ht="12.75">
      <c r="A100" s="2168">
        <v>4</v>
      </c>
      <c r="B100" s="2178"/>
      <c r="C100" s="2174"/>
      <c r="D100" s="2175"/>
      <c r="E100" s="2218"/>
      <c r="F100" s="2176"/>
      <c r="G100" s="2177"/>
      <c r="H100" s="2175"/>
      <c r="I100" s="2175"/>
      <c r="J100" s="2176"/>
    </row>
    <row r="101" spans="1:10" ht="12.75">
      <c r="A101" s="2168">
        <v>5</v>
      </c>
      <c r="B101" s="2173"/>
      <c r="C101" s="2174"/>
      <c r="D101" s="2175"/>
      <c r="E101" s="2218"/>
      <c r="F101" s="2176"/>
      <c r="G101" s="2177"/>
      <c r="H101" s="2175"/>
      <c r="I101" s="2175"/>
      <c r="J101" s="2176"/>
    </row>
    <row r="102" spans="1:10" ht="12.75">
      <c r="A102" s="2168">
        <v>6</v>
      </c>
      <c r="B102" s="2173"/>
      <c r="C102" s="2174"/>
      <c r="D102" s="2175"/>
      <c r="E102" s="2218"/>
      <c r="F102" s="2176"/>
      <c r="G102" s="2177"/>
      <c r="H102" s="2175"/>
      <c r="I102" s="2175"/>
      <c r="J102" s="2176"/>
    </row>
    <row r="103" spans="1:10" ht="12.75">
      <c r="A103" s="2168">
        <v>7</v>
      </c>
      <c r="B103" s="2178"/>
      <c r="C103" s="2174"/>
      <c r="D103" s="2175"/>
      <c r="E103" s="2218"/>
      <c r="F103" s="2176"/>
      <c r="G103" s="2177"/>
      <c r="H103" s="2175"/>
      <c r="I103" s="2175"/>
      <c r="J103" s="2176"/>
    </row>
    <row r="104" spans="1:10" ht="12.75">
      <c r="A104" s="2168">
        <v>8</v>
      </c>
      <c r="B104" s="2173"/>
      <c r="C104" s="2174"/>
      <c r="D104" s="2175"/>
      <c r="E104" s="2218"/>
      <c r="F104" s="2176"/>
      <c r="G104" s="2177"/>
      <c r="H104" s="2175"/>
      <c r="I104" s="2175"/>
      <c r="J104" s="2176"/>
    </row>
    <row r="105" spans="1:10" ht="12.75">
      <c r="A105" s="2168">
        <v>9</v>
      </c>
      <c r="B105" s="2173"/>
      <c r="C105" s="2174"/>
      <c r="D105" s="2175"/>
      <c r="E105" s="2218"/>
      <c r="F105" s="2176"/>
      <c r="G105" s="2177"/>
      <c r="H105" s="2175"/>
      <c r="I105" s="2175"/>
      <c r="J105" s="2176"/>
    </row>
    <row r="106" spans="1:10" ht="12.75">
      <c r="A106" s="2180"/>
      <c r="B106" s="2181" t="s">
        <v>1996</v>
      </c>
      <c r="C106" s="2170">
        <f>SUM(C107:C115)</f>
        <v>0</v>
      </c>
      <c r="D106" s="2171"/>
      <c r="E106" s="2225"/>
      <c r="F106" s="2172"/>
      <c r="G106" s="2170">
        <f>SUM(G107:G115)</f>
        <v>0</v>
      </c>
      <c r="H106" s="2171"/>
      <c r="I106" s="2171"/>
      <c r="J106" s="2172"/>
    </row>
    <row r="107" spans="1:10" ht="12.75">
      <c r="A107" s="2168">
        <v>1</v>
      </c>
      <c r="B107" s="2173"/>
      <c r="C107" s="2174"/>
      <c r="D107" s="2175"/>
      <c r="E107" s="2218"/>
      <c r="F107" s="2176"/>
      <c r="G107" s="2177"/>
      <c r="H107" s="2175"/>
      <c r="I107" s="2175"/>
      <c r="J107" s="2176"/>
    </row>
    <row r="108" spans="1:10" ht="12.75">
      <c r="A108" s="2168">
        <v>2</v>
      </c>
      <c r="B108" s="2178"/>
      <c r="C108" s="2174"/>
      <c r="D108" s="2175"/>
      <c r="E108" s="2218"/>
      <c r="F108" s="2176"/>
      <c r="G108" s="2177"/>
      <c r="H108" s="2175"/>
      <c r="I108" s="2175"/>
      <c r="J108" s="2176"/>
    </row>
    <row r="109" spans="1:10" ht="12.75">
      <c r="A109" s="2168">
        <v>3</v>
      </c>
      <c r="B109" s="2173"/>
      <c r="C109" s="2174"/>
      <c r="D109" s="2175"/>
      <c r="E109" s="2218"/>
      <c r="F109" s="2176"/>
      <c r="G109" s="2177"/>
      <c r="H109" s="2175"/>
      <c r="I109" s="2175"/>
      <c r="J109" s="2176"/>
    </row>
    <row r="110" spans="1:10" ht="12.75">
      <c r="A110" s="2168">
        <v>4</v>
      </c>
      <c r="B110" s="2173"/>
      <c r="C110" s="2174"/>
      <c r="D110" s="2175"/>
      <c r="E110" s="2218"/>
      <c r="F110" s="2176"/>
      <c r="G110" s="2177"/>
      <c r="H110" s="2175"/>
      <c r="I110" s="2175"/>
      <c r="J110" s="2176"/>
    </row>
    <row r="111" spans="1:10" ht="12.75">
      <c r="A111" s="2168">
        <v>5</v>
      </c>
      <c r="B111" s="2178"/>
      <c r="C111" s="2174"/>
      <c r="D111" s="2175"/>
      <c r="E111" s="2218"/>
      <c r="F111" s="2176"/>
      <c r="G111" s="2177"/>
      <c r="H111" s="2175"/>
      <c r="I111" s="2175"/>
      <c r="J111" s="2176"/>
    </row>
    <row r="112" spans="1:10" ht="12.75">
      <c r="A112" s="2168">
        <v>6</v>
      </c>
      <c r="B112" s="2173"/>
      <c r="C112" s="2174"/>
      <c r="D112" s="2175"/>
      <c r="E112" s="2218"/>
      <c r="F112" s="2176"/>
      <c r="G112" s="2177"/>
      <c r="H112" s="2175"/>
      <c r="I112" s="2175"/>
      <c r="J112" s="2176"/>
    </row>
    <row r="113" spans="1:10" ht="12.75">
      <c r="A113" s="2168">
        <v>7</v>
      </c>
      <c r="B113" s="2173"/>
      <c r="C113" s="2174"/>
      <c r="D113" s="2175"/>
      <c r="E113" s="2218"/>
      <c r="F113" s="2176"/>
      <c r="G113" s="2177"/>
      <c r="H113" s="2175"/>
      <c r="I113" s="2175"/>
      <c r="J113" s="2176"/>
    </row>
    <row r="114" spans="1:10" ht="12.75">
      <c r="A114" s="2168">
        <v>8</v>
      </c>
      <c r="B114" s="2173"/>
      <c r="C114" s="2174"/>
      <c r="D114" s="2175"/>
      <c r="E114" s="2218"/>
      <c r="F114" s="2176"/>
      <c r="G114" s="2177"/>
      <c r="H114" s="2175"/>
      <c r="I114" s="2175"/>
      <c r="J114" s="2176"/>
    </row>
    <row r="115" spans="1:10" ht="12.75">
      <c r="A115" s="2168">
        <v>9</v>
      </c>
      <c r="B115" s="2173"/>
      <c r="C115" s="2174"/>
      <c r="D115" s="2175"/>
      <c r="E115" s="2218"/>
      <c r="F115" s="2176"/>
      <c r="G115" s="2177"/>
      <c r="H115" s="2175"/>
      <c r="I115" s="2175"/>
      <c r="J115" s="2176"/>
    </row>
    <row r="116" spans="1:10" s="2139" customFormat="1" ht="12.75">
      <c r="A116" s="2182"/>
      <c r="B116" s="2183" t="s">
        <v>897</v>
      </c>
      <c r="C116" s="2184"/>
      <c r="D116" s="2185"/>
      <c r="E116" s="2226"/>
      <c r="F116" s="2186"/>
      <c r="G116" s="2184"/>
      <c r="H116" s="2185"/>
      <c r="I116" s="2185"/>
      <c r="J116" s="2187"/>
    </row>
    <row r="117" spans="1:10" s="2139" customFormat="1" ht="12.75">
      <c r="A117" s="2939" t="s">
        <v>898</v>
      </c>
      <c r="B117" s="2940"/>
      <c r="C117" s="2184">
        <f>+C118+C145</f>
        <v>0</v>
      </c>
      <c r="D117" s="2185"/>
      <c r="E117" s="2226"/>
      <c r="F117" s="2186"/>
      <c r="G117" s="2184">
        <f>+G118+G145</f>
        <v>0</v>
      </c>
      <c r="H117" s="2185"/>
      <c r="I117" s="2185"/>
      <c r="J117" s="2187"/>
    </row>
    <row r="118" spans="1:10" ht="12.75">
      <c r="A118" s="2180"/>
      <c r="B118" s="2181" t="s">
        <v>1995</v>
      </c>
      <c r="C118" s="2170">
        <f>+SUM(C119:C144)</f>
        <v>0</v>
      </c>
      <c r="D118" s="2171"/>
      <c r="E118" s="2225"/>
      <c r="F118" s="2172"/>
      <c r="G118" s="2170">
        <f>+SUM(G119:G144)</f>
        <v>0</v>
      </c>
      <c r="H118" s="2171"/>
      <c r="I118" s="2171"/>
      <c r="J118" s="2172"/>
    </row>
    <row r="119" spans="1:10" ht="12.75">
      <c r="A119" s="2168">
        <v>1</v>
      </c>
      <c r="B119" s="2173"/>
      <c r="C119" s="2174"/>
      <c r="D119" s="2175"/>
      <c r="E119" s="2218"/>
      <c r="F119" s="2176"/>
      <c r="G119" s="2177"/>
      <c r="H119" s="2175"/>
      <c r="I119" s="2175"/>
      <c r="J119" s="2176"/>
    </row>
    <row r="120" spans="1:10" ht="12.75">
      <c r="A120" s="2168">
        <v>2</v>
      </c>
      <c r="B120" s="2173"/>
      <c r="C120" s="2174"/>
      <c r="D120" s="2175"/>
      <c r="E120" s="2218"/>
      <c r="F120" s="2176"/>
      <c r="G120" s="2177"/>
      <c r="H120" s="2175"/>
      <c r="I120" s="2175"/>
      <c r="J120" s="2176"/>
    </row>
    <row r="121" spans="1:10" ht="12.75">
      <c r="A121" s="2168">
        <v>3</v>
      </c>
      <c r="B121" s="2173"/>
      <c r="C121" s="2174"/>
      <c r="D121" s="2175"/>
      <c r="E121" s="2218"/>
      <c r="F121" s="2176"/>
      <c r="G121" s="2177"/>
      <c r="H121" s="2175"/>
      <c r="I121" s="2175"/>
      <c r="J121" s="2176"/>
    </row>
    <row r="122" spans="1:10" ht="12.75">
      <c r="A122" s="2168">
        <v>4</v>
      </c>
      <c r="B122" s="2173"/>
      <c r="C122" s="2174"/>
      <c r="D122" s="2175"/>
      <c r="E122" s="2218"/>
      <c r="F122" s="2176"/>
      <c r="G122" s="2177"/>
      <c r="H122" s="2175"/>
      <c r="I122" s="2175"/>
      <c r="J122" s="2176"/>
    </row>
    <row r="123" spans="1:10" ht="12.75">
      <c r="A123" s="2168">
        <v>5</v>
      </c>
      <c r="B123" s="2173"/>
      <c r="C123" s="2174"/>
      <c r="D123" s="2175"/>
      <c r="E123" s="2218"/>
      <c r="F123" s="2176"/>
      <c r="G123" s="2177"/>
      <c r="H123" s="2175"/>
      <c r="I123" s="2175"/>
      <c r="J123" s="2176"/>
    </row>
    <row r="124" spans="1:10" ht="12.75">
      <c r="A124" s="2168">
        <v>6</v>
      </c>
      <c r="B124" s="2173"/>
      <c r="C124" s="2174"/>
      <c r="D124" s="2175"/>
      <c r="E124" s="2218"/>
      <c r="F124" s="2176"/>
      <c r="G124" s="2177"/>
      <c r="H124" s="2175"/>
      <c r="I124" s="2175"/>
      <c r="J124" s="2176"/>
    </row>
    <row r="125" spans="1:10" ht="12.75">
      <c r="A125" s="2168">
        <v>7</v>
      </c>
      <c r="B125" s="2173"/>
      <c r="C125" s="2174"/>
      <c r="D125" s="2175"/>
      <c r="E125" s="2218"/>
      <c r="F125" s="2176"/>
      <c r="G125" s="2177"/>
      <c r="H125" s="2175"/>
      <c r="I125" s="2175"/>
      <c r="J125" s="2176"/>
    </row>
    <row r="126" spans="1:10" ht="12.75">
      <c r="A126" s="2168">
        <v>8</v>
      </c>
      <c r="B126" s="2178"/>
      <c r="C126" s="2188"/>
      <c r="D126" s="2189"/>
      <c r="E126" s="2227"/>
      <c r="F126" s="2190"/>
      <c r="G126" s="2191"/>
      <c r="H126" s="2189"/>
      <c r="I126" s="2189"/>
      <c r="J126" s="2190"/>
    </row>
    <row r="127" spans="1:10" ht="12.75">
      <c r="A127" s="2168">
        <v>9</v>
      </c>
      <c r="B127" s="2173"/>
      <c r="C127" s="2174"/>
      <c r="D127" s="2175"/>
      <c r="E127" s="2218"/>
      <c r="F127" s="2176"/>
      <c r="G127" s="2177"/>
      <c r="H127" s="2175"/>
      <c r="I127" s="2175"/>
      <c r="J127" s="2176"/>
    </row>
    <row r="128" spans="1:10" ht="12.75">
      <c r="A128" s="2168">
        <v>10</v>
      </c>
      <c r="B128" s="2173"/>
      <c r="C128" s="2174"/>
      <c r="D128" s="2175"/>
      <c r="E128" s="2218"/>
      <c r="F128" s="2176"/>
      <c r="G128" s="2177"/>
      <c r="H128" s="2175"/>
      <c r="I128" s="2175"/>
      <c r="J128" s="2176"/>
    </row>
    <row r="129" spans="1:10" ht="12.75">
      <c r="A129" s="2168">
        <v>11</v>
      </c>
      <c r="B129" s="2173"/>
      <c r="C129" s="2174"/>
      <c r="D129" s="2175"/>
      <c r="E129" s="2218"/>
      <c r="F129" s="2176"/>
      <c r="G129" s="2177"/>
      <c r="H129" s="2175"/>
      <c r="I129" s="2175"/>
      <c r="J129" s="2176"/>
    </row>
    <row r="130" spans="1:10" ht="12.75">
      <c r="A130" s="2168">
        <v>12</v>
      </c>
      <c r="B130" s="2173"/>
      <c r="C130" s="2174"/>
      <c r="D130" s="2175"/>
      <c r="E130" s="2218"/>
      <c r="F130" s="2176"/>
      <c r="G130" s="2177"/>
      <c r="H130" s="2175"/>
      <c r="I130" s="2175"/>
      <c r="J130" s="2176"/>
    </row>
    <row r="131" spans="1:10" ht="12.75">
      <c r="A131" s="2168">
        <v>13</v>
      </c>
      <c r="B131" s="2173"/>
      <c r="C131" s="2174"/>
      <c r="D131" s="2175"/>
      <c r="E131" s="2218"/>
      <c r="F131" s="2176"/>
      <c r="G131" s="2177"/>
      <c r="H131" s="2175"/>
      <c r="I131" s="2175"/>
      <c r="J131" s="2176"/>
    </row>
    <row r="132" spans="1:10" ht="12.75">
      <c r="A132" s="2168">
        <v>14</v>
      </c>
      <c r="B132" s="2173"/>
      <c r="C132" s="2174"/>
      <c r="D132" s="2175"/>
      <c r="E132" s="2218"/>
      <c r="F132" s="2176"/>
      <c r="G132" s="2177"/>
      <c r="H132" s="2175"/>
      <c r="I132" s="2175"/>
      <c r="J132" s="2176"/>
    </row>
    <row r="133" spans="1:10" ht="12.75">
      <c r="A133" s="2168">
        <v>15</v>
      </c>
      <c r="B133" s="2173"/>
      <c r="C133" s="2174"/>
      <c r="D133" s="2175"/>
      <c r="E133" s="2218"/>
      <c r="F133" s="2176"/>
      <c r="G133" s="2177"/>
      <c r="H133" s="2175"/>
      <c r="I133" s="2175"/>
      <c r="J133" s="2176"/>
    </row>
    <row r="134" spans="1:10" ht="12.75">
      <c r="A134" s="2168">
        <v>16</v>
      </c>
      <c r="B134" s="2178"/>
      <c r="C134" s="2188"/>
      <c r="D134" s="2189"/>
      <c r="E134" s="2227"/>
      <c r="F134" s="2190"/>
      <c r="G134" s="2191"/>
      <c r="H134" s="2189"/>
      <c r="I134" s="2189"/>
      <c r="J134" s="2190"/>
    </row>
    <row r="135" spans="1:10" ht="12.75">
      <c r="A135" s="2168">
        <v>17</v>
      </c>
      <c r="B135" s="2173"/>
      <c r="C135" s="2174"/>
      <c r="D135" s="2175"/>
      <c r="E135" s="2218"/>
      <c r="F135" s="2176"/>
      <c r="G135" s="2177"/>
      <c r="H135" s="2175"/>
      <c r="I135" s="2175"/>
      <c r="J135" s="2176"/>
    </row>
    <row r="136" spans="1:10" ht="12.75">
      <c r="A136" s="2168">
        <v>18</v>
      </c>
      <c r="B136" s="2173"/>
      <c r="C136" s="2174"/>
      <c r="D136" s="2175"/>
      <c r="E136" s="2218"/>
      <c r="F136" s="2176"/>
      <c r="G136" s="2177"/>
      <c r="H136" s="2175"/>
      <c r="I136" s="2175"/>
      <c r="J136" s="2176"/>
    </row>
    <row r="137" spans="1:10" ht="12.75">
      <c r="A137" s="2168">
        <v>19</v>
      </c>
      <c r="B137" s="2173"/>
      <c r="C137" s="2174"/>
      <c r="D137" s="2175"/>
      <c r="E137" s="2218"/>
      <c r="F137" s="2176"/>
      <c r="G137" s="2177"/>
      <c r="H137" s="2175"/>
      <c r="I137" s="2175"/>
      <c r="J137" s="2176"/>
    </row>
    <row r="138" spans="1:10" ht="12.75">
      <c r="A138" s="2168">
        <v>20</v>
      </c>
      <c r="B138" s="2173"/>
      <c r="C138" s="2174"/>
      <c r="D138" s="2175"/>
      <c r="E138" s="2218"/>
      <c r="F138" s="2176"/>
      <c r="G138" s="2177"/>
      <c r="H138" s="2175"/>
      <c r="I138" s="2175"/>
      <c r="J138" s="2176"/>
    </row>
    <row r="139" spans="1:10" ht="12.75">
      <c r="A139" s="2168">
        <v>21</v>
      </c>
      <c r="B139" s="2173"/>
      <c r="C139" s="2174"/>
      <c r="D139" s="2175"/>
      <c r="E139" s="2218"/>
      <c r="F139" s="2176"/>
      <c r="G139" s="2177"/>
      <c r="H139" s="2175"/>
      <c r="I139" s="2175"/>
      <c r="J139" s="2176"/>
    </row>
    <row r="140" spans="1:10" ht="12.75">
      <c r="A140" s="2168">
        <v>22</v>
      </c>
      <c r="B140" s="2173"/>
      <c r="C140" s="2174"/>
      <c r="D140" s="2175"/>
      <c r="E140" s="2218"/>
      <c r="F140" s="2176"/>
      <c r="G140" s="2177"/>
      <c r="H140" s="2175"/>
      <c r="I140" s="2175"/>
      <c r="J140" s="2176"/>
    </row>
    <row r="141" spans="1:10" ht="12.75">
      <c r="A141" s="2168">
        <v>23</v>
      </c>
      <c r="B141" s="2173"/>
      <c r="C141" s="2174"/>
      <c r="D141" s="2175"/>
      <c r="E141" s="2218"/>
      <c r="F141" s="2176"/>
      <c r="G141" s="2177"/>
      <c r="H141" s="2175"/>
      <c r="I141" s="2175"/>
      <c r="J141" s="2176"/>
    </row>
    <row r="142" spans="1:10" ht="12.75">
      <c r="A142" s="2168">
        <v>24</v>
      </c>
      <c r="B142" s="2178"/>
      <c r="C142" s="2188"/>
      <c r="D142" s="2189"/>
      <c r="E142" s="2227"/>
      <c r="F142" s="2190"/>
      <c r="G142" s="2191"/>
      <c r="H142" s="2189"/>
      <c r="I142" s="2189"/>
      <c r="J142" s="2190"/>
    </row>
    <row r="143" spans="1:10" ht="12.75">
      <c r="A143" s="2168">
        <v>25</v>
      </c>
      <c r="B143" s="2173"/>
      <c r="C143" s="2174"/>
      <c r="D143" s="2175"/>
      <c r="E143" s="2218"/>
      <c r="F143" s="2176"/>
      <c r="G143" s="2177"/>
      <c r="H143" s="2175"/>
      <c r="I143" s="2175"/>
      <c r="J143" s="2176"/>
    </row>
    <row r="144" spans="1:10" ht="12.75">
      <c r="A144" s="2168">
        <v>26</v>
      </c>
      <c r="B144" s="2173"/>
      <c r="C144" s="2174"/>
      <c r="D144" s="2175"/>
      <c r="E144" s="2218"/>
      <c r="F144" s="2176"/>
      <c r="G144" s="2177"/>
      <c r="H144" s="2175"/>
      <c r="I144" s="2175"/>
      <c r="J144" s="2176"/>
    </row>
    <row r="145" spans="1:10" ht="12.75">
      <c r="A145" s="2180"/>
      <c r="B145" s="2181" t="s">
        <v>1996</v>
      </c>
      <c r="C145" s="2170">
        <f>SUM(C146:C167)</f>
        <v>0</v>
      </c>
      <c r="D145" s="2171"/>
      <c r="E145" s="2225"/>
      <c r="F145" s="2172"/>
      <c r="G145" s="2170">
        <f>SUM(G146:G167)</f>
        <v>0</v>
      </c>
      <c r="H145" s="2171"/>
      <c r="I145" s="2171"/>
      <c r="J145" s="2172"/>
    </row>
    <row r="146" spans="1:10" ht="12.75">
      <c r="A146" s="2168">
        <v>1</v>
      </c>
      <c r="B146" s="2173"/>
      <c r="C146" s="2174"/>
      <c r="D146" s="2175"/>
      <c r="E146" s="2218"/>
      <c r="F146" s="2176"/>
      <c r="G146" s="2177"/>
      <c r="H146" s="2175"/>
      <c r="I146" s="2175"/>
      <c r="J146" s="2176"/>
    </row>
    <row r="147" spans="1:10" ht="12.75">
      <c r="A147" s="2168">
        <v>2</v>
      </c>
      <c r="B147" s="2173"/>
      <c r="C147" s="2174"/>
      <c r="D147" s="2175"/>
      <c r="E147" s="2218"/>
      <c r="F147" s="2176"/>
      <c r="G147" s="2177"/>
      <c r="H147" s="2175"/>
      <c r="I147" s="2175"/>
      <c r="J147" s="2176"/>
    </row>
    <row r="148" spans="1:10" ht="12.75">
      <c r="A148" s="2168">
        <v>3</v>
      </c>
      <c r="B148" s="2173"/>
      <c r="C148" s="2174"/>
      <c r="D148" s="2175"/>
      <c r="E148" s="2218"/>
      <c r="F148" s="2176"/>
      <c r="G148" s="2177"/>
      <c r="H148" s="2175"/>
      <c r="I148" s="2175"/>
      <c r="J148" s="2176"/>
    </row>
    <row r="149" spans="1:10" ht="12.75">
      <c r="A149" s="2168">
        <v>4</v>
      </c>
      <c r="B149" s="2173"/>
      <c r="C149" s="2174"/>
      <c r="D149" s="2175"/>
      <c r="E149" s="2218"/>
      <c r="F149" s="2176"/>
      <c r="G149" s="2177"/>
      <c r="H149" s="2175"/>
      <c r="I149" s="2175"/>
      <c r="J149" s="2176"/>
    </row>
    <row r="150" spans="1:10" ht="12.75">
      <c r="A150" s="2168">
        <v>5</v>
      </c>
      <c r="B150" s="2178"/>
      <c r="C150" s="2188"/>
      <c r="D150" s="2189"/>
      <c r="E150" s="2227"/>
      <c r="F150" s="2190"/>
      <c r="G150" s="2191"/>
      <c r="H150" s="2189"/>
      <c r="I150" s="2189"/>
      <c r="J150" s="2190"/>
    </row>
    <row r="151" spans="1:10" ht="12.75">
      <c r="A151" s="2168">
        <v>6</v>
      </c>
      <c r="B151" s="2173"/>
      <c r="C151" s="2174"/>
      <c r="D151" s="2175"/>
      <c r="E151" s="2218"/>
      <c r="F151" s="2176"/>
      <c r="G151" s="2177"/>
      <c r="H151" s="2175"/>
      <c r="I151" s="2175"/>
      <c r="J151" s="2176"/>
    </row>
    <row r="152" spans="1:10" ht="12.75">
      <c r="A152" s="2168">
        <v>7</v>
      </c>
      <c r="B152" s="2173"/>
      <c r="C152" s="2174"/>
      <c r="D152" s="2175"/>
      <c r="E152" s="2218"/>
      <c r="F152" s="2176"/>
      <c r="G152" s="2177"/>
      <c r="H152" s="2175"/>
      <c r="I152" s="2175"/>
      <c r="J152" s="2176"/>
    </row>
    <row r="153" spans="1:10" ht="12.75">
      <c r="A153" s="2168">
        <v>8</v>
      </c>
      <c r="B153" s="2173"/>
      <c r="C153" s="2174"/>
      <c r="D153" s="2175"/>
      <c r="E153" s="2218"/>
      <c r="F153" s="2176"/>
      <c r="G153" s="2177"/>
      <c r="H153" s="2175"/>
      <c r="I153" s="2175"/>
      <c r="J153" s="2176"/>
    </row>
    <row r="154" spans="1:10" ht="12.75">
      <c r="A154" s="2168">
        <v>9</v>
      </c>
      <c r="B154" s="2173"/>
      <c r="C154" s="2174"/>
      <c r="D154" s="2175"/>
      <c r="E154" s="2218"/>
      <c r="F154" s="2176"/>
      <c r="G154" s="2177"/>
      <c r="H154" s="2175"/>
      <c r="I154" s="2175"/>
      <c r="J154" s="2176"/>
    </row>
    <row r="155" spans="1:10" ht="12.75">
      <c r="A155" s="2168">
        <v>10</v>
      </c>
      <c r="B155" s="2173"/>
      <c r="C155" s="2174"/>
      <c r="D155" s="2175"/>
      <c r="E155" s="2218"/>
      <c r="F155" s="2176"/>
      <c r="G155" s="2177"/>
      <c r="H155" s="2175"/>
      <c r="I155" s="2175"/>
      <c r="J155" s="2176"/>
    </row>
    <row r="156" spans="1:10" ht="12.75">
      <c r="A156" s="2168">
        <v>11</v>
      </c>
      <c r="B156" s="2178"/>
      <c r="C156" s="2188"/>
      <c r="D156" s="2189"/>
      <c r="E156" s="2227"/>
      <c r="F156" s="2190"/>
      <c r="G156" s="2191"/>
      <c r="H156" s="2189"/>
      <c r="I156" s="2189"/>
      <c r="J156" s="2190"/>
    </row>
    <row r="157" spans="1:10" ht="12.75">
      <c r="A157" s="2168">
        <v>12</v>
      </c>
      <c r="B157" s="2173"/>
      <c r="C157" s="2174"/>
      <c r="D157" s="2175"/>
      <c r="E157" s="2218"/>
      <c r="F157" s="2176"/>
      <c r="G157" s="2177"/>
      <c r="H157" s="2175"/>
      <c r="I157" s="2175"/>
      <c r="J157" s="2176"/>
    </row>
    <row r="158" spans="1:10" ht="12.75">
      <c r="A158" s="2168">
        <v>13</v>
      </c>
      <c r="B158" s="2173"/>
      <c r="C158" s="2174"/>
      <c r="D158" s="2175"/>
      <c r="E158" s="2218"/>
      <c r="F158" s="2176"/>
      <c r="G158" s="2177"/>
      <c r="H158" s="2175"/>
      <c r="I158" s="2175"/>
      <c r="J158" s="2176"/>
    </row>
    <row r="159" spans="1:10" ht="12.75">
      <c r="A159" s="2168">
        <v>14</v>
      </c>
      <c r="B159" s="2173"/>
      <c r="C159" s="2174"/>
      <c r="D159" s="2175"/>
      <c r="E159" s="2218"/>
      <c r="F159" s="2176"/>
      <c r="G159" s="2177"/>
      <c r="H159" s="2175"/>
      <c r="I159" s="2175"/>
      <c r="J159" s="2176"/>
    </row>
    <row r="160" spans="1:10" ht="12.75">
      <c r="A160" s="2168">
        <v>15</v>
      </c>
      <c r="B160" s="2173"/>
      <c r="C160" s="2174"/>
      <c r="D160" s="2175"/>
      <c r="E160" s="2218"/>
      <c r="F160" s="2176"/>
      <c r="G160" s="2177"/>
      <c r="H160" s="2175"/>
      <c r="I160" s="2175"/>
      <c r="J160" s="2176"/>
    </row>
    <row r="161" spans="1:10" ht="12.75">
      <c r="A161" s="2168">
        <v>16</v>
      </c>
      <c r="B161" s="2173"/>
      <c r="C161" s="2174"/>
      <c r="D161" s="2175"/>
      <c r="E161" s="2218"/>
      <c r="F161" s="2176"/>
      <c r="G161" s="2177"/>
      <c r="H161" s="2175"/>
      <c r="I161" s="2175"/>
      <c r="J161" s="2176"/>
    </row>
    <row r="162" spans="1:10" ht="12.75">
      <c r="A162" s="2168">
        <v>17</v>
      </c>
      <c r="B162" s="2173"/>
      <c r="C162" s="2174"/>
      <c r="D162" s="2175"/>
      <c r="E162" s="2218"/>
      <c r="F162" s="2176"/>
      <c r="G162" s="2177"/>
      <c r="H162" s="2175"/>
      <c r="I162" s="2175"/>
      <c r="J162" s="2176"/>
    </row>
    <row r="163" spans="1:10" ht="12.75">
      <c r="A163" s="2168">
        <v>18</v>
      </c>
      <c r="B163" s="2173"/>
      <c r="C163" s="2174"/>
      <c r="D163" s="2175"/>
      <c r="E163" s="2218"/>
      <c r="F163" s="2176"/>
      <c r="G163" s="2177"/>
      <c r="H163" s="2175"/>
      <c r="I163" s="2175"/>
      <c r="J163" s="2176"/>
    </row>
    <row r="164" spans="1:10" ht="12.75">
      <c r="A164" s="2168">
        <v>19</v>
      </c>
      <c r="B164" s="2178"/>
      <c r="C164" s="2188"/>
      <c r="D164" s="2189"/>
      <c r="E164" s="2227"/>
      <c r="F164" s="2190"/>
      <c r="G164" s="2191"/>
      <c r="H164" s="2189"/>
      <c r="I164" s="2189"/>
      <c r="J164" s="2190"/>
    </row>
    <row r="165" spans="1:10" ht="12.75">
      <c r="A165" s="2168">
        <v>20</v>
      </c>
      <c r="B165" s="2173"/>
      <c r="C165" s="2174"/>
      <c r="D165" s="2175"/>
      <c r="E165" s="2218"/>
      <c r="F165" s="2176"/>
      <c r="G165" s="2177"/>
      <c r="H165" s="2175"/>
      <c r="I165" s="2175"/>
      <c r="J165" s="2176"/>
    </row>
    <row r="166" spans="1:10" ht="12.75">
      <c r="A166" s="2168">
        <v>21</v>
      </c>
      <c r="B166" s="2173"/>
      <c r="C166" s="2174"/>
      <c r="D166" s="2175"/>
      <c r="E166" s="2218"/>
      <c r="F166" s="2176"/>
      <c r="G166" s="2177"/>
      <c r="H166" s="2175"/>
      <c r="I166" s="2175"/>
      <c r="J166" s="2176"/>
    </row>
    <row r="167" spans="1:10" ht="13.5" thickBot="1">
      <c r="A167" s="2168">
        <v>22</v>
      </c>
      <c r="B167" s="2192"/>
      <c r="C167" s="2193"/>
      <c r="D167" s="2194"/>
      <c r="E167" s="2228"/>
      <c r="F167" s="2195"/>
      <c r="G167" s="2196"/>
      <c r="H167" s="2194"/>
      <c r="I167" s="2194"/>
      <c r="J167" s="2195"/>
    </row>
    <row r="168" spans="1:10" ht="13.5" thickTop="1">
      <c r="A168" s="2941"/>
      <c r="B168" s="2941"/>
    </row>
    <row r="169" spans="1:10" ht="12.75">
      <c r="A169" s="2942" t="s">
        <v>899</v>
      </c>
      <c r="B169" s="2942"/>
      <c r="C169" s="2933" t="s">
        <v>397</v>
      </c>
      <c r="D169" s="2933"/>
    </row>
    <row r="170" spans="1:10" ht="12.75">
      <c r="A170" s="2934" t="s">
        <v>900</v>
      </c>
      <c r="B170" s="2934"/>
      <c r="C170" s="2197" t="s">
        <v>901</v>
      </c>
    </row>
    <row r="171" spans="1:10" ht="12.75">
      <c r="A171" s="2198" t="s">
        <v>902</v>
      </c>
      <c r="B171" s="2199" t="s">
        <v>903</v>
      </c>
      <c r="C171" s="2199" t="s">
        <v>904</v>
      </c>
    </row>
    <row r="172" spans="1:10" ht="12.75">
      <c r="A172" s="2198" t="s">
        <v>905</v>
      </c>
      <c r="B172" s="2199" t="s">
        <v>906</v>
      </c>
      <c r="C172" s="2199" t="s">
        <v>907</v>
      </c>
    </row>
    <row r="173" spans="1:10" ht="12.75">
      <c r="A173" s="2198" t="s">
        <v>908</v>
      </c>
      <c r="B173" s="2199" t="s">
        <v>909</v>
      </c>
      <c r="C173" s="2199" t="s">
        <v>910</v>
      </c>
    </row>
    <row r="174" spans="1:10" ht="12.75">
      <c r="A174" s="2198" t="s">
        <v>911</v>
      </c>
      <c r="B174" s="2199" t="s">
        <v>912</v>
      </c>
      <c r="C174" s="2199" t="s">
        <v>913</v>
      </c>
      <c r="D174" s="2200"/>
    </row>
    <row r="175" spans="1:10" ht="12.75">
      <c r="A175" s="2198" t="s">
        <v>914</v>
      </c>
      <c r="B175" s="2199" t="s">
        <v>915</v>
      </c>
      <c r="C175" s="2199" t="s">
        <v>916</v>
      </c>
      <c r="D175" s="2200"/>
    </row>
    <row r="176" spans="1:10" ht="12.75">
      <c r="A176" s="2198" t="s">
        <v>917</v>
      </c>
      <c r="B176" s="2199" t="s">
        <v>918</v>
      </c>
      <c r="C176" s="2199" t="s">
        <v>919</v>
      </c>
    </row>
    <row r="177" spans="1:10" ht="12.75">
      <c r="A177" s="2198" t="s">
        <v>920</v>
      </c>
      <c r="B177" s="2199" t="s">
        <v>921</v>
      </c>
      <c r="C177" s="2199" t="s">
        <v>812</v>
      </c>
    </row>
    <row r="178" spans="1:10" ht="12.75">
      <c r="I178" s="2201"/>
      <c r="J178" s="2202" t="s">
        <v>396</v>
      </c>
    </row>
    <row r="179" spans="1:10" ht="12.75"/>
    <row r="180" spans="1:10" ht="12.75">
      <c r="B180" s="2203" t="s">
        <v>399</v>
      </c>
      <c r="J180" s="2204" t="s">
        <v>401</v>
      </c>
    </row>
    <row r="181" spans="1:10" ht="12.75">
      <c r="B181" s="2205" t="s">
        <v>402</v>
      </c>
      <c r="J181" s="2205" t="s">
        <v>404</v>
      </c>
    </row>
    <row r="182" spans="1:10" ht="12.75"/>
    <row r="183" spans="1:10" ht="12.75"/>
    <row r="184" spans="1:10" ht="12.75"/>
    <row r="185" spans="1:10" ht="12.75"/>
    <row r="186" spans="1:10" ht="12.75" hidden="1"/>
    <row r="187" spans="1:10" ht="12.75" hidden="1"/>
    <row r="188" spans="1:10" ht="12.75" hidden="1"/>
    <row r="189" spans="1:10" ht="12.75" hidden="1"/>
    <row r="190" spans="1:10" ht="12.75" hidden="1"/>
    <row r="191" spans="1:10" ht="12.75" hidden="1"/>
    <row r="192" spans="1:10" ht="12.75" hidden="1"/>
    <row r="193" ht="12.75" hidden="1"/>
    <row r="194" ht="12.75" hidden="1"/>
    <row r="195" ht="12.75" hidden="1"/>
    <row r="196" ht="12.75" hidden="1"/>
    <row r="197" ht="12.75" hidden="1"/>
    <row r="198" ht="12.75" hidden="1"/>
    <row r="199" ht="12.75" hidden="1"/>
    <row r="200" ht="12.75" hidden="1"/>
    <row r="201" ht="12.75" hidden="1"/>
    <row r="202" ht="12.75" hidden="1"/>
    <row r="203" ht="12.75" hidden="1"/>
    <row r="204" ht="12.75" hidden="1"/>
    <row r="205" ht="12.75" hidden="1"/>
    <row r="206" ht="12.75" hidden="1"/>
    <row r="207" ht="12.75" hidden="1"/>
    <row r="208" ht="12.75" hidden="1"/>
    <row r="209" ht="12.75" hidden="1"/>
    <row r="210" ht="12.75" hidden="1"/>
    <row r="211" ht="12.75" hidden="1"/>
    <row r="212" ht="12.75" hidden="1"/>
    <row r="213" ht="12.75" hidden="1"/>
    <row r="214" ht="12.75" hidden="1"/>
    <row r="215" ht="12.75" hidden="1"/>
    <row r="216" ht="12.75" hidden="1"/>
    <row r="217" ht="12.75" hidden="1"/>
    <row r="218" ht="12.75" hidden="1"/>
    <row r="219" ht="12.75" hidden="1"/>
    <row r="220" ht="12.75" hidden="1"/>
    <row r="221" ht="12.75" hidden="1"/>
    <row r="222" ht="12.75" hidden="1"/>
    <row r="223" ht="12.75" hidden="1"/>
    <row r="224" ht="12.75" hidden="1"/>
    <row r="225" ht="12.75" hidden="1"/>
    <row r="226" ht="12.75" hidden="1"/>
    <row r="227" ht="12.75" hidden="1"/>
    <row r="228" ht="12.75" hidden="1"/>
    <row r="229" ht="12.75" hidden="1"/>
    <row r="230" ht="12.75" hidden="1"/>
    <row r="231" ht="12.75" hidden="1"/>
    <row r="232" ht="12.75" hidden="1"/>
    <row r="233" ht="12.75" hidden="1"/>
    <row r="234" ht="12.75" hidden="1"/>
    <row r="235" ht="12.75" hidden="1"/>
    <row r="236" ht="12.75" hidden="1"/>
    <row r="237" ht="12.75" hidden="1"/>
    <row r="238" ht="12.75" hidden="1"/>
    <row r="239" ht="12.75" hidden="1"/>
    <row r="240" ht="12.75" hidden="1"/>
    <row r="241" ht="12.75" hidden="1"/>
    <row r="242" ht="12.75" hidden="1"/>
    <row r="243" ht="12.75" hidden="1"/>
    <row r="244" ht="12.75" hidden="1"/>
    <row r="245" ht="12.75" hidden="1"/>
    <row r="246" ht="12.75" hidden="1"/>
    <row r="247" ht="12.75" hidden="1"/>
    <row r="248" ht="12.75" hidden="1"/>
    <row r="249" ht="12.75" hidden="1"/>
    <row r="250" ht="12.75" hidden="1"/>
    <row r="251" ht="12.75" hidden="1"/>
    <row r="252" ht="12.75" hidden="1"/>
    <row r="253" ht="12.75" hidden="1"/>
    <row r="254" ht="12.75" hidden="1"/>
    <row r="255" ht="12.75" hidden="1"/>
    <row r="256" ht="12.75" hidden="1"/>
    <row r="257" ht="12.75" hidden="1"/>
    <row r="258" ht="12.75" hidden="1"/>
    <row r="259" ht="12.75" hidden="1"/>
    <row r="260" ht="12.75" hidden="1"/>
    <row r="261" ht="12.75" hidden="1"/>
    <row r="262" ht="12.75" hidden="1"/>
    <row r="263" ht="12.75" hidden="1"/>
    <row r="264" ht="12.75" hidden="1"/>
    <row r="265" ht="12.75" hidden="1"/>
    <row r="266" ht="12.75" hidden="1"/>
    <row r="267" ht="12.75" hidden="1"/>
    <row r="268" ht="12.75" hidden="1"/>
    <row r="269" ht="12.75" hidden="1"/>
    <row r="270" ht="12.75" hidden="1"/>
    <row r="271" ht="12.75" hidden="1"/>
    <row r="272" ht="12.75" hidden="1"/>
    <row r="273" ht="12.75" hidden="1"/>
    <row r="274" ht="12.75" hidden="1"/>
    <row r="275" ht="12.75" hidden="1"/>
    <row r="276" ht="12.75" hidden="1"/>
    <row r="277" ht="12.75" hidden="1"/>
    <row r="278" ht="12.75" hidden="1"/>
    <row r="279" ht="12.75" hidden="1"/>
    <row r="280" ht="12.75" hidden="1"/>
    <row r="281" ht="12.75" hidden="1"/>
    <row r="282" ht="12.75" hidden="1"/>
    <row r="283" ht="12.75" hidden="1"/>
    <row r="284" ht="12.75" hidden="1"/>
    <row r="285" ht="12.75" hidden="1"/>
    <row r="286" ht="12.75" hidden="1"/>
    <row r="287" ht="12.75" hidden="1"/>
    <row r="288" ht="12.75" hidden="1"/>
    <row r="289" ht="12.75" hidden="1"/>
    <row r="290" ht="12.75" hidden="1"/>
  </sheetData>
  <sheetProtection password="C5F7" sheet="1" objects="1" scenarios="1" formatCells="0" formatColumns="0" formatRows="0" insertRows="0" deleteRows="0" autoFilter="0"/>
  <mergeCells count="17">
    <mergeCell ref="A1:J1"/>
    <mergeCell ref="A2:J2"/>
    <mergeCell ref="A3:J3"/>
    <mergeCell ref="A4:J4"/>
    <mergeCell ref="A11:B12"/>
    <mergeCell ref="C11:F11"/>
    <mergeCell ref="G11:J11"/>
    <mergeCell ref="C169:D169"/>
    <mergeCell ref="A170:B170"/>
    <mergeCell ref="A13:B13"/>
    <mergeCell ref="A14:B14"/>
    <mergeCell ref="A15:B15"/>
    <mergeCell ref="A73:B73"/>
    <mergeCell ref="A95:B95"/>
    <mergeCell ref="A117:B117"/>
    <mergeCell ref="A168:B168"/>
    <mergeCell ref="A169:B169"/>
  </mergeCells>
  <dataValidations count="3">
    <dataValidation type="decimal" operator="greaterThanOrEqual" allowBlank="1" showInputMessage="1" showErrorMessage="1" errorTitle="Validation Rule" error="Allow only number" sqref="G96:I115 G74:I93 C118:E167 G16:I71 C74:E93 C16:E71 C96:E115 G118:I167">
      <formula1>0</formula1>
    </dataValidation>
    <dataValidation operator="greaterThanOrEqual" allowBlank="1" showInputMessage="1" showErrorMessage="1" errorTitle="Validation Rule" error="Allow only number" sqref="F116:F117 F14:F15 F72:F73 F94:F95"/>
    <dataValidation type="list" operator="greaterThanOrEqual" allowBlank="1" showInputMessage="1" showErrorMessage="1" sqref="F16:F71 J118:J167 J96:J115 F74:F93 F118:F167 F96:F115 J16:J93">
      <formula1>$C$171:$C$177</formula1>
    </dataValidation>
  </dataValidations>
  <pageMargins left="0.81" right="0.7" top="0.75" bottom="0.75" header="0.3" footer="0.3"/>
  <pageSetup scale="29" fitToWidth="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W227"/>
  <sheetViews>
    <sheetView showGridLines="0" topLeftCell="A10" workbookViewId="0">
      <selection activeCell="A19" sqref="A19"/>
    </sheetView>
  </sheetViews>
  <sheetFormatPr defaultColWidth="0" defaultRowHeight="12.75" customHeight="1" zeroHeight="1"/>
  <cols>
    <col min="1" max="1" width="21.5703125" style="1968" customWidth="1"/>
    <col min="2" max="2" width="11.7109375" style="1968" customWidth="1"/>
    <col min="3" max="3" width="10.7109375" style="1968" customWidth="1"/>
    <col min="4" max="4" width="12.7109375" style="1968" customWidth="1"/>
    <col min="5" max="5" width="9.42578125" style="1968" customWidth="1"/>
    <col min="6" max="6" width="8.42578125" style="1968" customWidth="1"/>
    <col min="7" max="7" width="9" style="1968" customWidth="1"/>
    <col min="8" max="8" width="10" style="1968" customWidth="1"/>
    <col min="9" max="9" width="13.7109375" style="1968" customWidth="1"/>
    <col min="10" max="10" width="9.140625" style="1968" customWidth="1"/>
    <col min="11" max="11" width="9.7109375" style="1968" customWidth="1"/>
    <col min="12" max="13" width="10.85546875" style="1968" customWidth="1"/>
    <col min="14" max="14" width="9.140625" style="1968" customWidth="1"/>
    <col min="15" max="15" width="6.85546875" style="1968" customWidth="1"/>
    <col min="16" max="16" width="7" style="1968" customWidth="1"/>
    <col min="17" max="17" width="11.28515625" style="1968" customWidth="1"/>
    <col min="18" max="18" width="9.7109375" style="1968" customWidth="1"/>
    <col min="19" max="19" width="8.85546875" style="1968" customWidth="1"/>
    <col min="20" max="20" width="12.42578125" style="1968" customWidth="1"/>
    <col min="21" max="21" width="8.140625" style="1968" customWidth="1"/>
    <col min="22" max="22" width="13.140625" style="1968" customWidth="1"/>
    <col min="23" max="23" width="8.5703125" style="1968" customWidth="1"/>
    <col min="24" max="24" width="9.140625" style="1968" customWidth="1"/>
    <col min="25" max="16384" width="0" style="1968" hidden="1"/>
  </cols>
  <sheetData>
    <row r="1" spans="1:23" s="2020" customFormat="1"/>
    <row r="2" spans="1:23" s="2020" customFormat="1" ht="36.75">
      <c r="A2" s="2955" t="s">
        <v>1848</v>
      </c>
      <c r="B2" s="2955"/>
      <c r="C2" s="2955"/>
      <c r="D2" s="2955"/>
      <c r="E2" s="2955"/>
      <c r="F2" s="2955"/>
      <c r="G2" s="2955"/>
      <c r="H2" s="2955"/>
      <c r="I2" s="2955"/>
      <c r="J2" s="2955"/>
      <c r="K2" s="2955"/>
      <c r="L2" s="2955"/>
      <c r="M2" s="2955"/>
      <c r="N2" s="2955"/>
      <c r="O2" s="2955"/>
      <c r="P2" s="2955"/>
      <c r="Q2" s="2955"/>
      <c r="R2" s="2955"/>
      <c r="S2" s="2955"/>
      <c r="T2" s="2955"/>
      <c r="U2" s="2955"/>
    </row>
    <row r="3" spans="1:23" s="2021" customFormat="1" ht="18.75">
      <c r="A3" s="2956" t="s">
        <v>1849</v>
      </c>
      <c r="B3" s="2956"/>
      <c r="C3" s="2956"/>
      <c r="D3" s="2956"/>
      <c r="E3" s="2956"/>
      <c r="F3" s="2956"/>
      <c r="G3" s="2956"/>
      <c r="H3" s="2956"/>
      <c r="I3" s="2956"/>
      <c r="J3" s="2956"/>
      <c r="K3" s="2956"/>
      <c r="L3" s="2956"/>
      <c r="M3" s="2956"/>
      <c r="N3" s="2956"/>
      <c r="O3" s="2956"/>
      <c r="P3" s="2956"/>
      <c r="Q3" s="2956"/>
      <c r="R3" s="2956"/>
      <c r="S3" s="2956"/>
      <c r="T3" s="2956"/>
    </row>
    <row r="4" spans="1:23" s="2023" customFormat="1" ht="18.75">
      <c r="A4" s="2957" t="s">
        <v>359</v>
      </c>
      <c r="B4" s="2957"/>
      <c r="C4" s="2957"/>
      <c r="D4" s="2957"/>
      <c r="E4" s="2957"/>
      <c r="F4" s="2957"/>
      <c r="G4" s="2957"/>
      <c r="H4" s="2957"/>
      <c r="I4" s="2957"/>
      <c r="J4" s="2957"/>
      <c r="K4" s="2957"/>
      <c r="L4" s="2957"/>
      <c r="M4" s="2957"/>
      <c r="N4" s="2957"/>
      <c r="O4" s="2957"/>
      <c r="P4" s="2957"/>
      <c r="Q4" s="2957"/>
      <c r="R4" s="2957"/>
      <c r="S4" s="2957"/>
      <c r="T4" s="2957"/>
      <c r="U4" s="2022"/>
    </row>
    <row r="5" spans="1:23" s="2023" customFormat="1" ht="18.75">
      <c r="A5" s="2957" t="s">
        <v>360</v>
      </c>
      <c r="B5" s="2957"/>
      <c r="C5" s="2957"/>
      <c r="D5" s="2957"/>
      <c r="E5" s="2957"/>
      <c r="F5" s="2957"/>
      <c r="G5" s="2957"/>
      <c r="H5" s="2957"/>
      <c r="I5" s="2957"/>
      <c r="J5" s="2957"/>
      <c r="K5" s="2957"/>
      <c r="L5" s="2957"/>
      <c r="M5" s="2957"/>
      <c r="N5" s="2957"/>
      <c r="O5" s="2957"/>
      <c r="P5" s="2957"/>
      <c r="Q5" s="2957"/>
      <c r="R5" s="2957"/>
      <c r="S5" s="2957"/>
      <c r="T5" s="2957"/>
      <c r="U5" s="2022"/>
    </row>
    <row r="6" spans="1:23" s="2023" customFormat="1" ht="18.75">
      <c r="A6" s="2024"/>
      <c r="B6" s="2025"/>
      <c r="C6" s="2025"/>
      <c r="D6" s="2025"/>
      <c r="E6" s="2025"/>
      <c r="F6" s="2025"/>
      <c r="G6" s="2025"/>
      <c r="H6" s="2025"/>
      <c r="I6" s="2025"/>
      <c r="J6" s="2025"/>
      <c r="K6" s="2025"/>
      <c r="L6" s="2025"/>
      <c r="M6" s="2025"/>
      <c r="N6" s="2025"/>
      <c r="O6" s="2025"/>
      <c r="P6" s="2025"/>
      <c r="Q6" s="2025"/>
      <c r="R6" s="2022"/>
      <c r="S6" s="2022"/>
      <c r="T6" s="2812" t="s">
        <v>1797</v>
      </c>
      <c r="U6" s="2812"/>
    </row>
    <row r="7" spans="1:23" s="2036" customFormat="1" ht="32.25" thickBot="1">
      <c r="A7" s="2026" t="s">
        <v>502</v>
      </c>
      <c r="B7" s="2027"/>
      <c r="C7" s="2027"/>
      <c r="D7" s="2027"/>
      <c r="E7" s="2027"/>
      <c r="F7" s="2028"/>
      <c r="G7" s="2028"/>
      <c r="H7" s="2027"/>
      <c r="I7" s="2027"/>
      <c r="J7" s="2029"/>
      <c r="K7" s="2029"/>
      <c r="L7" s="2029"/>
      <c r="M7" s="2029"/>
      <c r="N7" s="2030" t="s">
        <v>363</v>
      </c>
      <c r="O7" s="2031"/>
      <c r="P7" s="2954"/>
      <c r="Q7" s="2954"/>
      <c r="R7" s="2032" t="s">
        <v>364</v>
      </c>
      <c r="S7" s="2032"/>
      <c r="T7" s="2033"/>
      <c r="U7" s="2034" t="s">
        <v>365</v>
      </c>
      <c r="V7" s="2035"/>
    </row>
    <row r="8" spans="1:23" ht="30.75" thickBot="1">
      <c r="A8" s="2037" t="s">
        <v>1798</v>
      </c>
      <c r="B8" s="1919"/>
      <c r="C8" s="1919"/>
      <c r="D8" s="1919"/>
      <c r="E8" s="2954"/>
      <c r="F8" s="2954"/>
      <c r="G8" s="2954"/>
      <c r="H8" s="2954"/>
      <c r="I8" s="2954"/>
      <c r="J8" s="1919"/>
      <c r="K8" s="1919"/>
      <c r="L8" s="1919"/>
      <c r="M8" s="1919"/>
      <c r="N8" s="2038" t="s">
        <v>366</v>
      </c>
      <c r="O8" s="2039"/>
      <c r="P8" s="2958">
        <v>4000</v>
      </c>
      <c r="Q8" s="2959"/>
      <c r="R8" s="2040" t="s">
        <v>367</v>
      </c>
      <c r="S8" s="2040"/>
      <c r="T8" s="2039"/>
      <c r="U8" s="2041" t="s">
        <v>368</v>
      </c>
      <c r="V8" s="2042"/>
    </row>
    <row r="9" spans="1:23" ht="13.5" thickBot="1">
      <c r="A9" s="1919"/>
      <c r="B9" s="1919"/>
      <c r="C9" s="2043"/>
      <c r="D9" s="1919"/>
      <c r="E9" s="1919"/>
      <c r="F9" s="1919"/>
      <c r="G9" s="1919"/>
      <c r="H9" s="1919"/>
      <c r="I9" s="1919"/>
      <c r="J9" s="1919"/>
      <c r="K9" s="1919"/>
      <c r="L9" s="1919"/>
      <c r="M9" s="1919"/>
      <c r="N9" s="1919"/>
      <c r="O9" s="1919"/>
      <c r="P9" s="1919"/>
      <c r="Q9" s="2044"/>
      <c r="R9" s="1919"/>
      <c r="S9" s="1919"/>
      <c r="T9" s="1919"/>
      <c r="U9" s="1919"/>
    </row>
    <row r="10" spans="1:23" s="2046" customFormat="1" ht="28.5" thickTop="1">
      <c r="A10" s="2960" t="s">
        <v>1799</v>
      </c>
      <c r="B10" s="2962" t="s">
        <v>1800</v>
      </c>
      <c r="C10" s="2963"/>
      <c r="D10" s="2962" t="s">
        <v>1801</v>
      </c>
      <c r="E10" s="2964"/>
      <c r="F10" s="2964"/>
      <c r="G10" s="2964"/>
      <c r="H10" s="2965"/>
      <c r="I10" s="2962" t="s">
        <v>1802</v>
      </c>
      <c r="J10" s="2964"/>
      <c r="K10" s="2964"/>
      <c r="L10" s="2964"/>
      <c r="M10" s="2966"/>
      <c r="N10" s="2045"/>
      <c r="O10" s="2967" t="s">
        <v>1803</v>
      </c>
      <c r="P10" s="2966"/>
      <c r="Q10" s="2968" t="s">
        <v>1804</v>
      </c>
      <c r="R10" s="2968" t="s">
        <v>1805</v>
      </c>
      <c r="S10" s="2968" t="s">
        <v>1806</v>
      </c>
      <c r="T10" s="2967" t="s">
        <v>1807</v>
      </c>
      <c r="U10" s="2963"/>
      <c r="V10" s="2963"/>
      <c r="W10" s="2979"/>
    </row>
    <row r="11" spans="1:23" s="2046" customFormat="1">
      <c r="A11" s="2961"/>
      <c r="B11" s="2980" t="s">
        <v>1808</v>
      </c>
      <c r="C11" s="2981"/>
      <c r="D11" s="2980" t="s">
        <v>1809</v>
      </c>
      <c r="E11" s="2982"/>
      <c r="F11" s="2982"/>
      <c r="G11" s="2982"/>
      <c r="H11" s="2983"/>
      <c r="I11" s="2980" t="s">
        <v>1810</v>
      </c>
      <c r="J11" s="2982"/>
      <c r="K11" s="2982"/>
      <c r="L11" s="2982"/>
      <c r="M11" s="2984"/>
      <c r="N11" s="2985" t="s">
        <v>1811</v>
      </c>
      <c r="O11" s="2982"/>
      <c r="P11" s="2986"/>
      <c r="Q11" s="2969"/>
      <c r="R11" s="2969"/>
      <c r="S11" s="3016"/>
      <c r="T11" s="2987" t="s">
        <v>1812</v>
      </c>
      <c r="U11" s="2981"/>
      <c r="V11" s="2981"/>
      <c r="W11" s="2988"/>
    </row>
    <row r="12" spans="1:23" s="2046" customFormat="1" ht="27.75">
      <c r="A12" s="2961"/>
      <c r="B12" s="2047" t="s">
        <v>1813</v>
      </c>
      <c r="C12" s="2048" t="s">
        <v>1814</v>
      </c>
      <c r="D12" s="2970" t="s">
        <v>1815</v>
      </c>
      <c r="E12" s="2974" t="s">
        <v>1816</v>
      </c>
      <c r="F12" s="2975"/>
      <c r="G12" s="2975"/>
      <c r="H12" s="2976"/>
      <c r="I12" s="2970" t="s">
        <v>1815</v>
      </c>
      <c r="J12" s="2974" t="s">
        <v>1817</v>
      </c>
      <c r="K12" s="2975"/>
      <c r="L12" s="2975"/>
      <c r="M12" s="2976"/>
      <c r="N12" s="3007" t="s">
        <v>485</v>
      </c>
      <c r="O12" s="3009" t="s">
        <v>1818</v>
      </c>
      <c r="P12" s="3011" t="s">
        <v>1819</v>
      </c>
      <c r="Q12" s="2969"/>
      <c r="R12" s="2969"/>
      <c r="S12" s="3016"/>
      <c r="T12" s="3013" t="s">
        <v>1820</v>
      </c>
      <c r="U12" s="3014"/>
      <c r="V12" s="3013" t="s">
        <v>1821</v>
      </c>
      <c r="W12" s="3015"/>
    </row>
    <row r="13" spans="1:23" s="2046" customFormat="1" ht="24.75">
      <c r="A13" s="2972" t="s">
        <v>1822</v>
      </c>
      <c r="B13" s="2049" t="s">
        <v>1823</v>
      </c>
      <c r="C13" s="2050" t="s">
        <v>1824</v>
      </c>
      <c r="D13" s="2992"/>
      <c r="E13" s="2998" t="s">
        <v>1833</v>
      </c>
      <c r="F13" s="2999"/>
      <c r="G13" s="2999"/>
      <c r="H13" s="2999"/>
      <c r="I13" s="2971"/>
      <c r="J13" s="3001" t="s">
        <v>1834</v>
      </c>
      <c r="K13" s="3002"/>
      <c r="L13" s="3002"/>
      <c r="M13" s="3003"/>
      <c r="N13" s="3008"/>
      <c r="O13" s="3010"/>
      <c r="P13" s="3012"/>
      <c r="Q13" s="2973" t="s">
        <v>1825</v>
      </c>
      <c r="R13" s="2973" t="s">
        <v>1826</v>
      </c>
      <c r="S13" s="2973" t="s">
        <v>1827</v>
      </c>
      <c r="T13" s="2990" t="s">
        <v>1828</v>
      </c>
      <c r="U13" s="2991"/>
      <c r="V13" s="2993" t="s">
        <v>1829</v>
      </c>
      <c r="W13" s="2994"/>
    </row>
    <row r="14" spans="1:23" s="2046" customFormat="1" ht="27">
      <c r="A14" s="2972"/>
      <c r="B14" s="2995" t="s">
        <v>1830</v>
      </c>
      <c r="C14" s="2996" t="s">
        <v>1831</v>
      </c>
      <c r="D14" s="2997" t="s">
        <v>1832</v>
      </c>
      <c r="E14" s="2977" t="s">
        <v>1867</v>
      </c>
      <c r="F14" s="2978"/>
      <c r="G14" s="2051" t="s">
        <v>1870</v>
      </c>
      <c r="H14" s="2052" t="s">
        <v>481</v>
      </c>
      <c r="I14" s="2997" t="s">
        <v>1832</v>
      </c>
      <c r="J14" s="2977" t="s">
        <v>1867</v>
      </c>
      <c r="K14" s="2978"/>
      <c r="L14" s="2051" t="s">
        <v>1870</v>
      </c>
      <c r="M14" s="2052" t="s">
        <v>481</v>
      </c>
      <c r="N14" s="2053"/>
      <c r="O14" s="3000" t="s">
        <v>1835</v>
      </c>
      <c r="P14" s="3005" t="s">
        <v>1836</v>
      </c>
      <c r="Q14" s="2973"/>
      <c r="R14" s="2973"/>
      <c r="S14" s="2973"/>
      <c r="T14" s="2047" t="s">
        <v>1837</v>
      </c>
      <c r="U14" s="2054" t="s">
        <v>1838</v>
      </c>
      <c r="V14" s="2055" t="s">
        <v>1837</v>
      </c>
      <c r="W14" s="2056" t="s">
        <v>1838</v>
      </c>
    </row>
    <row r="15" spans="1:23" s="2067" customFormat="1" ht="42">
      <c r="A15" s="2972"/>
      <c r="B15" s="2995"/>
      <c r="C15" s="2996"/>
      <c r="D15" s="2997"/>
      <c r="E15" s="2057" t="s">
        <v>1868</v>
      </c>
      <c r="F15" s="2057" t="s">
        <v>1869</v>
      </c>
      <c r="G15" s="2058" t="s">
        <v>1871</v>
      </c>
      <c r="H15" s="2059" t="s">
        <v>485</v>
      </c>
      <c r="I15" s="3000"/>
      <c r="J15" s="2060" t="s">
        <v>1868</v>
      </c>
      <c r="K15" s="2060" t="s">
        <v>1869</v>
      </c>
      <c r="L15" s="2061" t="s">
        <v>1871</v>
      </c>
      <c r="M15" s="2062" t="s">
        <v>485</v>
      </c>
      <c r="N15" s="2063"/>
      <c r="O15" s="3004"/>
      <c r="P15" s="3006"/>
      <c r="Q15" s="2973"/>
      <c r="R15" s="2973"/>
      <c r="S15" s="2989"/>
      <c r="T15" s="2064" t="s">
        <v>1832</v>
      </c>
      <c r="U15" s="2065" t="s">
        <v>1839</v>
      </c>
      <c r="V15" s="2053" t="s">
        <v>1832</v>
      </c>
      <c r="W15" s="2066" t="s">
        <v>1839</v>
      </c>
    </row>
    <row r="16" spans="1:23" s="2081" customFormat="1" ht="21.75">
      <c r="A16" s="2068" t="s">
        <v>2003</v>
      </c>
      <c r="B16" s="2069"/>
      <c r="C16" s="2070"/>
      <c r="D16" s="2069"/>
      <c r="E16" s="2071"/>
      <c r="F16" s="2072"/>
      <c r="G16" s="2072"/>
      <c r="H16" s="2073">
        <f t="shared" ref="H16:H21" si="0">E16+F16+G16</f>
        <v>0</v>
      </c>
      <c r="I16" s="2074"/>
      <c r="J16" s="2071"/>
      <c r="K16" s="2072"/>
      <c r="L16" s="2072"/>
      <c r="M16" s="2075">
        <f>J16+K16+L16</f>
        <v>0</v>
      </c>
      <c r="N16" s="2076">
        <f>O16+P16</f>
        <v>0</v>
      </c>
      <c r="O16" s="2077"/>
      <c r="P16" s="2078"/>
      <c r="Q16" s="2079"/>
      <c r="R16" s="2079"/>
      <c r="S16" s="2079"/>
      <c r="T16" s="2077"/>
      <c r="U16" s="2078"/>
      <c r="V16" s="2077"/>
      <c r="W16" s="2080"/>
    </row>
    <row r="17" spans="1:23" s="2081" customFormat="1" ht="21.75">
      <c r="A17" s="2068" t="s">
        <v>2004</v>
      </c>
      <c r="B17" s="2069"/>
      <c r="C17" s="2070"/>
      <c r="D17" s="2069"/>
      <c r="E17" s="2071"/>
      <c r="F17" s="2072"/>
      <c r="G17" s="2072"/>
      <c r="H17" s="2082">
        <f t="shared" si="0"/>
        <v>0</v>
      </c>
      <c r="I17" s="2074"/>
      <c r="J17" s="2071"/>
      <c r="K17" s="2072"/>
      <c r="L17" s="2072"/>
      <c r="M17" s="2075">
        <f t="shared" ref="M17:M214" si="1">J17+K17+L17</f>
        <v>0</v>
      </c>
      <c r="N17" s="2083">
        <f t="shared" ref="N17:N22" si="2">O17+P17</f>
        <v>0</v>
      </c>
      <c r="O17" s="2077"/>
      <c r="P17" s="2078"/>
      <c r="Q17" s="2079"/>
      <c r="R17" s="2079"/>
      <c r="S17" s="2079"/>
      <c r="T17" s="2077"/>
      <c r="U17" s="2078"/>
      <c r="V17" s="2077"/>
      <c r="W17" s="2080"/>
    </row>
    <row r="18" spans="1:23" s="2081" customFormat="1" ht="21.75">
      <c r="A18" s="2068" t="s">
        <v>2004</v>
      </c>
      <c r="B18" s="2069"/>
      <c r="C18" s="2070"/>
      <c r="D18" s="2069"/>
      <c r="E18" s="2071"/>
      <c r="F18" s="2072"/>
      <c r="G18" s="2072"/>
      <c r="H18" s="2082">
        <f t="shared" si="0"/>
        <v>0</v>
      </c>
      <c r="I18" s="2074"/>
      <c r="J18" s="2071"/>
      <c r="K18" s="2072"/>
      <c r="L18" s="2072"/>
      <c r="M18" s="2075">
        <f t="shared" si="1"/>
        <v>0</v>
      </c>
      <c r="N18" s="2083">
        <f t="shared" si="2"/>
        <v>0</v>
      </c>
      <c r="O18" s="2077"/>
      <c r="P18" s="2078"/>
      <c r="Q18" s="2079"/>
      <c r="R18" s="2079"/>
      <c r="S18" s="2079"/>
      <c r="T18" s="2077"/>
      <c r="U18" s="2078"/>
      <c r="V18" s="2077"/>
      <c r="W18" s="2080"/>
    </row>
    <row r="19" spans="1:23" s="2081" customFormat="1" ht="21.75">
      <c r="A19" s="2084"/>
      <c r="B19" s="2085"/>
      <c r="C19" s="2086"/>
      <c r="D19" s="2085"/>
      <c r="E19" s="2087"/>
      <c r="F19" s="2088"/>
      <c r="G19" s="2088"/>
      <c r="H19" s="2082">
        <f t="shared" si="0"/>
        <v>0</v>
      </c>
      <c r="I19" s="2089"/>
      <c r="J19" s="2087"/>
      <c r="K19" s="2090"/>
      <c r="L19" s="2090"/>
      <c r="M19" s="2075">
        <f t="shared" si="1"/>
        <v>0</v>
      </c>
      <c r="N19" s="2083">
        <f t="shared" si="2"/>
        <v>0</v>
      </c>
      <c r="O19" s="2091"/>
      <c r="P19" s="2092"/>
      <c r="Q19" s="2093"/>
      <c r="R19" s="2093"/>
      <c r="S19" s="2093"/>
      <c r="T19" s="2091"/>
      <c r="U19" s="2092"/>
      <c r="V19" s="2091"/>
      <c r="W19" s="2094"/>
    </row>
    <row r="20" spans="1:23" s="2081" customFormat="1" ht="21.75">
      <c r="A20" s="2084"/>
      <c r="B20" s="2085"/>
      <c r="C20" s="2086"/>
      <c r="D20" s="2085"/>
      <c r="E20" s="2087"/>
      <c r="F20" s="2088"/>
      <c r="G20" s="2088"/>
      <c r="H20" s="2082">
        <f t="shared" si="0"/>
        <v>0</v>
      </c>
      <c r="I20" s="2089"/>
      <c r="J20" s="2087"/>
      <c r="K20" s="2090"/>
      <c r="L20" s="2090"/>
      <c r="M20" s="2075">
        <f t="shared" si="1"/>
        <v>0</v>
      </c>
      <c r="N20" s="2083">
        <f t="shared" si="2"/>
        <v>0</v>
      </c>
      <c r="O20" s="2091"/>
      <c r="P20" s="2092"/>
      <c r="Q20" s="2093"/>
      <c r="R20" s="2093"/>
      <c r="S20" s="2093"/>
      <c r="T20" s="2091"/>
      <c r="U20" s="2092"/>
      <c r="V20" s="2091"/>
      <c r="W20" s="2094"/>
    </row>
    <row r="21" spans="1:23" s="2081" customFormat="1" ht="21.75">
      <c r="A21" s="2084"/>
      <c r="B21" s="2085"/>
      <c r="C21" s="2086"/>
      <c r="D21" s="2085"/>
      <c r="E21" s="2087"/>
      <c r="F21" s="2088"/>
      <c r="G21" s="2088"/>
      <c r="H21" s="2082">
        <f t="shared" si="0"/>
        <v>0</v>
      </c>
      <c r="I21" s="2089"/>
      <c r="J21" s="2087"/>
      <c r="K21" s="2090"/>
      <c r="L21" s="2090"/>
      <c r="M21" s="2075">
        <f t="shared" si="1"/>
        <v>0</v>
      </c>
      <c r="N21" s="2083">
        <f t="shared" si="2"/>
        <v>0</v>
      </c>
      <c r="O21" s="2091"/>
      <c r="P21" s="2092"/>
      <c r="Q21" s="2093"/>
      <c r="R21" s="2093"/>
      <c r="S21" s="2093"/>
      <c r="T21" s="2091"/>
      <c r="U21" s="2092"/>
      <c r="V21" s="2091"/>
      <c r="W21" s="2094"/>
    </row>
    <row r="22" spans="1:23" s="2081" customFormat="1" ht="21.75">
      <c r="A22" s="2084"/>
      <c r="B22" s="2085"/>
      <c r="C22" s="2086"/>
      <c r="D22" s="2085"/>
      <c r="E22" s="2095"/>
      <c r="F22" s="2088"/>
      <c r="G22" s="2088"/>
      <c r="H22" s="2082">
        <f t="shared" ref="H22:H33" si="3">E22+F22+G22</f>
        <v>0</v>
      </c>
      <c r="I22" s="2089"/>
      <c r="J22" s="2095"/>
      <c r="K22" s="2090"/>
      <c r="L22" s="2090"/>
      <c r="M22" s="2075">
        <f t="shared" si="1"/>
        <v>0</v>
      </c>
      <c r="N22" s="2096">
        <f t="shared" si="2"/>
        <v>0</v>
      </c>
      <c r="O22" s="2091"/>
      <c r="P22" s="2092"/>
      <c r="Q22" s="2093"/>
      <c r="R22" s="2093"/>
      <c r="S22" s="2093"/>
      <c r="T22" s="2091"/>
      <c r="U22" s="2092"/>
      <c r="V22" s="2091"/>
      <c r="W22" s="2094"/>
    </row>
    <row r="23" spans="1:23" ht="21.75">
      <c r="A23" s="2084"/>
      <c r="B23" s="2085"/>
      <c r="C23" s="2086"/>
      <c r="D23" s="2089"/>
      <c r="E23" s="2095"/>
      <c r="F23" s="2088"/>
      <c r="G23" s="2088"/>
      <c r="H23" s="2082">
        <f t="shared" si="3"/>
        <v>0</v>
      </c>
      <c r="I23" s="2089"/>
      <c r="J23" s="2095"/>
      <c r="K23" s="2090"/>
      <c r="L23" s="2090"/>
      <c r="M23" s="2075">
        <f t="shared" si="1"/>
        <v>0</v>
      </c>
      <c r="N23" s="2096">
        <f>O23+P23</f>
        <v>0</v>
      </c>
      <c r="O23" s="2091"/>
      <c r="P23" s="2092"/>
      <c r="Q23" s="2093"/>
      <c r="R23" s="2093"/>
      <c r="S23" s="2097"/>
      <c r="T23" s="2089"/>
      <c r="U23" s="2092"/>
      <c r="V23" s="2091"/>
      <c r="W23" s="2094"/>
    </row>
    <row r="24" spans="1:23" ht="21.75">
      <c r="A24" s="2098"/>
      <c r="B24" s="2099"/>
      <c r="C24" s="2100"/>
      <c r="D24" s="2101"/>
      <c r="E24" s="2095"/>
      <c r="F24" s="2090"/>
      <c r="G24" s="2090"/>
      <c r="H24" s="2082">
        <f t="shared" si="3"/>
        <v>0</v>
      </c>
      <c r="I24" s="2101"/>
      <c r="J24" s="2095"/>
      <c r="K24" s="2090"/>
      <c r="L24" s="2090"/>
      <c r="M24" s="2075">
        <f t="shared" si="1"/>
        <v>0</v>
      </c>
      <c r="N24" s="2096">
        <f t="shared" ref="N24:N214" si="4">O24+P24</f>
        <v>0</v>
      </c>
      <c r="O24" s="2102"/>
      <c r="P24" s="2103"/>
      <c r="Q24" s="2104"/>
      <c r="R24" s="2104"/>
      <c r="S24" s="2105"/>
      <c r="T24" s="2101"/>
      <c r="U24" s="2103"/>
      <c r="V24" s="2102"/>
      <c r="W24" s="2106"/>
    </row>
    <row r="25" spans="1:23" ht="21.75">
      <c r="A25" s="2098"/>
      <c r="B25" s="2099"/>
      <c r="C25" s="2100"/>
      <c r="D25" s="2101"/>
      <c r="E25" s="2095"/>
      <c r="F25" s="2090"/>
      <c r="G25" s="2090"/>
      <c r="H25" s="2082">
        <f t="shared" si="3"/>
        <v>0</v>
      </c>
      <c r="I25" s="2101"/>
      <c r="J25" s="2095"/>
      <c r="K25" s="2090"/>
      <c r="L25" s="2090"/>
      <c r="M25" s="2075">
        <f t="shared" si="1"/>
        <v>0</v>
      </c>
      <c r="N25" s="2096">
        <f t="shared" si="4"/>
        <v>0</v>
      </c>
      <c r="O25" s="2102"/>
      <c r="P25" s="2103"/>
      <c r="Q25" s="2104"/>
      <c r="R25" s="2104"/>
      <c r="S25" s="2105"/>
      <c r="T25" s="2101"/>
      <c r="U25" s="2103"/>
      <c r="V25" s="2102"/>
      <c r="W25" s="2106"/>
    </row>
    <row r="26" spans="1:23" ht="21.75">
      <c r="A26" s="2098"/>
      <c r="B26" s="2099"/>
      <c r="C26" s="2100"/>
      <c r="D26" s="2101"/>
      <c r="E26" s="2095"/>
      <c r="F26" s="2090"/>
      <c r="G26" s="2090"/>
      <c r="H26" s="2082">
        <f t="shared" si="3"/>
        <v>0</v>
      </c>
      <c r="I26" s="2101"/>
      <c r="J26" s="2095"/>
      <c r="K26" s="2090"/>
      <c r="L26" s="2090"/>
      <c r="M26" s="2075">
        <f t="shared" si="1"/>
        <v>0</v>
      </c>
      <c r="N26" s="2096">
        <f t="shared" si="4"/>
        <v>0</v>
      </c>
      <c r="O26" s="2102"/>
      <c r="P26" s="2103"/>
      <c r="Q26" s="2104"/>
      <c r="R26" s="2104"/>
      <c r="S26" s="2105"/>
      <c r="T26" s="2101"/>
      <c r="U26" s="2103"/>
      <c r="V26" s="2102"/>
      <c r="W26" s="2106"/>
    </row>
    <row r="27" spans="1:23" ht="21.75">
      <c r="A27" s="2098"/>
      <c r="B27" s="2099"/>
      <c r="C27" s="2100"/>
      <c r="D27" s="2101"/>
      <c r="E27" s="2095"/>
      <c r="F27" s="2090"/>
      <c r="G27" s="2090"/>
      <c r="H27" s="2082">
        <f t="shared" si="3"/>
        <v>0</v>
      </c>
      <c r="I27" s="2101"/>
      <c r="J27" s="2095"/>
      <c r="K27" s="2090"/>
      <c r="L27" s="2090"/>
      <c r="M27" s="2075">
        <f t="shared" si="1"/>
        <v>0</v>
      </c>
      <c r="N27" s="2096">
        <f t="shared" si="4"/>
        <v>0</v>
      </c>
      <c r="O27" s="2102"/>
      <c r="P27" s="2103"/>
      <c r="Q27" s="2104"/>
      <c r="R27" s="2104"/>
      <c r="S27" s="2105"/>
      <c r="T27" s="2101"/>
      <c r="U27" s="2103"/>
      <c r="V27" s="2102"/>
      <c r="W27" s="2106"/>
    </row>
    <row r="28" spans="1:23" ht="21.75">
      <c r="A28" s="2098"/>
      <c r="B28" s="2099"/>
      <c r="C28" s="2100"/>
      <c r="D28" s="2101"/>
      <c r="E28" s="2095"/>
      <c r="F28" s="2090"/>
      <c r="G28" s="2090"/>
      <c r="H28" s="2082">
        <f t="shared" si="3"/>
        <v>0</v>
      </c>
      <c r="I28" s="2101"/>
      <c r="J28" s="2095"/>
      <c r="K28" s="2090"/>
      <c r="L28" s="2090"/>
      <c r="M28" s="2075">
        <f t="shared" si="1"/>
        <v>0</v>
      </c>
      <c r="N28" s="2096">
        <f t="shared" si="4"/>
        <v>0</v>
      </c>
      <c r="O28" s="2102"/>
      <c r="P28" s="2103"/>
      <c r="Q28" s="2104"/>
      <c r="R28" s="2104"/>
      <c r="S28" s="2105"/>
      <c r="T28" s="2101"/>
      <c r="U28" s="2103"/>
      <c r="V28" s="2102"/>
      <c r="W28" s="2106"/>
    </row>
    <row r="29" spans="1:23" ht="21.75">
      <c r="A29" s="2098"/>
      <c r="B29" s="2099"/>
      <c r="C29" s="2100"/>
      <c r="D29" s="2101"/>
      <c r="E29" s="2095"/>
      <c r="F29" s="2090"/>
      <c r="G29" s="2090"/>
      <c r="H29" s="2082">
        <f t="shared" si="3"/>
        <v>0</v>
      </c>
      <c r="I29" s="2101"/>
      <c r="J29" s="2095"/>
      <c r="K29" s="2090"/>
      <c r="L29" s="2090"/>
      <c r="M29" s="2075">
        <f t="shared" si="1"/>
        <v>0</v>
      </c>
      <c r="N29" s="2096">
        <f t="shared" si="4"/>
        <v>0</v>
      </c>
      <c r="O29" s="2102"/>
      <c r="P29" s="2103"/>
      <c r="Q29" s="2104"/>
      <c r="R29" s="2104"/>
      <c r="S29" s="2105"/>
      <c r="T29" s="2101"/>
      <c r="U29" s="2103"/>
      <c r="V29" s="2102"/>
      <c r="W29" s="2106"/>
    </row>
    <row r="30" spans="1:23" ht="21.75">
      <c r="A30" s="2098"/>
      <c r="B30" s="2099"/>
      <c r="C30" s="2100"/>
      <c r="D30" s="2101"/>
      <c r="E30" s="2095"/>
      <c r="F30" s="2090"/>
      <c r="G30" s="2090"/>
      <c r="H30" s="2082">
        <f t="shared" si="3"/>
        <v>0</v>
      </c>
      <c r="I30" s="2101"/>
      <c r="J30" s="2095"/>
      <c r="K30" s="2090"/>
      <c r="L30" s="2090"/>
      <c r="M30" s="2075">
        <f t="shared" si="1"/>
        <v>0</v>
      </c>
      <c r="N30" s="2096">
        <f t="shared" si="4"/>
        <v>0</v>
      </c>
      <c r="O30" s="2102"/>
      <c r="P30" s="2103"/>
      <c r="Q30" s="2104"/>
      <c r="R30" s="2104"/>
      <c r="S30" s="2105"/>
      <c r="T30" s="2101"/>
      <c r="U30" s="2103"/>
      <c r="V30" s="2102"/>
      <c r="W30" s="2106"/>
    </row>
    <row r="31" spans="1:23" ht="21.75">
      <c r="A31" s="2098"/>
      <c r="B31" s="2099"/>
      <c r="C31" s="2100"/>
      <c r="D31" s="2101"/>
      <c r="E31" s="2095"/>
      <c r="F31" s="2090"/>
      <c r="G31" s="2090"/>
      <c r="H31" s="2082">
        <f t="shared" si="3"/>
        <v>0</v>
      </c>
      <c r="I31" s="2101"/>
      <c r="J31" s="2095"/>
      <c r="K31" s="2090"/>
      <c r="L31" s="2090"/>
      <c r="M31" s="2075">
        <f t="shared" si="1"/>
        <v>0</v>
      </c>
      <c r="N31" s="2096">
        <f t="shared" si="4"/>
        <v>0</v>
      </c>
      <c r="O31" s="2102"/>
      <c r="P31" s="2103"/>
      <c r="Q31" s="2104"/>
      <c r="R31" s="2104"/>
      <c r="S31" s="2105"/>
      <c r="T31" s="2101"/>
      <c r="U31" s="2103"/>
      <c r="V31" s="2102"/>
      <c r="W31" s="2106"/>
    </row>
    <row r="32" spans="1:23" ht="21.75">
      <c r="A32" s="2098"/>
      <c r="B32" s="2099"/>
      <c r="C32" s="2100"/>
      <c r="D32" s="2101"/>
      <c r="E32" s="2095"/>
      <c r="F32" s="2090"/>
      <c r="G32" s="2090"/>
      <c r="H32" s="2082">
        <f t="shared" si="3"/>
        <v>0</v>
      </c>
      <c r="I32" s="2101"/>
      <c r="J32" s="2095"/>
      <c r="K32" s="2090"/>
      <c r="L32" s="2090"/>
      <c r="M32" s="2075">
        <f t="shared" si="1"/>
        <v>0</v>
      </c>
      <c r="N32" s="2096">
        <f t="shared" si="4"/>
        <v>0</v>
      </c>
      <c r="O32" s="2102"/>
      <c r="P32" s="2103"/>
      <c r="Q32" s="2104"/>
      <c r="R32" s="2104"/>
      <c r="S32" s="2105"/>
      <c r="T32" s="2101"/>
      <c r="U32" s="2103"/>
      <c r="V32" s="2102"/>
      <c r="W32" s="2106"/>
    </row>
    <row r="33" spans="1:23" ht="21.75">
      <c r="A33" s="2098"/>
      <c r="B33" s="2099"/>
      <c r="C33" s="2100"/>
      <c r="D33" s="2101"/>
      <c r="E33" s="2095"/>
      <c r="F33" s="2090"/>
      <c r="G33" s="2090"/>
      <c r="H33" s="2082">
        <f t="shared" si="3"/>
        <v>0</v>
      </c>
      <c r="I33" s="2101"/>
      <c r="J33" s="2095"/>
      <c r="K33" s="2090"/>
      <c r="L33" s="2090"/>
      <c r="M33" s="2075">
        <f t="shared" si="1"/>
        <v>0</v>
      </c>
      <c r="N33" s="2096">
        <f t="shared" si="4"/>
        <v>0</v>
      </c>
      <c r="O33" s="2102"/>
      <c r="P33" s="2103"/>
      <c r="Q33" s="2104"/>
      <c r="R33" s="2104"/>
      <c r="S33" s="2105"/>
      <c r="T33" s="2101"/>
      <c r="U33" s="2103"/>
      <c r="V33" s="2102"/>
      <c r="W33" s="2106"/>
    </row>
    <row r="34" spans="1:23" ht="21.75">
      <c r="A34" s="2098"/>
      <c r="B34" s="2099"/>
      <c r="C34" s="2100"/>
      <c r="D34" s="2101"/>
      <c r="E34" s="2095"/>
      <c r="F34" s="2090"/>
      <c r="G34" s="2090"/>
      <c r="H34" s="2082">
        <f t="shared" ref="H34:H97" si="5">E34+F34+G34</f>
        <v>0</v>
      </c>
      <c r="I34" s="2101"/>
      <c r="J34" s="2095"/>
      <c r="K34" s="2090"/>
      <c r="L34" s="2090"/>
      <c r="M34" s="2075">
        <f t="shared" ref="M34:M97" si="6">J34+K34+L34</f>
        <v>0</v>
      </c>
      <c r="N34" s="2096">
        <f t="shared" ref="N34:N97" si="7">O34+P34</f>
        <v>0</v>
      </c>
      <c r="O34" s="2107"/>
      <c r="P34" s="2108"/>
      <c r="Q34" s="2109"/>
      <c r="R34" s="2109"/>
      <c r="S34" s="2110"/>
      <c r="T34" s="2111"/>
      <c r="U34" s="2108"/>
      <c r="V34" s="2107"/>
      <c r="W34" s="2112"/>
    </row>
    <row r="35" spans="1:23" ht="21.75">
      <c r="A35" s="2098"/>
      <c r="B35" s="2099"/>
      <c r="C35" s="2100"/>
      <c r="D35" s="2101"/>
      <c r="E35" s="2095"/>
      <c r="F35" s="2090"/>
      <c r="G35" s="2090"/>
      <c r="H35" s="2082">
        <f t="shared" si="5"/>
        <v>0</v>
      </c>
      <c r="I35" s="2101"/>
      <c r="J35" s="2095"/>
      <c r="K35" s="2090"/>
      <c r="L35" s="2090"/>
      <c r="M35" s="2075">
        <f t="shared" si="6"/>
        <v>0</v>
      </c>
      <c r="N35" s="2096">
        <f t="shared" si="7"/>
        <v>0</v>
      </c>
      <c r="O35" s="2107"/>
      <c r="P35" s="2108"/>
      <c r="Q35" s="2109"/>
      <c r="R35" s="2109"/>
      <c r="S35" s="2110"/>
      <c r="T35" s="2111"/>
      <c r="U35" s="2108"/>
      <c r="V35" s="2107"/>
      <c r="W35" s="2112"/>
    </row>
    <row r="36" spans="1:23" ht="21.75">
      <c r="A36" s="2098"/>
      <c r="B36" s="2099"/>
      <c r="C36" s="2100"/>
      <c r="D36" s="2101"/>
      <c r="E36" s="2095"/>
      <c r="F36" s="2090"/>
      <c r="G36" s="2090"/>
      <c r="H36" s="2082">
        <f t="shared" si="5"/>
        <v>0</v>
      </c>
      <c r="I36" s="2101"/>
      <c r="J36" s="2095"/>
      <c r="K36" s="2090"/>
      <c r="L36" s="2090"/>
      <c r="M36" s="2075">
        <f t="shared" si="6"/>
        <v>0</v>
      </c>
      <c r="N36" s="2096">
        <f t="shared" si="7"/>
        <v>0</v>
      </c>
      <c r="O36" s="2107"/>
      <c r="P36" s="2108"/>
      <c r="Q36" s="2109"/>
      <c r="R36" s="2109"/>
      <c r="S36" s="2110"/>
      <c r="T36" s="2111"/>
      <c r="U36" s="2108"/>
      <c r="V36" s="2107"/>
      <c r="W36" s="2112"/>
    </row>
    <row r="37" spans="1:23" ht="21.75">
      <c r="A37" s="2098"/>
      <c r="B37" s="2099"/>
      <c r="C37" s="2100"/>
      <c r="D37" s="2101"/>
      <c r="E37" s="2095"/>
      <c r="F37" s="2090"/>
      <c r="G37" s="2090"/>
      <c r="H37" s="2082">
        <f t="shared" si="5"/>
        <v>0</v>
      </c>
      <c r="I37" s="2101"/>
      <c r="J37" s="2095"/>
      <c r="K37" s="2090"/>
      <c r="L37" s="2090"/>
      <c r="M37" s="2075">
        <f t="shared" si="6"/>
        <v>0</v>
      </c>
      <c r="N37" s="2096">
        <f t="shared" si="7"/>
        <v>0</v>
      </c>
      <c r="O37" s="2107"/>
      <c r="P37" s="2108"/>
      <c r="Q37" s="2109"/>
      <c r="R37" s="2109"/>
      <c r="S37" s="2110"/>
      <c r="T37" s="2111"/>
      <c r="U37" s="2108"/>
      <c r="V37" s="2107"/>
      <c r="W37" s="2112"/>
    </row>
    <row r="38" spans="1:23" ht="21.75">
      <c r="A38" s="2098"/>
      <c r="B38" s="2099"/>
      <c r="C38" s="2100"/>
      <c r="D38" s="2101"/>
      <c r="E38" s="2095"/>
      <c r="F38" s="2090"/>
      <c r="G38" s="2090"/>
      <c r="H38" s="2082">
        <f t="shared" si="5"/>
        <v>0</v>
      </c>
      <c r="I38" s="2101"/>
      <c r="J38" s="2095"/>
      <c r="K38" s="2090"/>
      <c r="L38" s="2090"/>
      <c r="M38" s="2075">
        <f t="shared" si="6"/>
        <v>0</v>
      </c>
      <c r="N38" s="2096">
        <f t="shared" si="7"/>
        <v>0</v>
      </c>
      <c r="O38" s="2107"/>
      <c r="P38" s="2108"/>
      <c r="Q38" s="2109"/>
      <c r="R38" s="2109"/>
      <c r="S38" s="2110"/>
      <c r="T38" s="2111"/>
      <c r="U38" s="2108"/>
      <c r="V38" s="2107"/>
      <c r="W38" s="2112"/>
    </row>
    <row r="39" spans="1:23" ht="21.75">
      <c r="A39" s="2098"/>
      <c r="B39" s="2099"/>
      <c r="C39" s="2100"/>
      <c r="D39" s="2101"/>
      <c r="E39" s="2095"/>
      <c r="F39" s="2090"/>
      <c r="G39" s="2090"/>
      <c r="H39" s="2082">
        <f t="shared" si="5"/>
        <v>0</v>
      </c>
      <c r="I39" s="2101"/>
      <c r="J39" s="2095"/>
      <c r="K39" s="2090"/>
      <c r="L39" s="2090"/>
      <c r="M39" s="2075">
        <f t="shared" si="6"/>
        <v>0</v>
      </c>
      <c r="N39" s="2096">
        <f t="shared" si="7"/>
        <v>0</v>
      </c>
      <c r="O39" s="2107"/>
      <c r="P39" s="2108"/>
      <c r="Q39" s="2109"/>
      <c r="R39" s="2109"/>
      <c r="S39" s="2110"/>
      <c r="T39" s="2111"/>
      <c r="U39" s="2108"/>
      <c r="V39" s="2107"/>
      <c r="W39" s="2112"/>
    </row>
    <row r="40" spans="1:23" ht="21.75">
      <c r="A40" s="2098"/>
      <c r="B40" s="2099"/>
      <c r="C40" s="2100"/>
      <c r="D40" s="2101"/>
      <c r="E40" s="2095"/>
      <c r="F40" s="2090"/>
      <c r="G40" s="2090"/>
      <c r="H40" s="2082">
        <f t="shared" si="5"/>
        <v>0</v>
      </c>
      <c r="I40" s="2101"/>
      <c r="J40" s="2095"/>
      <c r="K40" s="2090"/>
      <c r="L40" s="2090"/>
      <c r="M40" s="2075">
        <f t="shared" si="6"/>
        <v>0</v>
      </c>
      <c r="N40" s="2096">
        <f t="shared" si="7"/>
        <v>0</v>
      </c>
      <c r="O40" s="2107"/>
      <c r="P40" s="2108"/>
      <c r="Q40" s="2109"/>
      <c r="R40" s="2109"/>
      <c r="S40" s="2110"/>
      <c r="T40" s="2111"/>
      <c r="U40" s="2108"/>
      <c r="V40" s="2107"/>
      <c r="W40" s="2112"/>
    </row>
    <row r="41" spans="1:23" ht="21.75">
      <c r="A41" s="2098"/>
      <c r="B41" s="2099"/>
      <c r="C41" s="2100"/>
      <c r="D41" s="2101"/>
      <c r="E41" s="2095"/>
      <c r="F41" s="2090"/>
      <c r="G41" s="2090"/>
      <c r="H41" s="2082">
        <f t="shared" si="5"/>
        <v>0</v>
      </c>
      <c r="I41" s="2101"/>
      <c r="J41" s="2095"/>
      <c r="K41" s="2090"/>
      <c r="L41" s="2090"/>
      <c r="M41" s="2075">
        <f t="shared" si="6"/>
        <v>0</v>
      </c>
      <c r="N41" s="2096">
        <f t="shared" si="7"/>
        <v>0</v>
      </c>
      <c r="O41" s="2107"/>
      <c r="P41" s="2108"/>
      <c r="Q41" s="2109"/>
      <c r="R41" s="2109"/>
      <c r="S41" s="2110"/>
      <c r="T41" s="2111"/>
      <c r="U41" s="2108"/>
      <c r="V41" s="2107"/>
      <c r="W41" s="2112"/>
    </row>
    <row r="42" spans="1:23" ht="21.75">
      <c r="A42" s="2098"/>
      <c r="B42" s="2099"/>
      <c r="C42" s="2100"/>
      <c r="D42" s="2101"/>
      <c r="E42" s="2095"/>
      <c r="F42" s="2090"/>
      <c r="G42" s="2090"/>
      <c r="H42" s="2082">
        <f t="shared" si="5"/>
        <v>0</v>
      </c>
      <c r="I42" s="2101"/>
      <c r="J42" s="2095"/>
      <c r="K42" s="2090"/>
      <c r="L42" s="2090"/>
      <c r="M42" s="2075">
        <f t="shared" si="6"/>
        <v>0</v>
      </c>
      <c r="N42" s="2096">
        <f t="shared" si="7"/>
        <v>0</v>
      </c>
      <c r="O42" s="2107"/>
      <c r="P42" s="2108"/>
      <c r="Q42" s="2109"/>
      <c r="R42" s="2109"/>
      <c r="S42" s="2110"/>
      <c r="T42" s="2111"/>
      <c r="U42" s="2108"/>
      <c r="V42" s="2107"/>
      <c r="W42" s="2112"/>
    </row>
    <row r="43" spans="1:23" ht="21.75">
      <c r="A43" s="2098"/>
      <c r="B43" s="2099"/>
      <c r="C43" s="2100"/>
      <c r="D43" s="2101"/>
      <c r="E43" s="2095"/>
      <c r="F43" s="2090"/>
      <c r="G43" s="2090"/>
      <c r="H43" s="2082">
        <f t="shared" si="5"/>
        <v>0</v>
      </c>
      <c r="I43" s="2101"/>
      <c r="J43" s="2095"/>
      <c r="K43" s="2090"/>
      <c r="L43" s="2090"/>
      <c r="M43" s="2075">
        <f t="shared" si="6"/>
        <v>0</v>
      </c>
      <c r="N43" s="2096">
        <f t="shared" si="7"/>
        <v>0</v>
      </c>
      <c r="O43" s="2107"/>
      <c r="P43" s="2108"/>
      <c r="Q43" s="2109"/>
      <c r="R43" s="2109"/>
      <c r="S43" s="2110"/>
      <c r="T43" s="2111"/>
      <c r="U43" s="2108"/>
      <c r="V43" s="2107"/>
      <c r="W43" s="2112"/>
    </row>
    <row r="44" spans="1:23" ht="21.75">
      <c r="A44" s="2098"/>
      <c r="B44" s="2099"/>
      <c r="C44" s="2100"/>
      <c r="D44" s="2101"/>
      <c r="E44" s="2095"/>
      <c r="F44" s="2090"/>
      <c r="G44" s="2090"/>
      <c r="H44" s="2082">
        <f t="shared" si="5"/>
        <v>0</v>
      </c>
      <c r="I44" s="2101"/>
      <c r="J44" s="2095"/>
      <c r="K44" s="2090"/>
      <c r="L44" s="2090"/>
      <c r="M44" s="2075">
        <f t="shared" si="6"/>
        <v>0</v>
      </c>
      <c r="N44" s="2096">
        <f t="shared" si="7"/>
        <v>0</v>
      </c>
      <c r="O44" s="2107"/>
      <c r="P44" s="2108"/>
      <c r="Q44" s="2109"/>
      <c r="R44" s="2109"/>
      <c r="S44" s="2110"/>
      <c r="T44" s="2111"/>
      <c r="U44" s="2108"/>
      <c r="V44" s="2107"/>
      <c r="W44" s="2112"/>
    </row>
    <row r="45" spans="1:23" ht="21.75">
      <c r="A45" s="2098"/>
      <c r="B45" s="2099"/>
      <c r="C45" s="2100"/>
      <c r="D45" s="2101"/>
      <c r="E45" s="2095"/>
      <c r="F45" s="2090"/>
      <c r="G45" s="2090"/>
      <c r="H45" s="2082">
        <f t="shared" si="5"/>
        <v>0</v>
      </c>
      <c r="I45" s="2101"/>
      <c r="J45" s="2095"/>
      <c r="K45" s="2090"/>
      <c r="L45" s="2090"/>
      <c r="M45" s="2075">
        <f t="shared" si="6"/>
        <v>0</v>
      </c>
      <c r="N45" s="2096">
        <f t="shared" si="7"/>
        <v>0</v>
      </c>
      <c r="O45" s="2107"/>
      <c r="P45" s="2108"/>
      <c r="Q45" s="2109"/>
      <c r="R45" s="2109"/>
      <c r="S45" s="2110"/>
      <c r="T45" s="2111"/>
      <c r="U45" s="2108"/>
      <c r="V45" s="2107"/>
      <c r="W45" s="2112"/>
    </row>
    <row r="46" spans="1:23" ht="21.75">
      <c r="A46" s="2098"/>
      <c r="B46" s="2099"/>
      <c r="C46" s="2100"/>
      <c r="D46" s="2101"/>
      <c r="E46" s="2095"/>
      <c r="F46" s="2090"/>
      <c r="G46" s="2090"/>
      <c r="H46" s="2082">
        <f t="shared" si="5"/>
        <v>0</v>
      </c>
      <c r="I46" s="2101"/>
      <c r="J46" s="2095"/>
      <c r="K46" s="2090"/>
      <c r="L46" s="2090"/>
      <c r="M46" s="2075">
        <f t="shared" si="6"/>
        <v>0</v>
      </c>
      <c r="N46" s="2096">
        <f t="shared" si="7"/>
        <v>0</v>
      </c>
      <c r="O46" s="2107"/>
      <c r="P46" s="2108"/>
      <c r="Q46" s="2109"/>
      <c r="R46" s="2109"/>
      <c r="S46" s="2110"/>
      <c r="T46" s="2111"/>
      <c r="U46" s="2108"/>
      <c r="V46" s="2107"/>
      <c r="W46" s="2112"/>
    </row>
    <row r="47" spans="1:23" ht="21.75">
      <c r="A47" s="2098"/>
      <c r="B47" s="2099"/>
      <c r="C47" s="2100"/>
      <c r="D47" s="2101"/>
      <c r="E47" s="2095"/>
      <c r="F47" s="2090"/>
      <c r="G47" s="2090"/>
      <c r="H47" s="2082">
        <f t="shared" si="5"/>
        <v>0</v>
      </c>
      <c r="I47" s="2101"/>
      <c r="J47" s="2095"/>
      <c r="K47" s="2090"/>
      <c r="L47" s="2090"/>
      <c r="M47" s="2075">
        <f t="shared" si="6"/>
        <v>0</v>
      </c>
      <c r="N47" s="2096">
        <f t="shared" si="7"/>
        <v>0</v>
      </c>
      <c r="O47" s="2107"/>
      <c r="P47" s="2108"/>
      <c r="Q47" s="2109"/>
      <c r="R47" s="2109"/>
      <c r="S47" s="2110"/>
      <c r="T47" s="2111"/>
      <c r="U47" s="2108"/>
      <c r="V47" s="2107"/>
      <c r="W47" s="2112"/>
    </row>
    <row r="48" spans="1:23" ht="21.75">
      <c r="A48" s="2098"/>
      <c r="B48" s="2099"/>
      <c r="C48" s="2100"/>
      <c r="D48" s="2101"/>
      <c r="E48" s="2095"/>
      <c r="F48" s="2090"/>
      <c r="G48" s="2090"/>
      <c r="H48" s="2082">
        <f t="shared" si="5"/>
        <v>0</v>
      </c>
      <c r="I48" s="2101"/>
      <c r="J48" s="2095"/>
      <c r="K48" s="2090"/>
      <c r="L48" s="2090"/>
      <c r="M48" s="2075">
        <f t="shared" si="6"/>
        <v>0</v>
      </c>
      <c r="N48" s="2096">
        <f t="shared" si="7"/>
        <v>0</v>
      </c>
      <c r="O48" s="2107"/>
      <c r="P48" s="2108"/>
      <c r="Q48" s="2109"/>
      <c r="R48" s="2109"/>
      <c r="S48" s="2110"/>
      <c r="T48" s="2111"/>
      <c r="U48" s="2108"/>
      <c r="V48" s="2107"/>
      <c r="W48" s="2112"/>
    </row>
    <row r="49" spans="1:23" ht="21.75">
      <c r="A49" s="2098"/>
      <c r="B49" s="2099"/>
      <c r="C49" s="2100"/>
      <c r="D49" s="2101"/>
      <c r="E49" s="2095"/>
      <c r="F49" s="2090"/>
      <c r="G49" s="2090"/>
      <c r="H49" s="2082">
        <f t="shared" si="5"/>
        <v>0</v>
      </c>
      <c r="I49" s="2101"/>
      <c r="J49" s="2095"/>
      <c r="K49" s="2090"/>
      <c r="L49" s="2090"/>
      <c r="M49" s="2075">
        <f t="shared" si="6"/>
        <v>0</v>
      </c>
      <c r="N49" s="2096">
        <f t="shared" si="7"/>
        <v>0</v>
      </c>
      <c r="O49" s="2107"/>
      <c r="P49" s="2108"/>
      <c r="Q49" s="2109"/>
      <c r="R49" s="2109"/>
      <c r="S49" s="2110"/>
      <c r="T49" s="2111"/>
      <c r="U49" s="2108"/>
      <c r="V49" s="2107"/>
      <c r="W49" s="2112"/>
    </row>
    <row r="50" spans="1:23" ht="21.75">
      <c r="A50" s="2098"/>
      <c r="B50" s="2099"/>
      <c r="C50" s="2100"/>
      <c r="D50" s="2101"/>
      <c r="E50" s="2095"/>
      <c r="F50" s="2090"/>
      <c r="G50" s="2090"/>
      <c r="H50" s="2082">
        <f t="shared" si="5"/>
        <v>0</v>
      </c>
      <c r="I50" s="2101"/>
      <c r="J50" s="2095"/>
      <c r="K50" s="2090"/>
      <c r="L50" s="2090"/>
      <c r="M50" s="2075">
        <f t="shared" si="6"/>
        <v>0</v>
      </c>
      <c r="N50" s="2096">
        <f t="shared" si="7"/>
        <v>0</v>
      </c>
      <c r="O50" s="2107"/>
      <c r="P50" s="2108"/>
      <c r="Q50" s="2109"/>
      <c r="R50" s="2109"/>
      <c r="S50" s="2110"/>
      <c r="T50" s="2111"/>
      <c r="U50" s="2108"/>
      <c r="V50" s="2107"/>
      <c r="W50" s="2112"/>
    </row>
    <row r="51" spans="1:23" ht="21.75">
      <c r="A51" s="2098"/>
      <c r="B51" s="2099"/>
      <c r="C51" s="2100"/>
      <c r="D51" s="2101"/>
      <c r="E51" s="2095"/>
      <c r="F51" s="2090"/>
      <c r="G51" s="2090"/>
      <c r="H51" s="2082">
        <f t="shared" si="5"/>
        <v>0</v>
      </c>
      <c r="I51" s="2101"/>
      <c r="J51" s="2095"/>
      <c r="K51" s="2090"/>
      <c r="L51" s="2090"/>
      <c r="M51" s="2075">
        <f t="shared" si="6"/>
        <v>0</v>
      </c>
      <c r="N51" s="2096">
        <f t="shared" si="7"/>
        <v>0</v>
      </c>
      <c r="O51" s="2107"/>
      <c r="P51" s="2108"/>
      <c r="Q51" s="2109"/>
      <c r="R51" s="2109"/>
      <c r="S51" s="2110"/>
      <c r="T51" s="2111"/>
      <c r="U51" s="2108"/>
      <c r="V51" s="2107"/>
      <c r="W51" s="2112"/>
    </row>
    <row r="52" spans="1:23" ht="21.75">
      <c r="A52" s="2098"/>
      <c r="B52" s="2099"/>
      <c r="C52" s="2100"/>
      <c r="D52" s="2101"/>
      <c r="E52" s="2095"/>
      <c r="F52" s="2090"/>
      <c r="G52" s="2090"/>
      <c r="H52" s="2082">
        <f t="shared" si="5"/>
        <v>0</v>
      </c>
      <c r="I52" s="2101"/>
      <c r="J52" s="2095"/>
      <c r="K52" s="2090"/>
      <c r="L52" s="2090"/>
      <c r="M52" s="2075">
        <f t="shared" si="6"/>
        <v>0</v>
      </c>
      <c r="N52" s="2096">
        <f t="shared" si="7"/>
        <v>0</v>
      </c>
      <c r="O52" s="2107"/>
      <c r="P52" s="2108"/>
      <c r="Q52" s="2109"/>
      <c r="R52" s="2109"/>
      <c r="S52" s="2110"/>
      <c r="T52" s="2111"/>
      <c r="U52" s="2108"/>
      <c r="V52" s="2107"/>
      <c r="W52" s="2112"/>
    </row>
    <row r="53" spans="1:23" ht="21.75">
      <c r="A53" s="2098"/>
      <c r="B53" s="2099"/>
      <c r="C53" s="2100"/>
      <c r="D53" s="2101"/>
      <c r="E53" s="2095"/>
      <c r="F53" s="2090"/>
      <c r="G53" s="2090"/>
      <c r="H53" s="2082">
        <f t="shared" si="5"/>
        <v>0</v>
      </c>
      <c r="I53" s="2101"/>
      <c r="J53" s="2095"/>
      <c r="K53" s="2090"/>
      <c r="L53" s="2090"/>
      <c r="M53" s="2075">
        <f t="shared" si="6"/>
        <v>0</v>
      </c>
      <c r="N53" s="2096">
        <f t="shared" si="7"/>
        <v>0</v>
      </c>
      <c r="O53" s="2107"/>
      <c r="P53" s="2108"/>
      <c r="Q53" s="2109"/>
      <c r="R53" s="2109"/>
      <c r="S53" s="2110"/>
      <c r="T53" s="2111"/>
      <c r="U53" s="2108"/>
      <c r="V53" s="2107"/>
      <c r="W53" s="2112"/>
    </row>
    <row r="54" spans="1:23" ht="21.75">
      <c r="A54" s="2098"/>
      <c r="B54" s="2099"/>
      <c r="C54" s="2100"/>
      <c r="D54" s="2101"/>
      <c r="E54" s="2095"/>
      <c r="F54" s="2090"/>
      <c r="G54" s="2090"/>
      <c r="H54" s="2082">
        <f t="shared" si="5"/>
        <v>0</v>
      </c>
      <c r="I54" s="2101"/>
      <c r="J54" s="2095"/>
      <c r="K54" s="2090"/>
      <c r="L54" s="2090"/>
      <c r="M54" s="2075">
        <f t="shared" si="6"/>
        <v>0</v>
      </c>
      <c r="N54" s="2096">
        <f t="shared" si="7"/>
        <v>0</v>
      </c>
      <c r="O54" s="2107"/>
      <c r="P54" s="2108"/>
      <c r="Q54" s="2109"/>
      <c r="R54" s="2109"/>
      <c r="S54" s="2110"/>
      <c r="T54" s="2111"/>
      <c r="U54" s="2108"/>
      <c r="V54" s="2107"/>
      <c r="W54" s="2112"/>
    </row>
    <row r="55" spans="1:23" ht="21.75">
      <c r="A55" s="2098"/>
      <c r="B55" s="2099"/>
      <c r="C55" s="2100"/>
      <c r="D55" s="2101"/>
      <c r="E55" s="2095"/>
      <c r="F55" s="2090"/>
      <c r="G55" s="2090"/>
      <c r="H55" s="2082">
        <f t="shared" si="5"/>
        <v>0</v>
      </c>
      <c r="I55" s="2101"/>
      <c r="J55" s="2095"/>
      <c r="K55" s="2090"/>
      <c r="L55" s="2090"/>
      <c r="M55" s="2075">
        <f t="shared" si="6"/>
        <v>0</v>
      </c>
      <c r="N55" s="2096">
        <f t="shared" si="7"/>
        <v>0</v>
      </c>
      <c r="O55" s="2107"/>
      <c r="P55" s="2108"/>
      <c r="Q55" s="2109"/>
      <c r="R55" s="2109"/>
      <c r="S55" s="2110"/>
      <c r="T55" s="2111"/>
      <c r="U55" s="2108"/>
      <c r="V55" s="2107"/>
      <c r="W55" s="2112"/>
    </row>
    <row r="56" spans="1:23" ht="21.75">
      <c r="A56" s="2098"/>
      <c r="B56" s="2099"/>
      <c r="C56" s="2100"/>
      <c r="D56" s="2101"/>
      <c r="E56" s="2095"/>
      <c r="F56" s="2090"/>
      <c r="G56" s="2090"/>
      <c r="H56" s="2082">
        <f t="shared" si="5"/>
        <v>0</v>
      </c>
      <c r="I56" s="2101"/>
      <c r="J56" s="2095"/>
      <c r="K56" s="2090"/>
      <c r="L56" s="2090"/>
      <c r="M56" s="2075">
        <f t="shared" si="6"/>
        <v>0</v>
      </c>
      <c r="N56" s="2096">
        <f t="shared" si="7"/>
        <v>0</v>
      </c>
      <c r="O56" s="2107"/>
      <c r="P56" s="2108"/>
      <c r="Q56" s="2109"/>
      <c r="R56" s="2109"/>
      <c r="S56" s="2110"/>
      <c r="T56" s="2111"/>
      <c r="U56" s="2108"/>
      <c r="V56" s="2107"/>
      <c r="W56" s="2112"/>
    </row>
    <row r="57" spans="1:23" ht="21.75">
      <c r="A57" s="2098"/>
      <c r="B57" s="2099"/>
      <c r="C57" s="2100"/>
      <c r="D57" s="2101"/>
      <c r="E57" s="2095"/>
      <c r="F57" s="2090"/>
      <c r="G57" s="2090"/>
      <c r="H57" s="2082">
        <f t="shared" si="5"/>
        <v>0</v>
      </c>
      <c r="I57" s="2101"/>
      <c r="J57" s="2095"/>
      <c r="K57" s="2090"/>
      <c r="L57" s="2090"/>
      <c r="M57" s="2075">
        <f t="shared" si="6"/>
        <v>0</v>
      </c>
      <c r="N57" s="2096">
        <f t="shared" si="7"/>
        <v>0</v>
      </c>
      <c r="O57" s="2107"/>
      <c r="P57" s="2108"/>
      <c r="Q57" s="2109"/>
      <c r="R57" s="2109"/>
      <c r="S57" s="2110"/>
      <c r="T57" s="2111"/>
      <c r="U57" s="2108"/>
      <c r="V57" s="2107"/>
      <c r="W57" s="2112"/>
    </row>
    <row r="58" spans="1:23" ht="21.75">
      <c r="A58" s="2098"/>
      <c r="B58" s="2099"/>
      <c r="C58" s="2100"/>
      <c r="D58" s="2101"/>
      <c r="E58" s="2095"/>
      <c r="F58" s="2090"/>
      <c r="G58" s="2090"/>
      <c r="H58" s="2082">
        <f t="shared" si="5"/>
        <v>0</v>
      </c>
      <c r="I58" s="2101"/>
      <c r="J58" s="2095"/>
      <c r="K58" s="2090"/>
      <c r="L58" s="2090"/>
      <c r="M58" s="2075">
        <f t="shared" si="6"/>
        <v>0</v>
      </c>
      <c r="N58" s="2096">
        <f t="shared" si="7"/>
        <v>0</v>
      </c>
      <c r="O58" s="2107"/>
      <c r="P58" s="2108"/>
      <c r="Q58" s="2109"/>
      <c r="R58" s="2109"/>
      <c r="S58" s="2110"/>
      <c r="T58" s="2111"/>
      <c r="U58" s="2108"/>
      <c r="V58" s="2107"/>
      <c r="W58" s="2112"/>
    </row>
    <row r="59" spans="1:23" ht="21.75">
      <c r="A59" s="2098"/>
      <c r="B59" s="2099"/>
      <c r="C59" s="2100"/>
      <c r="D59" s="2101"/>
      <c r="E59" s="2095"/>
      <c r="F59" s="2090"/>
      <c r="G59" s="2090"/>
      <c r="H59" s="2082">
        <f t="shared" si="5"/>
        <v>0</v>
      </c>
      <c r="I59" s="2101"/>
      <c r="J59" s="2095"/>
      <c r="K59" s="2090"/>
      <c r="L59" s="2090"/>
      <c r="M59" s="2075">
        <f t="shared" si="6"/>
        <v>0</v>
      </c>
      <c r="N59" s="2096">
        <f t="shared" si="7"/>
        <v>0</v>
      </c>
      <c r="O59" s="2107"/>
      <c r="P59" s="2108"/>
      <c r="Q59" s="2109"/>
      <c r="R59" s="2109"/>
      <c r="S59" s="2110"/>
      <c r="T59" s="2111"/>
      <c r="U59" s="2108"/>
      <c r="V59" s="2107"/>
      <c r="W59" s="2112"/>
    </row>
    <row r="60" spans="1:23" ht="21.75">
      <c r="A60" s="2098"/>
      <c r="B60" s="2099"/>
      <c r="C60" s="2100"/>
      <c r="D60" s="2101"/>
      <c r="E60" s="2095"/>
      <c r="F60" s="2090"/>
      <c r="G60" s="2090"/>
      <c r="H60" s="2082">
        <f t="shared" si="5"/>
        <v>0</v>
      </c>
      <c r="I60" s="2101"/>
      <c r="J60" s="2095"/>
      <c r="K60" s="2090"/>
      <c r="L60" s="2090"/>
      <c r="M60" s="2075">
        <f t="shared" si="6"/>
        <v>0</v>
      </c>
      <c r="N60" s="2096">
        <f t="shared" si="7"/>
        <v>0</v>
      </c>
      <c r="O60" s="2107"/>
      <c r="P60" s="2108"/>
      <c r="Q60" s="2109"/>
      <c r="R60" s="2109"/>
      <c r="S60" s="2110"/>
      <c r="T60" s="2111"/>
      <c r="U60" s="2108"/>
      <c r="V60" s="2107"/>
      <c r="W60" s="2112"/>
    </row>
    <row r="61" spans="1:23" ht="21.75">
      <c r="A61" s="2098"/>
      <c r="B61" s="2099"/>
      <c r="C61" s="2100"/>
      <c r="D61" s="2101"/>
      <c r="E61" s="2095"/>
      <c r="F61" s="2090"/>
      <c r="G61" s="2090"/>
      <c r="H61" s="2082">
        <f t="shared" si="5"/>
        <v>0</v>
      </c>
      <c r="I61" s="2101"/>
      <c r="J61" s="2095"/>
      <c r="K61" s="2090"/>
      <c r="L61" s="2090"/>
      <c r="M61" s="2075">
        <f t="shared" si="6"/>
        <v>0</v>
      </c>
      <c r="N61" s="2096">
        <f t="shared" si="7"/>
        <v>0</v>
      </c>
      <c r="O61" s="2107"/>
      <c r="P61" s="2108"/>
      <c r="Q61" s="2109"/>
      <c r="R61" s="2109"/>
      <c r="S61" s="2110"/>
      <c r="T61" s="2111"/>
      <c r="U61" s="2108"/>
      <c r="V61" s="2107"/>
      <c r="W61" s="2112"/>
    </row>
    <row r="62" spans="1:23" ht="21.75">
      <c r="A62" s="2098"/>
      <c r="B62" s="2099"/>
      <c r="C62" s="2100"/>
      <c r="D62" s="2101"/>
      <c r="E62" s="2095"/>
      <c r="F62" s="2090"/>
      <c r="G62" s="2090"/>
      <c r="H62" s="2082">
        <f t="shared" si="5"/>
        <v>0</v>
      </c>
      <c r="I62" s="2101"/>
      <c r="J62" s="2095"/>
      <c r="K62" s="2090"/>
      <c r="L62" s="2090"/>
      <c r="M62" s="2075">
        <f t="shared" si="6"/>
        <v>0</v>
      </c>
      <c r="N62" s="2096">
        <f t="shared" si="7"/>
        <v>0</v>
      </c>
      <c r="O62" s="2107"/>
      <c r="P62" s="2108"/>
      <c r="Q62" s="2109"/>
      <c r="R62" s="2109"/>
      <c r="S62" s="2110"/>
      <c r="T62" s="2111"/>
      <c r="U62" s="2108"/>
      <c r="V62" s="2107"/>
      <c r="W62" s="2112"/>
    </row>
    <row r="63" spans="1:23" ht="21.75">
      <c r="A63" s="2098"/>
      <c r="B63" s="2099"/>
      <c r="C63" s="2100"/>
      <c r="D63" s="2101"/>
      <c r="E63" s="2095"/>
      <c r="F63" s="2090"/>
      <c r="G63" s="2090"/>
      <c r="H63" s="2082">
        <f t="shared" si="5"/>
        <v>0</v>
      </c>
      <c r="I63" s="2101"/>
      <c r="J63" s="2095"/>
      <c r="K63" s="2090"/>
      <c r="L63" s="2090"/>
      <c r="M63" s="2075">
        <f t="shared" si="6"/>
        <v>0</v>
      </c>
      <c r="N63" s="2096">
        <f t="shared" si="7"/>
        <v>0</v>
      </c>
      <c r="O63" s="2107"/>
      <c r="P63" s="2108"/>
      <c r="Q63" s="2109"/>
      <c r="R63" s="2109"/>
      <c r="S63" s="2110"/>
      <c r="T63" s="2111"/>
      <c r="U63" s="2108"/>
      <c r="V63" s="2107"/>
      <c r="W63" s="2112"/>
    </row>
    <row r="64" spans="1:23" ht="21.75">
      <c r="A64" s="2098"/>
      <c r="B64" s="2099"/>
      <c r="C64" s="2100"/>
      <c r="D64" s="2101"/>
      <c r="E64" s="2095"/>
      <c r="F64" s="2090"/>
      <c r="G64" s="2090"/>
      <c r="H64" s="2082">
        <f t="shared" si="5"/>
        <v>0</v>
      </c>
      <c r="I64" s="2101"/>
      <c r="J64" s="2095"/>
      <c r="K64" s="2090"/>
      <c r="L64" s="2090"/>
      <c r="M64" s="2075">
        <f t="shared" si="6"/>
        <v>0</v>
      </c>
      <c r="N64" s="2096">
        <f t="shared" si="7"/>
        <v>0</v>
      </c>
      <c r="O64" s="2107"/>
      <c r="P64" s="2108"/>
      <c r="Q64" s="2109"/>
      <c r="R64" s="2109"/>
      <c r="S64" s="2110"/>
      <c r="T64" s="2111"/>
      <c r="U64" s="2108"/>
      <c r="V64" s="2107"/>
      <c r="W64" s="2112"/>
    </row>
    <row r="65" spans="1:23" ht="21.75">
      <c r="A65" s="2098"/>
      <c r="B65" s="2099"/>
      <c r="C65" s="2100"/>
      <c r="D65" s="2101"/>
      <c r="E65" s="2095"/>
      <c r="F65" s="2090"/>
      <c r="G65" s="2090"/>
      <c r="H65" s="2082">
        <f t="shared" si="5"/>
        <v>0</v>
      </c>
      <c r="I65" s="2101"/>
      <c r="J65" s="2095"/>
      <c r="K65" s="2090"/>
      <c r="L65" s="2090"/>
      <c r="M65" s="2075">
        <f t="shared" si="6"/>
        <v>0</v>
      </c>
      <c r="N65" s="2096">
        <f t="shared" si="7"/>
        <v>0</v>
      </c>
      <c r="O65" s="2107"/>
      <c r="P65" s="2108"/>
      <c r="Q65" s="2109"/>
      <c r="R65" s="2109"/>
      <c r="S65" s="2110"/>
      <c r="T65" s="2111"/>
      <c r="U65" s="2108"/>
      <c r="V65" s="2107"/>
      <c r="W65" s="2112"/>
    </row>
    <row r="66" spans="1:23" ht="21.75">
      <c r="A66" s="2098"/>
      <c r="B66" s="2099"/>
      <c r="C66" s="2100"/>
      <c r="D66" s="2101"/>
      <c r="E66" s="2095"/>
      <c r="F66" s="2090"/>
      <c r="G66" s="2090"/>
      <c r="H66" s="2082">
        <f t="shared" si="5"/>
        <v>0</v>
      </c>
      <c r="I66" s="2101"/>
      <c r="J66" s="2095"/>
      <c r="K66" s="2090"/>
      <c r="L66" s="2090"/>
      <c r="M66" s="2075">
        <f t="shared" si="6"/>
        <v>0</v>
      </c>
      <c r="N66" s="2096">
        <f t="shared" si="7"/>
        <v>0</v>
      </c>
      <c r="O66" s="2107"/>
      <c r="P66" s="2108"/>
      <c r="Q66" s="2109"/>
      <c r="R66" s="2109"/>
      <c r="S66" s="2110"/>
      <c r="T66" s="2111"/>
      <c r="U66" s="2108"/>
      <c r="V66" s="2107"/>
      <c r="W66" s="2112"/>
    </row>
    <row r="67" spans="1:23" ht="21.75">
      <c r="A67" s="2098"/>
      <c r="B67" s="2099"/>
      <c r="C67" s="2100"/>
      <c r="D67" s="2101"/>
      <c r="E67" s="2095"/>
      <c r="F67" s="2090"/>
      <c r="G67" s="2090"/>
      <c r="H67" s="2082">
        <f t="shared" si="5"/>
        <v>0</v>
      </c>
      <c r="I67" s="2101"/>
      <c r="J67" s="2095"/>
      <c r="K67" s="2090"/>
      <c r="L67" s="2090"/>
      <c r="M67" s="2075">
        <f t="shared" si="6"/>
        <v>0</v>
      </c>
      <c r="N67" s="2096">
        <f t="shared" si="7"/>
        <v>0</v>
      </c>
      <c r="O67" s="2107"/>
      <c r="P67" s="2108"/>
      <c r="Q67" s="2109"/>
      <c r="R67" s="2109"/>
      <c r="S67" s="2110"/>
      <c r="T67" s="2111"/>
      <c r="U67" s="2108"/>
      <c r="V67" s="2107"/>
      <c r="W67" s="2112"/>
    </row>
    <row r="68" spans="1:23" ht="21.75">
      <c r="A68" s="2098"/>
      <c r="B68" s="2099"/>
      <c r="C68" s="2100"/>
      <c r="D68" s="2101"/>
      <c r="E68" s="2095"/>
      <c r="F68" s="2090"/>
      <c r="G68" s="2090"/>
      <c r="H68" s="2082">
        <f t="shared" si="5"/>
        <v>0</v>
      </c>
      <c r="I68" s="2101"/>
      <c r="J68" s="2095"/>
      <c r="K68" s="2090"/>
      <c r="L68" s="2090"/>
      <c r="M68" s="2075">
        <f t="shared" si="6"/>
        <v>0</v>
      </c>
      <c r="N68" s="2096">
        <f t="shared" si="7"/>
        <v>0</v>
      </c>
      <c r="O68" s="2107"/>
      <c r="P68" s="2108"/>
      <c r="Q68" s="2109"/>
      <c r="R68" s="2109"/>
      <c r="S68" s="2110"/>
      <c r="T68" s="2111"/>
      <c r="U68" s="2108"/>
      <c r="V68" s="2107"/>
      <c r="W68" s="2112"/>
    </row>
    <row r="69" spans="1:23" ht="21.75">
      <c r="A69" s="2098"/>
      <c r="B69" s="2099"/>
      <c r="C69" s="2100"/>
      <c r="D69" s="2101"/>
      <c r="E69" s="2095"/>
      <c r="F69" s="2090"/>
      <c r="G69" s="2090"/>
      <c r="H69" s="2082">
        <f t="shared" si="5"/>
        <v>0</v>
      </c>
      <c r="I69" s="2101"/>
      <c r="J69" s="2095"/>
      <c r="K69" s="2090"/>
      <c r="L69" s="2090"/>
      <c r="M69" s="2075">
        <f t="shared" si="6"/>
        <v>0</v>
      </c>
      <c r="N69" s="2096">
        <f t="shared" si="7"/>
        <v>0</v>
      </c>
      <c r="O69" s="2107"/>
      <c r="P69" s="2108"/>
      <c r="Q69" s="2109"/>
      <c r="R69" s="2109"/>
      <c r="S69" s="2110"/>
      <c r="T69" s="2111"/>
      <c r="U69" s="2108"/>
      <c r="V69" s="2107"/>
      <c r="W69" s="2112"/>
    </row>
    <row r="70" spans="1:23" ht="21.75">
      <c r="A70" s="2098"/>
      <c r="B70" s="2099"/>
      <c r="C70" s="2100"/>
      <c r="D70" s="2101"/>
      <c r="E70" s="2095"/>
      <c r="F70" s="2090"/>
      <c r="G70" s="2090"/>
      <c r="H70" s="2082">
        <f t="shared" si="5"/>
        <v>0</v>
      </c>
      <c r="I70" s="2101"/>
      <c r="J70" s="2095"/>
      <c r="K70" s="2090"/>
      <c r="L70" s="2090"/>
      <c r="M70" s="2075">
        <f t="shared" si="6"/>
        <v>0</v>
      </c>
      <c r="N70" s="2096">
        <f t="shared" si="7"/>
        <v>0</v>
      </c>
      <c r="O70" s="2107"/>
      <c r="P70" s="2108"/>
      <c r="Q70" s="2109"/>
      <c r="R70" s="2109"/>
      <c r="S70" s="2110"/>
      <c r="T70" s="2111"/>
      <c r="U70" s="2108"/>
      <c r="V70" s="2107"/>
      <c r="W70" s="2112"/>
    </row>
    <row r="71" spans="1:23" ht="21.75">
      <c r="A71" s="2098"/>
      <c r="B71" s="2099"/>
      <c r="C71" s="2100"/>
      <c r="D71" s="2101"/>
      <c r="E71" s="2095"/>
      <c r="F71" s="2090"/>
      <c r="G71" s="2090"/>
      <c r="H71" s="2082">
        <f t="shared" si="5"/>
        <v>0</v>
      </c>
      <c r="I71" s="2101"/>
      <c r="J71" s="2095"/>
      <c r="K71" s="2090"/>
      <c r="L71" s="2090"/>
      <c r="M71" s="2075">
        <f t="shared" si="6"/>
        <v>0</v>
      </c>
      <c r="N71" s="2096">
        <f t="shared" si="7"/>
        <v>0</v>
      </c>
      <c r="O71" s="2107"/>
      <c r="P71" s="2108"/>
      <c r="Q71" s="2109"/>
      <c r="R71" s="2109"/>
      <c r="S71" s="2110"/>
      <c r="T71" s="2111"/>
      <c r="U71" s="2108"/>
      <c r="V71" s="2107"/>
      <c r="W71" s="2112"/>
    </row>
    <row r="72" spans="1:23" ht="21.75">
      <c r="A72" s="2098"/>
      <c r="B72" s="2099"/>
      <c r="C72" s="2100"/>
      <c r="D72" s="2101"/>
      <c r="E72" s="2095"/>
      <c r="F72" s="2090"/>
      <c r="G72" s="2090"/>
      <c r="H72" s="2082">
        <f t="shared" si="5"/>
        <v>0</v>
      </c>
      <c r="I72" s="2101"/>
      <c r="J72" s="2095"/>
      <c r="K72" s="2090"/>
      <c r="L72" s="2090"/>
      <c r="M72" s="2075">
        <f t="shared" si="6"/>
        <v>0</v>
      </c>
      <c r="N72" s="2096">
        <f t="shared" si="7"/>
        <v>0</v>
      </c>
      <c r="O72" s="2107"/>
      <c r="P72" s="2108"/>
      <c r="Q72" s="2109"/>
      <c r="R72" s="2109"/>
      <c r="S72" s="2110"/>
      <c r="T72" s="2111"/>
      <c r="U72" s="2108"/>
      <c r="V72" s="2107"/>
      <c r="W72" s="2112"/>
    </row>
    <row r="73" spans="1:23" ht="21.75">
      <c r="A73" s="2098"/>
      <c r="B73" s="2099"/>
      <c r="C73" s="2100"/>
      <c r="D73" s="2101"/>
      <c r="E73" s="2095"/>
      <c r="F73" s="2090"/>
      <c r="G73" s="2090"/>
      <c r="H73" s="2082">
        <f t="shared" si="5"/>
        <v>0</v>
      </c>
      <c r="I73" s="2101"/>
      <c r="J73" s="2095"/>
      <c r="K73" s="2090"/>
      <c r="L73" s="2090"/>
      <c r="M73" s="2075">
        <f t="shared" si="6"/>
        <v>0</v>
      </c>
      <c r="N73" s="2096">
        <f t="shared" si="7"/>
        <v>0</v>
      </c>
      <c r="O73" s="2107"/>
      <c r="P73" s="2108"/>
      <c r="Q73" s="2109"/>
      <c r="R73" s="2109"/>
      <c r="S73" s="2110"/>
      <c r="T73" s="2111"/>
      <c r="U73" s="2108"/>
      <c r="V73" s="2107"/>
      <c r="W73" s="2112"/>
    </row>
    <row r="74" spans="1:23" ht="21.75">
      <c r="A74" s="2098"/>
      <c r="B74" s="2099"/>
      <c r="C74" s="2100"/>
      <c r="D74" s="2101"/>
      <c r="E74" s="2095"/>
      <c r="F74" s="2090"/>
      <c r="G74" s="2090"/>
      <c r="H74" s="2082">
        <f t="shared" si="5"/>
        <v>0</v>
      </c>
      <c r="I74" s="2101"/>
      <c r="J74" s="2095"/>
      <c r="K74" s="2090"/>
      <c r="L74" s="2090"/>
      <c r="M74" s="2075">
        <f t="shared" si="6"/>
        <v>0</v>
      </c>
      <c r="N74" s="2096">
        <f t="shared" si="7"/>
        <v>0</v>
      </c>
      <c r="O74" s="2107"/>
      <c r="P74" s="2108"/>
      <c r="Q74" s="2109"/>
      <c r="R74" s="2109"/>
      <c r="S74" s="2110"/>
      <c r="T74" s="2111"/>
      <c r="U74" s="2108"/>
      <c r="V74" s="2107"/>
      <c r="W74" s="2112"/>
    </row>
    <row r="75" spans="1:23" ht="21.75">
      <c r="A75" s="2098"/>
      <c r="B75" s="2099"/>
      <c r="C75" s="2100"/>
      <c r="D75" s="2101"/>
      <c r="E75" s="2095"/>
      <c r="F75" s="2090"/>
      <c r="G75" s="2090"/>
      <c r="H75" s="2082">
        <f t="shared" si="5"/>
        <v>0</v>
      </c>
      <c r="I75" s="2101"/>
      <c r="J75" s="2095"/>
      <c r="K75" s="2090"/>
      <c r="L75" s="2090"/>
      <c r="M75" s="2075">
        <f t="shared" si="6"/>
        <v>0</v>
      </c>
      <c r="N75" s="2096">
        <f t="shared" si="7"/>
        <v>0</v>
      </c>
      <c r="O75" s="2107"/>
      <c r="P75" s="2108"/>
      <c r="Q75" s="2109"/>
      <c r="R75" s="2109"/>
      <c r="S75" s="2110"/>
      <c r="T75" s="2111"/>
      <c r="U75" s="2108"/>
      <c r="V75" s="2107"/>
      <c r="W75" s="2112"/>
    </row>
    <row r="76" spans="1:23" ht="21.75">
      <c r="A76" s="2098"/>
      <c r="B76" s="2099"/>
      <c r="C76" s="2100"/>
      <c r="D76" s="2101"/>
      <c r="E76" s="2095"/>
      <c r="F76" s="2090"/>
      <c r="G76" s="2090"/>
      <c r="H76" s="2082">
        <f t="shared" si="5"/>
        <v>0</v>
      </c>
      <c r="I76" s="2101"/>
      <c r="J76" s="2095"/>
      <c r="K76" s="2090"/>
      <c r="L76" s="2090"/>
      <c r="M76" s="2075">
        <f t="shared" si="6"/>
        <v>0</v>
      </c>
      <c r="N76" s="2096">
        <f t="shared" si="7"/>
        <v>0</v>
      </c>
      <c r="O76" s="2107"/>
      <c r="P76" s="2108"/>
      <c r="Q76" s="2109"/>
      <c r="R76" s="2109"/>
      <c r="S76" s="2110"/>
      <c r="T76" s="2111"/>
      <c r="U76" s="2108"/>
      <c r="V76" s="2107"/>
      <c r="W76" s="2112"/>
    </row>
    <row r="77" spans="1:23" ht="21.75">
      <c r="A77" s="2098"/>
      <c r="B77" s="2099"/>
      <c r="C77" s="2100"/>
      <c r="D77" s="2101"/>
      <c r="E77" s="2095"/>
      <c r="F77" s="2090"/>
      <c r="G77" s="2090"/>
      <c r="H77" s="2082">
        <f t="shared" si="5"/>
        <v>0</v>
      </c>
      <c r="I77" s="2101"/>
      <c r="J77" s="2095"/>
      <c r="K77" s="2090"/>
      <c r="L77" s="2090"/>
      <c r="M77" s="2075">
        <f t="shared" si="6"/>
        <v>0</v>
      </c>
      <c r="N77" s="2096">
        <f t="shared" si="7"/>
        <v>0</v>
      </c>
      <c r="O77" s="2107"/>
      <c r="P77" s="2108"/>
      <c r="Q77" s="2109"/>
      <c r="R77" s="2109"/>
      <c r="S77" s="2110"/>
      <c r="T77" s="2111"/>
      <c r="U77" s="2108"/>
      <c r="V77" s="2107"/>
      <c r="W77" s="2112"/>
    </row>
    <row r="78" spans="1:23" ht="21.75">
      <c r="A78" s="2098"/>
      <c r="B78" s="2099"/>
      <c r="C78" s="2100"/>
      <c r="D78" s="2101"/>
      <c r="E78" s="2095"/>
      <c r="F78" s="2090"/>
      <c r="G78" s="2090"/>
      <c r="H78" s="2082">
        <f t="shared" si="5"/>
        <v>0</v>
      </c>
      <c r="I78" s="2101"/>
      <c r="J78" s="2095"/>
      <c r="K78" s="2090"/>
      <c r="L78" s="2090"/>
      <c r="M78" s="2075">
        <f t="shared" si="6"/>
        <v>0</v>
      </c>
      <c r="N78" s="2096">
        <f t="shared" si="7"/>
        <v>0</v>
      </c>
      <c r="O78" s="2107"/>
      <c r="P78" s="2108"/>
      <c r="Q78" s="2109"/>
      <c r="R78" s="2109"/>
      <c r="S78" s="2110"/>
      <c r="T78" s="2111"/>
      <c r="U78" s="2108"/>
      <c r="V78" s="2107"/>
      <c r="W78" s="2112"/>
    </row>
    <row r="79" spans="1:23" ht="21.75">
      <c r="A79" s="2098"/>
      <c r="B79" s="2099"/>
      <c r="C79" s="2100"/>
      <c r="D79" s="2101"/>
      <c r="E79" s="2095"/>
      <c r="F79" s="2090"/>
      <c r="G79" s="2090"/>
      <c r="H79" s="2082">
        <f t="shared" si="5"/>
        <v>0</v>
      </c>
      <c r="I79" s="2101"/>
      <c r="J79" s="2095"/>
      <c r="K79" s="2090"/>
      <c r="L79" s="2090"/>
      <c r="M79" s="2075">
        <f t="shared" si="6"/>
        <v>0</v>
      </c>
      <c r="N79" s="2096">
        <f t="shared" si="7"/>
        <v>0</v>
      </c>
      <c r="O79" s="2107"/>
      <c r="P79" s="2108"/>
      <c r="Q79" s="2109"/>
      <c r="R79" s="2109"/>
      <c r="S79" s="2110"/>
      <c r="T79" s="2111"/>
      <c r="U79" s="2108"/>
      <c r="V79" s="2107"/>
      <c r="W79" s="2112"/>
    </row>
    <row r="80" spans="1:23" ht="21.75">
      <c r="A80" s="2098"/>
      <c r="B80" s="2099"/>
      <c r="C80" s="2100"/>
      <c r="D80" s="2101"/>
      <c r="E80" s="2095"/>
      <c r="F80" s="2090"/>
      <c r="G80" s="2090"/>
      <c r="H80" s="2082">
        <f t="shared" si="5"/>
        <v>0</v>
      </c>
      <c r="I80" s="2101"/>
      <c r="J80" s="2095"/>
      <c r="K80" s="2090"/>
      <c r="L80" s="2090"/>
      <c r="M80" s="2075">
        <f t="shared" si="6"/>
        <v>0</v>
      </c>
      <c r="N80" s="2096">
        <f t="shared" si="7"/>
        <v>0</v>
      </c>
      <c r="O80" s="2107"/>
      <c r="P80" s="2108"/>
      <c r="Q80" s="2109"/>
      <c r="R80" s="2109"/>
      <c r="S80" s="2110"/>
      <c r="T80" s="2111"/>
      <c r="U80" s="2108"/>
      <c r="V80" s="2107"/>
      <c r="W80" s="2112"/>
    </row>
    <row r="81" spans="1:23" ht="21.75">
      <c r="A81" s="2098"/>
      <c r="B81" s="2099"/>
      <c r="C81" s="2100"/>
      <c r="D81" s="2101"/>
      <c r="E81" s="2095"/>
      <c r="F81" s="2090"/>
      <c r="G81" s="2090"/>
      <c r="H81" s="2082">
        <f t="shared" si="5"/>
        <v>0</v>
      </c>
      <c r="I81" s="2101"/>
      <c r="J81" s="2095"/>
      <c r="K81" s="2090"/>
      <c r="L81" s="2090"/>
      <c r="M81" s="2075">
        <f t="shared" si="6"/>
        <v>0</v>
      </c>
      <c r="N81" s="2096">
        <f t="shared" si="7"/>
        <v>0</v>
      </c>
      <c r="O81" s="2107"/>
      <c r="P81" s="2108"/>
      <c r="Q81" s="2109"/>
      <c r="R81" s="2109"/>
      <c r="S81" s="2110"/>
      <c r="T81" s="2111"/>
      <c r="U81" s="2108"/>
      <c r="V81" s="2107"/>
      <c r="W81" s="2112"/>
    </row>
    <row r="82" spans="1:23" ht="21.75">
      <c r="A82" s="2098"/>
      <c r="B82" s="2099"/>
      <c r="C82" s="2100"/>
      <c r="D82" s="2101"/>
      <c r="E82" s="2095"/>
      <c r="F82" s="2090"/>
      <c r="G82" s="2090"/>
      <c r="H82" s="2082">
        <f t="shared" si="5"/>
        <v>0</v>
      </c>
      <c r="I82" s="2101"/>
      <c r="J82" s="2095"/>
      <c r="K82" s="2090"/>
      <c r="L82" s="2090"/>
      <c r="M82" s="2075">
        <f t="shared" si="6"/>
        <v>0</v>
      </c>
      <c r="N82" s="2096">
        <f t="shared" si="7"/>
        <v>0</v>
      </c>
      <c r="O82" s="2107"/>
      <c r="P82" s="2108"/>
      <c r="Q82" s="2109"/>
      <c r="R82" s="2109"/>
      <c r="S82" s="2110"/>
      <c r="T82" s="2111"/>
      <c r="U82" s="2108"/>
      <c r="V82" s="2107"/>
      <c r="W82" s="2112"/>
    </row>
    <row r="83" spans="1:23" ht="21.75">
      <c r="A83" s="2098"/>
      <c r="B83" s="2099"/>
      <c r="C83" s="2100"/>
      <c r="D83" s="2101"/>
      <c r="E83" s="2095"/>
      <c r="F83" s="2090"/>
      <c r="G83" s="2090"/>
      <c r="H83" s="2082">
        <f t="shared" si="5"/>
        <v>0</v>
      </c>
      <c r="I83" s="2101"/>
      <c r="J83" s="2095"/>
      <c r="K83" s="2090"/>
      <c r="L83" s="2090"/>
      <c r="M83" s="2075">
        <f t="shared" si="6"/>
        <v>0</v>
      </c>
      <c r="N83" s="2096">
        <f t="shared" si="7"/>
        <v>0</v>
      </c>
      <c r="O83" s="2107"/>
      <c r="P83" s="2108"/>
      <c r="Q83" s="2109"/>
      <c r="R83" s="2109"/>
      <c r="S83" s="2110"/>
      <c r="T83" s="2111"/>
      <c r="U83" s="2108"/>
      <c r="V83" s="2107"/>
      <c r="W83" s="2112"/>
    </row>
    <row r="84" spans="1:23" ht="21.75">
      <c r="A84" s="2098"/>
      <c r="B84" s="2099"/>
      <c r="C84" s="2100"/>
      <c r="D84" s="2101"/>
      <c r="E84" s="2095"/>
      <c r="F84" s="2090"/>
      <c r="G84" s="2090"/>
      <c r="H84" s="2082">
        <f t="shared" si="5"/>
        <v>0</v>
      </c>
      <c r="I84" s="2101"/>
      <c r="J84" s="2095"/>
      <c r="K84" s="2090"/>
      <c r="L84" s="2090"/>
      <c r="M84" s="2075">
        <f t="shared" si="6"/>
        <v>0</v>
      </c>
      <c r="N84" s="2096">
        <f t="shared" si="7"/>
        <v>0</v>
      </c>
      <c r="O84" s="2107"/>
      <c r="P84" s="2108"/>
      <c r="Q84" s="2109"/>
      <c r="R84" s="2109"/>
      <c r="S84" s="2110"/>
      <c r="T84" s="2111"/>
      <c r="U84" s="2108"/>
      <c r="V84" s="2107"/>
      <c r="W84" s="2112"/>
    </row>
    <row r="85" spans="1:23" ht="21.75">
      <c r="A85" s="2098"/>
      <c r="B85" s="2099"/>
      <c r="C85" s="2100"/>
      <c r="D85" s="2101"/>
      <c r="E85" s="2095"/>
      <c r="F85" s="2090"/>
      <c r="G85" s="2090"/>
      <c r="H85" s="2082">
        <f t="shared" si="5"/>
        <v>0</v>
      </c>
      <c r="I85" s="2101"/>
      <c r="J85" s="2095"/>
      <c r="K85" s="2090"/>
      <c r="L85" s="2090"/>
      <c r="M85" s="2075">
        <f t="shared" si="6"/>
        <v>0</v>
      </c>
      <c r="N85" s="2096">
        <f t="shared" si="7"/>
        <v>0</v>
      </c>
      <c r="O85" s="2107"/>
      <c r="P85" s="2108"/>
      <c r="Q85" s="2109"/>
      <c r="R85" s="2109"/>
      <c r="S85" s="2110"/>
      <c r="T85" s="2111"/>
      <c r="U85" s="2108"/>
      <c r="V85" s="2107"/>
      <c r="W85" s="2112"/>
    </row>
    <row r="86" spans="1:23" ht="21.75">
      <c r="A86" s="2098"/>
      <c r="B86" s="2099"/>
      <c r="C86" s="2100"/>
      <c r="D86" s="2101"/>
      <c r="E86" s="2095"/>
      <c r="F86" s="2090"/>
      <c r="G86" s="2090"/>
      <c r="H86" s="2082">
        <f t="shared" si="5"/>
        <v>0</v>
      </c>
      <c r="I86" s="2101"/>
      <c r="J86" s="2095"/>
      <c r="K86" s="2090"/>
      <c r="L86" s="2090"/>
      <c r="M86" s="2075">
        <f t="shared" si="6"/>
        <v>0</v>
      </c>
      <c r="N86" s="2096">
        <f t="shared" si="7"/>
        <v>0</v>
      </c>
      <c r="O86" s="2107"/>
      <c r="P86" s="2108"/>
      <c r="Q86" s="2109"/>
      <c r="R86" s="2109"/>
      <c r="S86" s="2110"/>
      <c r="T86" s="2111"/>
      <c r="U86" s="2108"/>
      <c r="V86" s="2107"/>
      <c r="W86" s="2112"/>
    </row>
    <row r="87" spans="1:23" ht="21.75">
      <c r="A87" s="2098"/>
      <c r="B87" s="2099"/>
      <c r="C87" s="2100"/>
      <c r="D87" s="2101"/>
      <c r="E87" s="2095"/>
      <c r="F87" s="2090"/>
      <c r="G87" s="2090"/>
      <c r="H87" s="2082">
        <f t="shared" si="5"/>
        <v>0</v>
      </c>
      <c r="I87" s="2101"/>
      <c r="J87" s="2095"/>
      <c r="K87" s="2090"/>
      <c r="L87" s="2090"/>
      <c r="M87" s="2075">
        <f t="shared" si="6"/>
        <v>0</v>
      </c>
      <c r="N87" s="2096">
        <f t="shared" si="7"/>
        <v>0</v>
      </c>
      <c r="O87" s="2107"/>
      <c r="P87" s="2108"/>
      <c r="Q87" s="2109"/>
      <c r="R87" s="2109"/>
      <c r="S87" s="2110"/>
      <c r="T87" s="2111"/>
      <c r="U87" s="2108"/>
      <c r="V87" s="2107"/>
      <c r="W87" s="2112"/>
    </row>
    <row r="88" spans="1:23" ht="21.75">
      <c r="A88" s="2098"/>
      <c r="B88" s="2099"/>
      <c r="C88" s="2100"/>
      <c r="D88" s="2101"/>
      <c r="E88" s="2095"/>
      <c r="F88" s="2090"/>
      <c r="G88" s="2090"/>
      <c r="H88" s="2082">
        <f t="shared" si="5"/>
        <v>0</v>
      </c>
      <c r="I88" s="2101"/>
      <c r="J88" s="2095"/>
      <c r="K88" s="2090"/>
      <c r="L88" s="2090"/>
      <c r="M88" s="2075">
        <f t="shared" si="6"/>
        <v>0</v>
      </c>
      <c r="N88" s="2096">
        <f t="shared" si="7"/>
        <v>0</v>
      </c>
      <c r="O88" s="2107"/>
      <c r="P88" s="2108"/>
      <c r="Q88" s="2109"/>
      <c r="R88" s="2109"/>
      <c r="S88" s="2110"/>
      <c r="T88" s="2111"/>
      <c r="U88" s="2108"/>
      <c r="V88" s="2107"/>
      <c r="W88" s="2112"/>
    </row>
    <row r="89" spans="1:23" ht="21.75">
      <c r="A89" s="2098"/>
      <c r="B89" s="2099"/>
      <c r="C89" s="2100"/>
      <c r="D89" s="2101"/>
      <c r="E89" s="2095"/>
      <c r="F89" s="2090"/>
      <c r="G89" s="2090"/>
      <c r="H89" s="2082">
        <f t="shared" si="5"/>
        <v>0</v>
      </c>
      <c r="I89" s="2101"/>
      <c r="J89" s="2095"/>
      <c r="K89" s="2090"/>
      <c r="L89" s="2090"/>
      <c r="M89" s="2075">
        <f t="shared" si="6"/>
        <v>0</v>
      </c>
      <c r="N89" s="2096">
        <f t="shared" si="7"/>
        <v>0</v>
      </c>
      <c r="O89" s="2107"/>
      <c r="P89" s="2108"/>
      <c r="Q89" s="2109"/>
      <c r="R89" s="2109"/>
      <c r="S89" s="2110"/>
      <c r="T89" s="2111"/>
      <c r="U89" s="2108"/>
      <c r="V89" s="2107"/>
      <c r="W89" s="2112"/>
    </row>
    <row r="90" spans="1:23" ht="21.75">
      <c r="A90" s="2098"/>
      <c r="B90" s="2099"/>
      <c r="C90" s="2100"/>
      <c r="D90" s="2101"/>
      <c r="E90" s="2095"/>
      <c r="F90" s="2090"/>
      <c r="G90" s="2090"/>
      <c r="H90" s="2082">
        <f t="shared" si="5"/>
        <v>0</v>
      </c>
      <c r="I90" s="2101"/>
      <c r="J90" s="2095"/>
      <c r="K90" s="2090"/>
      <c r="L90" s="2090"/>
      <c r="M90" s="2075">
        <f t="shared" si="6"/>
        <v>0</v>
      </c>
      <c r="N90" s="2096">
        <f t="shared" si="7"/>
        <v>0</v>
      </c>
      <c r="O90" s="2107"/>
      <c r="P90" s="2108"/>
      <c r="Q90" s="2109"/>
      <c r="R90" s="2109"/>
      <c r="S90" s="2110"/>
      <c r="T90" s="2111"/>
      <c r="U90" s="2108"/>
      <c r="V90" s="2107"/>
      <c r="W90" s="2112"/>
    </row>
    <row r="91" spans="1:23" ht="21.75">
      <c r="A91" s="2098"/>
      <c r="B91" s="2099"/>
      <c r="C91" s="2100"/>
      <c r="D91" s="2101"/>
      <c r="E91" s="2095"/>
      <c r="F91" s="2090"/>
      <c r="G91" s="2090"/>
      <c r="H91" s="2082">
        <f t="shared" si="5"/>
        <v>0</v>
      </c>
      <c r="I91" s="2101"/>
      <c r="J91" s="2095"/>
      <c r="K91" s="2090"/>
      <c r="L91" s="2090"/>
      <c r="M91" s="2075">
        <f t="shared" si="6"/>
        <v>0</v>
      </c>
      <c r="N91" s="2096">
        <f t="shared" si="7"/>
        <v>0</v>
      </c>
      <c r="O91" s="2107"/>
      <c r="P91" s="2108"/>
      <c r="Q91" s="2109"/>
      <c r="R91" s="2109"/>
      <c r="S91" s="2110"/>
      <c r="T91" s="2111"/>
      <c r="U91" s="2108"/>
      <c r="V91" s="2107"/>
      <c r="W91" s="2112"/>
    </row>
    <row r="92" spans="1:23" ht="21.75">
      <c r="A92" s="2098"/>
      <c r="B92" s="2099"/>
      <c r="C92" s="2100"/>
      <c r="D92" s="2101"/>
      <c r="E92" s="2095"/>
      <c r="F92" s="2090"/>
      <c r="G92" s="2090"/>
      <c r="H92" s="2082">
        <f t="shared" si="5"/>
        <v>0</v>
      </c>
      <c r="I92" s="2101"/>
      <c r="J92" s="2095"/>
      <c r="K92" s="2090"/>
      <c r="L92" s="2090"/>
      <c r="M92" s="2075">
        <f t="shared" si="6"/>
        <v>0</v>
      </c>
      <c r="N92" s="2096">
        <f t="shared" si="7"/>
        <v>0</v>
      </c>
      <c r="O92" s="2107"/>
      <c r="P92" s="2108"/>
      <c r="Q92" s="2109"/>
      <c r="R92" s="2109"/>
      <c r="S92" s="2110"/>
      <c r="T92" s="2111"/>
      <c r="U92" s="2108"/>
      <c r="V92" s="2107"/>
      <c r="W92" s="2112"/>
    </row>
    <row r="93" spans="1:23" ht="21.75">
      <c r="A93" s="2098"/>
      <c r="B93" s="2099"/>
      <c r="C93" s="2100"/>
      <c r="D93" s="2101"/>
      <c r="E93" s="2095"/>
      <c r="F93" s="2090"/>
      <c r="G93" s="2090"/>
      <c r="H93" s="2082">
        <f t="shared" si="5"/>
        <v>0</v>
      </c>
      <c r="I93" s="2101"/>
      <c r="J93" s="2095"/>
      <c r="K93" s="2090"/>
      <c r="L93" s="2090"/>
      <c r="M93" s="2075">
        <f t="shared" si="6"/>
        <v>0</v>
      </c>
      <c r="N93" s="2096">
        <f t="shared" si="7"/>
        <v>0</v>
      </c>
      <c r="O93" s="2107"/>
      <c r="P93" s="2108"/>
      <c r="Q93" s="2109"/>
      <c r="R93" s="2109"/>
      <c r="S93" s="2110"/>
      <c r="T93" s="2111"/>
      <c r="U93" s="2108"/>
      <c r="V93" s="2107"/>
      <c r="W93" s="2112"/>
    </row>
    <row r="94" spans="1:23" ht="21.75">
      <c r="A94" s="2098"/>
      <c r="B94" s="2099"/>
      <c r="C94" s="2100"/>
      <c r="D94" s="2101"/>
      <c r="E94" s="2095"/>
      <c r="F94" s="2090"/>
      <c r="G94" s="2090"/>
      <c r="H94" s="2082">
        <f t="shared" si="5"/>
        <v>0</v>
      </c>
      <c r="I94" s="2101"/>
      <c r="J94" s="2095"/>
      <c r="K94" s="2090"/>
      <c r="L94" s="2090"/>
      <c r="M94" s="2075">
        <f t="shared" si="6"/>
        <v>0</v>
      </c>
      <c r="N94" s="2096">
        <f t="shared" si="7"/>
        <v>0</v>
      </c>
      <c r="O94" s="2107"/>
      <c r="P94" s="2108"/>
      <c r="Q94" s="2109"/>
      <c r="R94" s="2109"/>
      <c r="S94" s="2110"/>
      <c r="T94" s="2111"/>
      <c r="U94" s="2108"/>
      <c r="V94" s="2107"/>
      <c r="W94" s="2112"/>
    </row>
    <row r="95" spans="1:23" ht="21.75">
      <c r="A95" s="2098"/>
      <c r="B95" s="2099"/>
      <c r="C95" s="2100"/>
      <c r="D95" s="2101"/>
      <c r="E95" s="2095"/>
      <c r="F95" s="2090"/>
      <c r="G95" s="2090"/>
      <c r="H95" s="2082">
        <f t="shared" si="5"/>
        <v>0</v>
      </c>
      <c r="I95" s="2101"/>
      <c r="J95" s="2095"/>
      <c r="K95" s="2090"/>
      <c r="L95" s="2090"/>
      <c r="M95" s="2075">
        <f t="shared" si="6"/>
        <v>0</v>
      </c>
      <c r="N95" s="2096">
        <f t="shared" si="7"/>
        <v>0</v>
      </c>
      <c r="O95" s="2107"/>
      <c r="P95" s="2108"/>
      <c r="Q95" s="2109"/>
      <c r="R95" s="2109"/>
      <c r="S95" s="2110"/>
      <c r="T95" s="2111"/>
      <c r="U95" s="2108"/>
      <c r="V95" s="2107"/>
      <c r="W95" s="2112"/>
    </row>
    <row r="96" spans="1:23" ht="21.75">
      <c r="A96" s="2098"/>
      <c r="B96" s="2099"/>
      <c r="C96" s="2100"/>
      <c r="D96" s="2101"/>
      <c r="E96" s="2095"/>
      <c r="F96" s="2090"/>
      <c r="G96" s="2090"/>
      <c r="H96" s="2082">
        <f t="shared" si="5"/>
        <v>0</v>
      </c>
      <c r="I96" s="2101"/>
      <c r="J96" s="2095"/>
      <c r="K96" s="2090"/>
      <c r="L96" s="2090"/>
      <c r="M96" s="2075">
        <f t="shared" si="6"/>
        <v>0</v>
      </c>
      <c r="N96" s="2096">
        <f t="shared" si="7"/>
        <v>0</v>
      </c>
      <c r="O96" s="2107"/>
      <c r="P96" s="2108"/>
      <c r="Q96" s="2109"/>
      <c r="R96" s="2109"/>
      <c r="S96" s="2110"/>
      <c r="T96" s="2111"/>
      <c r="U96" s="2108"/>
      <c r="V96" s="2107"/>
      <c r="W96" s="2112"/>
    </row>
    <row r="97" spans="1:23" ht="21.75">
      <c r="A97" s="2098"/>
      <c r="B97" s="2099"/>
      <c r="C97" s="2100"/>
      <c r="D97" s="2101"/>
      <c r="E97" s="2095"/>
      <c r="F97" s="2090"/>
      <c r="G97" s="2090"/>
      <c r="H97" s="2082">
        <f t="shared" si="5"/>
        <v>0</v>
      </c>
      <c r="I97" s="2101"/>
      <c r="J97" s="2095"/>
      <c r="K97" s="2090"/>
      <c r="L97" s="2090"/>
      <c r="M97" s="2075">
        <f t="shared" si="6"/>
        <v>0</v>
      </c>
      <c r="N97" s="2096">
        <f t="shared" si="7"/>
        <v>0</v>
      </c>
      <c r="O97" s="2107"/>
      <c r="P97" s="2108"/>
      <c r="Q97" s="2109"/>
      <c r="R97" s="2109"/>
      <c r="S97" s="2110"/>
      <c r="T97" s="2111"/>
      <c r="U97" s="2108"/>
      <c r="V97" s="2107"/>
      <c r="W97" s="2112"/>
    </row>
    <row r="98" spans="1:23" ht="21.75">
      <c r="A98" s="2098"/>
      <c r="B98" s="2099"/>
      <c r="C98" s="2100"/>
      <c r="D98" s="2101"/>
      <c r="E98" s="2095"/>
      <c r="F98" s="2090"/>
      <c r="G98" s="2090"/>
      <c r="H98" s="2082">
        <f t="shared" ref="H98:H161" si="8">E98+F98+G98</f>
        <v>0</v>
      </c>
      <c r="I98" s="2101"/>
      <c r="J98" s="2095"/>
      <c r="K98" s="2090"/>
      <c r="L98" s="2090"/>
      <c r="M98" s="2075">
        <f t="shared" ref="M98:M161" si="9">J98+K98+L98</f>
        <v>0</v>
      </c>
      <c r="N98" s="2096">
        <f t="shared" ref="N98:N161" si="10">O98+P98</f>
        <v>0</v>
      </c>
      <c r="O98" s="2107"/>
      <c r="P98" s="2108"/>
      <c r="Q98" s="2109"/>
      <c r="R98" s="2109"/>
      <c r="S98" s="2110"/>
      <c r="T98" s="2111"/>
      <c r="U98" s="2108"/>
      <c r="V98" s="2107"/>
      <c r="W98" s="2112"/>
    </row>
    <row r="99" spans="1:23" ht="21.75">
      <c r="A99" s="2098"/>
      <c r="B99" s="2099"/>
      <c r="C99" s="2100"/>
      <c r="D99" s="2101"/>
      <c r="E99" s="2095"/>
      <c r="F99" s="2090"/>
      <c r="G99" s="2090"/>
      <c r="H99" s="2082">
        <f t="shared" si="8"/>
        <v>0</v>
      </c>
      <c r="I99" s="2101"/>
      <c r="J99" s="2095"/>
      <c r="K99" s="2090"/>
      <c r="L99" s="2090"/>
      <c r="M99" s="2075">
        <f t="shared" si="9"/>
        <v>0</v>
      </c>
      <c r="N99" s="2096">
        <f t="shared" si="10"/>
        <v>0</v>
      </c>
      <c r="O99" s="2107"/>
      <c r="P99" s="2108"/>
      <c r="Q99" s="2109"/>
      <c r="R99" s="2109"/>
      <c r="S99" s="2110"/>
      <c r="T99" s="2111"/>
      <c r="U99" s="2108"/>
      <c r="V99" s="2107"/>
      <c r="W99" s="2112"/>
    </row>
    <row r="100" spans="1:23" ht="21.75">
      <c r="A100" s="2098"/>
      <c r="B100" s="2099"/>
      <c r="C100" s="2100"/>
      <c r="D100" s="2101"/>
      <c r="E100" s="2095"/>
      <c r="F100" s="2090"/>
      <c r="G100" s="2090"/>
      <c r="H100" s="2082">
        <f t="shared" si="8"/>
        <v>0</v>
      </c>
      <c r="I100" s="2101"/>
      <c r="J100" s="2095"/>
      <c r="K100" s="2090"/>
      <c r="L100" s="2090"/>
      <c r="M100" s="2075">
        <f t="shared" si="9"/>
        <v>0</v>
      </c>
      <c r="N100" s="2096">
        <f t="shared" si="10"/>
        <v>0</v>
      </c>
      <c r="O100" s="2107"/>
      <c r="P100" s="2108"/>
      <c r="Q100" s="2109"/>
      <c r="R100" s="2109"/>
      <c r="S100" s="2110"/>
      <c r="T100" s="2111"/>
      <c r="U100" s="2108"/>
      <c r="V100" s="2107"/>
      <c r="W100" s="2112"/>
    </row>
    <row r="101" spans="1:23" ht="21.75">
      <c r="A101" s="2098"/>
      <c r="B101" s="2099"/>
      <c r="C101" s="2100"/>
      <c r="D101" s="2101"/>
      <c r="E101" s="2095"/>
      <c r="F101" s="2090"/>
      <c r="G101" s="2090"/>
      <c r="H101" s="2082">
        <f t="shared" si="8"/>
        <v>0</v>
      </c>
      <c r="I101" s="2101"/>
      <c r="J101" s="2095"/>
      <c r="K101" s="2090"/>
      <c r="L101" s="2090"/>
      <c r="M101" s="2075">
        <f t="shared" si="9"/>
        <v>0</v>
      </c>
      <c r="N101" s="2096">
        <f t="shared" si="10"/>
        <v>0</v>
      </c>
      <c r="O101" s="2107"/>
      <c r="P101" s="2108"/>
      <c r="Q101" s="2109"/>
      <c r="R101" s="2109"/>
      <c r="S101" s="2110"/>
      <c r="T101" s="2111"/>
      <c r="U101" s="2108"/>
      <c r="V101" s="2107"/>
      <c r="W101" s="2112"/>
    </row>
    <row r="102" spans="1:23" ht="21.75">
      <c r="A102" s="2098"/>
      <c r="B102" s="2099"/>
      <c r="C102" s="2100"/>
      <c r="D102" s="2101"/>
      <c r="E102" s="2095"/>
      <c r="F102" s="2090"/>
      <c r="G102" s="2090"/>
      <c r="H102" s="2082">
        <f t="shared" si="8"/>
        <v>0</v>
      </c>
      <c r="I102" s="2101"/>
      <c r="J102" s="2095"/>
      <c r="K102" s="2090"/>
      <c r="L102" s="2090"/>
      <c r="M102" s="2075">
        <f t="shared" si="9"/>
        <v>0</v>
      </c>
      <c r="N102" s="2096">
        <f t="shared" si="10"/>
        <v>0</v>
      </c>
      <c r="O102" s="2107"/>
      <c r="P102" s="2108"/>
      <c r="Q102" s="2109"/>
      <c r="R102" s="2109"/>
      <c r="S102" s="2110"/>
      <c r="T102" s="2111"/>
      <c r="U102" s="2108"/>
      <c r="V102" s="2107"/>
      <c r="W102" s="2112"/>
    </row>
    <row r="103" spans="1:23" ht="21.75">
      <c r="A103" s="2098"/>
      <c r="B103" s="2099"/>
      <c r="C103" s="2100"/>
      <c r="D103" s="2101"/>
      <c r="E103" s="2095"/>
      <c r="F103" s="2090"/>
      <c r="G103" s="2090"/>
      <c r="H103" s="2082">
        <f t="shared" si="8"/>
        <v>0</v>
      </c>
      <c r="I103" s="2101"/>
      <c r="J103" s="2095"/>
      <c r="K103" s="2090"/>
      <c r="L103" s="2090"/>
      <c r="M103" s="2075">
        <f t="shared" si="9"/>
        <v>0</v>
      </c>
      <c r="N103" s="2096">
        <f t="shared" si="10"/>
        <v>0</v>
      </c>
      <c r="O103" s="2107"/>
      <c r="P103" s="2108"/>
      <c r="Q103" s="2109"/>
      <c r="R103" s="2109"/>
      <c r="S103" s="2110"/>
      <c r="T103" s="2111"/>
      <c r="U103" s="2108"/>
      <c r="V103" s="2107"/>
      <c r="W103" s="2112"/>
    </row>
    <row r="104" spans="1:23" ht="21.75">
      <c r="A104" s="2098"/>
      <c r="B104" s="2099"/>
      <c r="C104" s="2100"/>
      <c r="D104" s="2101"/>
      <c r="E104" s="2095"/>
      <c r="F104" s="2090"/>
      <c r="G104" s="2090"/>
      <c r="H104" s="2082">
        <f t="shared" si="8"/>
        <v>0</v>
      </c>
      <c r="I104" s="2101"/>
      <c r="J104" s="2095"/>
      <c r="K104" s="2090"/>
      <c r="L104" s="2090"/>
      <c r="M104" s="2075">
        <f t="shared" si="9"/>
        <v>0</v>
      </c>
      <c r="N104" s="2096">
        <f t="shared" si="10"/>
        <v>0</v>
      </c>
      <c r="O104" s="2107"/>
      <c r="P104" s="2108"/>
      <c r="Q104" s="2109"/>
      <c r="R104" s="2109"/>
      <c r="S104" s="2110"/>
      <c r="T104" s="2111"/>
      <c r="U104" s="2108"/>
      <c r="V104" s="2107"/>
      <c r="W104" s="2112"/>
    </row>
    <row r="105" spans="1:23" ht="21.75">
      <c r="A105" s="2098"/>
      <c r="B105" s="2099"/>
      <c r="C105" s="2100"/>
      <c r="D105" s="2101"/>
      <c r="E105" s="2095"/>
      <c r="F105" s="2090"/>
      <c r="G105" s="2090"/>
      <c r="H105" s="2082">
        <f t="shared" si="8"/>
        <v>0</v>
      </c>
      <c r="I105" s="2101"/>
      <c r="J105" s="2095"/>
      <c r="K105" s="2090"/>
      <c r="L105" s="2090"/>
      <c r="M105" s="2075">
        <f t="shared" si="9"/>
        <v>0</v>
      </c>
      <c r="N105" s="2096">
        <f t="shared" si="10"/>
        <v>0</v>
      </c>
      <c r="O105" s="2107"/>
      <c r="P105" s="2108"/>
      <c r="Q105" s="2109"/>
      <c r="R105" s="2109"/>
      <c r="S105" s="2110"/>
      <c r="T105" s="2111"/>
      <c r="U105" s="2108"/>
      <c r="V105" s="2107"/>
      <c r="W105" s="2112"/>
    </row>
    <row r="106" spans="1:23" ht="21.75">
      <c r="A106" s="2098"/>
      <c r="B106" s="2099"/>
      <c r="C106" s="2100"/>
      <c r="D106" s="2101"/>
      <c r="E106" s="2095"/>
      <c r="F106" s="2090"/>
      <c r="G106" s="2090"/>
      <c r="H106" s="2082">
        <f t="shared" si="8"/>
        <v>0</v>
      </c>
      <c r="I106" s="2101"/>
      <c r="J106" s="2095"/>
      <c r="K106" s="2090"/>
      <c r="L106" s="2090"/>
      <c r="M106" s="2075">
        <f t="shared" si="9"/>
        <v>0</v>
      </c>
      <c r="N106" s="2096">
        <f t="shared" si="10"/>
        <v>0</v>
      </c>
      <c r="O106" s="2107"/>
      <c r="P106" s="2108"/>
      <c r="Q106" s="2109"/>
      <c r="R106" s="2109"/>
      <c r="S106" s="2110"/>
      <c r="T106" s="2111"/>
      <c r="U106" s="2108"/>
      <c r="V106" s="2107"/>
      <c r="W106" s="2112"/>
    </row>
    <row r="107" spans="1:23" ht="21.75">
      <c r="A107" s="2098"/>
      <c r="B107" s="2099"/>
      <c r="C107" s="2100"/>
      <c r="D107" s="2101"/>
      <c r="E107" s="2095"/>
      <c r="F107" s="2090"/>
      <c r="G107" s="2090"/>
      <c r="H107" s="2082">
        <f t="shared" si="8"/>
        <v>0</v>
      </c>
      <c r="I107" s="2101"/>
      <c r="J107" s="2095"/>
      <c r="K107" s="2090"/>
      <c r="L107" s="2090"/>
      <c r="M107" s="2075">
        <f t="shared" si="9"/>
        <v>0</v>
      </c>
      <c r="N107" s="2096">
        <f t="shared" si="10"/>
        <v>0</v>
      </c>
      <c r="O107" s="2107"/>
      <c r="P107" s="2108"/>
      <c r="Q107" s="2109"/>
      <c r="R107" s="2109"/>
      <c r="S107" s="2110"/>
      <c r="T107" s="2111"/>
      <c r="U107" s="2108"/>
      <c r="V107" s="2107"/>
      <c r="W107" s="2112"/>
    </row>
    <row r="108" spans="1:23" ht="21.75">
      <c r="A108" s="2098"/>
      <c r="B108" s="2099"/>
      <c r="C108" s="2100"/>
      <c r="D108" s="2101"/>
      <c r="E108" s="2095"/>
      <c r="F108" s="2090"/>
      <c r="G108" s="2090"/>
      <c r="H108" s="2082">
        <f t="shared" si="8"/>
        <v>0</v>
      </c>
      <c r="I108" s="2101"/>
      <c r="J108" s="2095"/>
      <c r="K108" s="2090"/>
      <c r="L108" s="2090"/>
      <c r="M108" s="2075">
        <f t="shared" si="9"/>
        <v>0</v>
      </c>
      <c r="N108" s="2096">
        <f t="shared" si="10"/>
        <v>0</v>
      </c>
      <c r="O108" s="2107"/>
      <c r="P108" s="2108"/>
      <c r="Q108" s="2109"/>
      <c r="R108" s="2109"/>
      <c r="S108" s="2110"/>
      <c r="T108" s="2111"/>
      <c r="U108" s="2108"/>
      <c r="V108" s="2107"/>
      <c r="W108" s="2112"/>
    </row>
    <row r="109" spans="1:23" ht="21.75">
      <c r="A109" s="2098"/>
      <c r="B109" s="2099"/>
      <c r="C109" s="2100"/>
      <c r="D109" s="2101"/>
      <c r="E109" s="2095"/>
      <c r="F109" s="2090"/>
      <c r="G109" s="2090"/>
      <c r="H109" s="2082">
        <f t="shared" si="8"/>
        <v>0</v>
      </c>
      <c r="I109" s="2101"/>
      <c r="J109" s="2095"/>
      <c r="K109" s="2090"/>
      <c r="L109" s="2090"/>
      <c r="M109" s="2075">
        <f t="shared" si="9"/>
        <v>0</v>
      </c>
      <c r="N109" s="2096">
        <f t="shared" si="10"/>
        <v>0</v>
      </c>
      <c r="O109" s="2107"/>
      <c r="P109" s="2108"/>
      <c r="Q109" s="2109"/>
      <c r="R109" s="2109"/>
      <c r="S109" s="2110"/>
      <c r="T109" s="2111"/>
      <c r="U109" s="2108"/>
      <c r="V109" s="2107"/>
      <c r="W109" s="2112"/>
    </row>
    <row r="110" spans="1:23" ht="21.75">
      <c r="A110" s="2098"/>
      <c r="B110" s="2099"/>
      <c r="C110" s="2100"/>
      <c r="D110" s="2101"/>
      <c r="E110" s="2095"/>
      <c r="F110" s="2090"/>
      <c r="G110" s="2090"/>
      <c r="H110" s="2082">
        <f t="shared" si="8"/>
        <v>0</v>
      </c>
      <c r="I110" s="2101"/>
      <c r="J110" s="2095"/>
      <c r="K110" s="2090"/>
      <c r="L110" s="2090"/>
      <c r="M110" s="2075">
        <f t="shared" si="9"/>
        <v>0</v>
      </c>
      <c r="N110" s="2096">
        <f t="shared" si="10"/>
        <v>0</v>
      </c>
      <c r="O110" s="2107"/>
      <c r="P110" s="2108"/>
      <c r="Q110" s="2109"/>
      <c r="R110" s="2109"/>
      <c r="S110" s="2110"/>
      <c r="T110" s="2111"/>
      <c r="U110" s="2108"/>
      <c r="V110" s="2107"/>
      <c r="W110" s="2112"/>
    </row>
    <row r="111" spans="1:23" ht="21.75">
      <c r="A111" s="2098"/>
      <c r="B111" s="2099"/>
      <c r="C111" s="2100"/>
      <c r="D111" s="2101"/>
      <c r="E111" s="2095"/>
      <c r="F111" s="2090"/>
      <c r="G111" s="2090"/>
      <c r="H111" s="2082">
        <f t="shared" si="8"/>
        <v>0</v>
      </c>
      <c r="I111" s="2101"/>
      <c r="J111" s="2095"/>
      <c r="K111" s="2090"/>
      <c r="L111" s="2090"/>
      <c r="M111" s="2075">
        <f t="shared" si="9"/>
        <v>0</v>
      </c>
      <c r="N111" s="2096">
        <f t="shared" si="10"/>
        <v>0</v>
      </c>
      <c r="O111" s="2107"/>
      <c r="P111" s="2108"/>
      <c r="Q111" s="2109"/>
      <c r="R111" s="2109"/>
      <c r="S111" s="2110"/>
      <c r="T111" s="2111"/>
      <c r="U111" s="2108"/>
      <c r="V111" s="2107"/>
      <c r="W111" s="2112"/>
    </row>
    <row r="112" spans="1:23" ht="21.75">
      <c r="A112" s="2098"/>
      <c r="B112" s="2099"/>
      <c r="C112" s="2100"/>
      <c r="D112" s="2101"/>
      <c r="E112" s="2095"/>
      <c r="F112" s="2090"/>
      <c r="G112" s="2090"/>
      <c r="H112" s="2082">
        <f t="shared" si="8"/>
        <v>0</v>
      </c>
      <c r="I112" s="2101"/>
      <c r="J112" s="2095"/>
      <c r="K112" s="2090"/>
      <c r="L112" s="2090"/>
      <c r="M112" s="2075">
        <f t="shared" si="9"/>
        <v>0</v>
      </c>
      <c r="N112" s="2096">
        <f t="shared" si="10"/>
        <v>0</v>
      </c>
      <c r="O112" s="2107"/>
      <c r="P112" s="2108"/>
      <c r="Q112" s="2109"/>
      <c r="R112" s="2109"/>
      <c r="S112" s="2110"/>
      <c r="T112" s="2111"/>
      <c r="U112" s="2108"/>
      <c r="V112" s="2107"/>
      <c r="W112" s="2112"/>
    </row>
    <row r="113" spans="1:23" ht="21.75">
      <c r="A113" s="2098"/>
      <c r="B113" s="2099"/>
      <c r="C113" s="2100"/>
      <c r="D113" s="2101"/>
      <c r="E113" s="2095"/>
      <c r="F113" s="2090"/>
      <c r="G113" s="2090"/>
      <c r="H113" s="2082">
        <f t="shared" si="8"/>
        <v>0</v>
      </c>
      <c r="I113" s="2101"/>
      <c r="J113" s="2095"/>
      <c r="K113" s="2090"/>
      <c r="L113" s="2090"/>
      <c r="M113" s="2075">
        <f t="shared" si="9"/>
        <v>0</v>
      </c>
      <c r="N113" s="2096">
        <f t="shared" si="10"/>
        <v>0</v>
      </c>
      <c r="O113" s="2107"/>
      <c r="P113" s="2108"/>
      <c r="Q113" s="2109"/>
      <c r="R113" s="2109"/>
      <c r="S113" s="2110"/>
      <c r="T113" s="2111"/>
      <c r="U113" s="2108"/>
      <c r="V113" s="2107"/>
      <c r="W113" s="2112"/>
    </row>
    <row r="114" spans="1:23" ht="21.75">
      <c r="A114" s="2098"/>
      <c r="B114" s="2099"/>
      <c r="C114" s="2100"/>
      <c r="D114" s="2101"/>
      <c r="E114" s="2095"/>
      <c r="F114" s="2090"/>
      <c r="G114" s="2090"/>
      <c r="H114" s="2082">
        <f t="shared" si="8"/>
        <v>0</v>
      </c>
      <c r="I114" s="2101"/>
      <c r="J114" s="2095"/>
      <c r="K114" s="2090"/>
      <c r="L114" s="2090"/>
      <c r="M114" s="2075">
        <f t="shared" si="9"/>
        <v>0</v>
      </c>
      <c r="N114" s="2096">
        <f t="shared" si="10"/>
        <v>0</v>
      </c>
      <c r="O114" s="2107"/>
      <c r="P114" s="2108"/>
      <c r="Q114" s="2109"/>
      <c r="R114" s="2109"/>
      <c r="S114" s="2110"/>
      <c r="T114" s="2111"/>
      <c r="U114" s="2108"/>
      <c r="V114" s="2107"/>
      <c r="W114" s="2112"/>
    </row>
    <row r="115" spans="1:23" ht="21.75">
      <c r="A115" s="2098"/>
      <c r="B115" s="2099"/>
      <c r="C115" s="2100"/>
      <c r="D115" s="2101"/>
      <c r="E115" s="2095"/>
      <c r="F115" s="2090"/>
      <c r="G115" s="2090"/>
      <c r="H115" s="2082">
        <f t="shared" si="8"/>
        <v>0</v>
      </c>
      <c r="I115" s="2101"/>
      <c r="J115" s="2095"/>
      <c r="K115" s="2090"/>
      <c r="L115" s="2090"/>
      <c r="M115" s="2075">
        <f t="shared" si="9"/>
        <v>0</v>
      </c>
      <c r="N115" s="2096">
        <f t="shared" si="10"/>
        <v>0</v>
      </c>
      <c r="O115" s="2107"/>
      <c r="P115" s="2108"/>
      <c r="Q115" s="2109"/>
      <c r="R115" s="2109"/>
      <c r="S115" s="2110"/>
      <c r="T115" s="2111"/>
      <c r="U115" s="2108"/>
      <c r="V115" s="2107"/>
      <c r="W115" s="2112"/>
    </row>
    <row r="116" spans="1:23" ht="21.75">
      <c r="A116" s="2098"/>
      <c r="B116" s="2099"/>
      <c r="C116" s="2100"/>
      <c r="D116" s="2101"/>
      <c r="E116" s="2095"/>
      <c r="F116" s="2090"/>
      <c r="G116" s="2090"/>
      <c r="H116" s="2082">
        <f t="shared" si="8"/>
        <v>0</v>
      </c>
      <c r="I116" s="2101"/>
      <c r="J116" s="2095"/>
      <c r="K116" s="2090"/>
      <c r="L116" s="2090"/>
      <c r="M116" s="2075">
        <f t="shared" si="9"/>
        <v>0</v>
      </c>
      <c r="N116" s="2096">
        <f t="shared" si="10"/>
        <v>0</v>
      </c>
      <c r="O116" s="2107"/>
      <c r="P116" s="2108"/>
      <c r="Q116" s="2109"/>
      <c r="R116" s="2109"/>
      <c r="S116" s="2110"/>
      <c r="T116" s="2111"/>
      <c r="U116" s="2108"/>
      <c r="V116" s="2107"/>
      <c r="W116" s="2112"/>
    </row>
    <row r="117" spans="1:23" ht="21.75">
      <c r="A117" s="2098"/>
      <c r="B117" s="2099"/>
      <c r="C117" s="2100"/>
      <c r="D117" s="2101"/>
      <c r="E117" s="2095"/>
      <c r="F117" s="2090"/>
      <c r="G117" s="2090"/>
      <c r="H117" s="2082">
        <f t="shared" si="8"/>
        <v>0</v>
      </c>
      <c r="I117" s="2101"/>
      <c r="J117" s="2095"/>
      <c r="K117" s="2090"/>
      <c r="L117" s="2090"/>
      <c r="M117" s="2075">
        <f t="shared" si="9"/>
        <v>0</v>
      </c>
      <c r="N117" s="2096">
        <f t="shared" si="10"/>
        <v>0</v>
      </c>
      <c r="O117" s="2107"/>
      <c r="P117" s="2108"/>
      <c r="Q117" s="2109"/>
      <c r="R117" s="2109"/>
      <c r="S117" s="2110"/>
      <c r="T117" s="2111"/>
      <c r="U117" s="2108"/>
      <c r="V117" s="2107"/>
      <c r="W117" s="2112"/>
    </row>
    <row r="118" spans="1:23" ht="21.75">
      <c r="A118" s="2098"/>
      <c r="B118" s="2099"/>
      <c r="C118" s="2100"/>
      <c r="D118" s="2101"/>
      <c r="E118" s="2095"/>
      <c r="F118" s="2090"/>
      <c r="G118" s="2090"/>
      <c r="H118" s="2082">
        <f t="shared" si="8"/>
        <v>0</v>
      </c>
      <c r="I118" s="2101"/>
      <c r="J118" s="2095"/>
      <c r="K118" s="2090"/>
      <c r="L118" s="2090"/>
      <c r="M118" s="2075">
        <f t="shared" si="9"/>
        <v>0</v>
      </c>
      <c r="N118" s="2096">
        <f t="shared" si="10"/>
        <v>0</v>
      </c>
      <c r="O118" s="2107"/>
      <c r="P118" s="2108"/>
      <c r="Q118" s="2109"/>
      <c r="R118" s="2109"/>
      <c r="S118" s="2110"/>
      <c r="T118" s="2111"/>
      <c r="U118" s="2108"/>
      <c r="V118" s="2107"/>
      <c r="W118" s="2112"/>
    </row>
    <row r="119" spans="1:23" ht="21.75">
      <c r="A119" s="2098"/>
      <c r="B119" s="2099"/>
      <c r="C119" s="2100"/>
      <c r="D119" s="2101"/>
      <c r="E119" s="2095"/>
      <c r="F119" s="2090"/>
      <c r="G119" s="2090"/>
      <c r="H119" s="2082">
        <f t="shared" si="8"/>
        <v>0</v>
      </c>
      <c r="I119" s="2101"/>
      <c r="J119" s="2095"/>
      <c r="K119" s="2090"/>
      <c r="L119" s="2090"/>
      <c r="M119" s="2075">
        <f t="shared" si="9"/>
        <v>0</v>
      </c>
      <c r="N119" s="2096">
        <f t="shared" si="10"/>
        <v>0</v>
      </c>
      <c r="O119" s="2107"/>
      <c r="P119" s="2108"/>
      <c r="Q119" s="2109"/>
      <c r="R119" s="2109"/>
      <c r="S119" s="2110"/>
      <c r="T119" s="2111"/>
      <c r="U119" s="2108"/>
      <c r="V119" s="2107"/>
      <c r="W119" s="2112"/>
    </row>
    <row r="120" spans="1:23" ht="21.75">
      <c r="A120" s="2098"/>
      <c r="B120" s="2099"/>
      <c r="C120" s="2100"/>
      <c r="D120" s="2101"/>
      <c r="E120" s="2095"/>
      <c r="F120" s="2090"/>
      <c r="G120" s="2090"/>
      <c r="H120" s="2082">
        <f t="shared" si="8"/>
        <v>0</v>
      </c>
      <c r="I120" s="2101"/>
      <c r="J120" s="2095"/>
      <c r="K120" s="2090"/>
      <c r="L120" s="2090"/>
      <c r="M120" s="2075">
        <f t="shared" si="9"/>
        <v>0</v>
      </c>
      <c r="N120" s="2096">
        <f t="shared" si="10"/>
        <v>0</v>
      </c>
      <c r="O120" s="2107"/>
      <c r="P120" s="2108"/>
      <c r="Q120" s="2109"/>
      <c r="R120" s="2109"/>
      <c r="S120" s="2110"/>
      <c r="T120" s="2111"/>
      <c r="U120" s="2108"/>
      <c r="V120" s="2107"/>
      <c r="W120" s="2112"/>
    </row>
    <row r="121" spans="1:23" ht="21.75">
      <c r="A121" s="2098"/>
      <c r="B121" s="2099"/>
      <c r="C121" s="2100"/>
      <c r="D121" s="2101"/>
      <c r="E121" s="2095"/>
      <c r="F121" s="2090"/>
      <c r="G121" s="2090"/>
      <c r="H121" s="2082">
        <f t="shared" si="8"/>
        <v>0</v>
      </c>
      <c r="I121" s="2101"/>
      <c r="J121" s="2095"/>
      <c r="K121" s="2090"/>
      <c r="L121" s="2090"/>
      <c r="M121" s="2075">
        <f t="shared" si="9"/>
        <v>0</v>
      </c>
      <c r="N121" s="2096">
        <f t="shared" si="10"/>
        <v>0</v>
      </c>
      <c r="O121" s="2107"/>
      <c r="P121" s="2108"/>
      <c r="Q121" s="2109"/>
      <c r="R121" s="2109"/>
      <c r="S121" s="2110"/>
      <c r="T121" s="2111"/>
      <c r="U121" s="2108"/>
      <c r="V121" s="2107"/>
      <c r="W121" s="2112"/>
    </row>
    <row r="122" spans="1:23" ht="21.75">
      <c r="A122" s="2098"/>
      <c r="B122" s="2099"/>
      <c r="C122" s="2100"/>
      <c r="D122" s="2101"/>
      <c r="E122" s="2095"/>
      <c r="F122" s="2090"/>
      <c r="G122" s="2090"/>
      <c r="H122" s="2082">
        <f t="shared" si="8"/>
        <v>0</v>
      </c>
      <c r="I122" s="2101"/>
      <c r="J122" s="2095"/>
      <c r="K122" s="2090"/>
      <c r="L122" s="2090"/>
      <c r="M122" s="2075">
        <f t="shared" si="9"/>
        <v>0</v>
      </c>
      <c r="N122" s="2096">
        <f t="shared" si="10"/>
        <v>0</v>
      </c>
      <c r="O122" s="2107"/>
      <c r="P122" s="2108"/>
      <c r="Q122" s="2109"/>
      <c r="R122" s="2109"/>
      <c r="S122" s="2110"/>
      <c r="T122" s="2111"/>
      <c r="U122" s="2108"/>
      <c r="V122" s="2107"/>
      <c r="W122" s="2112"/>
    </row>
    <row r="123" spans="1:23" ht="21.75">
      <c r="A123" s="2098"/>
      <c r="B123" s="2099"/>
      <c r="C123" s="2100"/>
      <c r="D123" s="2101"/>
      <c r="E123" s="2095"/>
      <c r="F123" s="2090"/>
      <c r="G123" s="2090"/>
      <c r="H123" s="2082">
        <f t="shared" si="8"/>
        <v>0</v>
      </c>
      <c r="I123" s="2101"/>
      <c r="J123" s="2095"/>
      <c r="K123" s="2090"/>
      <c r="L123" s="2090"/>
      <c r="M123" s="2075">
        <f t="shared" si="9"/>
        <v>0</v>
      </c>
      <c r="N123" s="2096">
        <f t="shared" si="10"/>
        <v>0</v>
      </c>
      <c r="O123" s="2107"/>
      <c r="P123" s="2108"/>
      <c r="Q123" s="2109"/>
      <c r="R123" s="2109"/>
      <c r="S123" s="2110"/>
      <c r="T123" s="2111"/>
      <c r="U123" s="2108"/>
      <c r="V123" s="2107"/>
      <c r="W123" s="2112"/>
    </row>
    <row r="124" spans="1:23" ht="21.75">
      <c r="A124" s="2098"/>
      <c r="B124" s="2099"/>
      <c r="C124" s="2100"/>
      <c r="D124" s="2101"/>
      <c r="E124" s="2095"/>
      <c r="F124" s="2090"/>
      <c r="G124" s="2090"/>
      <c r="H124" s="2082">
        <f t="shared" si="8"/>
        <v>0</v>
      </c>
      <c r="I124" s="2101"/>
      <c r="J124" s="2095"/>
      <c r="K124" s="2090"/>
      <c r="L124" s="2090"/>
      <c r="M124" s="2075">
        <f t="shared" si="9"/>
        <v>0</v>
      </c>
      <c r="N124" s="2096">
        <f t="shared" si="10"/>
        <v>0</v>
      </c>
      <c r="O124" s="2107"/>
      <c r="P124" s="2108"/>
      <c r="Q124" s="2109"/>
      <c r="R124" s="2109"/>
      <c r="S124" s="2110"/>
      <c r="T124" s="2111"/>
      <c r="U124" s="2108"/>
      <c r="V124" s="2107"/>
      <c r="W124" s="2112"/>
    </row>
    <row r="125" spans="1:23" ht="21.75">
      <c r="A125" s="2098"/>
      <c r="B125" s="2099"/>
      <c r="C125" s="2100"/>
      <c r="D125" s="2101"/>
      <c r="E125" s="2095"/>
      <c r="F125" s="2090"/>
      <c r="G125" s="2090"/>
      <c r="H125" s="2082">
        <f t="shared" si="8"/>
        <v>0</v>
      </c>
      <c r="I125" s="2101"/>
      <c r="J125" s="2095"/>
      <c r="K125" s="2090"/>
      <c r="L125" s="2090"/>
      <c r="M125" s="2075">
        <f t="shared" si="9"/>
        <v>0</v>
      </c>
      <c r="N125" s="2096">
        <f t="shared" si="10"/>
        <v>0</v>
      </c>
      <c r="O125" s="2107"/>
      <c r="P125" s="2108"/>
      <c r="Q125" s="2109"/>
      <c r="R125" s="2109"/>
      <c r="S125" s="2110"/>
      <c r="T125" s="2111"/>
      <c r="U125" s="2108"/>
      <c r="V125" s="2107"/>
      <c r="W125" s="2112"/>
    </row>
    <row r="126" spans="1:23" ht="21.75">
      <c r="A126" s="2098"/>
      <c r="B126" s="2099"/>
      <c r="C126" s="2100"/>
      <c r="D126" s="2101"/>
      <c r="E126" s="2095"/>
      <c r="F126" s="2090"/>
      <c r="G126" s="2090"/>
      <c r="H126" s="2082">
        <f t="shared" si="8"/>
        <v>0</v>
      </c>
      <c r="I126" s="2101"/>
      <c r="J126" s="2095"/>
      <c r="K126" s="2090"/>
      <c r="L126" s="2090"/>
      <c r="M126" s="2075">
        <f t="shared" si="9"/>
        <v>0</v>
      </c>
      <c r="N126" s="2096">
        <f t="shared" si="10"/>
        <v>0</v>
      </c>
      <c r="O126" s="2107"/>
      <c r="P126" s="2108"/>
      <c r="Q126" s="2109"/>
      <c r="R126" s="2109"/>
      <c r="S126" s="2110"/>
      <c r="T126" s="2111"/>
      <c r="U126" s="2108"/>
      <c r="V126" s="2107"/>
      <c r="W126" s="2112"/>
    </row>
    <row r="127" spans="1:23" ht="21.75">
      <c r="A127" s="2098"/>
      <c r="B127" s="2099"/>
      <c r="C127" s="2100"/>
      <c r="D127" s="2101"/>
      <c r="E127" s="2095"/>
      <c r="F127" s="2090"/>
      <c r="G127" s="2090"/>
      <c r="H127" s="2082">
        <f t="shared" si="8"/>
        <v>0</v>
      </c>
      <c r="I127" s="2101"/>
      <c r="J127" s="2095"/>
      <c r="K127" s="2090"/>
      <c r="L127" s="2090"/>
      <c r="M127" s="2075">
        <f t="shared" si="9"/>
        <v>0</v>
      </c>
      <c r="N127" s="2096">
        <f t="shared" si="10"/>
        <v>0</v>
      </c>
      <c r="O127" s="2107"/>
      <c r="P127" s="2108"/>
      <c r="Q127" s="2109"/>
      <c r="R127" s="2109"/>
      <c r="S127" s="2110"/>
      <c r="T127" s="2111"/>
      <c r="U127" s="2108"/>
      <c r="V127" s="2107"/>
      <c r="W127" s="2112"/>
    </row>
    <row r="128" spans="1:23" ht="21.75">
      <c r="A128" s="2098"/>
      <c r="B128" s="2099"/>
      <c r="C128" s="2100"/>
      <c r="D128" s="2101"/>
      <c r="E128" s="2095"/>
      <c r="F128" s="2090"/>
      <c r="G128" s="2090"/>
      <c r="H128" s="2082">
        <f t="shared" si="8"/>
        <v>0</v>
      </c>
      <c r="I128" s="2101"/>
      <c r="J128" s="2095"/>
      <c r="K128" s="2090"/>
      <c r="L128" s="2090"/>
      <c r="M128" s="2075">
        <f t="shared" si="9"/>
        <v>0</v>
      </c>
      <c r="N128" s="2096">
        <f t="shared" si="10"/>
        <v>0</v>
      </c>
      <c r="O128" s="2107"/>
      <c r="P128" s="2108"/>
      <c r="Q128" s="2109"/>
      <c r="R128" s="2109"/>
      <c r="S128" s="2110"/>
      <c r="T128" s="2111"/>
      <c r="U128" s="2108"/>
      <c r="V128" s="2107"/>
      <c r="W128" s="2112"/>
    </row>
    <row r="129" spans="1:23" ht="21.75">
      <c r="A129" s="2098"/>
      <c r="B129" s="2099"/>
      <c r="C129" s="2100"/>
      <c r="D129" s="2101"/>
      <c r="E129" s="2095"/>
      <c r="F129" s="2090"/>
      <c r="G129" s="2090"/>
      <c r="H129" s="2082">
        <f t="shared" si="8"/>
        <v>0</v>
      </c>
      <c r="I129" s="2101"/>
      <c r="J129" s="2095"/>
      <c r="K129" s="2090"/>
      <c r="L129" s="2090"/>
      <c r="M129" s="2075">
        <f t="shared" si="9"/>
        <v>0</v>
      </c>
      <c r="N129" s="2096">
        <f t="shared" si="10"/>
        <v>0</v>
      </c>
      <c r="O129" s="2107"/>
      <c r="P129" s="2108"/>
      <c r="Q129" s="2109"/>
      <c r="R129" s="2109"/>
      <c r="S129" s="2110"/>
      <c r="T129" s="2111"/>
      <c r="U129" s="2108"/>
      <c r="V129" s="2107"/>
      <c r="W129" s="2112"/>
    </row>
    <row r="130" spans="1:23" ht="21.75">
      <c r="A130" s="2098"/>
      <c r="B130" s="2099"/>
      <c r="C130" s="2100"/>
      <c r="D130" s="2101"/>
      <c r="E130" s="2095"/>
      <c r="F130" s="2090"/>
      <c r="G130" s="2090"/>
      <c r="H130" s="2082">
        <f t="shared" si="8"/>
        <v>0</v>
      </c>
      <c r="I130" s="2101"/>
      <c r="J130" s="2095"/>
      <c r="K130" s="2090"/>
      <c r="L130" s="2090"/>
      <c r="M130" s="2075">
        <f t="shared" si="9"/>
        <v>0</v>
      </c>
      <c r="N130" s="2096">
        <f t="shared" si="10"/>
        <v>0</v>
      </c>
      <c r="O130" s="2107"/>
      <c r="P130" s="2108"/>
      <c r="Q130" s="2109"/>
      <c r="R130" s="2109"/>
      <c r="S130" s="2110"/>
      <c r="T130" s="2111"/>
      <c r="U130" s="2108"/>
      <c r="V130" s="2107"/>
      <c r="W130" s="2112"/>
    </row>
    <row r="131" spans="1:23" ht="21.75">
      <c r="A131" s="2098"/>
      <c r="B131" s="2099"/>
      <c r="C131" s="2100"/>
      <c r="D131" s="2101"/>
      <c r="E131" s="2095"/>
      <c r="F131" s="2090"/>
      <c r="G131" s="2090"/>
      <c r="H131" s="2082">
        <f t="shared" si="8"/>
        <v>0</v>
      </c>
      <c r="I131" s="2101"/>
      <c r="J131" s="2095"/>
      <c r="K131" s="2090"/>
      <c r="L131" s="2090"/>
      <c r="M131" s="2075">
        <f t="shared" si="9"/>
        <v>0</v>
      </c>
      <c r="N131" s="2096">
        <f t="shared" si="10"/>
        <v>0</v>
      </c>
      <c r="O131" s="2107"/>
      <c r="P131" s="2108"/>
      <c r="Q131" s="2109"/>
      <c r="R131" s="2109"/>
      <c r="S131" s="2110"/>
      <c r="T131" s="2111"/>
      <c r="U131" s="2108"/>
      <c r="V131" s="2107"/>
      <c r="W131" s="2112"/>
    </row>
    <row r="132" spans="1:23" ht="21.75">
      <c r="A132" s="2098"/>
      <c r="B132" s="2099"/>
      <c r="C132" s="2100"/>
      <c r="D132" s="2101"/>
      <c r="E132" s="2095"/>
      <c r="F132" s="2090"/>
      <c r="G132" s="2090"/>
      <c r="H132" s="2082">
        <f t="shared" si="8"/>
        <v>0</v>
      </c>
      <c r="I132" s="2101"/>
      <c r="J132" s="2095"/>
      <c r="K132" s="2090"/>
      <c r="L132" s="2090"/>
      <c r="M132" s="2075">
        <f t="shared" si="9"/>
        <v>0</v>
      </c>
      <c r="N132" s="2096">
        <f t="shared" si="10"/>
        <v>0</v>
      </c>
      <c r="O132" s="2107"/>
      <c r="P132" s="2108"/>
      <c r="Q132" s="2109"/>
      <c r="R132" s="2109"/>
      <c r="S132" s="2110"/>
      <c r="T132" s="2111"/>
      <c r="U132" s="2108"/>
      <c r="V132" s="2107"/>
      <c r="W132" s="2112"/>
    </row>
    <row r="133" spans="1:23" ht="21.75">
      <c r="A133" s="2098"/>
      <c r="B133" s="2099"/>
      <c r="C133" s="2100"/>
      <c r="D133" s="2101"/>
      <c r="E133" s="2095"/>
      <c r="F133" s="2090"/>
      <c r="G133" s="2090"/>
      <c r="H133" s="2082">
        <f t="shared" si="8"/>
        <v>0</v>
      </c>
      <c r="I133" s="2101"/>
      <c r="J133" s="2095"/>
      <c r="K133" s="2090"/>
      <c r="L133" s="2090"/>
      <c r="M133" s="2075">
        <f t="shared" si="9"/>
        <v>0</v>
      </c>
      <c r="N133" s="2096">
        <f t="shared" si="10"/>
        <v>0</v>
      </c>
      <c r="O133" s="2107"/>
      <c r="P133" s="2108"/>
      <c r="Q133" s="2109"/>
      <c r="R133" s="2109"/>
      <c r="S133" s="2110"/>
      <c r="T133" s="2111"/>
      <c r="U133" s="2108"/>
      <c r="V133" s="2107"/>
      <c r="W133" s="2112"/>
    </row>
    <row r="134" spans="1:23" ht="21.75">
      <c r="A134" s="2098"/>
      <c r="B134" s="2099"/>
      <c r="C134" s="2100"/>
      <c r="D134" s="2101"/>
      <c r="E134" s="2095"/>
      <c r="F134" s="2090"/>
      <c r="G134" s="2090"/>
      <c r="H134" s="2082">
        <f t="shared" si="8"/>
        <v>0</v>
      </c>
      <c r="I134" s="2101"/>
      <c r="J134" s="2095"/>
      <c r="K134" s="2090"/>
      <c r="L134" s="2090"/>
      <c r="M134" s="2075">
        <f t="shared" si="9"/>
        <v>0</v>
      </c>
      <c r="N134" s="2096">
        <f t="shared" si="10"/>
        <v>0</v>
      </c>
      <c r="O134" s="2107"/>
      <c r="P134" s="2108"/>
      <c r="Q134" s="2109"/>
      <c r="R134" s="2109"/>
      <c r="S134" s="2110"/>
      <c r="T134" s="2111"/>
      <c r="U134" s="2108"/>
      <c r="V134" s="2107"/>
      <c r="W134" s="2112"/>
    </row>
    <row r="135" spans="1:23" ht="21.75">
      <c r="A135" s="2098"/>
      <c r="B135" s="2099"/>
      <c r="C135" s="2100"/>
      <c r="D135" s="2101"/>
      <c r="E135" s="2095"/>
      <c r="F135" s="2090"/>
      <c r="G135" s="2090"/>
      <c r="H135" s="2082">
        <f t="shared" si="8"/>
        <v>0</v>
      </c>
      <c r="I135" s="2101"/>
      <c r="J135" s="2095"/>
      <c r="K135" s="2090"/>
      <c r="L135" s="2090"/>
      <c r="M135" s="2075">
        <f t="shared" si="9"/>
        <v>0</v>
      </c>
      <c r="N135" s="2096">
        <f t="shared" si="10"/>
        <v>0</v>
      </c>
      <c r="O135" s="2107"/>
      <c r="P135" s="2108"/>
      <c r="Q135" s="2109"/>
      <c r="R135" s="2109"/>
      <c r="S135" s="2110"/>
      <c r="T135" s="2111"/>
      <c r="U135" s="2108"/>
      <c r="V135" s="2107"/>
      <c r="W135" s="2112"/>
    </row>
    <row r="136" spans="1:23" ht="21.75">
      <c r="A136" s="2098"/>
      <c r="B136" s="2099"/>
      <c r="C136" s="2100"/>
      <c r="D136" s="2101"/>
      <c r="E136" s="2095"/>
      <c r="F136" s="2090"/>
      <c r="G136" s="2090"/>
      <c r="H136" s="2082">
        <f t="shared" si="8"/>
        <v>0</v>
      </c>
      <c r="I136" s="2101"/>
      <c r="J136" s="2095"/>
      <c r="K136" s="2090"/>
      <c r="L136" s="2090"/>
      <c r="M136" s="2075">
        <f t="shared" si="9"/>
        <v>0</v>
      </c>
      <c r="N136" s="2096">
        <f t="shared" si="10"/>
        <v>0</v>
      </c>
      <c r="O136" s="2107"/>
      <c r="P136" s="2108"/>
      <c r="Q136" s="2109"/>
      <c r="R136" s="2109"/>
      <c r="S136" s="2110"/>
      <c r="T136" s="2111"/>
      <c r="U136" s="2108"/>
      <c r="V136" s="2107"/>
      <c r="W136" s="2112"/>
    </row>
    <row r="137" spans="1:23" ht="21.75">
      <c r="A137" s="2098"/>
      <c r="B137" s="2099"/>
      <c r="C137" s="2100"/>
      <c r="D137" s="2101"/>
      <c r="E137" s="2095"/>
      <c r="F137" s="2090"/>
      <c r="G137" s="2090"/>
      <c r="H137" s="2082">
        <f t="shared" si="8"/>
        <v>0</v>
      </c>
      <c r="I137" s="2101"/>
      <c r="J137" s="2095"/>
      <c r="K137" s="2090"/>
      <c r="L137" s="2090"/>
      <c r="M137" s="2075">
        <f t="shared" si="9"/>
        <v>0</v>
      </c>
      <c r="N137" s="2096">
        <f t="shared" si="10"/>
        <v>0</v>
      </c>
      <c r="O137" s="2107"/>
      <c r="P137" s="2108"/>
      <c r="Q137" s="2109"/>
      <c r="R137" s="2109"/>
      <c r="S137" s="2110"/>
      <c r="T137" s="2111"/>
      <c r="U137" s="2108"/>
      <c r="V137" s="2107"/>
      <c r="W137" s="2112"/>
    </row>
    <row r="138" spans="1:23" ht="21.75">
      <c r="A138" s="2098"/>
      <c r="B138" s="2099"/>
      <c r="C138" s="2100"/>
      <c r="D138" s="2101"/>
      <c r="E138" s="2095"/>
      <c r="F138" s="2090"/>
      <c r="G138" s="2090"/>
      <c r="H138" s="2082">
        <f t="shared" si="8"/>
        <v>0</v>
      </c>
      <c r="I138" s="2101"/>
      <c r="J138" s="2095"/>
      <c r="K138" s="2090"/>
      <c r="L138" s="2090"/>
      <c r="M138" s="2075">
        <f t="shared" si="9"/>
        <v>0</v>
      </c>
      <c r="N138" s="2096">
        <f t="shared" si="10"/>
        <v>0</v>
      </c>
      <c r="O138" s="2107"/>
      <c r="P138" s="2108"/>
      <c r="Q138" s="2109"/>
      <c r="R138" s="2109"/>
      <c r="S138" s="2110"/>
      <c r="T138" s="2111"/>
      <c r="U138" s="2108"/>
      <c r="V138" s="2107"/>
      <c r="W138" s="2112"/>
    </row>
    <row r="139" spans="1:23" ht="21.75">
      <c r="A139" s="2098"/>
      <c r="B139" s="2099"/>
      <c r="C139" s="2100"/>
      <c r="D139" s="2101"/>
      <c r="E139" s="2095"/>
      <c r="F139" s="2090"/>
      <c r="G139" s="2090"/>
      <c r="H139" s="2082">
        <f t="shared" si="8"/>
        <v>0</v>
      </c>
      <c r="I139" s="2101"/>
      <c r="J139" s="2095"/>
      <c r="K139" s="2090"/>
      <c r="L139" s="2090"/>
      <c r="M139" s="2075">
        <f t="shared" si="9"/>
        <v>0</v>
      </c>
      <c r="N139" s="2096">
        <f t="shared" si="10"/>
        <v>0</v>
      </c>
      <c r="O139" s="2107"/>
      <c r="P139" s="2108"/>
      <c r="Q139" s="2109"/>
      <c r="R139" s="2109"/>
      <c r="S139" s="2110"/>
      <c r="T139" s="2111"/>
      <c r="U139" s="2108"/>
      <c r="V139" s="2107"/>
      <c r="W139" s="2112"/>
    </row>
    <row r="140" spans="1:23" ht="21.75">
      <c r="A140" s="2098"/>
      <c r="B140" s="2099"/>
      <c r="C140" s="2100"/>
      <c r="D140" s="2101"/>
      <c r="E140" s="2095"/>
      <c r="F140" s="2090"/>
      <c r="G140" s="2090"/>
      <c r="H140" s="2082">
        <f t="shared" si="8"/>
        <v>0</v>
      </c>
      <c r="I140" s="2101"/>
      <c r="J140" s="2095"/>
      <c r="K140" s="2090"/>
      <c r="L140" s="2090"/>
      <c r="M140" s="2075">
        <f t="shared" si="9"/>
        <v>0</v>
      </c>
      <c r="N140" s="2096">
        <f t="shared" si="10"/>
        <v>0</v>
      </c>
      <c r="O140" s="2107"/>
      <c r="P140" s="2108"/>
      <c r="Q140" s="2109"/>
      <c r="R140" s="2109"/>
      <c r="S140" s="2110"/>
      <c r="T140" s="2111"/>
      <c r="U140" s="2108"/>
      <c r="V140" s="2107"/>
      <c r="W140" s="2112"/>
    </row>
    <row r="141" spans="1:23" ht="21.75">
      <c r="A141" s="2098"/>
      <c r="B141" s="2099"/>
      <c r="C141" s="2100"/>
      <c r="D141" s="2101"/>
      <c r="E141" s="2095"/>
      <c r="F141" s="2090"/>
      <c r="G141" s="2090"/>
      <c r="H141" s="2082">
        <f t="shared" si="8"/>
        <v>0</v>
      </c>
      <c r="I141" s="2101"/>
      <c r="J141" s="2095"/>
      <c r="K141" s="2090"/>
      <c r="L141" s="2090"/>
      <c r="M141" s="2075">
        <f t="shared" si="9"/>
        <v>0</v>
      </c>
      <c r="N141" s="2096">
        <f t="shared" si="10"/>
        <v>0</v>
      </c>
      <c r="O141" s="2107"/>
      <c r="P141" s="2108"/>
      <c r="Q141" s="2109"/>
      <c r="R141" s="2109"/>
      <c r="S141" s="2110"/>
      <c r="T141" s="2111"/>
      <c r="U141" s="2108"/>
      <c r="V141" s="2107"/>
      <c r="W141" s="2112"/>
    </row>
    <row r="142" spans="1:23" ht="21.75">
      <c r="A142" s="2098"/>
      <c r="B142" s="2099"/>
      <c r="C142" s="2100"/>
      <c r="D142" s="2101"/>
      <c r="E142" s="2095"/>
      <c r="F142" s="2090"/>
      <c r="G142" s="2090"/>
      <c r="H142" s="2082">
        <f t="shared" si="8"/>
        <v>0</v>
      </c>
      <c r="I142" s="2101"/>
      <c r="J142" s="2095"/>
      <c r="K142" s="2090"/>
      <c r="L142" s="2090"/>
      <c r="M142" s="2075">
        <f t="shared" si="9"/>
        <v>0</v>
      </c>
      <c r="N142" s="2096">
        <f t="shared" si="10"/>
        <v>0</v>
      </c>
      <c r="O142" s="2107"/>
      <c r="P142" s="2108"/>
      <c r="Q142" s="2109"/>
      <c r="R142" s="2109"/>
      <c r="S142" s="2110"/>
      <c r="T142" s="2111"/>
      <c r="U142" s="2108"/>
      <c r="V142" s="2107"/>
      <c r="W142" s="2112"/>
    </row>
    <row r="143" spans="1:23" ht="21.75">
      <c r="A143" s="2098"/>
      <c r="B143" s="2099"/>
      <c r="C143" s="2100"/>
      <c r="D143" s="2101"/>
      <c r="E143" s="2095"/>
      <c r="F143" s="2090"/>
      <c r="G143" s="2090"/>
      <c r="H143" s="2082">
        <f t="shared" si="8"/>
        <v>0</v>
      </c>
      <c r="I143" s="2101"/>
      <c r="J143" s="2095"/>
      <c r="K143" s="2090"/>
      <c r="L143" s="2090"/>
      <c r="M143" s="2075">
        <f t="shared" si="9"/>
        <v>0</v>
      </c>
      <c r="N143" s="2096">
        <f t="shared" si="10"/>
        <v>0</v>
      </c>
      <c r="O143" s="2107"/>
      <c r="P143" s="2108"/>
      <c r="Q143" s="2109"/>
      <c r="R143" s="2109"/>
      <c r="S143" s="2110"/>
      <c r="T143" s="2111"/>
      <c r="U143" s="2108"/>
      <c r="V143" s="2107"/>
      <c r="W143" s="2112"/>
    </row>
    <row r="144" spans="1:23" ht="21.75">
      <c r="A144" s="2098"/>
      <c r="B144" s="2099"/>
      <c r="C144" s="2100"/>
      <c r="D144" s="2101"/>
      <c r="E144" s="2095"/>
      <c r="F144" s="2090"/>
      <c r="G144" s="2090"/>
      <c r="H144" s="2082">
        <f t="shared" si="8"/>
        <v>0</v>
      </c>
      <c r="I144" s="2101"/>
      <c r="J144" s="2095"/>
      <c r="K144" s="2090"/>
      <c r="L144" s="2090"/>
      <c r="M144" s="2075">
        <f t="shared" si="9"/>
        <v>0</v>
      </c>
      <c r="N144" s="2096">
        <f t="shared" si="10"/>
        <v>0</v>
      </c>
      <c r="O144" s="2107"/>
      <c r="P144" s="2108"/>
      <c r="Q144" s="2109"/>
      <c r="R144" s="2109"/>
      <c r="S144" s="2110"/>
      <c r="T144" s="2111"/>
      <c r="U144" s="2108"/>
      <c r="V144" s="2107"/>
      <c r="W144" s="2112"/>
    </row>
    <row r="145" spans="1:23" ht="21.75">
      <c r="A145" s="2098"/>
      <c r="B145" s="2099"/>
      <c r="C145" s="2100"/>
      <c r="D145" s="2101"/>
      <c r="E145" s="2095"/>
      <c r="F145" s="2090"/>
      <c r="G145" s="2090"/>
      <c r="H145" s="2082">
        <f t="shared" si="8"/>
        <v>0</v>
      </c>
      <c r="I145" s="2101"/>
      <c r="J145" s="2095"/>
      <c r="K145" s="2090"/>
      <c r="L145" s="2090"/>
      <c r="M145" s="2075">
        <f t="shared" si="9"/>
        <v>0</v>
      </c>
      <c r="N145" s="2096">
        <f t="shared" si="10"/>
        <v>0</v>
      </c>
      <c r="O145" s="2107"/>
      <c r="P145" s="2108"/>
      <c r="Q145" s="2109"/>
      <c r="R145" s="2109"/>
      <c r="S145" s="2110"/>
      <c r="T145" s="2111"/>
      <c r="U145" s="2108"/>
      <c r="V145" s="2107"/>
      <c r="W145" s="2112"/>
    </row>
    <row r="146" spans="1:23" ht="21.75">
      <c r="A146" s="2098"/>
      <c r="B146" s="2099"/>
      <c r="C146" s="2100"/>
      <c r="D146" s="2101"/>
      <c r="E146" s="2095"/>
      <c r="F146" s="2090"/>
      <c r="G146" s="2090"/>
      <c r="H146" s="2082">
        <f t="shared" si="8"/>
        <v>0</v>
      </c>
      <c r="I146" s="2101"/>
      <c r="J146" s="2095"/>
      <c r="K146" s="2090"/>
      <c r="L146" s="2090"/>
      <c r="M146" s="2075">
        <f t="shared" si="9"/>
        <v>0</v>
      </c>
      <c r="N146" s="2096">
        <f t="shared" si="10"/>
        <v>0</v>
      </c>
      <c r="O146" s="2107"/>
      <c r="P146" s="2108"/>
      <c r="Q146" s="2109"/>
      <c r="R146" s="2109"/>
      <c r="S146" s="2110"/>
      <c r="T146" s="2111"/>
      <c r="U146" s="2108"/>
      <c r="V146" s="2107"/>
      <c r="W146" s="2112"/>
    </row>
    <row r="147" spans="1:23" ht="21.75">
      <c r="A147" s="2098"/>
      <c r="B147" s="2099"/>
      <c r="C147" s="2100"/>
      <c r="D147" s="2101"/>
      <c r="E147" s="2095"/>
      <c r="F147" s="2090"/>
      <c r="G147" s="2090"/>
      <c r="H147" s="2082">
        <f t="shared" si="8"/>
        <v>0</v>
      </c>
      <c r="I147" s="2101"/>
      <c r="J147" s="2095"/>
      <c r="K147" s="2090"/>
      <c r="L147" s="2090"/>
      <c r="M147" s="2075">
        <f t="shared" si="9"/>
        <v>0</v>
      </c>
      <c r="N147" s="2096">
        <f t="shared" si="10"/>
        <v>0</v>
      </c>
      <c r="O147" s="2107"/>
      <c r="P147" s="2108"/>
      <c r="Q147" s="2109"/>
      <c r="R147" s="2109"/>
      <c r="S147" s="2110"/>
      <c r="T147" s="2111"/>
      <c r="U147" s="2108"/>
      <c r="V147" s="2107"/>
      <c r="W147" s="2112"/>
    </row>
    <row r="148" spans="1:23" ht="21.75">
      <c r="A148" s="2098"/>
      <c r="B148" s="2099"/>
      <c r="C148" s="2100"/>
      <c r="D148" s="2101"/>
      <c r="E148" s="2095"/>
      <c r="F148" s="2090"/>
      <c r="G148" s="2090"/>
      <c r="H148" s="2082">
        <f t="shared" si="8"/>
        <v>0</v>
      </c>
      <c r="I148" s="2101"/>
      <c r="J148" s="2095"/>
      <c r="K148" s="2090"/>
      <c r="L148" s="2090"/>
      <c r="M148" s="2075">
        <f t="shared" si="9"/>
        <v>0</v>
      </c>
      <c r="N148" s="2096">
        <f t="shared" si="10"/>
        <v>0</v>
      </c>
      <c r="O148" s="2107"/>
      <c r="P148" s="2108"/>
      <c r="Q148" s="2109"/>
      <c r="R148" s="2109"/>
      <c r="S148" s="2110"/>
      <c r="T148" s="2111"/>
      <c r="U148" s="2108"/>
      <c r="V148" s="2107"/>
      <c r="W148" s="2112"/>
    </row>
    <row r="149" spans="1:23" ht="21.75">
      <c r="A149" s="2098"/>
      <c r="B149" s="2099"/>
      <c r="C149" s="2100"/>
      <c r="D149" s="2101"/>
      <c r="E149" s="2095"/>
      <c r="F149" s="2090"/>
      <c r="G149" s="2090"/>
      <c r="H149" s="2082">
        <f t="shared" si="8"/>
        <v>0</v>
      </c>
      <c r="I149" s="2101"/>
      <c r="J149" s="2095"/>
      <c r="K149" s="2090"/>
      <c r="L149" s="2090"/>
      <c r="M149" s="2075">
        <f t="shared" si="9"/>
        <v>0</v>
      </c>
      <c r="N149" s="2096">
        <f t="shared" si="10"/>
        <v>0</v>
      </c>
      <c r="O149" s="2107"/>
      <c r="P149" s="2108"/>
      <c r="Q149" s="2109"/>
      <c r="R149" s="2109"/>
      <c r="S149" s="2110"/>
      <c r="T149" s="2111"/>
      <c r="U149" s="2108"/>
      <c r="V149" s="2107"/>
      <c r="W149" s="2112"/>
    </row>
    <row r="150" spans="1:23" ht="21.75">
      <c r="A150" s="2098"/>
      <c r="B150" s="2099"/>
      <c r="C150" s="2100"/>
      <c r="D150" s="2101"/>
      <c r="E150" s="2095"/>
      <c r="F150" s="2090"/>
      <c r="G150" s="2090"/>
      <c r="H150" s="2082">
        <f t="shared" si="8"/>
        <v>0</v>
      </c>
      <c r="I150" s="2101"/>
      <c r="J150" s="2095"/>
      <c r="K150" s="2090"/>
      <c r="L150" s="2090"/>
      <c r="M150" s="2075">
        <f t="shared" si="9"/>
        <v>0</v>
      </c>
      <c r="N150" s="2096">
        <f t="shared" si="10"/>
        <v>0</v>
      </c>
      <c r="O150" s="2107"/>
      <c r="P150" s="2108"/>
      <c r="Q150" s="2109"/>
      <c r="R150" s="2109"/>
      <c r="S150" s="2110"/>
      <c r="T150" s="2111"/>
      <c r="U150" s="2108"/>
      <c r="V150" s="2107"/>
      <c r="W150" s="2112"/>
    </row>
    <row r="151" spans="1:23" ht="21.75">
      <c r="A151" s="2098"/>
      <c r="B151" s="2099"/>
      <c r="C151" s="2100"/>
      <c r="D151" s="2101"/>
      <c r="E151" s="2095"/>
      <c r="F151" s="2090"/>
      <c r="G151" s="2090"/>
      <c r="H151" s="2082">
        <f t="shared" si="8"/>
        <v>0</v>
      </c>
      <c r="I151" s="2101"/>
      <c r="J151" s="2095"/>
      <c r="K151" s="2090"/>
      <c r="L151" s="2090"/>
      <c r="M151" s="2075">
        <f t="shared" si="9"/>
        <v>0</v>
      </c>
      <c r="N151" s="2096">
        <f t="shared" si="10"/>
        <v>0</v>
      </c>
      <c r="O151" s="2107"/>
      <c r="P151" s="2108"/>
      <c r="Q151" s="2109"/>
      <c r="R151" s="2109"/>
      <c r="S151" s="2110"/>
      <c r="T151" s="2111"/>
      <c r="U151" s="2108"/>
      <c r="V151" s="2107"/>
      <c r="W151" s="2112"/>
    </row>
    <row r="152" spans="1:23" ht="21.75">
      <c r="A152" s="2098"/>
      <c r="B152" s="2099"/>
      <c r="C152" s="2100"/>
      <c r="D152" s="2101"/>
      <c r="E152" s="2095"/>
      <c r="F152" s="2090"/>
      <c r="G152" s="2090"/>
      <c r="H152" s="2082">
        <f t="shared" si="8"/>
        <v>0</v>
      </c>
      <c r="I152" s="2101"/>
      <c r="J152" s="2095"/>
      <c r="K152" s="2090"/>
      <c r="L152" s="2090"/>
      <c r="M152" s="2075">
        <f t="shared" si="9"/>
        <v>0</v>
      </c>
      <c r="N152" s="2096">
        <f t="shared" si="10"/>
        <v>0</v>
      </c>
      <c r="O152" s="2107"/>
      <c r="P152" s="2108"/>
      <c r="Q152" s="2109"/>
      <c r="R152" s="2109"/>
      <c r="S152" s="2110"/>
      <c r="T152" s="2111"/>
      <c r="U152" s="2108"/>
      <c r="V152" s="2107"/>
      <c r="W152" s="2112"/>
    </row>
    <row r="153" spans="1:23" ht="21.75">
      <c r="A153" s="2098"/>
      <c r="B153" s="2099"/>
      <c r="C153" s="2100"/>
      <c r="D153" s="2101"/>
      <c r="E153" s="2095"/>
      <c r="F153" s="2090"/>
      <c r="G153" s="2090"/>
      <c r="H153" s="2082">
        <f t="shared" si="8"/>
        <v>0</v>
      </c>
      <c r="I153" s="2101"/>
      <c r="J153" s="2095"/>
      <c r="K153" s="2090"/>
      <c r="L153" s="2090"/>
      <c r="M153" s="2075">
        <f t="shared" si="9"/>
        <v>0</v>
      </c>
      <c r="N153" s="2096">
        <f t="shared" si="10"/>
        <v>0</v>
      </c>
      <c r="O153" s="2107"/>
      <c r="P153" s="2108"/>
      <c r="Q153" s="2109"/>
      <c r="R153" s="2109"/>
      <c r="S153" s="2110"/>
      <c r="T153" s="2111"/>
      <c r="U153" s="2108"/>
      <c r="V153" s="2107"/>
      <c r="W153" s="2112"/>
    </row>
    <row r="154" spans="1:23" ht="21.75">
      <c r="A154" s="2098"/>
      <c r="B154" s="2099"/>
      <c r="C154" s="2100"/>
      <c r="D154" s="2101"/>
      <c r="E154" s="2095"/>
      <c r="F154" s="2090"/>
      <c r="G154" s="2090"/>
      <c r="H154" s="2082">
        <f t="shared" si="8"/>
        <v>0</v>
      </c>
      <c r="I154" s="2101"/>
      <c r="J154" s="2095"/>
      <c r="K154" s="2090"/>
      <c r="L154" s="2090"/>
      <c r="M154" s="2075">
        <f t="shared" si="9"/>
        <v>0</v>
      </c>
      <c r="N154" s="2096">
        <f t="shared" si="10"/>
        <v>0</v>
      </c>
      <c r="O154" s="2107"/>
      <c r="P154" s="2108"/>
      <c r="Q154" s="2109"/>
      <c r="R154" s="2109"/>
      <c r="S154" s="2110"/>
      <c r="T154" s="2111"/>
      <c r="U154" s="2108"/>
      <c r="V154" s="2107"/>
      <c r="W154" s="2112"/>
    </row>
    <row r="155" spans="1:23" ht="21.75">
      <c r="A155" s="2098"/>
      <c r="B155" s="2099"/>
      <c r="C155" s="2100"/>
      <c r="D155" s="2101"/>
      <c r="E155" s="2095"/>
      <c r="F155" s="2090"/>
      <c r="G155" s="2090"/>
      <c r="H155" s="2082">
        <f t="shared" si="8"/>
        <v>0</v>
      </c>
      <c r="I155" s="2101"/>
      <c r="J155" s="2095"/>
      <c r="K155" s="2090"/>
      <c r="L155" s="2090"/>
      <c r="M155" s="2075">
        <f t="shared" si="9"/>
        <v>0</v>
      </c>
      <c r="N155" s="2096">
        <f t="shared" si="10"/>
        <v>0</v>
      </c>
      <c r="O155" s="2107"/>
      <c r="P155" s="2108"/>
      <c r="Q155" s="2109"/>
      <c r="R155" s="2109"/>
      <c r="S155" s="2110"/>
      <c r="T155" s="2111"/>
      <c r="U155" s="2108"/>
      <c r="V155" s="2107"/>
      <c r="W155" s="2112"/>
    </row>
    <row r="156" spans="1:23" ht="21.75">
      <c r="A156" s="2098"/>
      <c r="B156" s="2099"/>
      <c r="C156" s="2100"/>
      <c r="D156" s="2101"/>
      <c r="E156" s="2095"/>
      <c r="F156" s="2090"/>
      <c r="G156" s="2090"/>
      <c r="H156" s="2082">
        <f t="shared" si="8"/>
        <v>0</v>
      </c>
      <c r="I156" s="2101"/>
      <c r="J156" s="2095"/>
      <c r="K156" s="2090"/>
      <c r="L156" s="2090"/>
      <c r="M156" s="2075">
        <f t="shared" si="9"/>
        <v>0</v>
      </c>
      <c r="N156" s="2096">
        <f t="shared" si="10"/>
        <v>0</v>
      </c>
      <c r="O156" s="2107"/>
      <c r="P156" s="2108"/>
      <c r="Q156" s="2109"/>
      <c r="R156" s="2109"/>
      <c r="S156" s="2110"/>
      <c r="T156" s="2111"/>
      <c r="U156" s="2108"/>
      <c r="V156" s="2107"/>
      <c r="W156" s="2112"/>
    </row>
    <row r="157" spans="1:23" ht="21.75">
      <c r="A157" s="2098"/>
      <c r="B157" s="2099"/>
      <c r="C157" s="2100"/>
      <c r="D157" s="2101"/>
      <c r="E157" s="2095"/>
      <c r="F157" s="2090"/>
      <c r="G157" s="2090"/>
      <c r="H157" s="2082">
        <f t="shared" si="8"/>
        <v>0</v>
      </c>
      <c r="I157" s="2101"/>
      <c r="J157" s="2095"/>
      <c r="K157" s="2090"/>
      <c r="L157" s="2090"/>
      <c r="M157" s="2075">
        <f t="shared" si="9"/>
        <v>0</v>
      </c>
      <c r="N157" s="2096">
        <f t="shared" si="10"/>
        <v>0</v>
      </c>
      <c r="O157" s="2107"/>
      <c r="P157" s="2108"/>
      <c r="Q157" s="2109"/>
      <c r="R157" s="2109"/>
      <c r="S157" s="2110"/>
      <c r="T157" s="2111"/>
      <c r="U157" s="2108"/>
      <c r="V157" s="2107"/>
      <c r="W157" s="2112"/>
    </row>
    <row r="158" spans="1:23" ht="21.75">
      <c r="A158" s="2098"/>
      <c r="B158" s="2099"/>
      <c r="C158" s="2100"/>
      <c r="D158" s="2101"/>
      <c r="E158" s="2095"/>
      <c r="F158" s="2090"/>
      <c r="G158" s="2090"/>
      <c r="H158" s="2082">
        <f t="shared" si="8"/>
        <v>0</v>
      </c>
      <c r="I158" s="2101"/>
      <c r="J158" s="2095"/>
      <c r="K158" s="2090"/>
      <c r="L158" s="2090"/>
      <c r="M158" s="2075">
        <f t="shared" si="9"/>
        <v>0</v>
      </c>
      <c r="N158" s="2096">
        <f t="shared" si="10"/>
        <v>0</v>
      </c>
      <c r="O158" s="2107"/>
      <c r="P158" s="2108"/>
      <c r="Q158" s="2109"/>
      <c r="R158" s="2109"/>
      <c r="S158" s="2110"/>
      <c r="T158" s="2111"/>
      <c r="U158" s="2108"/>
      <c r="V158" s="2107"/>
      <c r="W158" s="2112"/>
    </row>
    <row r="159" spans="1:23" ht="21.75">
      <c r="A159" s="2098"/>
      <c r="B159" s="2099"/>
      <c r="C159" s="2100"/>
      <c r="D159" s="2101"/>
      <c r="E159" s="2095"/>
      <c r="F159" s="2090"/>
      <c r="G159" s="2090"/>
      <c r="H159" s="2082">
        <f t="shared" si="8"/>
        <v>0</v>
      </c>
      <c r="I159" s="2101"/>
      <c r="J159" s="2095"/>
      <c r="K159" s="2090"/>
      <c r="L159" s="2090"/>
      <c r="M159" s="2075">
        <f t="shared" si="9"/>
        <v>0</v>
      </c>
      <c r="N159" s="2096">
        <f t="shared" si="10"/>
        <v>0</v>
      </c>
      <c r="O159" s="2107"/>
      <c r="P159" s="2108"/>
      <c r="Q159" s="2109"/>
      <c r="R159" s="2109"/>
      <c r="S159" s="2110"/>
      <c r="T159" s="2111"/>
      <c r="U159" s="2108"/>
      <c r="V159" s="2107"/>
      <c r="W159" s="2112"/>
    </row>
    <row r="160" spans="1:23" ht="21.75">
      <c r="A160" s="2098"/>
      <c r="B160" s="2099"/>
      <c r="C160" s="2100"/>
      <c r="D160" s="2101"/>
      <c r="E160" s="2095"/>
      <c r="F160" s="2090"/>
      <c r="G160" s="2090"/>
      <c r="H160" s="2082">
        <f t="shared" si="8"/>
        <v>0</v>
      </c>
      <c r="I160" s="2101"/>
      <c r="J160" s="2095"/>
      <c r="K160" s="2090"/>
      <c r="L160" s="2090"/>
      <c r="M160" s="2075">
        <f t="shared" si="9"/>
        <v>0</v>
      </c>
      <c r="N160" s="2096">
        <f t="shared" si="10"/>
        <v>0</v>
      </c>
      <c r="O160" s="2107"/>
      <c r="P160" s="2108"/>
      <c r="Q160" s="2109"/>
      <c r="R160" s="2109"/>
      <c r="S160" s="2110"/>
      <c r="T160" s="2111"/>
      <c r="U160" s="2108"/>
      <c r="V160" s="2107"/>
      <c r="W160" s="2112"/>
    </row>
    <row r="161" spans="1:23" ht="21.75">
      <c r="A161" s="2098"/>
      <c r="B161" s="2099"/>
      <c r="C161" s="2100"/>
      <c r="D161" s="2101"/>
      <c r="E161" s="2095"/>
      <c r="F161" s="2090"/>
      <c r="G161" s="2090"/>
      <c r="H161" s="2082">
        <f t="shared" si="8"/>
        <v>0</v>
      </c>
      <c r="I161" s="2101"/>
      <c r="J161" s="2095"/>
      <c r="K161" s="2090"/>
      <c r="L161" s="2090"/>
      <c r="M161" s="2075">
        <f t="shared" si="9"/>
        <v>0</v>
      </c>
      <c r="N161" s="2096">
        <f t="shared" si="10"/>
        <v>0</v>
      </c>
      <c r="O161" s="2107"/>
      <c r="P161" s="2108"/>
      <c r="Q161" s="2109"/>
      <c r="R161" s="2109"/>
      <c r="S161" s="2110"/>
      <c r="T161" s="2111"/>
      <c r="U161" s="2108"/>
      <c r="V161" s="2107"/>
      <c r="W161" s="2112"/>
    </row>
    <row r="162" spans="1:23" ht="21.75">
      <c r="A162" s="2098"/>
      <c r="B162" s="2099"/>
      <c r="C162" s="2100"/>
      <c r="D162" s="2101"/>
      <c r="E162" s="2095"/>
      <c r="F162" s="2090"/>
      <c r="G162" s="2090"/>
      <c r="H162" s="2082">
        <f t="shared" ref="H162:H213" si="11">E162+F162+G162</f>
        <v>0</v>
      </c>
      <c r="I162" s="2101"/>
      <c r="J162" s="2095"/>
      <c r="K162" s="2090"/>
      <c r="L162" s="2090"/>
      <c r="M162" s="2075">
        <f t="shared" ref="M162:M213" si="12">J162+K162+L162</f>
        <v>0</v>
      </c>
      <c r="N162" s="2096">
        <f t="shared" ref="N162:N213" si="13">O162+P162</f>
        <v>0</v>
      </c>
      <c r="O162" s="2107"/>
      <c r="P162" s="2108"/>
      <c r="Q162" s="2109"/>
      <c r="R162" s="2109"/>
      <c r="S162" s="2110"/>
      <c r="T162" s="2111"/>
      <c r="U162" s="2108"/>
      <c r="V162" s="2107"/>
      <c r="W162" s="2112"/>
    </row>
    <row r="163" spans="1:23" ht="21.75">
      <c r="A163" s="2098"/>
      <c r="B163" s="2099"/>
      <c r="C163" s="2100"/>
      <c r="D163" s="2101"/>
      <c r="E163" s="2095"/>
      <c r="F163" s="2090"/>
      <c r="G163" s="2090"/>
      <c r="H163" s="2082">
        <f t="shared" si="11"/>
        <v>0</v>
      </c>
      <c r="I163" s="2101"/>
      <c r="J163" s="2095"/>
      <c r="K163" s="2090"/>
      <c r="L163" s="2090"/>
      <c r="M163" s="2075">
        <f t="shared" si="12"/>
        <v>0</v>
      </c>
      <c r="N163" s="2096">
        <f t="shared" si="13"/>
        <v>0</v>
      </c>
      <c r="O163" s="2107"/>
      <c r="P163" s="2108"/>
      <c r="Q163" s="2109"/>
      <c r="R163" s="2109"/>
      <c r="S163" s="2110"/>
      <c r="T163" s="2111"/>
      <c r="U163" s="2108"/>
      <c r="V163" s="2107"/>
      <c r="W163" s="2112"/>
    </row>
    <row r="164" spans="1:23" ht="21.75">
      <c r="A164" s="2098"/>
      <c r="B164" s="2099"/>
      <c r="C164" s="2100"/>
      <c r="D164" s="2101"/>
      <c r="E164" s="2095"/>
      <c r="F164" s="2090"/>
      <c r="G164" s="2090"/>
      <c r="H164" s="2082">
        <f t="shared" si="11"/>
        <v>0</v>
      </c>
      <c r="I164" s="2101"/>
      <c r="J164" s="2095"/>
      <c r="K164" s="2090"/>
      <c r="L164" s="2090"/>
      <c r="M164" s="2075">
        <f t="shared" si="12"/>
        <v>0</v>
      </c>
      <c r="N164" s="2096">
        <f t="shared" si="13"/>
        <v>0</v>
      </c>
      <c r="O164" s="2107"/>
      <c r="P164" s="2108"/>
      <c r="Q164" s="2109"/>
      <c r="R164" s="2109"/>
      <c r="S164" s="2110"/>
      <c r="T164" s="2111"/>
      <c r="U164" s="2108"/>
      <c r="V164" s="2107"/>
      <c r="W164" s="2112"/>
    </row>
    <row r="165" spans="1:23" ht="21.75">
      <c r="A165" s="2098"/>
      <c r="B165" s="2099"/>
      <c r="C165" s="2100"/>
      <c r="D165" s="2101"/>
      <c r="E165" s="2095"/>
      <c r="F165" s="2090"/>
      <c r="G165" s="2090"/>
      <c r="H165" s="2082">
        <f t="shared" si="11"/>
        <v>0</v>
      </c>
      <c r="I165" s="2101"/>
      <c r="J165" s="2095"/>
      <c r="K165" s="2090"/>
      <c r="L165" s="2090"/>
      <c r="M165" s="2075">
        <f t="shared" si="12"/>
        <v>0</v>
      </c>
      <c r="N165" s="2096">
        <f t="shared" si="13"/>
        <v>0</v>
      </c>
      <c r="O165" s="2107"/>
      <c r="P165" s="2108"/>
      <c r="Q165" s="2109"/>
      <c r="R165" s="2109"/>
      <c r="S165" s="2110"/>
      <c r="T165" s="2111"/>
      <c r="U165" s="2108"/>
      <c r="V165" s="2107"/>
      <c r="W165" s="2112"/>
    </row>
    <row r="166" spans="1:23" ht="21.75">
      <c r="A166" s="2098"/>
      <c r="B166" s="2099"/>
      <c r="C166" s="2100"/>
      <c r="D166" s="2101"/>
      <c r="E166" s="2095"/>
      <c r="F166" s="2090"/>
      <c r="G166" s="2090"/>
      <c r="H166" s="2082">
        <f t="shared" si="11"/>
        <v>0</v>
      </c>
      <c r="I166" s="2101"/>
      <c r="J166" s="2095"/>
      <c r="K166" s="2090"/>
      <c r="L166" s="2090"/>
      <c r="M166" s="2075">
        <f t="shared" si="12"/>
        <v>0</v>
      </c>
      <c r="N166" s="2096">
        <f t="shared" si="13"/>
        <v>0</v>
      </c>
      <c r="O166" s="2107"/>
      <c r="P166" s="2108"/>
      <c r="Q166" s="2109"/>
      <c r="R166" s="2109"/>
      <c r="S166" s="2110"/>
      <c r="T166" s="2111"/>
      <c r="U166" s="2108"/>
      <c r="V166" s="2107"/>
      <c r="W166" s="2112"/>
    </row>
    <row r="167" spans="1:23" ht="21.75">
      <c r="A167" s="2098"/>
      <c r="B167" s="2099"/>
      <c r="C167" s="2100"/>
      <c r="D167" s="2101"/>
      <c r="E167" s="2095"/>
      <c r="F167" s="2090"/>
      <c r="G167" s="2090"/>
      <c r="H167" s="2082">
        <f t="shared" si="11"/>
        <v>0</v>
      </c>
      <c r="I167" s="2101"/>
      <c r="J167" s="2095"/>
      <c r="K167" s="2090"/>
      <c r="L167" s="2090"/>
      <c r="M167" s="2075">
        <f t="shared" si="12"/>
        <v>0</v>
      </c>
      <c r="N167" s="2096">
        <f t="shared" si="13"/>
        <v>0</v>
      </c>
      <c r="O167" s="2107"/>
      <c r="P167" s="2108"/>
      <c r="Q167" s="2109"/>
      <c r="R167" s="2109"/>
      <c r="S167" s="2110"/>
      <c r="T167" s="2111"/>
      <c r="U167" s="2108"/>
      <c r="V167" s="2107"/>
      <c r="W167" s="2112"/>
    </row>
    <row r="168" spans="1:23" ht="21.75">
      <c r="A168" s="2098"/>
      <c r="B168" s="2099"/>
      <c r="C168" s="2100"/>
      <c r="D168" s="2101"/>
      <c r="E168" s="2095"/>
      <c r="F168" s="2090"/>
      <c r="G168" s="2090"/>
      <c r="H168" s="2082">
        <f t="shared" si="11"/>
        <v>0</v>
      </c>
      <c r="I168" s="2101"/>
      <c r="J168" s="2095"/>
      <c r="K168" s="2090"/>
      <c r="L168" s="2090"/>
      <c r="M168" s="2075">
        <f t="shared" si="12"/>
        <v>0</v>
      </c>
      <c r="N168" s="2096">
        <f t="shared" si="13"/>
        <v>0</v>
      </c>
      <c r="O168" s="2107"/>
      <c r="P168" s="2108"/>
      <c r="Q168" s="2109"/>
      <c r="R168" s="2109"/>
      <c r="S168" s="2110"/>
      <c r="T168" s="2111"/>
      <c r="U168" s="2108"/>
      <c r="V168" s="2107"/>
      <c r="W168" s="2112"/>
    </row>
    <row r="169" spans="1:23" ht="21.75">
      <c r="A169" s="2098"/>
      <c r="B169" s="2099"/>
      <c r="C169" s="2100"/>
      <c r="D169" s="2101"/>
      <c r="E169" s="2095"/>
      <c r="F169" s="2090"/>
      <c r="G169" s="2090"/>
      <c r="H169" s="2082">
        <f t="shared" si="11"/>
        <v>0</v>
      </c>
      <c r="I169" s="2101"/>
      <c r="J169" s="2095"/>
      <c r="K169" s="2090"/>
      <c r="L169" s="2090"/>
      <c r="M169" s="2075">
        <f t="shared" si="12"/>
        <v>0</v>
      </c>
      <c r="N169" s="2096">
        <f t="shared" si="13"/>
        <v>0</v>
      </c>
      <c r="O169" s="2107"/>
      <c r="P169" s="2108"/>
      <c r="Q169" s="2109"/>
      <c r="R169" s="2109"/>
      <c r="S169" s="2110"/>
      <c r="T169" s="2111"/>
      <c r="U169" s="2108"/>
      <c r="V169" s="2107"/>
      <c r="W169" s="2112"/>
    </row>
    <row r="170" spans="1:23" ht="21.75">
      <c r="A170" s="2098"/>
      <c r="B170" s="2099"/>
      <c r="C170" s="2100"/>
      <c r="D170" s="2101"/>
      <c r="E170" s="2095"/>
      <c r="F170" s="2090"/>
      <c r="G170" s="2090"/>
      <c r="H170" s="2082">
        <f t="shared" si="11"/>
        <v>0</v>
      </c>
      <c r="I170" s="2101"/>
      <c r="J170" s="2095"/>
      <c r="K170" s="2090"/>
      <c r="L170" s="2090"/>
      <c r="M170" s="2075">
        <f t="shared" si="12"/>
        <v>0</v>
      </c>
      <c r="N170" s="2096">
        <f t="shared" si="13"/>
        <v>0</v>
      </c>
      <c r="O170" s="2107"/>
      <c r="P170" s="2108"/>
      <c r="Q170" s="2109"/>
      <c r="R170" s="2109"/>
      <c r="S170" s="2110"/>
      <c r="T170" s="2111"/>
      <c r="U170" s="2108"/>
      <c r="V170" s="2107"/>
      <c r="W170" s="2112"/>
    </row>
    <row r="171" spans="1:23" ht="21.75">
      <c r="A171" s="2098"/>
      <c r="B171" s="2099"/>
      <c r="C171" s="2100"/>
      <c r="D171" s="2101"/>
      <c r="E171" s="2095"/>
      <c r="F171" s="2090"/>
      <c r="G171" s="2090"/>
      <c r="H171" s="2082">
        <f t="shared" si="11"/>
        <v>0</v>
      </c>
      <c r="I171" s="2101"/>
      <c r="J171" s="2095"/>
      <c r="K171" s="2090"/>
      <c r="L171" s="2090"/>
      <c r="M171" s="2075">
        <f t="shared" si="12"/>
        <v>0</v>
      </c>
      <c r="N171" s="2096">
        <f t="shared" si="13"/>
        <v>0</v>
      </c>
      <c r="O171" s="2107"/>
      <c r="P171" s="2108"/>
      <c r="Q171" s="2109"/>
      <c r="R171" s="2109"/>
      <c r="S171" s="2110"/>
      <c r="T171" s="2111"/>
      <c r="U171" s="2108"/>
      <c r="V171" s="2107"/>
      <c r="W171" s="2112"/>
    </row>
    <row r="172" spans="1:23" ht="21.75">
      <c r="A172" s="2098"/>
      <c r="B172" s="2099"/>
      <c r="C172" s="2100"/>
      <c r="D172" s="2101"/>
      <c r="E172" s="2095"/>
      <c r="F172" s="2090"/>
      <c r="G172" s="2090"/>
      <c r="H172" s="2082">
        <f t="shared" si="11"/>
        <v>0</v>
      </c>
      <c r="I172" s="2101"/>
      <c r="J172" s="2095"/>
      <c r="K172" s="2090"/>
      <c r="L172" s="2090"/>
      <c r="M172" s="2075">
        <f t="shared" si="12"/>
        <v>0</v>
      </c>
      <c r="N172" s="2096">
        <f t="shared" si="13"/>
        <v>0</v>
      </c>
      <c r="O172" s="2107"/>
      <c r="P172" s="2108"/>
      <c r="Q172" s="2109"/>
      <c r="R172" s="2109"/>
      <c r="S172" s="2110"/>
      <c r="T172" s="2111"/>
      <c r="U172" s="2108"/>
      <c r="V172" s="2107"/>
      <c r="W172" s="2112"/>
    </row>
    <row r="173" spans="1:23" ht="21.75">
      <c r="A173" s="2098"/>
      <c r="B173" s="2099"/>
      <c r="C173" s="2100"/>
      <c r="D173" s="2101"/>
      <c r="E173" s="2095"/>
      <c r="F173" s="2090"/>
      <c r="G173" s="2090"/>
      <c r="H173" s="2082">
        <f t="shared" si="11"/>
        <v>0</v>
      </c>
      <c r="I173" s="2101"/>
      <c r="J173" s="2095"/>
      <c r="K173" s="2090"/>
      <c r="L173" s="2090"/>
      <c r="M173" s="2075">
        <f t="shared" si="12"/>
        <v>0</v>
      </c>
      <c r="N173" s="2096">
        <f t="shared" si="13"/>
        <v>0</v>
      </c>
      <c r="O173" s="2107"/>
      <c r="P173" s="2108"/>
      <c r="Q173" s="2109"/>
      <c r="R173" s="2109"/>
      <c r="S173" s="2110"/>
      <c r="T173" s="2111"/>
      <c r="U173" s="2108"/>
      <c r="V173" s="2107"/>
      <c r="W173" s="2112"/>
    </row>
    <row r="174" spans="1:23" ht="21.75">
      <c r="A174" s="2098"/>
      <c r="B174" s="2099"/>
      <c r="C174" s="2100"/>
      <c r="D174" s="2101"/>
      <c r="E174" s="2095"/>
      <c r="F174" s="2090"/>
      <c r="G174" s="2090"/>
      <c r="H174" s="2082">
        <f t="shared" si="11"/>
        <v>0</v>
      </c>
      <c r="I174" s="2101"/>
      <c r="J174" s="2095"/>
      <c r="K174" s="2090"/>
      <c r="L174" s="2090"/>
      <c r="M174" s="2075">
        <f t="shared" si="12"/>
        <v>0</v>
      </c>
      <c r="N174" s="2096">
        <f t="shared" si="13"/>
        <v>0</v>
      </c>
      <c r="O174" s="2107"/>
      <c r="P174" s="2108"/>
      <c r="Q174" s="2109"/>
      <c r="R174" s="2109"/>
      <c r="S174" s="2110"/>
      <c r="T174" s="2111"/>
      <c r="U174" s="2108"/>
      <c r="V174" s="2107"/>
      <c r="W174" s="2112"/>
    </row>
    <row r="175" spans="1:23" ht="21.75">
      <c r="A175" s="2098"/>
      <c r="B175" s="2099"/>
      <c r="C175" s="2100"/>
      <c r="D175" s="2101"/>
      <c r="E175" s="2095"/>
      <c r="F175" s="2090"/>
      <c r="G175" s="2090"/>
      <c r="H175" s="2082">
        <f t="shared" si="11"/>
        <v>0</v>
      </c>
      <c r="I175" s="2101"/>
      <c r="J175" s="2095"/>
      <c r="K175" s="2090"/>
      <c r="L175" s="2090"/>
      <c r="M175" s="2075">
        <f t="shared" si="12"/>
        <v>0</v>
      </c>
      <c r="N175" s="2096">
        <f t="shared" si="13"/>
        <v>0</v>
      </c>
      <c r="O175" s="2107"/>
      <c r="P175" s="2108"/>
      <c r="Q175" s="2109"/>
      <c r="R175" s="2109"/>
      <c r="S175" s="2110"/>
      <c r="T175" s="2111"/>
      <c r="U175" s="2108"/>
      <c r="V175" s="2107"/>
      <c r="W175" s="2112"/>
    </row>
    <row r="176" spans="1:23" ht="21.75">
      <c r="A176" s="2098"/>
      <c r="B176" s="2099"/>
      <c r="C176" s="2100"/>
      <c r="D176" s="2101"/>
      <c r="E176" s="2095"/>
      <c r="F176" s="2090"/>
      <c r="G176" s="2090"/>
      <c r="H176" s="2082">
        <f t="shared" si="11"/>
        <v>0</v>
      </c>
      <c r="I176" s="2101"/>
      <c r="J176" s="2095"/>
      <c r="K176" s="2090"/>
      <c r="L176" s="2090"/>
      <c r="M176" s="2075">
        <f t="shared" si="12"/>
        <v>0</v>
      </c>
      <c r="N176" s="2096">
        <f t="shared" si="13"/>
        <v>0</v>
      </c>
      <c r="O176" s="2107"/>
      <c r="P176" s="2108"/>
      <c r="Q176" s="2109"/>
      <c r="R176" s="2109"/>
      <c r="S176" s="2110"/>
      <c r="T176" s="2111"/>
      <c r="U176" s="2108"/>
      <c r="V176" s="2107"/>
      <c r="W176" s="2112"/>
    </row>
    <row r="177" spans="1:23" ht="21.75">
      <c r="A177" s="2098"/>
      <c r="B177" s="2099"/>
      <c r="C177" s="2100"/>
      <c r="D177" s="2101"/>
      <c r="E177" s="2095"/>
      <c r="F177" s="2090"/>
      <c r="G177" s="2090"/>
      <c r="H177" s="2082">
        <f t="shared" si="11"/>
        <v>0</v>
      </c>
      <c r="I177" s="2101"/>
      <c r="J177" s="2095"/>
      <c r="K177" s="2090"/>
      <c r="L177" s="2090"/>
      <c r="M177" s="2075">
        <f t="shared" si="12"/>
        <v>0</v>
      </c>
      <c r="N177" s="2096">
        <f t="shared" si="13"/>
        <v>0</v>
      </c>
      <c r="O177" s="2107"/>
      <c r="P177" s="2108"/>
      <c r="Q177" s="2109"/>
      <c r="R177" s="2109"/>
      <c r="S177" s="2110"/>
      <c r="T177" s="2111"/>
      <c r="U177" s="2108"/>
      <c r="V177" s="2107"/>
      <c r="W177" s="2112"/>
    </row>
    <row r="178" spans="1:23" ht="21.75">
      <c r="A178" s="2098"/>
      <c r="B178" s="2099"/>
      <c r="C178" s="2100"/>
      <c r="D178" s="2101"/>
      <c r="E178" s="2095"/>
      <c r="F178" s="2090"/>
      <c r="G178" s="2090"/>
      <c r="H178" s="2082">
        <f t="shared" si="11"/>
        <v>0</v>
      </c>
      <c r="I178" s="2101"/>
      <c r="J178" s="2095"/>
      <c r="K178" s="2090"/>
      <c r="L178" s="2090"/>
      <c r="M178" s="2075">
        <f t="shared" si="12"/>
        <v>0</v>
      </c>
      <c r="N178" s="2096">
        <f t="shared" si="13"/>
        <v>0</v>
      </c>
      <c r="O178" s="2107"/>
      <c r="P178" s="2108"/>
      <c r="Q178" s="2109"/>
      <c r="R178" s="2109"/>
      <c r="S178" s="2110"/>
      <c r="T178" s="2111"/>
      <c r="U178" s="2108"/>
      <c r="V178" s="2107"/>
      <c r="W178" s="2112"/>
    </row>
    <row r="179" spans="1:23" ht="21.75">
      <c r="A179" s="2098"/>
      <c r="B179" s="2099"/>
      <c r="C179" s="2100"/>
      <c r="D179" s="2101"/>
      <c r="E179" s="2095"/>
      <c r="F179" s="2090"/>
      <c r="G179" s="2090"/>
      <c r="H179" s="2082">
        <f t="shared" si="11"/>
        <v>0</v>
      </c>
      <c r="I179" s="2101"/>
      <c r="J179" s="2095"/>
      <c r="K179" s="2090"/>
      <c r="L179" s="2090"/>
      <c r="M179" s="2075">
        <f t="shared" si="12"/>
        <v>0</v>
      </c>
      <c r="N179" s="2096">
        <f t="shared" si="13"/>
        <v>0</v>
      </c>
      <c r="O179" s="2107"/>
      <c r="P179" s="2108"/>
      <c r="Q179" s="2109"/>
      <c r="R179" s="2109"/>
      <c r="S179" s="2110"/>
      <c r="T179" s="2111"/>
      <c r="U179" s="2108"/>
      <c r="V179" s="2107"/>
      <c r="W179" s="2112"/>
    </row>
    <row r="180" spans="1:23" ht="21.75">
      <c r="A180" s="2098"/>
      <c r="B180" s="2099"/>
      <c r="C180" s="2100"/>
      <c r="D180" s="2101"/>
      <c r="E180" s="2095"/>
      <c r="F180" s="2090"/>
      <c r="G180" s="2090"/>
      <c r="H180" s="2082">
        <f t="shared" si="11"/>
        <v>0</v>
      </c>
      <c r="I180" s="2101"/>
      <c r="J180" s="2095"/>
      <c r="K180" s="2090"/>
      <c r="L180" s="2090"/>
      <c r="M180" s="2075">
        <f t="shared" si="12"/>
        <v>0</v>
      </c>
      <c r="N180" s="2096">
        <f t="shared" si="13"/>
        <v>0</v>
      </c>
      <c r="O180" s="2107"/>
      <c r="P180" s="2108"/>
      <c r="Q180" s="2109"/>
      <c r="R180" s="2109"/>
      <c r="S180" s="2110"/>
      <c r="T180" s="2111"/>
      <c r="U180" s="2108"/>
      <c r="V180" s="2107"/>
      <c r="W180" s="2112"/>
    </row>
    <row r="181" spans="1:23" ht="21.75">
      <c r="A181" s="2098"/>
      <c r="B181" s="2099"/>
      <c r="C181" s="2100"/>
      <c r="D181" s="2101"/>
      <c r="E181" s="2095"/>
      <c r="F181" s="2090"/>
      <c r="G181" s="2090"/>
      <c r="H181" s="2082">
        <f t="shared" si="11"/>
        <v>0</v>
      </c>
      <c r="I181" s="2101"/>
      <c r="J181" s="2095"/>
      <c r="K181" s="2090"/>
      <c r="L181" s="2090"/>
      <c r="M181" s="2075">
        <f t="shared" si="12"/>
        <v>0</v>
      </c>
      <c r="N181" s="2096">
        <f t="shared" si="13"/>
        <v>0</v>
      </c>
      <c r="O181" s="2107"/>
      <c r="P181" s="2108"/>
      <c r="Q181" s="2109"/>
      <c r="R181" s="2109"/>
      <c r="S181" s="2110"/>
      <c r="T181" s="2111"/>
      <c r="U181" s="2108"/>
      <c r="V181" s="2107"/>
      <c r="W181" s="2112"/>
    </row>
    <row r="182" spans="1:23" ht="21.75">
      <c r="A182" s="2098"/>
      <c r="B182" s="2099"/>
      <c r="C182" s="2100"/>
      <c r="D182" s="2101"/>
      <c r="E182" s="2095"/>
      <c r="F182" s="2090"/>
      <c r="G182" s="2090"/>
      <c r="H182" s="2082">
        <f t="shared" si="11"/>
        <v>0</v>
      </c>
      <c r="I182" s="2101"/>
      <c r="J182" s="2095"/>
      <c r="K182" s="2090"/>
      <c r="L182" s="2090"/>
      <c r="M182" s="2075">
        <f t="shared" si="12"/>
        <v>0</v>
      </c>
      <c r="N182" s="2096">
        <f t="shared" si="13"/>
        <v>0</v>
      </c>
      <c r="O182" s="2107"/>
      <c r="P182" s="2108"/>
      <c r="Q182" s="2109"/>
      <c r="R182" s="2109"/>
      <c r="S182" s="2110"/>
      <c r="T182" s="2111"/>
      <c r="U182" s="2108"/>
      <c r="V182" s="2107"/>
      <c r="W182" s="2112"/>
    </row>
    <row r="183" spans="1:23" ht="21.75">
      <c r="A183" s="2098"/>
      <c r="B183" s="2099"/>
      <c r="C183" s="2100"/>
      <c r="D183" s="2101"/>
      <c r="E183" s="2095"/>
      <c r="F183" s="2090"/>
      <c r="G183" s="2090"/>
      <c r="H183" s="2082">
        <f t="shared" si="11"/>
        <v>0</v>
      </c>
      <c r="I183" s="2101"/>
      <c r="J183" s="2095"/>
      <c r="K183" s="2090"/>
      <c r="L183" s="2090"/>
      <c r="M183" s="2075">
        <f t="shared" si="12"/>
        <v>0</v>
      </c>
      <c r="N183" s="2096">
        <f t="shared" si="13"/>
        <v>0</v>
      </c>
      <c r="O183" s="2107"/>
      <c r="P183" s="2108"/>
      <c r="Q183" s="2109"/>
      <c r="R183" s="2109"/>
      <c r="S183" s="2110"/>
      <c r="T183" s="2111"/>
      <c r="U183" s="2108"/>
      <c r="V183" s="2107"/>
      <c r="W183" s="2112"/>
    </row>
    <row r="184" spans="1:23" ht="21.75">
      <c r="A184" s="2098"/>
      <c r="B184" s="2099"/>
      <c r="C184" s="2100"/>
      <c r="D184" s="2101"/>
      <c r="E184" s="2095"/>
      <c r="F184" s="2090"/>
      <c r="G184" s="2090"/>
      <c r="H184" s="2082">
        <f t="shared" si="11"/>
        <v>0</v>
      </c>
      <c r="I184" s="2101"/>
      <c r="J184" s="2095"/>
      <c r="K184" s="2090"/>
      <c r="L184" s="2090"/>
      <c r="M184" s="2075">
        <f t="shared" si="12"/>
        <v>0</v>
      </c>
      <c r="N184" s="2096">
        <f t="shared" si="13"/>
        <v>0</v>
      </c>
      <c r="O184" s="2107"/>
      <c r="P184" s="2108"/>
      <c r="Q184" s="2109"/>
      <c r="R184" s="2109"/>
      <c r="S184" s="2110"/>
      <c r="T184" s="2111"/>
      <c r="U184" s="2108"/>
      <c r="V184" s="2107"/>
      <c r="W184" s="2112"/>
    </row>
    <row r="185" spans="1:23" ht="21.75">
      <c r="A185" s="2098"/>
      <c r="B185" s="2099"/>
      <c r="C185" s="2100"/>
      <c r="D185" s="2101"/>
      <c r="E185" s="2095"/>
      <c r="F185" s="2090"/>
      <c r="G185" s="2090"/>
      <c r="H185" s="2082">
        <f t="shared" si="11"/>
        <v>0</v>
      </c>
      <c r="I185" s="2101"/>
      <c r="J185" s="2095"/>
      <c r="K185" s="2090"/>
      <c r="L185" s="2090"/>
      <c r="M185" s="2075">
        <f t="shared" si="12"/>
        <v>0</v>
      </c>
      <c r="N185" s="2096">
        <f t="shared" si="13"/>
        <v>0</v>
      </c>
      <c r="O185" s="2107"/>
      <c r="P185" s="2108"/>
      <c r="Q185" s="2109"/>
      <c r="R185" s="2109"/>
      <c r="S185" s="2110"/>
      <c r="T185" s="2111"/>
      <c r="U185" s="2108"/>
      <c r="V185" s="2107"/>
      <c r="W185" s="2112"/>
    </row>
    <row r="186" spans="1:23" ht="21.75">
      <c r="A186" s="2098"/>
      <c r="B186" s="2099"/>
      <c r="C186" s="2100"/>
      <c r="D186" s="2101"/>
      <c r="E186" s="2095"/>
      <c r="F186" s="2090"/>
      <c r="G186" s="2090"/>
      <c r="H186" s="2082">
        <f t="shared" si="11"/>
        <v>0</v>
      </c>
      <c r="I186" s="2101"/>
      <c r="J186" s="2095"/>
      <c r="K186" s="2090"/>
      <c r="L186" s="2090"/>
      <c r="M186" s="2075">
        <f t="shared" si="12"/>
        <v>0</v>
      </c>
      <c r="N186" s="2096">
        <f t="shared" si="13"/>
        <v>0</v>
      </c>
      <c r="O186" s="2107"/>
      <c r="P186" s="2108"/>
      <c r="Q186" s="2109"/>
      <c r="R186" s="2109"/>
      <c r="S186" s="2110"/>
      <c r="T186" s="2111"/>
      <c r="U186" s="2108"/>
      <c r="V186" s="2107"/>
      <c r="W186" s="2112"/>
    </row>
    <row r="187" spans="1:23" ht="21.75">
      <c r="A187" s="2098"/>
      <c r="B187" s="2099"/>
      <c r="C187" s="2100"/>
      <c r="D187" s="2101"/>
      <c r="E187" s="2095"/>
      <c r="F187" s="2090"/>
      <c r="G187" s="2090"/>
      <c r="H187" s="2082">
        <f t="shared" si="11"/>
        <v>0</v>
      </c>
      <c r="I187" s="2101"/>
      <c r="J187" s="2095"/>
      <c r="K187" s="2090"/>
      <c r="L187" s="2090"/>
      <c r="M187" s="2075">
        <f t="shared" si="12"/>
        <v>0</v>
      </c>
      <c r="N187" s="2096">
        <f t="shared" si="13"/>
        <v>0</v>
      </c>
      <c r="O187" s="2107"/>
      <c r="P187" s="2108"/>
      <c r="Q187" s="2109"/>
      <c r="R187" s="2109"/>
      <c r="S187" s="2110"/>
      <c r="T187" s="2111"/>
      <c r="U187" s="2108"/>
      <c r="V187" s="2107"/>
      <c r="W187" s="2112"/>
    </row>
    <row r="188" spans="1:23" ht="21.75">
      <c r="A188" s="2098"/>
      <c r="B188" s="2099"/>
      <c r="C188" s="2100"/>
      <c r="D188" s="2101"/>
      <c r="E188" s="2095"/>
      <c r="F188" s="2090"/>
      <c r="G188" s="2090"/>
      <c r="H188" s="2082">
        <f t="shared" si="11"/>
        <v>0</v>
      </c>
      <c r="I188" s="2101"/>
      <c r="J188" s="2095"/>
      <c r="K188" s="2090"/>
      <c r="L188" s="2090"/>
      <c r="M188" s="2075">
        <f t="shared" si="12"/>
        <v>0</v>
      </c>
      <c r="N188" s="2096">
        <f t="shared" si="13"/>
        <v>0</v>
      </c>
      <c r="O188" s="2107"/>
      <c r="P188" s="2108"/>
      <c r="Q188" s="2109"/>
      <c r="R188" s="2109"/>
      <c r="S188" s="2110"/>
      <c r="T188" s="2111"/>
      <c r="U188" s="2108"/>
      <c r="V188" s="2107"/>
      <c r="W188" s="2112"/>
    </row>
    <row r="189" spans="1:23" ht="21.75">
      <c r="A189" s="2098"/>
      <c r="B189" s="2099"/>
      <c r="C189" s="2100"/>
      <c r="D189" s="2101"/>
      <c r="E189" s="2095"/>
      <c r="F189" s="2090"/>
      <c r="G189" s="2090"/>
      <c r="H189" s="2082">
        <f t="shared" si="11"/>
        <v>0</v>
      </c>
      <c r="I189" s="2101"/>
      <c r="J189" s="2095"/>
      <c r="K189" s="2090"/>
      <c r="L189" s="2090"/>
      <c r="M189" s="2075">
        <f t="shared" si="12"/>
        <v>0</v>
      </c>
      <c r="N189" s="2096">
        <f t="shared" si="13"/>
        <v>0</v>
      </c>
      <c r="O189" s="2107"/>
      <c r="P189" s="2108"/>
      <c r="Q189" s="2109"/>
      <c r="R189" s="2109"/>
      <c r="S189" s="2110"/>
      <c r="T189" s="2111"/>
      <c r="U189" s="2108"/>
      <c r="V189" s="2107"/>
      <c r="W189" s="2112"/>
    </row>
    <row r="190" spans="1:23" ht="21.75">
      <c r="A190" s="2098"/>
      <c r="B190" s="2099"/>
      <c r="C190" s="2100"/>
      <c r="D190" s="2101"/>
      <c r="E190" s="2095"/>
      <c r="F190" s="2090"/>
      <c r="G190" s="2090"/>
      <c r="H190" s="2082">
        <f t="shared" si="11"/>
        <v>0</v>
      </c>
      <c r="I190" s="2101"/>
      <c r="J190" s="2095"/>
      <c r="K190" s="2090"/>
      <c r="L190" s="2090"/>
      <c r="M190" s="2075">
        <f t="shared" si="12"/>
        <v>0</v>
      </c>
      <c r="N190" s="2096">
        <f t="shared" si="13"/>
        <v>0</v>
      </c>
      <c r="O190" s="2107"/>
      <c r="P190" s="2108"/>
      <c r="Q190" s="2109"/>
      <c r="R190" s="2109"/>
      <c r="S190" s="2110"/>
      <c r="T190" s="2111"/>
      <c r="U190" s="2108"/>
      <c r="V190" s="2107"/>
      <c r="W190" s="2112"/>
    </row>
    <row r="191" spans="1:23" ht="21.75">
      <c r="A191" s="2098"/>
      <c r="B191" s="2099"/>
      <c r="C191" s="2100"/>
      <c r="D191" s="2101"/>
      <c r="E191" s="2095"/>
      <c r="F191" s="2090"/>
      <c r="G191" s="2090"/>
      <c r="H191" s="2082">
        <f t="shared" si="11"/>
        <v>0</v>
      </c>
      <c r="I191" s="2101"/>
      <c r="J191" s="2095"/>
      <c r="K191" s="2090"/>
      <c r="L191" s="2090"/>
      <c r="M191" s="2075">
        <f t="shared" si="12"/>
        <v>0</v>
      </c>
      <c r="N191" s="2096">
        <f t="shared" si="13"/>
        <v>0</v>
      </c>
      <c r="O191" s="2107"/>
      <c r="P191" s="2108"/>
      <c r="Q191" s="2109"/>
      <c r="R191" s="2109"/>
      <c r="S191" s="2110"/>
      <c r="T191" s="2111"/>
      <c r="U191" s="2108"/>
      <c r="V191" s="2107"/>
      <c r="W191" s="2112"/>
    </row>
    <row r="192" spans="1:23" ht="21.75">
      <c r="A192" s="2098"/>
      <c r="B192" s="2099"/>
      <c r="C192" s="2100"/>
      <c r="D192" s="2101"/>
      <c r="E192" s="2095"/>
      <c r="F192" s="2090"/>
      <c r="G192" s="2090"/>
      <c r="H192" s="2082">
        <f t="shared" si="11"/>
        <v>0</v>
      </c>
      <c r="I192" s="2101"/>
      <c r="J192" s="2095"/>
      <c r="K192" s="2090"/>
      <c r="L192" s="2090"/>
      <c r="M192" s="2075">
        <f t="shared" si="12"/>
        <v>0</v>
      </c>
      <c r="N192" s="2096">
        <f t="shared" si="13"/>
        <v>0</v>
      </c>
      <c r="O192" s="2107"/>
      <c r="P192" s="2108"/>
      <c r="Q192" s="2109"/>
      <c r="R192" s="2109"/>
      <c r="S192" s="2110"/>
      <c r="T192" s="2111"/>
      <c r="U192" s="2108"/>
      <c r="V192" s="2107"/>
      <c r="W192" s="2112"/>
    </row>
    <row r="193" spans="1:23" ht="21.75">
      <c r="A193" s="2098"/>
      <c r="B193" s="2099"/>
      <c r="C193" s="2100"/>
      <c r="D193" s="2101"/>
      <c r="E193" s="2095"/>
      <c r="F193" s="2090"/>
      <c r="G193" s="2090"/>
      <c r="H193" s="2082">
        <f t="shared" si="11"/>
        <v>0</v>
      </c>
      <c r="I193" s="2101"/>
      <c r="J193" s="2095"/>
      <c r="K193" s="2090"/>
      <c r="L193" s="2090"/>
      <c r="M193" s="2075">
        <f t="shared" si="12"/>
        <v>0</v>
      </c>
      <c r="N193" s="2096">
        <f t="shared" si="13"/>
        <v>0</v>
      </c>
      <c r="O193" s="2107"/>
      <c r="P193" s="2108"/>
      <c r="Q193" s="2109"/>
      <c r="R193" s="2109"/>
      <c r="S193" s="2110"/>
      <c r="T193" s="2111"/>
      <c r="U193" s="2108"/>
      <c r="V193" s="2107"/>
      <c r="W193" s="2112"/>
    </row>
    <row r="194" spans="1:23" ht="21.75">
      <c r="A194" s="2098"/>
      <c r="B194" s="2099"/>
      <c r="C194" s="2100"/>
      <c r="D194" s="2101"/>
      <c r="E194" s="2095"/>
      <c r="F194" s="2090"/>
      <c r="G194" s="2090"/>
      <c r="H194" s="2082">
        <f t="shared" si="11"/>
        <v>0</v>
      </c>
      <c r="I194" s="2101"/>
      <c r="J194" s="2095"/>
      <c r="K194" s="2090"/>
      <c r="L194" s="2090"/>
      <c r="M194" s="2075">
        <f t="shared" si="12"/>
        <v>0</v>
      </c>
      <c r="N194" s="2096">
        <f t="shared" si="13"/>
        <v>0</v>
      </c>
      <c r="O194" s="2107"/>
      <c r="P194" s="2108"/>
      <c r="Q194" s="2109"/>
      <c r="R194" s="2109"/>
      <c r="S194" s="2110"/>
      <c r="T194" s="2111"/>
      <c r="U194" s="2108"/>
      <c r="V194" s="2107"/>
      <c r="W194" s="2112"/>
    </row>
    <row r="195" spans="1:23" ht="21.75">
      <c r="A195" s="2098"/>
      <c r="B195" s="2099"/>
      <c r="C195" s="2100"/>
      <c r="D195" s="2101"/>
      <c r="E195" s="2095"/>
      <c r="F195" s="2090"/>
      <c r="G195" s="2090"/>
      <c r="H195" s="2082">
        <f t="shared" si="11"/>
        <v>0</v>
      </c>
      <c r="I195" s="2101"/>
      <c r="J195" s="2095"/>
      <c r="K195" s="2090"/>
      <c r="L195" s="2090"/>
      <c r="M195" s="2075">
        <f t="shared" si="12"/>
        <v>0</v>
      </c>
      <c r="N195" s="2096">
        <f t="shared" si="13"/>
        <v>0</v>
      </c>
      <c r="O195" s="2107"/>
      <c r="P195" s="2108"/>
      <c r="Q195" s="2109"/>
      <c r="R195" s="2109"/>
      <c r="S195" s="2110"/>
      <c r="T195" s="2111"/>
      <c r="U195" s="2108"/>
      <c r="V195" s="2107"/>
      <c r="W195" s="2112"/>
    </row>
    <row r="196" spans="1:23" ht="21.75">
      <c r="A196" s="2098"/>
      <c r="B196" s="2099"/>
      <c r="C196" s="2100"/>
      <c r="D196" s="2101"/>
      <c r="E196" s="2095"/>
      <c r="F196" s="2090"/>
      <c r="G196" s="2090"/>
      <c r="H196" s="2082">
        <f t="shared" si="11"/>
        <v>0</v>
      </c>
      <c r="I196" s="2101"/>
      <c r="J196" s="2095"/>
      <c r="K196" s="2090"/>
      <c r="L196" s="2090"/>
      <c r="M196" s="2075">
        <f t="shared" si="12"/>
        <v>0</v>
      </c>
      <c r="N196" s="2096">
        <f t="shared" si="13"/>
        <v>0</v>
      </c>
      <c r="O196" s="2107"/>
      <c r="P196" s="2108"/>
      <c r="Q196" s="2109"/>
      <c r="R196" s="2109"/>
      <c r="S196" s="2110"/>
      <c r="T196" s="2111"/>
      <c r="U196" s="2108"/>
      <c r="V196" s="2107"/>
      <c r="W196" s="2112"/>
    </row>
    <row r="197" spans="1:23" ht="21.75">
      <c r="A197" s="2098"/>
      <c r="B197" s="2099"/>
      <c r="C197" s="2100"/>
      <c r="D197" s="2101"/>
      <c r="E197" s="2095"/>
      <c r="F197" s="2090"/>
      <c r="G197" s="2090"/>
      <c r="H197" s="2082">
        <f t="shared" si="11"/>
        <v>0</v>
      </c>
      <c r="I197" s="2101"/>
      <c r="J197" s="2095"/>
      <c r="K197" s="2090"/>
      <c r="L197" s="2090"/>
      <c r="M197" s="2075">
        <f t="shared" si="12"/>
        <v>0</v>
      </c>
      <c r="N197" s="2096">
        <f t="shared" si="13"/>
        <v>0</v>
      </c>
      <c r="O197" s="2107"/>
      <c r="P197" s="2108"/>
      <c r="Q197" s="2109"/>
      <c r="R197" s="2109"/>
      <c r="S197" s="2110"/>
      <c r="T197" s="2111"/>
      <c r="U197" s="2108"/>
      <c r="V197" s="2107"/>
      <c r="W197" s="2112"/>
    </row>
    <row r="198" spans="1:23" ht="21.75">
      <c r="A198" s="2098"/>
      <c r="B198" s="2099"/>
      <c r="C198" s="2100"/>
      <c r="D198" s="2101"/>
      <c r="E198" s="2095"/>
      <c r="F198" s="2090"/>
      <c r="G198" s="2090"/>
      <c r="H198" s="2082">
        <f t="shared" si="11"/>
        <v>0</v>
      </c>
      <c r="I198" s="2101"/>
      <c r="J198" s="2095"/>
      <c r="K198" s="2090"/>
      <c r="L198" s="2090"/>
      <c r="M198" s="2075">
        <f t="shared" si="12"/>
        <v>0</v>
      </c>
      <c r="N198" s="2096">
        <f t="shared" si="13"/>
        <v>0</v>
      </c>
      <c r="O198" s="2107"/>
      <c r="P198" s="2108"/>
      <c r="Q198" s="2109"/>
      <c r="R198" s="2109"/>
      <c r="S198" s="2110"/>
      <c r="T198" s="2111"/>
      <c r="U198" s="2108"/>
      <c r="V198" s="2107"/>
      <c r="W198" s="2112"/>
    </row>
    <row r="199" spans="1:23" ht="21.75">
      <c r="A199" s="2098"/>
      <c r="B199" s="2099"/>
      <c r="C199" s="2100"/>
      <c r="D199" s="2101"/>
      <c r="E199" s="2095"/>
      <c r="F199" s="2090"/>
      <c r="G199" s="2090"/>
      <c r="H199" s="2082">
        <f t="shared" si="11"/>
        <v>0</v>
      </c>
      <c r="I199" s="2101"/>
      <c r="J199" s="2095"/>
      <c r="K199" s="2090"/>
      <c r="L199" s="2090"/>
      <c r="M199" s="2075">
        <f t="shared" si="12"/>
        <v>0</v>
      </c>
      <c r="N199" s="2096">
        <f t="shared" si="13"/>
        <v>0</v>
      </c>
      <c r="O199" s="2107"/>
      <c r="P199" s="2108"/>
      <c r="Q199" s="2109"/>
      <c r="R199" s="2109"/>
      <c r="S199" s="2110"/>
      <c r="T199" s="2111"/>
      <c r="U199" s="2108"/>
      <c r="V199" s="2107"/>
      <c r="W199" s="2112"/>
    </row>
    <row r="200" spans="1:23" ht="21.75">
      <c r="A200" s="2098"/>
      <c r="B200" s="2099"/>
      <c r="C200" s="2100"/>
      <c r="D200" s="2101"/>
      <c r="E200" s="2095"/>
      <c r="F200" s="2090"/>
      <c r="G200" s="2090"/>
      <c r="H200" s="2082">
        <f t="shared" si="11"/>
        <v>0</v>
      </c>
      <c r="I200" s="2101"/>
      <c r="J200" s="2095"/>
      <c r="K200" s="2090"/>
      <c r="L200" s="2090"/>
      <c r="M200" s="2075">
        <f t="shared" si="12"/>
        <v>0</v>
      </c>
      <c r="N200" s="2096">
        <f t="shared" si="13"/>
        <v>0</v>
      </c>
      <c r="O200" s="2107"/>
      <c r="P200" s="2108"/>
      <c r="Q200" s="2109"/>
      <c r="R200" s="2109"/>
      <c r="S200" s="2110"/>
      <c r="T200" s="2111"/>
      <c r="U200" s="2108"/>
      <c r="V200" s="2107"/>
      <c r="W200" s="2112"/>
    </row>
    <row r="201" spans="1:23" ht="21.75">
      <c r="A201" s="2098"/>
      <c r="B201" s="2099"/>
      <c r="C201" s="2100"/>
      <c r="D201" s="2101"/>
      <c r="E201" s="2095"/>
      <c r="F201" s="2090"/>
      <c r="G201" s="2090"/>
      <c r="H201" s="2082">
        <f t="shared" si="11"/>
        <v>0</v>
      </c>
      <c r="I201" s="2101"/>
      <c r="J201" s="2095"/>
      <c r="K201" s="2090"/>
      <c r="L201" s="2090"/>
      <c r="M201" s="2075">
        <f t="shared" si="12"/>
        <v>0</v>
      </c>
      <c r="N201" s="2096">
        <f t="shared" si="13"/>
        <v>0</v>
      </c>
      <c r="O201" s="2107"/>
      <c r="P201" s="2108"/>
      <c r="Q201" s="2109"/>
      <c r="R201" s="2109"/>
      <c r="S201" s="2110"/>
      <c r="T201" s="2111"/>
      <c r="U201" s="2108"/>
      <c r="V201" s="2107"/>
      <c r="W201" s="2112"/>
    </row>
    <row r="202" spans="1:23" ht="21.75">
      <c r="A202" s="2098"/>
      <c r="B202" s="2099"/>
      <c r="C202" s="2100"/>
      <c r="D202" s="2101"/>
      <c r="E202" s="2095"/>
      <c r="F202" s="2090"/>
      <c r="G202" s="2090"/>
      <c r="H202" s="2082">
        <f t="shared" si="11"/>
        <v>0</v>
      </c>
      <c r="I202" s="2101"/>
      <c r="J202" s="2095"/>
      <c r="K202" s="2090"/>
      <c r="L202" s="2090"/>
      <c r="M202" s="2075">
        <f t="shared" si="12"/>
        <v>0</v>
      </c>
      <c r="N202" s="2096">
        <f t="shared" si="13"/>
        <v>0</v>
      </c>
      <c r="O202" s="2107"/>
      <c r="P202" s="2108"/>
      <c r="Q202" s="2109"/>
      <c r="R202" s="2109"/>
      <c r="S202" s="2110"/>
      <c r="T202" s="2111"/>
      <c r="U202" s="2108"/>
      <c r="V202" s="2107"/>
      <c r="W202" s="2112"/>
    </row>
    <row r="203" spans="1:23" ht="21.75">
      <c r="A203" s="2098"/>
      <c r="B203" s="2099"/>
      <c r="C203" s="2100"/>
      <c r="D203" s="2101"/>
      <c r="E203" s="2095"/>
      <c r="F203" s="2090"/>
      <c r="G203" s="2090"/>
      <c r="H203" s="2082">
        <f t="shared" si="11"/>
        <v>0</v>
      </c>
      <c r="I203" s="2101"/>
      <c r="J203" s="2095"/>
      <c r="K203" s="2090"/>
      <c r="L203" s="2090"/>
      <c r="M203" s="2075">
        <f t="shared" si="12"/>
        <v>0</v>
      </c>
      <c r="N203" s="2096">
        <f t="shared" si="13"/>
        <v>0</v>
      </c>
      <c r="O203" s="2107"/>
      <c r="P203" s="2108"/>
      <c r="Q203" s="2109"/>
      <c r="R203" s="2109"/>
      <c r="S203" s="2110"/>
      <c r="T203" s="2111"/>
      <c r="U203" s="2108"/>
      <c r="V203" s="2107"/>
      <c r="W203" s="2112"/>
    </row>
    <row r="204" spans="1:23" ht="21.75">
      <c r="A204" s="2098"/>
      <c r="B204" s="2099"/>
      <c r="C204" s="2100"/>
      <c r="D204" s="2101"/>
      <c r="E204" s="2095"/>
      <c r="F204" s="2090"/>
      <c r="G204" s="2090"/>
      <c r="H204" s="2082">
        <f t="shared" si="11"/>
        <v>0</v>
      </c>
      <c r="I204" s="2101"/>
      <c r="J204" s="2095"/>
      <c r="K204" s="2090"/>
      <c r="L204" s="2090"/>
      <c r="M204" s="2075">
        <f t="shared" si="12"/>
        <v>0</v>
      </c>
      <c r="N204" s="2096">
        <f t="shared" si="13"/>
        <v>0</v>
      </c>
      <c r="O204" s="2107"/>
      <c r="P204" s="2108"/>
      <c r="Q204" s="2109"/>
      <c r="R204" s="2109"/>
      <c r="S204" s="2110"/>
      <c r="T204" s="2111"/>
      <c r="U204" s="2108"/>
      <c r="V204" s="2107"/>
      <c r="W204" s="2112"/>
    </row>
    <row r="205" spans="1:23" ht="21.75">
      <c r="A205" s="2098"/>
      <c r="B205" s="2099"/>
      <c r="C205" s="2100"/>
      <c r="D205" s="2101"/>
      <c r="E205" s="2095"/>
      <c r="F205" s="2090"/>
      <c r="G205" s="2090"/>
      <c r="H205" s="2082">
        <f t="shared" si="11"/>
        <v>0</v>
      </c>
      <c r="I205" s="2101"/>
      <c r="J205" s="2095"/>
      <c r="K205" s="2090"/>
      <c r="L205" s="2090"/>
      <c r="M205" s="2075">
        <f t="shared" si="12"/>
        <v>0</v>
      </c>
      <c r="N205" s="2096">
        <f t="shared" si="13"/>
        <v>0</v>
      </c>
      <c r="O205" s="2107"/>
      <c r="P205" s="2108"/>
      <c r="Q205" s="2109"/>
      <c r="R205" s="2109"/>
      <c r="S205" s="2110"/>
      <c r="T205" s="2111"/>
      <c r="U205" s="2108"/>
      <c r="V205" s="2107"/>
      <c r="W205" s="2112"/>
    </row>
    <row r="206" spans="1:23" ht="21.75">
      <c r="A206" s="2098"/>
      <c r="B206" s="2099"/>
      <c r="C206" s="2100"/>
      <c r="D206" s="2101"/>
      <c r="E206" s="2095"/>
      <c r="F206" s="2090"/>
      <c r="G206" s="2090"/>
      <c r="H206" s="2082">
        <f t="shared" si="11"/>
        <v>0</v>
      </c>
      <c r="I206" s="2101"/>
      <c r="J206" s="2095"/>
      <c r="K206" s="2090"/>
      <c r="L206" s="2090"/>
      <c r="M206" s="2075">
        <f t="shared" si="12"/>
        <v>0</v>
      </c>
      <c r="N206" s="2096">
        <f t="shared" si="13"/>
        <v>0</v>
      </c>
      <c r="O206" s="2107"/>
      <c r="P206" s="2108"/>
      <c r="Q206" s="2109"/>
      <c r="R206" s="2109"/>
      <c r="S206" s="2110"/>
      <c r="T206" s="2111"/>
      <c r="U206" s="2108"/>
      <c r="V206" s="2107"/>
      <c r="W206" s="2112"/>
    </row>
    <row r="207" spans="1:23" ht="21.75">
      <c r="A207" s="2098"/>
      <c r="B207" s="2099"/>
      <c r="C207" s="2100"/>
      <c r="D207" s="2101"/>
      <c r="E207" s="2095"/>
      <c r="F207" s="2090"/>
      <c r="G207" s="2090"/>
      <c r="H207" s="2082">
        <f t="shared" si="11"/>
        <v>0</v>
      </c>
      <c r="I207" s="2101"/>
      <c r="J207" s="2095"/>
      <c r="K207" s="2090"/>
      <c r="L207" s="2090"/>
      <c r="M207" s="2075">
        <f t="shared" si="12"/>
        <v>0</v>
      </c>
      <c r="N207" s="2096">
        <f t="shared" si="13"/>
        <v>0</v>
      </c>
      <c r="O207" s="2107"/>
      <c r="P207" s="2108"/>
      <c r="Q207" s="2109"/>
      <c r="R207" s="2109"/>
      <c r="S207" s="2110"/>
      <c r="T207" s="2111"/>
      <c r="U207" s="2108"/>
      <c r="V207" s="2107"/>
      <c r="W207" s="2112"/>
    </row>
    <row r="208" spans="1:23" ht="21.75">
      <c r="A208" s="2098"/>
      <c r="B208" s="2099"/>
      <c r="C208" s="2100"/>
      <c r="D208" s="2101"/>
      <c r="E208" s="2095"/>
      <c r="F208" s="2090"/>
      <c r="G208" s="2090"/>
      <c r="H208" s="2082">
        <f t="shared" si="11"/>
        <v>0</v>
      </c>
      <c r="I208" s="2101"/>
      <c r="J208" s="2095"/>
      <c r="K208" s="2090"/>
      <c r="L208" s="2090"/>
      <c r="M208" s="2075">
        <f t="shared" si="12"/>
        <v>0</v>
      </c>
      <c r="N208" s="2096">
        <f t="shared" si="13"/>
        <v>0</v>
      </c>
      <c r="O208" s="2107"/>
      <c r="P208" s="2108"/>
      <c r="Q208" s="2109"/>
      <c r="R208" s="2109"/>
      <c r="S208" s="2110"/>
      <c r="T208" s="2111"/>
      <c r="U208" s="2108"/>
      <c r="V208" s="2107"/>
      <c r="W208" s="2112"/>
    </row>
    <row r="209" spans="1:23" ht="21.75">
      <c r="A209" s="2098"/>
      <c r="B209" s="2099"/>
      <c r="C209" s="2100"/>
      <c r="D209" s="2101"/>
      <c r="E209" s="2095"/>
      <c r="F209" s="2090"/>
      <c r="G209" s="2090"/>
      <c r="H209" s="2082">
        <f t="shared" si="11"/>
        <v>0</v>
      </c>
      <c r="I209" s="2101"/>
      <c r="J209" s="2095"/>
      <c r="K209" s="2090"/>
      <c r="L209" s="2090"/>
      <c r="M209" s="2075">
        <f t="shared" si="12"/>
        <v>0</v>
      </c>
      <c r="N209" s="2096">
        <f t="shared" si="13"/>
        <v>0</v>
      </c>
      <c r="O209" s="2107"/>
      <c r="P209" s="2108"/>
      <c r="Q209" s="2109"/>
      <c r="R209" s="2109"/>
      <c r="S209" s="2110"/>
      <c r="T209" s="2111"/>
      <c r="U209" s="2108"/>
      <c r="V209" s="2107"/>
      <c r="W209" s="2112"/>
    </row>
    <row r="210" spans="1:23" ht="21.75">
      <c r="A210" s="2098"/>
      <c r="B210" s="2099"/>
      <c r="C210" s="2100"/>
      <c r="D210" s="2101"/>
      <c r="E210" s="2095"/>
      <c r="F210" s="2090"/>
      <c r="G210" s="2090"/>
      <c r="H210" s="2082">
        <f t="shared" si="11"/>
        <v>0</v>
      </c>
      <c r="I210" s="2101"/>
      <c r="J210" s="2095"/>
      <c r="K210" s="2090"/>
      <c r="L210" s="2090"/>
      <c r="M210" s="2075">
        <f t="shared" si="12"/>
        <v>0</v>
      </c>
      <c r="N210" s="2096">
        <f t="shared" si="13"/>
        <v>0</v>
      </c>
      <c r="O210" s="2107"/>
      <c r="P210" s="2108"/>
      <c r="Q210" s="2109"/>
      <c r="R210" s="2109"/>
      <c r="S210" s="2110"/>
      <c r="T210" s="2111"/>
      <c r="U210" s="2108"/>
      <c r="V210" s="2107"/>
      <c r="W210" s="2112"/>
    </row>
    <row r="211" spans="1:23" ht="21.75">
      <c r="A211" s="2098"/>
      <c r="B211" s="2099"/>
      <c r="C211" s="2100"/>
      <c r="D211" s="2101"/>
      <c r="E211" s="2095"/>
      <c r="F211" s="2090"/>
      <c r="G211" s="2090"/>
      <c r="H211" s="2082">
        <f t="shared" si="11"/>
        <v>0</v>
      </c>
      <c r="I211" s="2101"/>
      <c r="J211" s="2095"/>
      <c r="K211" s="2090"/>
      <c r="L211" s="2090"/>
      <c r="M211" s="2075">
        <f t="shared" si="12"/>
        <v>0</v>
      </c>
      <c r="N211" s="2096">
        <f t="shared" si="13"/>
        <v>0</v>
      </c>
      <c r="O211" s="2107"/>
      <c r="P211" s="2108"/>
      <c r="Q211" s="2109"/>
      <c r="R211" s="2109"/>
      <c r="S211" s="2110"/>
      <c r="T211" s="2111"/>
      <c r="U211" s="2108"/>
      <c r="V211" s="2107"/>
      <c r="W211" s="2112"/>
    </row>
    <row r="212" spans="1:23" ht="21.75">
      <c r="A212" s="2098"/>
      <c r="B212" s="2099"/>
      <c r="C212" s="2100"/>
      <c r="D212" s="2101"/>
      <c r="E212" s="2095"/>
      <c r="F212" s="2090"/>
      <c r="G212" s="2090"/>
      <c r="H212" s="2082">
        <f t="shared" si="11"/>
        <v>0</v>
      </c>
      <c r="I212" s="2101"/>
      <c r="J212" s="2095"/>
      <c r="K212" s="2090"/>
      <c r="L212" s="2090"/>
      <c r="M212" s="2075">
        <f t="shared" si="12"/>
        <v>0</v>
      </c>
      <c r="N212" s="2096">
        <f t="shared" si="13"/>
        <v>0</v>
      </c>
      <c r="O212" s="2107"/>
      <c r="P212" s="2108"/>
      <c r="Q212" s="2109"/>
      <c r="R212" s="2109"/>
      <c r="S212" s="2110"/>
      <c r="T212" s="2111"/>
      <c r="U212" s="2108"/>
      <c r="V212" s="2107"/>
      <c r="W212" s="2112"/>
    </row>
    <row r="213" spans="1:23" ht="21.75">
      <c r="A213" s="2098"/>
      <c r="B213" s="2099"/>
      <c r="C213" s="2100"/>
      <c r="D213" s="2101"/>
      <c r="E213" s="2095"/>
      <c r="F213" s="2090"/>
      <c r="G213" s="2090"/>
      <c r="H213" s="2082">
        <f t="shared" si="11"/>
        <v>0</v>
      </c>
      <c r="I213" s="2101"/>
      <c r="J213" s="2095"/>
      <c r="K213" s="2090"/>
      <c r="L213" s="2090"/>
      <c r="M213" s="2075">
        <f t="shared" si="12"/>
        <v>0</v>
      </c>
      <c r="N213" s="2096">
        <f t="shared" si="13"/>
        <v>0</v>
      </c>
      <c r="O213" s="2107"/>
      <c r="P213" s="2108"/>
      <c r="Q213" s="2109"/>
      <c r="R213" s="2109"/>
      <c r="S213" s="2110"/>
      <c r="T213" s="2111"/>
      <c r="U213" s="2108"/>
      <c r="V213" s="2107"/>
      <c r="W213" s="2112"/>
    </row>
    <row r="214" spans="1:23" ht="21.75">
      <c r="A214" s="2113"/>
      <c r="B214" s="2114"/>
      <c r="C214" s="2115"/>
      <c r="D214" s="2116"/>
      <c r="E214" s="2117"/>
      <c r="F214" s="2118"/>
      <c r="G214" s="2118"/>
      <c r="H214" s="2119">
        <f>E214+F214+G214</f>
        <v>0</v>
      </c>
      <c r="I214" s="2116"/>
      <c r="J214" s="2117"/>
      <c r="K214" s="2118"/>
      <c r="L214" s="2118"/>
      <c r="M214" s="2120">
        <f t="shared" si="1"/>
        <v>0</v>
      </c>
      <c r="N214" s="2121">
        <f t="shared" si="4"/>
        <v>0</v>
      </c>
      <c r="O214" s="2122"/>
      <c r="P214" s="2123"/>
      <c r="Q214" s="2124"/>
      <c r="R214" s="2124"/>
      <c r="S214" s="2125"/>
      <c r="T214" s="2116"/>
      <c r="U214" s="2123"/>
      <c r="V214" s="2122"/>
      <c r="W214" s="2126"/>
    </row>
    <row r="215" spans="1:23" ht="31.5" thickBot="1">
      <c r="A215" s="2127" t="s">
        <v>1840</v>
      </c>
      <c r="B215" s="2128">
        <f t="shared" ref="B215:W215" si="14">SUM(B16:B214)</f>
        <v>0</v>
      </c>
      <c r="C215" s="2128">
        <f t="shared" si="14"/>
        <v>0</v>
      </c>
      <c r="D215" s="2128">
        <f t="shared" si="14"/>
        <v>0</v>
      </c>
      <c r="E215" s="2128">
        <f t="shared" si="14"/>
        <v>0</v>
      </c>
      <c r="F215" s="2128">
        <f t="shared" si="14"/>
        <v>0</v>
      </c>
      <c r="G215" s="2128">
        <f t="shared" si="14"/>
        <v>0</v>
      </c>
      <c r="H215" s="2128">
        <f t="shared" si="14"/>
        <v>0</v>
      </c>
      <c r="I215" s="2128">
        <f t="shared" si="14"/>
        <v>0</v>
      </c>
      <c r="J215" s="2128">
        <f t="shared" si="14"/>
        <v>0</v>
      </c>
      <c r="K215" s="2128">
        <f t="shared" si="14"/>
        <v>0</v>
      </c>
      <c r="L215" s="2128">
        <f t="shared" si="14"/>
        <v>0</v>
      </c>
      <c r="M215" s="2129">
        <f t="shared" si="14"/>
        <v>0</v>
      </c>
      <c r="N215" s="2128">
        <f t="shared" si="14"/>
        <v>0</v>
      </c>
      <c r="O215" s="2128">
        <f t="shared" si="14"/>
        <v>0</v>
      </c>
      <c r="P215" s="2128">
        <f t="shared" si="14"/>
        <v>0</v>
      </c>
      <c r="Q215" s="2128">
        <f t="shared" si="14"/>
        <v>0</v>
      </c>
      <c r="R215" s="2128">
        <f t="shared" si="14"/>
        <v>0</v>
      </c>
      <c r="S215" s="2128">
        <f t="shared" si="14"/>
        <v>0</v>
      </c>
      <c r="T215" s="2128">
        <f t="shared" si="14"/>
        <v>0</v>
      </c>
      <c r="U215" s="2128">
        <f t="shared" si="14"/>
        <v>0</v>
      </c>
      <c r="V215" s="2128">
        <f t="shared" si="14"/>
        <v>0</v>
      </c>
      <c r="W215" s="2130">
        <f t="shared" si="14"/>
        <v>0</v>
      </c>
    </row>
    <row r="216" spans="1:23" s="1919" customFormat="1" ht="13.5" thickTop="1">
      <c r="A216" s="2131"/>
    </row>
    <row r="217" spans="1:23" s="1919" customFormat="1" ht="29.25">
      <c r="A217" s="2132" t="s">
        <v>1841</v>
      </c>
      <c r="C217" s="2133"/>
      <c r="D217" s="2134"/>
      <c r="E217" s="2134"/>
      <c r="H217" s="2134"/>
      <c r="I217" s="2133"/>
      <c r="J217" s="2134"/>
      <c r="O217" s="2133"/>
    </row>
    <row r="218" spans="1:23" s="1919" customFormat="1">
      <c r="A218" s="2131" t="s">
        <v>1842</v>
      </c>
      <c r="B218" s="2135"/>
      <c r="C218" s="1684"/>
      <c r="D218" s="1684"/>
      <c r="E218" s="1684"/>
      <c r="F218" s="1684"/>
      <c r="G218" s="1684"/>
      <c r="Q218" s="1730"/>
      <c r="V218" s="1730" t="s">
        <v>396</v>
      </c>
      <c r="W218" s="1730"/>
    </row>
    <row r="219" spans="1:23" s="1919" customFormat="1">
      <c r="B219" s="2136"/>
      <c r="C219" s="872"/>
      <c r="D219" s="872"/>
      <c r="E219" s="872"/>
      <c r="F219" s="872"/>
      <c r="G219" s="872"/>
      <c r="Q219" s="2137"/>
      <c r="V219" s="2137" t="s">
        <v>398</v>
      </c>
    </row>
    <row r="220" spans="1:23" s="1919" customFormat="1">
      <c r="B220" s="1719" t="s">
        <v>399</v>
      </c>
      <c r="C220" s="872"/>
      <c r="D220" s="872"/>
      <c r="H220" s="872"/>
      <c r="I220" s="1719" t="s">
        <v>400</v>
      </c>
      <c r="Q220" s="1719"/>
      <c r="V220" s="1719" t="s">
        <v>401</v>
      </c>
      <c r="W220" s="2137"/>
    </row>
    <row r="221" spans="1:23" s="1919" customFormat="1">
      <c r="B221" s="1720" t="s">
        <v>402</v>
      </c>
      <c r="C221" s="872"/>
      <c r="D221" s="872"/>
      <c r="H221" s="872"/>
      <c r="I221" s="1720" t="s">
        <v>403</v>
      </c>
      <c r="Q221" s="1720"/>
      <c r="V221" s="1720" t="s">
        <v>404</v>
      </c>
      <c r="W221" s="1719"/>
    </row>
    <row r="222" spans="1:23" s="1919" customFormat="1">
      <c r="W222" s="1720"/>
    </row>
    <row r="223" spans="1:23" s="1919" customFormat="1"/>
    <row r="224" spans="1:23" s="1919" customFormat="1"/>
    <row r="225" spans="1:1" s="1919" customFormat="1"/>
    <row r="226" spans="1:1" s="1919" customFormat="1"/>
    <row r="227" spans="1:1" s="1919" customFormat="1">
      <c r="A227" s="1919" t="s">
        <v>1877</v>
      </c>
    </row>
  </sheetData>
  <sheetProtection password="C5F7" sheet="1" objects="1" scenarios="1" formatCells="0" formatColumns="0" formatRows="0" insertRows="0" deleteRows="0"/>
  <mergeCells count="47">
    <mergeCell ref="V13:W13"/>
    <mergeCell ref="B14:B15"/>
    <mergeCell ref="C14:C15"/>
    <mergeCell ref="D14:D15"/>
    <mergeCell ref="E13:H13"/>
    <mergeCell ref="I14:I15"/>
    <mergeCell ref="J13:M13"/>
    <mergeCell ref="O14:O15"/>
    <mergeCell ref="P14:P15"/>
    <mergeCell ref="N12:N13"/>
    <mergeCell ref="O12:O13"/>
    <mergeCell ref="P12:P13"/>
    <mergeCell ref="T12:U12"/>
    <mergeCell ref="V12:W12"/>
    <mergeCell ref="R10:R12"/>
    <mergeCell ref="S10:S12"/>
    <mergeCell ref="R13:R15"/>
    <mergeCell ref="S13:S15"/>
    <mergeCell ref="T13:U13"/>
    <mergeCell ref="D12:D13"/>
    <mergeCell ref="J14:K14"/>
    <mergeCell ref="T10:W10"/>
    <mergeCell ref="B11:C11"/>
    <mergeCell ref="D11:H11"/>
    <mergeCell ref="I11:M11"/>
    <mergeCell ref="N11:P11"/>
    <mergeCell ref="T11:W11"/>
    <mergeCell ref="E8:I8"/>
    <mergeCell ref="P8:Q8"/>
    <mergeCell ref="A10:A12"/>
    <mergeCell ref="B10:C10"/>
    <mergeCell ref="D10:H10"/>
    <mergeCell ref="I10:M10"/>
    <mergeCell ref="O10:P10"/>
    <mergeCell ref="Q10:Q12"/>
    <mergeCell ref="I12:I13"/>
    <mergeCell ref="A13:A15"/>
    <mergeCell ref="Q13:Q15"/>
    <mergeCell ref="E12:H12"/>
    <mergeCell ref="E14:F14"/>
    <mergeCell ref="J12:M12"/>
    <mergeCell ref="P7:Q7"/>
    <mergeCell ref="A2:U2"/>
    <mergeCell ref="A3:T3"/>
    <mergeCell ref="A4:T4"/>
    <mergeCell ref="A5:T5"/>
    <mergeCell ref="T6:U6"/>
  </mergeCells>
  <dataValidations count="3">
    <dataValidation type="decimal" operator="greaterThanOrEqual" allowBlank="1" showInputMessage="1" showErrorMessage="1" sqref="P8:Q8">
      <formula1>0</formula1>
    </dataValidation>
    <dataValidation type="decimal" operator="greaterThanOrEqual" allowBlank="1" showInputMessage="1" showErrorMessage="1" errorTitle="Validation Rule" error="Allow only number" sqref="V16:V214 T16:T214 I16:I214 D16:D214">
      <formula1>0</formula1>
    </dataValidation>
    <dataValidation type="whole" operator="greaterThanOrEqual" allowBlank="1" showInputMessage="1" showErrorMessage="1" errorTitle="Validation Rule" error="Allow only number" sqref="O16:S214 U16:U214 W16:W214 K16:M214 F16:H214">
      <formula1>0</formula1>
    </dataValidation>
  </dataValidations>
  <pageMargins left="0.7" right="0.7" top="0.75" bottom="0.75" header="0.3" footer="0.3"/>
  <pageSetup orientation="landscape"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420</vt:i4>
      </vt:variant>
    </vt:vector>
  </HeadingPairs>
  <TitlesOfParts>
    <vt:vector size="447" baseType="lpstr">
      <vt:lpstr>List of Monthly Reports </vt:lpstr>
      <vt:lpstr>Balance Sheet</vt:lpstr>
      <vt:lpstr>Income Statement</vt:lpstr>
      <vt:lpstr>Off-Bal</vt:lpstr>
      <vt:lpstr>Networth</vt:lpstr>
      <vt:lpstr>Solvency Ratio</vt:lpstr>
      <vt:lpstr>Net Open Position</vt:lpstr>
      <vt:lpstr>Large Exp.</vt:lpstr>
      <vt:lpstr>Loan2Related Parties</vt:lpstr>
      <vt:lpstr>List of Foreclosed Prop</vt:lpstr>
      <vt:lpstr>Source of Funds</vt:lpstr>
      <vt:lpstr>Normal</vt:lpstr>
      <vt:lpstr>Special</vt:lpstr>
      <vt:lpstr>Substandard</vt:lpstr>
      <vt:lpstr>Doubful Loan</vt:lpstr>
      <vt:lpstr>Loss</vt:lpstr>
      <vt:lpstr>Latest Credit by Sectors</vt:lpstr>
      <vt:lpstr>Top 20 Depositor</vt:lpstr>
      <vt:lpstr>classify customer depo</vt:lpstr>
      <vt:lpstr>classify amount Depo (L)</vt:lpstr>
      <vt:lpstr>Maturity</vt:lpstr>
      <vt:lpstr>Remuneration</vt:lpstr>
      <vt:lpstr>Net Liabilities</vt:lpstr>
      <vt:lpstr>Interest Rate</vt:lpstr>
      <vt:lpstr>Int. Sensitivity</vt:lpstr>
      <vt:lpstr>InterBank</vt:lpstr>
      <vt:lpstr>Network Info</vt:lpstr>
      <vt:lpstr>a</vt:lpstr>
      <vt:lpstr>accumulated_losses_khr</vt:lpstr>
      <vt:lpstr>accumulated_losses_usd</vt:lpstr>
      <vt:lpstr>assets_guaranteed_by_banks_khr</vt:lpstr>
      <vt:lpstr>assets_guaranteed_by_banks_tusd</vt:lpstr>
      <vt:lpstr>assets_guaranteed_by_banks_usd</vt:lpstr>
      <vt:lpstr>assets_guaranteed_by_banks_wt</vt:lpstr>
      <vt:lpstr>assets_guaranteed_by_sovereigns_khr</vt:lpstr>
      <vt:lpstr>assets_guaranteed_by_sovereigns_tusd</vt:lpstr>
      <vt:lpstr>assets_guaranteed_by_sovereigns_usd</vt:lpstr>
      <vt:lpstr>assets_guaranteed_by_sovereigns_wt</vt:lpstr>
      <vt:lpstr>assets_low_by_sovereigns_khr</vt:lpstr>
      <vt:lpstr>assets_low_by_sovereigns_tusd</vt:lpstr>
      <vt:lpstr>assets_low_by_sovereigns_usd</vt:lpstr>
      <vt:lpstr>assets_low_by_sovereigns_wt</vt:lpstr>
      <vt:lpstr>assets_low_cash_khr</vt:lpstr>
      <vt:lpstr>assets_low_cash_tusd</vt:lpstr>
      <vt:lpstr>assets_low_cash_usd</vt:lpstr>
      <vt:lpstr>assets_low_cash_wt</vt:lpstr>
      <vt:lpstr>assets_low_claimonNBC_khr</vt:lpstr>
      <vt:lpstr>assets_low_claimonNBC_tusd</vt:lpstr>
      <vt:lpstr>assets_low_claimonNBC_usd</vt:lpstr>
      <vt:lpstr>assets_low_claimonNBC_wt</vt:lpstr>
      <vt:lpstr>assets_low_collateralDeposits_khr</vt:lpstr>
      <vt:lpstr>assets_low_collateralDeposits_tusd</vt:lpstr>
      <vt:lpstr>assets_low_collateralDeposits_usd</vt:lpstr>
      <vt:lpstr>assets_low_collateralDeposits_wt</vt:lpstr>
      <vt:lpstr>assets_low_gold_khr</vt:lpstr>
      <vt:lpstr>assets_low_gold_tusd</vt:lpstr>
      <vt:lpstr>assets_low_gold_usd</vt:lpstr>
      <vt:lpstr>assets_low_gold_wt</vt:lpstr>
      <vt:lpstr>assets_low_risk_khr</vt:lpstr>
      <vt:lpstr>assets_low_risk_tusd</vt:lpstr>
      <vt:lpstr>assets_low_risk_usd</vt:lpstr>
      <vt:lpstr>assets_low_risk_wt</vt:lpstr>
      <vt:lpstr>assets_medium_risk_khr</vt:lpstr>
      <vt:lpstr>assets_medium_risk_tusd</vt:lpstr>
      <vt:lpstr>assets_medium_risk_usd</vt:lpstr>
      <vt:lpstr>assets_medium_risk_wt</vt:lpstr>
      <vt:lpstr>assets_medium_warranties_tusd</vt:lpstr>
      <vt:lpstr>assets_moderate_guranteed_bank_khr</vt:lpstr>
      <vt:lpstr>assets_moderate_guranteed_bank_tusd</vt:lpstr>
      <vt:lpstr>assets_moderate_guranteed_bank_usd</vt:lpstr>
      <vt:lpstr>assets_moderate_guranteed_bank_wt</vt:lpstr>
      <vt:lpstr>assets_moderate_risk_khr</vt:lpstr>
      <vt:lpstr>assets_moderate_risk_tusd</vt:lpstr>
      <vt:lpstr>assets_moderate_risk_usd</vt:lpstr>
      <vt:lpstr>assets_moderate_risk_wt</vt:lpstr>
      <vt:lpstr>assets_moderate_sovereign_khr</vt:lpstr>
      <vt:lpstr>assets_moderate_sovereign_tusd</vt:lpstr>
      <vt:lpstr>assets_moderate_sovereign_usd</vt:lpstr>
      <vt:lpstr>assets_moderate_sovereign_wt</vt:lpstr>
      <vt:lpstr>assets_with_parent_tusd</vt:lpstr>
      <vt:lpstr>audited_net_profit_khr</vt:lpstr>
      <vt:lpstr>audited_net_profit_usd</vt:lpstr>
      <vt:lpstr>awp_debt_securities</vt:lpstr>
      <vt:lpstr>awp_due_from_parent</vt:lpstr>
      <vt:lpstr>awp_equity_securities</vt:lpstr>
      <vt:lpstr>awp_interest_demand_deposit</vt:lpstr>
      <vt:lpstr>awp_loan_and_placement</vt:lpstr>
      <vt:lpstr>awp_long_term_loan</vt:lpstr>
      <vt:lpstr>awp_non_interest_demand</vt:lpstr>
      <vt:lpstr>awp_others</vt:lpstr>
      <vt:lpstr>awp_securitie</vt:lpstr>
      <vt:lpstr>awp_short_term_loan</vt:lpstr>
      <vt:lpstr>bank_placements_fcs</vt:lpstr>
      <vt:lpstr>bank_placements_gold</vt:lpstr>
      <vt:lpstr>bank_placements_khr</vt:lpstr>
      <vt:lpstr>bank_placements_usd</vt:lpstr>
      <vt:lpstr>BSNbc_Code</vt:lpstr>
      <vt:lpstr>BSNbc_FOR</vt:lpstr>
      <vt:lpstr>BSNbc_KHR</vt:lpstr>
      <vt:lpstr>BSNbc_TOT</vt:lpstr>
      <vt:lpstr>clerk_female</vt:lpstr>
      <vt:lpstr>clerk_male</vt:lpstr>
      <vt:lpstr>clerk_other</vt:lpstr>
      <vt:lpstr>commitment_from_parent</vt:lpstr>
      <vt:lpstr>commitment_to_parent</vt:lpstr>
      <vt:lpstr>credit_card_fcs</vt:lpstr>
      <vt:lpstr>credit_card_gold</vt:lpstr>
      <vt:lpstr>credit_card_khr</vt:lpstr>
      <vt:lpstr>credit_card_usd</vt:lpstr>
      <vt:lpstr>debt_instruments_shareholders_khr</vt:lpstr>
      <vt:lpstr>debt_instruments_shareholders_usd</vt:lpstr>
      <vt:lpstr>demand_deposits_fcs</vt:lpstr>
      <vt:lpstr>demand_deposits_gold</vt:lpstr>
      <vt:lpstr>demand_deposits_khr</vt:lpstr>
      <vt:lpstr>demand_deposits_usd</vt:lpstr>
      <vt:lpstr>DepositorTypeID1</vt:lpstr>
      <vt:lpstr>DepositorTypeID10</vt:lpstr>
      <vt:lpstr>DepositorTypeID11</vt:lpstr>
      <vt:lpstr>DepositorTypeID2</vt:lpstr>
      <vt:lpstr>DepositorTypeID3</vt:lpstr>
      <vt:lpstr>DepositorTypeID4</vt:lpstr>
      <vt:lpstr>DepositorTypeID5</vt:lpstr>
      <vt:lpstr>DepositorTypeID6</vt:lpstr>
      <vt:lpstr>DepositorTypeID7</vt:lpstr>
      <vt:lpstr>DepositorTypeID8</vt:lpstr>
      <vt:lpstr>DepositorTypeID9</vt:lpstr>
      <vt:lpstr>deposits_one_month_less_fcs</vt:lpstr>
      <vt:lpstr>deposits_one_month_less_gold</vt:lpstr>
      <vt:lpstr>deposits_one_month_less_khr</vt:lpstr>
      <vt:lpstr>deposits_one_month_less_usd</vt:lpstr>
      <vt:lpstr>deposits_one_three_month_fcs</vt:lpstr>
      <vt:lpstr>deposits_one_three_month_gold</vt:lpstr>
      <vt:lpstr>deposits_one_three_month_khr</vt:lpstr>
      <vt:lpstr>deposits_one_three_month_usd</vt:lpstr>
      <vt:lpstr>deposits_one_year_up_fcs</vt:lpstr>
      <vt:lpstr>deposits_one_year_up_gold</vt:lpstr>
      <vt:lpstr>deposits_one_year_up_khr</vt:lpstr>
      <vt:lpstr>deposits_one_year_up_usd</vt:lpstr>
      <vt:lpstr>deposits_six_one_year_fcs</vt:lpstr>
      <vt:lpstr>deposits_six_one_year_gold</vt:lpstr>
      <vt:lpstr>deposits_six_one_year_khr</vt:lpstr>
      <vt:lpstr>deposits_six_one_year_usd</vt:lpstr>
      <vt:lpstr>deposits_three_six_month_fcs</vt:lpstr>
      <vt:lpstr>deposits_three_six_month_gold</vt:lpstr>
      <vt:lpstr>deposits_three_six_month_khr</vt:lpstr>
      <vt:lpstr>deposits_three_six_month_usd</vt:lpstr>
      <vt:lpstr>equity_participations_bank_khr</vt:lpstr>
      <vt:lpstr>equity_participations_bank_usd</vt:lpstr>
      <vt:lpstr>general_provision_khr</vt:lpstr>
      <vt:lpstr>general_provision_usd</vt:lpstr>
      <vt:lpstr>irrevocable_credit_lines_khr</vt:lpstr>
      <vt:lpstr>irrevocable_credit_lines_tusd</vt:lpstr>
      <vt:lpstr>irrevocable_credit_lines_usd</vt:lpstr>
      <vt:lpstr>irrevocable_credit_lines_wt</vt:lpstr>
      <vt:lpstr>itimized_an_attachment_khr</vt:lpstr>
      <vt:lpstr>itimized_an_attachment_usd</vt:lpstr>
      <vt:lpstr>junior_staffs_female</vt:lpstr>
      <vt:lpstr>junior_staffs_male</vt:lpstr>
      <vt:lpstr>junior_staffs_other</vt:lpstr>
      <vt:lpstr>liabilities_with_parent</vt:lpstr>
      <vt:lpstr>limit_check_tier2_capital_khr</vt:lpstr>
      <vt:lpstr>limit_check_tier2_capital_usd</vt:lpstr>
      <vt:lpstr>limited_check_retained_earning_khr</vt:lpstr>
      <vt:lpstr>limited_check_retained_earning_usd</vt:lpstr>
      <vt:lpstr>loan_a_year_up_fcs</vt:lpstr>
      <vt:lpstr>loan_a_year_up_gold</vt:lpstr>
      <vt:lpstr>loan_a_year_up_khr</vt:lpstr>
      <vt:lpstr>loan_a_year_up_usd</vt:lpstr>
      <vt:lpstr>loan_less_a_year_fcs</vt:lpstr>
      <vt:lpstr>loan_less_a_year_gold</vt:lpstr>
      <vt:lpstr>loan_less_a_year_khr</vt:lpstr>
      <vt:lpstr>loan_less_a_year_usd</vt:lpstr>
      <vt:lpstr>loan_one_month_less_fcs</vt:lpstr>
      <vt:lpstr>loan_one_month_less_gold</vt:lpstr>
      <vt:lpstr>loan_one_month_less_khr</vt:lpstr>
      <vt:lpstr>loan_one_month_less_usd</vt:lpstr>
      <vt:lpstr>loan_one_month_up_fcs</vt:lpstr>
      <vt:lpstr>loan_one_month_up_gold</vt:lpstr>
      <vt:lpstr>loan_one_month_up_khr</vt:lpstr>
      <vt:lpstr>loan_one_month_up_usd</vt:lpstr>
      <vt:lpstr>lwp_borrowed_Funds_from_parent</vt:lpstr>
      <vt:lpstr>lwp_debt_securities</vt:lpstr>
      <vt:lpstr>lwp_demand_deposit</vt:lpstr>
      <vt:lpstr>lwp_demand_time_deposits</vt:lpstr>
      <vt:lpstr>lwp_long_term_borrowed_funds</vt:lpstr>
      <vt:lpstr>lwp_money_market_deposit</vt:lpstr>
      <vt:lpstr>lwp_other</vt:lpstr>
      <vt:lpstr>lwp_overdraft_on_corresponden</vt:lpstr>
      <vt:lpstr>lwp_securities</vt:lpstr>
      <vt:lpstr>lwp_short_term_borrowed_funds</vt:lpstr>
      <vt:lpstr>lwp_time_deposit</vt:lpstr>
      <vt:lpstr>NBC_authority_approval_khr</vt:lpstr>
      <vt:lpstr>NBC_authority_approval_usd</vt:lpstr>
      <vt:lpstr>net_assets_balance_sheet</vt:lpstr>
      <vt:lpstr>off_balance_sheet_item</vt:lpstr>
      <vt:lpstr>off_balance_sheet_items_khr</vt:lpstr>
      <vt:lpstr>off_balance_sheet_items_tusd</vt:lpstr>
      <vt:lpstr>off_balance_sheet_items_usd</vt:lpstr>
      <vt:lpstr>off_balance_sheet_items_wt</vt:lpstr>
      <vt:lpstr>off_bs_acceptances_khr</vt:lpstr>
      <vt:lpstr>off_bs_acceptances_tusd</vt:lpstr>
      <vt:lpstr>off_bs_acceptances_usd</vt:lpstr>
      <vt:lpstr>off_bs_acceptances_wt</vt:lpstr>
      <vt:lpstr>off_bs_bills_not_bearing_khr</vt:lpstr>
      <vt:lpstr>off_bs_bills_not_bearing_tusd</vt:lpstr>
      <vt:lpstr>off_bs_bills_not_bearing_usd</vt:lpstr>
      <vt:lpstr>off_bs_bills_not_bearing_wt</vt:lpstr>
      <vt:lpstr>off_bs_commitments_khr</vt:lpstr>
      <vt:lpstr>off_bs_commitments_tusd</vt:lpstr>
      <vt:lpstr>off_bs_commitments_usd</vt:lpstr>
      <vt:lpstr>off_bs_commitments_wt</vt:lpstr>
      <vt:lpstr>off_bs_documentary_credits_khr</vt:lpstr>
      <vt:lpstr>off_bs_documentary_credits_tusd</vt:lpstr>
      <vt:lpstr>off_bs_documentary_credits_usd</vt:lpstr>
      <vt:lpstr>off_bs_documentary_credits_wt</vt:lpstr>
      <vt:lpstr>off_bs_loan_guarantees_khr</vt:lpstr>
      <vt:lpstr>off_bs_loan_guarantees_tusd</vt:lpstr>
      <vt:lpstr>off_bs_loan_guarantees_usd</vt:lpstr>
      <vt:lpstr>off_bs_loan_guarantees_wt</vt:lpstr>
      <vt:lpstr>off_bs_low_risk_khr</vt:lpstr>
      <vt:lpstr>off_bs_low_risk_tusd</vt:lpstr>
      <vt:lpstr>off_bs_low_risk_usd</vt:lpstr>
      <vt:lpstr>off_bs_low_risk_wt</vt:lpstr>
      <vt:lpstr>off_bs_moderate_risk_khr</vt:lpstr>
      <vt:lpstr>off_bs_moderate_risk_tusd</vt:lpstr>
      <vt:lpstr>off_bs_moderate_risk_usd</vt:lpstr>
      <vt:lpstr>off_bs_moderate_risk_wt</vt:lpstr>
      <vt:lpstr>off_bs_operations_full_risk_khr</vt:lpstr>
      <vt:lpstr>off_bs_operations_full_risk_tusd</vt:lpstr>
      <vt:lpstr>off_bs_operations_full_risk_usd</vt:lpstr>
      <vt:lpstr>off_bs_operations_full_risk_wt</vt:lpstr>
      <vt:lpstr>off_bs_operations_low_risk_khr</vt:lpstr>
      <vt:lpstr>off_bs_operations_low_risk_tusd</vt:lpstr>
      <vt:lpstr>off_bs_operations_low_risk_usd</vt:lpstr>
      <vt:lpstr>off_bs_operations_low_risk_wt</vt:lpstr>
      <vt:lpstr>off_bs_operations_medium_risk_khr</vt:lpstr>
      <vt:lpstr>off_bs_operations_medium_risk_tusd</vt:lpstr>
      <vt:lpstr>off_bs_operations_medium_risk_usd</vt:lpstr>
      <vt:lpstr>off_bs_operations_medium_risk_wt</vt:lpstr>
      <vt:lpstr>off_bs_other_medium_risk_khr</vt:lpstr>
      <vt:lpstr>off_bs_other_medium_risk_tusd</vt:lpstr>
      <vt:lpstr>off_bs_other_medium_risk_usd</vt:lpstr>
      <vt:lpstr>off_bs_other_medium_risk_wt</vt:lpstr>
      <vt:lpstr>off_bs_other_moderate_risk_khr</vt:lpstr>
      <vt:lpstr>off_bs_other_moderate_risk_tusd</vt:lpstr>
      <vt:lpstr>off_bs_other_moderate_risk_usd</vt:lpstr>
      <vt:lpstr>off_bs_other_moderate_risk_wt</vt:lpstr>
      <vt:lpstr>off_bs_overdrafts_commitments_khr</vt:lpstr>
      <vt:lpstr>off_bs_overdrafts_commitments_one_year_khr</vt:lpstr>
      <vt:lpstr>off_bs_overdrafts_commitments_one_year_tusd</vt:lpstr>
      <vt:lpstr>off_bs_overdrafts_commitments_one_year_usd</vt:lpstr>
      <vt:lpstr>off_bs_overdrafts_commitments_one_year_wt</vt:lpstr>
      <vt:lpstr>off_bs_overdrafts_commitments_tusd</vt:lpstr>
      <vt:lpstr>off_bs_overdrafts_commitments_usd</vt:lpstr>
      <vt:lpstr>off_bs_overdrafts_commitments_wt</vt:lpstr>
      <vt:lpstr>off_bs_warranties_idemnity_khr</vt:lpstr>
      <vt:lpstr>off_bs_warranties_idemnity_tusd</vt:lpstr>
      <vt:lpstr>off_bs_warranties_idemnity_usd</vt:lpstr>
      <vt:lpstr>off_bs_warranties_idemnity_wt</vt:lpstr>
      <vt:lpstr>'Source of Funds'!OLE_LINK1</vt:lpstr>
      <vt:lpstr>other​_loans_fcs</vt:lpstr>
      <vt:lpstr>other​_loans_gold</vt:lpstr>
      <vt:lpstr>other​_loans_khr</vt:lpstr>
      <vt:lpstr>other​_loans_usd</vt:lpstr>
      <vt:lpstr>other_deposits_fcs</vt:lpstr>
      <vt:lpstr>other_deposits_gold</vt:lpstr>
      <vt:lpstr>other_deposits_khr</vt:lpstr>
      <vt:lpstr>other_deposits_usd</vt:lpstr>
      <vt:lpstr>other_high_risk_khr</vt:lpstr>
      <vt:lpstr>other_high_risk_tusd</vt:lpstr>
      <vt:lpstr>other_high_risk_usd</vt:lpstr>
      <vt:lpstr>other_high_risk_wt</vt:lpstr>
      <vt:lpstr>other_ssets_khr</vt:lpstr>
      <vt:lpstr>other_ssets_tusd</vt:lpstr>
      <vt:lpstr>other_ssets_usd</vt:lpstr>
      <vt:lpstr>other_ssets_wt</vt:lpstr>
      <vt:lpstr>overdraft_business_fcs</vt:lpstr>
      <vt:lpstr>overdraft_business_gold</vt:lpstr>
      <vt:lpstr>overdraft_business_khr</vt:lpstr>
      <vt:lpstr>overdraft_business_usd</vt:lpstr>
      <vt:lpstr>overdraft_consumer_fcs</vt:lpstr>
      <vt:lpstr>overdraft_consumer_gold</vt:lpstr>
      <vt:lpstr>overdraft_consumer_khr</vt:lpstr>
      <vt:lpstr>overdraft_consumer_usd</vt:lpstr>
      <vt:lpstr>overdrafts_other_advances_khr</vt:lpstr>
      <vt:lpstr>overdrafts_other_advances_usd</vt:lpstr>
      <vt:lpstr>own_shares_held_khr</vt:lpstr>
      <vt:lpstr>own_shares_held_usd</vt:lpstr>
      <vt:lpstr>paid_capital_endowment_khr</vt:lpstr>
      <vt:lpstr>paid_capital_endowment_usd</vt:lpstr>
      <vt:lpstr>'Balance Sheet'!Print_Area</vt:lpstr>
      <vt:lpstr>'classify customer depo'!Print_Area</vt:lpstr>
      <vt:lpstr>'Source of Funds'!Print_Area</vt:lpstr>
      <vt:lpstr>'Latest Credit by Sectors'!Print_Titles</vt:lpstr>
      <vt:lpstr>'Net Open Position'!Print_Titles</vt:lpstr>
      <vt:lpstr>provide_reference_NBC_authority_khr</vt:lpstr>
      <vt:lpstr>provide_reference_NBC_authority_usd</vt:lpstr>
      <vt:lpstr>provisions_general_banking_khr</vt:lpstr>
      <vt:lpstr>provisions_general_banking_usd</vt:lpstr>
      <vt:lpstr>reevaluation_reserves_NBC_khr</vt:lpstr>
      <vt:lpstr>reevaluation_reserves_NBC_usd</vt:lpstr>
      <vt:lpstr>regulation_networth_khr</vt:lpstr>
      <vt:lpstr>regulation_networth_usd</vt:lpstr>
      <vt:lpstr>related_parties_deduct_khr</vt:lpstr>
      <vt:lpstr>related_parties_deduct_usd</vt:lpstr>
      <vt:lpstr>reserves_revaluation_reserves_khr</vt:lpstr>
      <vt:lpstr>reserves_revaluation_reserves_usd</vt:lpstr>
      <vt:lpstr>retained_earnings_khr</vt:lpstr>
      <vt:lpstr>retained_earnings_usd</vt:lpstr>
      <vt:lpstr>saving_deposits_fcs</vt:lpstr>
      <vt:lpstr>saving_deposits_gold</vt:lpstr>
      <vt:lpstr>saving_deposits_khr</vt:lpstr>
      <vt:lpstr>saving_deposits_usd</vt:lpstr>
      <vt:lpstr>secured_loan_a_year_fcs</vt:lpstr>
      <vt:lpstr>secured_loan_a_year_gold</vt:lpstr>
      <vt:lpstr>secured_loan_a_year_khr</vt:lpstr>
      <vt:lpstr>secured_loan_a_year_up_fcs</vt:lpstr>
      <vt:lpstr>secured_loan_a_year_up_gold</vt:lpstr>
      <vt:lpstr>secured_loan_a_year_up_khr</vt:lpstr>
      <vt:lpstr>secured_loan_a_year_up_usd</vt:lpstr>
      <vt:lpstr>secured_loan_a_year_usd</vt:lpstr>
      <vt:lpstr>secured_loan_fcs</vt:lpstr>
      <vt:lpstr>secured_loan_gold</vt:lpstr>
      <vt:lpstr>secured_loan_khr</vt:lpstr>
      <vt:lpstr>secured_loan_usd</vt:lpstr>
      <vt:lpstr>senior_staffs</vt:lpstr>
      <vt:lpstr>senior_staffs_female</vt:lpstr>
      <vt:lpstr>senior_staffs_male</vt:lpstr>
      <vt:lpstr>senior_staffs_other</vt:lpstr>
      <vt:lpstr>sn_cash_on_hand_KHR</vt:lpstr>
      <vt:lpstr>sn_cash_on_hand_t</vt:lpstr>
      <vt:lpstr>sn_cash_on_hand_USD</vt:lpstr>
      <vt:lpstr>sn_customers_deposits_KHR</vt:lpstr>
      <vt:lpstr>sn_customers_deposits_t</vt:lpstr>
      <vt:lpstr>sn_customers_deposits_USD</vt:lpstr>
      <vt:lpstr>sn_deposits_local_banks_KH</vt:lpstr>
      <vt:lpstr>sn_deposits_local_banks_t</vt:lpstr>
      <vt:lpstr>sn_deposits_local_banks_USD</vt:lpstr>
      <vt:lpstr>sn_deposits_with_NBC_KHR</vt:lpstr>
      <vt:lpstr>sn_deposits_with_NBC_t</vt:lpstr>
      <vt:lpstr>sn_deposits_with_NBC_USD</vt:lpstr>
      <vt:lpstr>sn_funds_over_sources_KHR</vt:lpstr>
      <vt:lpstr>sn_funds_over_sources_t</vt:lpstr>
      <vt:lpstr>sn_funds_over_sources_USD</vt:lpstr>
      <vt:lpstr>sn_loans_and_advances_KHR</vt:lpstr>
      <vt:lpstr>sn_loans_and_advances_t</vt:lpstr>
      <vt:lpstr>sn_loans_and_advances_USD</vt:lpstr>
      <vt:lpstr>sn_local_interbank_deposits_KHR</vt:lpstr>
      <vt:lpstr>sn_local_interbank_deposits_t</vt:lpstr>
      <vt:lpstr>sn_local_interbank_deposits_USD</vt:lpstr>
      <vt:lpstr>sn_local_uses_of_funds_KHR</vt:lpstr>
      <vt:lpstr>sn_local_uses_of_funds_t</vt:lpstr>
      <vt:lpstr>sn_local_uses_of_funds_USD</vt:lpstr>
      <vt:lpstr>sn_locally_collected_KHR</vt:lpstr>
      <vt:lpstr>sn_locally_collected_t</vt:lpstr>
      <vt:lpstr>sn_locally_collected_USD</vt:lpstr>
      <vt:lpstr>sn_non_resident_KHR</vt:lpstr>
      <vt:lpstr>sn_non_resident_t</vt:lpstr>
      <vt:lpstr>sn_non_resident_USD</vt:lpstr>
      <vt:lpstr>sn_resident_KHR</vt:lpstr>
      <vt:lpstr>sn_resident_t</vt:lpstr>
      <vt:lpstr>sn_resident_USD</vt:lpstr>
      <vt:lpstr>solvency_ratio_khr</vt:lpstr>
      <vt:lpstr>solvency_ratio_tusd</vt:lpstr>
      <vt:lpstr>sources_of_funds_locally_collected_khr</vt:lpstr>
      <vt:lpstr>sources_of_funds_locally_collected_total</vt:lpstr>
      <vt:lpstr>sources_of_funds_locally_collected_usd</vt:lpstr>
      <vt:lpstr>staff_level</vt:lpstr>
      <vt:lpstr>sub_total_A_khr</vt:lpstr>
      <vt:lpstr>sub_total_A_usd</vt:lpstr>
      <vt:lpstr>subordinated_debt_instruments_khr</vt:lpstr>
      <vt:lpstr>subordinated_debt_instruments_usd</vt:lpstr>
      <vt:lpstr>term_loans_a_year_fcs</vt:lpstr>
      <vt:lpstr>term_loans_a_year_gold</vt:lpstr>
      <vt:lpstr>term_loans_a_year_khr</vt:lpstr>
      <vt:lpstr>term_loans_a_year_up_fcs</vt:lpstr>
      <vt:lpstr>term_loans_a_year_up_gold</vt:lpstr>
      <vt:lpstr>term_loans_a_year_up_khr</vt:lpstr>
      <vt:lpstr>term_loans_a_year_up_usd</vt:lpstr>
      <vt:lpstr>term_loans_a_year_usd</vt:lpstr>
      <vt:lpstr>term_loans_business_fcs</vt:lpstr>
      <vt:lpstr>term_loans_business_gold</vt:lpstr>
      <vt:lpstr>term_loans_business_khr</vt:lpstr>
      <vt:lpstr>term_loans_business_usd</vt:lpstr>
      <vt:lpstr>term_loans_consumer_fcs</vt:lpstr>
      <vt:lpstr>term_loans_consumer_gold</vt:lpstr>
      <vt:lpstr>term_loans_consumer_khr</vt:lpstr>
      <vt:lpstr>term_loans_consumer_usd</vt:lpstr>
      <vt:lpstr>term_loans_secured_a_year_fcs</vt:lpstr>
      <vt:lpstr>term_loans_secured_a_year_gold</vt:lpstr>
      <vt:lpstr>term_loans_secured_a_year_khr</vt:lpstr>
      <vt:lpstr>term_loans_secured_a_year_up_fcs</vt:lpstr>
      <vt:lpstr>term_loans_secured_a_year_up_gold</vt:lpstr>
      <vt:lpstr>term_loans_secured_a_year_up_khr</vt:lpstr>
      <vt:lpstr>term_loans_secured_a_year_up_usd</vt:lpstr>
      <vt:lpstr>term_loans_secured_a_year_usd</vt:lpstr>
      <vt:lpstr>term_loans_secured_fcs</vt:lpstr>
      <vt:lpstr>term_loans_secured_gold</vt:lpstr>
      <vt:lpstr>term_loans_secured_khr</vt:lpstr>
      <vt:lpstr>term_loans_secured_usd</vt:lpstr>
      <vt:lpstr>term_loans_unsecured_fcs</vt:lpstr>
      <vt:lpstr>term_loans_unsecured_gold</vt:lpstr>
      <vt:lpstr>term_loans_unsecured_khr</vt:lpstr>
      <vt:lpstr>term_loans_unsecured_usd</vt:lpstr>
      <vt:lpstr>tier2_NBC_authority_khr</vt:lpstr>
      <vt:lpstr>tier2_NBC_authority_usd</vt:lpstr>
      <vt:lpstr>tier2_other_deducted_items_khr</vt:lpstr>
      <vt:lpstr>tier2_other_deducted_items_usd</vt:lpstr>
      <vt:lpstr>tier2_provide_NBC_authority_khr</vt:lpstr>
      <vt:lpstr>tier2_provide_NBC_authority_usd</vt:lpstr>
      <vt:lpstr>tier2_subordinated_debt_khr</vt:lpstr>
      <vt:lpstr>tier2_subordinated_debt_usd</vt:lpstr>
      <vt:lpstr>tier2_subtoal_c_khr</vt:lpstr>
      <vt:lpstr>tier2_subtoal_c_usd</vt:lpstr>
      <vt:lpstr>time_deposits_fcs</vt:lpstr>
      <vt:lpstr>time_deposits_gold</vt:lpstr>
      <vt:lpstr>time_deposits_khr</vt:lpstr>
      <vt:lpstr>time_deposits_usd</vt:lpstr>
      <vt:lpstr>total_assets_operations_khr</vt:lpstr>
      <vt:lpstr>total_assets_operations_tusd</vt:lpstr>
      <vt:lpstr>total_i_khr</vt:lpstr>
      <vt:lpstr>total_i_tusd</vt:lpstr>
      <vt:lpstr>total_i_usd</vt:lpstr>
      <vt:lpstr>total_i_wt</vt:lpstr>
      <vt:lpstr>total_ii_khr</vt:lpstr>
      <vt:lpstr>total_ii_tusd</vt:lpstr>
      <vt:lpstr>total_ii_usd</vt:lpstr>
      <vt:lpstr>total_ii_wt</vt:lpstr>
      <vt:lpstr>total_net_assets_off_balance</vt:lpstr>
      <vt:lpstr>total_teir2_khr</vt:lpstr>
      <vt:lpstr>total_teir2_usd</vt:lpstr>
      <vt:lpstr>total_tier1_core_capital_khr</vt:lpstr>
      <vt:lpstr>total_tier1_core_capital_usd</vt:lpstr>
      <vt:lpstr>transactions_with_recours_tusd</vt:lpstr>
      <vt:lpstr>transactions_with_recourse_khr</vt:lpstr>
      <vt:lpstr>transactions_with_recourse_usd</vt:lpstr>
      <vt:lpstr>transactions_with_recourse_wt</vt:lpstr>
      <vt:lpstr>unpaid_portion_capital_khr</vt:lpstr>
      <vt:lpstr>unpaid_portion_capital_usd</vt:lpstr>
      <vt:lpstr>unsecured_loan_fcs</vt:lpstr>
      <vt:lpstr>unsecured_loan_gold</vt:lpstr>
      <vt:lpstr>unsecured_loan_khr</vt:lpstr>
      <vt:lpstr>unsecured_loan_usd</vt:lpstr>
      <vt:lpstr>weighting_assets_full_risk_khr</vt:lpstr>
      <vt:lpstr>weighting_assets_full_risk_tusd</vt:lpstr>
      <vt:lpstr>weighting_assets_full_risk_usd</vt:lpstr>
      <vt:lpstr>weighting_assets_full_risk_wt</vt:lpstr>
    </vt:vector>
  </TitlesOfParts>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 vannak</dc:creator>
  <cp:lastModifiedBy>Administrator</cp:lastModifiedBy>
  <cp:lastPrinted>2012-09-06T02:09:15Z</cp:lastPrinted>
  <dcterms:created xsi:type="dcterms:W3CDTF">2011-03-22T04:09:25Z</dcterms:created>
  <dcterms:modified xsi:type="dcterms:W3CDTF">2012-09-06T02:26:13Z</dcterms:modified>
</cp:coreProperties>
</file>