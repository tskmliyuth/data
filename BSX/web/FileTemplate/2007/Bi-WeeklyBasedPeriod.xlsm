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0" yWindow="90" windowWidth="9525" windowHeight="5565" tabRatio="633" firstSheet="16" activeTab="16"/>
  </bookViews>
  <sheets>
    <sheet name="Form 1 A" sheetId="23" state="veryHidden" r:id="rId1"/>
    <sheet name="Form 1 B" sheetId="31" state="veryHidden" r:id="rId2"/>
    <sheet name="Form 1 B - 01" sheetId="49" state="veryHidden" r:id="rId3"/>
    <sheet name="Form 1 B - 02" sheetId="51" state="veryHidden" r:id="rId4"/>
    <sheet name="Form 1 B - 03" sheetId="52" state="veryHidden" r:id="rId5"/>
    <sheet name="Form 1 B - 04" sheetId="53" state="veryHidden" r:id="rId6"/>
    <sheet name="Form 1 B - 05" sheetId="55" state="veryHidden" r:id="rId7"/>
    <sheet name="Form 1 B - 06" sheetId="54" state="veryHidden" r:id="rId8"/>
    <sheet name="Form 1 B - 07" sheetId="57" state="veryHidden" r:id="rId9"/>
    <sheet name="Form 1 B - 08" sheetId="56" state="veryHidden" r:id="rId10"/>
    <sheet name="Form 1 B - 09" sheetId="58" state="veryHidden" r:id="rId11"/>
    <sheet name="Form 1 B - 10" sheetId="59" state="veryHidden" r:id="rId12"/>
    <sheet name="Form 1 B - 11" sheetId="60" state="veryHidden" r:id="rId13"/>
    <sheet name="Form 1 B - 12" sheetId="61" state="veryHidden" r:id="rId14"/>
    <sheet name="Form 1 B - 13" sheetId="63" state="veryHidden" r:id="rId15"/>
    <sheet name="Form 1 B - 14" sheetId="64" state="veryHidden" r:id="rId16"/>
    <sheet name="Macros" sheetId="62" r:id="rId17"/>
  </sheets>
  <definedNames>
    <definedName name="_xlnm.Print_Area" localSheetId="1">'Form 1 B'!$A$1:$F$37</definedName>
    <definedName name="_xlnm.Print_Area" localSheetId="2">'Form 1 B - 01'!$A$1:$G$37</definedName>
    <definedName name="_xlnm.Print_Area" localSheetId="3">'Form 1 B - 02'!$A$1:$I$37</definedName>
    <definedName name="_xlnm.Print_Area" localSheetId="4">'Form 1 B - 03'!$A$1:$I$37</definedName>
    <definedName name="_xlnm.Print_Area" localSheetId="5">'Form 1 B - 04'!$A$1:$I$37</definedName>
    <definedName name="_xlnm.Print_Area" localSheetId="6">'Form 1 B - 05'!$A$1:$I$37</definedName>
    <definedName name="_xlnm.Print_Area" localSheetId="7">'Form 1 B - 06'!$A$1:$I$37</definedName>
    <definedName name="_xlnm.Print_Area" localSheetId="8">'Form 1 B - 07'!$A$1:$I$37</definedName>
    <definedName name="_xlnm.Print_Area" localSheetId="9">'Form 1 B - 08'!$A$1:$I$37</definedName>
    <definedName name="_xlnm.Print_Area" localSheetId="10">'Form 1 B - 09'!$A$1:$I$37</definedName>
    <definedName name="_xlnm.Print_Area" localSheetId="11">'Form 1 B - 10'!$A$1:$I$37</definedName>
    <definedName name="_xlnm.Print_Area" localSheetId="12">'Form 1 B - 11'!$A$1:$I$37</definedName>
    <definedName name="_xlnm.Print_Area" localSheetId="13">'Form 1 B - 12'!$A$1:$I$37</definedName>
    <definedName name="_xlnm.Print_Area" localSheetId="14">'Form 1 B - 13'!$A$1:$I$37</definedName>
    <definedName name="_xlnm.Print_Area" localSheetId="15">'Form 1 B - 14'!$A$1:$I$37</definedName>
  </definedNames>
  <calcPr calcId="144525"/>
  <customWorkbookViews>
    <customWorkbookView name="Channy - Personal View" guid="{F2476822-2366-11D5-AEB0-00C0DFF88893}" mergeInterval="0" personalView="1" maximized="1" windowWidth="796" windowHeight="427" tabRatio="601" activeSheetId="6"/>
    <customWorkbookView name="py - Personal View" guid="{B50A7F62-8B22-11D4-A139-00105A8344C3}" mergeInterval="0" personalView="1" maximized="1" windowWidth="716" windowHeight="361" tabRatio="601" activeSheetId="6"/>
    <customWorkbookView name="Tim - Personal View" guid="{0CB32FA2-1160-11D5-9E87-00A024D14B15}" mergeInterval="0" personalView="1" maximized="1" windowWidth="796" windowHeight="411" tabRatio="601" activeSheetId="9"/>
    <customWorkbookView name="OEM - Personal View" guid="{710FB541-D804-11D3-B5B7-00105A834459}" mergeInterval="0" personalView="1" maximized="1" windowWidth="796" windowHeight="410" tabRatio="601" activeSheetId="6"/>
    <customWorkbookView name="PC01 - Personal View" guid="{9159AA00-3E98-11D3-9738-8FF7A54C3332}" mergeInterval="0" personalView="1" maximized="1" windowWidth="796" windowHeight="411" activeSheetId="12"/>
    <customWorkbookView name="Saman - Personal View" guid="{F2851980-CFBE-11D1-AF87-B4D8D2D6324E}" mergeInterval="0" personalView="1" maximized="1" windowWidth="796" windowHeight="433" activeSheetId="6" showStatusbar="0"/>
    <customWorkbookView name="Chany - Personal View" guid="{074AC983-CAA6-11D3-88F9-0050BA01BEB1}" mergeInterval="0" personalView="1" maximized="1" windowWidth="716" windowHeight="387" tabRatio="601" activeSheetId="12"/>
    <customWorkbookView name="Vanna - Personal View" guid="{6E07F6C2-FE54-11D3-86B3-0050BA01BAD3}" mergeInterval="0" personalView="1" maximized="1" windowWidth="796" windowHeight="411" tabRatio="601" activeSheetId="8"/>
    <customWorkbookView name="UCB - Personal View" guid="{4E01C1C0-816E-11D3-A2C8-B2206665756A}" mergeInterval="0" personalView="1" maximized="1" windowWidth="796" windowHeight="411" tabRatio="601" activeSheetId="6"/>
  </customWorkbookViews>
</workbook>
</file>

<file path=xl/calcChain.xml><?xml version="1.0" encoding="utf-8"?>
<calcChain xmlns="http://schemas.openxmlformats.org/spreadsheetml/2006/main">
  <c r="E27" i="64" l="1"/>
  <c r="C27" i="64"/>
  <c r="I26" i="64"/>
  <c r="I27" i="64" s="1"/>
  <c r="I30" i="64" s="1"/>
  <c r="I31" i="64" s="1"/>
  <c r="F26" i="64"/>
  <c r="F27" i="64" s="1"/>
  <c r="E26" i="64"/>
  <c r="D26" i="64"/>
  <c r="D27" i="64" s="1"/>
  <c r="C26" i="64"/>
  <c r="B26" i="64"/>
  <c r="B27" i="64" s="1"/>
  <c r="I25" i="64"/>
  <c r="G25" i="64"/>
  <c r="I24" i="64"/>
  <c r="G24" i="64"/>
  <c r="I23" i="64"/>
  <c r="G23" i="64"/>
  <c r="I22" i="64"/>
  <c r="G22" i="64"/>
  <c r="I21" i="64"/>
  <c r="G21" i="64"/>
  <c r="I20" i="64"/>
  <c r="G20" i="64"/>
  <c r="I19" i="64"/>
  <c r="G19" i="64"/>
  <c r="I18" i="64"/>
  <c r="G18" i="64"/>
  <c r="I17" i="64"/>
  <c r="G17" i="64"/>
  <c r="I16" i="64"/>
  <c r="G16" i="64"/>
  <c r="I15" i="64"/>
  <c r="G15" i="64"/>
  <c r="I14" i="64"/>
  <c r="G14" i="64"/>
  <c r="I13" i="64"/>
  <c r="G13" i="64"/>
  <c r="I12" i="64"/>
  <c r="G12" i="64"/>
  <c r="G26" i="64" s="1"/>
  <c r="G27" i="64" s="1"/>
  <c r="E27" i="63"/>
  <c r="C27" i="63"/>
  <c r="I26" i="63"/>
  <c r="I27" i="63" s="1"/>
  <c r="I30" i="63" s="1"/>
  <c r="I31" i="63" s="1"/>
  <c r="F26" i="63"/>
  <c r="F27" i="63" s="1"/>
  <c r="E26" i="63"/>
  <c r="D26" i="63"/>
  <c r="D27" i="63" s="1"/>
  <c r="C26" i="63"/>
  <c r="B26" i="63"/>
  <c r="B27" i="63" s="1"/>
  <c r="I25" i="63"/>
  <c r="G25" i="63"/>
  <c r="I24" i="63"/>
  <c r="G24" i="63"/>
  <c r="I23" i="63"/>
  <c r="G23" i="63"/>
  <c r="I22" i="63"/>
  <c r="G22" i="63"/>
  <c r="I21" i="63"/>
  <c r="G21" i="63"/>
  <c r="I20" i="63"/>
  <c r="G20" i="63"/>
  <c r="I19" i="63"/>
  <c r="G19" i="63"/>
  <c r="I18" i="63"/>
  <c r="G18" i="63"/>
  <c r="I17" i="63"/>
  <c r="G17" i="63"/>
  <c r="I16" i="63"/>
  <c r="G16" i="63"/>
  <c r="I15" i="63"/>
  <c r="G15" i="63"/>
  <c r="I14" i="63"/>
  <c r="G14" i="63"/>
  <c r="I13" i="63"/>
  <c r="G13" i="63"/>
  <c r="I12" i="63"/>
  <c r="G12" i="63"/>
  <c r="G26" i="63" s="1"/>
  <c r="G27" i="63" s="1"/>
  <c r="F26" i="61" l="1"/>
  <c r="F27" i="61" s="1"/>
  <c r="E26" i="61"/>
  <c r="E27" i="61" s="1"/>
  <c r="D26" i="61"/>
  <c r="D27" i="61" s="1"/>
  <c r="C26" i="61"/>
  <c r="C27" i="61" s="1"/>
  <c r="B26" i="61"/>
  <c r="B27" i="61" s="1"/>
  <c r="I25" i="61"/>
  <c r="G25" i="61"/>
  <c r="I24" i="61"/>
  <c r="G24" i="61"/>
  <c r="I23" i="61"/>
  <c r="G23" i="61"/>
  <c r="I22" i="61"/>
  <c r="G22" i="61"/>
  <c r="I21" i="61"/>
  <c r="G21" i="61"/>
  <c r="I20" i="61"/>
  <c r="G20" i="61"/>
  <c r="I19" i="61"/>
  <c r="G19" i="61"/>
  <c r="I18" i="61"/>
  <c r="G18" i="61"/>
  <c r="I17" i="61"/>
  <c r="G17" i="61"/>
  <c r="I16" i="61"/>
  <c r="G16" i="61"/>
  <c r="I15" i="61"/>
  <c r="G15" i="61"/>
  <c r="I14" i="61"/>
  <c r="G14" i="61"/>
  <c r="I13" i="61"/>
  <c r="G13" i="61"/>
  <c r="I12" i="61"/>
  <c r="G12" i="61"/>
  <c r="G26" i="61" s="1"/>
  <c r="G27" i="61" s="1"/>
  <c r="F26" i="60"/>
  <c r="F27" i="60" s="1"/>
  <c r="E26" i="60"/>
  <c r="E27" i="60" s="1"/>
  <c r="D26" i="60"/>
  <c r="D27" i="60" s="1"/>
  <c r="C26" i="60"/>
  <c r="C27" i="60" s="1"/>
  <c r="B26" i="60"/>
  <c r="B27" i="60" s="1"/>
  <c r="I25" i="60"/>
  <c r="G25" i="60"/>
  <c r="I24" i="60"/>
  <c r="G24" i="60"/>
  <c r="I23" i="60"/>
  <c r="G23" i="60"/>
  <c r="I22" i="60"/>
  <c r="G22" i="60"/>
  <c r="I21" i="60"/>
  <c r="G21" i="60"/>
  <c r="I20" i="60"/>
  <c r="G20" i="60"/>
  <c r="I19" i="60"/>
  <c r="G19" i="60"/>
  <c r="I18" i="60"/>
  <c r="G18" i="60"/>
  <c r="I17" i="60"/>
  <c r="G17" i="60"/>
  <c r="I16" i="60"/>
  <c r="G16" i="60"/>
  <c r="I15" i="60"/>
  <c r="G15" i="60"/>
  <c r="I14" i="60"/>
  <c r="G14" i="60"/>
  <c r="I13" i="60"/>
  <c r="G13" i="60"/>
  <c r="I12" i="60"/>
  <c r="G12" i="60"/>
  <c r="G26" i="60" s="1"/>
  <c r="G27" i="60" s="1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24" i="58"/>
  <c r="I23" i="58"/>
  <c r="I22" i="58"/>
  <c r="I21" i="58"/>
  <c r="I20" i="58"/>
  <c r="I19" i="58"/>
  <c r="I18" i="58"/>
  <c r="I17" i="58"/>
  <c r="I16" i="58"/>
  <c r="I15" i="58"/>
  <c r="I14" i="58"/>
  <c r="I13" i="58"/>
  <c r="I12" i="58"/>
  <c r="I25" i="58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25" i="56"/>
  <c r="I24" i="57"/>
  <c r="I23" i="57"/>
  <c r="I22" i="57"/>
  <c r="I21" i="57"/>
  <c r="I20" i="57"/>
  <c r="I19" i="57"/>
  <c r="I18" i="57"/>
  <c r="I17" i="57"/>
  <c r="I16" i="57"/>
  <c r="I15" i="57"/>
  <c r="I14" i="57"/>
  <c r="I13" i="57"/>
  <c r="I12" i="57"/>
  <c r="I25" i="57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25" i="54"/>
  <c r="I19" i="55"/>
  <c r="I18" i="55"/>
  <c r="I17" i="55"/>
  <c r="I16" i="55"/>
  <c r="I15" i="55"/>
  <c r="I14" i="55"/>
  <c r="I13" i="55"/>
  <c r="I12" i="55"/>
  <c r="I24" i="55"/>
  <c r="I23" i="55"/>
  <c r="I22" i="55"/>
  <c r="I21" i="55"/>
  <c r="I20" i="55"/>
  <c r="I25" i="55"/>
  <c r="I23" i="53"/>
  <c r="I22" i="53"/>
  <c r="I21" i="53"/>
  <c r="I20" i="53"/>
  <c r="I19" i="53"/>
  <c r="I18" i="53"/>
  <c r="I17" i="53"/>
  <c r="I16" i="53"/>
  <c r="I15" i="53"/>
  <c r="I14" i="53"/>
  <c r="I13" i="53"/>
  <c r="I24" i="53"/>
  <c r="I25" i="53"/>
  <c r="I25" i="52"/>
  <c r="I24" i="52"/>
  <c r="I22" i="52"/>
  <c r="I21" i="52"/>
  <c r="I20" i="52"/>
  <c r="I19" i="52"/>
  <c r="I18" i="52"/>
  <c r="I17" i="52"/>
  <c r="I16" i="52"/>
  <c r="I15" i="52"/>
  <c r="I14" i="52"/>
  <c r="I13" i="52"/>
  <c r="I12" i="52"/>
  <c r="I25" i="51"/>
  <c r="I24" i="51"/>
  <c r="I23" i="51"/>
  <c r="I22" i="51"/>
  <c r="I21" i="51"/>
  <c r="I20" i="51"/>
  <c r="I19" i="51"/>
  <c r="I18" i="51"/>
  <c r="I17" i="51"/>
  <c r="I16" i="51"/>
  <c r="I15" i="51"/>
  <c r="I14" i="51"/>
  <c r="I13" i="51"/>
  <c r="I26" i="61" l="1"/>
  <c r="I27" i="61" s="1"/>
  <c r="I30" i="61" s="1"/>
  <c r="I26" i="60"/>
  <c r="I27" i="60" s="1"/>
  <c r="I30" i="60" s="1"/>
  <c r="I31" i="60" s="1"/>
  <c r="F26" i="53"/>
  <c r="F27" i="53" s="1"/>
  <c r="E26" i="53"/>
  <c r="E27" i="53" s="1"/>
  <c r="D26" i="53"/>
  <c r="D27" i="53" s="1"/>
  <c r="C26" i="53"/>
  <c r="C27" i="53" s="1"/>
  <c r="B26" i="53"/>
  <c r="B27" i="53" s="1"/>
  <c r="G25" i="53"/>
  <c r="G24" i="53"/>
  <c r="G23" i="53"/>
  <c r="G22" i="53"/>
  <c r="G21" i="53"/>
  <c r="G20" i="53"/>
  <c r="G19" i="53"/>
  <c r="G18" i="53"/>
  <c r="G17" i="53"/>
  <c r="G16" i="53"/>
  <c r="G15" i="53"/>
  <c r="G14" i="53"/>
  <c r="G13" i="53"/>
  <c r="G12" i="53"/>
  <c r="I12" i="53" s="1"/>
  <c r="F26" i="56"/>
  <c r="F27" i="56" s="1"/>
  <c r="E26" i="56"/>
  <c r="E27" i="56" s="1"/>
  <c r="D26" i="56"/>
  <c r="D27" i="56" s="1"/>
  <c r="C26" i="56"/>
  <c r="C27" i="56" s="1"/>
  <c r="B26" i="56"/>
  <c r="B27" i="56" s="1"/>
  <c r="G25" i="56"/>
  <c r="G24" i="56"/>
  <c r="G23" i="56"/>
  <c r="G22" i="56"/>
  <c r="G21" i="56"/>
  <c r="G20" i="56"/>
  <c r="G19" i="56"/>
  <c r="G18" i="56"/>
  <c r="G17" i="56"/>
  <c r="G16" i="56"/>
  <c r="G15" i="56"/>
  <c r="G14" i="56"/>
  <c r="G13" i="56"/>
  <c r="G26" i="56" s="1"/>
  <c r="G27" i="56" s="1"/>
  <c r="G12" i="56"/>
  <c r="F26" i="58"/>
  <c r="F27" i="58" s="1"/>
  <c r="E26" i="58"/>
  <c r="E27" i="58" s="1"/>
  <c r="D26" i="58"/>
  <c r="D27" i="58" s="1"/>
  <c r="C26" i="58"/>
  <c r="C27" i="58" s="1"/>
  <c r="B26" i="58"/>
  <c r="B27" i="58" s="1"/>
  <c r="G25" i="58"/>
  <c r="G24" i="58"/>
  <c r="G23" i="58"/>
  <c r="G22" i="58"/>
  <c r="G21" i="58"/>
  <c r="G20" i="58"/>
  <c r="G19" i="58"/>
  <c r="G18" i="58"/>
  <c r="G17" i="58"/>
  <c r="G16" i="58"/>
  <c r="G15" i="58"/>
  <c r="G14" i="58"/>
  <c r="G13" i="58"/>
  <c r="G26" i="58" s="1"/>
  <c r="G27" i="58" s="1"/>
  <c r="G12" i="58"/>
  <c r="F26" i="59"/>
  <c r="F27" i="59" s="1"/>
  <c r="E26" i="59"/>
  <c r="E27" i="59" s="1"/>
  <c r="D26" i="59"/>
  <c r="D27" i="59" s="1"/>
  <c r="C26" i="59"/>
  <c r="C27" i="59" s="1"/>
  <c r="B26" i="59"/>
  <c r="B27" i="59" s="1"/>
  <c r="G25" i="59"/>
  <c r="G24" i="59"/>
  <c r="G23" i="59"/>
  <c r="G22" i="59"/>
  <c r="G21" i="59"/>
  <c r="G20" i="59"/>
  <c r="G19" i="59"/>
  <c r="G18" i="59"/>
  <c r="G17" i="59"/>
  <c r="G16" i="59"/>
  <c r="G15" i="59"/>
  <c r="G14" i="59"/>
  <c r="G13" i="59"/>
  <c r="G26" i="59" s="1"/>
  <c r="G27" i="59" s="1"/>
  <c r="I26" i="59"/>
  <c r="I27" i="59" s="1"/>
  <c r="I30" i="59" s="1"/>
  <c r="I31" i="59" s="1"/>
  <c r="G12" i="59"/>
  <c r="F26" i="57"/>
  <c r="F27" i="57" s="1"/>
  <c r="E26" i="57"/>
  <c r="E27" i="57" s="1"/>
  <c r="D26" i="57"/>
  <c r="D27" i="57"/>
  <c r="C26" i="57"/>
  <c r="C27" i="57" s="1"/>
  <c r="B26" i="57"/>
  <c r="B27" i="57" s="1"/>
  <c r="G25" i="57"/>
  <c r="G24" i="57"/>
  <c r="G23" i="57"/>
  <c r="G22" i="57"/>
  <c r="G21" i="57"/>
  <c r="G20" i="57"/>
  <c r="G19" i="57"/>
  <c r="G18" i="57"/>
  <c r="G17" i="57"/>
  <c r="G16" i="57"/>
  <c r="G15" i="57"/>
  <c r="G14" i="57"/>
  <c r="G13" i="57"/>
  <c r="G12" i="57"/>
  <c r="G26" i="57" s="1"/>
  <c r="G27" i="57" s="1"/>
  <c r="F26" i="54"/>
  <c r="F27" i="54" s="1"/>
  <c r="E26" i="54"/>
  <c r="E27" i="54" s="1"/>
  <c r="D26" i="54"/>
  <c r="D27" i="54" s="1"/>
  <c r="C26" i="54"/>
  <c r="C27" i="54" s="1"/>
  <c r="B26" i="54"/>
  <c r="B27" i="54" s="1"/>
  <c r="G25" i="54"/>
  <c r="G24" i="54"/>
  <c r="G23" i="54"/>
  <c r="G22" i="54"/>
  <c r="G21" i="54"/>
  <c r="G20" i="54"/>
  <c r="G19" i="54"/>
  <c r="G18" i="54"/>
  <c r="G17" i="54"/>
  <c r="G16" i="54"/>
  <c r="G15" i="54"/>
  <c r="G14" i="54"/>
  <c r="G13" i="54"/>
  <c r="G12" i="54"/>
  <c r="F26" i="55"/>
  <c r="F27" i="55" s="1"/>
  <c r="E26" i="55"/>
  <c r="E27" i="55" s="1"/>
  <c r="D26" i="55"/>
  <c r="D27" i="55" s="1"/>
  <c r="C26" i="55"/>
  <c r="C27" i="55" s="1"/>
  <c r="B26" i="55"/>
  <c r="B27" i="55" s="1"/>
  <c r="G25" i="55"/>
  <c r="G24" i="55"/>
  <c r="G23" i="55"/>
  <c r="G22" i="55"/>
  <c r="G21" i="55"/>
  <c r="G20" i="55"/>
  <c r="G19" i="55"/>
  <c r="G18" i="55"/>
  <c r="G17" i="55"/>
  <c r="G16" i="55"/>
  <c r="G15" i="55"/>
  <c r="G14" i="55"/>
  <c r="G26" i="55" s="1"/>
  <c r="G27" i="55" s="1"/>
  <c r="G13" i="55"/>
  <c r="I26" i="55"/>
  <c r="I27" i="55" s="1"/>
  <c r="I30" i="55" s="1"/>
  <c r="I31" i="55" s="1"/>
  <c r="G12" i="55"/>
  <c r="F26" i="52"/>
  <c r="F27" i="52" s="1"/>
  <c r="E26" i="52"/>
  <c r="E27" i="52" s="1"/>
  <c r="D26" i="52"/>
  <c r="D27" i="52" s="1"/>
  <c r="C26" i="52"/>
  <c r="C27" i="52" s="1"/>
  <c r="B26" i="52"/>
  <c r="B27" i="52" s="1"/>
  <c r="G25" i="52"/>
  <c r="G24" i="52"/>
  <c r="G23" i="52"/>
  <c r="I23" i="52" s="1"/>
  <c r="I26" i="52" s="1"/>
  <c r="I27" i="52" s="1"/>
  <c r="I30" i="52" s="1"/>
  <c r="I31" i="52" s="1"/>
  <c r="G22" i="52"/>
  <c r="G21" i="52"/>
  <c r="G20" i="52"/>
  <c r="G19" i="52"/>
  <c r="G18" i="52"/>
  <c r="G17" i="52"/>
  <c r="G16" i="52"/>
  <c r="G15" i="52"/>
  <c r="G14" i="52"/>
  <c r="G13" i="52"/>
  <c r="G12" i="52"/>
  <c r="G26" i="52"/>
  <c r="G27" i="52" s="1"/>
  <c r="G25" i="51"/>
  <c r="G24" i="51"/>
  <c r="G23" i="51"/>
  <c r="G22" i="51"/>
  <c r="G21" i="51"/>
  <c r="G20" i="51"/>
  <c r="G19" i="51"/>
  <c r="G18" i="51"/>
  <c r="G17" i="51"/>
  <c r="G16" i="51"/>
  <c r="G15" i="51"/>
  <c r="G14" i="51"/>
  <c r="G13" i="51"/>
  <c r="G12" i="51"/>
  <c r="I12" i="51" s="1"/>
  <c r="I26" i="51" s="1"/>
  <c r="I27" i="51" s="1"/>
  <c r="I30" i="51" s="1"/>
  <c r="G25" i="49"/>
  <c r="G24" i="49"/>
  <c r="G23" i="49"/>
  <c r="G22" i="49"/>
  <c r="G21" i="49"/>
  <c r="G20" i="49"/>
  <c r="G19" i="49"/>
  <c r="G18" i="49"/>
  <c r="G17" i="49"/>
  <c r="G16" i="49"/>
  <c r="G15" i="49"/>
  <c r="G14" i="49"/>
  <c r="G13" i="49"/>
  <c r="G12" i="49"/>
  <c r="F26" i="51"/>
  <c r="F27" i="51"/>
  <c r="E26" i="51"/>
  <c r="E27" i="51"/>
  <c r="D26" i="51"/>
  <c r="D27" i="51"/>
  <c r="C26" i="51"/>
  <c r="C27" i="51"/>
  <c r="B26" i="51"/>
  <c r="B27" i="51" s="1"/>
  <c r="F12" i="31"/>
  <c r="D26" i="31"/>
  <c r="D27" i="31" s="1"/>
  <c r="D28" i="31" s="1"/>
  <c r="B26" i="31"/>
  <c r="B27" i="31" s="1"/>
  <c r="B28" i="31" s="1"/>
  <c r="C26" i="31"/>
  <c r="C27" i="31" s="1"/>
  <c r="C28" i="31" s="1"/>
  <c r="E26" i="31"/>
  <c r="E27" i="31" s="1"/>
  <c r="E28" i="31" s="1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B26" i="49"/>
  <c r="B27" i="49" s="1"/>
  <c r="C26" i="49"/>
  <c r="C27" i="49" s="1"/>
  <c r="D26" i="49"/>
  <c r="D27" i="49" s="1"/>
  <c r="E26" i="49"/>
  <c r="E27" i="49" s="1"/>
  <c r="F26" i="49"/>
  <c r="F27" i="49" s="1"/>
  <c r="D26" i="23"/>
  <c r="D27" i="23" s="1"/>
  <c r="C26" i="23"/>
  <c r="C27" i="23" s="1"/>
  <c r="E26" i="23"/>
  <c r="E27" i="23" s="1"/>
  <c r="F26" i="23"/>
  <c r="F27" i="23"/>
  <c r="B26" i="23"/>
  <c r="B27" i="23" s="1"/>
  <c r="I26" i="53"/>
  <c r="I27" i="53" s="1"/>
  <c r="I30" i="53" s="1"/>
  <c r="I31" i="53" s="1"/>
  <c r="I26" i="56"/>
  <c r="I27" i="56" s="1"/>
  <c r="I30" i="56" s="1"/>
  <c r="I31" i="56" s="1"/>
  <c r="I26" i="58"/>
  <c r="I27" i="58" s="1"/>
  <c r="I30" i="58" s="1"/>
  <c r="I31" i="58" s="1"/>
  <c r="I26" i="57"/>
  <c r="I27" i="57" s="1"/>
  <c r="I30" i="57" s="1"/>
  <c r="I31" i="57" s="1"/>
  <c r="I26" i="54"/>
  <c r="I27" i="54" s="1"/>
  <c r="I30" i="54" s="1"/>
  <c r="I31" i="54" s="1"/>
  <c r="I31" i="61" l="1"/>
  <c r="G26" i="51"/>
  <c r="G27" i="51" s="1"/>
  <c r="G26" i="49"/>
  <c r="G27" i="49" s="1"/>
  <c r="G30" i="49" s="1"/>
  <c r="F30" i="31" s="1"/>
  <c r="F26" i="31"/>
  <c r="F27" i="31" s="1"/>
  <c r="I31" i="51"/>
  <c r="G26" i="23"/>
  <c r="G27" i="23" s="1"/>
  <c r="G30" i="23" s="1"/>
  <c r="F28" i="31"/>
  <c r="G26" i="53"/>
  <c r="G27" i="53" s="1"/>
  <c r="G26" i="54"/>
  <c r="G27" i="54" s="1"/>
  <c r="G31" i="49" l="1"/>
  <c r="F31" i="31"/>
  <c r="G31" i="23"/>
</calcChain>
</file>

<file path=xl/sharedStrings.xml><?xml version="1.0" encoding="utf-8"?>
<sst xmlns="http://schemas.openxmlformats.org/spreadsheetml/2006/main" count="805" uniqueCount="155">
  <si>
    <t>srub</t>
  </si>
  <si>
    <t>kalbriecäTén</t>
  </si>
  <si>
    <t>ry³eBlmUldæan</t>
  </si>
  <si>
    <t xml:space="preserve">Date of </t>
  </si>
  <si>
    <t>Base Period</t>
  </si>
  <si>
    <t xml:space="preserve">Reporting Date: </t>
  </si>
  <si>
    <t>GñkeFVItarag</t>
  </si>
  <si>
    <t>GñkBinitü</t>
  </si>
  <si>
    <t>Manager</t>
  </si>
  <si>
    <t>Checked By</t>
  </si>
  <si>
    <t>Prepared By</t>
  </si>
  <si>
    <t>nayk</t>
  </si>
  <si>
    <t>¬ÉktaKitCalanerol¦</t>
  </si>
  <si>
    <t>R)ak;beBaØIcrnþ</t>
  </si>
  <si>
    <t>R)ak;beBaØIsMéc</t>
  </si>
  <si>
    <t>R)ak;beBaØImankal</t>
  </si>
  <si>
    <t>R)ak;beBaØIepSg²</t>
  </si>
  <si>
    <t xml:space="preserve">Demand Deposit </t>
  </si>
  <si>
    <t>Saving Deposit</t>
  </si>
  <si>
    <t>Other Deposits</t>
  </si>
  <si>
    <t>Total</t>
  </si>
  <si>
    <r>
      <t xml:space="preserve">sruub </t>
    </r>
    <r>
      <rPr>
        <sz val="12"/>
        <rFont val="Arial"/>
        <family val="2"/>
      </rPr>
      <t>Total</t>
    </r>
  </si>
  <si>
    <r>
      <t xml:space="preserve">mFümRbcaMéf¶ </t>
    </r>
    <r>
      <rPr>
        <sz val="10"/>
        <rFont val="Arial"/>
        <family val="2"/>
      </rPr>
      <t>Daily Average</t>
    </r>
  </si>
  <si>
    <t>(Riel in Millions)</t>
  </si>
  <si>
    <t>Other Liabilities</t>
  </si>
  <si>
    <t>Term Deposit</t>
  </si>
  <si>
    <t>bMNulepSgeTot</t>
  </si>
  <si>
    <r>
      <t>sruub</t>
    </r>
    <r>
      <rPr>
        <sz val="18"/>
        <rFont val="Limon R1"/>
      </rPr>
      <t xml:space="preserve"> </t>
    </r>
    <r>
      <rPr>
        <sz val="10"/>
        <rFont val="Arial"/>
        <family val="2"/>
      </rPr>
      <t>Total</t>
    </r>
  </si>
  <si>
    <t xml:space="preserve">(In USD) </t>
  </si>
  <si>
    <t>¬CaduløarGaemrik¦</t>
  </si>
  <si>
    <t>6=1+2+3+4+5</t>
  </si>
  <si>
    <r>
      <t xml:space="preserve">GRtaR)ak;bRmugkatBVkic© ¬8°¦ </t>
    </r>
    <r>
      <rPr>
        <sz val="10"/>
        <rFont val="Arial"/>
        <family val="2"/>
      </rPr>
      <t>Reserve Requirement Rate (8%)</t>
    </r>
  </si>
  <si>
    <r>
      <t xml:space="preserve">R)ak;bRmugkatBVkic©Gb,brmaCaerol </t>
    </r>
    <r>
      <rPr>
        <sz val="10"/>
        <rFont val="Arial"/>
        <family val="2"/>
      </rPr>
      <t>Minimum reserve requirements In riel</t>
    </r>
  </si>
  <si>
    <t>5=1+2+3+4</t>
  </si>
  <si>
    <t>Report of Base Period on Reserve Requirement in Riel</t>
  </si>
  <si>
    <r>
      <t xml:space="preserve">R)ak;bRmugkatBVkic©sRmab;tmál;kñúgry³eBlRtUvtmál; </t>
    </r>
    <r>
      <rPr>
        <sz val="10"/>
        <rFont val="Arial"/>
        <family val="2"/>
      </rPr>
      <t>Reserve Requirement for maintainance period:</t>
    </r>
  </si>
  <si>
    <t>Total Converted into USD</t>
  </si>
  <si>
    <t>8=6/7</t>
  </si>
  <si>
    <t>¬ÉktaCa&gt;&gt;&gt;¦</t>
  </si>
  <si>
    <t>(In ...)</t>
  </si>
  <si>
    <t>Daily Exchan. Rate .../USD</t>
  </si>
  <si>
    <r>
      <rPr>
        <b/>
        <sz val="16"/>
        <rFont val="Limon S1"/>
      </rPr>
      <t>eQµaHFnaKar</t>
    </r>
    <r>
      <rPr>
        <sz val="16"/>
        <rFont val="Limon S1"/>
      </rPr>
      <t>¼</t>
    </r>
    <r>
      <rPr>
        <sz val="10"/>
        <rFont val="Arial"/>
        <family val="2"/>
      </rPr>
      <t>Name of Bank</t>
    </r>
    <r>
      <rPr>
        <sz val="16"/>
        <rFont val="Limon S1"/>
      </rPr>
      <t xml:space="preserve"> ³</t>
    </r>
  </si>
  <si>
    <r>
      <rPr>
        <b/>
        <sz val="16"/>
        <rFont val="Limon S1"/>
      </rPr>
      <t>ry³eBlmUldæan</t>
    </r>
    <r>
      <rPr>
        <sz val="16"/>
        <rFont val="Limon S1"/>
      </rPr>
      <t>¼</t>
    </r>
    <r>
      <rPr>
        <sz val="10"/>
        <rFont val="Arial"/>
        <family val="2"/>
      </rPr>
      <t>Base Period</t>
    </r>
    <r>
      <rPr>
        <sz val="16"/>
        <rFont val="Limon S1"/>
      </rPr>
      <t xml:space="preserve"> ³ </t>
    </r>
  </si>
  <si>
    <r>
      <rPr>
        <b/>
        <sz val="16"/>
        <rFont val="Limon S1"/>
      </rPr>
      <t>ry³eBlRtUvraykarN_</t>
    </r>
    <r>
      <rPr>
        <sz val="16"/>
        <rFont val="Limon S1"/>
      </rPr>
      <t>¼</t>
    </r>
    <r>
      <rPr>
        <sz val="10"/>
        <rFont val="Arial"/>
        <family val="2"/>
      </rPr>
      <t>Reporting Period</t>
    </r>
    <r>
      <rPr>
        <sz val="16"/>
        <rFont val="Limon S1"/>
      </rPr>
      <t xml:space="preserve"> ³ </t>
    </r>
  </si>
  <si>
    <t>r)aykarN_ry³eBlmUldæan sþIBIR)ak;bRmugkatBVkic©CaduløarGaemrik nigrUbiyb½NÑepSg²KitCaduløarGaemrik</t>
  </si>
  <si>
    <t>PñMeBj éf¶TI      Ex         qñaM2009</t>
  </si>
  <si>
    <t>PñMeBj éf¶TI        Ex              qñaM2009</t>
  </si>
  <si>
    <t>PñMeBj éf¶TI          Ex              qñaM2009</t>
  </si>
  <si>
    <t>Report of Base Period on Reserve Requirement in USD and Other Currencies Converted into USD</t>
  </si>
  <si>
    <t>kUeLaneRcInGacRtUvbEnßmsRmab;rUbiyb½NÑepSg²eTAtamRbtibtþikarrbs;RKwHsßan</t>
  </si>
  <si>
    <r>
      <t xml:space="preserve">* </t>
    </r>
    <r>
      <rPr>
        <b/>
        <u/>
        <sz val="16"/>
        <rFont val="Limon S1"/>
      </rPr>
      <t>kMNt;smÁal</t>
    </r>
    <r>
      <rPr>
        <b/>
        <u/>
        <sz val="14"/>
        <rFont val="Limon S1"/>
      </rPr>
      <t>;;¼</t>
    </r>
    <r>
      <rPr>
        <b/>
        <u/>
        <sz val="8.5"/>
        <rFont val="MS Sans Serif"/>
        <family val="2"/>
      </rPr>
      <t>Note</t>
    </r>
    <r>
      <rPr>
        <b/>
        <sz val="10"/>
        <rFont val="MS Sans Serif"/>
        <family val="2"/>
      </rPr>
      <t>:</t>
    </r>
  </si>
  <si>
    <r>
      <t xml:space="preserve">mFümRbcaMéf¶ 
</t>
    </r>
    <r>
      <rPr>
        <sz val="10"/>
        <rFont val="Arial"/>
        <family val="2"/>
      </rPr>
      <t>Daily Average</t>
    </r>
  </si>
  <si>
    <t>tarageRcInGacRtUvbegáItsRmab;rUbiyb½NÑepSg²eTAtamRbtibtþikarrbs;RKwHsßan</t>
  </si>
  <si>
    <t>There will be additional table as needed for each of the foreign currencies the Institutions transact in</t>
  </si>
  <si>
    <r>
      <t xml:space="preserve">* </t>
    </r>
    <r>
      <rPr>
        <b/>
        <sz val="16"/>
        <rFont val="Limon S1"/>
      </rPr>
      <t>kMNt;smÁal;¼</t>
    </r>
    <r>
      <rPr>
        <b/>
        <sz val="10"/>
        <rFont val="MS Sans Serif"/>
        <family val="2"/>
      </rPr>
      <t>Note:</t>
    </r>
  </si>
  <si>
    <t>There will be additional columns as needed for each of the Foreign Currencies the Institutions transact in</t>
  </si>
  <si>
    <r>
      <t xml:space="preserve">R)ak;bRmugkatBVkic©Gb,brmaCa&gt;&gt;&gt; KitCaduløarGaemrik </t>
    </r>
    <r>
      <rPr>
        <sz val="10"/>
        <rFont val="Arial"/>
        <family val="2"/>
      </rPr>
      <t>Mi</t>
    </r>
    <r>
      <rPr>
        <sz val="8"/>
        <rFont val="Arial"/>
        <family val="2"/>
      </rPr>
      <t xml:space="preserve">nimum reserve requirements converted into USD </t>
    </r>
  </si>
  <si>
    <t>r)aykarN_ry³eBlmUldæan sþIBI R)ak;bRmugkatBVkic©Caerol</t>
  </si>
  <si>
    <r>
      <rPr>
        <b/>
        <sz val="16"/>
        <rFont val="Limon S1"/>
      </rPr>
      <t>ry³eBltmál;</t>
    </r>
    <r>
      <rPr>
        <sz val="16"/>
        <rFont val="Limon S1"/>
      </rPr>
      <t>¼</t>
    </r>
    <r>
      <rPr>
        <sz val="10"/>
        <rFont val="Arial"/>
        <family val="2"/>
      </rPr>
      <t xml:space="preserve">Maintenance Period </t>
    </r>
    <r>
      <rPr>
        <sz val="16"/>
        <rFont val="Limon S1"/>
      </rPr>
      <t xml:space="preserve">³ </t>
    </r>
  </si>
  <si>
    <t>Deposits and other borrowings Base in Riel</t>
  </si>
  <si>
    <t>R)ak;beBaØInigR)ak;km©IepSg²Caerol</t>
  </si>
  <si>
    <t>Deposits and other borrowings base in USD</t>
  </si>
  <si>
    <t>R)ak;beBaØInigR)ak;km©IepSg² CaduløarGaemrik</t>
  </si>
  <si>
    <t>R)ak;beBaØInigR)ak;km©IepSg² CaGWr:U KitCaduløarGaemrik</t>
  </si>
  <si>
    <t>Deposits and other borrowings base in EUR Converted into USD</t>
  </si>
  <si>
    <t>Deposits and other borrowings base in THB Converted into USD</t>
  </si>
  <si>
    <t>R)ak;beBaØInigR)ak;km©IepSg² Caéf)atKitCaduløarGaemrik</t>
  </si>
  <si>
    <t>R)ak;beBaØInigR)ak;km©IepSg² Ca&gt;&gt;&gt;&gt;KitCaduløarGaemrik</t>
  </si>
  <si>
    <t xml:space="preserve">Deposits and other borrowings base in ... Converted into USD * </t>
  </si>
  <si>
    <t>srubR)ak;beBaØInigR)ak;km©IepSg²KitCaduløarGaemrik</t>
  </si>
  <si>
    <t>Total Deposits and other borrowings Base Converted into USD</t>
  </si>
  <si>
    <t>R)ak;beBaØInigR)ak;km©IepSg²Ca&gt;&gt;&gt;</t>
  </si>
  <si>
    <t>Deposits and other borrowings base in …</t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</si>
  <si>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</si>
  <si>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 xml:space="preserve">kRmitkMNt;katBVkic©RbcaMéf¶ ¬80°¦ </t>
    </r>
    <r>
      <rPr>
        <sz val="10"/>
        <rFont val="Arial"/>
        <family val="2"/>
      </rPr>
      <t>Daily Compulsory Threshold (80%)</t>
    </r>
  </si>
  <si>
    <r>
      <t>kRmitkMNt;katBVkic©RbcaMéf¶ ¬80°¦</t>
    </r>
    <r>
      <rPr>
        <sz val="10"/>
        <rFont val="Arial"/>
        <family val="2"/>
      </rPr>
      <t xml:space="preserve"> Daily Compulsory Threshold (80%)</t>
    </r>
  </si>
  <si>
    <r>
      <t xml:space="preserve">GRtaR)ak;bRmugkatBVkic© ¬12°¦ </t>
    </r>
    <r>
      <rPr>
        <sz val="10"/>
        <rFont val="Arial"/>
        <family val="2"/>
      </rPr>
      <t>Reserve Requirement Rate (12%)</t>
    </r>
  </si>
  <si>
    <r>
      <t xml:space="preserve">R)ak;bRmugkatBVkic©Gb,brma </t>
    </r>
    <r>
      <rPr>
        <sz val="14"/>
        <rFont val="Limon S1"/>
      </rPr>
      <t xml:space="preserve">¬mFümRbcaMéf¶ </t>
    </r>
    <r>
      <rPr>
        <sz val="9"/>
        <rFont val="Arial"/>
        <family val="2"/>
      </rPr>
      <t>×</t>
    </r>
    <r>
      <rPr>
        <sz val="14"/>
        <rFont val="Limon S1"/>
      </rPr>
      <t xml:space="preserve"> 12°¦ 
</t>
    </r>
    <r>
      <rPr>
        <sz val="8"/>
        <rFont val="Arial"/>
        <family val="2"/>
      </rPr>
      <t xml:space="preserve">Minimum reserve requirement (Daily Average </t>
    </r>
    <r>
      <rPr>
        <sz val="8"/>
        <rFont val="Arial"/>
        <family val="2"/>
      </rPr>
      <t>×</t>
    </r>
    <r>
      <rPr>
        <sz val="8"/>
        <rFont val="Arial"/>
        <family val="2"/>
      </rPr>
      <t xml:space="preserve"> 12%)</t>
    </r>
  </si>
  <si>
    <t>tarag ³ 1 k</t>
  </si>
  <si>
    <t>Table: 1 A</t>
  </si>
  <si>
    <t>tarag ³ 1 x</t>
  </si>
  <si>
    <t>Table: 1 B</t>
  </si>
  <si>
    <t>tarag ³ 1 x - 04</t>
  </si>
  <si>
    <t>Table: 1 B - 04</t>
  </si>
  <si>
    <t>tarag ³ 1 x - 01</t>
  </si>
  <si>
    <t>Table: 1 B - 01</t>
  </si>
  <si>
    <r>
      <t xml:space="preserve">R)ak;bRmugkatBVkic©Gb,brmaCaduløarGaemrik </t>
    </r>
    <r>
      <rPr>
        <sz val="16"/>
        <rFont val="Limon S1"/>
      </rPr>
      <t>¬TMrg;³ 1x01÷1x02÷1x03÷1x04÷&gt;&gt;&gt;¦</t>
    </r>
    <r>
      <rPr>
        <sz val="16"/>
        <rFont val="Limon R1"/>
      </rPr>
      <t xml:space="preserve"> 
</t>
    </r>
    <r>
      <rPr>
        <sz val="10"/>
        <rFont val="Arial"/>
        <family val="2"/>
      </rPr>
      <t>Minimum reserve requirements In USD (Form: 1B01+1B02+1B03+1B04+…+1B10)</t>
    </r>
  </si>
  <si>
    <r>
      <t>r)aykarN_ry³eBlmUldæan sþIBIR)ak;bRmugkatBVkic©KitCaduløarGaemrik</t>
    </r>
    <r>
      <rPr>
        <sz val="16"/>
        <rFont val="Arial"/>
        <family val="2"/>
      </rPr>
      <t xml:space="preserve"> *</t>
    </r>
  </si>
  <si>
    <t>Report of Base Period on Reserve Requirement in USD *</t>
  </si>
  <si>
    <t>Table: 1 B - 02</t>
  </si>
  <si>
    <t>tarag ³ 1 x - 02</t>
  </si>
  <si>
    <t>Table: 1 B - 03</t>
  </si>
  <si>
    <t>tarag ³ 1 x - 03</t>
  </si>
  <si>
    <t>Table: 1 B - 05</t>
  </si>
  <si>
    <t>tarag ³ 1 x - 05</t>
  </si>
  <si>
    <t>Table: 1 B - 10</t>
  </si>
  <si>
    <t>tarag ³ 1 x - 10</t>
  </si>
  <si>
    <t>tarag ³ 1 x - 09</t>
  </si>
  <si>
    <t>Table: 1 B - 09</t>
  </si>
  <si>
    <t>Table: 1 B - 08</t>
  </si>
  <si>
    <t>tarag ³ 1 x - 08</t>
  </si>
  <si>
    <t>Table: 1 B - 07</t>
  </si>
  <si>
    <t>tarag ³ 1 x - 07</t>
  </si>
  <si>
    <t>Table: 1 B - 06</t>
  </si>
  <si>
    <t>tarag ³ 1 x - 06</t>
  </si>
  <si>
    <t>Daily Exchan. Rate .../AUD</t>
  </si>
  <si>
    <t>GRtabþÚrRbcaMéf¶
&gt;&gt;&gt;&gt;¼duløarGURsþalI</t>
  </si>
  <si>
    <t>GRtabþÚrRbcaMéf¶
&gt;&gt;&gt;&gt;¼GuWr:U</t>
  </si>
  <si>
    <t>Daily Exchan. Rate .../EUR</t>
  </si>
  <si>
    <t>GRtabþÚrRbcaMéf¶
&gt;&gt;&gt;&gt;¼epanGg;eKøs</t>
  </si>
  <si>
    <t>Daily Exchan. Rate .../GBP</t>
  </si>
  <si>
    <r>
      <t>r)aykarN_ry³eBlmUldæan sþIBIR)ak;bRmugkatBVkic©Ca)atéf KitCaduløøarGaemrik</t>
    </r>
    <r>
      <rPr>
        <sz val="16"/>
        <rFont val="Arial"/>
        <family val="2"/>
      </rPr>
      <t xml:space="preserve"> *</t>
    </r>
  </si>
  <si>
    <t>Report of Base Period on Reserve Requirement in THB  Coverted into USDollar*</t>
  </si>
  <si>
    <r>
      <t>r)aykarN_ry³eBlmUldæan sþIBIR)ak;bRmugkatBVkic©CaduløarGURsþalI KitCaduløøarGaemrik</t>
    </r>
    <r>
      <rPr>
        <sz val="16"/>
        <rFont val="Arial"/>
        <family val="2"/>
      </rPr>
      <t xml:space="preserve"> *</t>
    </r>
  </si>
  <si>
    <t>Report of Base Period on Reserve Requirement in AUD Converted into USDollar *</t>
  </si>
  <si>
    <r>
      <t>r)aykarN_ry³eBlmUldæan sþIBIR)ak;bRmugkatBVkic©CaGuWr:U KitCaduløøarGaemrik</t>
    </r>
    <r>
      <rPr>
        <sz val="16"/>
        <rFont val="Arial"/>
        <family val="2"/>
      </rPr>
      <t xml:space="preserve"> *</t>
    </r>
  </si>
  <si>
    <t>Report of Base Period on Reserve Requirement in EUR Converted into USDollar *</t>
  </si>
  <si>
    <r>
      <t>r)aykarN_ry³eBlmUldæan sþIBIR)ak;bRmugkatBVkic©epanGg;eKøs KitCaduløøarGaemrik</t>
    </r>
    <r>
      <rPr>
        <sz val="16"/>
        <rFont val="Arial"/>
        <family val="2"/>
      </rPr>
      <t xml:space="preserve"> *</t>
    </r>
  </si>
  <si>
    <t>Report of Base Period on Reserve Requirement in GBP Converted into USDollar *</t>
  </si>
  <si>
    <r>
      <t>r)aykarN_ry³eBlmUldæan sþIBIR)ak;bRmugkatBVkic©CaduløarsaMghÁaBYr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</si>
  <si>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SGD Converted into USDollar *</t>
  </si>
  <si>
    <r>
      <t>r)aykarN_ry³eBlmUldæan sþIBIR)ak;bRmugkatBVkicCaeynCb:un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</si>
  <si>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JPY Converted into USDollar *</t>
  </si>
  <si>
    <r>
      <t>r)aykarN_ry³eBlmUldæan sþIBIR)ak;bRmugkatBVkic©duløarhugkug KitCaduløøarGaemrik</t>
    </r>
    <r>
      <rPr>
        <sz val="16"/>
        <rFont val="Arial"/>
        <family val="2"/>
      </rPr>
      <t xml:space="preserve"> *</t>
    </r>
  </si>
  <si>
    <t>Report of Base Period on Reserve Requirement in HKD Converted into USDollar *</t>
  </si>
  <si>
    <r>
      <t>r)aykarN_ry³eBlmUldæan sþIBIR)ak;bRmugkatBVkic©duløarkaNada</t>
    </r>
    <r>
      <rPr>
        <sz val="16"/>
        <rFont val="Arial"/>
        <family val="2"/>
      </rPr>
      <t xml:space="preserve"> </t>
    </r>
    <r>
      <rPr>
        <sz val="22"/>
        <rFont val="Limon R1"/>
      </rPr>
      <t>KitCaduløøarGaemrik</t>
    </r>
    <r>
      <rPr>
        <sz val="16"/>
        <rFont val="Arial"/>
        <family val="2"/>
      </rPr>
      <t>*</t>
    </r>
  </si>
  <si>
    <t>Report of Base Period on Reserve Requirement in CAD Converted into USDollar *</t>
  </si>
  <si>
    <r>
      <t>r)aykarN_ry³eBlmUldæan sþIBIR)ak;bRmugkatBVkic©Caeb:sUhVIlIBIn KitCaduløøarGaemrik</t>
    </r>
    <r>
      <rPr>
        <sz val="16"/>
        <rFont val="Arial"/>
        <family val="2"/>
      </rPr>
      <t xml:space="preserve"> *</t>
    </r>
  </si>
  <si>
    <t>Report of Base Period on Reserve Requirement in PHP Converted into USDollar *</t>
  </si>
  <si>
    <t>srubKitCadulaør</t>
  </si>
  <si>
    <t>GRtabþÚrRbcaMéf¶
&gt;&gt;&gt;&gt;¼dulaør</t>
  </si>
  <si>
    <t>GRtabþÚrRbcaMéf¶
&gt;&gt;&gt;&gt;¼duløar</t>
  </si>
  <si>
    <r>
      <t>r)aykarN_ry³eBlmUldæan sþIBIR)ak;bRmugkatBVkic©CaevotNamdug KitCaduløøarGaemrik</t>
    </r>
    <r>
      <rPr>
        <sz val="16"/>
        <rFont val="Arial"/>
        <family val="2"/>
      </rPr>
      <t xml:space="preserve"> *</t>
    </r>
  </si>
  <si>
    <t>Report of Base Period on Reserve Requirement in VND Converted into USDollar *</t>
  </si>
  <si>
    <t>tarag ³ 1 x - 11</t>
  </si>
  <si>
    <t>Table: 1 B - 11</t>
  </si>
  <si>
    <r>
      <t>r)aykarN_ry³eBlmUldæan sþIBIR)ak;bRmugkatBVkic©Caeyn cin KitCaduløøarGaemrik</t>
    </r>
    <r>
      <rPr>
        <sz val="16"/>
        <rFont val="Arial"/>
        <family val="2"/>
      </rPr>
      <t xml:space="preserve"> *</t>
    </r>
  </si>
  <si>
    <t>Report of Base Period on Reserve Requirement in CNY Converted into USDollar *</t>
  </si>
  <si>
    <t>tarag ³ 1 x - 12</t>
  </si>
  <si>
    <t>Table: 1 B - 12</t>
  </si>
  <si>
    <t>Please Enable Your Macro to use all the sheets</t>
  </si>
  <si>
    <t>Instruction to Enable Macro:</t>
  </si>
  <si>
    <r>
      <t xml:space="preserve">1. Click the </t>
    </r>
    <r>
      <rPr>
        <b/>
        <sz val="12"/>
        <color theme="1"/>
        <rFont val="Calibri"/>
        <family val="2"/>
        <scheme val="minor"/>
      </rPr>
      <t>Microsoft Office Button or Click File(Excel 2010)</t>
    </r>
  </si>
  <si>
    <r>
      <t xml:space="preserve">then Click  </t>
    </r>
    <r>
      <rPr>
        <b/>
        <sz val="12"/>
        <color theme="1"/>
        <rFont val="Calibri"/>
        <family val="2"/>
        <scheme val="minor"/>
      </rPr>
      <t>Excel Option</t>
    </r>
  </si>
  <si>
    <r>
      <t xml:space="preserve">2. Click </t>
    </r>
    <r>
      <rPr>
        <b/>
        <sz val="12"/>
        <color theme="1"/>
        <rFont val="Calibri"/>
        <family val="2"/>
        <scheme val="minor"/>
      </rPr>
      <t>Trust Center</t>
    </r>
    <r>
      <rPr>
        <sz val="12"/>
        <color theme="1"/>
        <rFont val="Calibri"/>
        <family val="2"/>
        <scheme val="minor"/>
      </rPr>
      <t xml:space="preserve">, click </t>
    </r>
    <r>
      <rPr>
        <b/>
        <sz val="12"/>
        <color theme="1"/>
        <rFont val="Calibri"/>
        <family val="2"/>
        <scheme val="minor"/>
      </rPr>
      <t>Trust Center Settings</t>
    </r>
    <r>
      <rPr>
        <sz val="12"/>
        <color theme="1"/>
        <rFont val="Calibri"/>
        <family val="2"/>
        <scheme val="minor"/>
      </rPr>
      <t xml:space="preserve">, and then click </t>
    </r>
    <r>
      <rPr>
        <b/>
        <sz val="12"/>
        <color theme="1"/>
        <rFont val="Calibri"/>
        <family val="2"/>
        <scheme val="minor"/>
      </rPr>
      <t>Macro Settings</t>
    </r>
    <r>
      <rPr>
        <sz val="12"/>
        <color theme="1"/>
        <rFont val="Calibri"/>
        <family val="2"/>
        <scheme val="minor"/>
      </rPr>
      <t>.</t>
    </r>
  </si>
  <si>
    <t>3. Click the options that you you need:</t>
  </si>
  <si>
    <r>
      <t>a-Choose-Enable all macros (not recommended, potentially dangerous code can run)</t>
    </r>
    <r>
      <rPr>
        <sz val="12"/>
        <color theme="1"/>
        <rFont val="Calibri"/>
        <family val="2"/>
        <scheme val="minor"/>
      </rPr>
      <t> Click this option to allow all macros to run.</t>
    </r>
  </si>
  <si>
    <t xml:space="preserve"> This setting makes your computer vulnerable to potentially malicious code and is not recommended.</t>
  </si>
  <si>
    <r>
      <t xml:space="preserve">b-Tick on </t>
    </r>
    <r>
      <rPr>
        <b/>
        <sz val="12"/>
        <color theme="1"/>
        <rFont val="Calibri"/>
        <family val="2"/>
        <scheme val="minor"/>
      </rPr>
      <t xml:space="preserve">Trust access to the VBA project object model  </t>
    </r>
  </si>
  <si>
    <t>c- Reopen your excel file to enable the macro</t>
  </si>
  <si>
    <t>Note: we need to enable macro to prevert  any copying from the original templates..</t>
  </si>
  <si>
    <r>
      <t>r)aykarN_ry³eBlmUldæan sþIBIR)ak;bRmugkatBVkic©&gt;&gt;&gt;&gt;&gt;&gt;&gt;&gt;&gt;&gt;&gt;&gt;&gt;&gt;&gt;&gt; KitCaduløøarGaemrik</t>
    </r>
    <r>
      <rPr>
        <sz val="16"/>
        <rFont val="Arial"/>
        <family val="2"/>
      </rPr>
      <t xml:space="preserve"> *</t>
    </r>
  </si>
  <si>
    <t>Report of Base Period on Reserve Requirement in …………... Converted into USDollar *</t>
  </si>
  <si>
    <t>tarag ³ 1 x - 13</t>
  </si>
  <si>
    <t>Table: 1 B - 13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</si>
</sst>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3" formatCode="_(* #,##0.00_);_(* \(#,##0.00\);_(* &quot;-&quot;??_);_(@_)"/>
    <numFmt numFmtId="164" formatCode="0.0%"/>
  </numFmts>
  <fonts count="48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16"/>
      <name val="Limon S3"/>
    </font>
    <font>
      <b/>
      <sz val="18"/>
      <name val="Limon S3"/>
    </font>
    <font>
      <b/>
      <sz val="16"/>
      <name val="Limon R1"/>
    </font>
    <font>
      <sz val="18"/>
      <name val="Limon R1"/>
    </font>
    <font>
      <sz val="10"/>
      <name val="Arial"/>
      <family val="2"/>
    </font>
    <font>
      <sz val="16"/>
      <name val="Limon S1"/>
    </font>
    <font>
      <sz val="16"/>
      <name val="Limon R1"/>
    </font>
    <font>
      <b/>
      <sz val="10"/>
      <name val="Arial"/>
      <family val="2"/>
    </font>
    <font>
      <u/>
      <sz val="10"/>
      <name val="Arial"/>
      <family val="2"/>
    </font>
    <font>
      <sz val="20"/>
      <name val="Limon R1"/>
    </font>
    <font>
      <sz val="9"/>
      <name val="Arial"/>
      <family val="2"/>
    </font>
    <font>
      <sz val="16"/>
      <name val="Arial"/>
      <family val="2"/>
    </font>
    <font>
      <sz val="10"/>
      <color indexed="16"/>
      <name val="Arial"/>
      <family val="2"/>
    </font>
    <font>
      <u/>
      <sz val="18"/>
      <name val="Limon S1"/>
    </font>
    <font>
      <sz val="18"/>
      <name val="Limon S1"/>
    </font>
    <font>
      <sz val="10"/>
      <name val="MS Sans Serif"/>
      <family val="2"/>
    </font>
    <font>
      <sz val="22"/>
      <name val="Limon R1"/>
    </font>
    <font>
      <b/>
      <sz val="16"/>
      <name val="Limon S1"/>
    </font>
    <font>
      <sz val="12"/>
      <name val="Arial"/>
      <family val="2"/>
    </font>
    <font>
      <sz val="20"/>
      <name val="Limon S1"/>
    </font>
    <font>
      <u/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MS Sans Serif"/>
      <family val="2"/>
    </font>
    <font>
      <i/>
      <sz val="8.5"/>
      <name val="MS Sans Serif"/>
      <family val="2"/>
    </font>
    <font>
      <sz val="8.5"/>
      <name val="MS Sans Serif"/>
      <family val="2"/>
    </font>
    <font>
      <sz val="14"/>
      <name val="Limon S1"/>
    </font>
    <font>
      <i/>
      <sz val="14"/>
      <name val="Limon S1"/>
    </font>
    <font>
      <b/>
      <u/>
      <sz val="16"/>
      <name val="Limon S1"/>
    </font>
    <font>
      <b/>
      <u/>
      <sz val="14"/>
      <name val="Limon S1"/>
    </font>
    <font>
      <b/>
      <u/>
      <sz val="8.5"/>
      <name val="MS Sans Serif"/>
      <family val="2"/>
    </font>
    <font>
      <b/>
      <sz val="14"/>
      <name val="Limon S1"/>
    </font>
    <font>
      <b/>
      <sz val="16"/>
      <name val="Limon S3"/>
    </font>
    <font>
      <sz val="10"/>
      <name val="MS Sans Serif"/>
    </font>
    <font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S Sans Serif"/>
      <family val="2"/>
    </font>
    <font>
      <u/>
      <sz val="10"/>
      <color theme="10"/>
      <name val="MS Sans Serif"/>
      <family val="2"/>
    </font>
    <font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name val="Cambria"/>
      <family val="1"/>
      <scheme val="major"/>
    </font>
    <font>
      <sz val="14"/>
      <name val="MS Sans Serif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68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6">
    <xf numFmtId="0" fontId="0" fillId="0" borderId="0"/>
    <xf numFmtId="8" fontId="2" fillId="0" borderId="0" applyFont="0" applyFill="0" applyBorder="0" applyAlignment="0" applyProtection="0"/>
    <xf numFmtId="0" fontId="2" fillId="0" borderId="0"/>
    <xf numFmtId="4" fontId="2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43" fillId="0" borderId="0" applyNumberFormat="0" applyFill="0" applyBorder="0" applyAlignment="0" applyProtection="0"/>
  </cellStyleXfs>
  <cellXfs count="230">
    <xf numFmtId="0" fontId="0" fillId="0" borderId="0" xfId="0"/>
    <xf numFmtId="0" fontId="3" fillId="0" borderId="0" xfId="0" applyFont="1"/>
    <xf numFmtId="0" fontId="3" fillId="0" borderId="0" xfId="0" applyFont="1" applyBorder="1"/>
    <xf numFmtId="0" fontId="14" fillId="0" borderId="0" xfId="0" applyFont="1"/>
    <xf numFmtId="43" fontId="10" fillId="2" borderId="1" xfId="0" applyNumberFormat="1" applyFont="1" applyFill="1" applyBorder="1" applyAlignment="1">
      <alignment horizontal="center" vertical="center"/>
    </xf>
    <xf numFmtId="43" fontId="10" fillId="3" borderId="2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43" fontId="10" fillId="2" borderId="3" xfId="0" applyNumberFormat="1" applyFont="1" applyFill="1" applyBorder="1" applyAlignment="1">
      <alignment horizontal="center" vertical="center"/>
    </xf>
    <xf numFmtId="43" fontId="10" fillId="3" borderId="4" xfId="0" applyNumberFormat="1" applyFont="1" applyFill="1" applyBorder="1" applyAlignment="1">
      <alignment horizontal="center" vertical="center"/>
    </xf>
    <xf numFmtId="43" fontId="10" fillId="4" borderId="5" xfId="0" applyNumberFormat="1" applyFont="1" applyFill="1" applyBorder="1" applyAlignment="1">
      <alignment horizontal="center" vertical="center"/>
    </xf>
    <xf numFmtId="43" fontId="10" fillId="4" borderId="6" xfId="0" applyNumberFormat="1" applyFont="1" applyFill="1" applyBorder="1" applyAlignment="1">
      <alignment horizontal="center" vertical="center"/>
    </xf>
    <xf numFmtId="43" fontId="10" fillId="3" borderId="7" xfId="0" applyNumberFormat="1" applyFont="1" applyFill="1" applyBorder="1" applyAlignment="1">
      <alignment horizontal="center" vertical="center"/>
    </xf>
    <xf numFmtId="43" fontId="10" fillId="2" borderId="8" xfId="0" applyNumberFormat="1" applyFont="1" applyFill="1" applyBorder="1" applyAlignment="1">
      <alignment horizontal="center" vertical="center"/>
    </xf>
    <xf numFmtId="43" fontId="10" fillId="2" borderId="9" xfId="0" applyNumberFormat="1" applyFont="1" applyFill="1" applyBorder="1" applyAlignment="1">
      <alignment horizontal="center" vertical="center"/>
    </xf>
    <xf numFmtId="43" fontId="10" fillId="2" borderId="10" xfId="0" applyNumberFormat="1" applyFont="1" applyFill="1" applyBorder="1" applyAlignment="1">
      <alignment horizontal="center" vertical="center"/>
    </xf>
    <xf numFmtId="43" fontId="10" fillId="3" borderId="11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center" wrapText="1"/>
    </xf>
    <xf numFmtId="43" fontId="10" fillId="3" borderId="14" xfId="0" applyNumberFormat="1" applyFont="1" applyFill="1" applyBorder="1" applyAlignment="1">
      <alignment horizontal="center" vertical="center"/>
    </xf>
    <xf numFmtId="43" fontId="10" fillId="3" borderId="15" xfId="0" applyNumberFormat="1" applyFont="1" applyFill="1" applyBorder="1" applyAlignment="1">
      <alignment horizontal="center" vertical="center"/>
    </xf>
    <xf numFmtId="8" fontId="10" fillId="2" borderId="9" xfId="1" applyFont="1" applyFill="1" applyBorder="1" applyAlignment="1">
      <alignment horizontal="right" vertical="center"/>
    </xf>
    <xf numFmtId="8" fontId="10" fillId="3" borderId="16" xfId="1" applyFont="1" applyFill="1" applyBorder="1" applyAlignment="1">
      <alignment horizontal="right" vertical="center"/>
    </xf>
    <xf numFmtId="43" fontId="10" fillId="2" borderId="17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/>
    </xf>
    <xf numFmtId="0" fontId="6" fillId="5" borderId="20" xfId="0" applyFont="1" applyFill="1" applyBorder="1" applyAlignment="1">
      <alignment horizontal="center" wrapText="1"/>
    </xf>
    <xf numFmtId="43" fontId="10" fillId="3" borderId="21" xfId="0" applyNumberFormat="1" applyFont="1" applyFill="1" applyBorder="1" applyAlignment="1">
      <alignment horizontal="center" vertical="center"/>
    </xf>
    <xf numFmtId="43" fontId="10" fillId="5" borderId="22" xfId="0" applyNumberFormat="1" applyFont="1" applyFill="1" applyBorder="1" applyAlignment="1">
      <alignment vertical="center"/>
    </xf>
    <xf numFmtId="43" fontId="10" fillId="5" borderId="6" xfId="0" applyNumberFormat="1" applyFont="1" applyFill="1" applyBorder="1" applyAlignment="1">
      <alignment vertical="center"/>
    </xf>
    <xf numFmtId="43" fontId="7" fillId="0" borderId="0" xfId="0" applyNumberFormat="1" applyFont="1"/>
    <xf numFmtId="8" fontId="10" fillId="4" borderId="5" xfId="1" applyFont="1" applyFill="1" applyBorder="1"/>
    <xf numFmtId="0" fontId="34" fillId="5" borderId="20" xfId="0" applyFont="1" applyFill="1" applyBorder="1" applyAlignment="1">
      <alignment horizontal="center" wrapText="1"/>
    </xf>
    <xf numFmtId="0" fontId="8" fillId="0" borderId="0" xfId="0" applyFont="1" applyAlignment="1" applyProtection="1">
      <alignment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vertical="top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top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Fill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15" fontId="7" fillId="0" borderId="36" xfId="0" applyNumberFormat="1" applyFont="1" applyFill="1" applyBorder="1" applyAlignment="1" applyProtection="1">
      <alignment vertical="center"/>
      <protection locked="0"/>
    </xf>
    <xf numFmtId="0" fontId="8" fillId="6" borderId="37" xfId="0" applyFont="1" applyFill="1" applyBorder="1" applyAlignment="1">
      <alignment horizontal="center" vertical="center"/>
    </xf>
    <xf numFmtId="0" fontId="8" fillId="6" borderId="40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42" xfId="0" applyFont="1" applyFill="1" applyBorder="1" applyAlignment="1">
      <alignment horizontal="center" vertical="center"/>
    </xf>
    <xf numFmtId="0" fontId="20" fillId="6" borderId="43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  <xf numFmtId="0" fontId="10" fillId="6" borderId="44" xfId="0" applyFont="1" applyFill="1" applyBorder="1" applyAlignment="1">
      <alignment horizontal="center" vertical="center"/>
    </xf>
    <xf numFmtId="1" fontId="7" fillId="6" borderId="45" xfId="0" applyNumberFormat="1" applyFont="1" applyFill="1" applyBorder="1" applyAlignment="1" applyProtection="1">
      <alignment horizontal="center"/>
    </xf>
    <xf numFmtId="3" fontId="7" fillId="6" borderId="46" xfId="0" applyNumberFormat="1" applyFont="1" applyFill="1" applyBorder="1" applyAlignment="1">
      <alignment horizontal="center"/>
    </xf>
    <xf numFmtId="3" fontId="7" fillId="6" borderId="47" xfId="0" applyNumberFormat="1" applyFont="1" applyFill="1" applyBorder="1" applyAlignment="1">
      <alignment horizontal="center"/>
    </xf>
    <xf numFmtId="3" fontId="10" fillId="6" borderId="48" xfId="0" applyNumberFormat="1" applyFont="1" applyFill="1" applyBorder="1" applyAlignment="1">
      <alignment horizontal="center"/>
    </xf>
    <xf numFmtId="43" fontId="1" fillId="6" borderId="49" xfId="0" applyNumberFormat="1" applyFont="1" applyFill="1" applyBorder="1" applyAlignment="1">
      <alignment vertical="top"/>
    </xf>
    <xf numFmtId="43" fontId="18" fillId="0" borderId="50" xfId="0" applyNumberFormat="1" applyFont="1" applyFill="1" applyBorder="1" applyAlignment="1" applyProtection="1">
      <alignment horizontal="center" vertical="center"/>
      <protection locked="0"/>
    </xf>
    <xf numFmtId="43" fontId="18" fillId="0" borderId="51" xfId="0" applyNumberFormat="1" applyFont="1" applyFill="1" applyBorder="1" applyAlignment="1" applyProtection="1">
      <alignment horizontal="center" vertical="center"/>
      <protection locked="0"/>
    </xf>
    <xf numFmtId="1" fontId="7" fillId="6" borderId="20" xfId="0" applyNumberFormat="1" applyFont="1" applyFill="1" applyBorder="1" applyAlignment="1" applyProtection="1">
      <alignment horizontal="center"/>
    </xf>
    <xf numFmtId="3" fontId="7" fillId="6" borderId="33" xfId="0" applyNumberFormat="1" applyFont="1" applyFill="1" applyBorder="1" applyAlignment="1">
      <alignment horizontal="center"/>
    </xf>
    <xf numFmtId="3" fontId="15" fillId="6" borderId="28" xfId="0" applyNumberFormat="1" applyFont="1" applyFill="1" applyBorder="1" applyAlignment="1">
      <alignment horizontal="center"/>
    </xf>
    <xf numFmtId="3" fontId="15" fillId="6" borderId="21" xfId="0" applyNumberFormat="1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10" fillId="6" borderId="6" xfId="0" applyFont="1" applyFill="1" applyBorder="1" applyAlignment="1">
      <alignment horizontal="center"/>
    </xf>
    <xf numFmtId="43" fontId="10" fillId="6" borderId="22" xfId="0" applyNumberFormat="1" applyFont="1" applyFill="1" applyBorder="1"/>
    <xf numFmtId="43" fontId="10" fillId="6" borderId="55" xfId="0" applyNumberFormat="1" applyFont="1" applyFill="1" applyBorder="1"/>
    <xf numFmtId="43" fontId="10" fillId="6" borderId="43" xfId="0" applyNumberFormat="1" applyFont="1" applyFill="1" applyBorder="1"/>
    <xf numFmtId="40" fontId="18" fillId="0" borderId="56" xfId="0" applyNumberFormat="1" applyFont="1" applyBorder="1" applyProtection="1">
      <protection locked="0"/>
    </xf>
    <xf numFmtId="40" fontId="7" fillId="0" borderId="42" xfId="0" applyNumberFormat="1" applyFont="1" applyBorder="1" applyProtection="1">
      <protection locked="0"/>
    </xf>
    <xf numFmtId="40" fontId="18" fillId="0" borderId="57" xfId="0" applyNumberFormat="1" applyFont="1" applyBorder="1" applyProtection="1">
      <protection locked="0"/>
    </xf>
    <xf numFmtId="40" fontId="7" fillId="0" borderId="58" xfId="0" applyNumberFormat="1" applyFont="1" applyBorder="1" applyProtection="1">
      <protection locked="0"/>
    </xf>
    <xf numFmtId="15" fontId="7" fillId="0" borderId="59" xfId="0" applyNumberFormat="1" applyFont="1" applyFill="1" applyBorder="1" applyAlignment="1" applyProtection="1">
      <alignment vertical="center"/>
      <protection locked="0"/>
    </xf>
    <xf numFmtId="0" fontId="8" fillId="6" borderId="60" xfId="0" applyFont="1" applyFill="1" applyBorder="1" applyAlignment="1">
      <alignment horizontal="center" vertical="center"/>
    </xf>
    <xf numFmtId="0" fontId="8" fillId="6" borderId="62" xfId="0" applyFont="1" applyFill="1" applyBorder="1" applyAlignment="1">
      <alignment horizontal="center" vertical="center"/>
    </xf>
    <xf numFmtId="0" fontId="7" fillId="6" borderId="62" xfId="0" applyFont="1" applyFill="1" applyBorder="1" applyAlignment="1">
      <alignment horizontal="center" vertical="center"/>
    </xf>
    <xf numFmtId="0" fontId="8" fillId="6" borderId="56" xfId="0" applyFont="1" applyFill="1" applyBorder="1" applyAlignment="1">
      <alignment horizontal="center" vertical="center"/>
    </xf>
    <xf numFmtId="0" fontId="8" fillId="6" borderId="63" xfId="0" applyFont="1" applyFill="1" applyBorder="1" applyAlignment="1">
      <alignment horizontal="center" vertical="center" wrapText="1"/>
    </xf>
    <xf numFmtId="0" fontId="35" fillId="6" borderId="44" xfId="0" applyFont="1" applyFill="1" applyBorder="1" applyAlignment="1">
      <alignment horizontal="center" vertical="center"/>
    </xf>
    <xf numFmtId="0" fontId="7" fillId="6" borderId="4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 vertical="center" wrapText="1"/>
    </xf>
    <xf numFmtId="1" fontId="7" fillId="6" borderId="64" xfId="0" applyNumberFormat="1" applyFont="1" applyFill="1" applyBorder="1" applyAlignment="1" applyProtection="1">
      <alignment horizontal="center"/>
    </xf>
    <xf numFmtId="3" fontId="7" fillId="6" borderId="21" xfId="0" applyNumberFormat="1" applyFont="1" applyFill="1" applyBorder="1" applyAlignment="1">
      <alignment horizontal="center"/>
    </xf>
    <xf numFmtId="3" fontId="7" fillId="6" borderId="65" xfId="0" applyNumberFormat="1" applyFont="1" applyFill="1" applyBorder="1" applyAlignment="1">
      <alignment horizontal="center"/>
    </xf>
    <xf numFmtId="3" fontId="10" fillId="6" borderId="6" xfId="0" applyNumberFormat="1" applyFont="1" applyFill="1" applyBorder="1" applyAlignment="1">
      <alignment horizontal="center"/>
    </xf>
    <xf numFmtId="0" fontId="3" fillId="0" borderId="0" xfId="0" applyFont="1" applyAlignment="1" applyProtection="1">
      <alignment vertical="center"/>
      <protection locked="0"/>
    </xf>
    <xf numFmtId="8" fontId="10" fillId="6" borderId="43" xfId="1" applyFont="1" applyFill="1" applyBorder="1"/>
    <xf numFmtId="15" fontId="7" fillId="0" borderId="66" xfId="0" applyNumberFormat="1" applyFont="1" applyFill="1" applyBorder="1" applyAlignment="1" applyProtection="1">
      <alignment vertical="center"/>
      <protection locked="0"/>
    </xf>
    <xf numFmtId="43" fontId="18" fillId="0" borderId="67" xfId="0" applyNumberFormat="1" applyFont="1" applyFill="1" applyBorder="1" applyAlignment="1" applyProtection="1">
      <alignment horizontal="center" vertical="center"/>
      <protection locked="0"/>
    </xf>
    <xf numFmtId="0" fontId="7" fillId="0" borderId="42" xfId="0" applyFont="1" applyBorder="1" applyAlignment="1" applyProtection="1">
      <alignment horizontal="center"/>
      <protection locked="0"/>
    </xf>
    <xf numFmtId="0" fontId="7" fillId="0" borderId="58" xfId="0" applyFont="1" applyBorder="1" applyAlignment="1" applyProtection="1">
      <alignment horizontal="center"/>
      <protection locked="0"/>
    </xf>
    <xf numFmtId="43" fontId="7" fillId="6" borderId="51" xfId="0" applyNumberFormat="1" applyFont="1" applyFill="1" applyBorder="1" applyAlignment="1">
      <alignment vertical="top"/>
    </xf>
    <xf numFmtId="0" fontId="17" fillId="0" borderId="0" xfId="0" applyFont="1" applyFill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right" vertical="center"/>
      <protection locked="0"/>
    </xf>
    <xf numFmtId="43" fontId="2" fillId="0" borderId="67" xfId="0" applyNumberFormat="1" applyFont="1" applyFill="1" applyBorder="1" applyAlignment="1" applyProtection="1">
      <alignment horizontal="center" vertical="center"/>
      <protection locked="0"/>
    </xf>
    <xf numFmtId="43" fontId="2" fillId="0" borderId="51" xfId="0" applyNumberFormat="1" applyFont="1" applyFill="1" applyBorder="1" applyAlignment="1" applyProtection="1">
      <alignment horizontal="center" vertical="center"/>
      <protection locked="0"/>
    </xf>
    <xf numFmtId="43" fontId="2" fillId="0" borderId="5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right" vertical="top"/>
      <protection locked="0"/>
    </xf>
    <xf numFmtId="0" fontId="11" fillId="0" borderId="0" xfId="0" applyFont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4" fillId="0" borderId="0" xfId="0" applyFont="1" applyProtection="1"/>
    <xf numFmtId="0" fontId="3" fillId="0" borderId="0" xfId="0" applyFont="1" applyProtection="1"/>
    <xf numFmtId="0" fontId="26" fillId="0" borderId="0" xfId="0" applyFont="1" applyProtection="1">
      <protection locked="0"/>
    </xf>
    <xf numFmtId="0" fontId="0" fillId="0" borderId="0" xfId="0" applyBorder="1" applyProtection="1">
      <protection locked="0"/>
    </xf>
    <xf numFmtId="0" fontId="22" fillId="0" borderId="0" xfId="0" applyFont="1" applyAlignment="1" applyProtection="1">
      <protection locked="0"/>
    </xf>
    <xf numFmtId="0" fontId="0" fillId="0" borderId="0" xfId="0" applyProtection="1">
      <protection locked="0"/>
    </xf>
    <xf numFmtId="0" fontId="30" fillId="0" borderId="0" xfId="0" applyFont="1" applyProtection="1"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27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0" xfId="0" applyFont="1" applyBorder="1" applyProtection="1">
      <protection locked="0"/>
    </xf>
    <xf numFmtId="0" fontId="23" fillId="0" borderId="0" xfId="0" applyFont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right" vertical="center"/>
      <protection locked="0"/>
    </xf>
    <xf numFmtId="0" fontId="13" fillId="0" borderId="0" xfId="0" applyFont="1" applyBorder="1" applyAlignment="1" applyProtection="1">
      <alignment horizontal="right" vertical="center"/>
      <protection locked="0"/>
    </xf>
    <xf numFmtId="0" fontId="19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29" fillId="0" borderId="0" xfId="0" applyFont="1" applyProtection="1">
      <protection locked="0"/>
    </xf>
    <xf numFmtId="0" fontId="28" fillId="0" borderId="0" xfId="0" applyFont="1" applyProtection="1">
      <protection locked="0"/>
    </xf>
    <xf numFmtId="8" fontId="10" fillId="6" borderId="6" xfId="1" applyFont="1" applyFill="1" applyBorder="1" applyProtection="1"/>
    <xf numFmtId="0" fontId="7" fillId="6" borderId="42" xfId="0" applyFont="1" applyFill="1" applyBorder="1" applyAlignment="1">
      <alignment horizontal="center" vertical="center" wrapText="1"/>
    </xf>
    <xf numFmtId="9" fontId="7" fillId="4" borderId="6" xfId="4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8" fillId="6" borderId="43" xfId="0" applyFont="1" applyFill="1" applyBorder="1" applyAlignment="1">
      <alignment horizontal="center" vertical="center"/>
    </xf>
    <xf numFmtId="0" fontId="7" fillId="6" borderId="44" xfId="0" applyFont="1" applyFill="1" applyBorder="1" applyAlignment="1">
      <alignment horizontal="center" vertical="center"/>
    </xf>
    <xf numFmtId="3" fontId="7" fillId="6" borderId="6" xfId="0" applyNumberFormat="1" applyFont="1" applyFill="1" applyBorder="1" applyAlignment="1">
      <alignment horizontal="center"/>
    </xf>
    <xf numFmtId="43" fontId="7" fillId="6" borderId="49" xfId="0" applyNumberFormat="1" applyFont="1" applyFill="1" applyBorder="1" applyAlignment="1" applyProtection="1">
      <alignment vertical="top"/>
    </xf>
    <xf numFmtId="43" fontId="10" fillId="3" borderId="41" xfId="0" applyNumberFormat="1" applyFont="1" applyFill="1" applyBorder="1" applyAlignment="1">
      <alignment horizontal="center" vertical="center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8" fillId="6" borderId="63" xfId="0" applyFont="1" applyFill="1" applyBorder="1" applyAlignment="1" applyProtection="1">
      <alignment horizontal="center" vertical="center" wrapText="1"/>
      <protection locked="0"/>
    </xf>
    <xf numFmtId="0" fontId="7" fillId="6" borderId="42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/>
    <xf numFmtId="0" fontId="39" fillId="7" borderId="0" xfId="0" applyFont="1" applyFill="1" applyAlignment="1">
      <alignment horizontal="left" vertical="center" indent="1"/>
    </xf>
    <xf numFmtId="0" fontId="39" fillId="7" borderId="0" xfId="0" applyFont="1" applyFill="1"/>
    <xf numFmtId="0" fontId="41" fillId="7" borderId="0" xfId="0" applyFont="1" applyFill="1"/>
    <xf numFmtId="0" fontId="42" fillId="7" borderId="0" xfId="0" applyFont="1" applyFill="1"/>
    <xf numFmtId="0" fontId="44" fillId="7" borderId="0" xfId="5" applyFont="1" applyFill="1" applyAlignment="1">
      <alignment horizontal="left" vertical="center" indent="2"/>
    </xf>
    <xf numFmtId="0" fontId="45" fillId="7" borderId="0" xfId="0" applyFont="1" applyFill="1" applyAlignment="1">
      <alignment horizontal="left" vertical="center" indent="2"/>
    </xf>
    <xf numFmtId="0" fontId="40" fillId="7" borderId="0" xfId="0" applyFont="1" applyFill="1"/>
    <xf numFmtId="0" fontId="0" fillId="7" borderId="0" xfId="0" applyFill="1"/>
    <xf numFmtId="0" fontId="1" fillId="7" borderId="0" xfId="0" applyFont="1" applyFill="1"/>
    <xf numFmtId="0" fontId="46" fillId="8" borderId="0" xfId="0" applyFont="1" applyFill="1" applyProtection="1">
      <protection locked="0"/>
    </xf>
    <xf numFmtId="0" fontId="47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6" borderId="11" xfId="0" applyFont="1" applyFill="1" applyBorder="1" applyAlignment="1">
      <alignment horizontal="center" vertical="center" wrapText="1"/>
    </xf>
    <xf numFmtId="0" fontId="7" fillId="6" borderId="42" xfId="0" applyFont="1" applyFill="1" applyBorder="1" applyAlignment="1">
      <alignment horizontal="center" vertical="center" wrapText="1"/>
    </xf>
    <xf numFmtId="0" fontId="1" fillId="0" borderId="0" xfId="0" applyFont="1" applyProtection="1">
      <protection locked="0"/>
    </xf>
    <xf numFmtId="43" fontId="10" fillId="4" borderId="5" xfId="0" applyNumberFormat="1" applyFont="1" applyFill="1" applyBorder="1" applyAlignment="1">
      <alignment horizontal="right" vertical="center"/>
    </xf>
    <xf numFmtId="8" fontId="10" fillId="6" borderId="6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center" vertical="center"/>
    </xf>
    <xf numFmtId="0" fontId="24" fillId="0" borderId="0" xfId="0" applyFont="1" applyAlignment="1" applyProtection="1">
      <alignment horizontal="center" vertical="top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9" fillId="6" borderId="38" xfId="0" applyFont="1" applyFill="1" applyBorder="1" applyAlignment="1">
      <alignment horizontal="center" vertical="center"/>
    </xf>
    <xf numFmtId="0" fontId="9" fillId="6" borderId="39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0" fontId="10" fillId="6" borderId="41" xfId="0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/>
      <protection locked="0"/>
    </xf>
    <xf numFmtId="0" fontId="9" fillId="4" borderId="23" xfId="0" applyFont="1" applyFill="1" applyBorder="1" applyAlignment="1">
      <alignment horizontal="center" vertical="center" wrapText="1"/>
    </xf>
    <xf numFmtId="0" fontId="9" fillId="4" borderId="24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right" vertical="center" wrapText="1"/>
    </xf>
    <xf numFmtId="0" fontId="9" fillId="4" borderId="21" xfId="0" applyFont="1" applyFill="1" applyBorder="1" applyAlignment="1">
      <alignment horizontal="right" vertical="center" wrapText="1"/>
    </xf>
    <xf numFmtId="0" fontId="9" fillId="4" borderId="27" xfId="0" applyFont="1" applyFill="1" applyBorder="1" applyAlignment="1">
      <alignment horizontal="right" vertical="center" wrapText="1"/>
    </xf>
    <xf numFmtId="0" fontId="9" fillId="4" borderId="28" xfId="0" applyFont="1" applyFill="1" applyBorder="1" applyAlignment="1">
      <alignment horizontal="right" vertical="center" wrapText="1"/>
    </xf>
    <xf numFmtId="0" fontId="9" fillId="4" borderId="29" xfId="0" applyFont="1" applyFill="1" applyBorder="1" applyAlignment="1">
      <alignment horizontal="right" vertical="center" wrapText="1"/>
    </xf>
    <xf numFmtId="0" fontId="9" fillId="4" borderId="30" xfId="0" applyFont="1" applyFill="1" applyBorder="1" applyAlignment="1">
      <alignment horizontal="right" vertical="center" wrapText="1"/>
    </xf>
    <xf numFmtId="0" fontId="3" fillId="6" borderId="52" xfId="0" applyFont="1" applyFill="1" applyBorder="1" applyAlignment="1">
      <alignment horizontal="center" vertical="center" wrapText="1"/>
    </xf>
    <xf numFmtId="0" fontId="3" fillId="6" borderId="54" xfId="0" applyFont="1" applyFill="1" applyBorder="1" applyAlignment="1">
      <alignment horizontal="center" vertical="center" wrapText="1"/>
    </xf>
    <xf numFmtId="0" fontId="25" fillId="6" borderId="42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right" vertical="center" wrapText="1"/>
    </xf>
    <xf numFmtId="0" fontId="9" fillId="4" borderId="33" xfId="0" applyFont="1" applyFill="1" applyBorder="1" applyAlignment="1">
      <alignment horizontal="right" vertical="center" wrapText="1"/>
    </xf>
    <xf numFmtId="0" fontId="25" fillId="6" borderId="7" xfId="0" applyFont="1" applyFill="1" applyBorder="1" applyAlignment="1">
      <alignment horizontal="center" vertical="center" wrapText="1"/>
    </xf>
    <xf numFmtId="0" fontId="25" fillId="6" borderId="14" xfId="0" applyFont="1" applyFill="1" applyBorder="1" applyAlignment="1">
      <alignment horizontal="center" vertical="center" wrapText="1"/>
    </xf>
    <xf numFmtId="0" fontId="9" fillId="6" borderId="53" xfId="0" applyFont="1" applyFill="1" applyBorder="1" applyAlignment="1">
      <alignment horizontal="center" vertical="center" wrapText="1" shrinkToFit="1"/>
    </xf>
    <xf numFmtId="0" fontId="9" fillId="6" borderId="43" xfId="0" applyFont="1" applyFill="1" applyBorder="1" applyAlignment="1">
      <alignment horizontal="center" vertical="center" wrapText="1" shrinkToFit="1"/>
    </xf>
    <xf numFmtId="0" fontId="10" fillId="6" borderId="43" xfId="0" applyFont="1" applyFill="1" applyBorder="1" applyAlignment="1">
      <alignment horizontal="center" wrapText="1"/>
    </xf>
    <xf numFmtId="0" fontId="7" fillId="6" borderId="42" xfId="0" applyFont="1" applyFill="1" applyBorder="1" applyAlignment="1">
      <alignment horizontal="center" vertical="center" wrapText="1"/>
    </xf>
    <xf numFmtId="0" fontId="9" fillId="6" borderId="61" xfId="0" applyFont="1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4" xfId="0" applyFont="1" applyFill="1" applyBorder="1" applyAlignment="1">
      <alignment horizontal="right" vertical="center" wrapText="1"/>
    </xf>
    <xf numFmtId="0" fontId="9" fillId="4" borderId="35" xfId="0" applyFont="1" applyFill="1" applyBorder="1" applyAlignment="1">
      <alignment horizontal="right" vertical="center" wrapText="1"/>
    </xf>
    <xf numFmtId="0" fontId="9" fillId="4" borderId="26" xfId="0" applyFont="1" applyFill="1" applyBorder="1" applyAlignment="1">
      <alignment horizontal="center" vertical="center" wrapText="1"/>
    </xf>
    <xf numFmtId="0" fontId="9" fillId="4" borderId="21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top"/>
      <protection locked="0"/>
    </xf>
    <xf numFmtId="0" fontId="9" fillId="6" borderId="61" xfId="0" applyFont="1" applyFill="1" applyBorder="1" applyAlignment="1" applyProtection="1">
      <alignment horizontal="center" vertical="center"/>
      <protection locked="0"/>
    </xf>
    <xf numFmtId="0" fontId="9" fillId="6" borderId="38" xfId="0" applyFont="1" applyFill="1" applyBorder="1" applyAlignment="1" applyProtection="1">
      <alignment horizontal="center" vertical="center"/>
      <protection locked="0"/>
    </xf>
    <xf numFmtId="0" fontId="9" fillId="6" borderId="39" xfId="0" applyFont="1" applyFill="1" applyBorder="1" applyAlignment="1" applyProtection="1">
      <alignment horizontal="center" vertical="center"/>
      <protection locked="0"/>
    </xf>
    <xf numFmtId="0" fontId="10" fillId="6" borderId="21" xfId="0" applyFont="1" applyFill="1" applyBorder="1" applyAlignment="1" applyProtection="1">
      <alignment horizontal="center" vertical="center"/>
      <protection locked="0"/>
    </xf>
    <xf numFmtId="0" fontId="10" fillId="6" borderId="6" xfId="0" applyFont="1" applyFill="1" applyBorder="1" applyAlignment="1" applyProtection="1">
      <alignment horizontal="center" vertical="center"/>
      <protection locked="0"/>
    </xf>
    <xf numFmtId="0" fontId="37" fillId="7" borderId="0" xfId="0" applyFont="1" applyFill="1" applyAlignment="1">
      <alignment horizontal="center"/>
    </xf>
    <xf numFmtId="164" fontId="7" fillId="4" borderId="6" xfId="4" applyNumberFormat="1" applyFont="1" applyFill="1" applyBorder="1"/>
  </cellXfs>
  <cellStyles count="6">
    <cellStyle name="Comma 2" xfId="3"/>
    <cellStyle name="Currency" xfId="1" builtinId="4"/>
    <cellStyle name="Hyperlink" xfId="5" builtinId="8"/>
    <cellStyle name="Normal" xfId="0" builtinId="0"/>
    <cellStyle name="Normal 2" xfId="2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4"/>
  </sheetPr>
  <dimension ref="A1:I41"/>
  <sheetViews>
    <sheetView showGridLines="0" zoomScaleSheetLayoutView="100" workbookViewId="0">
      <selection activeCell="H35" sqref="H35"/>
    </sheetView>
  </sheetViews>
  <sheetFormatPr defaultColWidth="0" defaultRowHeight="12.75" zeroHeight="1"/>
  <cols>
    <col min="1" max="1" width="12.42578125" style="112" customWidth="1"/>
    <col min="2" max="6" width="16" style="112" customWidth="1"/>
    <col min="7" max="7" width="17.7109375" style="112" customWidth="1"/>
    <col min="8" max="8" width="9.140625" style="112" customWidth="1"/>
    <col min="9" max="16384" width="0" style="112" hidden="1"/>
  </cols>
  <sheetData>
    <row r="1" spans="1:9" s="107" customFormat="1" ht="29.25" customHeight="1">
      <c r="A1" s="178" t="s">
        <v>57</v>
      </c>
      <c r="B1" s="178"/>
      <c r="C1" s="178"/>
      <c r="D1" s="178"/>
      <c r="E1" s="178"/>
      <c r="F1" s="178"/>
      <c r="G1" s="178"/>
      <c r="H1" s="125"/>
      <c r="I1" s="125"/>
    </row>
    <row r="2" spans="1:9" s="108" customFormat="1" ht="28.5" customHeight="1">
      <c r="A2" s="179" t="s">
        <v>34</v>
      </c>
      <c r="B2" s="179"/>
      <c r="C2" s="179"/>
      <c r="D2" s="179"/>
      <c r="E2" s="179"/>
      <c r="F2" s="179"/>
      <c r="G2" s="179"/>
      <c r="H2" s="126"/>
      <c r="I2" s="126"/>
    </row>
    <row r="3" spans="1:9" s="42" customFormat="1" ht="19.5" customHeight="1">
      <c r="A3" s="34" t="s">
        <v>41</v>
      </c>
      <c r="B3" s="35"/>
      <c r="C3" s="36"/>
      <c r="D3" s="35"/>
      <c r="E3" s="35"/>
      <c r="F3" s="35"/>
      <c r="G3" s="103" t="s">
        <v>78</v>
      </c>
    </row>
    <row r="4" spans="1:9" s="38" customFormat="1" ht="19.5" customHeight="1">
      <c r="A4" s="37" t="s">
        <v>42</v>
      </c>
      <c r="C4" s="39"/>
      <c r="D4" s="40"/>
      <c r="E4" s="40"/>
      <c r="F4" s="40"/>
      <c r="G4" s="122" t="s">
        <v>79</v>
      </c>
    </row>
    <row r="5" spans="1:9" s="42" customFormat="1" ht="19.5" customHeight="1">
      <c r="A5" s="41" t="s">
        <v>58</v>
      </c>
      <c r="C5" s="43"/>
      <c r="E5" s="91"/>
      <c r="F5" s="91"/>
      <c r="G5" s="123" t="s">
        <v>12</v>
      </c>
    </row>
    <row r="6" spans="1:9" s="42" customFormat="1" ht="19.5" customHeight="1" thickBot="1">
      <c r="A6" s="44" t="s">
        <v>43</v>
      </c>
      <c r="C6" s="45"/>
      <c r="E6" s="91"/>
      <c r="F6" s="91"/>
      <c r="G6" s="124" t="s">
        <v>23</v>
      </c>
    </row>
    <row r="7" spans="1:9" s="1" customFormat="1" ht="18.75" customHeight="1" thickTop="1">
      <c r="A7" s="47" t="s">
        <v>1</v>
      </c>
      <c r="B7" s="182" t="s">
        <v>60</v>
      </c>
      <c r="C7" s="182"/>
      <c r="D7" s="182"/>
      <c r="E7" s="182"/>
      <c r="F7" s="182"/>
      <c r="G7" s="183"/>
    </row>
    <row r="8" spans="1:9" s="1" customFormat="1" ht="18.75" customHeight="1">
      <c r="A8" s="48" t="s">
        <v>2</v>
      </c>
      <c r="B8" s="184" t="s">
        <v>59</v>
      </c>
      <c r="C8" s="184"/>
      <c r="D8" s="184"/>
      <c r="E8" s="184"/>
      <c r="F8" s="184"/>
      <c r="G8" s="185"/>
    </row>
    <row r="9" spans="1:9" s="1" customFormat="1" ht="20.25" customHeight="1">
      <c r="A9" s="49" t="s">
        <v>3</v>
      </c>
      <c r="B9" s="50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52" t="s">
        <v>0</v>
      </c>
    </row>
    <row r="10" spans="1:9" s="1" customFormat="1" ht="20.25" customHeight="1">
      <c r="A10" s="49" t="s">
        <v>4</v>
      </c>
      <c r="B10" s="53" t="s">
        <v>17</v>
      </c>
      <c r="C10" s="54" t="s">
        <v>18</v>
      </c>
      <c r="D10" s="54" t="s">
        <v>25</v>
      </c>
      <c r="E10" s="54" t="s">
        <v>19</v>
      </c>
      <c r="F10" s="55" t="s">
        <v>24</v>
      </c>
      <c r="G10" s="56" t="s">
        <v>20</v>
      </c>
    </row>
    <row r="11" spans="1:9" s="3" customFormat="1" ht="15" customHeight="1" thickBot="1">
      <c r="A11" s="57"/>
      <c r="B11" s="58">
        <v>1</v>
      </c>
      <c r="C11" s="59">
        <v>2</v>
      </c>
      <c r="D11" s="59">
        <v>3</v>
      </c>
      <c r="E11" s="59">
        <v>4</v>
      </c>
      <c r="F11" s="59">
        <v>5</v>
      </c>
      <c r="G11" s="60" t="s">
        <v>30</v>
      </c>
    </row>
    <row r="12" spans="1:9" s="1" customFormat="1" ht="16.5" customHeight="1">
      <c r="A12" s="46"/>
      <c r="B12" s="62"/>
      <c r="C12" s="63"/>
      <c r="D12" s="63"/>
      <c r="E12" s="63"/>
      <c r="F12" s="63"/>
      <c r="G12" s="61">
        <f>SUM(B12:F12)</f>
        <v>0</v>
      </c>
    </row>
    <row r="13" spans="1:9" s="1" customFormat="1" ht="16.5" customHeight="1">
      <c r="A13" s="46"/>
      <c r="B13" s="62"/>
      <c r="C13" s="63"/>
      <c r="D13" s="63"/>
      <c r="E13" s="63"/>
      <c r="F13" s="63"/>
      <c r="G13" s="61">
        <f>SUM(B13:F13)</f>
        <v>0</v>
      </c>
    </row>
    <row r="14" spans="1:9" s="1" customFormat="1" ht="16.5" customHeight="1">
      <c r="A14" s="46"/>
      <c r="B14" s="62"/>
      <c r="C14" s="63"/>
      <c r="D14" s="101"/>
      <c r="E14" s="101"/>
      <c r="F14" s="63"/>
      <c r="G14" s="61">
        <f t="shared" ref="G14:G24" si="0">SUM(B14:F14)</f>
        <v>0</v>
      </c>
    </row>
    <row r="15" spans="1:9" s="1" customFormat="1" ht="16.5" customHeight="1">
      <c r="A15" s="46"/>
      <c r="B15" s="62"/>
      <c r="C15" s="63"/>
      <c r="D15" s="63"/>
      <c r="E15" s="63"/>
      <c r="F15" s="63"/>
      <c r="G15" s="61">
        <f t="shared" si="0"/>
        <v>0</v>
      </c>
    </row>
    <row r="16" spans="1:9" s="1" customFormat="1" ht="16.5" customHeight="1">
      <c r="A16" s="46"/>
      <c r="B16" s="62"/>
      <c r="C16" s="63"/>
      <c r="D16" s="63"/>
      <c r="E16" s="63"/>
      <c r="F16" s="63"/>
      <c r="G16" s="61">
        <f t="shared" si="0"/>
        <v>0</v>
      </c>
    </row>
    <row r="17" spans="1:7" s="1" customFormat="1" ht="16.5" customHeight="1">
      <c r="A17" s="46"/>
      <c r="B17" s="62"/>
      <c r="C17" s="63"/>
      <c r="D17" s="63"/>
      <c r="E17" s="63"/>
      <c r="F17" s="63"/>
      <c r="G17" s="61">
        <f t="shared" si="0"/>
        <v>0</v>
      </c>
    </row>
    <row r="18" spans="1:7" s="1" customFormat="1" ht="16.5" customHeight="1">
      <c r="A18" s="46"/>
      <c r="B18" s="62"/>
      <c r="C18" s="63"/>
      <c r="D18" s="63"/>
      <c r="E18" s="63"/>
      <c r="F18" s="63"/>
      <c r="G18" s="61">
        <f t="shared" si="0"/>
        <v>0</v>
      </c>
    </row>
    <row r="19" spans="1:7" s="1" customFormat="1" ht="16.5" customHeight="1">
      <c r="A19" s="46"/>
      <c r="B19" s="62"/>
      <c r="C19" s="63"/>
      <c r="D19" s="63"/>
      <c r="E19" s="63"/>
      <c r="F19" s="63"/>
      <c r="G19" s="61">
        <f t="shared" si="0"/>
        <v>0</v>
      </c>
    </row>
    <row r="20" spans="1:7" s="1" customFormat="1" ht="16.5" customHeight="1">
      <c r="A20" s="46"/>
      <c r="B20" s="62"/>
      <c r="C20" s="63"/>
      <c r="D20" s="63"/>
      <c r="E20" s="63"/>
      <c r="F20" s="63"/>
      <c r="G20" s="61">
        <f t="shared" si="0"/>
        <v>0</v>
      </c>
    </row>
    <row r="21" spans="1:7" s="1" customFormat="1" ht="16.5" customHeight="1">
      <c r="A21" s="46"/>
      <c r="B21" s="102"/>
      <c r="C21" s="63"/>
      <c r="D21" s="63"/>
      <c r="E21" s="63"/>
      <c r="F21" s="63"/>
      <c r="G21" s="61">
        <f t="shared" si="0"/>
        <v>0</v>
      </c>
    </row>
    <row r="22" spans="1:7" s="1" customFormat="1" ht="16.5" customHeight="1">
      <c r="A22" s="46"/>
      <c r="B22" s="62"/>
      <c r="C22" s="63"/>
      <c r="D22" s="63"/>
      <c r="E22" s="63"/>
      <c r="F22" s="63"/>
      <c r="G22" s="61">
        <f>SUM(B22:F22)</f>
        <v>0</v>
      </c>
    </row>
    <row r="23" spans="1:7" s="1" customFormat="1" ht="16.5" customHeight="1">
      <c r="A23" s="46"/>
      <c r="B23" s="62"/>
      <c r="C23" s="63"/>
      <c r="D23" s="63"/>
      <c r="E23" s="63"/>
      <c r="F23" s="63"/>
      <c r="G23" s="61">
        <f t="shared" si="0"/>
        <v>0</v>
      </c>
    </row>
    <row r="24" spans="1:7" s="1" customFormat="1" ht="16.5" customHeight="1">
      <c r="A24" s="46"/>
      <c r="B24" s="62"/>
      <c r="C24" s="63"/>
      <c r="D24" s="63"/>
      <c r="E24" s="63"/>
      <c r="F24" s="63"/>
      <c r="G24" s="61">
        <f t="shared" si="0"/>
        <v>0</v>
      </c>
    </row>
    <row r="25" spans="1:7" s="1" customFormat="1" ht="16.5" customHeight="1" thickBot="1">
      <c r="A25" s="46"/>
      <c r="B25" s="62"/>
      <c r="C25" s="63"/>
      <c r="D25" s="63"/>
      <c r="E25" s="63"/>
      <c r="F25" s="63"/>
      <c r="G25" s="61">
        <f>SUM(B25:F25)</f>
        <v>0</v>
      </c>
    </row>
    <row r="26" spans="1:7" s="1" customFormat="1" ht="22.5" customHeight="1">
      <c r="A26" s="24" t="s">
        <v>27</v>
      </c>
      <c r="B26" s="4">
        <f t="shared" ref="B26:G26" si="1">SUM(B12:B25)</f>
        <v>0</v>
      </c>
      <c r="C26" s="4">
        <f t="shared" si="1"/>
        <v>0</v>
      </c>
      <c r="D26" s="4">
        <f t="shared" si="1"/>
        <v>0</v>
      </c>
      <c r="E26" s="4">
        <f t="shared" si="1"/>
        <v>0</v>
      </c>
      <c r="F26" s="4">
        <f t="shared" si="1"/>
        <v>0</v>
      </c>
      <c r="G26" s="8">
        <f t="shared" si="1"/>
        <v>0</v>
      </c>
    </row>
    <row r="27" spans="1:7" s="1" customFormat="1" ht="36" customHeight="1" thickBot="1">
      <c r="A27" s="25" t="s">
        <v>22</v>
      </c>
      <c r="B27" s="5">
        <f t="shared" ref="B27:G27" si="2">B26/14</f>
        <v>0</v>
      </c>
      <c r="C27" s="5">
        <f t="shared" si="2"/>
        <v>0</v>
      </c>
      <c r="D27" s="5">
        <f t="shared" si="2"/>
        <v>0</v>
      </c>
      <c r="E27" s="5">
        <f t="shared" si="2"/>
        <v>0</v>
      </c>
      <c r="F27" s="5">
        <f t="shared" si="2"/>
        <v>0</v>
      </c>
      <c r="G27" s="9">
        <f t="shared" si="2"/>
        <v>0</v>
      </c>
    </row>
    <row r="28" spans="1:7" s="1" customFormat="1" ht="29.25" customHeight="1" thickTop="1">
      <c r="A28" s="187" t="s">
        <v>35</v>
      </c>
      <c r="B28" s="188"/>
      <c r="C28" s="188"/>
      <c r="D28" s="188"/>
      <c r="E28" s="188"/>
      <c r="F28" s="188"/>
      <c r="G28" s="189"/>
    </row>
    <row r="29" spans="1:7" s="1" customFormat="1" ht="29.25" customHeight="1">
      <c r="A29" s="190" t="s">
        <v>31</v>
      </c>
      <c r="B29" s="191"/>
      <c r="C29" s="191"/>
      <c r="D29" s="191"/>
      <c r="E29" s="191"/>
      <c r="F29" s="191"/>
      <c r="G29" s="136">
        <v>0.08</v>
      </c>
    </row>
    <row r="30" spans="1:7" s="1" customFormat="1" ht="29.25" customHeight="1">
      <c r="A30" s="192" t="s">
        <v>32</v>
      </c>
      <c r="B30" s="193"/>
      <c r="C30" s="193"/>
      <c r="D30" s="193"/>
      <c r="E30" s="193"/>
      <c r="F30" s="193"/>
      <c r="G30" s="11">
        <f>G27*G29</f>
        <v>0</v>
      </c>
    </row>
    <row r="31" spans="1:7" s="1" customFormat="1" ht="29.25" customHeight="1" thickBot="1">
      <c r="A31" s="194" t="s">
        <v>73</v>
      </c>
      <c r="B31" s="195"/>
      <c r="C31" s="195"/>
      <c r="D31" s="195"/>
      <c r="E31" s="195"/>
      <c r="F31" s="195"/>
      <c r="G31" s="10">
        <f>G30*0.8</f>
        <v>0</v>
      </c>
    </row>
    <row r="32" spans="1:7" ht="27" customHeight="1" thickTop="1">
      <c r="A32" s="110"/>
      <c r="B32" s="110"/>
      <c r="C32" s="110"/>
      <c r="D32" s="110"/>
      <c r="E32" s="110"/>
      <c r="F32" s="111" t="s">
        <v>46</v>
      </c>
      <c r="G32" s="111"/>
    </row>
    <row r="33" spans="1:7" ht="18" customHeight="1">
      <c r="B33" s="110"/>
      <c r="C33" s="114"/>
      <c r="E33" s="110"/>
      <c r="F33" s="180" t="s">
        <v>5</v>
      </c>
      <c r="G33" s="180"/>
    </row>
    <row r="34" spans="1:7" ht="21" customHeight="1">
      <c r="A34" s="117" t="s">
        <v>11</v>
      </c>
      <c r="B34" s="118"/>
      <c r="C34" s="119"/>
      <c r="D34" s="117" t="s">
        <v>7</v>
      </c>
      <c r="F34" s="186" t="s">
        <v>6</v>
      </c>
      <c r="G34" s="186"/>
    </row>
    <row r="35" spans="1:7">
      <c r="A35" s="120" t="s">
        <v>8</v>
      </c>
      <c r="B35" s="120"/>
      <c r="C35" s="121"/>
      <c r="D35" s="120" t="s">
        <v>9</v>
      </c>
      <c r="F35" s="181" t="s">
        <v>10</v>
      </c>
      <c r="G35" s="181"/>
    </row>
    <row r="36" spans="1:7"/>
    <row r="37" spans="1:7"/>
    <row r="38" spans="1:7"/>
    <row r="39" spans="1:7">
      <c r="C39" s="130"/>
    </row>
    <row r="40" spans="1:7"/>
    <row r="41" spans="1:7"/>
  </sheetData>
  <sheetProtection password="C5F7" sheet="1" objects="1" scenarios="1" formatCells="0" formatColumns="0" formatRows="0"/>
  <mergeCells count="11">
    <mergeCell ref="A1:G1"/>
    <mergeCell ref="A2:G2"/>
    <mergeCell ref="F33:G33"/>
    <mergeCell ref="F35:G35"/>
    <mergeCell ref="B7:G7"/>
    <mergeCell ref="B8:G8"/>
    <mergeCell ref="F34:G34"/>
    <mergeCell ref="A28:G28"/>
    <mergeCell ref="A29:F29"/>
    <mergeCell ref="A30:F30"/>
    <mergeCell ref="A31:F31"/>
  </mergeCells>
  <phoneticPr fontId="0" type="noConversion"/>
  <dataValidations count="1"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68" bottom="0" header="0.71" footer="0"/>
  <pageSetup paperSize="9" scale="90" orientation="portrait" horizontalDpi="180" verticalDpi="180" r:id="rId1"/>
  <headerFooter alignWithMargins="0">
    <oddFooter>&amp;R1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3"/>
  <sheetViews>
    <sheetView showGridLines="0" workbookViewId="0">
      <selection activeCell="F30" sqref="F30"/>
    </sheetView>
  </sheetViews>
  <sheetFormatPr defaultColWidth="0" defaultRowHeight="12.75" zeroHeight="1"/>
  <cols>
    <col min="1" max="1" width="21.42578125" customWidth="1"/>
    <col min="2" max="2" width="18.5703125" customWidth="1"/>
    <col min="3" max="3" width="18.42578125" customWidth="1"/>
    <col min="4" max="5" width="20.140625" customWidth="1"/>
    <col min="6" max="6" width="23.42578125" customWidth="1"/>
    <col min="7" max="7" width="9.140625" customWidth="1"/>
  </cols>
  <sheetData>
    <row r="1" spans="1:8" s="107" customFormat="1" ht="58.5" customHeight="1">
      <c r="A1" s="178" t="s">
        <v>44</v>
      </c>
      <c r="B1" s="178"/>
      <c r="C1" s="178"/>
      <c r="D1" s="178"/>
      <c r="E1" s="178"/>
      <c r="F1" s="178"/>
    </row>
    <row r="2" spans="1:8" s="108" customFormat="1" ht="50.25" customHeight="1">
      <c r="A2" s="179" t="s">
        <v>48</v>
      </c>
      <c r="B2" s="179"/>
      <c r="C2" s="179"/>
      <c r="D2" s="179"/>
      <c r="E2" s="179"/>
      <c r="F2" s="179"/>
    </row>
    <row r="3" spans="1:8" s="42" customFormat="1" ht="19.5" customHeight="1">
      <c r="A3" s="34" t="s">
        <v>41</v>
      </c>
      <c r="B3" s="34"/>
      <c r="C3" s="36"/>
      <c r="D3" s="103"/>
      <c r="F3" s="103" t="s">
        <v>80</v>
      </c>
    </row>
    <row r="4" spans="1:8" s="38" customFormat="1" ht="18" customHeight="1">
      <c r="A4" s="37" t="s">
        <v>42</v>
      </c>
      <c r="B4" s="37"/>
      <c r="C4" s="39"/>
      <c r="D4" s="104"/>
      <c r="F4" s="104" t="s">
        <v>81</v>
      </c>
    </row>
    <row r="5" spans="1:8" s="42" customFormat="1" ht="18" customHeight="1">
      <c r="A5" s="41" t="s">
        <v>58</v>
      </c>
      <c r="B5" s="41"/>
      <c r="C5" s="43"/>
      <c r="D5" s="105"/>
      <c r="F5" s="105" t="s">
        <v>29</v>
      </c>
    </row>
    <row r="6" spans="1:8" s="42" customFormat="1" ht="18" customHeight="1" thickBot="1">
      <c r="A6" s="44" t="s">
        <v>43</v>
      </c>
      <c r="B6" s="44"/>
      <c r="C6" s="45"/>
      <c r="D6" s="106"/>
      <c r="F6" s="106" t="s">
        <v>28</v>
      </c>
    </row>
    <row r="7" spans="1:8" s="1" customFormat="1" ht="22.5" customHeight="1" thickTop="1">
      <c r="A7" s="47" t="s">
        <v>1</v>
      </c>
      <c r="B7" s="196" t="s">
        <v>62</v>
      </c>
      <c r="C7" s="196" t="s">
        <v>63</v>
      </c>
      <c r="D7" s="196" t="s">
        <v>66</v>
      </c>
      <c r="E7" s="196" t="s">
        <v>67</v>
      </c>
      <c r="F7" s="207" t="s">
        <v>69</v>
      </c>
      <c r="G7" s="6"/>
      <c r="H7" s="6"/>
    </row>
    <row r="8" spans="1:8" s="1" customFormat="1" ht="18.75" customHeight="1">
      <c r="A8" s="48" t="s">
        <v>2</v>
      </c>
      <c r="B8" s="197"/>
      <c r="C8" s="197"/>
      <c r="D8" s="197"/>
      <c r="E8" s="197"/>
      <c r="F8" s="208"/>
      <c r="G8" s="7"/>
      <c r="H8" s="7"/>
    </row>
    <row r="9" spans="1:8" s="1" customFormat="1" ht="21" customHeight="1">
      <c r="A9" s="49" t="s">
        <v>3</v>
      </c>
      <c r="B9" s="205" t="s">
        <v>61</v>
      </c>
      <c r="C9" s="198" t="s">
        <v>64</v>
      </c>
      <c r="D9" s="198" t="s">
        <v>65</v>
      </c>
      <c r="E9" s="210" t="s">
        <v>68</v>
      </c>
      <c r="F9" s="209" t="s">
        <v>70</v>
      </c>
      <c r="G9" s="2"/>
      <c r="H9" s="2"/>
    </row>
    <row r="10" spans="1:8" s="1" customFormat="1" ht="22.5" customHeight="1">
      <c r="A10" s="49" t="s">
        <v>4</v>
      </c>
      <c r="B10" s="206"/>
      <c r="C10" s="199"/>
      <c r="D10" s="199"/>
      <c r="E10" s="210"/>
      <c r="F10" s="209"/>
    </row>
    <row r="11" spans="1:8" s="3" customFormat="1" ht="14.25" customHeight="1">
      <c r="A11" s="64"/>
      <c r="B11" s="65">
        <v>1</v>
      </c>
      <c r="C11" s="66">
        <v>2</v>
      </c>
      <c r="D11" s="67">
        <v>3</v>
      </c>
      <c r="E11" s="68">
        <v>4</v>
      </c>
      <c r="F11" s="69" t="s">
        <v>33</v>
      </c>
    </row>
    <row r="12" spans="1:8" s="1" customFormat="1" ht="18" customHeight="1">
      <c r="A12" s="46"/>
      <c r="B12" s="62"/>
      <c r="C12" s="73"/>
      <c r="D12" s="73"/>
      <c r="E12" s="74"/>
      <c r="F12" s="70">
        <f>B12+C12+D12+E12</f>
        <v>0</v>
      </c>
    </row>
    <row r="13" spans="1:8" s="1" customFormat="1" ht="18" customHeight="1">
      <c r="A13" s="46"/>
      <c r="B13" s="62"/>
      <c r="C13" s="75"/>
      <c r="D13" s="75"/>
      <c r="E13" s="76"/>
      <c r="F13" s="71">
        <f t="shared" ref="F13:F25" si="0">B13+C13+D13+E13</f>
        <v>0</v>
      </c>
    </row>
    <row r="14" spans="1:8" s="1" customFormat="1" ht="18" customHeight="1">
      <c r="A14" s="46"/>
      <c r="B14" s="62"/>
      <c r="C14" s="75"/>
      <c r="D14" s="75"/>
      <c r="E14" s="76"/>
      <c r="F14" s="71">
        <f t="shared" si="0"/>
        <v>0</v>
      </c>
    </row>
    <row r="15" spans="1:8" s="1" customFormat="1" ht="18" customHeight="1">
      <c r="A15" s="46"/>
      <c r="B15" s="62"/>
      <c r="C15" s="75"/>
      <c r="D15" s="75"/>
      <c r="E15" s="76"/>
      <c r="F15" s="71">
        <f t="shared" si="0"/>
        <v>0</v>
      </c>
    </row>
    <row r="16" spans="1:8" s="1" customFormat="1" ht="18" customHeight="1">
      <c r="A16" s="46"/>
      <c r="B16" s="62"/>
      <c r="C16" s="75"/>
      <c r="D16" s="75"/>
      <c r="E16" s="76"/>
      <c r="F16" s="71">
        <f t="shared" si="0"/>
        <v>0</v>
      </c>
    </row>
    <row r="17" spans="1:7" s="1" customFormat="1" ht="18" customHeight="1">
      <c r="A17" s="46"/>
      <c r="B17" s="62"/>
      <c r="C17" s="75"/>
      <c r="D17" s="75"/>
      <c r="E17" s="76"/>
      <c r="F17" s="71">
        <f t="shared" si="0"/>
        <v>0</v>
      </c>
    </row>
    <row r="18" spans="1:7" s="1" customFormat="1" ht="18" customHeight="1">
      <c r="A18" s="46"/>
      <c r="B18" s="62"/>
      <c r="C18" s="75"/>
      <c r="D18" s="75"/>
      <c r="E18" s="76"/>
      <c r="F18" s="71">
        <f t="shared" si="0"/>
        <v>0</v>
      </c>
    </row>
    <row r="19" spans="1:7" s="1" customFormat="1" ht="18" customHeight="1">
      <c r="A19" s="46"/>
      <c r="B19" s="62"/>
      <c r="C19" s="75"/>
      <c r="D19" s="75"/>
      <c r="E19" s="76"/>
      <c r="F19" s="71">
        <f t="shared" si="0"/>
        <v>0</v>
      </c>
    </row>
    <row r="20" spans="1:7" s="1" customFormat="1" ht="18" customHeight="1">
      <c r="A20" s="46"/>
      <c r="B20" s="62"/>
      <c r="C20" s="75"/>
      <c r="D20" s="75"/>
      <c r="E20" s="76"/>
      <c r="F20" s="71">
        <f t="shared" si="0"/>
        <v>0</v>
      </c>
    </row>
    <row r="21" spans="1:7" s="1" customFormat="1" ht="18" customHeight="1">
      <c r="A21" s="46"/>
      <c r="B21" s="62"/>
      <c r="C21" s="75"/>
      <c r="D21" s="75"/>
      <c r="E21" s="76"/>
      <c r="F21" s="71">
        <f t="shared" si="0"/>
        <v>0</v>
      </c>
    </row>
    <row r="22" spans="1:7" s="1" customFormat="1" ht="18" customHeight="1">
      <c r="A22" s="46"/>
      <c r="B22" s="62"/>
      <c r="C22" s="75"/>
      <c r="D22" s="75"/>
      <c r="E22" s="76"/>
      <c r="F22" s="71">
        <f t="shared" si="0"/>
        <v>0</v>
      </c>
    </row>
    <row r="23" spans="1:7" s="1" customFormat="1" ht="18" customHeight="1">
      <c r="A23" s="46"/>
      <c r="B23" s="62"/>
      <c r="C23" s="75"/>
      <c r="D23" s="75"/>
      <c r="E23" s="76"/>
      <c r="F23" s="71">
        <f t="shared" si="0"/>
        <v>0</v>
      </c>
    </row>
    <row r="24" spans="1:7" s="1" customFormat="1" ht="18" customHeight="1">
      <c r="A24" s="46"/>
      <c r="B24" s="62"/>
      <c r="C24" s="75"/>
      <c r="D24" s="75"/>
      <c r="E24" s="76"/>
      <c r="F24" s="71">
        <f t="shared" si="0"/>
        <v>0</v>
      </c>
    </row>
    <row r="25" spans="1:7" s="1" customFormat="1" ht="18" customHeight="1" thickBot="1">
      <c r="A25" s="77"/>
      <c r="B25" s="62"/>
      <c r="C25" s="73"/>
      <c r="D25" s="73"/>
      <c r="E25" s="76"/>
      <c r="F25" s="72">
        <f t="shared" si="0"/>
        <v>0</v>
      </c>
    </row>
    <row r="26" spans="1:7" s="1" customFormat="1" ht="21" customHeight="1">
      <c r="A26" s="26" t="s">
        <v>21</v>
      </c>
      <c r="B26" s="13">
        <f>SUM(B12:B25)</f>
        <v>0</v>
      </c>
      <c r="C26" s="23">
        <f>SUM(C12:C25)</f>
        <v>0</v>
      </c>
      <c r="D26" s="23">
        <f>SUM(D12:D25)</f>
        <v>0</v>
      </c>
      <c r="E26" s="15">
        <f>SUM(E12:E25)</f>
        <v>0</v>
      </c>
      <c r="F26" s="14">
        <f>SUM(F12:F25)</f>
        <v>0</v>
      </c>
    </row>
    <row r="27" spans="1:7" s="1" customFormat="1" ht="36" customHeight="1">
      <c r="A27" s="27" t="s">
        <v>51</v>
      </c>
      <c r="B27" s="12">
        <f>B26/14</f>
        <v>0</v>
      </c>
      <c r="C27" s="12">
        <f>C26/14</f>
        <v>0</v>
      </c>
      <c r="D27" s="12">
        <f>D26/14</f>
        <v>0</v>
      </c>
      <c r="E27" s="12">
        <f>E26/14</f>
        <v>0</v>
      </c>
      <c r="F27" s="29">
        <f>F26/14</f>
        <v>0</v>
      </c>
    </row>
    <row r="28" spans="1:7" s="1" customFormat="1" ht="60" customHeight="1">
      <c r="A28" s="33" t="s">
        <v>77</v>
      </c>
      <c r="B28" s="28">
        <f>B27*0.12</f>
        <v>0</v>
      </c>
      <c r="C28" s="28">
        <f>C27*0.12</f>
        <v>0</v>
      </c>
      <c r="D28" s="28">
        <f>D27*0.12</f>
        <v>0</v>
      </c>
      <c r="E28" s="28">
        <f>E27*0.12</f>
        <v>0</v>
      </c>
      <c r="F28" s="30">
        <f>B28+C28+D28+E28</f>
        <v>0</v>
      </c>
    </row>
    <row r="29" spans="1:7" s="1" customFormat="1" ht="29.25" customHeight="1">
      <c r="A29" s="200" t="s">
        <v>35</v>
      </c>
      <c r="B29" s="201"/>
      <c r="C29" s="201"/>
      <c r="D29" s="201"/>
      <c r="E29" s="201"/>
      <c r="F29" s="202"/>
    </row>
    <row r="30" spans="1:7" s="1" customFormat="1" ht="36" customHeight="1">
      <c r="A30" s="192" t="s">
        <v>86</v>
      </c>
      <c r="B30" s="193"/>
      <c r="C30" s="193"/>
      <c r="D30" s="193"/>
      <c r="E30" s="204"/>
      <c r="F30" s="177">
        <f>'Form 1 B - 01'!G30+'Form 1 B - 02'!I30+'Form 1 B - 03'!I30+'Form 1 B - 04'!I30+'Form 1 B - 05'!I30+'Form 1 B - 06'!I30+'Form 1 B - 07'!I30+'Form 1 B - 08'!I30+'Form 1 B - 09'!I30+'Form 1 B - 10'!I30+'Form 1 B - 11'!I30+'Form 1 B - 12'!I30+'Form 1 B - 13'!I30+'Form 1 B - 14'!I30</f>
        <v>0</v>
      </c>
      <c r="G30" s="31"/>
    </row>
    <row r="31" spans="1:7" ht="29.25" customHeight="1" thickBot="1">
      <c r="A31" s="194" t="s">
        <v>74</v>
      </c>
      <c r="B31" s="195"/>
      <c r="C31" s="195"/>
      <c r="D31" s="195"/>
      <c r="E31" s="203"/>
      <c r="F31" s="176">
        <f>F30*0.8</f>
        <v>0</v>
      </c>
    </row>
    <row r="32" spans="1:7" s="112" customFormat="1" ht="28.5" thickTop="1">
      <c r="A32" s="109" t="s">
        <v>50</v>
      </c>
      <c r="B32" s="110"/>
      <c r="C32" s="111"/>
      <c r="D32" s="111"/>
      <c r="E32" s="111" t="s">
        <v>47</v>
      </c>
      <c r="F32" s="111"/>
    </row>
    <row r="33" spans="1:6" s="112" customFormat="1" ht="19.5">
      <c r="A33" s="113" t="s">
        <v>49</v>
      </c>
      <c r="B33" s="110"/>
      <c r="C33" s="131"/>
      <c r="D33" s="131"/>
      <c r="E33" s="180" t="s">
        <v>5</v>
      </c>
      <c r="F33" s="180"/>
    </row>
    <row r="34" spans="1:6" s="112" customFormat="1">
      <c r="A34" s="116" t="s">
        <v>55</v>
      </c>
      <c r="B34" s="110"/>
      <c r="C34" s="127"/>
      <c r="D34" s="127"/>
      <c r="E34" s="127"/>
      <c r="F34" s="127"/>
    </row>
    <row r="35" spans="1:6" s="112" customFormat="1">
      <c r="A35" s="116"/>
      <c r="B35" s="110"/>
      <c r="C35" s="127"/>
      <c r="D35" s="127"/>
      <c r="E35" s="127"/>
      <c r="F35" s="127"/>
    </row>
    <row r="36" spans="1:6" s="112" customFormat="1" ht="20.25" customHeight="1">
      <c r="A36" s="129" t="s">
        <v>11</v>
      </c>
      <c r="B36" s="118"/>
      <c r="C36" s="186" t="s">
        <v>6</v>
      </c>
      <c r="D36" s="186"/>
      <c r="E36" s="186" t="s">
        <v>6</v>
      </c>
      <c r="F36" s="186"/>
    </row>
    <row r="37" spans="1:6" s="112" customFormat="1">
      <c r="A37" s="128" t="s">
        <v>8</v>
      </c>
      <c r="B37" s="128"/>
      <c r="C37" s="181" t="s">
        <v>10</v>
      </c>
      <c r="D37" s="181"/>
      <c r="E37" s="181" t="s">
        <v>10</v>
      </c>
      <c r="F37" s="181"/>
    </row>
    <row r="38" spans="1:6" s="112" customFormat="1"/>
    <row r="39" spans="1:6" s="112" customFormat="1"/>
    <row r="40" spans="1:6" s="112" customFormat="1" ht="19.5" customHeight="1">
      <c r="A40" s="109"/>
    </row>
    <row r="41" spans="1:6" s="112" customFormat="1" ht="19.5">
      <c r="A41" s="132"/>
    </row>
    <row r="42" spans="1:6" s="112" customFormat="1">
      <c r="A42" s="133"/>
    </row>
    <row r="43" spans="1:6" s="112" customFormat="1"/>
  </sheetData>
  <sheetProtection password="C5F7" sheet="1" objects="1" scenarios="1" formatCells="0" formatColumns="0" formatRows="0"/>
  <mergeCells count="20">
    <mergeCell ref="F7:F8"/>
    <mergeCell ref="F9:F10"/>
    <mergeCell ref="E9:E10"/>
    <mergeCell ref="D7:D8"/>
    <mergeCell ref="A1:F1"/>
    <mergeCell ref="C7:C8"/>
    <mergeCell ref="C9:C10"/>
    <mergeCell ref="A2:F2"/>
    <mergeCell ref="E37:F37"/>
    <mergeCell ref="A29:F29"/>
    <mergeCell ref="A31:E31"/>
    <mergeCell ref="A30:E30"/>
    <mergeCell ref="E7:E8"/>
    <mergeCell ref="E33:F33"/>
    <mergeCell ref="E36:F36"/>
    <mergeCell ref="B9:B10"/>
    <mergeCell ref="B7:B8"/>
    <mergeCell ref="C37:D37"/>
    <mergeCell ref="C36:D36"/>
    <mergeCell ref="D9:D10"/>
  </mergeCells>
  <phoneticPr fontId="0" type="noConversion"/>
  <dataValidations count="2">
    <dataValidation type="decimal" operator="greaterThanOrEqual" allowBlank="1" showInputMessage="1" showErrorMessage="1" errorTitle="Validation Rule" error="Allow only number" sqref="B12:E25">
      <formula1>0</formula1>
    </dataValidation>
    <dataValidation type="decimal" operator="greaterThanOrEqual" allowBlank="1" showInputMessage="1" showErrorMessage="1" sqref="F30">
      <formula1>0</formula1>
    </dataValidation>
  </dataValidations>
  <printOptions horizontalCentered="1"/>
  <pageMargins left="0" right="0" top="0.49" bottom="0" header="0.5" footer="0"/>
  <pageSetup paperSize="9" scale="80" orientation="portrait" horizontalDpi="180" verticalDpi="180" r:id="rId1"/>
  <headerFooter alignWithMargins="0">
    <oddFooter>&amp;R2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4"/>
  </sheetPr>
  <dimension ref="A1:G43"/>
  <sheetViews>
    <sheetView showGridLines="0" topLeftCell="A16" workbookViewId="0">
      <selection activeCell="G30" sqref="G30"/>
    </sheetView>
  </sheetViews>
  <sheetFormatPr defaultColWidth="0" defaultRowHeight="12.75" zeroHeight="1"/>
  <cols>
    <col min="1" max="1" width="12.85546875" style="112" customWidth="1"/>
    <col min="2" max="2" width="14.28515625" style="112" customWidth="1"/>
    <col min="3" max="3" width="14.5703125" style="112" customWidth="1"/>
    <col min="4" max="4" width="14.42578125" style="112" customWidth="1"/>
    <col min="5" max="5" width="14.140625" style="112" customWidth="1"/>
    <col min="6" max="6" width="13.7109375" style="112" customWidth="1"/>
    <col min="7" max="7" width="15.28515625" style="112" customWidth="1"/>
    <col min="8" max="8" width="9.140625" style="112" customWidth="1"/>
    <col min="9" max="16384" width="0" style="112" hidden="1"/>
  </cols>
  <sheetData>
    <row r="1" spans="1:7" s="107" customFormat="1" ht="47.25" customHeight="1">
      <c r="A1" s="178" t="s">
        <v>87</v>
      </c>
      <c r="B1" s="178"/>
      <c r="C1" s="178"/>
      <c r="D1" s="178"/>
      <c r="E1" s="178"/>
      <c r="F1" s="178"/>
      <c r="G1" s="178"/>
    </row>
    <row r="2" spans="1:7" s="108" customFormat="1" ht="39.75" customHeight="1">
      <c r="A2" s="179" t="s">
        <v>88</v>
      </c>
      <c r="B2" s="179"/>
      <c r="C2" s="179"/>
      <c r="D2" s="179"/>
      <c r="E2" s="179"/>
      <c r="F2" s="179"/>
      <c r="G2" s="179"/>
    </row>
    <row r="3" spans="1:7" s="42" customFormat="1" ht="24.75">
      <c r="A3" s="34" t="s">
        <v>41</v>
      </c>
      <c r="B3" s="35"/>
      <c r="C3" s="36"/>
      <c r="D3" s="35"/>
      <c r="E3" s="35"/>
      <c r="F3" s="35"/>
      <c r="G3" s="103" t="s">
        <v>84</v>
      </c>
    </row>
    <row r="4" spans="1:7" s="38" customFormat="1" ht="21.75">
      <c r="A4" s="37" t="s">
        <v>42</v>
      </c>
      <c r="C4" s="39"/>
      <c r="D4" s="40"/>
      <c r="E4" s="40"/>
      <c r="F4" s="40"/>
      <c r="G4" s="104" t="s">
        <v>85</v>
      </c>
    </row>
    <row r="5" spans="1:7" s="42" customFormat="1" ht="24.75">
      <c r="A5" s="41" t="s">
        <v>58</v>
      </c>
      <c r="C5" s="43"/>
      <c r="E5" s="91"/>
      <c r="F5" s="91"/>
      <c r="G5" s="105" t="s">
        <v>29</v>
      </c>
    </row>
    <row r="6" spans="1:7" s="42" customFormat="1" ht="22.5" thickBot="1">
      <c r="A6" s="44" t="s">
        <v>43</v>
      </c>
      <c r="C6" s="45"/>
      <c r="E6" s="91"/>
      <c r="F6" s="91"/>
      <c r="G6" s="106" t="s">
        <v>28</v>
      </c>
    </row>
    <row r="7" spans="1:7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3"/>
    </row>
    <row r="8" spans="1:7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3"/>
    </row>
    <row r="9" spans="1:7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140" t="s">
        <v>0</v>
      </c>
    </row>
    <row r="10" spans="1:7" s="1" customFormat="1" ht="27.75" customHeight="1">
      <c r="A10" s="49" t="s">
        <v>4</v>
      </c>
      <c r="B10" s="139" t="s">
        <v>17</v>
      </c>
      <c r="C10" s="138" t="s">
        <v>18</v>
      </c>
      <c r="D10" s="138" t="s">
        <v>25</v>
      </c>
      <c r="E10" s="138" t="s">
        <v>19</v>
      </c>
      <c r="F10" s="55" t="s">
        <v>24</v>
      </c>
      <c r="G10" s="141" t="s">
        <v>20</v>
      </c>
    </row>
    <row r="11" spans="1:7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142" t="s">
        <v>30</v>
      </c>
    </row>
    <row r="12" spans="1:7" s="1" customFormat="1" ht="16.5" customHeight="1">
      <c r="A12" s="93"/>
      <c r="B12" s="94"/>
      <c r="C12" s="63"/>
      <c r="D12" s="63"/>
      <c r="E12" s="63"/>
      <c r="F12" s="63"/>
      <c r="G12" s="143">
        <f>SUM(B12:F12)</f>
        <v>0</v>
      </c>
    </row>
    <row r="13" spans="1:7" s="1" customFormat="1" ht="16.5" customHeight="1">
      <c r="A13" s="93"/>
      <c r="B13" s="94"/>
      <c r="C13" s="63"/>
      <c r="D13" s="63"/>
      <c r="E13" s="63"/>
      <c r="F13" s="63"/>
      <c r="G13" s="143">
        <f t="shared" ref="G13:G25" si="0">SUM(B13:F13)</f>
        <v>0</v>
      </c>
    </row>
    <row r="14" spans="1:7" s="1" customFormat="1" ht="16.5" customHeight="1">
      <c r="A14" s="93"/>
      <c r="B14" s="94"/>
      <c r="C14" s="63"/>
      <c r="D14" s="63"/>
      <c r="E14" s="63"/>
      <c r="F14" s="63"/>
      <c r="G14" s="143">
        <f t="shared" si="0"/>
        <v>0</v>
      </c>
    </row>
    <row r="15" spans="1:7" s="1" customFormat="1" ht="16.5" customHeight="1">
      <c r="A15" s="93"/>
      <c r="B15" s="94"/>
      <c r="C15" s="63"/>
      <c r="D15" s="63"/>
      <c r="E15" s="63"/>
      <c r="F15" s="63"/>
      <c r="G15" s="143">
        <f t="shared" si="0"/>
        <v>0</v>
      </c>
    </row>
    <row r="16" spans="1:7" s="1" customFormat="1" ht="16.5" customHeight="1">
      <c r="A16" s="93"/>
      <c r="B16" s="94"/>
      <c r="C16" s="63"/>
      <c r="D16" s="63"/>
      <c r="E16" s="63"/>
      <c r="F16" s="63"/>
      <c r="G16" s="143">
        <f t="shared" si="0"/>
        <v>0</v>
      </c>
    </row>
    <row r="17" spans="1:7" s="1" customFormat="1" ht="16.5" customHeight="1">
      <c r="A17" s="93"/>
      <c r="B17" s="94"/>
      <c r="C17" s="63"/>
      <c r="D17" s="63"/>
      <c r="E17" s="63"/>
      <c r="F17" s="63"/>
      <c r="G17" s="143">
        <f t="shared" si="0"/>
        <v>0</v>
      </c>
    </row>
    <row r="18" spans="1:7" s="1" customFormat="1" ht="16.5" customHeight="1">
      <c r="A18" s="93"/>
      <c r="B18" s="94"/>
      <c r="C18" s="63"/>
      <c r="D18" s="63"/>
      <c r="E18" s="63"/>
      <c r="F18" s="63"/>
      <c r="G18" s="143">
        <f t="shared" si="0"/>
        <v>0</v>
      </c>
    </row>
    <row r="19" spans="1:7" s="1" customFormat="1" ht="16.5" customHeight="1">
      <c r="A19" s="93"/>
      <c r="B19" s="94"/>
      <c r="C19" s="63"/>
      <c r="D19" s="63"/>
      <c r="E19" s="63"/>
      <c r="F19" s="63"/>
      <c r="G19" s="143">
        <f t="shared" si="0"/>
        <v>0</v>
      </c>
    </row>
    <row r="20" spans="1:7" s="1" customFormat="1" ht="16.5" customHeight="1">
      <c r="A20" s="93"/>
      <c r="B20" s="94"/>
      <c r="C20" s="63"/>
      <c r="D20" s="63"/>
      <c r="E20" s="63"/>
      <c r="F20" s="63"/>
      <c r="G20" s="143">
        <f t="shared" si="0"/>
        <v>0</v>
      </c>
    </row>
    <row r="21" spans="1:7" s="1" customFormat="1" ht="16.5" customHeight="1">
      <c r="A21" s="93"/>
      <c r="B21" s="94"/>
      <c r="C21" s="63"/>
      <c r="D21" s="63"/>
      <c r="E21" s="63"/>
      <c r="F21" s="63"/>
      <c r="G21" s="143">
        <f t="shared" si="0"/>
        <v>0</v>
      </c>
    </row>
    <row r="22" spans="1:7" s="1" customFormat="1" ht="16.5" customHeight="1">
      <c r="A22" s="93"/>
      <c r="B22" s="94"/>
      <c r="C22" s="63"/>
      <c r="D22" s="63"/>
      <c r="E22" s="63"/>
      <c r="F22" s="63"/>
      <c r="G22" s="143">
        <f t="shared" si="0"/>
        <v>0</v>
      </c>
    </row>
    <row r="23" spans="1:7" s="1" customFormat="1" ht="16.5" customHeight="1">
      <c r="A23" s="93"/>
      <c r="B23" s="94"/>
      <c r="C23" s="63"/>
      <c r="D23" s="63"/>
      <c r="E23" s="63"/>
      <c r="F23" s="63"/>
      <c r="G23" s="143">
        <f t="shared" si="0"/>
        <v>0</v>
      </c>
    </row>
    <row r="24" spans="1:7" s="1" customFormat="1" ht="16.5" customHeight="1">
      <c r="A24" s="93"/>
      <c r="B24" s="94"/>
      <c r="C24" s="63"/>
      <c r="D24" s="63"/>
      <c r="E24" s="63"/>
      <c r="F24" s="63"/>
      <c r="G24" s="143">
        <f t="shared" si="0"/>
        <v>0</v>
      </c>
    </row>
    <row r="25" spans="1:7" s="1" customFormat="1" ht="16.5" customHeight="1" thickBot="1">
      <c r="A25" s="93"/>
      <c r="B25" s="94"/>
      <c r="C25" s="63"/>
      <c r="D25" s="63"/>
      <c r="E25" s="63"/>
      <c r="F25" s="63"/>
      <c r="G25" s="143">
        <f t="shared" si="0"/>
        <v>0</v>
      </c>
    </row>
    <row r="26" spans="1:7" s="1" customFormat="1" ht="21" customHeight="1">
      <c r="A26" s="17" t="s">
        <v>21</v>
      </c>
      <c r="B26" s="15">
        <f t="shared" ref="B26:G26" si="1">SUM(B12:B25)</f>
        <v>0</v>
      </c>
      <c r="C26" s="4">
        <f t="shared" si="1"/>
        <v>0</v>
      </c>
      <c r="D26" s="4">
        <f t="shared" si="1"/>
        <v>0</v>
      </c>
      <c r="E26" s="4">
        <f t="shared" si="1"/>
        <v>0</v>
      </c>
      <c r="F26" s="4">
        <f t="shared" si="1"/>
        <v>0</v>
      </c>
      <c r="G26" s="8">
        <f t="shared" si="1"/>
        <v>0</v>
      </c>
    </row>
    <row r="27" spans="1:7" s="1" customFormat="1" ht="39.75" customHeight="1">
      <c r="A27" s="18" t="s">
        <v>22</v>
      </c>
      <c r="B27" s="16">
        <f t="shared" ref="B27:G27" si="2">B26/14</f>
        <v>0</v>
      </c>
      <c r="C27" s="19">
        <f t="shared" si="2"/>
        <v>0</v>
      </c>
      <c r="D27" s="19">
        <f t="shared" si="2"/>
        <v>0</v>
      </c>
      <c r="E27" s="19">
        <f t="shared" si="2"/>
        <v>0</v>
      </c>
      <c r="F27" s="19">
        <f t="shared" si="2"/>
        <v>0</v>
      </c>
      <c r="G27" s="144">
        <f t="shared" si="2"/>
        <v>0</v>
      </c>
    </row>
    <row r="28" spans="1:7" s="1" customFormat="1" ht="25.5" customHeight="1">
      <c r="A28" s="200" t="s">
        <v>35</v>
      </c>
      <c r="B28" s="201"/>
      <c r="C28" s="201"/>
      <c r="D28" s="201"/>
      <c r="E28" s="201"/>
      <c r="F28" s="201"/>
      <c r="G28" s="202"/>
    </row>
    <row r="29" spans="1:7" s="1" customFormat="1" ht="25.5" customHeight="1">
      <c r="A29" s="200" t="s">
        <v>76</v>
      </c>
      <c r="B29" s="201"/>
      <c r="C29" s="201"/>
      <c r="D29" s="201"/>
      <c r="E29" s="201"/>
      <c r="F29" s="201"/>
      <c r="G29" s="229">
        <v>0.125</v>
      </c>
    </row>
    <row r="30" spans="1:7" s="1" customFormat="1" ht="22.5" customHeight="1">
      <c r="A30" s="200" t="s">
        <v>56</v>
      </c>
      <c r="B30" s="201"/>
      <c r="C30" s="201"/>
      <c r="D30" s="201"/>
      <c r="E30" s="201"/>
      <c r="F30" s="201"/>
      <c r="G30" s="134">
        <f>G27*G29</f>
        <v>0</v>
      </c>
    </row>
    <row r="31" spans="1:7" s="1" customFormat="1" ht="24" customHeight="1" thickBot="1">
      <c r="A31" s="214" t="s">
        <v>75</v>
      </c>
      <c r="B31" s="215"/>
      <c r="C31" s="215"/>
      <c r="D31" s="215"/>
      <c r="E31" s="215"/>
      <c r="F31" s="215"/>
      <c r="G31" s="32">
        <f>G30*0.8</f>
        <v>0</v>
      </c>
    </row>
    <row r="32" spans="1:7" ht="20.25" customHeight="1" thickTop="1">
      <c r="A32" s="109" t="s">
        <v>54</v>
      </c>
      <c r="B32" s="110"/>
      <c r="C32" s="110"/>
      <c r="D32" s="110"/>
      <c r="E32" s="110"/>
      <c r="F32" s="111"/>
      <c r="G32" s="111"/>
    </row>
    <row r="33" spans="1:7" ht="18" customHeight="1">
      <c r="A33" s="113" t="s">
        <v>52</v>
      </c>
      <c r="B33" s="110"/>
      <c r="C33" s="114"/>
      <c r="E33" s="110"/>
      <c r="F33" s="111" t="s">
        <v>45</v>
      </c>
      <c r="G33" s="111"/>
    </row>
    <row r="34" spans="1:7" ht="14.25" customHeight="1">
      <c r="A34" s="116" t="s">
        <v>53</v>
      </c>
      <c r="B34" s="110"/>
      <c r="C34" s="114"/>
      <c r="E34" s="110"/>
      <c r="F34" s="137" t="s">
        <v>5</v>
      </c>
      <c r="G34" s="137"/>
    </row>
    <row r="35" spans="1:7" ht="14.25" customHeight="1">
      <c r="B35" s="110"/>
      <c r="C35" s="114"/>
      <c r="E35" s="110"/>
      <c r="F35" s="137"/>
      <c r="G35" s="137"/>
    </row>
    <row r="36" spans="1:7" ht="20.25" customHeight="1">
      <c r="A36" s="117" t="s">
        <v>11</v>
      </c>
      <c r="B36" s="118"/>
      <c r="C36" s="119"/>
      <c r="D36" s="117" t="s">
        <v>7</v>
      </c>
      <c r="E36" s="117"/>
      <c r="F36" s="186" t="s">
        <v>6</v>
      </c>
      <c r="G36" s="186"/>
    </row>
    <row r="37" spans="1:7">
      <c r="A37" s="120" t="s">
        <v>8</v>
      </c>
      <c r="B37" s="120"/>
      <c r="C37" s="121"/>
      <c r="D37" s="120" t="s">
        <v>9</v>
      </c>
      <c r="E37" s="120"/>
      <c r="F37" s="181" t="s">
        <v>10</v>
      </c>
      <c r="G37" s="181"/>
    </row>
    <row r="38" spans="1:7"/>
    <row r="39" spans="1:7">
      <c r="E39" s="130"/>
    </row>
    <row r="40" spans="1:7"/>
    <row r="41" spans="1:7">
      <c r="A41" s="109"/>
    </row>
    <row r="42" spans="1:7" ht="19.5">
      <c r="A42" s="113"/>
    </row>
    <row r="43" spans="1:7">
      <c r="A43" s="116"/>
    </row>
  </sheetData>
  <sheetProtection password="C5F7" sheet="1" objects="1" scenarios="1" formatCells="0" formatColumns="0" formatRows="0"/>
  <mergeCells count="10">
    <mergeCell ref="A30:F30"/>
    <mergeCell ref="A31:F31"/>
    <mergeCell ref="F37:G37"/>
    <mergeCell ref="F36:G36"/>
    <mergeCell ref="A2:G2"/>
    <mergeCell ref="A1:G1"/>
    <mergeCell ref="B7:G7"/>
    <mergeCell ref="B8:G8"/>
    <mergeCell ref="A28:G28"/>
    <mergeCell ref="A29:F29"/>
  </mergeCells>
  <phoneticPr fontId="0" type="noConversion"/>
  <dataValidations count="2">
    <dataValidation type="decimal" operator="greaterThanOrEqual" allowBlank="1" showInputMessage="1" showErrorMessage="1" sqref="G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</sheetPr>
  <dimension ref="A1:I43"/>
  <sheetViews>
    <sheetView showGridLines="0" workbookViewId="0">
      <selection activeCell="I30" sqref="I30"/>
    </sheetView>
  </sheetViews>
  <sheetFormatPr defaultColWidth="0" defaultRowHeight="12.75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111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112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90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89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130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s="112" customFormat="1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s="112" customFormat="1" ht="14.25" customHeight="1">
      <c r="B35" s="110"/>
      <c r="C35" s="114"/>
      <c r="E35" s="110"/>
      <c r="F35" s="115"/>
      <c r="G35" s="115"/>
      <c r="H35" s="115"/>
      <c r="I35" s="115"/>
    </row>
    <row r="36" spans="1:9" s="112" customFormat="1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 s="112" customFormat="1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4"/>
  </sheetPr>
  <dimension ref="A1:I43"/>
  <sheetViews>
    <sheetView showGridLines="0" workbookViewId="0">
      <selection activeCell="I30" sqref="I30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9.5703125" customWidth="1"/>
    <col min="10" max="10" width="9.140625" customWidth="1"/>
  </cols>
  <sheetData>
    <row r="1" spans="1:9" s="107" customFormat="1" ht="47.25" customHeight="1">
      <c r="A1" s="178" t="s">
        <v>113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114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92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91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106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84" t="s">
        <v>105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s="112" customFormat="1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s="112" customFormat="1" ht="14.25" customHeight="1">
      <c r="B35" s="110"/>
      <c r="C35" s="114"/>
      <c r="E35" s="110"/>
      <c r="F35" s="115"/>
      <c r="G35" s="115"/>
      <c r="H35" s="115"/>
      <c r="I35" s="115"/>
    </row>
    <row r="36" spans="1:9" s="112" customFormat="1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 s="112" customFormat="1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4"/>
  </sheetPr>
  <dimension ref="A1:I43"/>
  <sheetViews>
    <sheetView showGridLines="0" topLeftCell="A25" workbookViewId="0">
      <selection activeCell="I30" sqref="I30"/>
    </sheetView>
  </sheetViews>
  <sheetFormatPr defaultColWidth="0" defaultRowHeight="12.75" customHeight="1" zeroHeight="1"/>
  <cols>
    <col min="1" max="1" width="12.85546875" style="112" customWidth="1"/>
    <col min="2" max="2" width="16.28515625" style="112" customWidth="1"/>
    <col min="3" max="3" width="16.42578125" style="112" customWidth="1"/>
    <col min="4" max="4" width="16.7109375" style="112" customWidth="1"/>
    <col min="5" max="5" width="16.28515625" style="112" customWidth="1"/>
    <col min="6" max="6" width="16" style="112" customWidth="1"/>
    <col min="7" max="7" width="17.85546875" style="112" customWidth="1"/>
    <col min="8" max="8" width="12.85546875" style="112" customWidth="1"/>
    <col min="9" max="9" width="17.7109375" style="112" customWidth="1"/>
    <col min="10" max="10" width="9.140625" style="112" customWidth="1"/>
    <col min="11" max="16384" width="0" style="112" hidden="1"/>
  </cols>
  <sheetData>
    <row r="1" spans="1:9" s="107" customFormat="1" ht="47.25" customHeight="1">
      <c r="A1" s="178" t="s">
        <v>115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116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82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83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107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84" t="s">
        <v>108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3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ref="I24:I25" si="2">IF((H24=0),0,G24/H24)</f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2"/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ht="14.25" customHeight="1">
      <c r="B35" s="110"/>
      <c r="C35" s="114"/>
      <c r="E35" s="110"/>
      <c r="F35" s="115"/>
      <c r="G35" s="115"/>
      <c r="H35" s="115"/>
      <c r="I35" s="115"/>
    </row>
    <row r="36" spans="1:9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/>
    <row r="39" spans="1:9"/>
    <row r="40" spans="1:9"/>
    <row r="41" spans="1:9">
      <c r="A41" s="109"/>
    </row>
    <row r="42" spans="1:9" ht="19.5">
      <c r="A42" s="113"/>
    </row>
    <row r="43" spans="1:9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4"/>
  </sheetPr>
  <dimension ref="A1:I43"/>
  <sheetViews>
    <sheetView showGridLines="0" topLeftCell="A19" workbookViewId="0">
      <selection activeCell="I29" sqref="I29"/>
    </sheetView>
  </sheetViews>
  <sheetFormatPr defaultColWidth="0" defaultRowHeight="12.75" customHeight="1" zeroHeight="1"/>
  <cols>
    <col min="1" max="1" width="12.85546875" style="112" customWidth="1"/>
    <col min="2" max="2" width="16.28515625" style="112" customWidth="1"/>
    <col min="3" max="3" width="16.42578125" style="112" customWidth="1"/>
    <col min="4" max="4" width="16.7109375" style="112" customWidth="1"/>
    <col min="5" max="5" width="16.28515625" style="112" customWidth="1"/>
    <col min="6" max="6" width="16" style="112" customWidth="1"/>
    <col min="7" max="7" width="17.85546875" style="112" customWidth="1"/>
    <col min="8" max="8" width="12.85546875" style="112" customWidth="1"/>
    <col min="9" max="9" width="18.140625" style="112" customWidth="1"/>
    <col min="10" max="10" width="9.140625" style="112" customWidth="1"/>
    <col min="11" max="16384" width="0" style="112" hidden="1"/>
  </cols>
  <sheetData>
    <row r="1" spans="1:9" s="107" customFormat="1" ht="47.25" customHeight="1">
      <c r="A1" s="178" t="s">
        <v>117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118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94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93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109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84" t="s">
        <v>110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19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ref="I20:I24" si="2">IF((H20=0),0,G20/H20)</f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2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2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2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2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ref="I25" si="3">IF((H25=0),0,G25/H25)</f>
        <v>0</v>
      </c>
    </row>
    <row r="26" spans="1:9" s="1" customFormat="1" ht="21" customHeight="1">
      <c r="A26" s="17" t="s">
        <v>21</v>
      </c>
      <c r="B26" s="15">
        <f t="shared" ref="B26:G26" si="4">SUM(B12:B25)</f>
        <v>0</v>
      </c>
      <c r="C26" s="4">
        <f t="shared" si="4"/>
        <v>0</v>
      </c>
      <c r="D26" s="4">
        <f t="shared" si="4"/>
        <v>0</v>
      </c>
      <c r="E26" s="4">
        <f t="shared" si="4"/>
        <v>0</v>
      </c>
      <c r="F26" s="4">
        <f t="shared" si="4"/>
        <v>0</v>
      </c>
      <c r="G26" s="13">
        <f t="shared" si="4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5">B26/14</f>
        <v>0</v>
      </c>
      <c r="C27" s="19">
        <f t="shared" si="5"/>
        <v>0</v>
      </c>
      <c r="D27" s="19">
        <f t="shared" si="5"/>
        <v>0</v>
      </c>
      <c r="E27" s="19">
        <f t="shared" si="5"/>
        <v>0</v>
      </c>
      <c r="F27" s="19">
        <f t="shared" si="5"/>
        <v>0</v>
      </c>
      <c r="G27" s="20">
        <f t="shared" si="5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ht="14.25" customHeight="1">
      <c r="B35" s="110"/>
      <c r="C35" s="114"/>
      <c r="E35" s="110"/>
      <c r="F35" s="115"/>
      <c r="G35" s="115"/>
      <c r="H35" s="115"/>
      <c r="I35" s="115"/>
    </row>
    <row r="36" spans="1:9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/>
    <row r="39" spans="1:9"/>
    <row r="40" spans="1:9"/>
    <row r="41" spans="1:9">
      <c r="A41" s="109"/>
    </row>
    <row r="42" spans="1:9" ht="19.5">
      <c r="A42" s="113"/>
    </row>
    <row r="43" spans="1:9">
      <c r="A43" s="116"/>
    </row>
  </sheetData>
  <sheetProtection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4"/>
  </sheetPr>
  <dimension ref="A1:I43"/>
  <sheetViews>
    <sheetView showGridLines="0" topLeftCell="A13" workbookViewId="0">
      <selection activeCell="I29" sqref="I29"/>
    </sheetView>
  </sheetViews>
  <sheetFormatPr defaultColWidth="0" defaultRowHeight="12.75" customHeight="1" zeroHeight="1"/>
  <cols>
    <col min="1" max="1" width="12.85546875" style="112" customWidth="1"/>
    <col min="2" max="2" width="16.28515625" style="112" customWidth="1"/>
    <col min="3" max="3" width="16.42578125" style="112" customWidth="1"/>
    <col min="4" max="4" width="16.7109375" style="112" customWidth="1"/>
    <col min="5" max="5" width="16.28515625" style="112" customWidth="1"/>
    <col min="6" max="6" width="16" style="112" customWidth="1"/>
    <col min="7" max="7" width="17.85546875" style="112" customWidth="1"/>
    <col min="8" max="8" width="12.85546875" style="112" customWidth="1"/>
    <col min="9" max="9" width="21" style="112" customWidth="1"/>
    <col min="10" max="10" width="9.140625" style="112" customWidth="1"/>
    <col min="11" max="16384" width="0" style="112" hidden="1"/>
  </cols>
  <sheetData>
    <row r="1" spans="1:9" s="107" customFormat="1" ht="47.25" customHeight="1">
      <c r="A1" s="178" t="s">
        <v>119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120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104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103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131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4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ht="14.25" customHeight="1">
      <c r="B35" s="110"/>
      <c r="C35" s="114"/>
      <c r="E35" s="110"/>
      <c r="F35" s="115"/>
      <c r="G35" s="115"/>
      <c r="H35" s="115"/>
      <c r="I35" s="115"/>
    </row>
    <row r="36" spans="1:9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/>
    <row r="39" spans="1:9"/>
    <row r="40" spans="1:9"/>
    <row r="41" spans="1:9">
      <c r="A41" s="109"/>
    </row>
    <row r="42" spans="1:9" ht="19.5">
      <c r="A42" s="113"/>
    </row>
    <row r="43" spans="1:9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</sheetPr>
  <dimension ref="A1:I43"/>
  <sheetViews>
    <sheetView showGridLines="0" topLeftCell="A13" workbookViewId="0">
      <selection activeCell="I29" sqref="I29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121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122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102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101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130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4" si="0">IF((H12=0),0,G12/H12)</f>
        <v>0</v>
      </c>
    </row>
    <row r="13" spans="1:9" s="1" customFormat="1" ht="16.5" customHeight="1">
      <c r="A13" s="93"/>
      <c r="B13" s="100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s="112" customFormat="1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s="112" customFormat="1" ht="14.25" customHeight="1">
      <c r="B35" s="110"/>
      <c r="C35" s="114"/>
      <c r="E35" s="110"/>
      <c r="F35" s="115"/>
      <c r="G35" s="115"/>
      <c r="H35" s="115"/>
      <c r="I35" s="115"/>
    </row>
    <row r="36" spans="1:9" s="112" customFormat="1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 s="112" customFormat="1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4"/>
  </sheetPr>
  <dimension ref="A1:I43"/>
  <sheetViews>
    <sheetView showGridLines="0" topLeftCell="A10" workbookViewId="0">
      <selection activeCell="I29" sqref="I29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123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124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100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99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131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4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s="112" customFormat="1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s="112" customFormat="1" ht="14.25" customHeight="1">
      <c r="B35" s="110"/>
      <c r="C35" s="114"/>
      <c r="E35" s="110"/>
      <c r="F35" s="115"/>
      <c r="G35" s="115"/>
      <c r="H35" s="115"/>
      <c r="I35" s="115"/>
    </row>
    <row r="36" spans="1:9" s="112" customFormat="1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 s="112" customFormat="1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4"/>
  </sheetPr>
  <dimension ref="A1:I43"/>
  <sheetViews>
    <sheetView showGridLines="0" topLeftCell="A10" workbookViewId="0">
      <selection activeCell="I29" sqref="I29"/>
    </sheetView>
  </sheetViews>
  <sheetFormatPr defaultColWidth="0" defaultRowHeight="12.75" customHeight="1" zeroHeight="1"/>
  <cols>
    <col min="1" max="1" width="12.85546875" style="112" customWidth="1"/>
    <col min="2" max="2" width="16.28515625" style="112" customWidth="1"/>
    <col min="3" max="3" width="16.42578125" style="112" customWidth="1"/>
    <col min="4" max="4" width="16.7109375" style="112" customWidth="1"/>
    <col min="5" max="5" width="16.28515625" style="112" customWidth="1"/>
    <col min="6" max="6" width="16" style="112" customWidth="1"/>
    <col min="7" max="7" width="17.85546875" style="112" customWidth="1"/>
    <col min="8" max="8" width="12.85546875" style="112" customWidth="1"/>
    <col min="9" max="9" width="20.42578125" style="112" customWidth="1"/>
    <col min="10" max="10" width="9.140625" style="112" customWidth="1"/>
    <col min="11" max="16384" width="0" style="112" hidden="1"/>
  </cols>
  <sheetData>
    <row r="1" spans="1:9" s="107" customFormat="1" ht="47.25" customHeight="1">
      <c r="A1" s="178" t="s">
        <v>125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126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97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98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131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4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ref="I25" si="2">IF((H25=0),0,G25/H25)</f>
        <v>0</v>
      </c>
    </row>
    <row r="26" spans="1:9" s="1" customFormat="1" ht="21" customHeight="1">
      <c r="A26" s="17" t="s">
        <v>21</v>
      </c>
      <c r="B26" s="15">
        <f t="shared" ref="B26:G26" si="3">SUM(B12:B25)</f>
        <v>0</v>
      </c>
      <c r="C26" s="4">
        <f t="shared" si="3"/>
        <v>0</v>
      </c>
      <c r="D26" s="4">
        <f t="shared" si="3"/>
        <v>0</v>
      </c>
      <c r="E26" s="4">
        <f t="shared" si="3"/>
        <v>0</v>
      </c>
      <c r="F26" s="4">
        <f t="shared" si="3"/>
        <v>0</v>
      </c>
      <c r="G26" s="13">
        <f t="shared" si="3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4">B26/14</f>
        <v>0</v>
      </c>
      <c r="C27" s="19">
        <f t="shared" si="4"/>
        <v>0</v>
      </c>
      <c r="D27" s="19">
        <f t="shared" si="4"/>
        <v>0</v>
      </c>
      <c r="E27" s="19">
        <f t="shared" si="4"/>
        <v>0</v>
      </c>
      <c r="F27" s="19">
        <f t="shared" si="4"/>
        <v>0</v>
      </c>
      <c r="G27" s="20">
        <f t="shared" si="4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ht="14.25" customHeight="1">
      <c r="B35" s="110"/>
      <c r="C35" s="114"/>
      <c r="E35" s="110"/>
      <c r="F35" s="115"/>
      <c r="G35" s="115"/>
      <c r="H35" s="115"/>
      <c r="I35" s="115"/>
    </row>
    <row r="36" spans="1:9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/>
    <row r="39" spans="1:9"/>
    <row r="40" spans="1:9"/>
    <row r="41" spans="1:9">
      <c r="A41" s="109"/>
    </row>
    <row r="42" spans="1:9" ht="19.5">
      <c r="A42" s="113"/>
    </row>
    <row r="43" spans="1:9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4"/>
  </sheetPr>
  <dimension ref="A1:I43"/>
  <sheetViews>
    <sheetView showGridLines="0" topLeftCell="A22" workbookViewId="0">
      <selection activeCell="I30" sqref="I30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127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128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96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95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82" t="s">
        <v>130</v>
      </c>
      <c r="I9" s="83" t="s">
        <v>129</v>
      </c>
    </row>
    <row r="10" spans="1:9" s="1" customFormat="1" ht="27.75" customHeight="1">
      <c r="A10" s="49" t="s">
        <v>4</v>
      </c>
      <c r="B10" s="54" t="s">
        <v>17</v>
      </c>
      <c r="C10" s="84" t="s">
        <v>18</v>
      </c>
      <c r="D10" s="84" t="s">
        <v>25</v>
      </c>
      <c r="E10" s="84" t="s">
        <v>19</v>
      </c>
      <c r="F10" s="55" t="s">
        <v>24</v>
      </c>
      <c r="G10" s="85" t="s">
        <v>20</v>
      </c>
      <c r="H10" s="135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15"/>
      <c r="G33" s="115"/>
      <c r="H33" s="115" t="s">
        <v>5</v>
      </c>
      <c r="I33" s="115"/>
    </row>
    <row r="34" spans="1:9" s="112" customFormat="1" ht="14.25" customHeight="1">
      <c r="A34" s="116" t="s">
        <v>53</v>
      </c>
      <c r="B34" s="110"/>
      <c r="C34" s="114"/>
      <c r="E34" s="110"/>
      <c r="F34" s="115"/>
      <c r="G34" s="115"/>
      <c r="H34" s="115"/>
      <c r="I34" s="115"/>
    </row>
    <row r="35" spans="1:9" s="112" customFormat="1" ht="14.25" customHeight="1">
      <c r="B35" s="110"/>
      <c r="C35" s="114"/>
      <c r="E35" s="110"/>
      <c r="F35" s="115"/>
      <c r="G35" s="115"/>
      <c r="H35" s="115"/>
      <c r="I35" s="115"/>
    </row>
    <row r="36" spans="1:9" s="112" customFormat="1" ht="20.25" customHeight="1">
      <c r="A36" s="117" t="s">
        <v>11</v>
      </c>
      <c r="B36" s="118"/>
      <c r="C36" s="119"/>
      <c r="D36" s="117" t="s">
        <v>7</v>
      </c>
      <c r="E36" s="117"/>
      <c r="F36" s="186"/>
      <c r="G36" s="186"/>
      <c r="H36" s="186" t="s">
        <v>6</v>
      </c>
      <c r="I36" s="186"/>
    </row>
    <row r="37" spans="1:9" s="112" customFormat="1">
      <c r="A37" s="120" t="s">
        <v>8</v>
      </c>
      <c r="B37" s="120"/>
      <c r="C37" s="121"/>
      <c r="D37" s="120" t="s">
        <v>9</v>
      </c>
      <c r="E37" s="120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14"/>
  </sheetPr>
  <dimension ref="A1:I43"/>
  <sheetViews>
    <sheetView showGridLines="0" topLeftCell="A13" workbookViewId="0">
      <selection activeCell="I29" sqref="I29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132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133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134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135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155" t="s">
        <v>130</v>
      </c>
      <c r="I9" s="83" t="s">
        <v>129</v>
      </c>
    </row>
    <row r="10" spans="1:9" s="1" customFormat="1" ht="27.75" customHeight="1">
      <c r="A10" s="49" t="s">
        <v>4</v>
      </c>
      <c r="B10" s="148" t="s">
        <v>17</v>
      </c>
      <c r="C10" s="149" t="s">
        <v>18</v>
      </c>
      <c r="D10" s="149" t="s">
        <v>25</v>
      </c>
      <c r="E10" s="149" t="s">
        <v>19</v>
      </c>
      <c r="F10" s="55" t="s">
        <v>24</v>
      </c>
      <c r="G10" s="85" t="s">
        <v>20</v>
      </c>
      <c r="H10" s="156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/>
      <c r="C12" s="63"/>
      <c r="D12" s="63"/>
      <c r="E12" s="63"/>
      <c r="F12" s="63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45"/>
      <c r="G33" s="145"/>
      <c r="H33" s="145" t="s">
        <v>5</v>
      </c>
      <c r="I33" s="145"/>
    </row>
    <row r="34" spans="1:9" s="112" customFormat="1" ht="14.25" customHeight="1">
      <c r="A34" s="116" t="s">
        <v>53</v>
      </c>
      <c r="B34" s="110"/>
      <c r="C34" s="114"/>
      <c r="E34" s="110"/>
      <c r="F34" s="145"/>
      <c r="G34" s="145"/>
      <c r="H34" s="145"/>
      <c r="I34" s="145"/>
    </row>
    <row r="35" spans="1:9" s="112" customFormat="1" ht="14.25" customHeight="1">
      <c r="B35" s="110"/>
      <c r="C35" s="114"/>
      <c r="E35" s="110"/>
      <c r="F35" s="145"/>
      <c r="G35" s="145"/>
      <c r="H35" s="145"/>
      <c r="I35" s="145"/>
    </row>
    <row r="36" spans="1:9" s="112" customFormat="1" ht="20.25" customHeight="1">
      <c r="A36" s="147" t="s">
        <v>11</v>
      </c>
      <c r="B36" s="118"/>
      <c r="C36" s="119"/>
      <c r="D36" s="147" t="s">
        <v>7</v>
      </c>
      <c r="E36" s="147"/>
      <c r="F36" s="186"/>
      <c r="G36" s="186"/>
      <c r="H36" s="186" t="s">
        <v>6</v>
      </c>
      <c r="I36" s="186"/>
    </row>
    <row r="37" spans="1:9" s="112" customFormat="1">
      <c r="A37" s="146" t="s">
        <v>8</v>
      </c>
      <c r="B37" s="146"/>
      <c r="C37" s="121"/>
      <c r="D37" s="146" t="s">
        <v>9</v>
      </c>
      <c r="E37" s="146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30:H30"/>
    <mergeCell ref="A31:H31"/>
    <mergeCell ref="F36:G36"/>
    <mergeCell ref="H36:I36"/>
    <mergeCell ref="F37:G37"/>
    <mergeCell ref="H37:I37"/>
    <mergeCell ref="A29:H29"/>
    <mergeCell ref="A1:I1"/>
    <mergeCell ref="A2:I2"/>
    <mergeCell ref="B7:I7"/>
    <mergeCell ref="B8:I8"/>
    <mergeCell ref="A28:I28"/>
  </mergeCells>
  <dataValidations count="2"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4"/>
  </sheetPr>
  <dimension ref="A1:I43"/>
  <sheetViews>
    <sheetView showGridLines="0" topLeftCell="A10" workbookViewId="0">
      <selection activeCell="I30" sqref="I30"/>
    </sheetView>
  </sheetViews>
  <sheetFormatPr defaultColWidth="0" defaultRowHeight="12.75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178" t="s">
        <v>136</v>
      </c>
      <c r="B1" s="178"/>
      <c r="C1" s="178"/>
      <c r="D1" s="178"/>
      <c r="E1" s="178"/>
      <c r="F1" s="178"/>
      <c r="G1" s="178"/>
      <c r="H1" s="178"/>
      <c r="I1" s="178"/>
    </row>
    <row r="2" spans="1:9" s="108" customFormat="1" ht="39.75" customHeight="1">
      <c r="A2" s="179" t="s">
        <v>137</v>
      </c>
      <c r="B2" s="179"/>
      <c r="C2" s="179"/>
      <c r="D2" s="179"/>
      <c r="E2" s="179"/>
      <c r="F2" s="179"/>
      <c r="G2" s="179"/>
      <c r="H2" s="179"/>
      <c r="I2" s="179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138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139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11" t="s">
        <v>71</v>
      </c>
      <c r="C7" s="182"/>
      <c r="D7" s="182"/>
      <c r="E7" s="182"/>
      <c r="F7" s="182"/>
      <c r="G7" s="182"/>
      <c r="H7" s="182"/>
      <c r="I7" s="183"/>
    </row>
    <row r="8" spans="1:9" s="1" customFormat="1" ht="21" customHeight="1">
      <c r="A8" s="79" t="s">
        <v>2</v>
      </c>
      <c r="B8" s="212" t="s">
        <v>72</v>
      </c>
      <c r="C8" s="212"/>
      <c r="D8" s="212"/>
      <c r="E8" s="212"/>
      <c r="F8" s="212"/>
      <c r="G8" s="212"/>
      <c r="H8" s="212"/>
      <c r="I8" s="213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155" t="s">
        <v>130</v>
      </c>
      <c r="I9" s="83" t="s">
        <v>129</v>
      </c>
    </row>
    <row r="10" spans="1:9" s="1" customFormat="1" ht="27.75" customHeight="1">
      <c r="A10" s="49" t="s">
        <v>4</v>
      </c>
      <c r="B10" s="153" t="s">
        <v>17</v>
      </c>
      <c r="C10" s="154" t="s">
        <v>18</v>
      </c>
      <c r="D10" s="154" t="s">
        <v>25</v>
      </c>
      <c r="E10" s="154" t="s">
        <v>19</v>
      </c>
      <c r="F10" s="55" t="s">
        <v>24</v>
      </c>
      <c r="G10" s="85" t="s">
        <v>20</v>
      </c>
      <c r="H10" s="156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94">
        <v>13231</v>
      </c>
      <c r="C12" s="63"/>
      <c r="D12" s="63"/>
      <c r="E12" s="63"/>
      <c r="F12" s="63"/>
      <c r="G12" s="97">
        <f>SUM(B12:F12)</f>
        <v>13231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94"/>
      <c r="C13" s="63"/>
      <c r="D13" s="63"/>
      <c r="E13" s="63"/>
      <c r="F13" s="63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94"/>
      <c r="C14" s="63"/>
      <c r="D14" s="63"/>
      <c r="E14" s="63"/>
      <c r="F14" s="63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94"/>
      <c r="C15" s="63"/>
      <c r="D15" s="63"/>
      <c r="E15" s="63"/>
      <c r="F15" s="63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94"/>
      <c r="C16" s="63"/>
      <c r="D16" s="63"/>
      <c r="E16" s="63"/>
      <c r="F16" s="63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94"/>
      <c r="C17" s="63"/>
      <c r="D17" s="63"/>
      <c r="E17" s="63"/>
      <c r="F17" s="63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94"/>
      <c r="C18" s="63"/>
      <c r="D18" s="63"/>
      <c r="E18" s="63"/>
      <c r="F18" s="63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94"/>
      <c r="C19" s="63"/>
      <c r="D19" s="63"/>
      <c r="E19" s="63"/>
      <c r="F19" s="63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94"/>
      <c r="C20" s="63"/>
      <c r="D20" s="63"/>
      <c r="E20" s="63"/>
      <c r="F20" s="63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94"/>
      <c r="C21" s="63"/>
      <c r="D21" s="63"/>
      <c r="E21" s="63"/>
      <c r="F21" s="63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94"/>
      <c r="C22" s="63"/>
      <c r="D22" s="63"/>
      <c r="E22" s="63"/>
      <c r="F22" s="63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94"/>
      <c r="C23" s="63"/>
      <c r="D23" s="63"/>
      <c r="E23" s="63"/>
      <c r="F23" s="63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94"/>
      <c r="C24" s="63"/>
      <c r="D24" s="63"/>
      <c r="E24" s="63"/>
      <c r="F24" s="63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94"/>
      <c r="C25" s="63"/>
      <c r="D25" s="63"/>
      <c r="E25" s="63"/>
      <c r="F25" s="63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13231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13231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945.07142857142856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945.07142857142856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09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50"/>
      <c r="G33" s="150"/>
      <c r="H33" s="150" t="s">
        <v>5</v>
      </c>
      <c r="I33" s="150"/>
    </row>
    <row r="34" spans="1:9" s="112" customFormat="1" ht="14.25" customHeight="1">
      <c r="A34" s="116" t="s">
        <v>53</v>
      </c>
      <c r="B34" s="110"/>
      <c r="C34" s="114"/>
      <c r="E34" s="110"/>
      <c r="F34" s="150"/>
      <c r="G34" s="150"/>
      <c r="H34" s="150"/>
      <c r="I34" s="150"/>
    </row>
    <row r="35" spans="1:9" s="112" customFormat="1" ht="14.25" customHeight="1">
      <c r="B35" s="110"/>
      <c r="C35" s="114"/>
      <c r="E35" s="110"/>
      <c r="F35" s="150"/>
      <c r="G35" s="150"/>
      <c r="H35" s="150"/>
      <c r="I35" s="150"/>
    </row>
    <row r="36" spans="1:9" s="112" customFormat="1" ht="20.25" customHeight="1">
      <c r="A36" s="152" t="s">
        <v>11</v>
      </c>
      <c r="B36" s="118"/>
      <c r="C36" s="119"/>
      <c r="D36" s="152" t="s">
        <v>7</v>
      </c>
      <c r="E36" s="152"/>
      <c r="F36" s="186"/>
      <c r="G36" s="186"/>
      <c r="H36" s="186" t="s">
        <v>6</v>
      </c>
      <c r="I36" s="186"/>
    </row>
    <row r="37" spans="1:9" s="112" customFormat="1">
      <c r="A37" s="151" t="s">
        <v>8</v>
      </c>
      <c r="B37" s="151"/>
      <c r="C37" s="121"/>
      <c r="D37" s="151" t="s">
        <v>9</v>
      </c>
      <c r="E37" s="151"/>
      <c r="F37" s="181"/>
      <c r="G37" s="181"/>
      <c r="H37" s="181" t="s">
        <v>10</v>
      </c>
      <c r="I37" s="181"/>
    </row>
    <row r="38" spans="1:9" s="112" customFormat="1"/>
    <row r="39" spans="1:9" s="112" customFormat="1"/>
    <row r="40" spans="1:9" s="112" customFormat="1"/>
    <row r="41" spans="1:9" s="112" customFormat="1">
      <c r="A41" s="109"/>
    </row>
    <row r="42" spans="1:9" s="112" customFormat="1" ht="19.5">
      <c r="A42" s="113"/>
    </row>
    <row r="43" spans="1:9" s="112" customFormat="1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indexed="14"/>
  </sheetPr>
  <dimension ref="A1:I43"/>
  <sheetViews>
    <sheetView showGridLines="0" topLeftCell="C18" workbookViewId="0">
      <selection activeCell="I29" sqref="I29"/>
    </sheetView>
  </sheetViews>
  <sheetFormatPr defaultColWidth="0" defaultRowHeight="0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221" t="s">
        <v>151</v>
      </c>
      <c r="B1" s="221"/>
      <c r="C1" s="221"/>
      <c r="D1" s="221"/>
      <c r="E1" s="221"/>
      <c r="F1" s="221"/>
      <c r="G1" s="221"/>
      <c r="H1" s="221"/>
      <c r="I1" s="221"/>
    </row>
    <row r="2" spans="1:9" s="108" customFormat="1" ht="39.75" customHeight="1">
      <c r="A2" s="222" t="s">
        <v>152</v>
      </c>
      <c r="B2" s="222"/>
      <c r="C2" s="222"/>
      <c r="D2" s="222"/>
      <c r="E2" s="222"/>
      <c r="F2" s="222"/>
      <c r="G2" s="222"/>
      <c r="H2" s="222"/>
      <c r="I2" s="222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153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154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23" t="s">
        <v>71</v>
      </c>
      <c r="C7" s="224"/>
      <c r="D7" s="224"/>
      <c r="E7" s="224"/>
      <c r="F7" s="224"/>
      <c r="G7" s="224"/>
      <c r="H7" s="224"/>
      <c r="I7" s="225"/>
    </row>
    <row r="8" spans="1:9" s="1" customFormat="1" ht="21" customHeight="1">
      <c r="A8" s="79" t="s">
        <v>2</v>
      </c>
      <c r="B8" s="226" t="s">
        <v>72</v>
      </c>
      <c r="C8" s="226"/>
      <c r="D8" s="226"/>
      <c r="E8" s="226"/>
      <c r="F8" s="226"/>
      <c r="G8" s="226"/>
      <c r="H8" s="226"/>
      <c r="I8" s="227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155" t="s">
        <v>130</v>
      </c>
      <c r="I9" s="83" t="s">
        <v>129</v>
      </c>
    </row>
    <row r="10" spans="1:9" s="1" customFormat="1" ht="27.75" customHeight="1">
      <c r="A10" s="49" t="s">
        <v>4</v>
      </c>
      <c r="B10" s="173" t="s">
        <v>17</v>
      </c>
      <c r="C10" s="174" t="s">
        <v>18</v>
      </c>
      <c r="D10" s="174" t="s">
        <v>25</v>
      </c>
      <c r="E10" s="174" t="s">
        <v>19</v>
      </c>
      <c r="F10" s="55" t="s">
        <v>24</v>
      </c>
      <c r="G10" s="85" t="s">
        <v>20</v>
      </c>
      <c r="H10" s="156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100"/>
      <c r="C12" s="101"/>
      <c r="D12" s="101"/>
      <c r="E12" s="101"/>
      <c r="F12" s="101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100"/>
      <c r="C13" s="101"/>
      <c r="D13" s="101"/>
      <c r="E13" s="101"/>
      <c r="F13" s="101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100"/>
      <c r="C14" s="101"/>
      <c r="D14" s="101"/>
      <c r="E14" s="101"/>
      <c r="F14" s="101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100"/>
      <c r="C15" s="101"/>
      <c r="D15" s="101"/>
      <c r="E15" s="101"/>
      <c r="F15" s="101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100"/>
      <c r="C16" s="101"/>
      <c r="D16" s="101"/>
      <c r="E16" s="101"/>
      <c r="F16" s="101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100"/>
      <c r="C17" s="101"/>
      <c r="D17" s="101"/>
      <c r="E17" s="101"/>
      <c r="F17" s="101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100"/>
      <c r="C18" s="101"/>
      <c r="D18" s="101"/>
      <c r="E18" s="101"/>
      <c r="F18" s="101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100"/>
      <c r="C19" s="101"/>
      <c r="D19" s="101"/>
      <c r="E19" s="101"/>
      <c r="F19" s="101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100"/>
      <c r="C20" s="101"/>
      <c r="D20" s="101"/>
      <c r="E20" s="101"/>
      <c r="F20" s="101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100"/>
      <c r="C21" s="101"/>
      <c r="D21" s="101"/>
      <c r="E21" s="101"/>
      <c r="F21" s="101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100"/>
      <c r="C22" s="101"/>
      <c r="D22" s="101"/>
      <c r="E22" s="101"/>
      <c r="F22" s="101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100"/>
      <c r="C23" s="101"/>
      <c r="D23" s="101"/>
      <c r="E23" s="101"/>
      <c r="F23" s="101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100"/>
      <c r="C24" s="101"/>
      <c r="D24" s="101"/>
      <c r="E24" s="101"/>
      <c r="F24" s="101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100"/>
      <c r="C25" s="101"/>
      <c r="D25" s="101"/>
      <c r="E25" s="101"/>
      <c r="F25" s="101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75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70"/>
      <c r="G33" s="170"/>
      <c r="H33" s="170" t="s">
        <v>5</v>
      </c>
      <c r="I33" s="170"/>
    </row>
    <row r="34" spans="1:9" s="112" customFormat="1" ht="14.25" customHeight="1">
      <c r="A34" s="116" t="s">
        <v>53</v>
      </c>
      <c r="B34" s="110"/>
      <c r="C34" s="114"/>
      <c r="E34" s="110"/>
      <c r="F34" s="170"/>
      <c r="G34" s="170"/>
      <c r="H34" s="170"/>
      <c r="I34" s="170"/>
    </row>
    <row r="35" spans="1:9" s="112" customFormat="1" ht="14.25" customHeight="1">
      <c r="B35" s="110"/>
      <c r="C35" s="114"/>
      <c r="E35" s="110"/>
      <c r="F35" s="170"/>
      <c r="G35" s="170"/>
      <c r="H35" s="170"/>
      <c r="I35" s="170"/>
    </row>
    <row r="36" spans="1:9" s="112" customFormat="1" ht="20.25" customHeight="1">
      <c r="A36" s="172" t="s">
        <v>11</v>
      </c>
      <c r="B36" s="118"/>
      <c r="C36" s="119"/>
      <c r="D36" s="172" t="s">
        <v>7</v>
      </c>
      <c r="E36" s="172"/>
      <c r="F36" s="186"/>
      <c r="G36" s="186"/>
      <c r="H36" s="186" t="s">
        <v>6</v>
      </c>
      <c r="I36" s="186"/>
    </row>
    <row r="37" spans="1:9" s="112" customFormat="1" ht="12.75">
      <c r="A37" s="171" t="s">
        <v>8</v>
      </c>
      <c r="B37" s="171"/>
      <c r="C37" s="121"/>
      <c r="D37" s="171" t="s">
        <v>9</v>
      </c>
      <c r="E37" s="171"/>
      <c r="F37" s="181"/>
      <c r="G37" s="181"/>
      <c r="H37" s="181" t="s">
        <v>10</v>
      </c>
      <c r="I37" s="181"/>
    </row>
    <row r="38" spans="1:9" s="112" customFormat="1" ht="12.75"/>
    <row r="39" spans="1:9" s="112" customFormat="1" ht="12.75"/>
    <row r="40" spans="1:9" s="112" customFormat="1" ht="12.75"/>
    <row r="41" spans="1:9" s="112" customFormat="1" ht="12.75">
      <c r="A41" s="175"/>
    </row>
    <row r="42" spans="1:9" s="112" customFormat="1" ht="19.5">
      <c r="A42" s="113"/>
    </row>
    <row r="43" spans="1:9" s="112" customFormat="1" ht="12.75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errorTitle="Validation Rule" error="Allow only number" sqref="B12:F25">
      <formula1>0</formula1>
    </dataValidation>
    <dataValidation type="decimal" operator="greaterThanOrEqual" allowBlank="1" showInputMessage="1" showErrorMessage="1" sqref="I30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indexed="14"/>
  </sheetPr>
  <dimension ref="A1:I43"/>
  <sheetViews>
    <sheetView showGridLines="0" topLeftCell="C19" workbookViewId="0">
      <selection activeCell="I29" sqref="I29"/>
    </sheetView>
  </sheetViews>
  <sheetFormatPr defaultColWidth="0" defaultRowHeight="0" customHeight="1" zeroHeight="1"/>
  <cols>
    <col min="1" max="1" width="12.85546875" customWidth="1"/>
    <col min="2" max="2" width="16.28515625" customWidth="1"/>
    <col min="3" max="3" width="16.42578125" customWidth="1"/>
    <col min="4" max="4" width="16.7109375" customWidth="1"/>
    <col min="5" max="5" width="16.28515625" customWidth="1"/>
    <col min="6" max="6" width="16" customWidth="1"/>
    <col min="7" max="7" width="17.85546875" customWidth="1"/>
    <col min="8" max="8" width="12.85546875" customWidth="1"/>
    <col min="9" max="9" width="17.7109375" customWidth="1"/>
    <col min="10" max="10" width="9.140625" customWidth="1"/>
  </cols>
  <sheetData>
    <row r="1" spans="1:9" s="107" customFormat="1" ht="47.25" customHeight="1">
      <c r="A1" s="221" t="s">
        <v>151</v>
      </c>
      <c r="B1" s="221"/>
      <c r="C1" s="221"/>
      <c r="D1" s="221"/>
      <c r="E1" s="221"/>
      <c r="F1" s="221"/>
      <c r="G1" s="221"/>
      <c r="H1" s="221"/>
      <c r="I1" s="221"/>
    </row>
    <row r="2" spans="1:9" s="108" customFormat="1" ht="39.75" customHeight="1">
      <c r="A2" s="222" t="s">
        <v>152</v>
      </c>
      <c r="B2" s="222"/>
      <c r="C2" s="222"/>
      <c r="D2" s="222"/>
      <c r="E2" s="222"/>
      <c r="F2" s="222"/>
      <c r="G2" s="222"/>
      <c r="H2" s="222"/>
      <c r="I2" s="222"/>
    </row>
    <row r="3" spans="1:9" s="42" customFormat="1" ht="24.75">
      <c r="A3" s="34" t="s">
        <v>41</v>
      </c>
      <c r="B3" s="35"/>
      <c r="C3" s="36"/>
      <c r="D3" s="35"/>
      <c r="E3" s="35"/>
      <c r="F3" s="35"/>
      <c r="I3" s="103" t="s">
        <v>153</v>
      </c>
    </row>
    <row r="4" spans="1:9" s="38" customFormat="1" ht="21.75">
      <c r="A4" s="37" t="s">
        <v>42</v>
      </c>
      <c r="C4" s="39"/>
      <c r="D4" s="40"/>
      <c r="E4" s="40"/>
      <c r="F4" s="40"/>
      <c r="I4" s="104" t="s">
        <v>154</v>
      </c>
    </row>
    <row r="5" spans="1:9" s="42" customFormat="1" ht="24.75">
      <c r="A5" s="41" t="s">
        <v>58</v>
      </c>
      <c r="C5" s="43"/>
      <c r="E5" s="91"/>
      <c r="F5" s="91"/>
      <c r="G5" s="98"/>
      <c r="I5" s="98" t="s">
        <v>38</v>
      </c>
    </row>
    <row r="6" spans="1:9" s="42" customFormat="1" ht="22.5" thickBot="1">
      <c r="A6" s="44" t="s">
        <v>43</v>
      </c>
      <c r="C6" s="45"/>
      <c r="E6" s="91"/>
      <c r="F6" s="91"/>
      <c r="G6" s="99"/>
      <c r="I6" s="99" t="s">
        <v>39</v>
      </c>
    </row>
    <row r="7" spans="1:9" s="1" customFormat="1" ht="21" customHeight="1" thickTop="1">
      <c r="A7" s="78" t="s">
        <v>1</v>
      </c>
      <c r="B7" s="223" t="s">
        <v>71</v>
      </c>
      <c r="C7" s="224"/>
      <c r="D7" s="224"/>
      <c r="E7" s="224"/>
      <c r="F7" s="224"/>
      <c r="G7" s="224"/>
      <c r="H7" s="224"/>
      <c r="I7" s="225"/>
    </row>
    <row r="8" spans="1:9" s="1" customFormat="1" ht="21" customHeight="1">
      <c r="A8" s="79" t="s">
        <v>2</v>
      </c>
      <c r="B8" s="226" t="s">
        <v>72</v>
      </c>
      <c r="C8" s="226"/>
      <c r="D8" s="226"/>
      <c r="E8" s="226"/>
      <c r="F8" s="226"/>
      <c r="G8" s="226"/>
      <c r="H8" s="226"/>
      <c r="I8" s="227"/>
    </row>
    <row r="9" spans="1:9" s="1" customFormat="1" ht="41.25" customHeight="1">
      <c r="A9" s="80" t="s">
        <v>3</v>
      </c>
      <c r="B9" s="51" t="s">
        <v>13</v>
      </c>
      <c r="C9" s="51" t="s">
        <v>14</v>
      </c>
      <c r="D9" s="51" t="s">
        <v>15</v>
      </c>
      <c r="E9" s="51" t="s">
        <v>16</v>
      </c>
      <c r="F9" s="51" t="s">
        <v>26</v>
      </c>
      <c r="G9" s="81" t="s">
        <v>0</v>
      </c>
      <c r="H9" s="155" t="s">
        <v>130</v>
      </c>
      <c r="I9" s="83" t="s">
        <v>129</v>
      </c>
    </row>
    <row r="10" spans="1:9" s="1" customFormat="1" ht="27.75" customHeight="1">
      <c r="A10" s="49" t="s">
        <v>4</v>
      </c>
      <c r="B10" s="173" t="s">
        <v>17</v>
      </c>
      <c r="C10" s="174" t="s">
        <v>18</v>
      </c>
      <c r="D10" s="174" t="s">
        <v>25</v>
      </c>
      <c r="E10" s="174" t="s">
        <v>19</v>
      </c>
      <c r="F10" s="55" t="s">
        <v>24</v>
      </c>
      <c r="G10" s="85" t="s">
        <v>20</v>
      </c>
      <c r="H10" s="156" t="s">
        <v>40</v>
      </c>
      <c r="I10" s="86" t="s">
        <v>36</v>
      </c>
    </row>
    <row r="11" spans="1:9" s="3" customFormat="1" ht="16.5" customHeight="1">
      <c r="A11" s="87"/>
      <c r="B11" s="88">
        <v>1</v>
      </c>
      <c r="C11" s="88">
        <v>2</v>
      </c>
      <c r="D11" s="88">
        <v>3</v>
      </c>
      <c r="E11" s="88">
        <v>4</v>
      </c>
      <c r="F11" s="88">
        <v>5</v>
      </c>
      <c r="G11" s="89" t="s">
        <v>30</v>
      </c>
      <c r="H11" s="88">
        <v>7</v>
      </c>
      <c r="I11" s="90" t="s">
        <v>37</v>
      </c>
    </row>
    <row r="12" spans="1:9" s="1" customFormat="1" ht="16.5" customHeight="1">
      <c r="A12" s="93"/>
      <c r="B12" s="100"/>
      <c r="C12" s="101"/>
      <c r="D12" s="101"/>
      <c r="E12" s="101"/>
      <c r="F12" s="101"/>
      <c r="G12" s="97">
        <f>SUM(B12:F12)</f>
        <v>0</v>
      </c>
      <c r="H12" s="95"/>
      <c r="I12" s="92">
        <f t="shared" ref="I12:I25" si="0">IF((H12=0),0,G12/H12)</f>
        <v>0</v>
      </c>
    </row>
    <row r="13" spans="1:9" s="1" customFormat="1" ht="16.5" customHeight="1">
      <c r="A13" s="93"/>
      <c r="B13" s="100"/>
      <c r="C13" s="101"/>
      <c r="D13" s="101"/>
      <c r="E13" s="101"/>
      <c r="F13" s="101"/>
      <c r="G13" s="97">
        <f t="shared" ref="G13:G25" si="1">SUM(B13:F13)</f>
        <v>0</v>
      </c>
      <c r="H13" s="96"/>
      <c r="I13" s="92">
        <f t="shared" si="0"/>
        <v>0</v>
      </c>
    </row>
    <row r="14" spans="1:9" s="1" customFormat="1" ht="16.5" customHeight="1">
      <c r="A14" s="93"/>
      <c r="B14" s="100"/>
      <c r="C14" s="101"/>
      <c r="D14" s="101"/>
      <c r="E14" s="101"/>
      <c r="F14" s="101"/>
      <c r="G14" s="97">
        <f t="shared" si="1"/>
        <v>0</v>
      </c>
      <c r="H14" s="96"/>
      <c r="I14" s="92">
        <f t="shared" si="0"/>
        <v>0</v>
      </c>
    </row>
    <row r="15" spans="1:9" s="1" customFormat="1" ht="16.5" customHeight="1">
      <c r="A15" s="93"/>
      <c r="B15" s="100"/>
      <c r="C15" s="101"/>
      <c r="D15" s="101"/>
      <c r="E15" s="101"/>
      <c r="F15" s="101"/>
      <c r="G15" s="97">
        <f t="shared" si="1"/>
        <v>0</v>
      </c>
      <c r="H15" s="96"/>
      <c r="I15" s="92">
        <f t="shared" si="0"/>
        <v>0</v>
      </c>
    </row>
    <row r="16" spans="1:9" s="1" customFormat="1" ht="16.5" customHeight="1">
      <c r="A16" s="93"/>
      <c r="B16" s="100"/>
      <c r="C16" s="101"/>
      <c r="D16" s="101"/>
      <c r="E16" s="101"/>
      <c r="F16" s="101"/>
      <c r="G16" s="97">
        <f t="shared" si="1"/>
        <v>0</v>
      </c>
      <c r="H16" s="96"/>
      <c r="I16" s="92">
        <f t="shared" si="0"/>
        <v>0</v>
      </c>
    </row>
    <row r="17" spans="1:9" s="1" customFormat="1" ht="16.5" customHeight="1">
      <c r="A17" s="93"/>
      <c r="B17" s="100"/>
      <c r="C17" s="101"/>
      <c r="D17" s="101"/>
      <c r="E17" s="101"/>
      <c r="F17" s="101"/>
      <c r="G17" s="97">
        <f t="shared" si="1"/>
        <v>0</v>
      </c>
      <c r="H17" s="96"/>
      <c r="I17" s="92">
        <f t="shared" si="0"/>
        <v>0</v>
      </c>
    </row>
    <row r="18" spans="1:9" s="1" customFormat="1" ht="16.5" customHeight="1">
      <c r="A18" s="93"/>
      <c r="B18" s="100"/>
      <c r="C18" s="101"/>
      <c r="D18" s="101"/>
      <c r="E18" s="101"/>
      <c r="F18" s="101"/>
      <c r="G18" s="97">
        <f t="shared" si="1"/>
        <v>0</v>
      </c>
      <c r="H18" s="96"/>
      <c r="I18" s="92">
        <f t="shared" si="0"/>
        <v>0</v>
      </c>
    </row>
    <row r="19" spans="1:9" s="1" customFormat="1" ht="16.5" customHeight="1">
      <c r="A19" s="93"/>
      <c r="B19" s="100"/>
      <c r="C19" s="101"/>
      <c r="D19" s="101"/>
      <c r="E19" s="101"/>
      <c r="F19" s="101"/>
      <c r="G19" s="97">
        <f t="shared" si="1"/>
        <v>0</v>
      </c>
      <c r="H19" s="96"/>
      <c r="I19" s="92">
        <f t="shared" si="0"/>
        <v>0</v>
      </c>
    </row>
    <row r="20" spans="1:9" s="1" customFormat="1" ht="16.5" customHeight="1">
      <c r="A20" s="93"/>
      <c r="B20" s="100"/>
      <c r="C20" s="101"/>
      <c r="D20" s="101"/>
      <c r="E20" s="101"/>
      <c r="F20" s="101"/>
      <c r="G20" s="97">
        <f t="shared" si="1"/>
        <v>0</v>
      </c>
      <c r="H20" s="96"/>
      <c r="I20" s="92">
        <f t="shared" si="0"/>
        <v>0</v>
      </c>
    </row>
    <row r="21" spans="1:9" s="1" customFormat="1" ht="16.5" customHeight="1">
      <c r="A21" s="93"/>
      <c r="B21" s="100"/>
      <c r="C21" s="101"/>
      <c r="D21" s="101"/>
      <c r="E21" s="101"/>
      <c r="F21" s="101"/>
      <c r="G21" s="97">
        <f t="shared" si="1"/>
        <v>0</v>
      </c>
      <c r="H21" s="96"/>
      <c r="I21" s="92">
        <f t="shared" si="0"/>
        <v>0</v>
      </c>
    </row>
    <row r="22" spans="1:9" s="1" customFormat="1" ht="16.5" customHeight="1">
      <c r="A22" s="93"/>
      <c r="B22" s="100"/>
      <c r="C22" s="101"/>
      <c r="D22" s="101"/>
      <c r="E22" s="101"/>
      <c r="F22" s="101"/>
      <c r="G22" s="97">
        <f t="shared" si="1"/>
        <v>0</v>
      </c>
      <c r="H22" s="96"/>
      <c r="I22" s="92">
        <f t="shared" si="0"/>
        <v>0</v>
      </c>
    </row>
    <row r="23" spans="1:9" s="1" customFormat="1" ht="16.5" customHeight="1">
      <c r="A23" s="93"/>
      <c r="B23" s="100"/>
      <c r="C23" s="101"/>
      <c r="D23" s="101"/>
      <c r="E23" s="101"/>
      <c r="F23" s="101"/>
      <c r="G23" s="97">
        <f t="shared" si="1"/>
        <v>0</v>
      </c>
      <c r="H23" s="96"/>
      <c r="I23" s="92">
        <f t="shared" si="0"/>
        <v>0</v>
      </c>
    </row>
    <row r="24" spans="1:9" s="1" customFormat="1" ht="16.5" customHeight="1">
      <c r="A24" s="93"/>
      <c r="B24" s="100"/>
      <c r="C24" s="101"/>
      <c r="D24" s="101"/>
      <c r="E24" s="101"/>
      <c r="F24" s="101"/>
      <c r="G24" s="97">
        <f t="shared" si="1"/>
        <v>0</v>
      </c>
      <c r="H24" s="96"/>
      <c r="I24" s="92">
        <f t="shared" si="0"/>
        <v>0</v>
      </c>
    </row>
    <row r="25" spans="1:9" s="1" customFormat="1" ht="16.5" customHeight="1" thickBot="1">
      <c r="A25" s="93"/>
      <c r="B25" s="100"/>
      <c r="C25" s="101"/>
      <c r="D25" s="101"/>
      <c r="E25" s="101"/>
      <c r="F25" s="101"/>
      <c r="G25" s="97">
        <f t="shared" si="1"/>
        <v>0</v>
      </c>
      <c r="H25" s="95"/>
      <c r="I25" s="92">
        <f t="shared" si="0"/>
        <v>0</v>
      </c>
    </row>
    <row r="26" spans="1:9" s="1" customFormat="1" ht="21" customHeight="1">
      <c r="A26" s="17" t="s">
        <v>21</v>
      </c>
      <c r="B26" s="15">
        <f t="shared" ref="B26:G26" si="2">SUM(B12:B25)</f>
        <v>0</v>
      </c>
      <c r="C26" s="4">
        <f t="shared" si="2"/>
        <v>0</v>
      </c>
      <c r="D26" s="4">
        <f t="shared" si="2"/>
        <v>0</v>
      </c>
      <c r="E26" s="4">
        <f t="shared" si="2"/>
        <v>0</v>
      </c>
      <c r="F26" s="4">
        <f t="shared" si="2"/>
        <v>0</v>
      </c>
      <c r="G26" s="13">
        <f t="shared" si="2"/>
        <v>0</v>
      </c>
      <c r="H26" s="15"/>
      <c r="I26" s="21">
        <f>SUM(I12:I25)</f>
        <v>0</v>
      </c>
    </row>
    <row r="27" spans="1:9" s="1" customFormat="1" ht="39.75" customHeight="1">
      <c r="A27" s="18" t="s">
        <v>22</v>
      </c>
      <c r="B27" s="16">
        <f t="shared" ref="B27:G27" si="3">B26/14</f>
        <v>0</v>
      </c>
      <c r="C27" s="19">
        <f t="shared" si="3"/>
        <v>0</v>
      </c>
      <c r="D27" s="19">
        <f t="shared" si="3"/>
        <v>0</v>
      </c>
      <c r="E27" s="19">
        <f t="shared" si="3"/>
        <v>0</v>
      </c>
      <c r="F27" s="19">
        <f t="shared" si="3"/>
        <v>0</v>
      </c>
      <c r="G27" s="20">
        <f t="shared" si="3"/>
        <v>0</v>
      </c>
      <c r="H27" s="16"/>
      <c r="I27" s="22">
        <f>I26/14</f>
        <v>0</v>
      </c>
    </row>
    <row r="28" spans="1:9" s="1" customFormat="1" ht="25.5" customHeight="1">
      <c r="A28" s="218" t="s">
        <v>35</v>
      </c>
      <c r="B28" s="219"/>
      <c r="C28" s="219"/>
      <c r="D28" s="219"/>
      <c r="E28" s="219"/>
      <c r="F28" s="219"/>
      <c r="G28" s="219"/>
      <c r="H28" s="219"/>
      <c r="I28" s="220"/>
    </row>
    <row r="29" spans="1:9" s="1" customFormat="1" ht="25.5" customHeight="1">
      <c r="A29" s="190" t="s">
        <v>76</v>
      </c>
      <c r="B29" s="191"/>
      <c r="C29" s="191"/>
      <c r="D29" s="191"/>
      <c r="E29" s="191"/>
      <c r="F29" s="191"/>
      <c r="G29" s="191"/>
      <c r="H29" s="191"/>
      <c r="I29" s="229">
        <v>0.125</v>
      </c>
    </row>
    <row r="30" spans="1:9" s="1" customFormat="1" ht="22.5" customHeight="1">
      <c r="A30" s="190" t="s">
        <v>56</v>
      </c>
      <c r="B30" s="191"/>
      <c r="C30" s="191"/>
      <c r="D30" s="191"/>
      <c r="E30" s="191"/>
      <c r="F30" s="191"/>
      <c r="G30" s="191"/>
      <c r="H30" s="191"/>
      <c r="I30" s="134">
        <f>I27*I29</f>
        <v>0</v>
      </c>
    </row>
    <row r="31" spans="1:9" s="1" customFormat="1" ht="24" customHeight="1" thickBot="1">
      <c r="A31" s="216" t="s">
        <v>75</v>
      </c>
      <c r="B31" s="217"/>
      <c r="C31" s="217"/>
      <c r="D31" s="217"/>
      <c r="E31" s="217"/>
      <c r="F31" s="217"/>
      <c r="G31" s="217"/>
      <c r="H31" s="217"/>
      <c r="I31" s="32">
        <f>I30*0.8</f>
        <v>0</v>
      </c>
    </row>
    <row r="32" spans="1:9" s="112" customFormat="1" ht="20.25" customHeight="1" thickTop="1">
      <c r="A32" s="175" t="s">
        <v>54</v>
      </c>
      <c r="B32" s="110"/>
      <c r="C32" s="110"/>
      <c r="D32" s="110"/>
      <c r="E32" s="110"/>
      <c r="F32" s="111"/>
      <c r="G32" s="111"/>
      <c r="H32" s="111" t="s">
        <v>45</v>
      </c>
      <c r="I32" s="111"/>
    </row>
    <row r="33" spans="1:9" s="112" customFormat="1" ht="14.25" customHeight="1">
      <c r="A33" s="113" t="s">
        <v>52</v>
      </c>
      <c r="B33" s="110"/>
      <c r="C33" s="114"/>
      <c r="E33" s="110"/>
      <c r="F33" s="170"/>
      <c r="G33" s="170"/>
      <c r="H33" s="170" t="s">
        <v>5</v>
      </c>
      <c r="I33" s="170"/>
    </row>
    <row r="34" spans="1:9" s="112" customFormat="1" ht="14.25" customHeight="1">
      <c r="A34" s="116" t="s">
        <v>53</v>
      </c>
      <c r="B34" s="110"/>
      <c r="C34" s="114"/>
      <c r="E34" s="110"/>
      <c r="F34" s="170"/>
      <c r="G34" s="170"/>
      <c r="H34" s="170"/>
      <c r="I34" s="170"/>
    </row>
    <row r="35" spans="1:9" s="112" customFormat="1" ht="14.25" customHeight="1">
      <c r="B35" s="110"/>
      <c r="C35" s="114"/>
      <c r="E35" s="110"/>
      <c r="F35" s="170"/>
      <c r="G35" s="170"/>
      <c r="H35" s="170"/>
      <c r="I35" s="170"/>
    </row>
    <row r="36" spans="1:9" s="112" customFormat="1" ht="20.25" customHeight="1">
      <c r="A36" s="172" t="s">
        <v>11</v>
      </c>
      <c r="B36" s="118"/>
      <c r="C36" s="119"/>
      <c r="D36" s="172" t="s">
        <v>7</v>
      </c>
      <c r="E36" s="172"/>
      <c r="F36" s="186"/>
      <c r="G36" s="186"/>
      <c r="H36" s="186" t="s">
        <v>6</v>
      </c>
      <c r="I36" s="186"/>
    </row>
    <row r="37" spans="1:9" s="112" customFormat="1" ht="12.75">
      <c r="A37" s="171" t="s">
        <v>8</v>
      </c>
      <c r="B37" s="171"/>
      <c r="C37" s="121"/>
      <c r="D37" s="171" t="s">
        <v>9</v>
      </c>
      <c r="E37" s="171"/>
      <c r="F37" s="181"/>
      <c r="G37" s="181"/>
      <c r="H37" s="181" t="s">
        <v>10</v>
      </c>
      <c r="I37" s="181"/>
    </row>
    <row r="38" spans="1:9" s="112" customFormat="1" ht="12.75"/>
    <row r="39" spans="1:9" s="112" customFormat="1" ht="12.75"/>
    <row r="40" spans="1:9" s="112" customFormat="1" ht="12.75"/>
    <row r="41" spans="1:9" s="112" customFormat="1" ht="12.75">
      <c r="A41" s="175"/>
    </row>
    <row r="42" spans="1:9" s="112" customFormat="1" ht="19.5">
      <c r="A42" s="113"/>
    </row>
    <row r="43" spans="1:9" s="112" customFormat="1" ht="12.75">
      <c r="A43" s="116"/>
    </row>
  </sheetData>
  <sheetProtection password="C5F7" sheet="1" objects="1" scenarios="1" formatCells="0" formatColumns="0" formatRows="0"/>
  <mergeCells count="12">
    <mergeCell ref="A29:H29"/>
    <mergeCell ref="A1:I1"/>
    <mergeCell ref="A2:I2"/>
    <mergeCell ref="B7:I7"/>
    <mergeCell ref="B8:I8"/>
    <mergeCell ref="A28:I28"/>
    <mergeCell ref="A30:H30"/>
    <mergeCell ref="A31:H31"/>
    <mergeCell ref="F36:G36"/>
    <mergeCell ref="H36:I36"/>
    <mergeCell ref="F37:G37"/>
    <mergeCell ref="H37:I37"/>
  </mergeCells>
  <dataValidations count="2"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errorTitle="Validation Rule" error="Allow only number" sqref="B12:F25">
      <formula1>0</formula1>
    </dataValidation>
  </dataValidations>
  <printOptions horizontalCentered="1"/>
  <pageMargins left="0" right="0" top="0.75" bottom="0" header="0.75" footer="0"/>
  <pageSetup paperSize="9" scale="86" orientation="portrait" horizontalDpi="180" verticalDpi="180" r:id="rId1"/>
  <headerFooter alignWithMargins="0">
    <oddFooter>&amp;R6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O20"/>
  <sheetViews>
    <sheetView tabSelected="1" workbookViewId="0">
      <selection activeCell="G19" sqref="G19"/>
    </sheetView>
  </sheetViews>
  <sheetFormatPr defaultRowHeight="12.75"/>
  <sheetData>
    <row r="2" spans="1:15" ht="26.25">
      <c r="A2" s="228" t="s">
        <v>140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157"/>
      <c r="M2" s="157"/>
      <c r="N2" s="157"/>
    </row>
    <row r="3" spans="1:15" ht="26.25">
      <c r="A3" s="228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157"/>
      <c r="M3" s="157"/>
      <c r="N3" s="157"/>
    </row>
    <row r="4" spans="1:15" ht="26.25">
      <c r="A4" s="228" t="s">
        <v>141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157"/>
      <c r="M4" s="157"/>
      <c r="N4" s="157"/>
    </row>
    <row r="5" spans="1:15">
      <c r="A5" s="157"/>
      <c r="B5" s="157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</row>
    <row r="6" spans="1:15">
      <c r="A6" s="157"/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</row>
    <row r="7" spans="1:15" ht="15.75">
      <c r="A7" s="158" t="s">
        <v>142</v>
      </c>
      <c r="B7" s="159"/>
      <c r="C7" s="159"/>
      <c r="D7" s="159"/>
      <c r="E7" s="159"/>
      <c r="F7" s="159"/>
      <c r="G7" s="159"/>
      <c r="H7" s="160"/>
      <c r="I7" s="160"/>
      <c r="J7" s="160"/>
      <c r="K7" s="160"/>
      <c r="L7" s="160"/>
      <c r="M7" s="160"/>
      <c r="N7" s="160"/>
      <c r="O7" s="161"/>
    </row>
    <row r="8" spans="1:15" ht="15.75">
      <c r="A8" s="158" t="s">
        <v>143</v>
      </c>
      <c r="B8" s="159"/>
      <c r="C8" s="159"/>
      <c r="D8" s="159"/>
      <c r="E8" s="159"/>
      <c r="F8" s="159"/>
      <c r="G8" s="159"/>
      <c r="H8" s="160"/>
      <c r="I8" s="160"/>
      <c r="J8" s="160"/>
      <c r="K8" s="160"/>
      <c r="L8" s="160"/>
      <c r="M8" s="160"/>
      <c r="N8" s="160"/>
      <c r="O8" s="161"/>
    </row>
    <row r="9" spans="1:15" ht="15.75">
      <c r="A9" s="158" t="s">
        <v>144</v>
      </c>
      <c r="B9" s="159"/>
      <c r="C9" s="159"/>
      <c r="D9" s="159"/>
      <c r="E9" s="159"/>
      <c r="F9" s="159"/>
      <c r="G9" s="159"/>
      <c r="H9" s="160"/>
      <c r="I9" s="160"/>
      <c r="J9" s="160"/>
      <c r="K9" s="160"/>
      <c r="L9" s="160"/>
      <c r="M9" s="160"/>
      <c r="N9" s="160"/>
      <c r="O9" s="161"/>
    </row>
    <row r="10" spans="1:15" ht="15.75">
      <c r="A10" s="158" t="s">
        <v>145</v>
      </c>
      <c r="B10" s="159"/>
      <c r="C10" s="159"/>
      <c r="D10" s="159"/>
      <c r="E10" s="159"/>
      <c r="F10" s="159"/>
      <c r="G10" s="159"/>
      <c r="H10" s="160"/>
      <c r="I10" s="160"/>
      <c r="J10" s="160"/>
      <c r="K10" s="160"/>
      <c r="L10" s="160"/>
      <c r="M10" s="160"/>
      <c r="N10" s="160"/>
      <c r="O10" s="161"/>
    </row>
    <row r="11" spans="1:15">
      <c r="A11" s="162"/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1"/>
    </row>
    <row r="12" spans="1:15" ht="15.75">
      <c r="A12" s="163"/>
      <c r="B12" s="164" t="s">
        <v>146</v>
      </c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60"/>
      <c r="N12" s="160"/>
      <c r="O12" s="161"/>
    </row>
    <row r="13" spans="1:15" ht="15.75">
      <c r="A13" s="163"/>
      <c r="B13" s="159" t="s">
        <v>147</v>
      </c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60"/>
      <c r="N13" s="160"/>
      <c r="O13" s="161"/>
    </row>
    <row r="14" spans="1:15" ht="15.75">
      <c r="A14" s="163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60"/>
      <c r="N14" s="160"/>
      <c r="O14" s="161"/>
    </row>
    <row r="15" spans="1:15" ht="15.75">
      <c r="A15" s="163"/>
      <c r="B15" s="159" t="s">
        <v>148</v>
      </c>
      <c r="C15" s="159"/>
      <c r="D15" s="159"/>
      <c r="E15" s="159"/>
      <c r="F15" s="159"/>
      <c r="G15" s="159"/>
      <c r="H15" s="159"/>
      <c r="I15" s="159"/>
      <c r="J15" s="159"/>
      <c r="K15" s="159"/>
      <c r="L15" s="159"/>
      <c r="M15" s="160"/>
      <c r="N15" s="160"/>
      <c r="O15" s="161"/>
    </row>
    <row r="16" spans="1:15">
      <c r="A16" s="165"/>
      <c r="B16" s="165"/>
      <c r="C16" s="165"/>
      <c r="D16" s="165"/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</row>
    <row r="17" spans="1:15" ht="15.75">
      <c r="A17" s="165"/>
      <c r="B17" s="164" t="s">
        <v>149</v>
      </c>
      <c r="C17" s="166"/>
      <c r="D17" s="166"/>
      <c r="E17" s="166"/>
      <c r="F17" s="166"/>
      <c r="G17" s="165"/>
      <c r="H17" s="165"/>
      <c r="I17" s="165"/>
      <c r="J17" s="165"/>
      <c r="K17" s="165"/>
      <c r="L17" s="165"/>
      <c r="M17" s="165"/>
      <c r="N17" s="165"/>
      <c r="O17" s="165"/>
    </row>
    <row r="20" spans="1:15" ht="19.5">
      <c r="A20" s="167" t="s">
        <v>150</v>
      </c>
      <c r="B20" s="167"/>
      <c r="C20" s="167"/>
      <c r="D20" s="167"/>
      <c r="E20" s="167"/>
      <c r="F20" s="167"/>
      <c r="G20" s="167"/>
      <c r="H20" s="167"/>
      <c r="I20" s="168"/>
      <c r="J20" s="169"/>
      <c r="K20" s="169"/>
    </row>
  </sheetData>
  <mergeCells count="3">
    <mergeCell ref="A2:K2"/>
    <mergeCell ref="A3:K3"/>
    <mergeCell ref="A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Macros</vt:lpstr>
      <vt:lpstr>'Form 1 B'!Print_Area</vt:lpstr>
      <vt:lpstr>'Form 1 B - 01'!Print_Area</vt:lpstr>
      <vt:lpstr>'Form 1 B - 02'!Print_Area</vt:lpstr>
      <vt:lpstr>'Form 1 B - 03'!Print_Area</vt:lpstr>
      <vt:lpstr>'Form 1 B - 04'!Print_Area</vt:lpstr>
      <vt:lpstr>'Form 1 B - 05'!Print_Area</vt:lpstr>
      <vt:lpstr>'Form 1 B - 06'!Print_Area</vt:lpstr>
      <vt:lpstr>'Form 1 B - 07'!Print_Area</vt:lpstr>
      <vt:lpstr>'Form 1 B - 08'!Print_Area</vt:lpstr>
      <vt:lpstr>'Form 1 B - 09'!Print_Area</vt:lpstr>
      <vt:lpstr>'Form 1 B - 10'!Print_Area</vt:lpstr>
      <vt:lpstr>'Form 1 B - 11'!Print_Area</vt:lpstr>
      <vt:lpstr>'Form 1 B - 12'!Print_Area</vt:lpstr>
      <vt:lpstr>'Form 1 B - 13'!Print_Area</vt:lpstr>
      <vt:lpstr>'Form 1 B - 14'!Print_Area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Si Son &amp; Truong Thi Thuy T</dc:creator>
  <cp:lastModifiedBy>moliyuth</cp:lastModifiedBy>
  <cp:lastPrinted>2011-08-24T03:20:44Z</cp:lastPrinted>
  <dcterms:created xsi:type="dcterms:W3CDTF">1997-12-30T06:49:03Z</dcterms:created>
  <dcterms:modified xsi:type="dcterms:W3CDTF">2012-09-19T01:03:19Z</dcterms:modified>
</cp:coreProperties>
</file>