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240" yWindow="75" windowWidth="19440" windowHeight="7935" firstSheet="3" activeTab="3"/>
  </bookViews>
  <sheets>
    <sheet name="List of Statistics" sheetId="4" state="veryHidden" r:id="rId1"/>
    <sheet name="Spread Sheet" sheetId="1" state="veryHidden" r:id="rId2"/>
    <sheet name="Interest Rate" sheetId="2" state="veryHidden" r:id="rId3"/>
    <sheet name="Macros" sheetId="3" r:id="rId4"/>
  </sheets>
  <externalReferences>
    <externalReference r:id="rId5"/>
    <externalReference r:id="rId6"/>
    <externalReference r:id="rId7"/>
  </externalReferences>
  <definedNames>
    <definedName name="__ftb1099" localSheetId="2" hidden="1">{#N/A,#N/A,FALSE,"P&amp;LVN H2";#N/A,#N/A,FALSE,"P&amp;LVIETNAM";#N/A,#N/A,FALSE,"P&amp;LVN H1";#N/A,#N/A,FALSE,"P&amp;L summary";#N/A,#N/A,FALSE,"CB";#N/A,#N/A,FALSE,"CEO ";#N/A,#N/A,FALSE,"Treasury";#N/A,#N/A,FALSE,"IBG";#N/A,#N/A,FALSE,"FIN";#N/A,#N/A,FALSE,"INDO";#N/A,#N/A,FALSE,"BS97"}</definedName>
    <definedName name="__ftb1099" localSheetId="0" hidden="1">{#N/A,#N/A,FALSE,"P&amp;LVN H2";#N/A,#N/A,FALSE,"P&amp;LVIETNAM";#N/A,#N/A,FALSE,"P&amp;LVN H1";#N/A,#N/A,FALSE,"P&amp;L summary";#N/A,#N/A,FALSE,"CB";#N/A,#N/A,FALSE,"CEO ";#N/A,#N/A,FALSE,"Treasury";#N/A,#N/A,FALSE,"IBG";#N/A,#N/A,FALSE,"FIN";#N/A,#N/A,FALSE,"INDO";#N/A,#N/A,FALSE,"BS97"}</definedName>
    <definedName name="__ftb1099" hidden="1">{#N/A,#N/A,FALSE,"P&amp;LVN H2";#N/A,#N/A,FALSE,"P&amp;LVIETNAM";#N/A,#N/A,FALSE,"P&amp;LVN H1";#N/A,#N/A,FALSE,"P&amp;L summary";#N/A,#N/A,FALSE,"CB";#N/A,#N/A,FALSE,"CEO ";#N/A,#N/A,FALSE,"Treasury";#N/A,#N/A,FALSE,"IBG";#N/A,#N/A,FALSE,"FIN";#N/A,#N/A,FALSE,"INDO";#N/A,#N/A,FALSE,"BS97"}</definedName>
    <definedName name="__oct1099" localSheetId="2" hidden="1">{#N/A,#N/A,FALSE,"P&amp;LVIETNAM";#N/A,#N/A,FALSE,"P&amp;L summary";#N/A,#N/A,FALSE,"Treasury";#N/A,#N/A,FALSE,"CB";#N/A,#N/A,FALSE,"CEO ";#N/A,#N/A,FALSE,"IBG";#N/A,#N/A,FALSE,"FIN";#N/A,#N/A,FALSE,"BS97"}</definedName>
    <definedName name="__oct1099" localSheetId="0" hidden="1">{#N/A,#N/A,FALSE,"P&amp;LVIETNAM";#N/A,#N/A,FALSE,"P&amp;L summary";#N/A,#N/A,FALSE,"Treasury";#N/A,#N/A,FALSE,"CB";#N/A,#N/A,FALSE,"CEO ";#N/A,#N/A,FALSE,"IBG";#N/A,#N/A,FALSE,"FIN";#N/A,#N/A,FALSE,"BS97"}</definedName>
    <definedName name="__oct1099" hidden="1">{#N/A,#N/A,FALSE,"P&amp;LVIETNAM";#N/A,#N/A,FALSE,"P&amp;L summary";#N/A,#N/A,FALSE,"Treasury";#N/A,#N/A,FALSE,"CB";#N/A,#N/A,FALSE,"CEO ";#N/A,#N/A,FALSE,"IBG";#N/A,#N/A,FALSE,"FIN";#N/A,#N/A,FALSE,"BS97"}</definedName>
    <definedName name="_ftb1099" localSheetId="2" hidden="1">{#N/A,#N/A,FALSE,"P&amp;LVN H2";#N/A,#N/A,FALSE,"P&amp;LVIETNAM";#N/A,#N/A,FALSE,"P&amp;LVN H1";#N/A,#N/A,FALSE,"P&amp;L summary";#N/A,#N/A,FALSE,"CB";#N/A,#N/A,FALSE,"CEO ";#N/A,#N/A,FALSE,"Treasury";#N/A,#N/A,FALSE,"IBG";#N/A,#N/A,FALSE,"FIN";#N/A,#N/A,FALSE,"INDO";#N/A,#N/A,FALSE,"BS97"}</definedName>
    <definedName name="_ftb1099" localSheetId="0" hidden="1">{#N/A,#N/A,FALSE,"P&amp;LVN H2";#N/A,#N/A,FALSE,"P&amp;LVIETNAM";#N/A,#N/A,FALSE,"P&amp;LVN H1";#N/A,#N/A,FALSE,"P&amp;L summary";#N/A,#N/A,FALSE,"CB";#N/A,#N/A,FALSE,"CEO ";#N/A,#N/A,FALSE,"Treasury";#N/A,#N/A,FALSE,"IBG";#N/A,#N/A,FALSE,"FIN";#N/A,#N/A,FALSE,"INDO";#N/A,#N/A,FALSE,"BS97"}</definedName>
    <definedName name="_ftb1099" hidden="1">{#N/A,#N/A,FALSE,"P&amp;LVN H2";#N/A,#N/A,FALSE,"P&amp;LVIETNAM";#N/A,#N/A,FALSE,"P&amp;LVN H1";#N/A,#N/A,FALSE,"P&amp;L summary";#N/A,#N/A,FALSE,"CB";#N/A,#N/A,FALSE,"CEO ";#N/A,#N/A,FALSE,"Treasury";#N/A,#N/A,FALSE,"IBG";#N/A,#N/A,FALSE,"FIN";#N/A,#N/A,FALSE,"INDO";#N/A,#N/A,FALSE,"BS97"}</definedName>
    <definedName name="_oct1099" localSheetId="2" hidden="1">{#N/A,#N/A,FALSE,"P&amp;LVIETNAM";#N/A,#N/A,FALSE,"P&amp;L summary";#N/A,#N/A,FALSE,"Treasury";#N/A,#N/A,FALSE,"CB";#N/A,#N/A,FALSE,"CEO ";#N/A,#N/A,FALSE,"IBG";#N/A,#N/A,FALSE,"FIN";#N/A,#N/A,FALSE,"BS97"}</definedName>
    <definedName name="_oct1099" localSheetId="0" hidden="1">{#N/A,#N/A,FALSE,"P&amp;LVIETNAM";#N/A,#N/A,FALSE,"P&amp;L summary";#N/A,#N/A,FALSE,"Treasury";#N/A,#N/A,FALSE,"CB";#N/A,#N/A,FALSE,"CEO ";#N/A,#N/A,FALSE,"IBG";#N/A,#N/A,FALSE,"FIN";#N/A,#N/A,FALSE,"BS97"}</definedName>
    <definedName name="_oct1099" hidden="1">{#N/A,#N/A,FALSE,"P&amp;LVIETNAM";#N/A,#N/A,FALSE,"P&amp;L summary";#N/A,#N/A,FALSE,"Treasury";#N/A,#N/A,FALSE,"CB";#N/A,#N/A,FALSE,"CEO ";#N/A,#N/A,FALSE,"IBG";#N/A,#N/A,FALSE,"FIN";#N/A,#N/A,FALSE,"BS97"}</definedName>
    <definedName name="aaaaa" localSheetId="2" hidden="1">{#N/A,#N/A,FALSE,"P&amp;LVIETNAM";#N/A,#N/A,FALSE,"P&amp;L summary";#N/A,#N/A,FALSE,"Treasury";#N/A,#N/A,FALSE,"CB";#N/A,#N/A,FALSE,"CEO ";#N/A,#N/A,FALSE,"IBG";#N/A,#N/A,FALSE,"FIN";#N/A,#N/A,FALSE,"BS97"}</definedName>
    <definedName name="aaaaa" localSheetId="0" hidden="1">{#N/A,#N/A,FALSE,"P&amp;LVIETNAM";#N/A,#N/A,FALSE,"P&amp;L summary";#N/A,#N/A,FALSE,"Treasury";#N/A,#N/A,FALSE,"CB";#N/A,#N/A,FALSE,"CEO ";#N/A,#N/A,FALSE,"IBG";#N/A,#N/A,FALSE,"FIN";#N/A,#N/A,FALSE,"BS97"}</definedName>
    <definedName name="aaaaa" hidden="1">{#N/A,#N/A,FALSE,"P&amp;LVIETNAM";#N/A,#N/A,FALSE,"P&amp;L summary";#N/A,#N/A,FALSE,"Treasury";#N/A,#N/A,FALSE,"CB";#N/A,#N/A,FALSE,"CEO ";#N/A,#N/A,FALSE,"IBG";#N/A,#N/A,FALSE,"FIN";#N/A,#N/A,FALSE,"BS97"}</definedName>
    <definedName name="ABS_ACC">[1]ACBS!$Z$4:$Z$9125</definedName>
    <definedName name="Asset">[1]ACBS!$L$4</definedName>
    <definedName name="BS_Balance">'[1]BS-Input'!$C$8:$C$65536</definedName>
    <definedName name="BS_Code">'[1]BS-Input'!$D$8:$D$65536</definedName>
    <definedName name="Contra">[1]OBS!$F$226</definedName>
    <definedName name="Equity">[1]ACBS!$L$105</definedName>
    <definedName name="Expense">[1]ACIS!$F$3200</definedName>
    <definedName name="Income">[1]ACIS!$F$2</definedName>
    <definedName name="IS_Balance">'[1]IS-Input'!$C$8:$C$400</definedName>
    <definedName name="IS_Code">'[1]IS-Input'!$D$8:$D$400</definedName>
    <definedName name="Liabilities">[1]ACBS!$L$24</definedName>
    <definedName name="Liability">[2]ACBS!$U$848</definedName>
    <definedName name="N" localSheetId="2" hidden="1">{#N/A,#N/A,FALSE,"Sub-Mekong";#N/A,#N/A,FALSE,"IB";#N/A,#N/A,FALSE,"CB";#N/A,#N/A,FALSE,"CIB";#N/A,#N/A,FALSE,"Tsy - seg";#N/A,#N/A,FALSE,"Fin";#N/A,#N/A,FALSE,"CEO";#N/A,#N/A,FALSE,"VN"}</definedName>
    <definedName name="N" localSheetId="0" hidden="1">{#N/A,#N/A,FALSE,"Sub-Mekong";#N/A,#N/A,FALSE,"IB";#N/A,#N/A,FALSE,"CB";#N/A,#N/A,FALSE,"CIB";#N/A,#N/A,FALSE,"Tsy - seg";#N/A,#N/A,FALSE,"Fin";#N/A,#N/A,FALSE,"CEO";#N/A,#N/A,FALSE,"VN"}</definedName>
    <definedName name="N" hidden="1">{#N/A,#N/A,FALSE,"Sub-Mekong";#N/A,#N/A,FALSE,"IB";#N/A,#N/A,FALSE,"CB";#N/A,#N/A,FALSE,"CIB";#N/A,#N/A,FALSE,"Tsy - seg";#N/A,#N/A,FALSE,"Fin";#N/A,#N/A,FALSE,"CEO";#N/A,#N/A,FALSE,"VN"}</definedName>
    <definedName name="NewName" localSheetId="2" hidden="1">{#N/A,#N/A,FALSE,"P&amp;LVN H2";#N/A,#N/A,FALSE,"P&amp;LVIETNAM";#N/A,#N/A,FALSE,"P&amp;LVN H1";#N/A,#N/A,FALSE,"P&amp;L summary";#N/A,#N/A,FALSE,"CB";#N/A,#N/A,FALSE,"CEO ";#N/A,#N/A,FALSE,"Treasury";#N/A,#N/A,FALSE,"IBG";#N/A,#N/A,FALSE,"FIN";#N/A,#N/A,FALSE,"INDO";#N/A,#N/A,FALSE,"BS97"}</definedName>
    <definedName name="NewName" localSheetId="0" hidden="1">{#N/A,#N/A,FALSE,"P&amp;LVN H2";#N/A,#N/A,FALSE,"P&amp;LVIETNAM";#N/A,#N/A,FALSE,"P&amp;LVN H1";#N/A,#N/A,FALSE,"P&amp;L summary";#N/A,#N/A,FALSE,"CB";#N/A,#N/A,FALSE,"CEO ";#N/A,#N/A,FALSE,"Treasury";#N/A,#N/A,FALSE,"IBG";#N/A,#N/A,FALSE,"FIN";#N/A,#N/A,FALSE,"INDO";#N/A,#N/A,FALSE,"BS97"}</definedName>
    <definedName name="NewName" hidden="1">{#N/A,#N/A,FALSE,"P&amp;LVN H2";#N/A,#N/A,FALSE,"P&amp;LVIETNAM";#N/A,#N/A,FALSE,"P&amp;LVN H1";#N/A,#N/A,FALSE,"P&amp;L summary";#N/A,#N/A,FALSE,"CB";#N/A,#N/A,FALSE,"CEO ";#N/A,#N/A,FALSE,"Treasury";#N/A,#N/A,FALSE,"IBG";#N/A,#N/A,FALSE,"FIN";#N/A,#N/A,FALSE,"INDO";#N/A,#N/A,FALSE,"BS97"}</definedName>
    <definedName name="OBS">[1]OBS!$F$2</definedName>
    <definedName name="PMP">[3]PMP!$E$1:$K$65536</definedName>
    <definedName name="SRM">[3]SRM!$E$1:$K$65536</definedName>
    <definedName name="wrn.budget." localSheetId="2" hidden="1">{#N/A,#N/A,FALSE,"P&amp;LVIETNAM";#N/A,#N/A,FALSE,"P&amp;L summary";#N/A,#N/A,FALSE,"Treasury";#N/A,#N/A,FALSE,"CB";#N/A,#N/A,FALSE,"CEO ";#N/A,#N/A,FALSE,"IBG";#N/A,#N/A,FALSE,"FIN";#N/A,#N/A,FALSE,"BS97"}</definedName>
    <definedName name="wrn.budget." localSheetId="0" hidden="1">{#N/A,#N/A,FALSE,"P&amp;LVIETNAM";#N/A,#N/A,FALSE,"P&amp;L summary";#N/A,#N/A,FALSE,"Treasury";#N/A,#N/A,FALSE,"CB";#N/A,#N/A,FALSE,"CEO ";#N/A,#N/A,FALSE,"IBG";#N/A,#N/A,FALSE,"FIN";#N/A,#N/A,FALSE,"BS97"}</definedName>
    <definedName name="wrn.budget." hidden="1">{#N/A,#N/A,FALSE,"P&amp;LVIETNAM";#N/A,#N/A,FALSE,"P&amp;L summary";#N/A,#N/A,FALSE,"Treasury";#N/A,#N/A,FALSE,"CB";#N/A,#N/A,FALSE,"CEO ";#N/A,#N/A,FALSE,"IBG";#N/A,#N/A,FALSE,"FIN";#N/A,#N/A,FALSE,"BS97"}</definedName>
    <definedName name="wrn.hanh." localSheetId="2" hidden="1">{#N/A,#N/A,FALSE,"P&amp;LVN H2";#N/A,#N/A,FALSE,"P&amp;LVIETNAM";#N/A,#N/A,FALSE,"P&amp;LVN H1";#N/A,#N/A,FALSE,"P&amp;L summary";#N/A,#N/A,FALSE,"CB";#N/A,#N/A,FALSE,"CEO ";#N/A,#N/A,FALSE,"Treasury";#N/A,#N/A,FALSE,"IBG";#N/A,#N/A,FALSE,"FIN";#N/A,#N/A,FALSE,"INDO";#N/A,#N/A,FALSE,"BS97"}</definedName>
    <definedName name="wrn.hanh." localSheetId="0" hidden="1">{#N/A,#N/A,FALSE,"P&amp;LVN H2";#N/A,#N/A,FALSE,"P&amp;LVIETNAM";#N/A,#N/A,FALSE,"P&amp;LVN H1";#N/A,#N/A,FALSE,"P&amp;L summary";#N/A,#N/A,FALSE,"CB";#N/A,#N/A,FALSE,"CEO ";#N/A,#N/A,FALSE,"Treasury";#N/A,#N/A,FALSE,"IBG";#N/A,#N/A,FALSE,"FIN";#N/A,#N/A,FALSE,"INDO";#N/A,#N/A,FALSE,"BS97"}</definedName>
    <definedName name="wrn.hanh." hidden="1">{#N/A,#N/A,FALSE,"P&amp;LVN H2";#N/A,#N/A,FALSE,"P&amp;LVIETNAM";#N/A,#N/A,FALSE,"P&amp;LVN H1";#N/A,#N/A,FALSE,"P&amp;L summary";#N/A,#N/A,FALSE,"CB";#N/A,#N/A,FALSE,"CEO ";#N/A,#N/A,FALSE,"Treasury";#N/A,#N/A,FALSE,"IBG";#N/A,#N/A,FALSE,"FIN";#N/A,#N/A,FALSE,"INDO";#N/A,#N/A,FALSE,"BS97"}</definedName>
    <definedName name="wrn.SEGMENT." localSheetId="2" hidden="1">{#N/A,#N/A,FALSE,"Sub-Mekong";#N/A,#N/A,FALSE,"IB";#N/A,#N/A,FALSE,"CB";#N/A,#N/A,FALSE,"CIB";#N/A,#N/A,FALSE,"Tsy - seg";#N/A,#N/A,FALSE,"Fin";#N/A,#N/A,FALSE,"CEO";#N/A,#N/A,FALSE,"VN"}</definedName>
    <definedName name="wrn.SEGMENT." localSheetId="0" hidden="1">{#N/A,#N/A,FALSE,"Sub-Mekong";#N/A,#N/A,FALSE,"IB";#N/A,#N/A,FALSE,"CB";#N/A,#N/A,FALSE,"CIB";#N/A,#N/A,FALSE,"Tsy - seg";#N/A,#N/A,FALSE,"Fin";#N/A,#N/A,FALSE,"CEO";#N/A,#N/A,FALSE,"VN"}</definedName>
    <definedName name="wrn.SEGMENT." hidden="1">{#N/A,#N/A,FALSE,"Sub-Mekong";#N/A,#N/A,FALSE,"IB";#N/A,#N/A,FALSE,"CB";#N/A,#N/A,FALSE,"CIB";#N/A,#N/A,FALSE,"Tsy - seg";#N/A,#N/A,FALSE,"Fin";#N/A,#N/A,FALSE,"CEO";#N/A,#N/A,FALSE,"VN"}</definedName>
    <definedName name="XXX">#REF!</definedName>
  </definedNames>
  <calcPr calcId="144525"/>
</workbook>
</file>

<file path=xl/calcChain.xml><?xml version="1.0" encoding="utf-8"?>
<calcChain xmlns="http://schemas.openxmlformats.org/spreadsheetml/2006/main">
  <c r="C60" i="1" l="1"/>
  <c r="C87" i="1"/>
  <c r="C55" i="1"/>
  <c r="C54" i="1" s="1"/>
  <c r="C95" i="1" s="1"/>
  <c r="D64" i="1"/>
  <c r="C64" i="1"/>
  <c r="E64" i="1" s="1"/>
  <c r="D60" i="1"/>
  <c r="E94" i="1"/>
  <c r="E93" i="1"/>
  <c r="E92" i="1"/>
  <c r="E91" i="1"/>
  <c r="E90" i="1"/>
  <c r="E89" i="1"/>
  <c r="E88" i="1"/>
  <c r="D87" i="1"/>
  <c r="E87" i="1"/>
  <c r="E86" i="1"/>
  <c r="E85" i="1"/>
  <c r="E84" i="1"/>
  <c r="E83" i="1"/>
  <c r="E82" i="1"/>
  <c r="D81" i="1"/>
  <c r="C81" i="1"/>
  <c r="E80" i="1"/>
  <c r="E79" i="1"/>
  <c r="E78" i="1"/>
  <c r="E77" i="1"/>
  <c r="E76" i="1"/>
  <c r="D75" i="1"/>
  <c r="C75" i="1"/>
  <c r="E75" i="1" s="1"/>
  <c r="E74" i="1"/>
  <c r="E73" i="1"/>
  <c r="E72" i="1"/>
  <c r="E71" i="1"/>
  <c r="E70" i="1"/>
  <c r="E69" i="1"/>
  <c r="D68" i="1"/>
  <c r="C68" i="1"/>
  <c r="E68" i="1" s="1"/>
  <c r="E66" i="1"/>
  <c r="E65" i="1"/>
  <c r="E62" i="1"/>
  <c r="E61" i="1"/>
  <c r="E59" i="1"/>
  <c r="E58" i="1"/>
  <c r="E57" i="1"/>
  <c r="E56" i="1"/>
  <c r="D55" i="1"/>
  <c r="E55" i="1" s="1"/>
  <c r="E48" i="1"/>
  <c r="E47" i="1"/>
  <c r="E46" i="1"/>
  <c r="E45" i="1"/>
  <c r="E44" i="1"/>
  <c r="D43" i="1"/>
  <c r="C43" i="1"/>
  <c r="G42" i="1"/>
  <c r="E42" i="1"/>
  <c r="G41" i="1"/>
  <c r="E41" i="1"/>
  <c r="G40" i="1"/>
  <c r="E40" i="1"/>
  <c r="G39" i="1"/>
  <c r="E39" i="1"/>
  <c r="D38" i="1"/>
  <c r="C38" i="1"/>
  <c r="E37" i="1"/>
  <c r="E36" i="1"/>
  <c r="E35" i="1"/>
  <c r="G34" i="1"/>
  <c r="E34" i="1"/>
  <c r="E33" i="1"/>
  <c r="E32" i="1"/>
  <c r="G31" i="1"/>
  <c r="D31" i="1"/>
  <c r="D25" i="1" s="1"/>
  <c r="D14" i="1" s="1"/>
  <c r="C31" i="1"/>
  <c r="D30" i="1"/>
  <c r="C30" i="1"/>
  <c r="E29" i="1"/>
  <c r="G28" i="1"/>
  <c r="E28" i="1"/>
  <c r="G27" i="1"/>
  <c r="E27" i="1"/>
  <c r="G26" i="1"/>
  <c r="D26" i="1"/>
  <c r="C26" i="1"/>
  <c r="G25" i="1"/>
  <c r="E24" i="1"/>
  <c r="G23" i="1"/>
  <c r="E23" i="1"/>
  <c r="G22" i="1"/>
  <c r="E22" i="1"/>
  <c r="E21" i="1"/>
  <c r="G20" i="1"/>
  <c r="E20" i="1"/>
  <c r="E19" i="1"/>
  <c r="E18" i="1"/>
  <c r="E17" i="1"/>
  <c r="E16" i="1"/>
  <c r="E15" i="1"/>
  <c r="K13" i="1"/>
  <c r="C11" i="1" s="1"/>
  <c r="D11" i="1"/>
  <c r="D9" i="1"/>
  <c r="C9" i="1"/>
  <c r="E26" i="1" l="1"/>
  <c r="E30" i="1"/>
  <c r="E43" i="1"/>
  <c r="E81" i="1"/>
  <c r="G37" i="1"/>
  <c r="C25" i="1"/>
  <c r="E25" i="1" s="1"/>
  <c r="E31" i="1"/>
  <c r="G32" i="1"/>
  <c r="E38" i="1"/>
  <c r="E60" i="1"/>
  <c r="G38" i="1"/>
  <c r="G29" i="1"/>
  <c r="G30" i="1"/>
  <c r="D49" i="1"/>
  <c r="D54" i="1"/>
  <c r="D95" i="1" s="1"/>
  <c r="G33" i="1" l="1"/>
  <c r="C14" i="1"/>
  <c r="G17" i="1"/>
  <c r="E95" i="1"/>
  <c r="G21" i="1"/>
  <c r="E54" i="1"/>
  <c r="E14" i="1"/>
  <c r="G19" i="1" l="1"/>
  <c r="C49" i="1"/>
  <c r="G18" i="1" l="1"/>
  <c r="G16" i="1"/>
  <c r="E49" i="1"/>
</calcChain>
</file>

<file path=xl/comments1.xml><?xml version="1.0" encoding="utf-8"?>
<comments xmlns="http://schemas.openxmlformats.org/spreadsheetml/2006/main">
  <authors>
    <author>mak vannak</author>
  </authors>
  <commentList>
    <comment ref="L10" authorId="0">
      <text>
        <r>
          <rPr>
            <b/>
            <sz val="12"/>
            <color indexed="81"/>
            <rFont val="Tahoma"/>
            <family val="2"/>
          </rPr>
          <t>In Additional Reports Required of Sarat List</t>
        </r>
      </text>
    </comment>
    <comment ref="L11" authorId="0">
      <text>
        <r>
          <rPr>
            <b/>
            <sz val="12"/>
            <color indexed="81"/>
            <rFont val="Tahoma"/>
            <family val="2"/>
          </rPr>
          <t xml:space="preserve">in Additional Reports Required of Sarat List
</t>
        </r>
      </text>
    </comment>
    <comment ref="L21" authorId="0">
      <text>
        <r>
          <rPr>
            <b/>
            <sz val="12"/>
            <color indexed="81"/>
            <rFont val="Tahoma"/>
            <family val="2"/>
          </rPr>
          <t>In Additional Reports Required</t>
        </r>
      </text>
    </comment>
    <comment ref="L26" authorId="0">
      <text>
        <r>
          <rPr>
            <b/>
            <sz val="12"/>
            <color indexed="81"/>
            <rFont val="Tahoma"/>
            <family val="2"/>
          </rPr>
          <t>in Data Required for Assessment of Sarat List</t>
        </r>
      </text>
    </comment>
  </commentList>
</comments>
</file>

<file path=xl/sharedStrings.xml><?xml version="1.0" encoding="utf-8"?>
<sst xmlns="http://schemas.openxmlformats.org/spreadsheetml/2006/main" count="557" uniqueCount="417">
  <si>
    <t xml:space="preserve"> ទំរង់ Form: O-RE-2-M</t>
  </si>
  <si>
    <t>CALL REPORT ON SPREAD SHEET</t>
  </si>
  <si>
    <t>Bank               :</t>
  </si>
  <si>
    <t>This Month</t>
  </si>
  <si>
    <t>Last Month</t>
  </si>
  <si>
    <t>NOTE:</t>
  </si>
  <si>
    <t>The table below indicates whether the monthly Statement submitted to NBC is valid.</t>
  </si>
  <si>
    <t>Report Month :</t>
  </si>
  <si>
    <t>A monthly Statement is valid when all entries are consistent with their reported aggregate(s).</t>
  </si>
  <si>
    <t>Reported By  :</t>
  </si>
  <si>
    <t xml:space="preserve">    (In Millions of Riels)</t>
  </si>
  <si>
    <t>A difference is displayed where there is 1 or more data entry error(s).</t>
  </si>
  <si>
    <t>Telephone      :</t>
  </si>
  <si>
    <t>Monthly</t>
  </si>
  <si>
    <t>The Statement is valid when all tests have been passed.  A "VALID" flag is then posted below</t>
  </si>
  <si>
    <t>Changes</t>
  </si>
  <si>
    <t>A valid report does not imply accuracy of information.  Please refer queries to NBC personnel</t>
  </si>
  <si>
    <t>Please Do Not Move cells or change this spreadsheet in any way</t>
  </si>
  <si>
    <t>A S S E T S</t>
  </si>
  <si>
    <t xml:space="preserve"> </t>
  </si>
  <si>
    <t xml:space="preserve">Is  This  Month's  Report  Valid  ? </t>
  </si>
  <si>
    <t>Reference</t>
  </si>
  <si>
    <t>A.DOMESTIC ASSETS</t>
  </si>
  <si>
    <t>A1</t>
  </si>
  <si>
    <t>Cash on hand (RIELS)</t>
  </si>
  <si>
    <t>General Tests</t>
  </si>
  <si>
    <t>A2</t>
  </si>
  <si>
    <t>Deposits in Riel at the NBC</t>
  </si>
  <si>
    <t>Do all Asset items add up to Total Assets AB ?</t>
  </si>
  <si>
    <t>A2*</t>
  </si>
  <si>
    <t xml:space="preserve">      of which: reserves required for security</t>
  </si>
  <si>
    <t>A3</t>
  </si>
  <si>
    <t>Foreign Currency Deposits at NBC</t>
  </si>
  <si>
    <t>Does Total Assets = Total Liabilities ?</t>
  </si>
  <si>
    <t>A3*</t>
  </si>
  <si>
    <t xml:space="preserve">       of which :   Reserves required for security</t>
  </si>
  <si>
    <t>Does Domestic Assets Add ?</t>
  </si>
  <si>
    <t>A3**</t>
  </si>
  <si>
    <t xml:space="preserve">                       :  10% capital guarantee deposit</t>
  </si>
  <si>
    <t>Does Foreign Assets Add ?</t>
  </si>
  <si>
    <t>A4</t>
  </si>
  <si>
    <t>Central Bank securities (NBC Certificates)</t>
  </si>
  <si>
    <t>Does "Resident Liabilities &amp; Capital" Add?</t>
  </si>
  <si>
    <t>A5</t>
  </si>
  <si>
    <t>Claims on Cambodian commercial banks -Riels</t>
  </si>
  <si>
    <t>Does "Non-Resident Liabilities" Add?</t>
  </si>
  <si>
    <t>A6</t>
  </si>
  <si>
    <t>Claims on Cambodian commercial banks -Foreign Currency</t>
  </si>
  <si>
    <t>Is Capital &gt;0 ?</t>
  </si>
  <si>
    <t>A7</t>
  </si>
  <si>
    <t>Government Bonds</t>
  </si>
  <si>
    <t>Assets</t>
  </si>
  <si>
    <t>A8</t>
  </si>
  <si>
    <t>Loans and Advances</t>
  </si>
  <si>
    <t>Is A2 &gt;= A2*  ?</t>
  </si>
  <si>
    <t>A8.1</t>
  </si>
  <si>
    <t xml:space="preserve">     Loans and Advances to Private Sector</t>
  </si>
  <si>
    <t>Is A3* &gt; 0  ?</t>
  </si>
  <si>
    <t>A8.1.1</t>
  </si>
  <si>
    <t xml:space="preserve">          Loans, Advances and Overdrafts</t>
  </si>
  <si>
    <t>Is A3** &gt; 0  ?</t>
  </si>
  <si>
    <t>A8.1.2</t>
  </si>
  <si>
    <t xml:space="preserve">          Securities issued by private sector</t>
  </si>
  <si>
    <t>Is A3&gt;=(A3* + A3**)  ?</t>
  </si>
  <si>
    <t>A8.1.3</t>
  </si>
  <si>
    <t xml:space="preserve">          Other</t>
  </si>
  <si>
    <t>Is A8.1 = A8.1.1 + A8.1.2 + A8.1.3  ?</t>
  </si>
  <si>
    <t>A8.1*</t>
  </si>
  <si>
    <t xml:space="preserve">       OF WHICH, IN FOREIGN CURRENCY</t>
  </si>
  <si>
    <t>Is A8.1 &gt;= A8.1*  ?</t>
  </si>
  <si>
    <t>A8.2</t>
  </si>
  <si>
    <t xml:space="preserve">     Loans and Advances to state enterprises</t>
  </si>
  <si>
    <t>Is A8.2 = A8.2.1 + A8.2.2 + A8.2.3  ?</t>
  </si>
  <si>
    <t>A8.2.1</t>
  </si>
  <si>
    <t>Is A8.2 &gt;= A8.2*  ?</t>
  </si>
  <si>
    <t>A8.2.2</t>
  </si>
  <si>
    <t xml:space="preserve">          Securities issued by state enterprises</t>
  </si>
  <si>
    <t>Is A8 = A8.1 + A8.2 + A8.3 + A8.4  ?</t>
  </si>
  <si>
    <t>A8.2.3</t>
  </si>
  <si>
    <t>Is A9 = A9.1 + A9.2  ?</t>
  </si>
  <si>
    <t>A8.2*</t>
  </si>
  <si>
    <t>A8.3</t>
  </si>
  <si>
    <t xml:space="preserve">     Loans and Advances to Government -Riels</t>
  </si>
  <si>
    <t>Liabilities &amp; Capital</t>
  </si>
  <si>
    <t>A8.4</t>
  </si>
  <si>
    <t xml:space="preserve">     Loans and Advances to Government -Foreign Currency</t>
  </si>
  <si>
    <t>Is C1 = C1.1 + C1.2 + C1.3 + C1.4  ?</t>
  </si>
  <si>
    <t>A9</t>
  </si>
  <si>
    <t>Participations</t>
  </si>
  <si>
    <t>Is C2 = C2.1 + C2.2  ?</t>
  </si>
  <si>
    <t>A9.1</t>
  </si>
  <si>
    <t xml:space="preserve">        Private Sector</t>
  </si>
  <si>
    <t>Is C3 = C3.1 + C3.2  ?</t>
  </si>
  <si>
    <t>A9.2</t>
  </si>
  <si>
    <t xml:space="preserve">        Nonfinancial Public Enterprises</t>
  </si>
  <si>
    <t>Is C4 = C4.1 + C4.2 + C4.3  ?</t>
  </si>
  <si>
    <t>A10</t>
  </si>
  <si>
    <t>Fixed Assets</t>
  </si>
  <si>
    <t>Is C8 = C8.1 + C8.2 + C8.3 + C8.4  ?</t>
  </si>
  <si>
    <t>A11</t>
  </si>
  <si>
    <t>Other Assets</t>
  </si>
  <si>
    <t>Is C10 = C10.1 + C10.2 + C10.3 + C10.4 + C10.5  ?</t>
  </si>
  <si>
    <t>B. FOREIGN ASSETS</t>
  </si>
  <si>
    <t>B1</t>
  </si>
  <si>
    <t xml:space="preserve">    Gold</t>
  </si>
  <si>
    <t>B2</t>
  </si>
  <si>
    <t xml:space="preserve">    Foreign Exchange (Currency and Bills)</t>
  </si>
  <si>
    <t xml:space="preserve">       htßelxa</t>
  </si>
  <si>
    <t>GñkeFVItarag</t>
  </si>
  <si>
    <t>B3</t>
  </si>
  <si>
    <t xml:space="preserve">    Foreign Trade Bills and Advances ( RECEIVABLES)</t>
  </si>
  <si>
    <t>Authorised Signature</t>
  </si>
  <si>
    <t>Made Out</t>
  </si>
  <si>
    <t>B4</t>
  </si>
  <si>
    <t xml:space="preserve">    Accounts with Foreign Banks (NOSTRO)</t>
  </si>
  <si>
    <t>B5</t>
  </si>
  <si>
    <t xml:space="preserve">    Other Credit to Nonresidents</t>
  </si>
  <si>
    <t>AB</t>
  </si>
  <si>
    <t>T O T A L    A S S E T S</t>
  </si>
  <si>
    <t>L I A B I L I T I E S  A N D  C A P I T A L</t>
  </si>
  <si>
    <t>C. RESIDENT LIABILITIES AND CAPITAL</t>
  </si>
  <si>
    <t>C1</t>
  </si>
  <si>
    <t>Demand Deposits (RIEL DEPOSITS)</t>
  </si>
  <si>
    <t>C1.1</t>
  </si>
  <si>
    <t xml:space="preserve">      Private Sector</t>
  </si>
  <si>
    <t>C1.2</t>
  </si>
  <si>
    <t xml:space="preserve">      Certified Checks</t>
  </si>
  <si>
    <t>C1.3</t>
  </si>
  <si>
    <t xml:space="preserve">      State Enterprises</t>
  </si>
  <si>
    <t>C1.4</t>
  </si>
  <si>
    <t xml:space="preserve">      Government</t>
  </si>
  <si>
    <t>C2</t>
  </si>
  <si>
    <t>Savings Deposits (RIEL DEPOSITS)</t>
  </si>
  <si>
    <t>C2.1</t>
  </si>
  <si>
    <t>C2.2</t>
  </si>
  <si>
    <t>C3</t>
  </si>
  <si>
    <t>Fixed Deposits (RIEL DEPOSITS)</t>
  </si>
  <si>
    <t>C3.1</t>
  </si>
  <si>
    <t>C3.2</t>
  </si>
  <si>
    <t>C4</t>
  </si>
  <si>
    <t>Foreign Currency Deposits-Residents:Current, Savings, Fixed</t>
  </si>
  <si>
    <t>C4.1</t>
  </si>
  <si>
    <t>C4.2</t>
  </si>
  <si>
    <t>C4.3</t>
  </si>
  <si>
    <t>C5</t>
  </si>
  <si>
    <t>Discounts and Advances from the NBC</t>
  </si>
  <si>
    <t>C6</t>
  </si>
  <si>
    <t>Repurchase Agreements with NBC</t>
  </si>
  <si>
    <t>C7</t>
  </si>
  <si>
    <t>Other Credit from NBC</t>
  </si>
  <si>
    <t>C8</t>
  </si>
  <si>
    <t>Other Liabilities</t>
  </si>
  <si>
    <t>C8.1</t>
  </si>
  <si>
    <t xml:space="preserve">      Due to Cambodian commercial banks - RIELS</t>
  </si>
  <si>
    <t>C8.2</t>
  </si>
  <si>
    <t xml:space="preserve">      Due to Cambodian commercial banks-Foreign Currency</t>
  </si>
  <si>
    <t>C8.3</t>
  </si>
  <si>
    <t xml:space="preserve">      Restricted Deposits</t>
  </si>
  <si>
    <t>C8.4</t>
  </si>
  <si>
    <t xml:space="preserve">      Other</t>
  </si>
  <si>
    <t>C9</t>
  </si>
  <si>
    <t>Provisions for Loans Losses</t>
  </si>
  <si>
    <t>C10</t>
  </si>
  <si>
    <t>Capital</t>
  </si>
  <si>
    <t>C10.1</t>
  </si>
  <si>
    <t xml:space="preserve">      Paid-in Capital and Surplus</t>
  </si>
  <si>
    <t>C10.2</t>
  </si>
  <si>
    <t xml:space="preserve">      Profit, Loss, and Retained Earnings</t>
  </si>
  <si>
    <t>C10.3</t>
  </si>
  <si>
    <t xml:space="preserve">      General Provisions</t>
  </si>
  <si>
    <t>C10.4</t>
  </si>
  <si>
    <t xml:space="preserve">      Valuation Adjustment</t>
  </si>
  <si>
    <t>C10.5</t>
  </si>
  <si>
    <t xml:space="preserve">      Subordinated Debt</t>
  </si>
  <si>
    <t>D. NONRESIDENT LIABILITIES</t>
  </si>
  <si>
    <t>D1</t>
  </si>
  <si>
    <t>Nonresident Deposits - IN RIELS</t>
  </si>
  <si>
    <t>D2</t>
  </si>
  <si>
    <t>Nonresident Deposits - IN FOREIGN CURRENCY</t>
  </si>
  <si>
    <t>D3</t>
  </si>
  <si>
    <t>Accounts with Foreign Banks (VOSTRO)</t>
  </si>
  <si>
    <t>D4</t>
  </si>
  <si>
    <t>Transfers Payable</t>
  </si>
  <si>
    <t>D5</t>
  </si>
  <si>
    <t>Deposits of International Institutions</t>
  </si>
  <si>
    <t>D6</t>
  </si>
  <si>
    <t>Foreign Trade Bills (PAYABLES)</t>
  </si>
  <si>
    <t>D7</t>
  </si>
  <si>
    <t>Other foreign Liabilities</t>
  </si>
  <si>
    <t>CD</t>
  </si>
  <si>
    <t>T O T A L  L I A B I L I T I E S  A N D  C A P I T A L</t>
  </si>
  <si>
    <t>.</t>
  </si>
  <si>
    <t>r)aykarN_sþIBIGRtakarR)ak; R)ak;beBaØI nig x©Icgkar</t>
  </si>
  <si>
    <t>INTEREST RATE REPORT ON DEPOSITS AND LOANS</t>
  </si>
  <si>
    <t>eQµaH FnaKar</t>
  </si>
  <si>
    <t>Bank's name:</t>
  </si>
  <si>
    <t>erol</t>
  </si>
  <si>
    <t>duløaGaemrik</t>
  </si>
  <si>
    <t>rUbiyb½NÑepSg²</t>
  </si>
  <si>
    <t>mas</t>
  </si>
  <si>
    <t>KHR</t>
  </si>
  <si>
    <t>USD</t>
  </si>
  <si>
    <t>Other Foreign Currency</t>
  </si>
  <si>
    <t>GOLD</t>
  </si>
  <si>
    <t>k-</t>
  </si>
  <si>
    <t>R)ak;beBaØIwsMéc</t>
  </si>
  <si>
    <t>Saving Deposits (Rate per annum)</t>
  </si>
  <si>
    <t>x-</t>
  </si>
  <si>
    <t>KNnIcrnþ</t>
  </si>
  <si>
    <t>Current Deposits (Rate per annum)</t>
  </si>
  <si>
    <t>K-</t>
  </si>
  <si>
    <t>R)ak;beBaØIwmankalkMNt;</t>
  </si>
  <si>
    <t>Term Deposits (Rate per annum)</t>
  </si>
  <si>
    <r>
      <t xml:space="preserve">1 Ex     </t>
    </r>
    <r>
      <rPr>
        <sz val="12"/>
        <rFont val="Times New Roman"/>
        <family val="1"/>
      </rPr>
      <t>(1 Month)</t>
    </r>
  </si>
  <si>
    <r>
      <t xml:space="preserve">2 Ex     </t>
    </r>
    <r>
      <rPr>
        <sz val="12"/>
        <rFont val="Times New Roman"/>
        <family val="1"/>
      </rPr>
      <t>(2 Months)</t>
    </r>
  </si>
  <si>
    <r>
      <t xml:space="preserve">3 Ex    </t>
    </r>
    <r>
      <rPr>
        <sz val="12"/>
        <rFont val="Times New Roman"/>
        <family val="1"/>
      </rPr>
      <t>(3 Months)</t>
    </r>
  </si>
  <si>
    <r>
      <t xml:space="preserve">6 Ex     </t>
    </r>
    <r>
      <rPr>
        <sz val="12"/>
        <rFont val="Times New Roman"/>
        <family val="1"/>
      </rPr>
      <t>(6 Months)</t>
    </r>
  </si>
  <si>
    <r>
      <t xml:space="preserve">9 Ex     </t>
    </r>
    <r>
      <rPr>
        <sz val="12"/>
        <rFont val="Times New Roman"/>
        <family val="1"/>
      </rPr>
      <t>(9 Months)</t>
    </r>
  </si>
  <si>
    <r>
      <t xml:space="preserve">12 Ex  </t>
    </r>
    <r>
      <rPr>
        <sz val="12"/>
        <rFont val="Times New Roman"/>
        <family val="1"/>
      </rPr>
      <t>(12 Months)</t>
    </r>
  </si>
  <si>
    <r>
      <t xml:space="preserve">18 Ex  </t>
    </r>
    <r>
      <rPr>
        <sz val="12"/>
        <rFont val="Times New Roman"/>
        <family val="1"/>
      </rPr>
      <t>(18 Months)</t>
    </r>
  </si>
  <si>
    <r>
      <t xml:space="preserve">24 Ex  </t>
    </r>
    <r>
      <rPr>
        <sz val="12"/>
        <rFont val="Times New Roman"/>
        <family val="1"/>
      </rPr>
      <t>(24 Months)</t>
    </r>
  </si>
  <si>
    <r>
      <t xml:space="preserve">2-eGayx©Icgkar </t>
    </r>
    <r>
      <rPr>
        <sz val="12"/>
        <rFont val="Times New Roman"/>
        <family val="1"/>
      </rPr>
      <t xml:space="preserve">(LOANS) </t>
    </r>
  </si>
  <si>
    <t>shRKasrdæ</t>
  </si>
  <si>
    <t>State Owned Enterprises</t>
  </si>
  <si>
    <t>shRKasÉkCn</t>
  </si>
  <si>
    <t>Private Enterprises</t>
  </si>
  <si>
    <r>
      <t xml:space="preserve">epSg²  </t>
    </r>
    <r>
      <rPr>
        <sz val="12"/>
        <rFont val="Times New Roman"/>
        <family val="1"/>
      </rPr>
      <t>(Others)</t>
    </r>
  </si>
  <si>
    <t>X-</t>
  </si>
  <si>
    <t>eGayx©Icgkar sgbNþak;tamkalkMNt;</t>
  </si>
  <si>
    <t>Installment Loans (Rate per annum)</t>
  </si>
  <si>
    <t>g-</t>
  </si>
  <si>
    <t>eGayx©IelIssmtulü</t>
  </si>
  <si>
    <t>Overdraft (Rate per annum)</t>
  </si>
  <si>
    <t>c-</t>
  </si>
  <si>
    <t>bMNulhYskalkMNt;</t>
  </si>
  <si>
    <t>Overdue Loans</t>
  </si>
  <si>
    <t xml:space="preserve">      htßelxa</t>
  </si>
  <si>
    <t>GñkBinitü</t>
  </si>
  <si>
    <t>Authorized Signature</t>
  </si>
  <si>
    <t>Checked by</t>
  </si>
  <si>
    <t>Prepared by</t>
  </si>
  <si>
    <t>C2.3</t>
  </si>
  <si>
    <t>C3.3</t>
  </si>
  <si>
    <r>
      <t xml:space="preserve">kéRmeCIgsar  </t>
    </r>
    <r>
      <rPr>
        <sz val="11"/>
        <rFont val="Times New Roman"/>
        <family val="1"/>
      </rPr>
      <t>Commission Fee</t>
    </r>
  </si>
  <si>
    <r>
      <t xml:space="preserve">kéRmepI£  </t>
    </r>
    <r>
      <rPr>
        <sz val="11"/>
        <rFont val="Times New Roman"/>
        <family val="1"/>
      </rPr>
      <t>Swift Charge</t>
    </r>
  </si>
  <si>
    <r>
      <t xml:space="preserve">kalbriecäT </t>
    </r>
    <r>
      <rPr>
        <sz val="12"/>
        <rFont val="Times New Roman"/>
        <family val="1"/>
      </rPr>
      <t xml:space="preserve">/ As at : </t>
    </r>
  </si>
  <si>
    <t>sMKal;</t>
  </si>
  <si>
    <t>Remark</t>
  </si>
  <si>
    <r>
      <t xml:space="preserve">1-R)ak;beBaØI </t>
    </r>
    <r>
      <rPr>
        <b/>
        <sz val="12"/>
        <rFont val="Times New Roman"/>
        <family val="1"/>
      </rPr>
      <t xml:space="preserve">(Deposits) </t>
    </r>
  </si>
  <si>
    <r>
      <rPr>
        <sz val="11"/>
        <rFont val="Calibri"/>
        <family val="2"/>
      </rPr>
      <t xml:space="preserve">&gt; </t>
    </r>
    <r>
      <rPr>
        <sz val="22"/>
        <rFont val="Limon S1"/>
      </rPr>
      <t xml:space="preserve">24 Ex  </t>
    </r>
    <r>
      <rPr>
        <sz val="12"/>
        <rFont val="Times New Roman"/>
        <family val="1"/>
      </rPr>
      <t>(&gt;24Months)</t>
    </r>
  </si>
  <si>
    <r>
      <rPr>
        <sz val="12"/>
        <rFont val="Arial"/>
        <family val="2"/>
      </rPr>
      <t>&gt;</t>
    </r>
    <r>
      <rPr>
        <sz val="22"/>
        <rFont val="Limon S1"/>
      </rPr>
      <t xml:space="preserve">12 Ex  </t>
    </r>
    <r>
      <rPr>
        <sz val="12"/>
        <rFont val="Times New Roman"/>
        <family val="1"/>
      </rPr>
      <t>(&gt;12 Months)</t>
    </r>
  </si>
  <si>
    <t>(Rate per annum)</t>
  </si>
  <si>
    <t>អត្រាក្នុងមួយឆ្នាំ</t>
  </si>
  <si>
    <t xml:space="preserve"> ទំរង់ Form: O-RE-3-M</t>
  </si>
  <si>
    <t>Please Enable Your Macro to use all the sheets</t>
  </si>
  <si>
    <t>Instruction to Enable Macro:</t>
  </si>
  <si>
    <r>
      <t xml:space="preserve">1. Click the </t>
    </r>
    <r>
      <rPr>
        <b/>
        <sz val="12"/>
        <color theme="1"/>
        <rFont val="Calibri"/>
        <family val="2"/>
        <scheme val="minor"/>
      </rPr>
      <t>Microsoft Office Button or Click File(Excel 2010)</t>
    </r>
  </si>
  <si>
    <r>
      <t xml:space="preserve">then Click  </t>
    </r>
    <r>
      <rPr>
        <b/>
        <sz val="12"/>
        <color theme="1"/>
        <rFont val="Calibri"/>
        <family val="2"/>
        <scheme val="minor"/>
      </rPr>
      <t>Excel Option</t>
    </r>
  </si>
  <si>
    <r>
      <t xml:space="preserve">2. Click </t>
    </r>
    <r>
      <rPr>
        <b/>
        <sz val="12"/>
        <color theme="1"/>
        <rFont val="Calibri"/>
        <family val="2"/>
        <scheme val="minor"/>
      </rPr>
      <t>Trust Center</t>
    </r>
    <r>
      <rPr>
        <sz val="12"/>
        <color theme="1"/>
        <rFont val="Calibri"/>
        <family val="2"/>
        <scheme val="minor"/>
      </rPr>
      <t xml:space="preserve">, click </t>
    </r>
    <r>
      <rPr>
        <b/>
        <sz val="12"/>
        <color theme="1"/>
        <rFont val="Calibri"/>
        <family val="2"/>
        <scheme val="minor"/>
      </rPr>
      <t>Trust Center Settings</t>
    </r>
    <r>
      <rPr>
        <sz val="12"/>
        <color theme="1"/>
        <rFont val="Calibri"/>
        <family val="2"/>
        <scheme val="minor"/>
      </rPr>
      <t xml:space="preserve">, and then click </t>
    </r>
    <r>
      <rPr>
        <b/>
        <sz val="12"/>
        <color theme="1"/>
        <rFont val="Calibri"/>
        <family val="2"/>
        <scheme val="minor"/>
      </rPr>
      <t>Macro Settings</t>
    </r>
    <r>
      <rPr>
        <sz val="12"/>
        <color theme="1"/>
        <rFont val="Calibri"/>
        <family val="2"/>
        <scheme val="minor"/>
      </rPr>
      <t>.</t>
    </r>
  </si>
  <si>
    <t>3. Click the options that you you need:</t>
  </si>
  <si>
    <r>
      <t>a-Choose-Enable all macros (not recommended, potentially dangerous code can run)</t>
    </r>
    <r>
      <rPr>
        <sz val="12"/>
        <color theme="1"/>
        <rFont val="Calibri"/>
        <family val="2"/>
        <scheme val="minor"/>
      </rPr>
      <t> Click this option to allow all macros to run.</t>
    </r>
  </si>
  <si>
    <t xml:space="preserve"> This setting makes your computer vulnerable to potentially malicious code and is not recommended.</t>
  </si>
  <si>
    <r>
      <t xml:space="preserve">b-Tick on </t>
    </r>
    <r>
      <rPr>
        <b/>
        <sz val="12"/>
        <color theme="1"/>
        <rFont val="Calibri"/>
        <family val="2"/>
        <scheme val="minor"/>
      </rPr>
      <t xml:space="preserve">Trust access to the VBA project object model  </t>
    </r>
  </si>
  <si>
    <t>c- Reopen your excel file to enable the macro</t>
  </si>
  <si>
    <t>Note: we need to enable macro to prevert  any copying from the original templates..</t>
  </si>
  <si>
    <r>
      <rPr>
        <sz val="22"/>
        <rFont val="Limon S0"/>
        <family val="2"/>
      </rPr>
      <t>3-esvakmµepÞrR)ak;</t>
    </r>
    <r>
      <rPr>
        <sz val="12"/>
        <rFont val="Times New Roman"/>
        <family val="1"/>
      </rPr>
      <t xml:space="preserve"> (Money Transfer) </t>
    </r>
  </si>
  <si>
    <t>បញ្ជីរាយឈ្មោះរបាយការណ៍ដែលត្រូវផ្តល់ជូនធនាគារជាតិនៃកម្ពុជាដោយគ្រឹះសា្ថនធនាគារ</t>
  </si>
  <si>
    <t>ល.រ</t>
  </si>
  <si>
    <t>ទំរង់</t>
  </si>
  <si>
    <t>ឈ្មោះរបាយការណ៍ថ្មី</t>
  </si>
  <si>
    <t>ចំនួនសន្លឹក​​ ក្នុងមួយច្បាប់</t>
  </si>
  <si>
    <t>Frequency of Report</t>
  </si>
  <si>
    <t>Type of Report</t>
  </si>
  <si>
    <t>ជាភាសារខ្មែរ</t>
  </si>
  <si>
    <t>ជាភាសារអង់គ្លេស</t>
  </si>
  <si>
    <t>DAILY</t>
  </si>
  <si>
    <t>WEEKLY</t>
  </si>
  <si>
    <t>MONTHLY</t>
  </si>
  <si>
    <t>QUARTERLY</t>
  </si>
  <si>
    <t>ANNUAL</t>
  </si>
  <si>
    <t>SOFT</t>
  </si>
  <si>
    <t>HARD</t>
  </si>
  <si>
    <t>FS-BS-M</t>
  </si>
  <si>
    <t>របាយការណ៍ប្រចាំខែស្តីពី ទ្រព្យសកម្មនិងទ្រព្យអកម្ម</t>
  </si>
  <si>
    <t>MONTHLY REPORT ON BALANCE SHEET</t>
  </si>
  <si>
    <t>x</t>
  </si>
  <si>
    <t>FS-IS-M</t>
  </si>
  <si>
    <t>របាយការណ៍ប្រចាំខែស្តីពី ចំណូលនិងចំណាយ</t>
  </si>
  <si>
    <t>MONTHLY REPORT ON INCOME STATEMENT</t>
  </si>
  <si>
    <t>FS-OBS-M</t>
  </si>
  <si>
    <t>របាយការណ៍ប្រចាំខែស្តីពី ក្រៅតារាងតុល្យការ</t>
  </si>
  <si>
    <t>MONTHLY REPORT ON OFF-BALANCE SHEET</t>
  </si>
  <si>
    <t>FS-COA-M</t>
  </si>
  <si>
    <t>របាយការណ៍ប្រចាំខែស្តីពី ប្លង់គណនីឯកភាព</t>
  </si>
  <si>
    <t>MONTHLY REPORT ON​​ UNIFORM COA</t>
  </si>
  <si>
    <t>P-LR-TW</t>
  </si>
  <si>
    <t>របាយការណ៍ប្រចាំពីរសបា្តហ៍ស្តីពី អនុបាតសាច់ប្រាក់ងាយស្រួល</t>
  </si>
  <si>
    <t>TWICE WEEKS REPORT ON LIQUIDITY RATIO</t>
  </si>
  <si>
    <t>Twice Weeks Reports</t>
  </si>
  <si>
    <t>P-SOL-M</t>
  </si>
  <si>
    <t>របាយការណ៍ប្រចាំខែស្តីពី អនុបាតសាធនភាព</t>
  </si>
  <si>
    <t>MONTHLY REPORT ON SOLVENCY RATIO</t>
  </si>
  <si>
    <t>P-NW-M</t>
  </si>
  <si>
    <t>របាយការណ៍ប្រចាំខែស្តីពី ការគណនាមូលនិធិផ្ទាល់សុទ្ឌ</t>
  </si>
  <si>
    <t>MONTHLY REPORT ON NET WORTH CALCULATION</t>
  </si>
  <si>
    <t>P-NOP-M</t>
  </si>
  <si>
    <t>របាយការណ៍ប្រចាំខែស្តីពី ស្ថានភាពចំហសុទ្ធ នៃរូបិយប៍ណ្ណ</t>
  </si>
  <si>
    <t>MONTHLY REPORT ON NET OPEN POSITION</t>
  </si>
  <si>
    <t>P-LE-M</t>
  </si>
  <si>
    <t>របាយការណ៍ប្រចាំខែស្តីពី ហានិភ៍យធំៗរបស់ធនាគារ</t>
  </si>
  <si>
    <t>MONTHLY REPORT ON LARGE EXPOSURES OF BANK</t>
  </si>
  <si>
    <t>P-LRP-M</t>
  </si>
  <si>
    <t>របាយការណ៍ប្រចាំត្រីមាសស្តីពី ឥណទានចំពោះសម្ព៍ន្ធញ្ញាតិ</t>
  </si>
  <si>
    <t>MONTHLY REPORT ON LOANS TO RELATED PARTIES</t>
  </si>
  <si>
    <t>P-SFL-M</t>
  </si>
  <si>
    <t>របាយការណ៍ប្រចាំខែស្តីពី ប្រភពទុនជាប្រាក់បញ្ញើសំរាប់ប្រើប្រាស់ក្នុងស្រុក</t>
  </si>
  <si>
    <t>MONTHLY REPORT ON SOURSES OF FUNDS FROM DEPOSITS FOR LOCAL USE</t>
  </si>
  <si>
    <t>P-FP-M</t>
  </si>
  <si>
    <t>របាយការណ៍ប្រចាំខែស្តីពី ទ្រពសម្បត្តិរឹបអូសតាមផ្លូវច្បាប់</t>
  </si>
  <si>
    <t>MONTHLY REPORT ON  PROPERTIES ACQUIRED THROUGH FORECLOSURE</t>
  </si>
  <si>
    <t>P-RR-P</t>
  </si>
  <si>
    <t>របាយការណ៍តាមអំឡុងពេលកំណត់ស្តីពី​ ប្រាក់បំរុងកាតព្វកិច្ជ</t>
  </si>
  <si>
    <t>PERIODIC  REPORT ON RESERVE REQUIREMENT</t>
  </si>
  <si>
    <t>Following by Prakas on Reserve Requirement</t>
  </si>
  <si>
    <t>C-LC-1-M</t>
  </si>
  <si>
    <t>របាយការណ៍ប្រចាំខែស្តីពី ចំណាត់ថ្នាក់ឥណទាន (ឥណទានស្តង់ដា)</t>
  </si>
  <si>
    <t>MONTHLY REPORT ON CREDIT CLASSIFICATION​ (Standard Loans)</t>
  </si>
  <si>
    <t>C-LC-2-M</t>
  </si>
  <si>
    <t>របាយការណ៍ប្រចាំខែស្តីពី ចំណាត់ថ្នាក់ឥណទាន​ (ឥណទានឃ្លាំមើល)</t>
  </si>
  <si>
    <t>MONTHLY REPORT ON CREDIT CLASSIFICATION (Special Mention Loans)</t>
  </si>
  <si>
    <t>C-LC-3-M</t>
  </si>
  <si>
    <t>របាយការណ៍ប្រចាំខែស្តីពី ចំណាត់ថ្នាក់ឥណទាន​ (ឥណទានក្រោមស្តង់ដា)</t>
  </si>
  <si>
    <t>MONTHLY REPORT ON CREDIT CLASSIFICATION (Sub-Standard Loans)</t>
  </si>
  <si>
    <t>C-LC-4-M</t>
  </si>
  <si>
    <t>របាយការណ៍ប្រចាំខែស្តីពី ចំណាត់ថ្នាក់ឥណទាន​ (ឥណទានសង្ស៍យ)</t>
  </si>
  <si>
    <t>MONTHLY REPORT ON CREDIT CLASSIFICATION (Doubtful Loans)</t>
  </si>
  <si>
    <t>C-LC-5-M</t>
  </si>
  <si>
    <t>របាយការណ៍ប្រចាំខែស្តីពី ចំណាត់ថ្នាក់ឥណទាន​ (ឥណទានខាតបង់)</t>
  </si>
  <si>
    <t>MONTHLY REPORT ON CREDIT CLASSIFICATION (Loss Loans)</t>
  </si>
  <si>
    <t>C-CE-M</t>
  </si>
  <si>
    <t>របាយការណ៍ប្រចាំខែស្តីពី ឥណទានតាមប្រភេទជំនួញនិងម្ចាស់កម្មសិទ្ធិក្នុងវិស៍យសេដ្ឋកិច្ច</t>
  </si>
  <si>
    <t>MONTHLY REPORT ON CREDIT BY INDUSTRY AND OWNERSHIP IN THE ECONOMIC SECTOR</t>
  </si>
  <si>
    <t>C-RL-Q</t>
  </si>
  <si>
    <t>របាយការណ៍ប្រចាំត្រីមាសស្តីពី ឥណទានរៀបចំឡើងវិញ</t>
  </si>
  <si>
    <t>QUARTER LY REPORT ON RESTRUCTURE LOANS</t>
  </si>
  <si>
    <t>C-LW-Q</t>
  </si>
  <si>
    <t>របាយការណ៍ប្រចាំត្រីមាសស្តីពី ឥណទានលុបចេញពីបញ្ជី</t>
  </si>
  <si>
    <t>QUARTERLY REPORT ON LOANS WRITTEN-OFF</t>
  </si>
  <si>
    <t>C-LE50-Q</t>
  </si>
  <si>
    <t>របាយការណ៍ប្រចាំត្រីមាសស្តីពី ហានិភ័យឥណទានធំចំនួន 50</t>
  </si>
  <si>
    <t xml:space="preserve">QUARTERLY REPORT ON 50 LARGEST EXPOSURES </t>
  </si>
  <si>
    <t>D-TD20-M</t>
  </si>
  <si>
    <t>របាយការណ៍ប្រចាំខែស្តីពី អ្នកដាក់ប្រាក់បញ្ញើខ្ពស់បំផុតចំនួន​ ២០</t>
  </si>
  <si>
    <t>MONTHLY REPORT ON TOP TWENTY DEPOSITORS</t>
  </si>
  <si>
    <t>D-DTC-M</t>
  </si>
  <si>
    <t>របាយការណ៍ប្រចាំខែស្តីពី ប្រាក់បញ្ញើចំណាត់ថ្នាក់តាមប្រភេទ អតិថិជននិងរូបិយប៍ណ្ណ</t>
  </si>
  <si>
    <t>MONTHLY REPORT ON DEPOSITS CLASSIFIED BY TYPES OF DEPOSITORS AND CURRENCIES</t>
  </si>
  <si>
    <t>D-DTM-M</t>
  </si>
  <si>
    <t>របាយការណ៍ប្រចាំខែស្តីពី ប្រាក់បញ្ញើចំណាត់ថ្នាក់តាមប្រភេទ គណនីនិងទំហំទឹកប្រាក់</t>
  </si>
  <si>
    <t>MONTHLY REPORT ON DEPOSITS CLASSIFIED BY TYPES OF ACCOUNTS AND DEPOSIT AMOUNTS</t>
  </si>
  <si>
    <t>D-DP-1-TW</t>
  </si>
  <si>
    <t>របាយការណ៏​ប្រចាំពីរសបា្តហ៍ស្តីពីប្រតិបតិ្តការទទួលប្រាក់បញ្ញើ</t>
  </si>
  <si>
    <t>TWICE WEEKS REPORT ON DEPOSIT PERFORMANCE</t>
  </si>
  <si>
    <t>D-DOC-2-TW</t>
  </si>
  <si>
    <t>​របាយការណ៍ប្រចំាំពីរសប្តាហ៍ស្តីពីប្រាក់បញ្ញើនៅក្រៅប្រទេសកម្ពុជា</t>
  </si>
  <si>
    <t>TWICE WEEKS REPORT ON DEPOSIT OUTSIDE CAMBODIA</t>
  </si>
  <si>
    <t>I-DC-FC-D</t>
  </si>
  <si>
    <t>របាយការណ៍ប្រចាំថ្ងៃស្តីពី ការប្រែប្រួលសាច់ប្រាក់នៃរូបិយប័ណ្ណបរទេសប្រចាំថ្ងៃ</t>
  </si>
  <si>
    <t>DAILY REPORT ON DAILY FOREIGN CURRENCY CASH STATEMENT</t>
  </si>
  <si>
    <t>I-DC-KHR-W</t>
  </si>
  <si>
    <t>របាយការណ៍ប្រចាំសបា្តហ៍ស្តីពី ការប្រែប្រួលសាច់ប្រាក់រៀលប្រចាំសបា្តហ៍</t>
  </si>
  <si>
    <t>WEEKLY REPORT ON  RIEL CASH STATEMENT</t>
  </si>
  <si>
    <t>I-MP-M</t>
  </si>
  <si>
    <t>របាយការណ៍ប្រចាំខែស្តីពី កាលវសាន្តនៃទ្រព្យសកម្មនិងទ្រព្យអកម្ម</t>
  </si>
  <si>
    <t>MONTHLY REPORT ON MATURITY PROFILE</t>
  </si>
  <si>
    <t>I-RM-M</t>
  </si>
  <si>
    <t>របាយការណ៍ប្រចាំខែស្តីពី លាភការរបស់គណៈគ្រប់គ្រង</t>
  </si>
  <si>
    <t>MONTHLY REPORT ON​​​ REMUNERATION FOR MANAGEMENT</t>
  </si>
  <si>
    <t>I-NAL-M</t>
  </si>
  <si>
    <t>របាយការណ៍ប្រចាំខែស្តីពី ទ្រព្យសកម្មឬទ្រព្យអកម្មសុទ្ធនៅធនាគារមេ ទីស្នាក់ការកណ្តាល ឬ​ សាខា</t>
  </si>
  <si>
    <t>MONTHLY REPORT ON NET ASSETS OR LIABILITIES OF FOREIGN BANK TO ITS PARENT HEAD OFFICE OR AFFILIATES</t>
  </si>
  <si>
    <t>I-WI-M</t>
  </si>
  <si>
    <t>របាយការណ៍ប្រចាំខែស្តីពីការតាមដានមធ្យមភាគអត្រាការប្រាក់ក្រោយថ្លឹងចំពោះប្រាក់បញ្ញើនិងឥណទានថ្មីៗ</t>
  </si>
  <si>
    <t>MONTHLY REPORT ON SUVERY CURRENT WEIGHTED AVERAGE INTEREST RATES ON NEW DEPOSITS AND LOANS</t>
  </si>
  <si>
    <t>I-ISG-M</t>
  </si>
  <si>
    <t>របាយការណ៍ប្រចាំខែស្តីពី គំលាតវេទយិតភាពការប្រាក់</t>
  </si>
  <si>
    <t>MONTHLY REPORT ON INTEREST SENSITIVITY GAP</t>
  </si>
  <si>
    <t>I-MI-M</t>
  </si>
  <si>
    <t>របាយការណ៍ប្រចាំខែស្តីពី រូបិយវត្ថុ និងប្រតិបតិ្តការទីផ្សារអន្តរធនាគារ</t>
  </si>
  <si>
    <t>MONTHLY REPORT ON MONEY AND INTERBANK MARKET TRANSACTION</t>
  </si>
  <si>
    <t>I-NWI-M</t>
  </si>
  <si>
    <t>របាយការណ៍ប្រចាំខែស្តីពី បណ្តាញពត៌មាន</t>
  </si>
  <si>
    <t>MONTHLY REPORT ON NETWORK INFORMATION</t>
  </si>
  <si>
    <t>I-BP-A</t>
  </si>
  <si>
    <t>របាយការណ៍ប្រចាំឆ្នាំស្តីពី​ ផែនការអាជីវកម្ម</t>
  </si>
  <si>
    <t xml:space="preserve"> ANNUALY REPORT ON BUSINESS PLAN</t>
  </si>
  <si>
    <t>O-RE-1-W</t>
  </si>
  <si>
    <t>របាយការណ៏ប្រចាំសប្តាហ៍ស្តីឥណទានទៅរដ្ដាភិបាល</t>
  </si>
  <si>
    <t>WEEKLY  REPORT ON LOAN TO GOVERNMENT</t>
  </si>
  <si>
    <t>O-RE-2-M</t>
  </si>
  <si>
    <t>របាយការណ៏ប្រចាំខែ CALL REPORT SPREAD SHEET</t>
  </si>
  <si>
    <t>MONTHLY REPORT ON CALL REPORT ON SPREAD SHEET</t>
  </si>
  <si>
    <t>O-RE-3-M</t>
  </si>
  <si>
    <t>របាយការណ៍ប្រចាំខែស្តីពីអត្រាការប្រាក់</t>
  </si>
  <si>
    <t xml:space="preserve">MONTHLY REPORT ON INTEREST RATE </t>
  </si>
  <si>
    <t>X</t>
  </si>
  <si>
    <t>O-RE-4-M</t>
  </si>
  <si>
    <t>របាយការណ៏ប្រចាំខែស្តីពីសាជីវកម្មទទួលប្រាក់បញ្ញើផ្សេងៗ</t>
  </si>
  <si>
    <t>OTHER DEPOSITORY CORPORATIONS REPORT FORM</t>
  </si>
  <si>
    <t>អនុញ្ញាតដោយ</t>
  </si>
  <si>
    <t>ត្រួតពិនិត្យដោយ</t>
  </si>
  <si>
    <t>រៀបចំដោយ</t>
  </si>
  <si>
    <t>Approved By</t>
  </si>
  <si>
    <t>Revised By</t>
  </si>
  <si>
    <t>Prepared By</t>
  </si>
  <si>
    <t xml:space="preserve">គ-​ </t>
  </si>
  <si>
    <t>កម្រៃផ្សេងៗ​​​​  Other Charge Fees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</si>
</sst>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mmmm\-yyyy"/>
    <numFmt numFmtId="165" formatCode="&quot;£&quot;#,##0.00;[Red]\-&quot;£&quot;#,##0.00"/>
  </numFmts>
  <fonts count="59">
    <font>
      <sz val="11"/>
      <color theme="1"/>
      <name val="Calibri"/>
      <family val="2"/>
      <scheme val="minor"/>
    </font>
    <font>
      <sz val="10"/>
      <name val="Times New Roman"/>
      <family val="1"/>
    </font>
    <font>
      <sz val="9"/>
      <name val="Arial"/>
      <family val="2"/>
    </font>
    <font>
      <sz val="10"/>
      <name val="Arial"/>
      <family val="2"/>
    </font>
    <font>
      <b/>
      <sz val="16"/>
      <name val="Times New Roman"/>
      <family val="1"/>
    </font>
    <font>
      <sz val="9"/>
      <name val="Arial"/>
      <family val="2"/>
      <charset val="222"/>
    </font>
    <font>
      <sz val="8"/>
      <name val="Arial"/>
      <family val="2"/>
      <charset val="222"/>
    </font>
    <font>
      <sz val="9"/>
      <color indexed="10"/>
      <name val="Arial"/>
      <family val="2"/>
      <charset val="222"/>
    </font>
    <font>
      <b/>
      <sz val="9"/>
      <color indexed="10"/>
      <name val="Arial"/>
      <family val="2"/>
      <charset val="222"/>
    </font>
    <font>
      <b/>
      <sz val="9"/>
      <color indexed="53"/>
      <name val="Arial"/>
      <family val="2"/>
    </font>
    <font>
      <b/>
      <sz val="9"/>
      <name val="Arial"/>
      <family val="2"/>
    </font>
    <font>
      <b/>
      <u/>
      <sz val="9"/>
      <name val="Arial"/>
      <family val="2"/>
      <charset val="222"/>
    </font>
    <font>
      <b/>
      <sz val="9"/>
      <name val="Arial"/>
      <family val="2"/>
      <charset val="222"/>
    </font>
    <font>
      <b/>
      <sz val="8"/>
      <name val="Arial"/>
      <family val="2"/>
      <charset val="222"/>
    </font>
    <font>
      <sz val="9"/>
      <color indexed="61"/>
      <name val="Arial"/>
      <family val="2"/>
    </font>
    <font>
      <sz val="9"/>
      <color indexed="53"/>
      <name val="Arial"/>
      <family val="2"/>
    </font>
    <font>
      <sz val="9"/>
      <name val="Limon R1"/>
    </font>
    <font>
      <sz val="9"/>
      <name val="Times New Roman"/>
      <family val="1"/>
      <charset val="222"/>
    </font>
    <font>
      <b/>
      <u/>
      <sz val="9"/>
      <name val="Arial"/>
      <family val="2"/>
    </font>
    <font>
      <sz val="10"/>
      <color indexed="8"/>
      <name val="Arial"/>
      <family val="2"/>
    </font>
    <font>
      <sz val="22"/>
      <name val="Limon R1"/>
    </font>
    <font>
      <sz val="12"/>
      <name val="Times New Roman"/>
      <family val="1"/>
    </font>
    <font>
      <sz val="20"/>
      <name val="Limon R1"/>
    </font>
    <font>
      <sz val="22"/>
      <name val="Limon S1"/>
    </font>
    <font>
      <sz val="11"/>
      <name val="Times New Roman"/>
      <family val="1"/>
    </font>
    <font>
      <b/>
      <sz val="22"/>
      <name val="Limon S1"/>
    </font>
    <font>
      <b/>
      <sz val="12"/>
      <name val="Times New Roman"/>
      <family val="1"/>
    </font>
    <font>
      <sz val="11"/>
      <name val="Calibri"/>
      <family val="2"/>
    </font>
    <font>
      <sz val="12"/>
      <name val="Arial"/>
      <family val="2"/>
    </font>
    <font>
      <sz val="20"/>
      <color theme="1"/>
      <name val="Calibri"/>
      <family val="2"/>
      <scheme val="minor"/>
    </font>
    <font>
      <sz val="10"/>
      <name val="Calibri"/>
      <family val="2"/>
      <scheme val="minor"/>
    </font>
    <font>
      <sz val="12"/>
      <color theme="1"/>
      <name val="Calibri"/>
      <family val="2"/>
      <scheme val="minor"/>
    </font>
    <font>
      <b/>
      <sz val="12"/>
      <color theme="1"/>
      <name val="Calibri"/>
      <family val="2"/>
      <scheme val="minor"/>
    </font>
    <font>
      <sz val="10"/>
      <color theme="1"/>
      <name val="Calibri"/>
      <family val="2"/>
      <scheme val="minor"/>
    </font>
    <font>
      <sz val="10"/>
      <color theme="1"/>
      <name val="MS Sans Serif"/>
      <family val="2"/>
    </font>
    <font>
      <u/>
      <sz val="10"/>
      <color theme="10"/>
      <name val="MS Sans Serif"/>
      <family val="2"/>
    </font>
    <font>
      <u/>
      <sz val="10"/>
      <color theme="1"/>
      <name val="Calibri"/>
      <family val="2"/>
      <scheme val="minor"/>
    </font>
    <font>
      <b/>
      <sz val="10"/>
      <color theme="1"/>
      <name val="Calibri"/>
      <family val="2"/>
      <scheme val="minor"/>
    </font>
    <font>
      <b/>
      <sz val="10"/>
      <name val="MS Sans Serif"/>
      <family val="2"/>
    </font>
    <font>
      <sz val="14"/>
      <name val="Cambria"/>
      <family val="1"/>
      <scheme val="major"/>
    </font>
    <font>
      <sz val="14"/>
      <name val="MS Sans Serif"/>
      <family val="2"/>
    </font>
    <font>
      <sz val="12"/>
      <name val="Limon S0"/>
      <family val="2"/>
    </font>
    <font>
      <sz val="22"/>
      <name val="Limon S0"/>
      <family val="2"/>
    </font>
    <font>
      <sz val="12"/>
      <name val="Khmer OS Muol Light"/>
    </font>
    <font>
      <b/>
      <sz val="8"/>
      <name val="Khmer OS"/>
    </font>
    <font>
      <b/>
      <sz val="12"/>
      <name val="Khmer OS"/>
    </font>
    <font>
      <b/>
      <sz val="10"/>
      <name val="Khmer OS"/>
    </font>
    <font>
      <b/>
      <sz val="11"/>
      <name val="Khmer OS"/>
    </font>
    <font>
      <b/>
      <sz val="11"/>
      <name val="Arial"/>
      <family val="2"/>
    </font>
    <font>
      <sz val="8"/>
      <name val="Arial"/>
      <family val="2"/>
    </font>
    <font>
      <b/>
      <sz val="6"/>
      <name val="Khmer OS"/>
    </font>
    <font>
      <sz val="8"/>
      <name val="Khmer OS Battambang"/>
    </font>
    <font>
      <sz val="7"/>
      <name val="Arial"/>
      <family val="2"/>
    </font>
    <font>
      <b/>
      <sz val="6"/>
      <name val="Arial"/>
      <family val="2"/>
    </font>
    <font>
      <b/>
      <sz val="7"/>
      <name val="Arial"/>
      <family val="2"/>
    </font>
    <font>
      <b/>
      <u/>
      <sz val="10"/>
      <name val="Arial"/>
      <family val="2"/>
    </font>
    <font>
      <sz val="9"/>
      <name val="Khmer OS Battambang"/>
    </font>
    <font>
      <sz val="10"/>
      <name val="Khmer OS Battambang"/>
    </font>
    <font>
      <b/>
      <sz val="12"/>
      <color indexed="81"/>
      <name val="Tahoma"/>
      <family val="2"/>
    </font>
  </fonts>
  <fills count="17">
    <fill>
      <patternFill patternType="none"/>
    </fill>
    <fill>
      <patternFill patternType="gray125"/>
    </fill>
    <fill>
      <patternFill patternType="solid">
        <fgColor indexed="11"/>
        <bgColor indexed="64"/>
      </patternFill>
    </fill>
    <fill>
      <patternFill patternType="solid">
        <fgColor indexed="15"/>
        <bgColor indexed="64"/>
      </patternFill>
    </fill>
    <fill>
      <patternFill patternType="solid">
        <fgColor indexed="22"/>
        <bgColor indexed="64"/>
      </patternFill>
    </fill>
    <fill>
      <patternFill patternType="solid">
        <fgColor theme="0" tint="-0.14999847407452621"/>
        <bgColor indexed="64"/>
      </patternFill>
    </fill>
    <fill>
      <patternFill patternType="solid">
        <fgColor indexed="9"/>
        <bgColor indexed="64"/>
      </patternFill>
    </fill>
    <fill>
      <patternFill patternType="solid">
        <fgColor indexed="46"/>
        <bgColor indexed="64"/>
      </patternFill>
    </fill>
    <fill>
      <patternFill patternType="solid">
        <fgColor theme="0"/>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
      <patternFill patternType="solid">
        <fgColor indexed="13"/>
        <bgColor indexed="64"/>
      </patternFill>
    </fill>
    <fill>
      <patternFill patternType="solid">
        <fgColor rgb="FFFFC000"/>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5" tint="0.79998168889431442"/>
        <bgColor indexed="64"/>
      </patternFill>
    </fill>
  </fills>
  <borders count="3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hair">
        <color indexed="64"/>
      </bottom>
      <diagonal/>
    </border>
    <border>
      <left/>
      <right/>
      <top/>
      <bottom style="hair">
        <color indexed="64"/>
      </bottom>
      <diagonal/>
    </border>
    <border>
      <left style="thin">
        <color indexed="64"/>
      </left>
      <right style="thin">
        <color indexed="64"/>
      </right>
      <top/>
      <bottom style="hair">
        <color indexed="64"/>
      </bottom>
      <diagonal/>
    </border>
    <border>
      <left/>
      <right/>
      <top style="medium">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hair">
        <color indexed="64"/>
      </left>
      <right/>
      <top style="hair">
        <color indexed="64"/>
      </top>
      <bottom style="hair">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hair">
        <color indexed="64"/>
      </right>
      <top style="hair">
        <color indexed="64"/>
      </top>
      <bottom style="hair">
        <color indexed="64"/>
      </bottom>
      <diagonal/>
    </border>
    <border>
      <left/>
      <right/>
      <top/>
      <bottom style="thin">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s>
  <cellStyleXfs count="16">
    <xf numFmtId="0" fontId="0" fillId="0" borderId="0"/>
    <xf numFmtId="0" fontId="1" fillId="0" borderId="0"/>
    <xf numFmtId="0" fontId="3" fillId="0" borderId="0"/>
    <xf numFmtId="43" fontId="3" fillId="0" borderId="0" applyFont="0" applyFill="0" applyBorder="0" applyAlignment="0" applyProtection="0"/>
    <xf numFmtId="165" fontId="19" fillId="0" borderId="0" applyFont="0" applyFill="0" applyBorder="0" applyAlignment="0" applyProtection="0">
      <alignment vertical="top"/>
    </xf>
    <xf numFmtId="43" fontId="3" fillId="0" borderId="0" applyFont="0" applyFill="0" applyBorder="0" applyAlignment="0" applyProtection="0"/>
    <xf numFmtId="43" fontId="3" fillId="0" borderId="0" applyFont="0" applyFill="0" applyBorder="0" applyAlignment="0" applyProtection="0"/>
    <xf numFmtId="0" fontId="1" fillId="0" borderId="0"/>
    <xf numFmtId="0" fontId="1" fillId="0" borderId="0"/>
    <xf numFmtId="0" fontId="19" fillId="0" borderId="0">
      <alignment vertical="top"/>
    </xf>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xf numFmtId="0" fontId="3" fillId="0" borderId="0"/>
  </cellStyleXfs>
  <cellXfs count="268">
    <xf numFmtId="0" fontId="0" fillId="0" borderId="0" xfId="0"/>
    <xf numFmtId="0" fontId="2" fillId="0" borderId="0" xfId="1" applyFont="1" applyAlignment="1" applyProtection="1">
      <alignment horizontal="right"/>
    </xf>
    <xf numFmtId="0" fontId="5" fillId="0" borderId="1" xfId="1" applyFont="1" applyBorder="1" applyAlignment="1" applyProtection="1">
      <alignment horizontal="left"/>
      <protection locked="0"/>
    </xf>
    <xf numFmtId="0" fontId="6" fillId="0" borderId="2" xfId="1" applyFont="1" applyBorder="1" applyAlignment="1" applyProtection="1">
      <alignment horizontal="center"/>
      <protection locked="0"/>
    </xf>
    <xf numFmtId="0" fontId="2" fillId="0" borderId="0" xfId="1" applyNumberFormat="1" applyFont="1" applyAlignment="1" applyProtection="1">
      <alignment horizontal="center"/>
    </xf>
    <xf numFmtId="0" fontId="2" fillId="0" borderId="0" xfId="1" applyNumberFormat="1" applyFont="1" applyAlignment="1" applyProtection="1"/>
    <xf numFmtId="0" fontId="5" fillId="0" borderId="4" xfId="1" applyNumberFormat="1" applyFont="1" applyBorder="1" applyAlignment="1" applyProtection="1">
      <alignment horizontal="left"/>
      <protection locked="0"/>
    </xf>
    <xf numFmtId="164" fontId="7" fillId="0" borderId="5" xfId="1" applyNumberFormat="1" applyFont="1" applyBorder="1" applyAlignment="1" applyProtection="1">
      <alignment horizontal="center"/>
      <protection locked="0"/>
    </xf>
    <xf numFmtId="3" fontId="5" fillId="3" borderId="3" xfId="1" applyNumberFormat="1" applyFont="1" applyFill="1" applyBorder="1" applyAlignment="1" applyProtection="1">
      <alignment horizontal="center"/>
      <protection locked="0"/>
    </xf>
    <xf numFmtId="0" fontId="5" fillId="0" borderId="6" xfId="1" applyFont="1" applyBorder="1" applyAlignment="1" applyProtection="1">
      <alignment horizontal="right"/>
    </xf>
    <xf numFmtId="0" fontId="8" fillId="0" borderId="5" xfId="1" applyNumberFormat="1" applyFont="1" applyBorder="1" applyAlignment="1" applyProtection="1">
      <alignment horizontal="center"/>
      <protection locked="0"/>
    </xf>
    <xf numFmtId="0" fontId="7" fillId="0" borderId="5" xfId="1" applyNumberFormat="1" applyFont="1" applyBorder="1" applyAlignment="1" applyProtection="1">
      <alignment horizontal="center"/>
      <protection locked="0"/>
    </xf>
    <xf numFmtId="0" fontId="5" fillId="0" borderId="10" xfId="1" applyFont="1" applyBorder="1" applyAlignment="1" applyProtection="1">
      <alignment horizontal="right"/>
      <protection locked="0"/>
    </xf>
    <xf numFmtId="0" fontId="5" fillId="0" borderId="6" xfId="1" applyNumberFormat="1" applyFont="1" applyBorder="1" applyProtection="1">
      <protection locked="0"/>
    </xf>
    <xf numFmtId="0" fontId="5" fillId="0" borderId="4" xfId="1" applyFont="1" applyBorder="1" applyAlignment="1" applyProtection="1">
      <alignment horizontal="right"/>
    </xf>
    <xf numFmtId="0" fontId="5" fillId="0" borderId="0" xfId="1" applyFont="1" applyBorder="1" applyAlignment="1" applyProtection="1">
      <alignment horizontal="right"/>
    </xf>
    <xf numFmtId="0" fontId="9" fillId="0" borderId="0" xfId="1" applyNumberFormat="1" applyFont="1" applyAlignment="1" applyProtection="1"/>
    <xf numFmtId="0" fontId="10" fillId="0" borderId="0" xfId="1" applyFont="1" applyAlignment="1" applyProtection="1">
      <alignment horizontal="right"/>
    </xf>
    <xf numFmtId="0" fontId="11" fillId="0" borderId="0" xfId="1" applyNumberFormat="1" applyFont="1" applyBorder="1" applyAlignment="1" applyProtection="1">
      <alignment horizontal="center"/>
    </xf>
    <xf numFmtId="0" fontId="5" fillId="4" borderId="12" xfId="1" applyFont="1" applyFill="1" applyBorder="1" applyAlignment="1" applyProtection="1">
      <alignment horizontal="right"/>
    </xf>
    <xf numFmtId="0" fontId="5" fillId="5" borderId="12" xfId="1" applyFont="1" applyFill="1" applyBorder="1" applyAlignment="1" applyProtection="1">
      <alignment horizontal="right"/>
    </xf>
    <xf numFmtId="0" fontId="5" fillId="0" borderId="4" xfId="1" applyNumberFormat="1" applyFont="1" applyBorder="1" applyAlignment="1" applyProtection="1">
      <alignment horizontal="right"/>
    </xf>
    <xf numFmtId="0" fontId="5" fillId="0" borderId="16" xfId="1" applyNumberFormat="1" applyFont="1" applyBorder="1" applyAlignment="1" applyProtection="1">
      <alignment horizontal="center"/>
    </xf>
    <xf numFmtId="0" fontId="12" fillId="0" borderId="17" xfId="1" applyNumberFormat="1" applyFont="1" applyBorder="1" applyAlignment="1" applyProtection="1">
      <alignment horizontal="center"/>
    </xf>
    <xf numFmtId="43" fontId="12" fillId="5" borderId="18" xfId="3" applyFont="1" applyFill="1" applyBorder="1" applyAlignment="1" applyProtection="1">
      <alignment horizontal="right"/>
    </xf>
    <xf numFmtId="43" fontId="13" fillId="5" borderId="18" xfId="3" applyFont="1" applyFill="1" applyBorder="1" applyAlignment="1" applyProtection="1">
      <alignment horizontal="right"/>
    </xf>
    <xf numFmtId="0" fontId="5" fillId="0" borderId="20" xfId="1" applyNumberFormat="1" applyFont="1" applyBorder="1" applyAlignment="1" applyProtection="1"/>
    <xf numFmtId="0" fontId="5" fillId="0" borderId="21" xfId="1" applyNumberFormat="1" applyFont="1" applyBorder="1" applyAlignment="1" applyProtection="1"/>
    <xf numFmtId="43" fontId="5" fillId="6" borderId="22" xfId="3" applyFont="1" applyFill="1" applyBorder="1" applyAlignment="1" applyProtection="1">
      <protection locked="0"/>
    </xf>
    <xf numFmtId="43" fontId="5" fillId="5" borderId="22" xfId="3" applyFont="1" applyFill="1" applyBorder="1" applyAlignment="1" applyProtection="1">
      <alignment horizontal="right"/>
    </xf>
    <xf numFmtId="43" fontId="5" fillId="6" borderId="22" xfId="3" applyFont="1" applyFill="1" applyBorder="1" applyAlignment="1" applyProtection="1">
      <alignment horizontal="right"/>
      <protection locked="0"/>
    </xf>
    <xf numFmtId="0" fontId="5" fillId="0" borderId="21" xfId="1" applyNumberFormat="1" applyFont="1" applyBorder="1" applyAlignment="1" applyProtection="1">
      <alignment horizontal="left"/>
    </xf>
    <xf numFmtId="0" fontId="5" fillId="0" borderId="4" xfId="1" applyNumberFormat="1" applyFont="1" applyBorder="1" applyAlignment="1" applyProtection="1"/>
    <xf numFmtId="0" fontId="5" fillId="0" borderId="0" xfId="1" applyNumberFormat="1" applyFont="1" applyBorder="1" applyAlignment="1" applyProtection="1"/>
    <xf numFmtId="43" fontId="5" fillId="6" borderId="12" xfId="3" applyFont="1" applyFill="1" applyBorder="1" applyAlignment="1" applyProtection="1">
      <alignment horizontal="right"/>
      <protection locked="0"/>
    </xf>
    <xf numFmtId="0" fontId="5" fillId="0" borderId="26" xfId="1" applyNumberFormat="1" applyFont="1" applyBorder="1" applyAlignment="1" applyProtection="1"/>
    <xf numFmtId="43" fontId="5" fillId="5" borderId="12" xfId="3" applyFont="1" applyFill="1" applyBorder="1" applyAlignment="1" applyProtection="1">
      <alignment horizontal="right"/>
    </xf>
    <xf numFmtId="43" fontId="7" fillId="5" borderId="12" xfId="3" applyFont="1" applyFill="1" applyBorder="1" applyAlignment="1" applyProtection="1">
      <alignment horizontal="right"/>
    </xf>
    <xf numFmtId="43" fontId="6" fillId="5" borderId="22" xfId="3" applyFont="1" applyFill="1" applyBorder="1" applyAlignment="1" applyProtection="1">
      <alignment horizontal="right"/>
    </xf>
    <xf numFmtId="0" fontId="5" fillId="0" borderId="26" xfId="1" applyNumberFormat="1" applyFont="1" applyFill="1" applyBorder="1" applyAlignment="1" applyProtection="1"/>
    <xf numFmtId="0" fontId="5" fillId="0" borderId="21" xfId="1" applyNumberFormat="1" applyFont="1" applyFill="1" applyBorder="1" applyAlignment="1" applyProtection="1"/>
    <xf numFmtId="43" fontId="5" fillId="5" borderId="22" xfId="1" applyNumberFormat="1" applyFont="1" applyFill="1" applyBorder="1" applyAlignment="1" applyProtection="1">
      <alignment horizontal="right"/>
    </xf>
    <xf numFmtId="43" fontId="5" fillId="6" borderId="22" xfId="3" quotePrefix="1" applyFont="1" applyFill="1" applyBorder="1" applyAlignment="1" applyProtection="1">
      <alignment horizontal="right"/>
      <protection locked="0"/>
    </xf>
    <xf numFmtId="0" fontId="5" fillId="0" borderId="20" xfId="1" applyFont="1" applyBorder="1" applyAlignment="1" applyProtection="1">
      <alignment horizontal="right"/>
    </xf>
    <xf numFmtId="0" fontId="12" fillId="0" borderId="21" xfId="1" applyNumberFormat="1" applyFont="1" applyBorder="1" applyAlignment="1" applyProtection="1">
      <alignment horizontal="center"/>
    </xf>
    <xf numFmtId="43" fontId="12" fillId="5" borderId="22" xfId="3" applyFont="1" applyFill="1" applyBorder="1" applyAlignment="1" applyProtection="1">
      <alignment horizontal="right"/>
    </xf>
    <xf numFmtId="0" fontId="2" fillId="0" borderId="0" xfId="1" applyFont="1" applyAlignment="1" applyProtection="1">
      <alignment horizontal="right"/>
      <protection locked="0"/>
    </xf>
    <xf numFmtId="43" fontId="5" fillId="5" borderId="30" xfId="3" applyFont="1" applyFill="1" applyBorder="1" applyAlignment="1" applyProtection="1">
      <alignment horizontal="right"/>
    </xf>
    <xf numFmtId="0" fontId="16" fillId="0" borderId="0" xfId="1" applyFont="1" applyBorder="1" applyAlignment="1" applyProtection="1">
      <protection locked="0"/>
    </xf>
    <xf numFmtId="0" fontId="16" fillId="0" borderId="0" xfId="1" applyFont="1" applyAlignment="1" applyProtection="1">
      <alignment horizontal="center"/>
      <protection locked="0"/>
    </xf>
    <xf numFmtId="0" fontId="16" fillId="0" borderId="0" xfId="1" applyFont="1" applyAlignment="1" applyProtection="1">
      <protection locked="0"/>
    </xf>
    <xf numFmtId="0" fontId="17" fillId="0" borderId="0" xfId="1" applyFont="1" applyAlignment="1" applyProtection="1">
      <protection locked="0"/>
    </xf>
    <xf numFmtId="0" fontId="17" fillId="0" borderId="0" xfId="1" applyFont="1" applyAlignment="1" applyProtection="1">
      <alignment horizontal="center" vertical="center"/>
      <protection locked="0"/>
    </xf>
    <xf numFmtId="0" fontId="17" fillId="0" borderId="0" xfId="1" applyFont="1" applyAlignment="1" applyProtection="1">
      <alignment vertical="center"/>
      <protection locked="0"/>
    </xf>
    <xf numFmtId="0" fontId="5" fillId="0" borderId="10" xfId="1" applyNumberFormat="1" applyFont="1" applyBorder="1" applyAlignment="1" applyProtection="1"/>
    <xf numFmtId="0" fontId="12" fillId="0" borderId="31" xfId="1" applyNumberFormat="1" applyFont="1" applyBorder="1" applyAlignment="1" applyProtection="1">
      <alignment horizontal="center"/>
    </xf>
    <xf numFmtId="43" fontId="12" fillId="5" borderId="11" xfId="3" applyFont="1" applyFill="1" applyBorder="1" applyAlignment="1" applyProtection="1">
      <alignment horizontal="right"/>
    </xf>
    <xf numFmtId="43" fontId="13" fillId="5" borderId="11" xfId="3" applyFont="1" applyFill="1" applyBorder="1" applyAlignment="1" applyProtection="1">
      <alignment horizontal="right"/>
    </xf>
    <xf numFmtId="2" fontId="5" fillId="6" borderId="0" xfId="1" applyNumberFormat="1" applyFont="1" applyFill="1" applyBorder="1" applyAlignment="1" applyProtection="1">
      <alignment horizontal="center"/>
    </xf>
    <xf numFmtId="4" fontId="12" fillId="6" borderId="0" xfId="1" applyNumberFormat="1" applyFont="1" applyFill="1" applyBorder="1" applyAlignment="1" applyProtection="1">
      <alignment horizontal="center"/>
    </xf>
    <xf numFmtId="2" fontId="2" fillId="6" borderId="0" xfId="1" applyNumberFormat="1" applyFont="1" applyFill="1" applyAlignment="1" applyProtection="1">
      <alignment horizontal="center"/>
    </xf>
    <xf numFmtId="4" fontId="10" fillId="6" borderId="0" xfId="1" applyNumberFormat="1" applyFont="1" applyFill="1" applyAlignment="1" applyProtection="1">
      <alignment horizontal="center"/>
    </xf>
    <xf numFmtId="0" fontId="18" fillId="0" borderId="0" xfId="1" applyNumberFormat="1" applyFont="1" applyAlignment="1" applyProtection="1">
      <alignment horizontal="center"/>
    </xf>
    <xf numFmtId="0" fontId="5" fillId="0" borderId="1" xfId="1" applyNumberFormat="1" applyFont="1" applyBorder="1" applyAlignment="1" applyProtection="1">
      <alignment horizontal="center"/>
    </xf>
    <xf numFmtId="0" fontId="12" fillId="0" borderId="23" xfId="1" applyNumberFormat="1" applyFont="1" applyBorder="1" applyAlignment="1" applyProtection="1">
      <alignment horizontal="center"/>
    </xf>
    <xf numFmtId="43" fontId="12" fillId="5" borderId="9" xfId="3" applyFont="1" applyFill="1" applyBorder="1" applyAlignment="1" applyProtection="1">
      <alignment horizontal="right"/>
    </xf>
    <xf numFmtId="0" fontId="5" fillId="0" borderId="16" xfId="1" applyNumberFormat="1" applyFont="1" applyBorder="1" applyAlignment="1" applyProtection="1"/>
    <xf numFmtId="0" fontId="5" fillId="0" borderId="17" xfId="1" applyNumberFormat="1" applyFont="1" applyBorder="1" applyAlignment="1" applyProtection="1"/>
    <xf numFmtId="43" fontId="5" fillId="6" borderId="18" xfId="3" applyFont="1" applyFill="1" applyBorder="1" applyAlignment="1" applyProtection="1">
      <alignment horizontal="right"/>
      <protection locked="0"/>
    </xf>
    <xf numFmtId="43" fontId="5" fillId="5" borderId="18" xfId="3" applyFont="1" applyFill="1" applyBorder="1" applyAlignment="1" applyProtection="1">
      <alignment horizontal="right"/>
    </xf>
    <xf numFmtId="43" fontId="5" fillId="5" borderId="22" xfId="3" quotePrefix="1" applyFont="1" applyFill="1" applyBorder="1" applyAlignment="1" applyProtection="1">
      <alignment horizontal="right"/>
    </xf>
    <xf numFmtId="0" fontId="5" fillId="0" borderId="32" xfId="1" applyNumberFormat="1" applyFont="1" applyBorder="1" applyAlignment="1" applyProtection="1"/>
    <xf numFmtId="43" fontId="5" fillId="0" borderId="22" xfId="3" applyFont="1" applyBorder="1" applyAlignment="1" applyProtection="1">
      <alignment horizontal="right"/>
      <protection locked="0"/>
    </xf>
    <xf numFmtId="43" fontId="5" fillId="0" borderId="22" xfId="3" applyFont="1" applyFill="1" applyBorder="1" applyAlignment="1" applyProtection="1">
      <alignment horizontal="right"/>
      <protection locked="0"/>
    </xf>
    <xf numFmtId="0" fontId="5" fillId="0" borderId="10" xfId="1" applyFont="1" applyBorder="1" applyAlignment="1" applyProtection="1">
      <alignment horizontal="right"/>
    </xf>
    <xf numFmtId="3" fontId="5" fillId="0" borderId="11" xfId="1" applyNumberFormat="1" applyFont="1" applyBorder="1" applyAlignment="1" applyProtection="1">
      <alignment horizontal="right"/>
    </xf>
    <xf numFmtId="43" fontId="5" fillId="5" borderId="11" xfId="3" applyFont="1" applyFill="1" applyBorder="1" applyAlignment="1" applyProtection="1">
      <alignment horizontal="right"/>
    </xf>
    <xf numFmtId="43" fontId="2" fillId="0" borderId="0" xfId="1" applyNumberFormat="1" applyFont="1" applyAlignment="1" applyProtection="1">
      <alignment horizontal="right"/>
    </xf>
    <xf numFmtId="0" fontId="2" fillId="7" borderId="0" xfId="1" applyFont="1" applyFill="1" applyAlignment="1" applyProtection="1">
      <alignment horizontal="right"/>
    </xf>
    <xf numFmtId="0" fontId="21" fillId="0" borderId="0" xfId="2" applyFont="1" applyAlignment="1" applyProtection="1">
      <alignment vertical="center"/>
    </xf>
    <xf numFmtId="0" fontId="21" fillId="0" borderId="0" xfId="2" applyFont="1" applyAlignment="1" applyProtection="1">
      <alignment horizontal="center" vertical="center"/>
      <protection locked="0"/>
    </xf>
    <xf numFmtId="0" fontId="21" fillId="0" borderId="0" xfId="2" applyFont="1" applyAlignment="1" applyProtection="1">
      <alignment vertical="center"/>
      <protection locked="0"/>
    </xf>
    <xf numFmtId="0" fontId="22" fillId="5" borderId="0" xfId="2" applyFont="1" applyFill="1" applyAlignment="1" applyProtection="1">
      <alignment vertical="center"/>
      <protection locked="0"/>
    </xf>
    <xf numFmtId="0" fontId="21" fillId="5" borderId="0" xfId="2" applyFont="1" applyFill="1" applyAlignment="1" applyProtection="1">
      <alignment vertical="center"/>
      <protection locked="0"/>
    </xf>
    <xf numFmtId="0" fontId="21" fillId="0" borderId="1" xfId="2" applyFont="1" applyBorder="1" applyAlignment="1" applyProtection="1">
      <alignment vertical="center"/>
      <protection locked="0"/>
    </xf>
    <xf numFmtId="0" fontId="21" fillId="0" borderId="2" xfId="2" applyFont="1" applyBorder="1" applyAlignment="1" applyProtection="1">
      <alignment vertical="center"/>
      <protection locked="0"/>
    </xf>
    <xf numFmtId="0" fontId="21" fillId="0" borderId="33" xfId="2" applyFont="1" applyBorder="1" applyAlignment="1" applyProtection="1">
      <alignment vertical="center"/>
      <protection locked="0"/>
    </xf>
    <xf numFmtId="0" fontId="21" fillId="0" borderId="8" xfId="2" applyFont="1" applyBorder="1" applyAlignment="1" applyProtection="1">
      <alignment vertical="center"/>
      <protection locked="0"/>
    </xf>
    <xf numFmtId="0" fontId="23" fillId="0" borderId="0" xfId="2" applyFont="1" applyAlignment="1" applyProtection="1">
      <alignment horizontal="right" vertical="center"/>
      <protection locked="0"/>
    </xf>
    <xf numFmtId="0" fontId="21" fillId="0" borderId="0" xfId="2" applyFont="1" applyAlignment="1" applyProtection="1">
      <alignment horizontal="right" vertical="center"/>
      <protection locked="0"/>
    </xf>
    <xf numFmtId="0" fontId="21" fillId="5" borderId="1" xfId="2" applyFont="1" applyFill="1" applyBorder="1" applyAlignment="1">
      <alignment horizontal="center" vertical="center"/>
    </xf>
    <xf numFmtId="0" fontId="21" fillId="5" borderId="23" xfId="2" applyFont="1" applyFill="1" applyBorder="1" applyAlignment="1">
      <alignment horizontal="center" vertical="center"/>
    </xf>
    <xf numFmtId="0" fontId="21" fillId="5" borderId="2" xfId="2" applyFont="1" applyFill="1" applyBorder="1" applyAlignment="1">
      <alignment horizontal="center" vertical="center"/>
    </xf>
    <xf numFmtId="0" fontId="23" fillId="5" borderId="9" xfId="2" applyFont="1" applyFill="1" applyBorder="1" applyAlignment="1">
      <alignment horizontal="center" vertical="center"/>
    </xf>
    <xf numFmtId="0" fontId="23" fillId="0" borderId="0" xfId="2" applyFont="1" applyAlignment="1">
      <alignment horizontal="center" vertical="center"/>
    </xf>
    <xf numFmtId="0" fontId="21" fillId="0" borderId="0" xfId="2" applyFont="1" applyAlignment="1">
      <alignment horizontal="center" vertical="center"/>
    </xf>
    <xf numFmtId="0" fontId="21" fillId="5" borderId="10" xfId="2" applyFont="1" applyFill="1" applyBorder="1" applyAlignment="1">
      <alignment horizontal="center" vertical="center"/>
    </xf>
    <xf numFmtId="0" fontId="21" fillId="5" borderId="31" xfId="2" applyFont="1" applyFill="1" applyBorder="1" applyAlignment="1">
      <alignment horizontal="center" vertical="center"/>
    </xf>
    <xf numFmtId="0" fontId="21" fillId="5" borderId="6" xfId="2" applyFont="1" applyFill="1" applyBorder="1" applyAlignment="1">
      <alignment horizontal="center" vertical="center"/>
    </xf>
    <xf numFmtId="0" fontId="21" fillId="5" borderId="11" xfId="2" applyFont="1" applyFill="1" applyBorder="1" applyAlignment="1">
      <alignment horizontal="center" vertical="center"/>
    </xf>
    <xf numFmtId="0" fontId="21" fillId="5" borderId="23" xfId="2" applyFont="1" applyFill="1" applyBorder="1" applyAlignment="1">
      <alignment vertical="center"/>
    </xf>
    <xf numFmtId="0" fontId="21" fillId="5" borderId="2" xfId="2" applyFont="1" applyFill="1" applyBorder="1" applyAlignment="1">
      <alignment vertical="center"/>
    </xf>
    <xf numFmtId="0" fontId="21" fillId="0" borderId="0" xfId="2" applyFont="1" applyAlignment="1">
      <alignment vertical="center"/>
    </xf>
    <xf numFmtId="0" fontId="21" fillId="5" borderId="4" xfId="2" applyFont="1" applyFill="1" applyBorder="1" applyAlignment="1">
      <alignment vertical="center"/>
    </xf>
    <xf numFmtId="0" fontId="23" fillId="5" borderId="0" xfId="2" applyFont="1" applyFill="1" applyBorder="1" applyAlignment="1">
      <alignment horizontal="left" vertical="center"/>
    </xf>
    <xf numFmtId="0" fontId="21" fillId="5" borderId="5" xfId="2" applyFont="1" applyFill="1" applyBorder="1" applyAlignment="1">
      <alignment vertical="center"/>
    </xf>
    <xf numFmtId="0" fontId="21" fillId="5" borderId="0" xfId="2" applyFont="1" applyFill="1" applyBorder="1" applyAlignment="1">
      <alignment vertical="center"/>
    </xf>
    <xf numFmtId="0" fontId="21" fillId="5" borderId="31" xfId="2" applyFont="1" applyFill="1" applyBorder="1" applyAlignment="1">
      <alignment vertical="center"/>
    </xf>
    <xf numFmtId="0" fontId="21" fillId="5" borderId="0" xfId="2" applyFont="1" applyFill="1" applyAlignment="1">
      <alignment vertical="center"/>
    </xf>
    <xf numFmtId="0" fontId="23" fillId="5" borderId="4" xfId="2" applyFont="1" applyFill="1" applyBorder="1" applyAlignment="1">
      <alignment horizontal="left" vertical="center"/>
    </xf>
    <xf numFmtId="0" fontId="23" fillId="0" borderId="0" xfId="2" applyFont="1" applyBorder="1" applyAlignment="1" applyProtection="1">
      <alignment vertical="center"/>
      <protection locked="0"/>
    </xf>
    <xf numFmtId="0" fontId="23" fillId="0" borderId="0" xfId="2" applyFont="1" applyBorder="1" applyAlignment="1" applyProtection="1">
      <alignment horizontal="center" vertical="center"/>
      <protection locked="0"/>
    </xf>
    <xf numFmtId="0" fontId="21" fillId="0" borderId="0" xfId="2" applyFont="1" applyBorder="1" applyAlignment="1" applyProtection="1">
      <alignment vertical="center"/>
      <protection locked="0"/>
    </xf>
    <xf numFmtId="0" fontId="21" fillId="0" borderId="0" xfId="2" applyFont="1" applyBorder="1" applyAlignment="1" applyProtection="1">
      <alignment horizontal="center" vertical="center"/>
      <protection locked="0"/>
    </xf>
    <xf numFmtId="10" fontId="21" fillId="0" borderId="3" xfId="2" applyNumberFormat="1" applyFont="1" applyBorder="1" applyAlignment="1" applyProtection="1">
      <alignment horizontal="center" vertical="center"/>
      <protection locked="0"/>
    </xf>
    <xf numFmtId="10" fontId="21" fillId="0" borderId="11" xfId="13" applyNumberFormat="1" applyFont="1" applyBorder="1" applyAlignment="1" applyProtection="1">
      <alignment horizontal="center" vertical="center"/>
      <protection locked="0"/>
    </xf>
    <xf numFmtId="10" fontId="21" fillId="0" borderId="11" xfId="2" applyNumberFormat="1" applyFont="1" applyBorder="1" applyAlignment="1" applyProtection="1">
      <alignment horizontal="center" vertical="center"/>
      <protection locked="0"/>
    </xf>
    <xf numFmtId="10" fontId="21" fillId="0" borderId="12" xfId="2" applyNumberFormat="1" applyFont="1" applyBorder="1" applyAlignment="1" applyProtection="1">
      <alignment horizontal="center" vertical="center"/>
      <protection locked="0"/>
    </xf>
    <xf numFmtId="0" fontId="5" fillId="0" borderId="3" xfId="1" applyNumberFormat="1" applyFont="1" applyBorder="1" applyAlignment="1" applyProtection="1">
      <alignment horizontal="center"/>
      <protection locked="0"/>
    </xf>
    <xf numFmtId="0" fontId="5" fillId="0" borderId="2" xfId="1" applyFont="1" applyBorder="1" applyAlignment="1" applyProtection="1">
      <alignment horizontal="right"/>
      <protection locked="0"/>
    </xf>
    <xf numFmtId="0" fontId="5" fillId="0" borderId="6" xfId="1" applyFont="1" applyBorder="1" applyAlignment="1" applyProtection="1">
      <alignment horizontal="right"/>
      <protection locked="0"/>
    </xf>
    <xf numFmtId="0" fontId="5" fillId="0" borderId="2" xfId="1" applyNumberFormat="1" applyFont="1" applyBorder="1" applyAlignment="1" applyProtection="1">
      <alignment horizontal="center"/>
      <protection locked="0"/>
    </xf>
    <xf numFmtId="0" fontId="5" fillId="0" borderId="9" xfId="1" applyNumberFormat="1" applyFont="1" applyBorder="1" applyAlignment="1" applyProtection="1">
      <alignment horizontal="center"/>
      <protection locked="0"/>
    </xf>
    <xf numFmtId="17" fontId="5" fillId="0" borderId="6" xfId="1" applyNumberFormat="1" applyFont="1" applyBorder="1" applyAlignment="1" applyProtection="1">
      <alignment horizontal="center"/>
      <protection locked="0"/>
    </xf>
    <xf numFmtId="0" fontId="5" fillId="0" borderId="11" xfId="1" applyNumberFormat="1" applyFont="1" applyBorder="1" applyAlignment="1" applyProtection="1">
      <alignment horizontal="center"/>
      <protection locked="0"/>
    </xf>
    <xf numFmtId="0" fontId="5" fillId="0" borderId="4" xfId="1" applyFont="1" applyBorder="1" applyAlignment="1" applyProtection="1">
      <alignment horizontal="right"/>
      <protection locked="0"/>
    </xf>
    <xf numFmtId="0" fontId="5" fillId="0" borderId="0" xfId="1" applyFont="1" applyBorder="1" applyAlignment="1" applyProtection="1">
      <alignment horizontal="right"/>
      <protection locked="0"/>
    </xf>
    <xf numFmtId="0" fontId="5" fillId="0" borderId="12" xfId="1" applyFont="1" applyBorder="1" applyAlignment="1" applyProtection="1">
      <alignment horizontal="right"/>
      <protection locked="0"/>
    </xf>
    <xf numFmtId="0" fontId="7" fillId="0" borderId="12" xfId="1" applyFont="1" applyBorder="1" applyAlignment="1" applyProtection="1">
      <alignment horizontal="center"/>
      <protection locked="0"/>
    </xf>
    <xf numFmtId="0" fontId="2" fillId="0" borderId="13" xfId="1" applyNumberFormat="1" applyFont="1" applyBorder="1" applyAlignment="1" applyProtection="1">
      <protection locked="0"/>
    </xf>
    <xf numFmtId="0" fontId="2" fillId="0" borderId="14" xfId="1" applyFont="1" applyBorder="1" applyAlignment="1" applyProtection="1">
      <alignment horizontal="right"/>
      <protection locked="0"/>
    </xf>
    <xf numFmtId="0" fontId="9" fillId="0" borderId="15" xfId="1" applyFont="1" applyBorder="1" applyAlignment="1" applyProtection="1">
      <alignment horizontal="center"/>
      <protection locked="0"/>
    </xf>
    <xf numFmtId="0" fontId="2" fillId="0" borderId="0" xfId="1" applyNumberFormat="1" applyFont="1" applyAlignment="1" applyProtection="1">
      <alignment horizontal="right"/>
      <protection locked="0"/>
    </xf>
    <xf numFmtId="0" fontId="2" fillId="0" borderId="19" xfId="1" applyFont="1" applyBorder="1" applyAlignment="1" applyProtection="1">
      <alignment horizontal="right"/>
      <protection locked="0"/>
    </xf>
    <xf numFmtId="0" fontId="2" fillId="0" borderId="1" xfId="1" applyFont="1" applyBorder="1" applyAlignment="1" applyProtection="1">
      <alignment horizontal="right"/>
      <protection locked="0"/>
    </xf>
    <xf numFmtId="0" fontId="2" fillId="0" borderId="23" xfId="1" applyNumberFormat="1" applyFont="1" applyBorder="1" applyAlignment="1" applyProtection="1">
      <protection locked="0"/>
    </xf>
    <xf numFmtId="0" fontId="2" fillId="0" borderId="23" xfId="1" applyFont="1" applyBorder="1" applyAlignment="1" applyProtection="1">
      <alignment horizontal="right"/>
      <protection locked="0"/>
    </xf>
    <xf numFmtId="0" fontId="2" fillId="0" borderId="24" xfId="1" applyFont="1" applyBorder="1" applyAlignment="1" applyProtection="1">
      <alignment horizontal="right"/>
      <protection locked="0"/>
    </xf>
    <xf numFmtId="0" fontId="2" fillId="0" borderId="0" xfId="1" applyFont="1" applyBorder="1" applyAlignment="1" applyProtection="1">
      <alignment horizontal="right"/>
      <protection locked="0"/>
    </xf>
    <xf numFmtId="0" fontId="14" fillId="0" borderId="4" xfId="1" applyNumberFormat="1" applyFont="1" applyBorder="1" applyProtection="1">
      <protection locked="0"/>
    </xf>
    <xf numFmtId="0" fontId="2" fillId="0" borderId="0" xfId="1" applyNumberFormat="1" applyFont="1" applyBorder="1" applyAlignment="1" applyProtection="1">
      <protection locked="0"/>
    </xf>
    <xf numFmtId="0" fontId="2" fillId="0" borderId="25" xfId="1" applyFont="1" applyBorder="1" applyAlignment="1" applyProtection="1">
      <alignment horizontal="right"/>
      <protection locked="0"/>
    </xf>
    <xf numFmtId="0" fontId="2" fillId="0" borderId="0" xfId="1" applyNumberFormat="1" applyFont="1" applyBorder="1" applyAlignment="1" applyProtection="1">
      <alignment horizontal="left"/>
      <protection locked="0"/>
    </xf>
    <xf numFmtId="0" fontId="15" fillId="0" borderId="4" xfId="1" applyNumberFormat="1" applyFont="1" applyBorder="1" applyProtection="1">
      <protection locked="0"/>
    </xf>
    <xf numFmtId="0" fontId="2" fillId="0" borderId="0" xfId="1" applyFont="1" applyBorder="1" applyAlignment="1" applyProtection="1">
      <alignment horizontal="left"/>
      <protection locked="0"/>
    </xf>
    <xf numFmtId="0" fontId="14" fillId="0" borderId="27" xfId="1" applyNumberFormat="1" applyFont="1" applyBorder="1" applyProtection="1">
      <protection locked="0"/>
    </xf>
    <xf numFmtId="0" fontId="2" fillId="0" borderId="28" xfId="1" applyNumberFormat="1" applyFont="1" applyBorder="1" applyAlignment="1" applyProtection="1">
      <alignment horizontal="left"/>
      <protection locked="0"/>
    </xf>
    <xf numFmtId="0" fontId="2" fillId="0" borderId="28" xfId="1" applyFont="1" applyBorder="1" applyAlignment="1" applyProtection="1">
      <alignment horizontal="right"/>
      <protection locked="0"/>
    </xf>
    <xf numFmtId="0" fontId="2" fillId="0" borderId="29" xfId="1" applyFont="1" applyBorder="1" applyAlignment="1" applyProtection="1">
      <alignment horizontal="right"/>
      <protection locked="0"/>
    </xf>
    <xf numFmtId="0" fontId="21" fillId="8" borderId="3" xfId="2" applyFont="1" applyFill="1" applyBorder="1" applyAlignment="1" applyProtection="1">
      <alignment horizontal="center" vertical="center"/>
      <protection locked="0"/>
    </xf>
    <xf numFmtId="0" fontId="21" fillId="5" borderId="3" xfId="2" applyFont="1" applyFill="1" applyBorder="1" applyAlignment="1" applyProtection="1">
      <alignment horizontal="center" vertical="center"/>
      <protection locked="0"/>
    </xf>
    <xf numFmtId="0" fontId="21" fillId="5" borderId="9" xfId="2" applyFont="1" applyFill="1" applyBorder="1" applyAlignment="1" applyProtection="1">
      <alignment horizontal="center" vertical="center"/>
      <protection locked="0"/>
    </xf>
    <xf numFmtId="0" fontId="21" fillId="5" borderId="11" xfId="2" applyFont="1" applyFill="1" applyBorder="1" applyAlignment="1" applyProtection="1">
      <alignment horizontal="center" vertical="center"/>
      <protection locked="0"/>
    </xf>
    <xf numFmtId="0" fontId="21" fillId="0" borderId="3" xfId="2" applyFont="1" applyBorder="1" applyAlignment="1">
      <alignment vertical="center"/>
    </xf>
    <xf numFmtId="0" fontId="21" fillId="0" borderId="8" xfId="2" applyFont="1" applyBorder="1" applyAlignment="1">
      <alignment vertical="center"/>
    </xf>
    <xf numFmtId="0" fontId="23" fillId="5" borderId="0" xfId="2" applyFont="1" applyFill="1" applyBorder="1" applyAlignment="1">
      <alignment vertical="center"/>
    </xf>
    <xf numFmtId="0" fontId="23" fillId="5" borderId="5" xfId="2" applyFont="1" applyFill="1" applyBorder="1" applyAlignment="1">
      <alignment vertical="center"/>
    </xf>
    <xf numFmtId="0" fontId="24" fillId="5" borderId="5" xfId="2" applyFont="1" applyFill="1" applyBorder="1" applyAlignment="1">
      <alignment horizontal="right" vertical="center"/>
    </xf>
    <xf numFmtId="0" fontId="25" fillId="5" borderId="1" xfId="2" applyFont="1" applyFill="1" applyBorder="1" applyAlignment="1">
      <alignment horizontal="left" vertical="center"/>
    </xf>
    <xf numFmtId="0" fontId="30" fillId="0" borderId="0" xfId="0" applyFont="1"/>
    <xf numFmtId="0" fontId="31" fillId="9" borderId="0" xfId="0" applyFont="1" applyFill="1" applyAlignment="1">
      <alignment horizontal="left" vertical="center" indent="1"/>
    </xf>
    <xf numFmtId="0" fontId="31" fillId="9" borderId="0" xfId="0" applyFont="1" applyFill="1"/>
    <xf numFmtId="0" fontId="33" fillId="9" borderId="0" xfId="0" applyFont="1" applyFill="1"/>
    <xf numFmtId="0" fontId="34" fillId="9" borderId="0" xfId="0" applyFont="1" applyFill="1"/>
    <xf numFmtId="0" fontId="36" fillId="9" borderId="0" xfId="14" applyFont="1" applyFill="1" applyAlignment="1">
      <alignment horizontal="left" vertical="center" indent="2"/>
    </xf>
    <xf numFmtId="0" fontId="37" fillId="9" borderId="0" xfId="0" applyFont="1" applyFill="1" applyAlignment="1">
      <alignment horizontal="left" vertical="center" indent="2"/>
    </xf>
    <xf numFmtId="0" fontId="32" fillId="9" borderId="0" xfId="0" applyFont="1" applyFill="1"/>
    <xf numFmtId="0" fontId="0" fillId="9" borderId="0" xfId="0" applyFill="1"/>
    <xf numFmtId="0" fontId="38" fillId="9" borderId="0" xfId="0" applyFont="1" applyFill="1"/>
    <xf numFmtId="0" fontId="39" fillId="10" borderId="0" xfId="0" applyFont="1" applyFill="1"/>
    <xf numFmtId="0" fontId="40" fillId="10" borderId="0" xfId="0" applyFont="1" applyFill="1"/>
    <xf numFmtId="0" fontId="0" fillId="10" borderId="0" xfId="0" applyFill="1"/>
    <xf numFmtId="0" fontId="17" fillId="0" borderId="0" xfId="1" applyFont="1" applyAlignment="1" applyProtection="1">
      <alignment horizontal="center"/>
      <protection locked="0"/>
    </xf>
    <xf numFmtId="2" fontId="1" fillId="2" borderId="0" xfId="2" applyNumberFormat="1" applyFont="1" applyFill="1" applyAlignment="1" applyProtection="1">
      <alignment horizontal="center" vertical="center"/>
    </xf>
    <xf numFmtId="0" fontId="4" fillId="0" borderId="0" xfId="1" applyFont="1" applyAlignment="1" applyProtection="1">
      <alignment horizontal="center"/>
    </xf>
    <xf numFmtId="0" fontId="5" fillId="0" borderId="7" xfId="1" applyNumberFormat="1" applyFont="1" applyBorder="1" applyAlignment="1" applyProtection="1">
      <alignment horizontal="center"/>
      <protection locked="0"/>
    </xf>
    <xf numFmtId="0" fontId="5" fillId="0" borderId="8" xfId="1" applyNumberFormat="1" applyFont="1" applyBorder="1" applyAlignment="1" applyProtection="1">
      <alignment horizontal="center"/>
      <protection locked="0"/>
    </xf>
    <xf numFmtId="0" fontId="17" fillId="0" borderId="0" xfId="1" applyFont="1" applyAlignment="1" applyProtection="1">
      <alignment horizontal="left"/>
      <protection locked="0"/>
    </xf>
    <xf numFmtId="0" fontId="17" fillId="0" borderId="0" xfId="1" applyFont="1" applyAlignment="1" applyProtection="1">
      <alignment horizontal="center" vertical="center"/>
      <protection locked="0"/>
    </xf>
    <xf numFmtId="0" fontId="41" fillId="5" borderId="0" xfId="2" applyFont="1" applyFill="1" applyBorder="1" applyAlignment="1">
      <alignment horizontal="left" vertical="top"/>
    </xf>
    <xf numFmtId="0" fontId="41" fillId="5" borderId="5" xfId="2" applyFont="1" applyFill="1" applyBorder="1" applyAlignment="1">
      <alignment horizontal="left" vertical="top"/>
    </xf>
    <xf numFmtId="0" fontId="20" fillId="0" borderId="0" xfId="2" applyFont="1" applyAlignment="1" applyProtection="1">
      <alignment horizontal="center" vertical="center"/>
    </xf>
    <xf numFmtId="0" fontId="21" fillId="0" borderId="0" xfId="2" applyFont="1" applyAlignment="1" applyProtection="1">
      <alignment horizontal="center" vertical="center"/>
    </xf>
    <xf numFmtId="0" fontId="21" fillId="8" borderId="9" xfId="2" applyFont="1" applyFill="1" applyBorder="1" applyAlignment="1" applyProtection="1">
      <alignment horizontal="center" vertical="center"/>
      <protection locked="0"/>
    </xf>
    <xf numFmtId="0" fontId="21" fillId="8" borderId="11" xfId="2" applyFont="1" applyFill="1" applyBorder="1" applyAlignment="1" applyProtection="1">
      <alignment horizontal="center" vertical="center"/>
      <protection locked="0"/>
    </xf>
    <xf numFmtId="10" fontId="21" fillId="8" borderId="9" xfId="13" applyNumberFormat="1" applyFont="1" applyFill="1" applyBorder="1" applyAlignment="1" applyProtection="1">
      <alignment horizontal="center" vertical="center"/>
      <protection locked="0"/>
    </xf>
    <xf numFmtId="10" fontId="21" fillId="8" borderId="11" xfId="13" applyNumberFormat="1" applyFont="1" applyFill="1" applyBorder="1" applyAlignment="1" applyProtection="1">
      <alignment horizontal="center" vertical="center"/>
      <protection locked="0"/>
    </xf>
    <xf numFmtId="0" fontId="23" fillId="5" borderId="33" xfId="2" applyFont="1" applyFill="1" applyBorder="1" applyAlignment="1" applyProtection="1">
      <alignment horizontal="center" vertical="center"/>
    </xf>
    <xf numFmtId="0" fontId="23" fillId="5" borderId="7" xfId="2" applyFont="1" applyFill="1" applyBorder="1" applyAlignment="1" applyProtection="1">
      <alignment horizontal="center" vertical="center"/>
    </xf>
    <xf numFmtId="43" fontId="21" fillId="8" borderId="9" xfId="2" applyNumberFormat="1" applyFont="1" applyFill="1" applyBorder="1" applyAlignment="1" applyProtection="1">
      <alignment horizontal="center" vertical="center"/>
      <protection locked="0"/>
    </xf>
    <xf numFmtId="43" fontId="21" fillId="8" borderId="11" xfId="2" applyNumberFormat="1" applyFont="1" applyFill="1" applyBorder="1" applyAlignment="1" applyProtection="1">
      <alignment horizontal="center" vertical="center"/>
      <protection locked="0"/>
    </xf>
    <xf numFmtId="10" fontId="21" fillId="8" borderId="9" xfId="2" applyNumberFormat="1" applyFont="1" applyFill="1" applyBorder="1" applyAlignment="1" applyProtection="1">
      <alignment horizontal="center" vertical="center"/>
      <protection locked="0"/>
    </xf>
    <xf numFmtId="10" fontId="21" fillId="8" borderId="11" xfId="2" applyNumberFormat="1" applyFont="1" applyFill="1" applyBorder="1" applyAlignment="1" applyProtection="1">
      <alignment horizontal="center" vertical="center"/>
      <protection locked="0"/>
    </xf>
    <xf numFmtId="0" fontId="21" fillId="5" borderId="9" xfId="2" applyFont="1" applyFill="1" applyBorder="1" applyAlignment="1" applyProtection="1">
      <alignment horizontal="center" vertical="center"/>
      <protection locked="0"/>
    </xf>
    <xf numFmtId="0" fontId="21" fillId="5" borderId="11" xfId="2" applyFont="1" applyFill="1" applyBorder="1" applyAlignment="1" applyProtection="1">
      <alignment horizontal="center" vertical="center"/>
      <protection locked="0"/>
    </xf>
    <xf numFmtId="10" fontId="21" fillId="0" borderId="9" xfId="2" applyNumberFormat="1" applyFont="1" applyBorder="1" applyAlignment="1" applyProtection="1">
      <alignment horizontal="center" vertical="center"/>
      <protection locked="0"/>
    </xf>
    <xf numFmtId="10" fontId="21" fillId="0" borderId="11" xfId="2" applyNumberFormat="1" applyFont="1" applyBorder="1" applyAlignment="1" applyProtection="1">
      <alignment horizontal="center" vertical="center"/>
      <protection locked="0"/>
    </xf>
    <xf numFmtId="0" fontId="29" fillId="9" borderId="0" xfId="0" applyFont="1" applyFill="1" applyAlignment="1">
      <alignment horizontal="center"/>
    </xf>
    <xf numFmtId="0" fontId="3" fillId="0" borderId="0" xfId="15"/>
    <xf numFmtId="0" fontId="43" fillId="0" borderId="0" xfId="15" applyFont="1" applyAlignment="1">
      <alignment horizontal="center"/>
    </xf>
    <xf numFmtId="49" fontId="3" fillId="0" borderId="0" xfId="15" applyNumberFormat="1" applyAlignment="1">
      <alignment horizontal="center"/>
    </xf>
    <xf numFmtId="49" fontId="3" fillId="11" borderId="0" xfId="15" applyNumberFormat="1" applyFill="1"/>
    <xf numFmtId="0" fontId="3" fillId="11" borderId="0" xfId="15" applyFill="1" applyAlignment="1">
      <alignment horizontal="center"/>
    </xf>
    <xf numFmtId="0" fontId="3" fillId="0" borderId="3" xfId="15" applyFont="1" applyBorder="1" applyAlignment="1">
      <alignment horizontal="center" vertical="center"/>
    </xf>
    <xf numFmtId="0" fontId="44" fillId="0" borderId="3" xfId="15" applyFont="1" applyBorder="1" applyAlignment="1">
      <alignment horizontal="center" vertical="center"/>
    </xf>
    <xf numFmtId="0" fontId="45" fillId="0" borderId="3" xfId="15" applyFont="1" applyBorder="1" applyAlignment="1">
      <alignment horizontal="center" vertical="top"/>
    </xf>
    <xf numFmtId="49" fontId="44" fillId="0" borderId="3" xfId="15" applyNumberFormat="1" applyFont="1" applyBorder="1" applyAlignment="1">
      <alignment horizontal="center" vertical="top" wrapText="1"/>
    </xf>
    <xf numFmtId="0" fontId="46" fillId="0" borderId="3" xfId="15" applyFont="1" applyFill="1" applyBorder="1" applyAlignment="1">
      <alignment horizontal="center" vertical="center"/>
    </xf>
    <xf numFmtId="0" fontId="44" fillId="11" borderId="3" xfId="15" applyFont="1" applyFill="1" applyBorder="1" applyAlignment="1">
      <alignment horizontal="center" vertical="center"/>
    </xf>
    <xf numFmtId="0" fontId="3" fillId="0" borderId="0" xfId="15" applyAlignment="1">
      <alignment horizontal="center" vertical="top"/>
    </xf>
    <xf numFmtId="0" fontId="47" fillId="0" borderId="34" xfId="15" applyFont="1" applyBorder="1" applyAlignment="1">
      <alignment horizontal="center" vertical="top"/>
    </xf>
    <xf numFmtId="0" fontId="47" fillId="0" borderId="35" xfId="15" applyFont="1" applyBorder="1" applyAlignment="1">
      <alignment horizontal="center" vertical="top"/>
    </xf>
    <xf numFmtId="0" fontId="3" fillId="0" borderId="3" xfId="15" applyBorder="1" applyAlignment="1">
      <alignment horizontal="center" vertical="center"/>
    </xf>
    <xf numFmtId="0" fontId="48" fillId="0" borderId="3" xfId="15" applyFont="1" applyBorder="1" applyAlignment="1">
      <alignment horizontal="center" vertical="center"/>
    </xf>
    <xf numFmtId="0" fontId="49" fillId="0" borderId="3" xfId="15" applyFont="1" applyBorder="1" applyAlignment="1">
      <alignment horizontal="center" vertical="center"/>
    </xf>
    <xf numFmtId="49" fontId="49" fillId="0" borderId="3" xfId="15" applyNumberFormat="1" applyFont="1" applyBorder="1" applyAlignment="1">
      <alignment horizontal="center" vertical="center"/>
    </xf>
    <xf numFmtId="49" fontId="49" fillId="11" borderId="3" xfId="15" applyNumberFormat="1" applyFont="1" applyFill="1" applyBorder="1" applyAlignment="1">
      <alignment horizontal="center" vertical="center"/>
    </xf>
    <xf numFmtId="0" fontId="3" fillId="0" borderId="0" xfId="15" applyAlignment="1">
      <alignment horizontal="center" vertical="center"/>
    </xf>
    <xf numFmtId="0" fontId="3" fillId="0" borderId="3" xfId="15" applyBorder="1" applyAlignment="1">
      <alignment vertical="center"/>
    </xf>
    <xf numFmtId="0" fontId="50" fillId="5" borderId="3" xfId="15" applyFont="1" applyFill="1" applyBorder="1" applyAlignment="1">
      <alignment vertical="center"/>
    </xf>
    <xf numFmtId="0" fontId="51" fillId="0" borderId="3" xfId="15" applyFont="1" applyBorder="1" applyAlignment="1">
      <alignment vertical="center"/>
    </xf>
    <xf numFmtId="0" fontId="52" fillId="0" borderId="3" xfId="15" applyFont="1" applyFill="1" applyBorder="1" applyAlignment="1">
      <alignment vertical="center"/>
    </xf>
    <xf numFmtId="0" fontId="3" fillId="0" borderId="3" xfId="15" applyNumberFormat="1" applyFont="1" applyBorder="1" applyAlignment="1">
      <alignment vertical="center"/>
    </xf>
    <xf numFmtId="0" fontId="52" fillId="0" borderId="3" xfId="15" applyFont="1" applyBorder="1" applyAlignment="1">
      <alignment horizontal="center" vertical="center"/>
    </xf>
    <xf numFmtId="0" fontId="52" fillId="0" borderId="3" xfId="15" applyFont="1" applyBorder="1" applyAlignment="1">
      <alignment vertical="center"/>
    </xf>
    <xf numFmtId="0" fontId="2" fillId="0" borderId="3" xfId="15" applyFont="1" applyBorder="1" applyAlignment="1">
      <alignment horizontal="center" vertical="center"/>
    </xf>
    <xf numFmtId="0" fontId="2" fillId="11" borderId="3" xfId="15" applyFont="1" applyFill="1" applyBorder="1" applyAlignment="1">
      <alignment horizontal="center" vertical="center"/>
    </xf>
    <xf numFmtId="0" fontId="3" fillId="0" borderId="6" xfId="15" applyBorder="1" applyAlignment="1">
      <alignment vertical="center"/>
    </xf>
    <xf numFmtId="0" fontId="3" fillId="0" borderId="11" xfId="15" applyBorder="1" applyAlignment="1">
      <alignment vertical="center"/>
    </xf>
    <xf numFmtId="0" fontId="3" fillId="0" borderId="8" xfId="15" applyBorder="1" applyAlignment="1">
      <alignment vertical="center"/>
    </xf>
    <xf numFmtId="0" fontId="3" fillId="11" borderId="3" xfId="15" applyFill="1" applyBorder="1" applyAlignment="1">
      <alignment vertical="center"/>
    </xf>
    <xf numFmtId="0" fontId="53" fillId="12" borderId="3" xfId="15" applyFont="1" applyFill="1" applyBorder="1" applyAlignment="1">
      <alignment vertical="center"/>
    </xf>
    <xf numFmtId="0" fontId="52" fillId="0" borderId="3" xfId="15" applyFont="1" applyBorder="1" applyAlignment="1">
      <alignment horizontal="center" vertical="center"/>
    </xf>
    <xf numFmtId="0" fontId="53" fillId="11" borderId="3" xfId="15" applyFont="1" applyFill="1" applyBorder="1" applyAlignment="1">
      <alignment vertical="center"/>
    </xf>
    <xf numFmtId="0" fontId="50" fillId="12" borderId="3" xfId="15" applyFont="1" applyFill="1" applyBorder="1" applyAlignment="1">
      <alignment vertical="center"/>
    </xf>
    <xf numFmtId="0" fontId="53" fillId="13" borderId="3" xfId="15" applyFont="1" applyFill="1" applyBorder="1" applyAlignment="1">
      <alignment vertical="center"/>
    </xf>
    <xf numFmtId="0" fontId="3" fillId="11" borderId="3" xfId="15" applyFill="1" applyBorder="1" applyAlignment="1">
      <alignment horizontal="center" vertical="center"/>
    </xf>
    <xf numFmtId="0" fontId="53" fillId="14" borderId="3" xfId="15" applyFont="1" applyFill="1" applyBorder="1" applyAlignment="1">
      <alignment vertical="center"/>
    </xf>
    <xf numFmtId="0" fontId="53" fillId="14" borderId="3" xfId="15" applyFont="1" applyFill="1" applyBorder="1" applyAlignment="1">
      <alignment horizontal="left" vertical="center"/>
    </xf>
    <xf numFmtId="0" fontId="53" fillId="15" borderId="3" xfId="15" applyFont="1" applyFill="1" applyBorder="1" applyAlignment="1">
      <alignment horizontal="left" vertical="center"/>
    </xf>
    <xf numFmtId="0" fontId="53" fillId="15" borderId="3" xfId="15" applyFont="1" applyFill="1" applyBorder="1" applyAlignment="1">
      <alignment vertical="center"/>
    </xf>
    <xf numFmtId="0" fontId="51" fillId="0" borderId="3" xfId="15" applyFont="1" applyBorder="1" applyAlignment="1">
      <alignment horizontal="left" vertical="center"/>
    </xf>
    <xf numFmtId="0" fontId="3" fillId="0" borderId="23" xfId="15" applyBorder="1" applyAlignment="1">
      <alignment vertical="center"/>
    </xf>
    <xf numFmtId="0" fontId="53" fillId="16" borderId="3" xfId="15" applyFont="1" applyFill="1" applyBorder="1" applyAlignment="1">
      <alignment vertical="center"/>
    </xf>
    <xf numFmtId="0" fontId="3" fillId="0" borderId="0" xfId="15" applyBorder="1" applyAlignment="1">
      <alignment vertical="center"/>
    </xf>
    <xf numFmtId="0" fontId="54" fillId="0" borderId="3" xfId="15" applyFont="1" applyBorder="1" applyAlignment="1">
      <alignment horizontal="center" vertical="center"/>
    </xf>
    <xf numFmtId="0" fontId="54" fillId="11" borderId="3" xfId="15" applyFont="1" applyFill="1" applyBorder="1" applyAlignment="1">
      <alignment horizontal="center" vertical="center"/>
    </xf>
    <xf numFmtId="0" fontId="3" fillId="11" borderId="0" xfId="15" applyFill="1" applyBorder="1" applyAlignment="1">
      <alignment vertical="center"/>
    </xf>
    <xf numFmtId="0" fontId="3" fillId="11" borderId="0" xfId="15" applyFill="1" applyBorder="1" applyAlignment="1">
      <alignment horizontal="center" vertical="center"/>
    </xf>
    <xf numFmtId="0" fontId="55" fillId="0" borderId="0" xfId="15" applyFont="1" applyBorder="1" applyAlignment="1">
      <alignment vertical="center"/>
    </xf>
    <xf numFmtId="0" fontId="56" fillId="0" borderId="0" xfId="15" applyFont="1" applyBorder="1" applyAlignment="1">
      <alignment horizontal="center" vertical="center"/>
    </xf>
    <xf numFmtId="0" fontId="57" fillId="0" borderId="0" xfId="15" applyFont="1" applyBorder="1" applyAlignment="1">
      <alignment horizontal="center" vertical="center"/>
    </xf>
    <xf numFmtId="0" fontId="57" fillId="0" borderId="0" xfId="15" applyFont="1" applyBorder="1" applyAlignment="1">
      <alignment horizontal="center" vertical="center"/>
    </xf>
    <xf numFmtId="49" fontId="3" fillId="11" borderId="0" xfId="15" applyNumberFormat="1" applyFill="1" applyBorder="1" applyAlignment="1">
      <alignment vertical="center"/>
    </xf>
    <xf numFmtId="0" fontId="3" fillId="0" borderId="0" xfId="15" applyFont="1" applyBorder="1" applyAlignment="1">
      <alignment horizontal="center" vertical="center"/>
    </xf>
    <xf numFmtId="0" fontId="3" fillId="0" borderId="0" xfId="15" applyFont="1" applyBorder="1" applyAlignment="1">
      <alignment horizontal="center" vertical="center"/>
    </xf>
    <xf numFmtId="0" fontId="3" fillId="0" borderId="0" xfId="15" applyBorder="1" applyAlignment="1">
      <alignment horizontal="center" vertical="center"/>
    </xf>
    <xf numFmtId="0" fontId="3" fillId="0" borderId="0" xfId="15" applyBorder="1" applyAlignment="1">
      <alignment horizontal="right" vertical="center"/>
    </xf>
    <xf numFmtId="49" fontId="3" fillId="0" borderId="0" xfId="15" applyNumberFormat="1" applyBorder="1" applyAlignment="1">
      <alignment horizontal="center" vertical="center"/>
    </xf>
    <xf numFmtId="49" fontId="3" fillId="0" borderId="0" xfId="15" applyNumberFormat="1" applyBorder="1" applyAlignment="1">
      <alignment horizontal="right" vertical="center"/>
    </xf>
    <xf numFmtId="0" fontId="49" fillId="0" borderId="0" xfId="15" applyFont="1" applyBorder="1" applyAlignment="1">
      <alignment vertical="center"/>
    </xf>
    <xf numFmtId="49" fontId="3" fillId="0" borderId="0" xfId="15" applyNumberFormat="1" applyBorder="1" applyAlignment="1">
      <alignment horizontal="center"/>
    </xf>
    <xf numFmtId="0" fontId="3" fillId="0" borderId="0" xfId="15" applyBorder="1"/>
    <xf numFmtId="49" fontId="3" fillId="11" borderId="0" xfId="15" applyNumberFormat="1" applyFill="1" applyBorder="1"/>
    <xf numFmtId="0" fontId="3" fillId="11" borderId="0" xfId="15" applyFill="1" applyBorder="1" applyAlignment="1">
      <alignment horizontal="center"/>
    </xf>
    <xf numFmtId="0" fontId="1" fillId="5" borderId="31" xfId="2" applyFont="1" applyFill="1" applyBorder="1" applyAlignment="1">
      <alignment vertical="center"/>
    </xf>
    <xf numFmtId="0" fontId="1" fillId="5" borderId="6" xfId="2" applyFont="1" applyFill="1" applyBorder="1" applyAlignment="1">
      <alignment vertical="center"/>
    </xf>
    <xf numFmtId="0" fontId="21" fillId="0" borderId="3" xfId="2" applyFont="1" applyBorder="1" applyAlignment="1" applyProtection="1">
      <alignment vertical="center"/>
      <protection locked="0"/>
    </xf>
  </cellXfs>
  <cellStyles count="16">
    <cellStyle name="Comma 2" xfId="4"/>
    <cellStyle name="Comma 2 2" xfId="5"/>
    <cellStyle name="Comma 2 2 2" xfId="6"/>
    <cellStyle name="Comma 3" xfId="3"/>
    <cellStyle name="Hyperlink" xfId="14" builtinId="8"/>
    <cellStyle name="Normal" xfId="0" builtinId="0"/>
    <cellStyle name="Normal 10" xfId="7"/>
    <cellStyle name="Normal 10 2" xfId="8"/>
    <cellStyle name="Normal 2" xfId="9"/>
    <cellStyle name="Normal 2 2" xfId="10"/>
    <cellStyle name="Normal 2 2 2" xfId="11"/>
    <cellStyle name="Normal 3" xfId="2"/>
    <cellStyle name="Normal 4" xfId="15"/>
    <cellStyle name="Normal_Mer BS PP&amp;SR 30-06-2006" xfId="1"/>
    <cellStyle name="Percent 2" xfId="12"/>
    <cellStyle name="Percent 2 2"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PPRSACCT05\PERSONAL\My%20documents%202006\NBC%20report%2006\monthly%202006\11-2006-Nbc\NEW%20UPDATE%20COA\ACLEDA\Documents%20and%20Settings\acleda\Desktop\Dec20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PPRSACCT05\PERSONAL\My%20documents%202006\NBC%20report%2006\monthly%202006\11-2006-Nbc\NEW%20UPDATE%20COA\ACLEDA\NBC%20JuL-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Documents%20and%20Settings\ponn%20dalyn\Desktop\Diskets\Jan-09%20%20KT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Input"/>
      <sheetName val="IS-Input"/>
      <sheetName val="OBS-Input"/>
      <sheetName val="ACBS"/>
      <sheetName val="ACIS"/>
      <sheetName val="OBS"/>
    </sheetNames>
    <sheetDataSet>
      <sheetData sheetId="0">
        <row r="8">
          <cell r="C8">
            <v>1213818.31</v>
          </cell>
          <cell r="D8">
            <v>1</v>
          </cell>
        </row>
        <row r="9">
          <cell r="C9">
            <v>336.53</v>
          </cell>
          <cell r="D9">
            <v>1</v>
          </cell>
        </row>
        <row r="10">
          <cell r="C10">
            <v>4096062.52</v>
          </cell>
          <cell r="D10">
            <v>1</v>
          </cell>
        </row>
        <row r="11">
          <cell r="C11">
            <v>104</v>
          </cell>
          <cell r="D11">
            <v>1</v>
          </cell>
        </row>
        <row r="12">
          <cell r="C12">
            <v>18067.89</v>
          </cell>
          <cell r="D12">
            <v>1</v>
          </cell>
        </row>
        <row r="13">
          <cell r="C13">
            <v>578834.56999999995</v>
          </cell>
          <cell r="D13">
            <v>1</v>
          </cell>
        </row>
        <row r="14">
          <cell r="D14">
            <v>1</v>
          </cell>
        </row>
        <row r="15">
          <cell r="D15">
            <v>1</v>
          </cell>
        </row>
        <row r="16">
          <cell r="D16">
            <v>1</v>
          </cell>
        </row>
        <row r="17">
          <cell r="D17">
            <v>1</v>
          </cell>
        </row>
        <row r="18">
          <cell r="D18">
            <v>1</v>
          </cell>
        </row>
        <row r="19">
          <cell r="C19">
            <v>18559.009999999998</v>
          </cell>
          <cell r="D19">
            <v>1</v>
          </cell>
        </row>
        <row r="20">
          <cell r="D20">
            <v>1</v>
          </cell>
        </row>
        <row r="21">
          <cell r="D21">
            <v>1</v>
          </cell>
        </row>
        <row r="22">
          <cell r="C22">
            <v>1300000</v>
          </cell>
          <cell r="D22">
            <v>1</v>
          </cell>
        </row>
        <row r="23">
          <cell r="C23">
            <v>496.65</v>
          </cell>
          <cell r="D23">
            <v>1</v>
          </cell>
        </row>
        <row r="24">
          <cell r="C24">
            <v>1575000</v>
          </cell>
          <cell r="D24">
            <v>1</v>
          </cell>
        </row>
        <row r="25">
          <cell r="C25">
            <v>74352.67</v>
          </cell>
          <cell r="D25">
            <v>1</v>
          </cell>
        </row>
        <row r="26">
          <cell r="C26">
            <v>1815138.08</v>
          </cell>
          <cell r="D26">
            <v>1</v>
          </cell>
        </row>
        <row r="27">
          <cell r="C27">
            <v>500000</v>
          </cell>
          <cell r="D27">
            <v>1</v>
          </cell>
        </row>
        <row r="28">
          <cell r="C28">
            <v>2362.27</v>
          </cell>
          <cell r="D28">
            <v>1</v>
          </cell>
        </row>
        <row r="29">
          <cell r="C29">
            <v>39490.370000000003</v>
          </cell>
          <cell r="D29">
            <v>1</v>
          </cell>
        </row>
        <row r="30">
          <cell r="C30">
            <v>94674.61</v>
          </cell>
          <cell r="D30">
            <v>1</v>
          </cell>
        </row>
        <row r="31">
          <cell r="C31">
            <v>64248.87</v>
          </cell>
          <cell r="D31">
            <v>1</v>
          </cell>
        </row>
        <row r="32">
          <cell r="C32">
            <v>28122.55</v>
          </cell>
          <cell r="D32">
            <v>1</v>
          </cell>
        </row>
        <row r="33">
          <cell r="D33">
            <v>1</v>
          </cell>
        </row>
        <row r="34">
          <cell r="D34">
            <v>1</v>
          </cell>
        </row>
        <row r="35">
          <cell r="C35">
            <v>1378773.5</v>
          </cell>
          <cell r="D35">
            <v>1</v>
          </cell>
        </row>
        <row r="36">
          <cell r="C36">
            <v>402167.18</v>
          </cell>
          <cell r="D36">
            <v>1</v>
          </cell>
        </row>
        <row r="37">
          <cell r="C37">
            <v>100589.14</v>
          </cell>
          <cell r="D37">
            <v>1</v>
          </cell>
        </row>
        <row r="38">
          <cell r="C38">
            <v>6807.8</v>
          </cell>
          <cell r="D38">
            <v>1</v>
          </cell>
        </row>
        <row r="39">
          <cell r="C39">
            <v>17932.080000000002</v>
          </cell>
          <cell r="D39">
            <v>1</v>
          </cell>
        </row>
        <row r="40">
          <cell r="C40">
            <v>12000</v>
          </cell>
          <cell r="D40">
            <v>1</v>
          </cell>
        </row>
        <row r="41">
          <cell r="D41">
            <v>1</v>
          </cell>
        </row>
        <row r="42">
          <cell r="C42">
            <v>477415.57</v>
          </cell>
          <cell r="D42">
            <v>1</v>
          </cell>
        </row>
        <row r="43">
          <cell r="C43">
            <v>72397.42</v>
          </cell>
          <cell r="D43">
            <v>1</v>
          </cell>
        </row>
        <row r="44">
          <cell r="C44">
            <v>2726417.37</v>
          </cell>
          <cell r="D44">
            <v>1</v>
          </cell>
        </row>
        <row r="45">
          <cell r="C45">
            <v>9770278.8200000003</v>
          </cell>
          <cell r="D45">
            <v>1</v>
          </cell>
        </row>
        <row r="46">
          <cell r="D46">
            <v>1</v>
          </cell>
        </row>
        <row r="47">
          <cell r="D47">
            <v>1</v>
          </cell>
        </row>
        <row r="48">
          <cell r="C48">
            <v>11773783.5</v>
          </cell>
          <cell r="D48">
            <v>1</v>
          </cell>
        </row>
        <row r="49">
          <cell r="C49">
            <v>21576597.25</v>
          </cell>
          <cell r="D49">
            <v>1</v>
          </cell>
        </row>
        <row r="50">
          <cell r="D50">
            <v>1</v>
          </cell>
        </row>
        <row r="51">
          <cell r="C51">
            <v>13976802.470000001</v>
          </cell>
          <cell r="D51">
            <v>1</v>
          </cell>
        </row>
        <row r="52">
          <cell r="C52">
            <v>830245.03</v>
          </cell>
          <cell r="D52">
            <v>1</v>
          </cell>
        </row>
        <row r="53">
          <cell r="C53">
            <v>2392372.87</v>
          </cell>
          <cell r="D53">
            <v>1</v>
          </cell>
        </row>
        <row r="54">
          <cell r="D54">
            <v>1</v>
          </cell>
        </row>
        <row r="55">
          <cell r="C55">
            <v>1304478.5</v>
          </cell>
          <cell r="D55">
            <v>1</v>
          </cell>
        </row>
        <row r="56">
          <cell r="D56">
            <v>1</v>
          </cell>
        </row>
        <row r="57">
          <cell r="C57">
            <v>23835.56</v>
          </cell>
          <cell r="D57">
            <v>1</v>
          </cell>
        </row>
        <row r="58">
          <cell r="C58">
            <v>848116.75</v>
          </cell>
          <cell r="D58">
            <v>1</v>
          </cell>
        </row>
        <row r="59">
          <cell r="C59">
            <v>4880.63</v>
          </cell>
          <cell r="D59">
            <v>1</v>
          </cell>
        </row>
        <row r="60">
          <cell r="D60">
            <v>1</v>
          </cell>
        </row>
        <row r="61">
          <cell r="C61">
            <v>15035.88</v>
          </cell>
          <cell r="D61">
            <v>1</v>
          </cell>
        </row>
        <row r="62">
          <cell r="C62">
            <v>6318.95</v>
          </cell>
          <cell r="D62">
            <v>1</v>
          </cell>
        </row>
        <row r="63">
          <cell r="D63">
            <v>1</v>
          </cell>
        </row>
        <row r="64">
          <cell r="C64">
            <v>7249.84</v>
          </cell>
          <cell r="D64">
            <v>1</v>
          </cell>
        </row>
        <row r="65">
          <cell r="C65">
            <v>16583.7</v>
          </cell>
          <cell r="D65">
            <v>1</v>
          </cell>
        </row>
        <row r="66">
          <cell r="D66">
            <v>1</v>
          </cell>
        </row>
        <row r="67">
          <cell r="C67">
            <v>254.14</v>
          </cell>
          <cell r="D67">
            <v>1</v>
          </cell>
        </row>
        <row r="68">
          <cell r="C68">
            <v>1116.92</v>
          </cell>
          <cell r="D68">
            <v>1</v>
          </cell>
        </row>
        <row r="69">
          <cell r="D69">
            <v>1</v>
          </cell>
        </row>
        <row r="70">
          <cell r="C70">
            <v>49642.31</v>
          </cell>
          <cell r="D70">
            <v>1</v>
          </cell>
        </row>
        <row r="71">
          <cell r="C71">
            <v>93968.76</v>
          </cell>
          <cell r="D71">
            <v>1</v>
          </cell>
        </row>
        <row r="72">
          <cell r="C72">
            <v>1791.2</v>
          </cell>
          <cell r="D72">
            <v>1</v>
          </cell>
        </row>
        <row r="73">
          <cell r="C73">
            <v>5915.99</v>
          </cell>
          <cell r="D73">
            <v>1</v>
          </cell>
        </row>
        <row r="74">
          <cell r="C74">
            <v>5589.48</v>
          </cell>
          <cell r="D74">
            <v>1</v>
          </cell>
        </row>
        <row r="75">
          <cell r="C75">
            <v>139.96</v>
          </cell>
          <cell r="D75">
            <v>1</v>
          </cell>
        </row>
        <row r="76">
          <cell r="C76">
            <v>-16697.830000000002</v>
          </cell>
          <cell r="D76">
            <v>1</v>
          </cell>
        </row>
        <row r="77">
          <cell r="C77">
            <v>-6246.33</v>
          </cell>
          <cell r="D77">
            <v>1</v>
          </cell>
        </row>
        <row r="78">
          <cell r="C78">
            <v>-147114.14000000001</v>
          </cell>
          <cell r="D78">
            <v>1</v>
          </cell>
        </row>
        <row r="79">
          <cell r="C79">
            <v>-41503.370000000003</v>
          </cell>
          <cell r="D79">
            <v>1</v>
          </cell>
        </row>
        <row r="80">
          <cell r="C80">
            <v>-6253.3</v>
          </cell>
          <cell r="D80">
            <v>1</v>
          </cell>
        </row>
        <row r="81">
          <cell r="C81">
            <v>-29910.17</v>
          </cell>
          <cell r="D81">
            <v>1</v>
          </cell>
        </row>
        <row r="82">
          <cell r="C82">
            <v>-323940.33</v>
          </cell>
          <cell r="D82">
            <v>1</v>
          </cell>
        </row>
        <row r="83">
          <cell r="C83">
            <v>-229774.2</v>
          </cell>
          <cell r="D83">
            <v>1</v>
          </cell>
        </row>
        <row r="84">
          <cell r="C84">
            <v>-190877.29</v>
          </cell>
          <cell r="D84">
            <v>1</v>
          </cell>
        </row>
        <row r="85">
          <cell r="C85">
            <v>-7161.22</v>
          </cell>
          <cell r="D85">
            <v>1</v>
          </cell>
        </row>
        <row r="86">
          <cell r="C86">
            <v>-633.91</v>
          </cell>
          <cell r="D86">
            <v>1</v>
          </cell>
        </row>
        <row r="87">
          <cell r="C87">
            <v>-180.52</v>
          </cell>
          <cell r="D87">
            <v>1</v>
          </cell>
        </row>
        <row r="88">
          <cell r="C88">
            <v>-35905.42</v>
          </cell>
          <cell r="D88">
            <v>1</v>
          </cell>
        </row>
        <row r="89">
          <cell r="C89">
            <v>-12544.37</v>
          </cell>
          <cell r="D89">
            <v>1</v>
          </cell>
        </row>
        <row r="90">
          <cell r="D90">
            <v>1</v>
          </cell>
        </row>
        <row r="91">
          <cell r="C91">
            <v>122324.44</v>
          </cell>
          <cell r="D91">
            <v>1</v>
          </cell>
        </row>
        <row r="92">
          <cell r="C92">
            <v>5058.58</v>
          </cell>
          <cell r="D92">
            <v>1</v>
          </cell>
        </row>
        <row r="93">
          <cell r="C93">
            <v>18885.32</v>
          </cell>
          <cell r="D93">
            <v>1</v>
          </cell>
        </row>
        <row r="94">
          <cell r="C94">
            <v>1239.8800000000001</v>
          </cell>
          <cell r="D94">
            <v>1</v>
          </cell>
        </row>
        <row r="95">
          <cell r="C95">
            <v>205764.4</v>
          </cell>
          <cell r="D95">
            <v>1</v>
          </cell>
        </row>
        <row r="96">
          <cell r="C96">
            <v>0</v>
          </cell>
          <cell r="D96">
            <v>1</v>
          </cell>
        </row>
        <row r="97">
          <cell r="C97">
            <v>536.77</v>
          </cell>
          <cell r="D97">
            <v>1</v>
          </cell>
        </row>
        <row r="98">
          <cell r="D98">
            <v>1</v>
          </cell>
        </row>
        <row r="99">
          <cell r="C99">
            <v>262.97000000000003</v>
          </cell>
          <cell r="D99">
            <v>1</v>
          </cell>
        </row>
        <row r="100">
          <cell r="C100">
            <v>95458.53</v>
          </cell>
          <cell r="D100">
            <v>1</v>
          </cell>
        </row>
        <row r="101">
          <cell r="C101">
            <v>1860</v>
          </cell>
          <cell r="D101">
            <v>1</v>
          </cell>
        </row>
        <row r="102">
          <cell r="C102">
            <v>3308.71</v>
          </cell>
          <cell r="D102">
            <v>1</v>
          </cell>
        </row>
        <row r="103">
          <cell r="C103">
            <v>51763.88</v>
          </cell>
          <cell r="D103">
            <v>1</v>
          </cell>
        </row>
        <row r="104">
          <cell r="C104">
            <v>271.17</v>
          </cell>
          <cell r="D104">
            <v>1</v>
          </cell>
        </row>
        <row r="105">
          <cell r="C105">
            <v>272370.03000000003</v>
          </cell>
          <cell r="D105">
            <v>1</v>
          </cell>
        </row>
        <row r="106">
          <cell r="C106">
            <v>4770.9399999999996</v>
          </cell>
          <cell r="D106">
            <v>1</v>
          </cell>
        </row>
        <row r="107">
          <cell r="D107">
            <v>1</v>
          </cell>
        </row>
        <row r="108">
          <cell r="C108">
            <v>49.33</v>
          </cell>
          <cell r="D108">
            <v>1</v>
          </cell>
        </row>
        <row r="109">
          <cell r="C109">
            <v>177.69</v>
          </cell>
          <cell r="D109">
            <v>1</v>
          </cell>
        </row>
        <row r="110">
          <cell r="D110">
            <v>1</v>
          </cell>
        </row>
        <row r="111">
          <cell r="C111">
            <v>1224.98</v>
          </cell>
          <cell r="D111">
            <v>1</v>
          </cell>
        </row>
        <row r="112">
          <cell r="C112">
            <v>245.21</v>
          </cell>
          <cell r="D112">
            <v>1</v>
          </cell>
        </row>
        <row r="113">
          <cell r="D113">
            <v>1</v>
          </cell>
        </row>
        <row r="114">
          <cell r="C114">
            <v>64800.41</v>
          </cell>
          <cell r="D114">
            <v>1</v>
          </cell>
        </row>
        <row r="115">
          <cell r="C115">
            <v>221761.54</v>
          </cell>
          <cell r="D115">
            <v>1</v>
          </cell>
        </row>
        <row r="116">
          <cell r="C116">
            <v>0</v>
          </cell>
          <cell r="D116">
            <v>1</v>
          </cell>
        </row>
        <row r="117">
          <cell r="D117">
            <v>1</v>
          </cell>
        </row>
        <row r="118">
          <cell r="C118">
            <v>154501.53</v>
          </cell>
          <cell r="D118">
            <v>1</v>
          </cell>
        </row>
        <row r="119">
          <cell r="C119">
            <v>221193.93</v>
          </cell>
          <cell r="D119">
            <v>1</v>
          </cell>
        </row>
        <row r="120">
          <cell r="C120">
            <v>119245.44</v>
          </cell>
          <cell r="D120">
            <v>1</v>
          </cell>
        </row>
        <row r="121">
          <cell r="D121">
            <v>1</v>
          </cell>
        </row>
        <row r="122">
          <cell r="C122">
            <v>18579.93</v>
          </cell>
          <cell r="D122">
            <v>1</v>
          </cell>
        </row>
        <row r="123">
          <cell r="C123">
            <v>-12221.23</v>
          </cell>
          <cell r="D123">
            <v>1</v>
          </cell>
        </row>
        <row r="124">
          <cell r="D124">
            <v>1</v>
          </cell>
        </row>
        <row r="125">
          <cell r="C125">
            <v>4202.2700000000004</v>
          </cell>
          <cell r="D125">
            <v>1</v>
          </cell>
        </row>
        <row r="126">
          <cell r="D126">
            <v>1</v>
          </cell>
        </row>
        <row r="127">
          <cell r="C127">
            <v>626.98</v>
          </cell>
          <cell r="D127">
            <v>1</v>
          </cell>
        </row>
        <row r="128">
          <cell r="C128">
            <v>11520.02</v>
          </cell>
          <cell r="D128">
            <v>1</v>
          </cell>
        </row>
        <row r="129">
          <cell r="C129">
            <v>103.61</v>
          </cell>
          <cell r="D129">
            <v>1</v>
          </cell>
        </row>
        <row r="130">
          <cell r="C130">
            <v>2606.84</v>
          </cell>
          <cell r="D130">
            <v>1</v>
          </cell>
        </row>
        <row r="131">
          <cell r="C131">
            <v>2416.7199999999998</v>
          </cell>
          <cell r="D131">
            <v>1</v>
          </cell>
        </row>
        <row r="132">
          <cell r="C132">
            <v>262.22000000000003</v>
          </cell>
          <cell r="D132">
            <v>1</v>
          </cell>
        </row>
        <row r="133">
          <cell r="C133">
            <v>5816.31</v>
          </cell>
          <cell r="D133">
            <v>1</v>
          </cell>
        </row>
        <row r="134">
          <cell r="C134">
            <v>5877.25</v>
          </cell>
          <cell r="D134">
            <v>1</v>
          </cell>
        </row>
        <row r="135">
          <cell r="C135">
            <v>271.44</v>
          </cell>
          <cell r="D135">
            <v>1</v>
          </cell>
        </row>
        <row r="136">
          <cell r="C136">
            <v>956.03</v>
          </cell>
          <cell r="D136">
            <v>1</v>
          </cell>
        </row>
        <row r="137">
          <cell r="C137">
            <v>883.7</v>
          </cell>
          <cell r="D137">
            <v>1</v>
          </cell>
        </row>
        <row r="138">
          <cell r="C138">
            <v>13.49</v>
          </cell>
          <cell r="D138">
            <v>1</v>
          </cell>
        </row>
        <row r="139">
          <cell r="C139">
            <v>1328325.29</v>
          </cell>
          <cell r="D139">
            <v>1</v>
          </cell>
        </row>
        <row r="140">
          <cell r="C140">
            <v>145675.34</v>
          </cell>
          <cell r="D140">
            <v>1</v>
          </cell>
        </row>
        <row r="141">
          <cell r="C141">
            <v>246464.32</v>
          </cell>
          <cell r="D141">
            <v>1</v>
          </cell>
        </row>
        <row r="142">
          <cell r="C142">
            <v>376575.99</v>
          </cell>
          <cell r="D142">
            <v>1</v>
          </cell>
        </row>
        <row r="143">
          <cell r="C143">
            <v>594396.52</v>
          </cell>
          <cell r="D143">
            <v>1</v>
          </cell>
        </row>
        <row r="144">
          <cell r="C144">
            <v>1543055.9</v>
          </cell>
          <cell r="D144">
            <v>1</v>
          </cell>
        </row>
        <row r="145">
          <cell r="C145">
            <v>1820999</v>
          </cell>
          <cell r="D145">
            <v>1</v>
          </cell>
        </row>
        <row r="146">
          <cell r="C146">
            <v>-61236.913999999997</v>
          </cell>
          <cell r="D146">
            <v>1</v>
          </cell>
        </row>
        <row r="147">
          <cell r="C147">
            <v>-210558.04300000001</v>
          </cell>
          <cell r="D147">
            <v>1</v>
          </cell>
        </row>
        <row r="148">
          <cell r="C148">
            <v>-334196.84299999999</v>
          </cell>
          <cell r="D148">
            <v>1</v>
          </cell>
        </row>
        <row r="149">
          <cell r="C149">
            <v>-919353.46400000004</v>
          </cell>
          <cell r="D149">
            <v>1</v>
          </cell>
        </row>
        <row r="150">
          <cell r="C150">
            <v>-1024240.334</v>
          </cell>
          <cell r="D150">
            <v>1</v>
          </cell>
        </row>
        <row r="151">
          <cell r="C151">
            <v>1126015.02</v>
          </cell>
          <cell r="D151">
            <v>1</v>
          </cell>
        </row>
        <row r="152">
          <cell r="C152">
            <v>-620804</v>
          </cell>
          <cell r="D152">
            <v>1</v>
          </cell>
        </row>
        <row r="153">
          <cell r="C153">
            <v>5800</v>
          </cell>
          <cell r="D153">
            <v>1</v>
          </cell>
        </row>
        <row r="154">
          <cell r="C154">
            <v>0</v>
          </cell>
          <cell r="D154">
            <v>1</v>
          </cell>
        </row>
        <row r="155">
          <cell r="C155">
            <v>12130.3</v>
          </cell>
          <cell r="D155">
            <v>1</v>
          </cell>
        </row>
        <row r="156">
          <cell r="D156">
            <v>1</v>
          </cell>
        </row>
        <row r="157">
          <cell r="D157">
            <v>1</v>
          </cell>
        </row>
        <row r="158">
          <cell r="D158">
            <v>1</v>
          </cell>
        </row>
        <row r="159">
          <cell r="C159">
            <v>0</v>
          </cell>
          <cell r="D159">
            <v>1</v>
          </cell>
        </row>
        <row r="160">
          <cell r="C160">
            <v>4277.91</v>
          </cell>
          <cell r="D160">
            <v>1</v>
          </cell>
        </row>
        <row r="161">
          <cell r="D161">
            <v>1</v>
          </cell>
        </row>
        <row r="162">
          <cell r="C162">
            <v>9.6999999999999993</v>
          </cell>
          <cell r="D162">
            <v>1</v>
          </cell>
        </row>
        <row r="163">
          <cell r="D163">
            <v>1</v>
          </cell>
        </row>
        <row r="164">
          <cell r="D164">
            <v>1</v>
          </cell>
        </row>
        <row r="165">
          <cell r="C165">
            <v>40938.49</v>
          </cell>
          <cell r="D165">
            <v>1</v>
          </cell>
        </row>
        <row r="166">
          <cell r="C166">
            <v>-15.023999999999999</v>
          </cell>
          <cell r="D166">
            <v>1</v>
          </cell>
        </row>
        <row r="167">
          <cell r="C167">
            <v>0.75</v>
          </cell>
          <cell r="D167">
            <v>1</v>
          </cell>
        </row>
        <row r="168">
          <cell r="C168">
            <v>2.2200000000000002</v>
          </cell>
          <cell r="D168">
            <v>1</v>
          </cell>
        </row>
        <row r="169">
          <cell r="C169">
            <v>16200.33</v>
          </cell>
          <cell r="D169">
            <v>1</v>
          </cell>
        </row>
        <row r="170">
          <cell r="C170">
            <v>265.39</v>
          </cell>
          <cell r="D170">
            <v>1</v>
          </cell>
        </row>
        <row r="171">
          <cell r="D171">
            <v>1</v>
          </cell>
        </row>
        <row r="172">
          <cell r="C172">
            <v>881.05</v>
          </cell>
          <cell r="D172">
            <v>1</v>
          </cell>
        </row>
        <row r="173">
          <cell r="C173">
            <v>137816.53</v>
          </cell>
          <cell r="D173">
            <v>1</v>
          </cell>
        </row>
        <row r="174">
          <cell r="C174">
            <v>12</v>
          </cell>
          <cell r="D174">
            <v>1</v>
          </cell>
        </row>
        <row r="175">
          <cell r="D175">
            <v>1</v>
          </cell>
        </row>
        <row r="176">
          <cell r="C176">
            <v>-10.954000000000001</v>
          </cell>
          <cell r="D176">
            <v>1</v>
          </cell>
        </row>
        <row r="177">
          <cell r="D177">
            <v>3</v>
          </cell>
        </row>
        <row r="178">
          <cell r="C178">
            <v>28088.67</v>
          </cell>
          <cell r="D178">
            <v>3</v>
          </cell>
        </row>
        <row r="179">
          <cell r="C179">
            <v>64917.72</v>
          </cell>
          <cell r="D179">
            <v>3</v>
          </cell>
        </row>
        <row r="180">
          <cell r="C180">
            <v>541414.71</v>
          </cell>
          <cell r="D180">
            <v>3</v>
          </cell>
        </row>
        <row r="181">
          <cell r="C181">
            <v>205.46</v>
          </cell>
          <cell r="D181">
            <v>3</v>
          </cell>
        </row>
        <row r="182">
          <cell r="C182">
            <v>993391.46</v>
          </cell>
          <cell r="D182">
            <v>3</v>
          </cell>
        </row>
        <row r="183">
          <cell r="C183">
            <v>377733.06</v>
          </cell>
          <cell r="D183">
            <v>3</v>
          </cell>
        </row>
        <row r="184">
          <cell r="C184">
            <v>3490418.3</v>
          </cell>
          <cell r="D184">
            <v>3</v>
          </cell>
        </row>
        <row r="185">
          <cell r="C185">
            <v>56432.36</v>
          </cell>
          <cell r="D185">
            <v>3</v>
          </cell>
        </row>
        <row r="186">
          <cell r="C186">
            <v>60597.59</v>
          </cell>
          <cell r="D186">
            <v>3</v>
          </cell>
        </row>
        <row r="187">
          <cell r="C187">
            <v>57123.41</v>
          </cell>
          <cell r="D187">
            <v>3</v>
          </cell>
        </row>
        <row r="188">
          <cell r="C188">
            <v>919.12</v>
          </cell>
          <cell r="D188">
            <v>3</v>
          </cell>
        </row>
        <row r="189">
          <cell r="C189">
            <v>25477.88</v>
          </cell>
          <cell r="D189">
            <v>3</v>
          </cell>
        </row>
        <row r="190">
          <cell r="C190">
            <v>1555606.98</v>
          </cell>
          <cell r="D190">
            <v>3</v>
          </cell>
        </row>
        <row r="191">
          <cell r="C191">
            <v>5021990.32</v>
          </cell>
          <cell r="D191">
            <v>3</v>
          </cell>
        </row>
        <row r="192">
          <cell r="C192">
            <v>29788.52</v>
          </cell>
          <cell r="D192">
            <v>3</v>
          </cell>
        </row>
        <row r="193">
          <cell r="C193">
            <v>36842.550000000003</v>
          </cell>
          <cell r="D193">
            <v>3</v>
          </cell>
        </row>
        <row r="194">
          <cell r="C194">
            <v>207850.62</v>
          </cell>
          <cell r="D194">
            <v>3</v>
          </cell>
        </row>
        <row r="195">
          <cell r="C195">
            <v>7105436.3200000003</v>
          </cell>
          <cell r="D195">
            <v>3</v>
          </cell>
        </row>
        <row r="196">
          <cell r="C196">
            <v>22561.31</v>
          </cell>
          <cell r="D196">
            <v>3</v>
          </cell>
        </row>
        <row r="197">
          <cell r="C197">
            <v>88608.73</v>
          </cell>
          <cell r="D197">
            <v>3</v>
          </cell>
        </row>
        <row r="198">
          <cell r="C198">
            <v>156803.32</v>
          </cell>
          <cell r="D198">
            <v>3</v>
          </cell>
        </row>
        <row r="199">
          <cell r="C199">
            <v>1847464.75</v>
          </cell>
          <cell r="D199">
            <v>3</v>
          </cell>
        </row>
        <row r="200">
          <cell r="C200">
            <v>113700.23</v>
          </cell>
          <cell r="D200">
            <v>3</v>
          </cell>
        </row>
        <row r="201">
          <cell r="C201">
            <v>309954.26</v>
          </cell>
          <cell r="D201">
            <v>3</v>
          </cell>
        </row>
        <row r="202">
          <cell r="C202">
            <v>10.01</v>
          </cell>
          <cell r="D202">
            <v>3</v>
          </cell>
        </row>
        <row r="203">
          <cell r="C203">
            <v>78772.990000000005</v>
          </cell>
          <cell r="D203">
            <v>3</v>
          </cell>
        </row>
        <row r="204">
          <cell r="C204">
            <v>333321.13</v>
          </cell>
          <cell r="D204">
            <v>3</v>
          </cell>
        </row>
        <row r="205">
          <cell r="C205">
            <v>611.88</v>
          </cell>
          <cell r="D205">
            <v>3</v>
          </cell>
        </row>
        <row r="206">
          <cell r="C206">
            <v>3903.7</v>
          </cell>
          <cell r="D206">
            <v>3</v>
          </cell>
        </row>
        <row r="207">
          <cell r="C207">
            <v>23334.09</v>
          </cell>
          <cell r="D207">
            <v>3</v>
          </cell>
        </row>
        <row r="208">
          <cell r="C208">
            <v>139652.97</v>
          </cell>
          <cell r="D208">
            <v>3</v>
          </cell>
        </row>
        <row r="209">
          <cell r="C209">
            <v>7299450.7000000002</v>
          </cell>
          <cell r="D209">
            <v>3</v>
          </cell>
        </row>
        <row r="210">
          <cell r="C210">
            <v>1620.26</v>
          </cell>
          <cell r="D210">
            <v>3</v>
          </cell>
        </row>
        <row r="211">
          <cell r="C211">
            <v>274259.8</v>
          </cell>
          <cell r="D211">
            <v>3</v>
          </cell>
        </row>
        <row r="212">
          <cell r="D212">
            <v>3</v>
          </cell>
        </row>
        <row r="213">
          <cell r="C213">
            <v>647627.93999999994</v>
          </cell>
          <cell r="D213">
            <v>3</v>
          </cell>
        </row>
        <row r="214">
          <cell r="C214">
            <v>104998.34</v>
          </cell>
          <cell r="D214">
            <v>3</v>
          </cell>
        </row>
        <row r="215">
          <cell r="D215">
            <v>3</v>
          </cell>
        </row>
        <row r="216">
          <cell r="C216">
            <v>7449.71</v>
          </cell>
          <cell r="D216">
            <v>3</v>
          </cell>
        </row>
        <row r="217">
          <cell r="C217">
            <v>526658.29</v>
          </cell>
          <cell r="D217">
            <v>3</v>
          </cell>
        </row>
        <row r="218">
          <cell r="C218">
            <v>78595.97</v>
          </cell>
          <cell r="D218">
            <v>3</v>
          </cell>
        </row>
        <row r="219">
          <cell r="C219">
            <v>44484.12</v>
          </cell>
          <cell r="D219">
            <v>3</v>
          </cell>
        </row>
        <row r="220">
          <cell r="D220">
            <v>3</v>
          </cell>
        </row>
        <row r="221">
          <cell r="D221">
            <v>3</v>
          </cell>
        </row>
        <row r="222">
          <cell r="C222">
            <v>1000000</v>
          </cell>
          <cell r="D222">
            <v>3</v>
          </cell>
        </row>
        <row r="223">
          <cell r="D223">
            <v>3</v>
          </cell>
        </row>
        <row r="224">
          <cell r="D224">
            <v>3</v>
          </cell>
        </row>
        <row r="225">
          <cell r="D225">
            <v>3</v>
          </cell>
        </row>
        <row r="226">
          <cell r="D226">
            <v>3</v>
          </cell>
        </row>
        <row r="227">
          <cell r="C227">
            <v>5396256.8499999996</v>
          </cell>
          <cell r="D227">
            <v>3</v>
          </cell>
        </row>
        <row r="228">
          <cell r="C228">
            <v>28778.05</v>
          </cell>
          <cell r="D228">
            <v>3</v>
          </cell>
        </row>
        <row r="229">
          <cell r="C229">
            <v>615180.01</v>
          </cell>
          <cell r="D229">
            <v>3</v>
          </cell>
        </row>
        <row r="230">
          <cell r="D230">
            <v>3</v>
          </cell>
        </row>
        <row r="231">
          <cell r="C231">
            <v>6000000</v>
          </cell>
          <cell r="D231">
            <v>3</v>
          </cell>
        </row>
        <row r="232">
          <cell r="C232">
            <v>3000000</v>
          </cell>
          <cell r="D232">
            <v>3</v>
          </cell>
        </row>
        <row r="233">
          <cell r="C233">
            <v>4000000</v>
          </cell>
          <cell r="D233">
            <v>3</v>
          </cell>
        </row>
        <row r="234">
          <cell r="C234">
            <v>4000000</v>
          </cell>
          <cell r="D234">
            <v>3</v>
          </cell>
        </row>
        <row r="235">
          <cell r="D235">
            <v>3</v>
          </cell>
        </row>
        <row r="236">
          <cell r="D236">
            <v>3</v>
          </cell>
        </row>
        <row r="237">
          <cell r="C237">
            <v>0</v>
          </cell>
          <cell r="D237">
            <v>3</v>
          </cell>
        </row>
        <row r="238">
          <cell r="C238">
            <v>0</v>
          </cell>
          <cell r="D238">
            <v>3</v>
          </cell>
        </row>
        <row r="239">
          <cell r="C239">
            <v>0</v>
          </cell>
          <cell r="D239">
            <v>3</v>
          </cell>
        </row>
        <row r="240">
          <cell r="C240">
            <v>0</v>
          </cell>
          <cell r="D240">
            <v>3</v>
          </cell>
        </row>
        <row r="241">
          <cell r="C241">
            <v>1880.89</v>
          </cell>
          <cell r="D241">
            <v>3</v>
          </cell>
        </row>
        <row r="242">
          <cell r="C242">
            <v>101821.95</v>
          </cell>
          <cell r="D242">
            <v>3</v>
          </cell>
        </row>
        <row r="243">
          <cell r="C243">
            <v>15.44</v>
          </cell>
          <cell r="D243">
            <v>3</v>
          </cell>
        </row>
        <row r="244">
          <cell r="C244">
            <v>2833</v>
          </cell>
          <cell r="D244">
            <v>3</v>
          </cell>
        </row>
        <row r="245">
          <cell r="C245">
            <v>0.62</v>
          </cell>
          <cell r="D245">
            <v>3</v>
          </cell>
        </row>
        <row r="246">
          <cell r="D246">
            <v>3</v>
          </cell>
        </row>
        <row r="247">
          <cell r="C247">
            <v>0</v>
          </cell>
          <cell r="D247">
            <v>3</v>
          </cell>
        </row>
        <row r="248">
          <cell r="C248">
            <v>0</v>
          </cell>
          <cell r="D248">
            <v>3</v>
          </cell>
        </row>
        <row r="249">
          <cell r="C249">
            <v>0</v>
          </cell>
          <cell r="D249">
            <v>3</v>
          </cell>
        </row>
        <row r="250">
          <cell r="D250">
            <v>3</v>
          </cell>
        </row>
        <row r="251">
          <cell r="C251">
            <v>8576.6200000000008</v>
          </cell>
          <cell r="D251">
            <v>3</v>
          </cell>
        </row>
        <row r="252">
          <cell r="C252">
            <v>233.39</v>
          </cell>
          <cell r="D252">
            <v>3</v>
          </cell>
        </row>
        <row r="253">
          <cell r="D253">
            <v>3</v>
          </cell>
        </row>
        <row r="254">
          <cell r="D254">
            <v>3</v>
          </cell>
        </row>
        <row r="255">
          <cell r="D255">
            <v>3</v>
          </cell>
        </row>
        <row r="256">
          <cell r="D256">
            <v>3</v>
          </cell>
        </row>
        <row r="257">
          <cell r="C257">
            <v>205.31</v>
          </cell>
          <cell r="D257">
            <v>3</v>
          </cell>
        </row>
        <row r="258">
          <cell r="C258">
            <v>4397.16</v>
          </cell>
          <cell r="D258">
            <v>3</v>
          </cell>
        </row>
        <row r="259">
          <cell r="C259">
            <v>0</v>
          </cell>
          <cell r="D259">
            <v>3</v>
          </cell>
        </row>
        <row r="260">
          <cell r="D260">
            <v>3</v>
          </cell>
        </row>
        <row r="261">
          <cell r="D261">
            <v>3</v>
          </cell>
        </row>
        <row r="262">
          <cell r="C262">
            <v>4791.9399999999996</v>
          </cell>
          <cell r="D262">
            <v>3</v>
          </cell>
        </row>
        <row r="263">
          <cell r="D263">
            <v>3</v>
          </cell>
        </row>
        <row r="264">
          <cell r="D264">
            <v>3</v>
          </cell>
        </row>
        <row r="265">
          <cell r="D265">
            <v>3</v>
          </cell>
        </row>
        <row r="266">
          <cell r="D266">
            <v>3</v>
          </cell>
        </row>
        <row r="267">
          <cell r="C267">
            <v>152893.94</v>
          </cell>
          <cell r="D267">
            <v>3</v>
          </cell>
        </row>
        <row r="268">
          <cell r="C268">
            <v>591.48</v>
          </cell>
          <cell r="D268">
            <v>3</v>
          </cell>
        </row>
        <row r="269">
          <cell r="C269">
            <v>3340.76</v>
          </cell>
          <cell r="D269">
            <v>3</v>
          </cell>
        </row>
        <row r="270">
          <cell r="D270">
            <v>3</v>
          </cell>
        </row>
        <row r="271">
          <cell r="C271">
            <v>224337.6</v>
          </cell>
          <cell r="D271">
            <v>3</v>
          </cell>
        </row>
        <row r="272">
          <cell r="C272">
            <v>74127.91</v>
          </cell>
          <cell r="D272">
            <v>3</v>
          </cell>
        </row>
        <row r="273">
          <cell r="C273">
            <v>90989.66</v>
          </cell>
          <cell r="D273">
            <v>3</v>
          </cell>
        </row>
        <row r="274">
          <cell r="C274">
            <v>16343.61</v>
          </cell>
          <cell r="D274">
            <v>3</v>
          </cell>
        </row>
        <row r="275">
          <cell r="C275">
            <v>119781.92</v>
          </cell>
          <cell r="D275">
            <v>3</v>
          </cell>
        </row>
        <row r="276">
          <cell r="C276">
            <v>47169.22</v>
          </cell>
          <cell r="D276">
            <v>3</v>
          </cell>
        </row>
        <row r="277">
          <cell r="C277">
            <v>11927.72</v>
          </cell>
          <cell r="D277">
            <v>3</v>
          </cell>
        </row>
        <row r="278">
          <cell r="C278">
            <v>350632</v>
          </cell>
          <cell r="D278">
            <v>3</v>
          </cell>
        </row>
        <row r="279">
          <cell r="C279">
            <v>36582.92</v>
          </cell>
          <cell r="D279">
            <v>3</v>
          </cell>
        </row>
        <row r="280">
          <cell r="C280">
            <v>13821.88</v>
          </cell>
          <cell r="D280">
            <v>3</v>
          </cell>
        </row>
        <row r="281">
          <cell r="C281">
            <v>209489.98</v>
          </cell>
          <cell r="D281">
            <v>3</v>
          </cell>
        </row>
        <row r="282">
          <cell r="C282">
            <v>3679.25</v>
          </cell>
          <cell r="D282">
            <v>3</v>
          </cell>
        </row>
        <row r="283">
          <cell r="C283">
            <v>133.36000000000001</v>
          </cell>
          <cell r="D283">
            <v>3</v>
          </cell>
        </row>
        <row r="284">
          <cell r="C284">
            <v>312501.34999999998</v>
          </cell>
          <cell r="D284">
            <v>3</v>
          </cell>
        </row>
        <row r="285">
          <cell r="D285">
            <v>3</v>
          </cell>
        </row>
        <row r="286">
          <cell r="C286">
            <v>1527.17</v>
          </cell>
          <cell r="D286">
            <v>3</v>
          </cell>
        </row>
        <row r="287">
          <cell r="C287">
            <v>6323.03</v>
          </cell>
          <cell r="D287">
            <v>3</v>
          </cell>
        </row>
        <row r="288">
          <cell r="C288">
            <v>8.59</v>
          </cell>
          <cell r="D288">
            <v>3</v>
          </cell>
        </row>
        <row r="289">
          <cell r="D289">
            <v>3</v>
          </cell>
        </row>
        <row r="290">
          <cell r="C290">
            <v>16163.7</v>
          </cell>
          <cell r="D290">
            <v>3</v>
          </cell>
        </row>
        <row r="291">
          <cell r="C291">
            <v>1829.56</v>
          </cell>
          <cell r="D291">
            <v>3</v>
          </cell>
        </row>
        <row r="292">
          <cell r="D292">
            <v>3</v>
          </cell>
        </row>
        <row r="293">
          <cell r="D293">
            <v>3</v>
          </cell>
        </row>
        <row r="294">
          <cell r="C294">
            <v>119861.81</v>
          </cell>
          <cell r="D294">
            <v>3</v>
          </cell>
        </row>
        <row r="295">
          <cell r="C295">
            <v>83832.25</v>
          </cell>
          <cell r="D295">
            <v>3</v>
          </cell>
        </row>
        <row r="296">
          <cell r="C296">
            <v>0.01</v>
          </cell>
          <cell r="D296">
            <v>3</v>
          </cell>
        </row>
        <row r="297">
          <cell r="C297">
            <v>7066</v>
          </cell>
          <cell r="D297">
            <v>3</v>
          </cell>
        </row>
        <row r="298">
          <cell r="C298">
            <v>5777.1</v>
          </cell>
          <cell r="D298">
            <v>3</v>
          </cell>
        </row>
        <row r="299">
          <cell r="C299">
            <v>1000.23</v>
          </cell>
          <cell r="D299">
            <v>3</v>
          </cell>
        </row>
        <row r="300">
          <cell r="D300">
            <v>3</v>
          </cell>
        </row>
        <row r="301">
          <cell r="D301">
            <v>3</v>
          </cell>
        </row>
        <row r="302">
          <cell r="C302">
            <v>108.1</v>
          </cell>
          <cell r="D302">
            <v>3</v>
          </cell>
        </row>
        <row r="303">
          <cell r="C303">
            <v>13.36</v>
          </cell>
          <cell r="D303">
            <v>3</v>
          </cell>
        </row>
        <row r="304">
          <cell r="D304">
            <v>3</v>
          </cell>
        </row>
        <row r="305">
          <cell r="C305">
            <v>1474.08</v>
          </cell>
          <cell r="D305">
            <v>3</v>
          </cell>
        </row>
        <row r="306">
          <cell r="C306">
            <v>596</v>
          </cell>
          <cell r="D306">
            <v>3</v>
          </cell>
        </row>
        <row r="307">
          <cell r="C307">
            <v>1624.18</v>
          </cell>
          <cell r="D307">
            <v>3</v>
          </cell>
        </row>
        <row r="308">
          <cell r="C308">
            <v>0</v>
          </cell>
          <cell r="D308">
            <v>3</v>
          </cell>
        </row>
        <row r="309">
          <cell r="D309">
            <v>3</v>
          </cell>
        </row>
        <row r="310">
          <cell r="C310">
            <v>35.369999999999997</v>
          </cell>
          <cell r="D310">
            <v>3</v>
          </cell>
        </row>
        <row r="311">
          <cell r="C311">
            <v>39.47</v>
          </cell>
          <cell r="D311">
            <v>3</v>
          </cell>
        </row>
        <row r="312">
          <cell r="C312">
            <v>10416.24</v>
          </cell>
          <cell r="D312">
            <v>3</v>
          </cell>
        </row>
        <row r="313">
          <cell r="C313">
            <v>12188.09</v>
          </cell>
          <cell r="D313">
            <v>3</v>
          </cell>
        </row>
        <row r="314">
          <cell r="C314">
            <v>790.92</v>
          </cell>
          <cell r="D314">
            <v>3</v>
          </cell>
        </row>
        <row r="315">
          <cell r="C315">
            <v>0</v>
          </cell>
          <cell r="D315">
            <v>3</v>
          </cell>
        </row>
        <row r="316">
          <cell r="D316">
            <v>3</v>
          </cell>
        </row>
        <row r="317">
          <cell r="C317">
            <v>533.71</v>
          </cell>
          <cell r="D317">
            <v>3</v>
          </cell>
        </row>
        <row r="318">
          <cell r="D318">
            <v>3</v>
          </cell>
        </row>
        <row r="319">
          <cell r="D319">
            <v>3</v>
          </cell>
        </row>
        <row r="320">
          <cell r="C320">
            <v>0</v>
          </cell>
          <cell r="D320">
            <v>3</v>
          </cell>
        </row>
        <row r="321">
          <cell r="C321">
            <v>38203.269999999997</v>
          </cell>
          <cell r="D321">
            <v>3</v>
          </cell>
        </row>
        <row r="322">
          <cell r="D322">
            <v>3</v>
          </cell>
        </row>
        <row r="323">
          <cell r="C323">
            <v>263004.45</v>
          </cell>
          <cell r="D323">
            <v>3</v>
          </cell>
        </row>
        <row r="324">
          <cell r="D324">
            <v>3</v>
          </cell>
        </row>
        <row r="325">
          <cell r="C325">
            <v>0</v>
          </cell>
          <cell r="D325">
            <v>3</v>
          </cell>
        </row>
        <row r="326">
          <cell r="C326">
            <v>4030.93</v>
          </cell>
          <cell r="D326">
            <v>3</v>
          </cell>
        </row>
        <row r="327">
          <cell r="C327">
            <v>14.23</v>
          </cell>
          <cell r="D327">
            <v>3</v>
          </cell>
        </row>
        <row r="328">
          <cell r="C328">
            <v>5834.4349899999997</v>
          </cell>
          <cell r="D328">
            <v>3</v>
          </cell>
        </row>
        <row r="329">
          <cell r="C329">
            <v>15</v>
          </cell>
          <cell r="D329">
            <v>3</v>
          </cell>
        </row>
        <row r="330">
          <cell r="C330">
            <v>180.50498999999999</v>
          </cell>
          <cell r="D330">
            <v>3</v>
          </cell>
        </row>
        <row r="331">
          <cell r="C331">
            <v>0</v>
          </cell>
          <cell r="D331">
            <v>4</v>
          </cell>
        </row>
        <row r="332">
          <cell r="C332">
            <v>13000000</v>
          </cell>
          <cell r="D332">
            <v>4</v>
          </cell>
        </row>
        <row r="333">
          <cell r="C333">
            <v>5104347.824</v>
          </cell>
          <cell r="D333">
            <v>4</v>
          </cell>
        </row>
        <row r="334">
          <cell r="C334">
            <v>1162233.0530000001</v>
          </cell>
          <cell r="D334">
            <v>4</v>
          </cell>
        </row>
        <row r="335">
          <cell r="C335">
            <v>2459830.6430000002</v>
          </cell>
          <cell r="D335">
            <v>4</v>
          </cell>
        </row>
        <row r="336">
          <cell r="C336">
            <v>2145471.1519999998</v>
          </cell>
          <cell r="D336">
            <v>4</v>
          </cell>
        </row>
        <row r="337">
          <cell r="D337">
            <v>4</v>
          </cell>
        </row>
        <row r="338">
          <cell r="C338">
            <v>318088.52</v>
          </cell>
          <cell r="D338">
            <v>4</v>
          </cell>
        </row>
        <row r="339">
          <cell r="C339">
            <v>1744984.48</v>
          </cell>
          <cell r="D339">
            <v>4</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row r="401">
          <cell r="D401" t="str">
            <v/>
          </cell>
        </row>
        <row r="402">
          <cell r="D402" t="str">
            <v/>
          </cell>
        </row>
        <row r="403">
          <cell r="D403" t="str">
            <v/>
          </cell>
        </row>
        <row r="404">
          <cell r="D404" t="str">
            <v/>
          </cell>
        </row>
        <row r="405">
          <cell r="D405" t="str">
            <v/>
          </cell>
        </row>
        <row r="406">
          <cell r="D406" t="str">
            <v/>
          </cell>
        </row>
        <row r="407">
          <cell r="D407" t="str">
            <v/>
          </cell>
        </row>
        <row r="408">
          <cell r="D408" t="str">
            <v/>
          </cell>
        </row>
        <row r="409">
          <cell r="D409" t="str">
            <v/>
          </cell>
        </row>
        <row r="410">
          <cell r="D410" t="str">
            <v/>
          </cell>
        </row>
        <row r="411">
          <cell r="D411" t="str">
            <v/>
          </cell>
        </row>
        <row r="412">
          <cell r="D412" t="str">
            <v/>
          </cell>
        </row>
        <row r="413">
          <cell r="D413" t="str">
            <v/>
          </cell>
        </row>
        <row r="414">
          <cell r="D414" t="str">
            <v/>
          </cell>
        </row>
        <row r="415">
          <cell r="D415" t="str">
            <v/>
          </cell>
        </row>
        <row r="416">
          <cell r="D416" t="str">
            <v/>
          </cell>
        </row>
        <row r="417">
          <cell r="D417" t="str">
            <v/>
          </cell>
        </row>
        <row r="418">
          <cell r="D418" t="str">
            <v/>
          </cell>
        </row>
        <row r="419">
          <cell r="D419" t="str">
            <v/>
          </cell>
        </row>
        <row r="420">
          <cell r="D420" t="str">
            <v/>
          </cell>
        </row>
        <row r="421">
          <cell r="D421" t="str">
            <v/>
          </cell>
        </row>
        <row r="422">
          <cell r="D422" t="str">
            <v/>
          </cell>
        </row>
        <row r="423">
          <cell r="D423" t="str">
            <v/>
          </cell>
        </row>
        <row r="424">
          <cell r="D424" t="str">
            <v/>
          </cell>
        </row>
        <row r="425">
          <cell r="D425" t="str">
            <v/>
          </cell>
        </row>
        <row r="426">
          <cell r="D426" t="str">
            <v/>
          </cell>
        </row>
        <row r="427">
          <cell r="D427" t="str">
            <v/>
          </cell>
        </row>
        <row r="428">
          <cell r="D428" t="str">
            <v/>
          </cell>
        </row>
        <row r="429">
          <cell r="D429" t="str">
            <v/>
          </cell>
        </row>
        <row r="430">
          <cell r="D430" t="str">
            <v/>
          </cell>
        </row>
        <row r="431">
          <cell r="D431" t="str">
            <v/>
          </cell>
        </row>
        <row r="432">
          <cell r="D432" t="str">
            <v/>
          </cell>
        </row>
        <row r="433">
          <cell r="D433" t="str">
            <v/>
          </cell>
        </row>
        <row r="434">
          <cell r="D434" t="str">
            <v/>
          </cell>
        </row>
        <row r="435">
          <cell r="D435" t="str">
            <v/>
          </cell>
        </row>
        <row r="436">
          <cell r="D436" t="str">
            <v/>
          </cell>
        </row>
        <row r="437">
          <cell r="D437" t="str">
            <v/>
          </cell>
        </row>
        <row r="438">
          <cell r="D438" t="str">
            <v/>
          </cell>
        </row>
        <row r="439">
          <cell r="D439" t="str">
            <v/>
          </cell>
        </row>
        <row r="440">
          <cell r="D440" t="str">
            <v/>
          </cell>
        </row>
        <row r="441">
          <cell r="D441" t="str">
            <v/>
          </cell>
        </row>
        <row r="442">
          <cell r="D442" t="str">
            <v/>
          </cell>
        </row>
        <row r="443">
          <cell r="D443" t="str">
            <v/>
          </cell>
        </row>
        <row r="444">
          <cell r="D444" t="str">
            <v/>
          </cell>
        </row>
        <row r="445">
          <cell r="D445" t="str">
            <v/>
          </cell>
        </row>
        <row r="446">
          <cell r="D446" t="str">
            <v/>
          </cell>
        </row>
        <row r="447">
          <cell r="D447" t="str">
            <v/>
          </cell>
        </row>
        <row r="448">
          <cell r="D448" t="str">
            <v/>
          </cell>
        </row>
        <row r="449">
          <cell r="D449" t="str">
            <v/>
          </cell>
        </row>
        <row r="450">
          <cell r="D450" t="str">
            <v/>
          </cell>
        </row>
        <row r="451">
          <cell r="D451" t="str">
            <v/>
          </cell>
        </row>
        <row r="452">
          <cell r="D452" t="str">
            <v/>
          </cell>
        </row>
        <row r="453">
          <cell r="D453" t="str">
            <v/>
          </cell>
        </row>
        <row r="454">
          <cell r="D454" t="str">
            <v/>
          </cell>
        </row>
        <row r="455">
          <cell r="D455" t="str">
            <v/>
          </cell>
        </row>
        <row r="456">
          <cell r="D456" t="str">
            <v/>
          </cell>
        </row>
        <row r="457">
          <cell r="D457" t="str">
            <v/>
          </cell>
        </row>
        <row r="458">
          <cell r="D458" t="str">
            <v/>
          </cell>
        </row>
        <row r="459">
          <cell r="D459" t="str">
            <v/>
          </cell>
        </row>
        <row r="460">
          <cell r="D460" t="str">
            <v/>
          </cell>
        </row>
        <row r="461">
          <cell r="D461" t="str">
            <v/>
          </cell>
        </row>
        <row r="462">
          <cell r="D462" t="str">
            <v/>
          </cell>
        </row>
        <row r="463">
          <cell r="D463" t="str">
            <v/>
          </cell>
        </row>
        <row r="464">
          <cell r="D464" t="str">
            <v/>
          </cell>
        </row>
        <row r="465">
          <cell r="D465" t="str">
            <v/>
          </cell>
        </row>
        <row r="466">
          <cell r="D466" t="str">
            <v/>
          </cell>
        </row>
        <row r="467">
          <cell r="D467" t="str">
            <v/>
          </cell>
        </row>
        <row r="468">
          <cell r="D468" t="str">
            <v/>
          </cell>
        </row>
        <row r="469">
          <cell r="D469" t="str">
            <v/>
          </cell>
        </row>
        <row r="470">
          <cell r="D470" t="str">
            <v/>
          </cell>
        </row>
        <row r="471">
          <cell r="D471" t="str">
            <v/>
          </cell>
        </row>
        <row r="472">
          <cell r="D472" t="str">
            <v/>
          </cell>
        </row>
        <row r="473">
          <cell r="D473" t="str">
            <v/>
          </cell>
        </row>
        <row r="474">
          <cell r="D474" t="str">
            <v/>
          </cell>
        </row>
        <row r="475">
          <cell r="D475" t="str">
            <v/>
          </cell>
        </row>
        <row r="476">
          <cell r="D476" t="str">
            <v/>
          </cell>
        </row>
        <row r="477">
          <cell r="D477" t="str">
            <v/>
          </cell>
        </row>
        <row r="478">
          <cell r="D478" t="str">
            <v/>
          </cell>
        </row>
        <row r="479">
          <cell r="D479" t="str">
            <v/>
          </cell>
        </row>
        <row r="480">
          <cell r="D480" t="str">
            <v/>
          </cell>
        </row>
        <row r="481">
          <cell r="D481" t="str">
            <v/>
          </cell>
        </row>
        <row r="482">
          <cell r="D482" t="str">
            <v/>
          </cell>
        </row>
        <row r="483">
          <cell r="D483" t="str">
            <v/>
          </cell>
        </row>
        <row r="484">
          <cell r="D484" t="str">
            <v/>
          </cell>
        </row>
        <row r="485">
          <cell r="D485" t="str">
            <v/>
          </cell>
        </row>
        <row r="486">
          <cell r="D486" t="str">
            <v/>
          </cell>
        </row>
        <row r="487">
          <cell r="D487" t="str">
            <v/>
          </cell>
        </row>
        <row r="488">
          <cell r="D488" t="str">
            <v/>
          </cell>
        </row>
        <row r="489">
          <cell r="D489" t="str">
            <v/>
          </cell>
        </row>
        <row r="490">
          <cell r="D490" t="str">
            <v/>
          </cell>
        </row>
        <row r="491">
          <cell r="D491" t="str">
            <v/>
          </cell>
        </row>
        <row r="492">
          <cell r="D492" t="str">
            <v/>
          </cell>
        </row>
        <row r="493">
          <cell r="D493" t="str">
            <v/>
          </cell>
        </row>
        <row r="494">
          <cell r="D494" t="str">
            <v/>
          </cell>
        </row>
        <row r="495">
          <cell r="D495" t="str">
            <v/>
          </cell>
        </row>
        <row r="496">
          <cell r="D496" t="str">
            <v/>
          </cell>
        </row>
        <row r="497">
          <cell r="D497" t="str">
            <v/>
          </cell>
        </row>
        <row r="498">
          <cell r="D498" t="str">
            <v/>
          </cell>
        </row>
        <row r="499">
          <cell r="D499" t="str">
            <v/>
          </cell>
        </row>
        <row r="500">
          <cell r="D500" t="str">
            <v/>
          </cell>
        </row>
      </sheetData>
      <sheetData sheetId="1">
        <row r="8">
          <cell r="C8">
            <v>804.45</v>
          </cell>
          <cell r="D8">
            <v>5</v>
          </cell>
        </row>
        <row r="9">
          <cell r="C9">
            <v>13.58</v>
          </cell>
          <cell r="D9">
            <v>5</v>
          </cell>
        </row>
        <row r="10">
          <cell r="C10">
            <v>1757.92</v>
          </cell>
          <cell r="D10">
            <v>5</v>
          </cell>
        </row>
        <row r="11">
          <cell r="C11">
            <v>4450.91</v>
          </cell>
          <cell r="D11">
            <v>5</v>
          </cell>
        </row>
        <row r="12">
          <cell r="C12">
            <v>24.92</v>
          </cell>
          <cell r="D12">
            <v>5</v>
          </cell>
        </row>
        <row r="13">
          <cell r="C13">
            <v>36.549999999999997</v>
          </cell>
          <cell r="D13">
            <v>5</v>
          </cell>
        </row>
        <row r="14">
          <cell r="C14">
            <v>5472.82</v>
          </cell>
          <cell r="D14">
            <v>5</v>
          </cell>
        </row>
        <row r="15">
          <cell r="C15">
            <v>612.49</v>
          </cell>
          <cell r="D15">
            <v>5</v>
          </cell>
        </row>
        <row r="16">
          <cell r="C16">
            <v>6994.07</v>
          </cell>
          <cell r="D16">
            <v>5</v>
          </cell>
        </row>
        <row r="17">
          <cell r="C17">
            <v>750.23</v>
          </cell>
          <cell r="D17">
            <v>5</v>
          </cell>
        </row>
        <row r="18">
          <cell r="C18">
            <v>-131.74</v>
          </cell>
          <cell r="D18">
            <v>5</v>
          </cell>
        </row>
        <row r="19">
          <cell r="C19">
            <v>525213.91</v>
          </cell>
          <cell r="D19">
            <v>5</v>
          </cell>
        </row>
        <row r="20">
          <cell r="C20">
            <v>0</v>
          </cell>
          <cell r="D20">
            <v>5</v>
          </cell>
        </row>
        <row r="21">
          <cell r="C21">
            <v>142.87</v>
          </cell>
          <cell r="D21">
            <v>5</v>
          </cell>
        </row>
        <row r="22">
          <cell r="C22">
            <v>717008.72</v>
          </cell>
          <cell r="D22">
            <v>5</v>
          </cell>
        </row>
        <row r="23">
          <cell r="C23">
            <v>209143.58</v>
          </cell>
          <cell r="D23">
            <v>5</v>
          </cell>
        </row>
        <row r="24">
          <cell r="C24">
            <v>0</v>
          </cell>
          <cell r="D24">
            <v>5</v>
          </cell>
        </row>
        <row r="25">
          <cell r="D25">
            <v>5</v>
          </cell>
        </row>
        <row r="26">
          <cell r="C26">
            <v>105815.57</v>
          </cell>
          <cell r="D26">
            <v>5</v>
          </cell>
        </row>
        <row r="27">
          <cell r="C27">
            <v>0</v>
          </cell>
          <cell r="D27">
            <v>5</v>
          </cell>
        </row>
        <row r="28">
          <cell r="C28">
            <v>13511.3</v>
          </cell>
          <cell r="D28">
            <v>5</v>
          </cell>
        </row>
        <row r="29">
          <cell r="D29">
            <v>5</v>
          </cell>
        </row>
        <row r="30">
          <cell r="C30">
            <v>946.05</v>
          </cell>
          <cell r="D30">
            <v>5</v>
          </cell>
        </row>
        <row r="31">
          <cell r="C31">
            <v>17966.330000000002</v>
          </cell>
          <cell r="D31">
            <v>5</v>
          </cell>
        </row>
        <row r="32">
          <cell r="C32">
            <v>175.1</v>
          </cell>
          <cell r="D32">
            <v>5</v>
          </cell>
        </row>
        <row r="33">
          <cell r="C33">
            <v>79.739999999999995</v>
          </cell>
          <cell r="D33">
            <v>5</v>
          </cell>
        </row>
        <row r="34">
          <cell r="C34">
            <v>51.71</v>
          </cell>
          <cell r="D34">
            <v>5</v>
          </cell>
        </row>
        <row r="35">
          <cell r="C35">
            <v>5.39</v>
          </cell>
          <cell r="D35">
            <v>5</v>
          </cell>
        </row>
        <row r="36">
          <cell r="D36">
            <v>5</v>
          </cell>
        </row>
        <row r="37">
          <cell r="C37">
            <v>115.55</v>
          </cell>
          <cell r="D37">
            <v>5</v>
          </cell>
        </row>
        <row r="38">
          <cell r="C38">
            <v>76.930000000000007</v>
          </cell>
          <cell r="D38">
            <v>5</v>
          </cell>
        </row>
        <row r="39">
          <cell r="C39">
            <v>0.85</v>
          </cell>
          <cell r="D39">
            <v>5</v>
          </cell>
        </row>
        <row r="40">
          <cell r="C40">
            <v>16.239999999999998</v>
          </cell>
          <cell r="D40">
            <v>5</v>
          </cell>
        </row>
        <row r="41">
          <cell r="D41">
            <v>5</v>
          </cell>
        </row>
        <row r="42">
          <cell r="C42">
            <v>34727.660000000003</v>
          </cell>
          <cell r="D42">
            <v>5</v>
          </cell>
        </row>
        <row r="43">
          <cell r="C43">
            <v>204.98</v>
          </cell>
          <cell r="D43">
            <v>5</v>
          </cell>
        </row>
        <row r="44">
          <cell r="C44">
            <v>2.48</v>
          </cell>
          <cell r="D44">
            <v>5</v>
          </cell>
        </row>
        <row r="45">
          <cell r="C45">
            <v>730.62</v>
          </cell>
          <cell r="D45">
            <v>5</v>
          </cell>
        </row>
        <row r="46">
          <cell r="C46">
            <v>168.4</v>
          </cell>
          <cell r="D46">
            <v>5</v>
          </cell>
        </row>
        <row r="47">
          <cell r="C47">
            <v>10.01</v>
          </cell>
          <cell r="D47">
            <v>5</v>
          </cell>
        </row>
        <row r="48">
          <cell r="C48">
            <v>64.64</v>
          </cell>
          <cell r="D48">
            <v>5</v>
          </cell>
        </row>
        <row r="49">
          <cell r="C49">
            <v>945.7</v>
          </cell>
          <cell r="D49">
            <v>5</v>
          </cell>
        </row>
        <row r="50">
          <cell r="D50">
            <v>5</v>
          </cell>
        </row>
        <row r="51">
          <cell r="D51">
            <v>5</v>
          </cell>
        </row>
        <row r="52">
          <cell r="C52">
            <v>-1840.38</v>
          </cell>
          <cell r="D52">
            <v>5</v>
          </cell>
        </row>
        <row r="53">
          <cell r="D53">
            <v>5</v>
          </cell>
        </row>
        <row r="54">
          <cell r="C54">
            <v>93.6</v>
          </cell>
          <cell r="D54">
            <v>5</v>
          </cell>
        </row>
        <row r="55">
          <cell r="D55">
            <v>5</v>
          </cell>
        </row>
        <row r="56">
          <cell r="C56">
            <v>2.98</v>
          </cell>
          <cell r="D56">
            <v>5</v>
          </cell>
        </row>
        <row r="57">
          <cell r="C57">
            <v>4354.4399999999996</v>
          </cell>
          <cell r="D57">
            <v>5</v>
          </cell>
        </row>
        <row r="58">
          <cell r="C58">
            <v>17721.650000000001</v>
          </cell>
          <cell r="D58">
            <v>5</v>
          </cell>
        </row>
        <row r="59">
          <cell r="C59">
            <v>14753.91</v>
          </cell>
          <cell r="D59">
            <v>5</v>
          </cell>
        </row>
        <row r="60">
          <cell r="C60">
            <v>2.2799999999999998</v>
          </cell>
          <cell r="D60">
            <v>5</v>
          </cell>
        </row>
        <row r="61">
          <cell r="C61">
            <v>234.84</v>
          </cell>
          <cell r="D61">
            <v>5</v>
          </cell>
        </row>
        <row r="62">
          <cell r="C62">
            <v>1223.54</v>
          </cell>
          <cell r="D62">
            <v>5</v>
          </cell>
        </row>
        <row r="63">
          <cell r="C63">
            <v>126.96</v>
          </cell>
          <cell r="D63">
            <v>5</v>
          </cell>
        </row>
        <row r="64">
          <cell r="C64">
            <v>279.66000000000003</v>
          </cell>
          <cell r="D64">
            <v>5</v>
          </cell>
        </row>
        <row r="65">
          <cell r="C65">
            <v>48.17</v>
          </cell>
          <cell r="D65">
            <v>5</v>
          </cell>
        </row>
        <row r="66">
          <cell r="C66">
            <v>208.09</v>
          </cell>
          <cell r="D66">
            <v>5</v>
          </cell>
        </row>
        <row r="67">
          <cell r="C67">
            <v>16053.04</v>
          </cell>
          <cell r="D67">
            <v>5</v>
          </cell>
        </row>
        <row r="68">
          <cell r="C68">
            <v>1456.9</v>
          </cell>
          <cell r="D68">
            <v>5</v>
          </cell>
        </row>
        <row r="69">
          <cell r="C69">
            <v>500.5</v>
          </cell>
          <cell r="D69">
            <v>5</v>
          </cell>
        </row>
        <row r="70">
          <cell r="D70">
            <v>5</v>
          </cell>
        </row>
        <row r="71">
          <cell r="C71">
            <v>4108.8500000000004</v>
          </cell>
          <cell r="D71">
            <v>5</v>
          </cell>
        </row>
        <row r="72">
          <cell r="C72">
            <v>-158.97999999999999</v>
          </cell>
          <cell r="D72">
            <v>5</v>
          </cell>
        </row>
        <row r="73">
          <cell r="C73">
            <v>0.01</v>
          </cell>
          <cell r="D73">
            <v>5</v>
          </cell>
        </row>
        <row r="74">
          <cell r="C74">
            <v>-1.37</v>
          </cell>
          <cell r="D74">
            <v>5</v>
          </cell>
        </row>
        <row r="75">
          <cell r="C75">
            <v>486.35</v>
          </cell>
          <cell r="D75">
            <v>5</v>
          </cell>
        </row>
        <row r="76">
          <cell r="C76">
            <v>32776.58</v>
          </cell>
          <cell r="D76">
            <v>5</v>
          </cell>
        </row>
        <row r="77">
          <cell r="C77">
            <v>18587.29</v>
          </cell>
          <cell r="D77">
            <v>5</v>
          </cell>
        </row>
        <row r="78">
          <cell r="C78">
            <v>149617.56</v>
          </cell>
          <cell r="D78">
            <v>5</v>
          </cell>
        </row>
        <row r="79">
          <cell r="C79">
            <v>18978.689999999999</v>
          </cell>
          <cell r="D79">
            <v>5</v>
          </cell>
        </row>
        <row r="80">
          <cell r="C80">
            <v>26435.69</v>
          </cell>
          <cell r="D80">
            <v>5</v>
          </cell>
        </row>
        <row r="81">
          <cell r="C81">
            <v>12.89</v>
          </cell>
          <cell r="D81">
            <v>5</v>
          </cell>
        </row>
        <row r="82">
          <cell r="C82">
            <v>4.47</v>
          </cell>
          <cell r="D82">
            <v>5</v>
          </cell>
        </row>
        <row r="83">
          <cell r="C83">
            <v>8645.48</v>
          </cell>
          <cell r="D83">
            <v>5</v>
          </cell>
        </row>
        <row r="84">
          <cell r="C84">
            <v>18.899999999999999</v>
          </cell>
          <cell r="D84">
            <v>5</v>
          </cell>
        </row>
        <row r="85">
          <cell r="C85">
            <v>15.31</v>
          </cell>
          <cell r="D85">
            <v>5</v>
          </cell>
        </row>
        <row r="86">
          <cell r="D86">
            <v>5</v>
          </cell>
        </row>
        <row r="87">
          <cell r="C87">
            <v>109.4</v>
          </cell>
          <cell r="D87">
            <v>5</v>
          </cell>
        </row>
        <row r="88">
          <cell r="C88">
            <v>122905.71</v>
          </cell>
          <cell r="D88">
            <v>5</v>
          </cell>
        </row>
        <row r="89">
          <cell r="C89">
            <v>-122905.71</v>
          </cell>
          <cell r="D89">
            <v>5</v>
          </cell>
        </row>
        <row r="90">
          <cell r="C90">
            <v>1004.04</v>
          </cell>
          <cell r="D90">
            <v>5</v>
          </cell>
        </row>
        <row r="91">
          <cell r="C91">
            <v>8821.0300000000007</v>
          </cell>
          <cell r="D91">
            <v>5</v>
          </cell>
        </row>
        <row r="92">
          <cell r="C92">
            <v>83365.91</v>
          </cell>
          <cell r="D92">
            <v>5</v>
          </cell>
        </row>
        <row r="93">
          <cell r="C93">
            <v>-83365.91</v>
          </cell>
          <cell r="D93">
            <v>5</v>
          </cell>
        </row>
        <row r="94">
          <cell r="C94">
            <v>527.49</v>
          </cell>
          <cell r="D94">
            <v>5</v>
          </cell>
        </row>
        <row r="95">
          <cell r="C95">
            <v>314262.55</v>
          </cell>
          <cell r="D95">
            <v>5</v>
          </cell>
        </row>
        <row r="96">
          <cell r="C96">
            <v>-314262.55</v>
          </cell>
          <cell r="D96">
            <v>5</v>
          </cell>
        </row>
        <row r="97">
          <cell r="C97">
            <v>682.81</v>
          </cell>
          <cell r="D97">
            <v>5</v>
          </cell>
        </row>
        <row r="98">
          <cell r="C98">
            <v>18529.54</v>
          </cell>
          <cell r="D98">
            <v>5</v>
          </cell>
        </row>
        <row r="99">
          <cell r="C99">
            <v>159511.28</v>
          </cell>
          <cell r="D99">
            <v>5</v>
          </cell>
        </row>
        <row r="100">
          <cell r="C100">
            <v>-159511.28</v>
          </cell>
          <cell r="D100">
            <v>5</v>
          </cell>
        </row>
        <row r="101">
          <cell r="D101">
            <v>5</v>
          </cell>
        </row>
        <row r="102">
          <cell r="C102">
            <v>47.2</v>
          </cell>
          <cell r="D102">
            <v>5</v>
          </cell>
        </row>
        <row r="103">
          <cell r="C103">
            <v>-47.2</v>
          </cell>
          <cell r="D103">
            <v>5</v>
          </cell>
        </row>
        <row r="104">
          <cell r="D104">
            <v>5</v>
          </cell>
        </row>
        <row r="105">
          <cell r="C105">
            <v>19136.13</v>
          </cell>
          <cell r="D105">
            <v>5</v>
          </cell>
        </row>
        <row r="106">
          <cell r="C106">
            <v>-19136.13</v>
          </cell>
          <cell r="D106">
            <v>5</v>
          </cell>
        </row>
        <row r="107">
          <cell r="C107">
            <v>137.76</v>
          </cell>
          <cell r="D107">
            <v>5</v>
          </cell>
        </row>
        <row r="108">
          <cell r="C108">
            <v>4846.32</v>
          </cell>
          <cell r="D108">
            <v>5</v>
          </cell>
        </row>
        <row r="109">
          <cell r="C109">
            <v>15921.53</v>
          </cell>
          <cell r="D109">
            <v>5</v>
          </cell>
        </row>
        <row r="110">
          <cell r="C110">
            <v>-15921.53</v>
          </cell>
          <cell r="D110">
            <v>5</v>
          </cell>
        </row>
        <row r="111">
          <cell r="C111">
            <v>0.06</v>
          </cell>
          <cell r="D111">
            <v>6</v>
          </cell>
        </row>
        <row r="112">
          <cell r="C112">
            <v>9.27</v>
          </cell>
          <cell r="D112">
            <v>6</v>
          </cell>
        </row>
        <row r="113">
          <cell r="C113">
            <v>4662.5600000000004</v>
          </cell>
          <cell r="D113">
            <v>6</v>
          </cell>
        </row>
        <row r="114">
          <cell r="C114">
            <v>40.14</v>
          </cell>
          <cell r="D114">
            <v>6</v>
          </cell>
        </row>
        <row r="115">
          <cell r="C115">
            <v>415.55</v>
          </cell>
          <cell r="D115">
            <v>6</v>
          </cell>
        </row>
        <row r="116">
          <cell r="C116">
            <v>10969.06</v>
          </cell>
          <cell r="D116">
            <v>6</v>
          </cell>
        </row>
        <row r="117">
          <cell r="C117">
            <v>-15.34</v>
          </cell>
          <cell r="D117">
            <v>6</v>
          </cell>
        </row>
        <row r="118">
          <cell r="C118">
            <v>140.6</v>
          </cell>
          <cell r="D118">
            <v>6</v>
          </cell>
        </row>
        <row r="119">
          <cell r="C119">
            <v>251.78</v>
          </cell>
          <cell r="D119">
            <v>6</v>
          </cell>
        </row>
        <row r="120">
          <cell r="C120">
            <v>2407.65</v>
          </cell>
          <cell r="D120">
            <v>6</v>
          </cell>
        </row>
        <row r="121">
          <cell r="C121">
            <v>126.28</v>
          </cell>
          <cell r="D121">
            <v>6</v>
          </cell>
        </row>
        <row r="122">
          <cell r="C122">
            <v>315.39999999999998</v>
          </cell>
          <cell r="D122">
            <v>6</v>
          </cell>
        </row>
        <row r="123">
          <cell r="D123">
            <v>6</v>
          </cell>
        </row>
        <row r="124">
          <cell r="C124">
            <v>111.99</v>
          </cell>
          <cell r="D124">
            <v>6</v>
          </cell>
        </row>
        <row r="125">
          <cell r="C125">
            <v>716.86</v>
          </cell>
          <cell r="D125">
            <v>6</v>
          </cell>
        </row>
        <row r="126">
          <cell r="C126">
            <v>0.13</v>
          </cell>
          <cell r="D126">
            <v>6</v>
          </cell>
        </row>
        <row r="127">
          <cell r="C127">
            <v>8.7899999999999991</v>
          </cell>
          <cell r="D127">
            <v>6</v>
          </cell>
        </row>
        <row r="128">
          <cell r="C128">
            <v>40.630000000000003</v>
          </cell>
          <cell r="D128">
            <v>6</v>
          </cell>
        </row>
        <row r="129">
          <cell r="C129">
            <v>587.92999999999995</v>
          </cell>
          <cell r="D129">
            <v>6</v>
          </cell>
        </row>
        <row r="130">
          <cell r="C130">
            <v>33320</v>
          </cell>
          <cell r="D130">
            <v>6</v>
          </cell>
        </row>
        <row r="131">
          <cell r="C131">
            <v>5.41</v>
          </cell>
          <cell r="D131">
            <v>6</v>
          </cell>
        </row>
        <row r="132">
          <cell r="C132">
            <v>1214.6099999999999</v>
          </cell>
          <cell r="D132">
            <v>6</v>
          </cell>
        </row>
        <row r="133">
          <cell r="D133">
            <v>6</v>
          </cell>
        </row>
        <row r="134">
          <cell r="C134">
            <v>3077.99</v>
          </cell>
          <cell r="D134">
            <v>6</v>
          </cell>
        </row>
        <row r="135">
          <cell r="C135">
            <v>251.78</v>
          </cell>
          <cell r="D135">
            <v>6</v>
          </cell>
        </row>
        <row r="136">
          <cell r="C136">
            <v>40.049999999999997</v>
          </cell>
          <cell r="D136">
            <v>6</v>
          </cell>
        </row>
        <row r="137">
          <cell r="C137">
            <v>1813.36</v>
          </cell>
          <cell r="D137">
            <v>6</v>
          </cell>
        </row>
        <row r="138">
          <cell r="C138">
            <v>0.65</v>
          </cell>
          <cell r="D138">
            <v>6</v>
          </cell>
        </row>
        <row r="139">
          <cell r="C139">
            <v>5728.84</v>
          </cell>
          <cell r="D139">
            <v>6</v>
          </cell>
        </row>
        <row r="140">
          <cell r="D140">
            <v>6</v>
          </cell>
        </row>
        <row r="141">
          <cell r="C141">
            <v>27880.66</v>
          </cell>
          <cell r="D141">
            <v>6</v>
          </cell>
        </row>
        <row r="142">
          <cell r="C142">
            <v>107.85</v>
          </cell>
          <cell r="D142">
            <v>6</v>
          </cell>
        </row>
        <row r="143">
          <cell r="C143">
            <v>608.04999999999995</v>
          </cell>
          <cell r="D143">
            <v>6</v>
          </cell>
        </row>
        <row r="144">
          <cell r="C144">
            <v>128264.98</v>
          </cell>
          <cell r="D144">
            <v>6</v>
          </cell>
        </row>
        <row r="145">
          <cell r="C145">
            <v>27190.69</v>
          </cell>
          <cell r="D145">
            <v>6</v>
          </cell>
        </row>
        <row r="146">
          <cell r="C146">
            <v>5550.09</v>
          </cell>
          <cell r="D146">
            <v>6</v>
          </cell>
        </row>
        <row r="147">
          <cell r="C147">
            <v>2007.25</v>
          </cell>
          <cell r="D147">
            <v>6</v>
          </cell>
        </row>
        <row r="148">
          <cell r="C148">
            <v>13782.92</v>
          </cell>
          <cell r="D148">
            <v>6</v>
          </cell>
        </row>
        <row r="149">
          <cell r="C149">
            <v>480093.16</v>
          </cell>
          <cell r="D149">
            <v>6</v>
          </cell>
        </row>
        <row r="150">
          <cell r="C150">
            <v>-3330.22</v>
          </cell>
          <cell r="D150">
            <v>6</v>
          </cell>
        </row>
        <row r="151">
          <cell r="C151">
            <v>-18073.89</v>
          </cell>
          <cell r="D151">
            <v>6</v>
          </cell>
        </row>
        <row r="152">
          <cell r="C152">
            <v>976.63</v>
          </cell>
          <cell r="D152">
            <v>6</v>
          </cell>
        </row>
        <row r="153">
          <cell r="C153">
            <v>2818.97</v>
          </cell>
          <cell r="D153">
            <v>6</v>
          </cell>
        </row>
        <row r="154">
          <cell r="C154">
            <v>22154.83</v>
          </cell>
          <cell r="D154">
            <v>6</v>
          </cell>
        </row>
        <row r="155">
          <cell r="C155">
            <v>45224.44</v>
          </cell>
          <cell r="D155">
            <v>6</v>
          </cell>
        </row>
        <row r="156">
          <cell r="C156">
            <v>2647.43</v>
          </cell>
          <cell r="D156">
            <v>6</v>
          </cell>
        </row>
        <row r="157">
          <cell r="C157">
            <v>11449.84</v>
          </cell>
          <cell r="D157">
            <v>6</v>
          </cell>
        </row>
        <row r="158">
          <cell r="C158">
            <v>3.09</v>
          </cell>
          <cell r="D158">
            <v>6</v>
          </cell>
        </row>
        <row r="159">
          <cell r="C159">
            <v>35.03</v>
          </cell>
          <cell r="D159">
            <v>6</v>
          </cell>
        </row>
        <row r="160">
          <cell r="C160">
            <v>22.85</v>
          </cell>
          <cell r="D160">
            <v>6</v>
          </cell>
        </row>
        <row r="161">
          <cell r="C161">
            <v>14407.96</v>
          </cell>
          <cell r="D161">
            <v>6</v>
          </cell>
        </row>
        <row r="162">
          <cell r="D162">
            <v>6</v>
          </cell>
        </row>
        <row r="163">
          <cell r="C163">
            <v>1082.49</v>
          </cell>
          <cell r="D163">
            <v>6</v>
          </cell>
        </row>
        <row r="164">
          <cell r="D164">
            <v>6</v>
          </cell>
        </row>
        <row r="165">
          <cell r="C165">
            <v>28289.439999999999</v>
          </cell>
          <cell r="D165">
            <v>6</v>
          </cell>
        </row>
        <row r="166">
          <cell r="C166">
            <v>34831.980000000003</v>
          </cell>
          <cell r="D166">
            <v>6</v>
          </cell>
        </row>
        <row r="167">
          <cell r="C167">
            <v>6922.93</v>
          </cell>
          <cell r="D167">
            <v>6</v>
          </cell>
        </row>
        <row r="168">
          <cell r="C168">
            <v>134771.42000000001</v>
          </cell>
          <cell r="D168">
            <v>6</v>
          </cell>
        </row>
        <row r="169">
          <cell r="C169">
            <v>14810.9</v>
          </cell>
          <cell r="D169">
            <v>6</v>
          </cell>
        </row>
        <row r="170">
          <cell r="C170">
            <v>-88242.04</v>
          </cell>
          <cell r="D170">
            <v>6</v>
          </cell>
        </row>
        <row r="171">
          <cell r="D171">
            <v>6</v>
          </cell>
        </row>
        <row r="172">
          <cell r="D172">
            <v>6</v>
          </cell>
        </row>
        <row r="173">
          <cell r="D173">
            <v>6</v>
          </cell>
        </row>
        <row r="174">
          <cell r="C174">
            <v>3570.75</v>
          </cell>
          <cell r="D174">
            <v>6</v>
          </cell>
        </row>
        <row r="175">
          <cell r="C175">
            <v>16694.38</v>
          </cell>
          <cell r="D175">
            <v>6</v>
          </cell>
        </row>
        <row r="176">
          <cell r="C176">
            <v>166.03</v>
          </cell>
          <cell r="D176">
            <v>6</v>
          </cell>
        </row>
        <row r="177">
          <cell r="C177">
            <v>611.65</v>
          </cell>
          <cell r="D177">
            <v>6</v>
          </cell>
        </row>
        <row r="178">
          <cell r="C178">
            <v>48686.94</v>
          </cell>
          <cell r="D178">
            <v>6</v>
          </cell>
        </row>
        <row r="179">
          <cell r="D179">
            <v>6</v>
          </cell>
        </row>
        <row r="180">
          <cell r="D180">
            <v>6</v>
          </cell>
        </row>
        <row r="181">
          <cell r="C181">
            <v>27307.38</v>
          </cell>
          <cell r="D181">
            <v>6</v>
          </cell>
        </row>
        <row r="182">
          <cell r="C182">
            <v>2530.15</v>
          </cell>
          <cell r="D182">
            <v>6</v>
          </cell>
        </row>
        <row r="183">
          <cell r="C183">
            <v>600.35</v>
          </cell>
          <cell r="D183">
            <v>6</v>
          </cell>
        </row>
        <row r="184">
          <cell r="D184">
            <v>6</v>
          </cell>
        </row>
        <row r="185">
          <cell r="C185">
            <v>490.59</v>
          </cell>
          <cell r="D185">
            <v>6</v>
          </cell>
        </row>
        <row r="186">
          <cell r="C186">
            <v>36542.39</v>
          </cell>
          <cell r="D186">
            <v>6</v>
          </cell>
        </row>
        <row r="187">
          <cell r="D187">
            <v>6</v>
          </cell>
        </row>
        <row r="188">
          <cell r="C188">
            <v>150.15</v>
          </cell>
          <cell r="D188">
            <v>6</v>
          </cell>
        </row>
        <row r="189">
          <cell r="D189">
            <v>6</v>
          </cell>
        </row>
        <row r="190">
          <cell r="C190">
            <v>679.56</v>
          </cell>
          <cell r="D190">
            <v>6</v>
          </cell>
        </row>
        <row r="191">
          <cell r="C191">
            <v>1113.17</v>
          </cell>
          <cell r="D191">
            <v>6</v>
          </cell>
        </row>
        <row r="192">
          <cell r="C192">
            <v>2282.9299999999998</v>
          </cell>
          <cell r="D192">
            <v>6</v>
          </cell>
        </row>
        <row r="193">
          <cell r="C193">
            <v>78.209999999999994</v>
          </cell>
          <cell r="D193">
            <v>6</v>
          </cell>
        </row>
        <row r="194">
          <cell r="C194">
            <v>59.75</v>
          </cell>
          <cell r="D194">
            <v>6</v>
          </cell>
        </row>
        <row r="195">
          <cell r="C195">
            <v>7762</v>
          </cell>
          <cell r="D195">
            <v>6</v>
          </cell>
        </row>
        <row r="196">
          <cell r="D196">
            <v>6</v>
          </cell>
        </row>
        <row r="197">
          <cell r="C197">
            <v>3336.31</v>
          </cell>
          <cell r="D197">
            <v>6</v>
          </cell>
        </row>
        <row r="198">
          <cell r="D198">
            <v>6</v>
          </cell>
        </row>
        <row r="199">
          <cell r="C199">
            <v>113.21</v>
          </cell>
          <cell r="D199">
            <v>6</v>
          </cell>
        </row>
        <row r="200">
          <cell r="C200">
            <v>25.33</v>
          </cell>
          <cell r="D200">
            <v>6</v>
          </cell>
        </row>
        <row r="201">
          <cell r="C201">
            <v>7575.42</v>
          </cell>
          <cell r="D201">
            <v>6</v>
          </cell>
        </row>
        <row r="202">
          <cell r="C202">
            <v>7127.56</v>
          </cell>
          <cell r="D202">
            <v>6</v>
          </cell>
        </row>
        <row r="203">
          <cell r="C203">
            <v>428.66</v>
          </cell>
          <cell r="D203">
            <v>6</v>
          </cell>
        </row>
        <row r="204">
          <cell r="C204">
            <v>9480.16</v>
          </cell>
          <cell r="D204">
            <v>6</v>
          </cell>
        </row>
        <row r="205">
          <cell r="C205">
            <v>395.39</v>
          </cell>
          <cell r="D205">
            <v>6</v>
          </cell>
        </row>
        <row r="206">
          <cell r="C206">
            <v>8.75</v>
          </cell>
          <cell r="D206">
            <v>6</v>
          </cell>
        </row>
        <row r="207">
          <cell r="C207">
            <v>16.72</v>
          </cell>
          <cell r="D207">
            <v>6</v>
          </cell>
        </row>
        <row r="208">
          <cell r="D208">
            <v>6</v>
          </cell>
        </row>
        <row r="209">
          <cell r="C209">
            <v>255.9</v>
          </cell>
          <cell r="D209">
            <v>6</v>
          </cell>
        </row>
        <row r="210">
          <cell r="C210">
            <v>15.62</v>
          </cell>
          <cell r="D210">
            <v>6</v>
          </cell>
        </row>
        <row r="211">
          <cell r="C211">
            <v>2631.89</v>
          </cell>
          <cell r="D211">
            <v>6</v>
          </cell>
        </row>
        <row r="212">
          <cell r="D212">
            <v>6</v>
          </cell>
        </row>
        <row r="213">
          <cell r="C213">
            <v>345</v>
          </cell>
          <cell r="D213">
            <v>6</v>
          </cell>
        </row>
        <row r="214">
          <cell r="C214">
            <v>16938.72</v>
          </cell>
          <cell r="D214">
            <v>6</v>
          </cell>
        </row>
        <row r="215">
          <cell r="D215">
            <v>6</v>
          </cell>
        </row>
        <row r="216">
          <cell r="D216">
            <v>6</v>
          </cell>
        </row>
        <row r="217">
          <cell r="C217">
            <v>2026.49</v>
          </cell>
          <cell r="D217">
            <v>6</v>
          </cell>
        </row>
        <row r="218">
          <cell r="D218">
            <v>6</v>
          </cell>
        </row>
        <row r="219">
          <cell r="C219">
            <v>15625.66</v>
          </cell>
          <cell r="D219">
            <v>6</v>
          </cell>
        </row>
        <row r="220">
          <cell r="C220">
            <v>1417.8</v>
          </cell>
          <cell r="D220">
            <v>6</v>
          </cell>
        </row>
        <row r="221">
          <cell r="C221">
            <v>252.86</v>
          </cell>
          <cell r="D221">
            <v>6</v>
          </cell>
        </row>
        <row r="222">
          <cell r="C222">
            <v>21.06</v>
          </cell>
          <cell r="D222">
            <v>6</v>
          </cell>
        </row>
        <row r="223">
          <cell r="C223">
            <v>550.16999999999996</v>
          </cell>
          <cell r="D223">
            <v>6</v>
          </cell>
        </row>
        <row r="224">
          <cell r="C224">
            <v>10528.85</v>
          </cell>
          <cell r="D224">
            <v>6</v>
          </cell>
        </row>
        <row r="225">
          <cell r="C225">
            <v>896.45</v>
          </cell>
          <cell r="D225">
            <v>6</v>
          </cell>
        </row>
        <row r="226">
          <cell r="C226">
            <v>5881.87</v>
          </cell>
          <cell r="D226">
            <v>6</v>
          </cell>
        </row>
        <row r="227">
          <cell r="C227">
            <v>81.599999999999994</v>
          </cell>
          <cell r="D227">
            <v>6</v>
          </cell>
        </row>
        <row r="228">
          <cell r="C228">
            <v>102.68</v>
          </cell>
          <cell r="D228">
            <v>6</v>
          </cell>
        </row>
        <row r="229">
          <cell r="C229">
            <v>54.53</v>
          </cell>
          <cell r="D229">
            <v>6</v>
          </cell>
        </row>
        <row r="230">
          <cell r="C230">
            <v>8345.02</v>
          </cell>
          <cell r="D230">
            <v>6</v>
          </cell>
        </row>
        <row r="231">
          <cell r="C231">
            <v>833.35</v>
          </cell>
          <cell r="D231">
            <v>6</v>
          </cell>
        </row>
        <row r="232">
          <cell r="C232">
            <v>1149.44</v>
          </cell>
          <cell r="D232">
            <v>6</v>
          </cell>
        </row>
        <row r="233">
          <cell r="C233">
            <v>89.4</v>
          </cell>
          <cell r="D233">
            <v>6</v>
          </cell>
        </row>
        <row r="234">
          <cell r="C234">
            <v>4182.13</v>
          </cell>
          <cell r="D234">
            <v>6</v>
          </cell>
        </row>
        <row r="235">
          <cell r="D235">
            <v>6</v>
          </cell>
        </row>
        <row r="236">
          <cell r="C236">
            <v>210.21</v>
          </cell>
          <cell r="D236">
            <v>6</v>
          </cell>
        </row>
        <row r="237">
          <cell r="C237">
            <v>3958.79</v>
          </cell>
          <cell r="D237">
            <v>6</v>
          </cell>
        </row>
        <row r="238">
          <cell r="C238">
            <v>24057.17</v>
          </cell>
          <cell r="D238">
            <v>6</v>
          </cell>
        </row>
        <row r="239">
          <cell r="C239">
            <v>23.93</v>
          </cell>
          <cell r="D239">
            <v>6</v>
          </cell>
        </row>
        <row r="240">
          <cell r="C240">
            <v>204.07</v>
          </cell>
          <cell r="D240">
            <v>6</v>
          </cell>
        </row>
        <row r="241">
          <cell r="C241">
            <v>14753.31</v>
          </cell>
          <cell r="D241">
            <v>6</v>
          </cell>
        </row>
        <row r="242">
          <cell r="C242">
            <v>24.58</v>
          </cell>
          <cell r="D242">
            <v>6</v>
          </cell>
        </row>
        <row r="243">
          <cell r="C243">
            <v>701.09</v>
          </cell>
          <cell r="D243">
            <v>6</v>
          </cell>
        </row>
        <row r="244">
          <cell r="D244">
            <v>6</v>
          </cell>
        </row>
        <row r="245">
          <cell r="C245">
            <v>5247.38</v>
          </cell>
          <cell r="D245">
            <v>6</v>
          </cell>
        </row>
        <row r="246">
          <cell r="C246">
            <v>3029.32</v>
          </cell>
          <cell r="D246">
            <v>6</v>
          </cell>
        </row>
        <row r="247">
          <cell r="C247">
            <v>101.34</v>
          </cell>
          <cell r="D247">
            <v>6</v>
          </cell>
        </row>
        <row r="248">
          <cell r="C248">
            <v>34.770000000000003</v>
          </cell>
          <cell r="D248">
            <v>6</v>
          </cell>
        </row>
        <row r="249">
          <cell r="C249">
            <v>1098.8900000000001</v>
          </cell>
          <cell r="D249">
            <v>6</v>
          </cell>
        </row>
        <row r="250">
          <cell r="D250">
            <v>6</v>
          </cell>
        </row>
        <row r="251">
          <cell r="C251">
            <v>184.72</v>
          </cell>
          <cell r="D251">
            <v>6</v>
          </cell>
        </row>
        <row r="252">
          <cell r="C252">
            <v>9498.36</v>
          </cell>
          <cell r="D252">
            <v>6</v>
          </cell>
        </row>
        <row r="253">
          <cell r="C253">
            <v>1425.83</v>
          </cell>
          <cell r="D253">
            <v>6</v>
          </cell>
        </row>
        <row r="254">
          <cell r="D254">
            <v>6</v>
          </cell>
        </row>
        <row r="255">
          <cell r="C255">
            <v>49.66</v>
          </cell>
          <cell r="D255">
            <v>6</v>
          </cell>
        </row>
        <row r="256">
          <cell r="C256">
            <v>9418.1299999999992</v>
          </cell>
          <cell r="D256">
            <v>6</v>
          </cell>
        </row>
        <row r="257">
          <cell r="C257">
            <v>82.82</v>
          </cell>
          <cell r="D257">
            <v>6</v>
          </cell>
        </row>
        <row r="258">
          <cell r="C258">
            <v>320.32</v>
          </cell>
          <cell r="D258">
            <v>6</v>
          </cell>
        </row>
        <row r="259">
          <cell r="C259">
            <v>41.37</v>
          </cell>
          <cell r="D259">
            <v>6</v>
          </cell>
        </row>
        <row r="260">
          <cell r="C260">
            <v>41.7</v>
          </cell>
          <cell r="D260">
            <v>6</v>
          </cell>
        </row>
        <row r="261">
          <cell r="C261">
            <v>169.13</v>
          </cell>
          <cell r="D261">
            <v>6</v>
          </cell>
        </row>
        <row r="262">
          <cell r="C262">
            <v>1796.75</v>
          </cell>
          <cell r="D262">
            <v>6</v>
          </cell>
        </row>
        <row r="263">
          <cell r="C263">
            <v>16.46</v>
          </cell>
          <cell r="D263">
            <v>6</v>
          </cell>
        </row>
        <row r="264">
          <cell r="C264">
            <v>445.12</v>
          </cell>
          <cell r="D264">
            <v>6</v>
          </cell>
        </row>
        <row r="265">
          <cell r="C265">
            <v>-40237.279999999999</v>
          </cell>
          <cell r="D265">
            <v>6</v>
          </cell>
        </row>
        <row r="266">
          <cell r="C266">
            <v>14676.63</v>
          </cell>
          <cell r="D266">
            <v>6</v>
          </cell>
        </row>
        <row r="267">
          <cell r="C267">
            <v>847.33</v>
          </cell>
          <cell r="D267">
            <v>6</v>
          </cell>
        </row>
        <row r="268">
          <cell r="C268">
            <v>16201.8</v>
          </cell>
          <cell r="D268">
            <v>6</v>
          </cell>
        </row>
        <row r="269">
          <cell r="C269">
            <v>98.83</v>
          </cell>
          <cell r="D269">
            <v>6</v>
          </cell>
        </row>
        <row r="270">
          <cell r="D270">
            <v>6</v>
          </cell>
        </row>
        <row r="271">
          <cell r="C271">
            <v>15212.33</v>
          </cell>
          <cell r="D271">
            <v>6</v>
          </cell>
        </row>
        <row r="272">
          <cell r="C272">
            <v>9298.66</v>
          </cell>
          <cell r="D272">
            <v>6</v>
          </cell>
        </row>
        <row r="273">
          <cell r="C273">
            <v>271.72000000000003</v>
          </cell>
          <cell r="D273">
            <v>6</v>
          </cell>
        </row>
        <row r="274">
          <cell r="D274">
            <v>6</v>
          </cell>
        </row>
        <row r="275">
          <cell r="C275">
            <v>17958.509999999998</v>
          </cell>
          <cell r="D275">
            <v>6</v>
          </cell>
        </row>
        <row r="276">
          <cell r="C276">
            <v>40397.39</v>
          </cell>
          <cell r="D276">
            <v>6</v>
          </cell>
        </row>
        <row r="277">
          <cell r="D277">
            <v>6</v>
          </cell>
        </row>
        <row r="278">
          <cell r="C278">
            <v>4.25</v>
          </cell>
          <cell r="D278">
            <v>6</v>
          </cell>
        </row>
        <row r="279">
          <cell r="D279">
            <v>6</v>
          </cell>
        </row>
        <row r="280">
          <cell r="D280">
            <v>6</v>
          </cell>
        </row>
        <row r="281">
          <cell r="C281">
            <v>2432.13</v>
          </cell>
          <cell r="D281">
            <v>6</v>
          </cell>
        </row>
        <row r="282">
          <cell r="D282">
            <v>6</v>
          </cell>
        </row>
        <row r="283">
          <cell r="C283">
            <v>70.33</v>
          </cell>
          <cell r="D283">
            <v>6</v>
          </cell>
        </row>
        <row r="284">
          <cell r="C284">
            <v>29698.92599</v>
          </cell>
          <cell r="D284">
            <v>6</v>
          </cell>
        </row>
        <row r="285">
          <cell r="D285">
            <v>6</v>
          </cell>
        </row>
        <row r="286">
          <cell r="C286">
            <v>1711.5659900000001</v>
          </cell>
          <cell r="D286">
            <v>6</v>
          </cell>
        </row>
        <row r="287">
          <cell r="C287">
            <v>7657.2</v>
          </cell>
          <cell r="D287">
            <v>6</v>
          </cell>
        </row>
        <row r="288">
          <cell r="C288">
            <v>382.34598999999997</v>
          </cell>
          <cell r="D288">
            <v>6</v>
          </cell>
        </row>
        <row r="289">
          <cell r="C289">
            <v>-1.23</v>
          </cell>
          <cell r="D289">
            <v>6</v>
          </cell>
        </row>
        <row r="290">
          <cell r="C290">
            <v>6932.06</v>
          </cell>
          <cell r="D290">
            <v>6</v>
          </cell>
        </row>
        <row r="291">
          <cell r="D291">
            <v>6</v>
          </cell>
        </row>
        <row r="292">
          <cell r="C292">
            <v>17811.365989999998</v>
          </cell>
          <cell r="D292">
            <v>6</v>
          </cell>
        </row>
        <row r="293">
          <cell r="D293">
            <v>6</v>
          </cell>
        </row>
        <row r="294">
          <cell r="C294">
            <v>549.71599000000003</v>
          </cell>
          <cell r="D294">
            <v>6</v>
          </cell>
        </row>
        <row r="295">
          <cell r="D295">
            <v>6</v>
          </cell>
        </row>
        <row r="296">
          <cell r="D296">
            <v>6</v>
          </cell>
        </row>
        <row r="297">
          <cell r="C297">
            <v>8084.6</v>
          </cell>
          <cell r="D297">
            <v>6</v>
          </cell>
        </row>
        <row r="298">
          <cell r="C298">
            <v>15522.725990000001</v>
          </cell>
          <cell r="D298">
            <v>6</v>
          </cell>
        </row>
        <row r="299">
          <cell r="C299">
            <v>14314.85599</v>
          </cell>
          <cell r="D299">
            <v>6</v>
          </cell>
        </row>
        <row r="300">
          <cell r="C300">
            <v>11826.75599</v>
          </cell>
          <cell r="D300">
            <v>6</v>
          </cell>
        </row>
        <row r="301">
          <cell r="D301">
            <v>6</v>
          </cell>
        </row>
        <row r="302">
          <cell r="C302">
            <v>-737.82</v>
          </cell>
          <cell r="D302">
            <v>6</v>
          </cell>
        </row>
        <row r="303">
          <cell r="C303">
            <v>2343.33599</v>
          </cell>
          <cell r="D303">
            <v>6</v>
          </cell>
        </row>
        <row r="304">
          <cell r="C304">
            <v>822.3</v>
          </cell>
          <cell r="D304">
            <v>6</v>
          </cell>
        </row>
        <row r="305">
          <cell r="C305">
            <v>28943.859899999999</v>
          </cell>
          <cell r="D305">
            <v>6</v>
          </cell>
        </row>
        <row r="306">
          <cell r="C306">
            <v>15768.305499</v>
          </cell>
          <cell r="D306">
            <v>6</v>
          </cell>
        </row>
        <row r="307">
          <cell r="C307">
            <v>146427.54599000001</v>
          </cell>
          <cell r="D307">
            <v>6</v>
          </cell>
        </row>
        <row r="308">
          <cell r="C308">
            <v>497.88598999999999</v>
          </cell>
          <cell r="D308">
            <v>6</v>
          </cell>
        </row>
        <row r="309">
          <cell r="D309">
            <v>6</v>
          </cell>
        </row>
        <row r="310">
          <cell r="D310">
            <v>6</v>
          </cell>
        </row>
        <row r="311">
          <cell r="C311">
            <v>-61.77</v>
          </cell>
          <cell r="D311">
            <v>6</v>
          </cell>
        </row>
        <row r="312">
          <cell r="D312">
            <v>6</v>
          </cell>
        </row>
        <row r="313">
          <cell r="C313">
            <v>3863.3659899999998</v>
          </cell>
          <cell r="D313">
            <v>6</v>
          </cell>
        </row>
        <row r="314">
          <cell r="C314">
            <v>33.585990000000002</v>
          </cell>
          <cell r="D314">
            <v>6</v>
          </cell>
        </row>
        <row r="315">
          <cell r="C315">
            <v>76.825990000000004</v>
          </cell>
          <cell r="D315">
            <v>6</v>
          </cell>
        </row>
        <row r="316">
          <cell r="D316" t="str">
            <v/>
          </cell>
        </row>
        <row r="317">
          <cell r="D317" t="str">
            <v/>
          </cell>
        </row>
        <row r="318">
          <cell r="D318" t="str">
            <v/>
          </cell>
        </row>
        <row r="319">
          <cell r="D319" t="str">
            <v/>
          </cell>
        </row>
        <row r="320">
          <cell r="D320" t="str">
            <v/>
          </cell>
        </row>
        <row r="321">
          <cell r="D321" t="str">
            <v/>
          </cell>
        </row>
        <row r="322">
          <cell r="D322" t="str">
            <v/>
          </cell>
        </row>
        <row r="323">
          <cell r="D323" t="str">
            <v/>
          </cell>
        </row>
        <row r="324">
          <cell r="D324" t="str">
            <v/>
          </cell>
        </row>
        <row r="325">
          <cell r="D325" t="str">
            <v/>
          </cell>
        </row>
        <row r="326">
          <cell r="D326" t="str">
            <v/>
          </cell>
        </row>
        <row r="327">
          <cell r="D327" t="str">
            <v/>
          </cell>
        </row>
        <row r="328">
          <cell r="D328" t="str">
            <v/>
          </cell>
        </row>
        <row r="329">
          <cell r="D329" t="str">
            <v/>
          </cell>
        </row>
        <row r="330">
          <cell r="D330" t="str">
            <v/>
          </cell>
        </row>
        <row r="331">
          <cell r="D331" t="str">
            <v/>
          </cell>
        </row>
        <row r="332">
          <cell r="D332" t="str">
            <v/>
          </cell>
        </row>
        <row r="333">
          <cell r="D333" t="str">
            <v/>
          </cell>
        </row>
        <row r="334">
          <cell r="D334" t="str">
            <v/>
          </cell>
        </row>
        <row r="335">
          <cell r="D335" t="str">
            <v/>
          </cell>
        </row>
        <row r="336">
          <cell r="D336" t="str">
            <v/>
          </cell>
        </row>
        <row r="337">
          <cell r="D337" t="str">
            <v/>
          </cell>
        </row>
        <row r="338">
          <cell r="D338" t="str">
            <v/>
          </cell>
        </row>
        <row r="339">
          <cell r="D339" t="str">
            <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sheetData>
      <sheetData sheetId="2"/>
      <sheetData sheetId="3" refreshError="1">
        <row r="4">
          <cell r="L4">
            <v>84108842.804000005</v>
          </cell>
          <cell r="Z4" t="str">
            <v>100000</v>
          </cell>
        </row>
        <row r="5">
          <cell r="Z5" t="str">
            <v>110000</v>
          </cell>
        </row>
        <row r="6">
          <cell r="Z6" t="str">
            <v>111000</v>
          </cell>
        </row>
        <row r="7">
          <cell r="Z7" t="str">
            <v>111100</v>
          </cell>
        </row>
        <row r="8">
          <cell r="Z8" t="str">
            <v>111101</v>
          </cell>
        </row>
        <row r="9">
          <cell r="Z9" t="str">
            <v>111102</v>
          </cell>
        </row>
        <row r="10">
          <cell r="Z10" t="str">
            <v>111103</v>
          </cell>
        </row>
        <row r="11">
          <cell r="Z11" t="str">
            <v>111104</v>
          </cell>
        </row>
        <row r="12">
          <cell r="Z12" t="str">
            <v>111105</v>
          </cell>
        </row>
        <row r="13">
          <cell r="Z13" t="str">
            <v>111106</v>
          </cell>
        </row>
        <row r="14">
          <cell r="Z14" t="str">
            <v>111107</v>
          </cell>
        </row>
        <row r="15">
          <cell r="Z15" t="str">
            <v>111108</v>
          </cell>
        </row>
        <row r="16">
          <cell r="Z16" t="str">
            <v>111109</v>
          </cell>
        </row>
        <row r="17">
          <cell r="Z17" t="str">
            <v>111200</v>
          </cell>
        </row>
        <row r="18">
          <cell r="Z18" t="str">
            <v>111201</v>
          </cell>
        </row>
        <row r="19">
          <cell r="Z19" t="str">
            <v>111202</v>
          </cell>
        </row>
        <row r="20">
          <cell r="Z20" t="str">
            <v>111203</v>
          </cell>
        </row>
        <row r="21">
          <cell r="Z21" t="str">
            <v>111204</v>
          </cell>
        </row>
        <row r="22">
          <cell r="Z22" t="str">
            <v>111209</v>
          </cell>
        </row>
        <row r="23">
          <cell r="Z23" t="str">
            <v>112000</v>
          </cell>
        </row>
        <row r="24">
          <cell r="L24">
            <v>58173887.129980005</v>
          </cell>
          <cell r="Z24" t="str">
            <v>112100</v>
          </cell>
        </row>
        <row r="25">
          <cell r="Z25" t="str">
            <v>112101</v>
          </cell>
        </row>
        <row r="26">
          <cell r="Z26" t="str">
            <v>112102</v>
          </cell>
        </row>
        <row r="27">
          <cell r="Z27" t="str">
            <v>112103</v>
          </cell>
        </row>
        <row r="28">
          <cell r="Z28" t="str">
            <v>112104</v>
          </cell>
        </row>
        <row r="29">
          <cell r="Z29" t="str">
            <v>112109</v>
          </cell>
        </row>
        <row r="30">
          <cell r="Z30" t="str">
            <v>112200</v>
          </cell>
        </row>
        <row r="31">
          <cell r="Z31" t="str">
            <v>112201</v>
          </cell>
        </row>
        <row r="32">
          <cell r="Z32" t="str">
            <v>112202</v>
          </cell>
        </row>
        <row r="33">
          <cell r="Z33" t="str">
            <v>112203</v>
          </cell>
        </row>
        <row r="34">
          <cell r="Z34" t="str">
            <v>112204</v>
          </cell>
        </row>
        <row r="35">
          <cell r="Z35" t="str">
            <v>112209</v>
          </cell>
        </row>
        <row r="36">
          <cell r="Z36" t="str">
            <v>112300</v>
          </cell>
        </row>
        <row r="37">
          <cell r="Z37" t="str">
            <v>112301</v>
          </cell>
        </row>
        <row r="38">
          <cell r="Z38" t="str">
            <v>112302</v>
          </cell>
        </row>
        <row r="39">
          <cell r="Z39" t="str">
            <v>112303</v>
          </cell>
        </row>
        <row r="40">
          <cell r="Z40" t="str">
            <v>112304</v>
          </cell>
        </row>
        <row r="41">
          <cell r="Z41" t="str">
            <v>112309</v>
          </cell>
        </row>
        <row r="42">
          <cell r="Z42" t="str">
            <v>113000</v>
          </cell>
        </row>
        <row r="43">
          <cell r="Z43" t="str">
            <v>113100</v>
          </cell>
        </row>
        <row r="44">
          <cell r="Z44" t="str">
            <v>113200</v>
          </cell>
        </row>
        <row r="45">
          <cell r="Z45" t="str">
            <v>113300</v>
          </cell>
        </row>
        <row r="46">
          <cell r="Z46" t="str">
            <v>114000</v>
          </cell>
        </row>
        <row r="47">
          <cell r="Z47" t="str">
            <v>114100</v>
          </cell>
        </row>
        <row r="48">
          <cell r="Z48" t="str">
            <v>114101</v>
          </cell>
        </row>
        <row r="49">
          <cell r="Z49" t="str">
            <v>114102</v>
          </cell>
        </row>
        <row r="50">
          <cell r="Z50" t="str">
            <v>114103</v>
          </cell>
        </row>
        <row r="51">
          <cell r="Z51" t="str">
            <v>114104</v>
          </cell>
        </row>
        <row r="52">
          <cell r="Z52" t="str">
            <v>114109</v>
          </cell>
        </row>
        <row r="53">
          <cell r="Z53" t="str">
            <v>114200</v>
          </cell>
        </row>
        <row r="54">
          <cell r="Z54" t="str">
            <v>114201</v>
          </cell>
        </row>
        <row r="55">
          <cell r="Z55" t="str">
            <v>114202</v>
          </cell>
        </row>
        <row r="56">
          <cell r="Z56" t="str">
            <v>114203</v>
          </cell>
        </row>
        <row r="57">
          <cell r="Z57" t="str">
            <v>114204</v>
          </cell>
        </row>
        <row r="58">
          <cell r="Z58" t="str">
            <v>114209</v>
          </cell>
        </row>
        <row r="59">
          <cell r="Z59" t="str">
            <v>114300</v>
          </cell>
        </row>
        <row r="60">
          <cell r="Z60" t="str">
            <v>114301</v>
          </cell>
        </row>
        <row r="61">
          <cell r="Z61" t="str">
            <v>114302</v>
          </cell>
        </row>
        <row r="62">
          <cell r="Z62" t="str">
            <v>114303</v>
          </cell>
        </row>
        <row r="63">
          <cell r="Z63" t="str">
            <v>114304</v>
          </cell>
        </row>
        <row r="64">
          <cell r="Z64" t="str">
            <v>114309</v>
          </cell>
        </row>
        <row r="65">
          <cell r="Z65" t="str">
            <v>114400</v>
          </cell>
        </row>
        <row r="66">
          <cell r="Z66" t="str">
            <v>114401</v>
          </cell>
        </row>
        <row r="67">
          <cell r="Z67" t="str">
            <v>114402</v>
          </cell>
        </row>
        <row r="68">
          <cell r="Z68" t="str">
            <v>114403</v>
          </cell>
        </row>
        <row r="69">
          <cell r="Z69" t="str">
            <v>114404</v>
          </cell>
        </row>
        <row r="70">
          <cell r="Z70" t="str">
            <v>114409</v>
          </cell>
        </row>
        <row r="71">
          <cell r="Z71" t="str">
            <v>114500</v>
          </cell>
        </row>
        <row r="72">
          <cell r="Z72" t="str">
            <v>114501</v>
          </cell>
        </row>
        <row r="73">
          <cell r="Z73" t="str">
            <v>114502</v>
          </cell>
        </row>
        <row r="74">
          <cell r="Z74" t="str">
            <v>114503</v>
          </cell>
        </row>
        <row r="75">
          <cell r="Z75" t="str">
            <v>114504</v>
          </cell>
        </row>
        <row r="76">
          <cell r="Z76" t="str">
            <v>114509</v>
          </cell>
        </row>
        <row r="77">
          <cell r="Z77" t="str">
            <v>114600</v>
          </cell>
        </row>
        <row r="78">
          <cell r="Z78" t="str">
            <v>114601</v>
          </cell>
        </row>
        <row r="79">
          <cell r="Z79" t="str">
            <v>114602</v>
          </cell>
        </row>
        <row r="80">
          <cell r="Z80" t="str">
            <v>114603</v>
          </cell>
        </row>
        <row r="81">
          <cell r="Z81" t="str">
            <v>114604</v>
          </cell>
        </row>
        <row r="82">
          <cell r="Z82" t="str">
            <v>114609</v>
          </cell>
        </row>
        <row r="83">
          <cell r="Z83" t="str">
            <v>114700</v>
          </cell>
        </row>
        <row r="84">
          <cell r="Z84" t="str">
            <v>114701</v>
          </cell>
        </row>
        <row r="85">
          <cell r="Z85" t="str">
            <v>114702</v>
          </cell>
        </row>
        <row r="86">
          <cell r="Z86" t="str">
            <v>114703</v>
          </cell>
        </row>
        <row r="87">
          <cell r="Z87" t="str">
            <v>114704</v>
          </cell>
        </row>
        <row r="88">
          <cell r="Z88" t="str">
            <v>114709</v>
          </cell>
        </row>
        <row r="89">
          <cell r="Z89" t="str">
            <v>115000</v>
          </cell>
        </row>
        <row r="90">
          <cell r="Z90" t="str">
            <v>115100</v>
          </cell>
        </row>
        <row r="91">
          <cell r="Z91" t="str">
            <v>115101</v>
          </cell>
        </row>
        <row r="92">
          <cell r="Z92" t="str">
            <v>115102</v>
          </cell>
        </row>
        <row r="93">
          <cell r="Z93" t="str">
            <v>115103</v>
          </cell>
        </row>
        <row r="94">
          <cell r="Z94" t="str">
            <v>115104</v>
          </cell>
        </row>
        <row r="95">
          <cell r="Z95" t="str">
            <v>115109</v>
          </cell>
        </row>
        <row r="96">
          <cell r="Z96" t="str">
            <v>115200</v>
          </cell>
        </row>
        <row r="97">
          <cell r="Z97" t="str">
            <v>115201</v>
          </cell>
        </row>
        <row r="98">
          <cell r="Z98" t="str">
            <v>115202</v>
          </cell>
        </row>
        <row r="99">
          <cell r="Z99" t="str">
            <v>115203</v>
          </cell>
        </row>
        <row r="100">
          <cell r="Z100" t="str">
            <v>115204</v>
          </cell>
        </row>
        <row r="101">
          <cell r="Z101" t="str">
            <v>115209</v>
          </cell>
        </row>
        <row r="102">
          <cell r="Z102" t="str">
            <v>115300</v>
          </cell>
        </row>
        <row r="103">
          <cell r="Z103" t="str">
            <v>115301</v>
          </cell>
        </row>
        <row r="104">
          <cell r="Z104" t="str">
            <v>115302</v>
          </cell>
        </row>
        <row r="105">
          <cell r="L105">
            <v>25934955.671999998</v>
          </cell>
          <cell r="Z105" t="str">
            <v>115303</v>
          </cell>
        </row>
        <row r="106">
          <cell r="Z106" t="str">
            <v>115304</v>
          </cell>
        </row>
        <row r="107">
          <cell r="Z107" t="str">
            <v>115309</v>
          </cell>
        </row>
        <row r="108">
          <cell r="Z108" t="str">
            <v>115400</v>
          </cell>
        </row>
        <row r="109">
          <cell r="Z109" t="str">
            <v>115401</v>
          </cell>
        </row>
        <row r="110">
          <cell r="Z110" t="str">
            <v>115402</v>
          </cell>
        </row>
        <row r="111">
          <cell r="Z111" t="str">
            <v>115403</v>
          </cell>
        </row>
        <row r="112">
          <cell r="Z112" t="str">
            <v>115404</v>
          </cell>
        </row>
        <row r="113">
          <cell r="Z113" t="str">
            <v>115409</v>
          </cell>
        </row>
        <row r="114">
          <cell r="Z114" t="str">
            <v>120000</v>
          </cell>
        </row>
        <row r="115">
          <cell r="Z115" t="str">
            <v>121000</v>
          </cell>
        </row>
        <row r="116">
          <cell r="Z116" t="str">
            <v>121100</v>
          </cell>
        </row>
        <row r="117">
          <cell r="Z117" t="str">
            <v>121110</v>
          </cell>
        </row>
        <row r="118">
          <cell r="Z118" t="str">
            <v>121111</v>
          </cell>
        </row>
        <row r="119">
          <cell r="Z119" t="str">
            <v>121112</v>
          </cell>
        </row>
        <row r="120">
          <cell r="Z120" t="str">
            <v>121113</v>
          </cell>
        </row>
        <row r="121">
          <cell r="Z121" t="str">
            <v>121114</v>
          </cell>
        </row>
        <row r="122">
          <cell r="Z122" t="str">
            <v>121119</v>
          </cell>
        </row>
        <row r="123">
          <cell r="Z123" t="str">
            <v>121120</v>
          </cell>
        </row>
        <row r="124">
          <cell r="Z124" t="str">
            <v>121121</v>
          </cell>
        </row>
        <row r="125">
          <cell r="Z125" t="str">
            <v>121122</v>
          </cell>
        </row>
        <row r="126">
          <cell r="Z126" t="str">
            <v>121123</v>
          </cell>
        </row>
        <row r="127">
          <cell r="Z127" t="str">
            <v>121124</v>
          </cell>
        </row>
        <row r="128">
          <cell r="Z128" t="str">
            <v>121129</v>
          </cell>
        </row>
        <row r="129">
          <cell r="Z129" t="str">
            <v>121130</v>
          </cell>
        </row>
        <row r="130">
          <cell r="Z130" t="str">
            <v>121131</v>
          </cell>
        </row>
        <row r="131">
          <cell r="Z131" t="str">
            <v>121132</v>
          </cell>
        </row>
        <row r="132">
          <cell r="Z132" t="str">
            <v>121133</v>
          </cell>
        </row>
        <row r="133">
          <cell r="Z133" t="str">
            <v>121134</v>
          </cell>
        </row>
        <row r="134">
          <cell r="Z134" t="str">
            <v>121139</v>
          </cell>
        </row>
        <row r="135">
          <cell r="Z135" t="str">
            <v>121140</v>
          </cell>
        </row>
        <row r="136">
          <cell r="Z136" t="str">
            <v>121141</v>
          </cell>
        </row>
        <row r="137">
          <cell r="Z137" t="str">
            <v>121142</v>
          </cell>
        </row>
        <row r="138">
          <cell r="Z138" t="str">
            <v>121143</v>
          </cell>
        </row>
        <row r="139">
          <cell r="Z139" t="str">
            <v>121144</v>
          </cell>
        </row>
        <row r="140">
          <cell r="Z140" t="str">
            <v>121149</v>
          </cell>
        </row>
        <row r="141">
          <cell r="Z141" t="str">
            <v>121150</v>
          </cell>
        </row>
        <row r="142">
          <cell r="Z142" t="str">
            <v>121151</v>
          </cell>
        </row>
        <row r="143">
          <cell r="Z143" t="str">
            <v>121152</v>
          </cell>
        </row>
        <row r="144">
          <cell r="Z144" t="str">
            <v>121153</v>
          </cell>
        </row>
        <row r="145">
          <cell r="Z145" t="str">
            <v>121154</v>
          </cell>
        </row>
        <row r="146">
          <cell r="Z146" t="str">
            <v>121159</v>
          </cell>
        </row>
        <row r="147">
          <cell r="Z147" t="str">
            <v>121160</v>
          </cell>
        </row>
        <row r="148">
          <cell r="Z148" t="str">
            <v>121161</v>
          </cell>
        </row>
        <row r="149">
          <cell r="Z149" t="str">
            <v>121162</v>
          </cell>
        </row>
        <row r="150">
          <cell r="Z150" t="str">
            <v>121163</v>
          </cell>
        </row>
        <row r="151">
          <cell r="Z151" t="str">
            <v>121164</v>
          </cell>
        </row>
        <row r="152">
          <cell r="Z152" t="str">
            <v>121169</v>
          </cell>
        </row>
        <row r="153">
          <cell r="Z153" t="str">
            <v>121170</v>
          </cell>
        </row>
        <row r="154">
          <cell r="Z154" t="str">
            <v>121171</v>
          </cell>
        </row>
        <row r="155">
          <cell r="Z155" t="str">
            <v>121172</v>
          </cell>
        </row>
        <row r="156">
          <cell r="Z156" t="str">
            <v>121173</v>
          </cell>
        </row>
        <row r="157">
          <cell r="Z157" t="str">
            <v>121174</v>
          </cell>
        </row>
        <row r="158">
          <cell r="Z158" t="str">
            <v>121179</v>
          </cell>
        </row>
        <row r="159">
          <cell r="Z159" t="str">
            <v>121200</v>
          </cell>
        </row>
        <row r="160">
          <cell r="Z160" t="str">
            <v>121210</v>
          </cell>
        </row>
        <row r="161">
          <cell r="Z161" t="str">
            <v>121211</v>
          </cell>
        </row>
        <row r="162">
          <cell r="Z162" t="str">
            <v>121212</v>
          </cell>
        </row>
        <row r="163">
          <cell r="Z163" t="str">
            <v>121213</v>
          </cell>
        </row>
        <row r="164">
          <cell r="Z164" t="str">
            <v>121214</v>
          </cell>
        </row>
        <row r="165">
          <cell r="Z165" t="str">
            <v>121219</v>
          </cell>
        </row>
        <row r="166">
          <cell r="Z166" t="str">
            <v>121220</v>
          </cell>
        </row>
        <row r="167">
          <cell r="Z167" t="str">
            <v>121221</v>
          </cell>
        </row>
        <row r="168">
          <cell r="Z168" t="str">
            <v>121222</v>
          </cell>
        </row>
        <row r="169">
          <cell r="Z169" t="str">
            <v>121223</v>
          </cell>
        </row>
        <row r="170">
          <cell r="Z170" t="str">
            <v>121224</v>
          </cell>
        </row>
        <row r="171">
          <cell r="Z171" t="str">
            <v>121229</v>
          </cell>
        </row>
        <row r="172">
          <cell r="Z172" t="str">
            <v>121230</v>
          </cell>
        </row>
        <row r="173">
          <cell r="Z173" t="str">
            <v>121231</v>
          </cell>
        </row>
        <row r="174">
          <cell r="Z174" t="str">
            <v>121232</v>
          </cell>
        </row>
        <row r="175">
          <cell r="Z175" t="str">
            <v>121233</v>
          </cell>
        </row>
        <row r="176">
          <cell r="Z176" t="str">
            <v>121234</v>
          </cell>
        </row>
        <row r="177">
          <cell r="Z177" t="str">
            <v>121239</v>
          </cell>
        </row>
        <row r="178">
          <cell r="Z178" t="str">
            <v>121240</v>
          </cell>
        </row>
        <row r="179">
          <cell r="Z179" t="str">
            <v>121241</v>
          </cell>
        </row>
        <row r="180">
          <cell r="Z180" t="str">
            <v>121242</v>
          </cell>
        </row>
        <row r="181">
          <cell r="Z181" t="str">
            <v>121243</v>
          </cell>
        </row>
        <row r="182">
          <cell r="Z182" t="str">
            <v>121244</v>
          </cell>
        </row>
        <row r="183">
          <cell r="Z183" t="str">
            <v>121249</v>
          </cell>
        </row>
        <row r="184">
          <cell r="Z184" t="str">
            <v>121250</v>
          </cell>
        </row>
        <row r="185">
          <cell r="Z185" t="str">
            <v>121251</v>
          </cell>
        </row>
        <row r="186">
          <cell r="Z186" t="str">
            <v>121252</v>
          </cell>
        </row>
        <row r="187">
          <cell r="Z187" t="str">
            <v>121253</v>
          </cell>
        </row>
        <row r="188">
          <cell r="Z188" t="str">
            <v>121254</v>
          </cell>
        </row>
        <row r="189">
          <cell r="Z189" t="str">
            <v>121259</v>
          </cell>
        </row>
        <row r="190">
          <cell r="Z190" t="str">
            <v>121260</v>
          </cell>
        </row>
        <row r="191">
          <cell r="Z191" t="str">
            <v>121261</v>
          </cell>
        </row>
        <row r="192">
          <cell r="Z192" t="str">
            <v>121262</v>
          </cell>
        </row>
        <row r="193">
          <cell r="Z193" t="str">
            <v>121263</v>
          </cell>
        </row>
        <row r="194">
          <cell r="Z194" t="str">
            <v>121264</v>
          </cell>
        </row>
        <row r="195">
          <cell r="Z195" t="str">
            <v>121269</v>
          </cell>
        </row>
        <row r="196">
          <cell r="Z196" t="str">
            <v>121270</v>
          </cell>
        </row>
        <row r="197">
          <cell r="Z197" t="str">
            <v>121271</v>
          </cell>
        </row>
        <row r="198">
          <cell r="Z198" t="str">
            <v>121272</v>
          </cell>
        </row>
        <row r="199">
          <cell r="Z199" t="str">
            <v>121273</v>
          </cell>
        </row>
        <row r="200">
          <cell r="Z200" t="str">
            <v>121274</v>
          </cell>
        </row>
        <row r="201">
          <cell r="Z201" t="str">
            <v>121279</v>
          </cell>
        </row>
        <row r="202">
          <cell r="Z202" t="str">
            <v>121300</v>
          </cell>
        </row>
        <row r="203">
          <cell r="Z203" t="str">
            <v>121310</v>
          </cell>
        </row>
        <row r="204">
          <cell r="Z204" t="str">
            <v>121311</v>
          </cell>
        </row>
        <row r="205">
          <cell r="Z205" t="str">
            <v>121312</v>
          </cell>
        </row>
        <row r="206">
          <cell r="Z206" t="str">
            <v>121313</v>
          </cell>
        </row>
        <row r="207">
          <cell r="Z207" t="str">
            <v>121314</v>
          </cell>
        </row>
        <row r="208">
          <cell r="Z208" t="str">
            <v>121319</v>
          </cell>
        </row>
        <row r="209">
          <cell r="Z209" t="str">
            <v>121320</v>
          </cell>
        </row>
        <row r="210">
          <cell r="Z210" t="str">
            <v>121321</v>
          </cell>
        </row>
        <row r="211">
          <cell r="Z211" t="str">
            <v>121322</v>
          </cell>
        </row>
        <row r="212">
          <cell r="Z212" t="str">
            <v>121323</v>
          </cell>
        </row>
        <row r="213">
          <cell r="Z213" t="str">
            <v>121324</v>
          </cell>
        </row>
        <row r="214">
          <cell r="Z214" t="str">
            <v>121329</v>
          </cell>
        </row>
        <row r="215">
          <cell r="Z215" t="str">
            <v>121330</v>
          </cell>
        </row>
        <row r="216">
          <cell r="Z216" t="str">
            <v>121331</v>
          </cell>
        </row>
        <row r="217">
          <cell r="Z217" t="str">
            <v>121332</v>
          </cell>
        </row>
        <row r="218">
          <cell r="Z218" t="str">
            <v>121333</v>
          </cell>
        </row>
        <row r="219">
          <cell r="Z219" t="str">
            <v>121334</v>
          </cell>
        </row>
        <row r="220">
          <cell r="Z220" t="str">
            <v>121339</v>
          </cell>
        </row>
        <row r="221">
          <cell r="Z221" t="str">
            <v>121340</v>
          </cell>
        </row>
        <row r="222">
          <cell r="Z222" t="str">
            <v>121341</v>
          </cell>
        </row>
        <row r="223">
          <cell r="Z223" t="str">
            <v>121342</v>
          </cell>
        </row>
        <row r="224">
          <cell r="Z224" t="str">
            <v>121343</v>
          </cell>
        </row>
        <row r="225">
          <cell r="Z225" t="str">
            <v>121344</v>
          </cell>
        </row>
        <row r="226">
          <cell r="Z226" t="str">
            <v>121349</v>
          </cell>
        </row>
        <row r="227">
          <cell r="Z227" t="str">
            <v>121350</v>
          </cell>
        </row>
        <row r="228">
          <cell r="Z228" t="str">
            <v>121351</v>
          </cell>
        </row>
        <row r="229">
          <cell r="Z229" t="str">
            <v>121352</v>
          </cell>
        </row>
        <row r="230">
          <cell r="Z230" t="str">
            <v>121353</v>
          </cell>
        </row>
        <row r="231">
          <cell r="Z231" t="str">
            <v>121354</v>
          </cell>
        </row>
        <row r="232">
          <cell r="Z232" t="str">
            <v>121359</v>
          </cell>
        </row>
        <row r="233">
          <cell r="Z233" t="str">
            <v>121360</v>
          </cell>
        </row>
        <row r="234">
          <cell r="Z234" t="str">
            <v>121361</v>
          </cell>
        </row>
        <row r="235">
          <cell r="Z235" t="str">
            <v>121362</v>
          </cell>
        </row>
        <row r="236">
          <cell r="Z236" t="str">
            <v>121363</v>
          </cell>
        </row>
        <row r="237">
          <cell r="Z237" t="str">
            <v>121364</v>
          </cell>
        </row>
        <row r="238">
          <cell r="Z238" t="str">
            <v>121369</v>
          </cell>
        </row>
        <row r="239">
          <cell r="Z239" t="str">
            <v>121370</v>
          </cell>
        </row>
        <row r="240">
          <cell r="Z240" t="str">
            <v>121371</v>
          </cell>
        </row>
        <row r="241">
          <cell r="Z241" t="str">
            <v>121372</v>
          </cell>
        </row>
        <row r="242">
          <cell r="Z242" t="str">
            <v>121373</v>
          </cell>
        </row>
        <row r="243">
          <cell r="Z243" t="str">
            <v>121374</v>
          </cell>
        </row>
        <row r="244">
          <cell r="Z244" t="str">
            <v>121379</v>
          </cell>
        </row>
        <row r="245">
          <cell r="Z245" t="str">
            <v>121400</v>
          </cell>
        </row>
        <row r="246">
          <cell r="Z246" t="str">
            <v>121410</v>
          </cell>
        </row>
        <row r="247">
          <cell r="Z247" t="str">
            <v>121411</v>
          </cell>
        </row>
        <row r="248">
          <cell r="Z248" t="str">
            <v>121412</v>
          </cell>
        </row>
        <row r="249">
          <cell r="Z249" t="str">
            <v>121413</v>
          </cell>
        </row>
        <row r="250">
          <cell r="Z250" t="str">
            <v>121414</v>
          </cell>
        </row>
        <row r="251">
          <cell r="Z251" t="str">
            <v>121419</v>
          </cell>
        </row>
        <row r="252">
          <cell r="Z252" t="str">
            <v>121420</v>
          </cell>
        </row>
        <row r="253">
          <cell r="Z253" t="str">
            <v>121421</v>
          </cell>
        </row>
        <row r="254">
          <cell r="Z254" t="str">
            <v>121422</v>
          </cell>
        </row>
        <row r="255">
          <cell r="Z255" t="str">
            <v>121423</v>
          </cell>
        </row>
        <row r="256">
          <cell r="Z256" t="str">
            <v>121424</v>
          </cell>
        </row>
        <row r="257">
          <cell r="Z257" t="str">
            <v>121429</v>
          </cell>
        </row>
        <row r="258">
          <cell r="Z258" t="str">
            <v>121430</v>
          </cell>
        </row>
        <row r="259">
          <cell r="Z259" t="str">
            <v>121431</v>
          </cell>
        </row>
        <row r="260">
          <cell r="Z260" t="str">
            <v>121432</v>
          </cell>
        </row>
        <row r="261">
          <cell r="Z261" t="str">
            <v>121433</v>
          </cell>
        </row>
        <row r="262">
          <cell r="Z262" t="str">
            <v>121434</v>
          </cell>
        </row>
        <row r="263">
          <cell r="Z263" t="str">
            <v>121439</v>
          </cell>
        </row>
        <row r="264">
          <cell r="Z264" t="str">
            <v>121440</v>
          </cell>
        </row>
        <row r="265">
          <cell r="Z265" t="str">
            <v>121441</v>
          </cell>
        </row>
        <row r="266">
          <cell r="Z266" t="str">
            <v>121442</v>
          </cell>
        </row>
        <row r="267">
          <cell r="Z267" t="str">
            <v>121443</v>
          </cell>
        </row>
        <row r="268">
          <cell r="Z268" t="str">
            <v>121444</v>
          </cell>
        </row>
        <row r="269">
          <cell r="Z269" t="str">
            <v>121449</v>
          </cell>
        </row>
        <row r="270">
          <cell r="Z270" t="str">
            <v>121450</v>
          </cell>
        </row>
        <row r="271">
          <cell r="Z271" t="str">
            <v>121451</v>
          </cell>
        </row>
        <row r="272">
          <cell r="Z272" t="str">
            <v>121452</v>
          </cell>
        </row>
        <row r="273">
          <cell r="Z273" t="str">
            <v>121453</v>
          </cell>
        </row>
        <row r="274">
          <cell r="Z274" t="str">
            <v>121454</v>
          </cell>
        </row>
        <row r="275">
          <cell r="Z275" t="str">
            <v>121459</v>
          </cell>
        </row>
        <row r="276">
          <cell r="Z276" t="str">
            <v>121460</v>
          </cell>
        </row>
        <row r="277">
          <cell r="Z277" t="str">
            <v>121461</v>
          </cell>
        </row>
        <row r="278">
          <cell r="Z278" t="str">
            <v>121462</v>
          </cell>
        </row>
        <row r="279">
          <cell r="Z279" t="str">
            <v>121463</v>
          </cell>
        </row>
        <row r="280">
          <cell r="Z280" t="str">
            <v>121464</v>
          </cell>
        </row>
        <row r="281">
          <cell r="Z281" t="str">
            <v>121469</v>
          </cell>
        </row>
        <row r="282">
          <cell r="Z282" t="str">
            <v>121470</v>
          </cell>
        </row>
        <row r="283">
          <cell r="Z283" t="str">
            <v>121471</v>
          </cell>
        </row>
        <row r="284">
          <cell r="Z284" t="str">
            <v>121472</v>
          </cell>
        </row>
        <row r="285">
          <cell r="Z285" t="str">
            <v>121473</v>
          </cell>
        </row>
        <row r="286">
          <cell r="Z286" t="str">
            <v>121474</v>
          </cell>
        </row>
        <row r="287">
          <cell r="Z287" t="str">
            <v>121479</v>
          </cell>
        </row>
        <row r="288">
          <cell r="Z288" t="str">
            <v>121500</v>
          </cell>
        </row>
        <row r="289">
          <cell r="Z289" t="str">
            <v>121510</v>
          </cell>
        </row>
        <row r="290">
          <cell r="Z290" t="str">
            <v>121511</v>
          </cell>
        </row>
        <row r="291">
          <cell r="Z291" t="str">
            <v>121512</v>
          </cell>
        </row>
        <row r="292">
          <cell r="Z292" t="str">
            <v>121513</v>
          </cell>
        </row>
        <row r="293">
          <cell r="Z293" t="str">
            <v>121514</v>
          </cell>
        </row>
        <row r="294">
          <cell r="Z294" t="str">
            <v>121519</v>
          </cell>
        </row>
        <row r="295">
          <cell r="Z295" t="str">
            <v>121520</v>
          </cell>
        </row>
        <row r="296">
          <cell r="Z296" t="str">
            <v>121521</v>
          </cell>
        </row>
        <row r="297">
          <cell r="Z297" t="str">
            <v>121522</v>
          </cell>
        </row>
        <row r="298">
          <cell r="Z298" t="str">
            <v>121523</v>
          </cell>
        </row>
        <row r="299">
          <cell r="Z299" t="str">
            <v>121524</v>
          </cell>
        </row>
        <row r="300">
          <cell r="Z300" t="str">
            <v>121529</v>
          </cell>
        </row>
        <row r="301">
          <cell r="Z301" t="str">
            <v>121530</v>
          </cell>
        </row>
        <row r="302">
          <cell r="Z302" t="str">
            <v>121531</v>
          </cell>
        </row>
        <row r="303">
          <cell r="Z303" t="str">
            <v>121532</v>
          </cell>
        </row>
        <row r="304">
          <cell r="Z304" t="str">
            <v>121533</v>
          </cell>
        </row>
        <row r="305">
          <cell r="Z305" t="str">
            <v>121534</v>
          </cell>
        </row>
        <row r="306">
          <cell r="Z306" t="str">
            <v>121539</v>
          </cell>
        </row>
        <row r="307">
          <cell r="Z307" t="str">
            <v>121600</v>
          </cell>
        </row>
        <row r="308">
          <cell r="Z308" t="str">
            <v>121610</v>
          </cell>
        </row>
        <row r="309">
          <cell r="Z309" t="str">
            <v>121611</v>
          </cell>
        </row>
        <row r="310">
          <cell r="Z310" t="str">
            <v>121612</v>
          </cell>
        </row>
        <row r="311">
          <cell r="Z311" t="str">
            <v>121613</v>
          </cell>
        </row>
        <row r="312">
          <cell r="Z312" t="str">
            <v>121614</v>
          </cell>
        </row>
        <row r="313">
          <cell r="Z313" t="str">
            <v>121619</v>
          </cell>
        </row>
        <row r="314">
          <cell r="Z314" t="str">
            <v>121620</v>
          </cell>
        </row>
        <row r="315">
          <cell r="Z315" t="str">
            <v>121621</v>
          </cell>
        </row>
        <row r="316">
          <cell r="Z316" t="str">
            <v>121622</v>
          </cell>
        </row>
        <row r="317">
          <cell r="Z317" t="str">
            <v>121623</v>
          </cell>
        </row>
        <row r="318">
          <cell r="Z318" t="str">
            <v>121624</v>
          </cell>
        </row>
        <row r="319">
          <cell r="Z319" t="str">
            <v>121629</v>
          </cell>
        </row>
        <row r="320">
          <cell r="Z320" t="str">
            <v>121630</v>
          </cell>
        </row>
        <row r="321">
          <cell r="Z321" t="str">
            <v>121631</v>
          </cell>
        </row>
        <row r="322">
          <cell r="Z322" t="str">
            <v>121632</v>
          </cell>
        </row>
        <row r="323">
          <cell r="Z323" t="str">
            <v>121633</v>
          </cell>
        </row>
        <row r="324">
          <cell r="Z324" t="str">
            <v>121634</v>
          </cell>
        </row>
        <row r="325">
          <cell r="Z325" t="str">
            <v>121639</v>
          </cell>
        </row>
        <row r="326">
          <cell r="Z326" t="str">
            <v>122000</v>
          </cell>
        </row>
        <row r="327">
          <cell r="Z327" t="str">
            <v>122100</v>
          </cell>
        </row>
        <row r="328">
          <cell r="Z328" t="str">
            <v>122110</v>
          </cell>
        </row>
        <row r="329">
          <cell r="Z329" t="str">
            <v>122111</v>
          </cell>
        </row>
        <row r="330">
          <cell r="Z330" t="str">
            <v>122112</v>
          </cell>
        </row>
        <row r="331">
          <cell r="Z331" t="str">
            <v>122113</v>
          </cell>
        </row>
        <row r="332">
          <cell r="Z332" t="str">
            <v>122114</v>
          </cell>
        </row>
        <row r="333">
          <cell r="Z333" t="str">
            <v>122119</v>
          </cell>
        </row>
        <row r="334">
          <cell r="Z334" t="str">
            <v>122120</v>
          </cell>
        </row>
        <row r="335">
          <cell r="Z335" t="str">
            <v>122121</v>
          </cell>
        </row>
        <row r="336">
          <cell r="Z336" t="str">
            <v>122122</v>
          </cell>
        </row>
        <row r="337">
          <cell r="Z337" t="str">
            <v>122123</v>
          </cell>
        </row>
        <row r="338">
          <cell r="Z338" t="str">
            <v>122124</v>
          </cell>
        </row>
        <row r="339">
          <cell r="Z339" t="str">
            <v>122129</v>
          </cell>
        </row>
        <row r="340">
          <cell r="Z340" t="str">
            <v>122130</v>
          </cell>
        </row>
        <row r="341">
          <cell r="Z341" t="str">
            <v>122131</v>
          </cell>
        </row>
        <row r="342">
          <cell r="Z342" t="str">
            <v>122132</v>
          </cell>
        </row>
        <row r="343">
          <cell r="Z343" t="str">
            <v>122133</v>
          </cell>
        </row>
        <row r="344">
          <cell r="Z344" t="str">
            <v>122134</v>
          </cell>
        </row>
        <row r="345">
          <cell r="Z345" t="str">
            <v>122139</v>
          </cell>
        </row>
        <row r="346">
          <cell r="Z346" t="str">
            <v>122140</v>
          </cell>
        </row>
        <row r="347">
          <cell r="Z347" t="str">
            <v>122141</v>
          </cell>
        </row>
        <row r="348">
          <cell r="Z348" t="str">
            <v>122142</v>
          </cell>
        </row>
        <row r="349">
          <cell r="Z349" t="str">
            <v>122143</v>
          </cell>
        </row>
        <row r="350">
          <cell r="Z350" t="str">
            <v>122144</v>
          </cell>
        </row>
        <row r="351">
          <cell r="Z351" t="str">
            <v>122149</v>
          </cell>
        </row>
        <row r="352">
          <cell r="Z352" t="str">
            <v>122150</v>
          </cell>
        </row>
        <row r="353">
          <cell r="Z353" t="str">
            <v>122151</v>
          </cell>
        </row>
        <row r="354">
          <cell r="Z354" t="str">
            <v>122152</v>
          </cell>
        </row>
        <row r="355">
          <cell r="Z355" t="str">
            <v>122153</v>
          </cell>
        </row>
        <row r="356">
          <cell r="Z356" t="str">
            <v>122154</v>
          </cell>
        </row>
        <row r="357">
          <cell r="Z357" t="str">
            <v>122159</v>
          </cell>
        </row>
        <row r="358">
          <cell r="Z358" t="str">
            <v>122160</v>
          </cell>
        </row>
        <row r="359">
          <cell r="Z359" t="str">
            <v>122161</v>
          </cell>
        </row>
        <row r="360">
          <cell r="Z360" t="str">
            <v>122162</v>
          </cell>
        </row>
        <row r="361">
          <cell r="Z361" t="str">
            <v>122163</v>
          </cell>
        </row>
        <row r="362">
          <cell r="Z362" t="str">
            <v>122164</v>
          </cell>
        </row>
        <row r="363">
          <cell r="Z363" t="str">
            <v>122169</v>
          </cell>
        </row>
        <row r="364">
          <cell r="Z364" t="str">
            <v>122170</v>
          </cell>
        </row>
        <row r="365">
          <cell r="Z365" t="str">
            <v>122171</v>
          </cell>
        </row>
        <row r="366">
          <cell r="Z366" t="str">
            <v>122172</v>
          </cell>
        </row>
        <row r="367">
          <cell r="Z367" t="str">
            <v>122173</v>
          </cell>
        </row>
        <row r="368">
          <cell r="Z368" t="str">
            <v>122174</v>
          </cell>
        </row>
        <row r="369">
          <cell r="Z369" t="str">
            <v>122179</v>
          </cell>
        </row>
        <row r="370">
          <cell r="Z370" t="str">
            <v>122200</v>
          </cell>
        </row>
        <row r="371">
          <cell r="Z371" t="str">
            <v>122210</v>
          </cell>
        </row>
        <row r="372">
          <cell r="Z372" t="str">
            <v>122211</v>
          </cell>
        </row>
        <row r="373">
          <cell r="Z373" t="str">
            <v>122212</v>
          </cell>
        </row>
        <row r="374">
          <cell r="Z374" t="str">
            <v>122213</v>
          </cell>
        </row>
        <row r="375">
          <cell r="Z375" t="str">
            <v>122214</v>
          </cell>
        </row>
        <row r="376">
          <cell r="Z376" t="str">
            <v>122219</v>
          </cell>
        </row>
        <row r="377">
          <cell r="Z377" t="str">
            <v>122220</v>
          </cell>
        </row>
        <row r="378">
          <cell r="Z378" t="str">
            <v>122221</v>
          </cell>
        </row>
        <row r="379">
          <cell r="Z379" t="str">
            <v>122222</v>
          </cell>
        </row>
        <row r="380">
          <cell r="Z380" t="str">
            <v>122223</v>
          </cell>
        </row>
        <row r="381">
          <cell r="Z381" t="str">
            <v>122224</v>
          </cell>
        </row>
        <row r="382">
          <cell r="Z382" t="str">
            <v>122229</v>
          </cell>
        </row>
        <row r="383">
          <cell r="Z383" t="str">
            <v>122230</v>
          </cell>
        </row>
        <row r="384">
          <cell r="Z384" t="str">
            <v>122231</v>
          </cell>
        </row>
        <row r="385">
          <cell r="Z385" t="str">
            <v>122232</v>
          </cell>
        </row>
        <row r="386">
          <cell r="Z386" t="str">
            <v>122233</v>
          </cell>
        </row>
        <row r="387">
          <cell r="Z387" t="str">
            <v>122234</v>
          </cell>
        </row>
        <row r="388">
          <cell r="Z388" t="str">
            <v>122239</v>
          </cell>
        </row>
        <row r="389">
          <cell r="Z389" t="str">
            <v>122240</v>
          </cell>
        </row>
        <row r="390">
          <cell r="Z390" t="str">
            <v>122241</v>
          </cell>
        </row>
        <row r="391">
          <cell r="Z391" t="str">
            <v>122242</v>
          </cell>
        </row>
        <row r="392">
          <cell r="Z392" t="str">
            <v>122243</v>
          </cell>
        </row>
        <row r="393">
          <cell r="Z393" t="str">
            <v>122244</v>
          </cell>
        </row>
        <row r="394">
          <cell r="Z394" t="str">
            <v>122249</v>
          </cell>
        </row>
        <row r="395">
          <cell r="Z395" t="str">
            <v>122250</v>
          </cell>
        </row>
        <row r="396">
          <cell r="Z396" t="str">
            <v>122251</v>
          </cell>
        </row>
        <row r="397">
          <cell r="Z397" t="str">
            <v>122252</v>
          </cell>
        </row>
        <row r="398">
          <cell r="Z398" t="str">
            <v>122253</v>
          </cell>
        </row>
        <row r="399">
          <cell r="Z399" t="str">
            <v>122254</v>
          </cell>
        </row>
        <row r="400">
          <cell r="Z400" t="str">
            <v>122259</v>
          </cell>
        </row>
        <row r="401">
          <cell r="Z401" t="str">
            <v>122260</v>
          </cell>
        </row>
        <row r="402">
          <cell r="Z402" t="str">
            <v>122261</v>
          </cell>
        </row>
        <row r="403">
          <cell r="Z403" t="str">
            <v>122262</v>
          </cell>
        </row>
        <row r="404">
          <cell r="Z404" t="str">
            <v>122263</v>
          </cell>
        </row>
        <row r="405">
          <cell r="Z405" t="str">
            <v>122264</v>
          </cell>
        </row>
        <row r="406">
          <cell r="Z406" t="str">
            <v>122269</v>
          </cell>
        </row>
        <row r="407">
          <cell r="Z407" t="str">
            <v>122270</v>
          </cell>
        </row>
        <row r="408">
          <cell r="Z408" t="str">
            <v>122271</v>
          </cell>
        </row>
        <row r="409">
          <cell r="Z409" t="str">
            <v>122272</v>
          </cell>
        </row>
        <row r="410">
          <cell r="Z410" t="str">
            <v>122273</v>
          </cell>
        </row>
        <row r="411">
          <cell r="Z411" t="str">
            <v>122274</v>
          </cell>
        </row>
        <row r="412">
          <cell r="Z412" t="str">
            <v>122279</v>
          </cell>
        </row>
        <row r="413">
          <cell r="Z413" t="str">
            <v>122300</v>
          </cell>
        </row>
        <row r="414">
          <cell r="Z414" t="str">
            <v>122310</v>
          </cell>
        </row>
        <row r="415">
          <cell r="Z415" t="str">
            <v>122311</v>
          </cell>
        </row>
        <row r="416">
          <cell r="Z416" t="str">
            <v>122312</v>
          </cell>
        </row>
        <row r="417">
          <cell r="Z417" t="str">
            <v>122313</v>
          </cell>
        </row>
        <row r="418">
          <cell r="Z418" t="str">
            <v>122314</v>
          </cell>
        </row>
        <row r="419">
          <cell r="Z419" t="str">
            <v>122319</v>
          </cell>
        </row>
        <row r="420">
          <cell r="Z420" t="str">
            <v>122320</v>
          </cell>
        </row>
        <row r="421">
          <cell r="Z421" t="str">
            <v>122321</v>
          </cell>
        </row>
        <row r="422">
          <cell r="Z422" t="str">
            <v>122322</v>
          </cell>
        </row>
        <row r="423">
          <cell r="Z423" t="str">
            <v>122323</v>
          </cell>
        </row>
        <row r="424">
          <cell r="Z424" t="str">
            <v>122324</v>
          </cell>
        </row>
        <row r="425">
          <cell r="Z425" t="str">
            <v>122329</v>
          </cell>
        </row>
        <row r="426">
          <cell r="Z426" t="str">
            <v>122330</v>
          </cell>
        </row>
        <row r="427">
          <cell r="Z427" t="str">
            <v>122331</v>
          </cell>
        </row>
        <row r="428">
          <cell r="Z428" t="str">
            <v>122332</v>
          </cell>
        </row>
        <row r="429">
          <cell r="Z429" t="str">
            <v>122333</v>
          </cell>
        </row>
        <row r="430">
          <cell r="Z430" t="str">
            <v>122334</v>
          </cell>
        </row>
        <row r="431">
          <cell r="Z431" t="str">
            <v>122339</v>
          </cell>
        </row>
        <row r="432">
          <cell r="Z432" t="str">
            <v>122340</v>
          </cell>
        </row>
        <row r="433">
          <cell r="Z433" t="str">
            <v>122341</v>
          </cell>
        </row>
        <row r="434">
          <cell r="Z434" t="str">
            <v>122342</v>
          </cell>
        </row>
        <row r="435">
          <cell r="Z435" t="str">
            <v>122343</v>
          </cell>
        </row>
        <row r="436">
          <cell r="Z436" t="str">
            <v>122344</v>
          </cell>
        </row>
        <row r="437">
          <cell r="Z437" t="str">
            <v>122349</v>
          </cell>
        </row>
        <row r="438">
          <cell r="Z438" t="str">
            <v>122350</v>
          </cell>
        </row>
        <row r="439">
          <cell r="Z439" t="str">
            <v>122351</v>
          </cell>
        </row>
        <row r="440">
          <cell r="Z440" t="str">
            <v>122352</v>
          </cell>
        </row>
        <row r="441">
          <cell r="Z441" t="str">
            <v>122353</v>
          </cell>
        </row>
        <row r="442">
          <cell r="Z442" t="str">
            <v>122354</v>
          </cell>
        </row>
        <row r="443">
          <cell r="Z443" t="str">
            <v>122359</v>
          </cell>
        </row>
        <row r="444">
          <cell r="Z444" t="str">
            <v>122360</v>
          </cell>
        </row>
        <row r="445">
          <cell r="Z445" t="str">
            <v>122361</v>
          </cell>
        </row>
        <row r="446">
          <cell r="Z446" t="str">
            <v>122362</v>
          </cell>
        </row>
        <row r="447">
          <cell r="Z447" t="str">
            <v>122363</v>
          </cell>
        </row>
        <row r="448">
          <cell r="Z448" t="str">
            <v>122364</v>
          </cell>
        </row>
        <row r="449">
          <cell r="Z449" t="str">
            <v>122369</v>
          </cell>
        </row>
        <row r="450">
          <cell r="Z450" t="str">
            <v>122370</v>
          </cell>
        </row>
        <row r="451">
          <cell r="Z451" t="str">
            <v>122371</v>
          </cell>
        </row>
        <row r="452">
          <cell r="Z452" t="str">
            <v>122372</v>
          </cell>
        </row>
        <row r="453">
          <cell r="Z453" t="str">
            <v>122373</v>
          </cell>
        </row>
        <row r="454">
          <cell r="Z454" t="str">
            <v>122374</v>
          </cell>
        </row>
        <row r="455">
          <cell r="Z455" t="str">
            <v>122379</v>
          </cell>
        </row>
        <row r="456">
          <cell r="Z456" t="str">
            <v>122400</v>
          </cell>
        </row>
        <row r="457">
          <cell r="Z457" t="str">
            <v>122410</v>
          </cell>
        </row>
        <row r="458">
          <cell r="Z458" t="str">
            <v>122411</v>
          </cell>
        </row>
        <row r="459">
          <cell r="Z459" t="str">
            <v>122412</v>
          </cell>
        </row>
        <row r="460">
          <cell r="Z460" t="str">
            <v>122413</v>
          </cell>
        </row>
        <row r="461">
          <cell r="Z461" t="str">
            <v>122414</v>
          </cell>
        </row>
        <row r="462">
          <cell r="Z462" t="str">
            <v>122419</v>
          </cell>
        </row>
        <row r="463">
          <cell r="Z463" t="str">
            <v>122420</v>
          </cell>
        </row>
        <row r="464">
          <cell r="Z464" t="str">
            <v>122421</v>
          </cell>
        </row>
        <row r="465">
          <cell r="Z465" t="str">
            <v>122422</v>
          </cell>
        </row>
        <row r="466">
          <cell r="Z466" t="str">
            <v>122423</v>
          </cell>
        </row>
        <row r="467">
          <cell r="Z467" t="str">
            <v>122424</v>
          </cell>
        </row>
        <row r="468">
          <cell r="Z468" t="str">
            <v>122429</v>
          </cell>
        </row>
        <row r="469">
          <cell r="Z469" t="str">
            <v>122430</v>
          </cell>
        </row>
        <row r="470">
          <cell r="Z470" t="str">
            <v>122431</v>
          </cell>
        </row>
        <row r="471">
          <cell r="Z471" t="str">
            <v>122432</v>
          </cell>
        </row>
        <row r="472">
          <cell r="Z472" t="str">
            <v>122433</v>
          </cell>
        </row>
        <row r="473">
          <cell r="Z473" t="str">
            <v>122434</v>
          </cell>
        </row>
        <row r="474">
          <cell r="Z474" t="str">
            <v>122439</v>
          </cell>
        </row>
        <row r="475">
          <cell r="Z475" t="str">
            <v>122440</v>
          </cell>
        </row>
        <row r="476">
          <cell r="Z476" t="str">
            <v>122441</v>
          </cell>
        </row>
        <row r="477">
          <cell r="Z477" t="str">
            <v>122442</v>
          </cell>
        </row>
        <row r="478">
          <cell r="Z478" t="str">
            <v>122443</v>
          </cell>
        </row>
        <row r="479">
          <cell r="Z479" t="str">
            <v>122444</v>
          </cell>
        </row>
        <row r="480">
          <cell r="Z480" t="str">
            <v>122445</v>
          </cell>
        </row>
        <row r="481">
          <cell r="Z481" t="str">
            <v>122450</v>
          </cell>
        </row>
        <row r="482">
          <cell r="Z482" t="str">
            <v>122451</v>
          </cell>
        </row>
        <row r="483">
          <cell r="Z483" t="str">
            <v>122452</v>
          </cell>
        </row>
        <row r="484">
          <cell r="Z484" t="str">
            <v>122453</v>
          </cell>
        </row>
        <row r="485">
          <cell r="Z485" t="str">
            <v>122454</v>
          </cell>
        </row>
        <row r="486">
          <cell r="Z486" t="str">
            <v>122459</v>
          </cell>
        </row>
        <row r="487">
          <cell r="Z487" t="str">
            <v>122460</v>
          </cell>
        </row>
        <row r="488">
          <cell r="Z488" t="str">
            <v>122461</v>
          </cell>
        </row>
        <row r="489">
          <cell r="Z489" t="str">
            <v>122462</v>
          </cell>
        </row>
        <row r="490">
          <cell r="Z490" t="str">
            <v>122463</v>
          </cell>
        </row>
        <row r="491">
          <cell r="Z491" t="str">
            <v>122464</v>
          </cell>
        </row>
        <row r="492">
          <cell r="Z492" t="str">
            <v>122469</v>
          </cell>
        </row>
        <row r="493">
          <cell r="Z493" t="str">
            <v>122470</v>
          </cell>
        </row>
        <row r="494">
          <cell r="Z494" t="str">
            <v>122471</v>
          </cell>
        </row>
        <row r="495">
          <cell r="Z495" t="str">
            <v>122472</v>
          </cell>
        </row>
        <row r="496">
          <cell r="Z496" t="str">
            <v>122473</v>
          </cell>
        </row>
        <row r="497">
          <cell r="Z497" t="str">
            <v>122474</v>
          </cell>
        </row>
        <row r="498">
          <cell r="Z498" t="str">
            <v>122479</v>
          </cell>
        </row>
        <row r="499">
          <cell r="Z499" t="str">
            <v>122500</v>
          </cell>
        </row>
        <row r="500">
          <cell r="Z500" t="str">
            <v>122510</v>
          </cell>
        </row>
        <row r="501">
          <cell r="Z501" t="str">
            <v>122511</v>
          </cell>
        </row>
        <row r="502">
          <cell r="Z502" t="str">
            <v>122512</v>
          </cell>
        </row>
        <row r="503">
          <cell r="Z503" t="str">
            <v>122513</v>
          </cell>
        </row>
        <row r="504">
          <cell r="Z504" t="str">
            <v>122514</v>
          </cell>
        </row>
        <row r="505">
          <cell r="Z505" t="str">
            <v>122519</v>
          </cell>
        </row>
        <row r="506">
          <cell r="Z506" t="str">
            <v>122520</v>
          </cell>
        </row>
        <row r="507">
          <cell r="Z507" t="str">
            <v>122521</v>
          </cell>
        </row>
        <row r="508">
          <cell r="Z508" t="str">
            <v>122522</v>
          </cell>
        </row>
        <row r="509">
          <cell r="Z509" t="str">
            <v>122523</v>
          </cell>
        </row>
        <row r="510">
          <cell r="Z510" t="str">
            <v>122524</v>
          </cell>
        </row>
        <row r="511">
          <cell r="Z511" t="str">
            <v>122529</v>
          </cell>
        </row>
        <row r="512">
          <cell r="Z512" t="str">
            <v>122530</v>
          </cell>
        </row>
        <row r="513">
          <cell r="Z513" t="str">
            <v>122531</v>
          </cell>
        </row>
        <row r="514">
          <cell r="Z514" t="str">
            <v>122532</v>
          </cell>
        </row>
        <row r="515">
          <cell r="Z515" t="str">
            <v>122533</v>
          </cell>
        </row>
        <row r="516">
          <cell r="Z516" t="str">
            <v>122534</v>
          </cell>
        </row>
        <row r="517">
          <cell r="Z517" t="str">
            <v>122539</v>
          </cell>
        </row>
        <row r="518">
          <cell r="Z518" t="str">
            <v>122600</v>
          </cell>
        </row>
        <row r="519">
          <cell r="Z519" t="str">
            <v>122610</v>
          </cell>
        </row>
        <row r="520">
          <cell r="Z520" t="str">
            <v>122611</v>
          </cell>
        </row>
        <row r="521">
          <cell r="Z521" t="str">
            <v>122612</v>
          </cell>
        </row>
        <row r="522">
          <cell r="Z522" t="str">
            <v>122613</v>
          </cell>
        </row>
        <row r="523">
          <cell r="Z523" t="str">
            <v>122614</v>
          </cell>
        </row>
        <row r="524">
          <cell r="Z524" t="str">
            <v>122619</v>
          </cell>
        </row>
        <row r="525">
          <cell r="Z525" t="str">
            <v>122620</v>
          </cell>
        </row>
        <row r="526">
          <cell r="Z526" t="str">
            <v>122621</v>
          </cell>
        </row>
        <row r="527">
          <cell r="Z527" t="str">
            <v>122622</v>
          </cell>
        </row>
        <row r="528">
          <cell r="Z528" t="str">
            <v>122623</v>
          </cell>
        </row>
        <row r="529">
          <cell r="Z529" t="str">
            <v>122624</v>
          </cell>
        </row>
        <row r="530">
          <cell r="Z530" t="str">
            <v>122629</v>
          </cell>
        </row>
        <row r="531">
          <cell r="Z531" t="str">
            <v>122630</v>
          </cell>
        </row>
        <row r="532">
          <cell r="Z532" t="str">
            <v>122631</v>
          </cell>
        </row>
        <row r="533">
          <cell r="Z533" t="str">
            <v>122632</v>
          </cell>
        </row>
        <row r="534">
          <cell r="Z534" t="str">
            <v>122633</v>
          </cell>
        </row>
        <row r="535">
          <cell r="Z535" t="str">
            <v>122634</v>
          </cell>
        </row>
        <row r="536">
          <cell r="Z536" t="str">
            <v>122639</v>
          </cell>
        </row>
        <row r="537">
          <cell r="Z537" t="str">
            <v>123000</v>
          </cell>
        </row>
        <row r="538">
          <cell r="Z538" t="str">
            <v>123100</v>
          </cell>
        </row>
        <row r="539">
          <cell r="Z539" t="str">
            <v>123110</v>
          </cell>
        </row>
        <row r="540">
          <cell r="Z540" t="str">
            <v>123111</v>
          </cell>
        </row>
        <row r="541">
          <cell r="Z541" t="str">
            <v>123112</v>
          </cell>
        </row>
        <row r="542">
          <cell r="Z542" t="str">
            <v>123113</v>
          </cell>
        </row>
        <row r="543">
          <cell r="Z543" t="str">
            <v>123114</v>
          </cell>
        </row>
        <row r="544">
          <cell r="Z544" t="str">
            <v>123119</v>
          </cell>
        </row>
        <row r="545">
          <cell r="Z545" t="str">
            <v>123120</v>
          </cell>
        </row>
        <row r="546">
          <cell r="Z546" t="str">
            <v>123121</v>
          </cell>
        </row>
        <row r="547">
          <cell r="Z547" t="str">
            <v>123122</v>
          </cell>
        </row>
        <row r="548">
          <cell r="Z548" t="str">
            <v>123123</v>
          </cell>
        </row>
        <row r="549">
          <cell r="Z549" t="str">
            <v>123124</v>
          </cell>
        </row>
        <row r="550">
          <cell r="Z550" t="str">
            <v>123129</v>
          </cell>
        </row>
        <row r="551">
          <cell r="Z551" t="str">
            <v>123130</v>
          </cell>
        </row>
        <row r="552">
          <cell r="Z552" t="str">
            <v>123131</v>
          </cell>
        </row>
        <row r="553">
          <cell r="Z553" t="str">
            <v>123132</v>
          </cell>
        </row>
        <row r="554">
          <cell r="Z554" t="str">
            <v>123133</v>
          </cell>
        </row>
        <row r="555">
          <cell r="Z555" t="str">
            <v>123134</v>
          </cell>
        </row>
        <row r="556">
          <cell r="Z556" t="str">
            <v>123139</v>
          </cell>
        </row>
        <row r="557">
          <cell r="Z557" t="str">
            <v>123140</v>
          </cell>
        </row>
        <row r="558">
          <cell r="Z558" t="str">
            <v>123141</v>
          </cell>
        </row>
        <row r="559">
          <cell r="Z559" t="str">
            <v>123142</v>
          </cell>
        </row>
        <row r="560">
          <cell r="Z560" t="str">
            <v>123143</v>
          </cell>
        </row>
        <row r="561">
          <cell r="Z561" t="str">
            <v>123144</v>
          </cell>
        </row>
        <row r="562">
          <cell r="Z562" t="str">
            <v>123149</v>
          </cell>
        </row>
        <row r="563">
          <cell r="Z563" t="str">
            <v>123150</v>
          </cell>
        </row>
        <row r="564">
          <cell r="Z564" t="str">
            <v>123151</v>
          </cell>
        </row>
        <row r="565">
          <cell r="Z565" t="str">
            <v>123152</v>
          </cell>
        </row>
        <row r="566">
          <cell r="Z566" t="str">
            <v>123153</v>
          </cell>
        </row>
        <row r="567">
          <cell r="Z567" t="str">
            <v>123154</v>
          </cell>
        </row>
        <row r="568">
          <cell r="Z568" t="str">
            <v>123159</v>
          </cell>
        </row>
        <row r="569">
          <cell r="Z569" t="str">
            <v>123160</v>
          </cell>
        </row>
        <row r="570">
          <cell r="Z570" t="str">
            <v>123161</v>
          </cell>
        </row>
        <row r="571">
          <cell r="Z571" t="str">
            <v>123162</v>
          </cell>
        </row>
        <row r="572">
          <cell r="Z572" t="str">
            <v>123163</v>
          </cell>
        </row>
        <row r="573">
          <cell r="Z573" t="str">
            <v>123164</v>
          </cell>
        </row>
        <row r="574">
          <cell r="Z574" t="str">
            <v>123169</v>
          </cell>
        </row>
        <row r="575">
          <cell r="Z575" t="str">
            <v>123170</v>
          </cell>
        </row>
        <row r="576">
          <cell r="Z576" t="str">
            <v>123171</v>
          </cell>
        </row>
        <row r="577">
          <cell r="Z577" t="str">
            <v>123172</v>
          </cell>
        </row>
        <row r="578">
          <cell r="Z578" t="str">
            <v>123173</v>
          </cell>
        </row>
        <row r="579">
          <cell r="Z579" t="str">
            <v>123174</v>
          </cell>
        </row>
        <row r="580">
          <cell r="Z580" t="str">
            <v>123179</v>
          </cell>
        </row>
        <row r="581">
          <cell r="Z581" t="str">
            <v>123200</v>
          </cell>
        </row>
        <row r="582">
          <cell r="Z582" t="str">
            <v>123210</v>
          </cell>
        </row>
        <row r="583">
          <cell r="Z583" t="str">
            <v>123211</v>
          </cell>
        </row>
        <row r="584">
          <cell r="Z584" t="str">
            <v>123212</v>
          </cell>
        </row>
        <row r="585">
          <cell r="Z585" t="str">
            <v>123213</v>
          </cell>
        </row>
        <row r="586">
          <cell r="Z586" t="str">
            <v>123214</v>
          </cell>
        </row>
        <row r="587">
          <cell r="Z587" t="str">
            <v>123219</v>
          </cell>
        </row>
        <row r="588">
          <cell r="Z588" t="str">
            <v>123220</v>
          </cell>
        </row>
        <row r="589">
          <cell r="Z589" t="str">
            <v>123221</v>
          </cell>
        </row>
        <row r="590">
          <cell r="Z590" t="str">
            <v>123222</v>
          </cell>
        </row>
        <row r="591">
          <cell r="Z591" t="str">
            <v>123223</v>
          </cell>
        </row>
        <row r="592">
          <cell r="Z592" t="str">
            <v>123224</v>
          </cell>
        </row>
        <row r="593">
          <cell r="Z593" t="str">
            <v>123229</v>
          </cell>
        </row>
        <row r="594">
          <cell r="Z594" t="str">
            <v>123230</v>
          </cell>
        </row>
        <row r="595">
          <cell r="Z595" t="str">
            <v>123231</v>
          </cell>
        </row>
        <row r="596">
          <cell r="Z596" t="str">
            <v>123232</v>
          </cell>
        </row>
        <row r="597">
          <cell r="Z597" t="str">
            <v>123233</v>
          </cell>
        </row>
        <row r="598">
          <cell r="Z598" t="str">
            <v>123234</v>
          </cell>
        </row>
        <row r="599">
          <cell r="Z599" t="str">
            <v>123239</v>
          </cell>
        </row>
        <row r="600">
          <cell r="Z600" t="str">
            <v>123240</v>
          </cell>
        </row>
        <row r="601">
          <cell r="Z601" t="str">
            <v>123241</v>
          </cell>
        </row>
        <row r="602">
          <cell r="Z602" t="str">
            <v>123242</v>
          </cell>
        </row>
        <row r="603">
          <cell r="Z603" t="str">
            <v>123243</v>
          </cell>
        </row>
        <row r="604">
          <cell r="Z604" t="str">
            <v>123244</v>
          </cell>
        </row>
        <row r="605">
          <cell r="Z605" t="str">
            <v>123249</v>
          </cell>
        </row>
        <row r="606">
          <cell r="Z606" t="str">
            <v>123250</v>
          </cell>
        </row>
        <row r="607">
          <cell r="Z607" t="str">
            <v>123251</v>
          </cell>
        </row>
        <row r="608">
          <cell r="Z608" t="str">
            <v>123252</v>
          </cell>
        </row>
        <row r="609">
          <cell r="Z609" t="str">
            <v>123253</v>
          </cell>
        </row>
        <row r="610">
          <cell r="Z610" t="str">
            <v>123254</v>
          </cell>
        </row>
        <row r="611">
          <cell r="Z611" t="str">
            <v>123259</v>
          </cell>
        </row>
        <row r="612">
          <cell r="Z612" t="str">
            <v>123260</v>
          </cell>
        </row>
        <row r="613">
          <cell r="Z613" t="str">
            <v>123261</v>
          </cell>
        </row>
        <row r="614">
          <cell r="Z614" t="str">
            <v>123262</v>
          </cell>
        </row>
        <row r="615">
          <cell r="Z615" t="str">
            <v>123263</v>
          </cell>
        </row>
        <row r="616">
          <cell r="Z616" t="str">
            <v>123264</v>
          </cell>
        </row>
        <row r="617">
          <cell r="Z617" t="str">
            <v>123269</v>
          </cell>
        </row>
        <row r="618">
          <cell r="Z618" t="str">
            <v>123270</v>
          </cell>
        </row>
        <row r="619">
          <cell r="Z619" t="str">
            <v>123271</v>
          </cell>
        </row>
        <row r="620">
          <cell r="Z620" t="str">
            <v>123272</v>
          </cell>
        </row>
        <row r="621">
          <cell r="Z621" t="str">
            <v>123273</v>
          </cell>
        </row>
        <row r="622">
          <cell r="Z622" t="str">
            <v>123274</v>
          </cell>
        </row>
        <row r="623">
          <cell r="Z623" t="str">
            <v>123279</v>
          </cell>
        </row>
        <row r="624">
          <cell r="Z624" t="str">
            <v>123300</v>
          </cell>
        </row>
        <row r="625">
          <cell r="Z625" t="str">
            <v>123310</v>
          </cell>
        </row>
        <row r="626">
          <cell r="Z626" t="str">
            <v>123311</v>
          </cell>
        </row>
        <row r="627">
          <cell r="Z627" t="str">
            <v>123312</v>
          </cell>
        </row>
        <row r="628">
          <cell r="Z628" t="str">
            <v>123313</v>
          </cell>
        </row>
        <row r="629">
          <cell r="Z629" t="str">
            <v>123314</v>
          </cell>
        </row>
        <row r="630">
          <cell r="Z630" t="str">
            <v>123319</v>
          </cell>
        </row>
        <row r="631">
          <cell r="Z631" t="str">
            <v>123320</v>
          </cell>
        </row>
        <row r="632">
          <cell r="Z632" t="str">
            <v>123321</v>
          </cell>
        </row>
        <row r="633">
          <cell r="Z633" t="str">
            <v>123322</v>
          </cell>
        </row>
        <row r="634">
          <cell r="Z634" t="str">
            <v>123323</v>
          </cell>
        </row>
        <row r="635">
          <cell r="Z635" t="str">
            <v>123324</v>
          </cell>
        </row>
        <row r="636">
          <cell r="Z636" t="str">
            <v>123329</v>
          </cell>
        </row>
        <row r="637">
          <cell r="Z637" t="str">
            <v>123330</v>
          </cell>
        </row>
        <row r="638">
          <cell r="Z638" t="str">
            <v>123331</v>
          </cell>
        </row>
        <row r="639">
          <cell r="Z639" t="str">
            <v>123332</v>
          </cell>
        </row>
        <row r="640">
          <cell r="Z640" t="str">
            <v>123333</v>
          </cell>
        </row>
        <row r="641">
          <cell r="Z641" t="str">
            <v>123334</v>
          </cell>
        </row>
        <row r="642">
          <cell r="Z642" t="str">
            <v>123339</v>
          </cell>
        </row>
        <row r="643">
          <cell r="Z643" t="str">
            <v>123340</v>
          </cell>
        </row>
        <row r="644">
          <cell r="Z644" t="str">
            <v>123341</v>
          </cell>
        </row>
        <row r="645">
          <cell r="Z645" t="str">
            <v>123342</v>
          </cell>
        </row>
        <row r="646">
          <cell r="Z646" t="str">
            <v>123343</v>
          </cell>
        </row>
        <row r="647">
          <cell r="Z647" t="str">
            <v>123344</v>
          </cell>
        </row>
        <row r="648">
          <cell r="Z648" t="str">
            <v>123349</v>
          </cell>
        </row>
        <row r="649">
          <cell r="Z649" t="str">
            <v>123350</v>
          </cell>
        </row>
        <row r="650">
          <cell r="Z650" t="str">
            <v>123351</v>
          </cell>
        </row>
        <row r="651">
          <cell r="Z651" t="str">
            <v>123352</v>
          </cell>
        </row>
        <row r="652">
          <cell r="Z652" t="str">
            <v>123353</v>
          </cell>
        </row>
        <row r="653">
          <cell r="Z653" t="str">
            <v>123354</v>
          </cell>
        </row>
        <row r="654">
          <cell r="Z654" t="str">
            <v>123359</v>
          </cell>
        </row>
        <row r="655">
          <cell r="Z655" t="str">
            <v>123360</v>
          </cell>
        </row>
        <row r="656">
          <cell r="Z656" t="str">
            <v>123361</v>
          </cell>
        </row>
        <row r="657">
          <cell r="Z657" t="str">
            <v>123362</v>
          </cell>
        </row>
        <row r="658">
          <cell r="Z658" t="str">
            <v>123363</v>
          </cell>
        </row>
        <row r="659">
          <cell r="Z659" t="str">
            <v>123364</v>
          </cell>
        </row>
        <row r="660">
          <cell r="Z660" t="str">
            <v>123369</v>
          </cell>
        </row>
        <row r="661">
          <cell r="Z661" t="str">
            <v>123370</v>
          </cell>
        </row>
        <row r="662">
          <cell r="Z662" t="str">
            <v>123371</v>
          </cell>
        </row>
        <row r="663">
          <cell r="Z663" t="str">
            <v>123372</v>
          </cell>
        </row>
        <row r="664">
          <cell r="Z664" t="str">
            <v>123373</v>
          </cell>
        </row>
        <row r="665">
          <cell r="Z665" t="str">
            <v>123374</v>
          </cell>
        </row>
        <row r="666">
          <cell r="Z666" t="str">
            <v>123379</v>
          </cell>
        </row>
        <row r="667">
          <cell r="Z667" t="str">
            <v>123400</v>
          </cell>
        </row>
        <row r="668">
          <cell r="Z668" t="str">
            <v>123410</v>
          </cell>
        </row>
        <row r="669">
          <cell r="Z669" t="str">
            <v>123411</v>
          </cell>
        </row>
        <row r="670">
          <cell r="Z670" t="str">
            <v>123412</v>
          </cell>
        </row>
        <row r="671">
          <cell r="Z671" t="str">
            <v>123413</v>
          </cell>
        </row>
        <row r="672">
          <cell r="Z672" t="str">
            <v>123414</v>
          </cell>
        </row>
        <row r="673">
          <cell r="Z673" t="str">
            <v>123419</v>
          </cell>
        </row>
        <row r="674">
          <cell r="Z674" t="str">
            <v>123420</v>
          </cell>
        </row>
        <row r="675">
          <cell r="Z675" t="str">
            <v>123421</v>
          </cell>
        </row>
        <row r="676">
          <cell r="Z676" t="str">
            <v>123422</v>
          </cell>
        </row>
        <row r="677">
          <cell r="Z677" t="str">
            <v>123423</v>
          </cell>
        </row>
        <row r="678">
          <cell r="Z678" t="str">
            <v>123424</v>
          </cell>
        </row>
        <row r="679">
          <cell r="Z679" t="str">
            <v>123429</v>
          </cell>
        </row>
        <row r="680">
          <cell r="Z680" t="str">
            <v>123430</v>
          </cell>
        </row>
        <row r="681">
          <cell r="Z681" t="str">
            <v>123431</v>
          </cell>
        </row>
        <row r="682">
          <cell r="Z682" t="str">
            <v>123432</v>
          </cell>
        </row>
        <row r="683">
          <cell r="Z683" t="str">
            <v>123433</v>
          </cell>
        </row>
        <row r="684">
          <cell r="Z684" t="str">
            <v>123434</v>
          </cell>
        </row>
        <row r="685">
          <cell r="Z685" t="str">
            <v>123439</v>
          </cell>
        </row>
        <row r="686">
          <cell r="Z686" t="str">
            <v>123440</v>
          </cell>
        </row>
        <row r="687">
          <cell r="Z687" t="str">
            <v>123441</v>
          </cell>
        </row>
        <row r="688">
          <cell r="Z688" t="str">
            <v>123442</v>
          </cell>
        </row>
        <row r="689">
          <cell r="Z689" t="str">
            <v>123443</v>
          </cell>
        </row>
        <row r="690">
          <cell r="Z690" t="str">
            <v>123444</v>
          </cell>
        </row>
        <row r="691">
          <cell r="Z691" t="str">
            <v>123445</v>
          </cell>
        </row>
        <row r="692">
          <cell r="Z692" t="str">
            <v>123450</v>
          </cell>
        </row>
        <row r="693">
          <cell r="Z693" t="str">
            <v>123451</v>
          </cell>
        </row>
        <row r="694">
          <cell r="Z694" t="str">
            <v>123452</v>
          </cell>
        </row>
        <row r="695">
          <cell r="Z695" t="str">
            <v>123453</v>
          </cell>
        </row>
        <row r="696">
          <cell r="Z696" t="str">
            <v>123454</v>
          </cell>
        </row>
        <row r="697">
          <cell r="Z697" t="str">
            <v>123459</v>
          </cell>
        </row>
        <row r="698">
          <cell r="Z698" t="str">
            <v>123460</v>
          </cell>
        </row>
        <row r="699">
          <cell r="Z699" t="str">
            <v>123461</v>
          </cell>
        </row>
        <row r="700">
          <cell r="Z700" t="str">
            <v>123462</v>
          </cell>
        </row>
        <row r="701">
          <cell r="Z701" t="str">
            <v>123463</v>
          </cell>
        </row>
        <row r="702">
          <cell r="Z702" t="str">
            <v>123464</v>
          </cell>
        </row>
        <row r="703">
          <cell r="Z703" t="str">
            <v>123469</v>
          </cell>
        </row>
        <row r="704">
          <cell r="Z704" t="str">
            <v>123470</v>
          </cell>
        </row>
        <row r="705">
          <cell r="Z705" t="str">
            <v>123471</v>
          </cell>
        </row>
        <row r="706">
          <cell r="Z706" t="str">
            <v>123472</v>
          </cell>
        </row>
        <row r="707">
          <cell r="Z707" t="str">
            <v>123473</v>
          </cell>
        </row>
        <row r="708">
          <cell r="Z708" t="str">
            <v>123474</v>
          </cell>
        </row>
        <row r="709">
          <cell r="Z709" t="str">
            <v>123479</v>
          </cell>
        </row>
        <row r="710">
          <cell r="Z710" t="str">
            <v>123500</v>
          </cell>
        </row>
        <row r="711">
          <cell r="Z711" t="str">
            <v>123510</v>
          </cell>
        </row>
        <row r="712">
          <cell r="Z712" t="str">
            <v>123511</v>
          </cell>
        </row>
        <row r="713">
          <cell r="Z713" t="str">
            <v>123512</v>
          </cell>
        </row>
        <row r="714">
          <cell r="Z714" t="str">
            <v>123513</v>
          </cell>
        </row>
        <row r="715">
          <cell r="Z715" t="str">
            <v>123514</v>
          </cell>
        </row>
        <row r="716">
          <cell r="Z716" t="str">
            <v>123519</v>
          </cell>
        </row>
        <row r="717">
          <cell r="Z717" t="str">
            <v>123520</v>
          </cell>
        </row>
        <row r="718">
          <cell r="Z718" t="str">
            <v>123521</v>
          </cell>
        </row>
        <row r="719">
          <cell r="Z719" t="str">
            <v>123522</v>
          </cell>
        </row>
        <row r="720">
          <cell r="Z720" t="str">
            <v>123523</v>
          </cell>
        </row>
        <row r="721">
          <cell r="Z721" t="str">
            <v>123524</v>
          </cell>
        </row>
        <row r="722">
          <cell r="Z722" t="str">
            <v>123529</v>
          </cell>
        </row>
        <row r="723">
          <cell r="Z723" t="str">
            <v>123530</v>
          </cell>
        </row>
        <row r="724">
          <cell r="Z724" t="str">
            <v>123531</v>
          </cell>
        </row>
        <row r="725">
          <cell r="Z725" t="str">
            <v>123532</v>
          </cell>
        </row>
        <row r="726">
          <cell r="Z726" t="str">
            <v>123533</v>
          </cell>
        </row>
        <row r="727">
          <cell r="Z727" t="str">
            <v>123534</v>
          </cell>
        </row>
        <row r="728">
          <cell r="Z728" t="str">
            <v>123539</v>
          </cell>
        </row>
        <row r="729">
          <cell r="Z729" t="str">
            <v>123600</v>
          </cell>
        </row>
        <row r="730">
          <cell r="Z730" t="str">
            <v>123610</v>
          </cell>
        </row>
        <row r="731">
          <cell r="Z731" t="str">
            <v>123611</v>
          </cell>
        </row>
        <row r="732">
          <cell r="Z732" t="str">
            <v>123612</v>
          </cell>
        </row>
        <row r="733">
          <cell r="Z733" t="str">
            <v>123613</v>
          </cell>
        </row>
        <row r="734">
          <cell r="Z734" t="str">
            <v>123614</v>
          </cell>
        </row>
        <row r="735">
          <cell r="Z735" t="str">
            <v>123619</v>
          </cell>
        </row>
        <row r="736">
          <cell r="Z736" t="str">
            <v>123620</v>
          </cell>
        </row>
        <row r="737">
          <cell r="Z737" t="str">
            <v>123621</v>
          </cell>
        </row>
        <row r="738">
          <cell r="Z738" t="str">
            <v>123622</v>
          </cell>
        </row>
        <row r="739">
          <cell r="Z739" t="str">
            <v>123623</v>
          </cell>
        </row>
        <row r="740">
          <cell r="Z740" t="str">
            <v>123624</v>
          </cell>
        </row>
        <row r="741">
          <cell r="Z741" t="str">
            <v>123629</v>
          </cell>
        </row>
        <row r="742">
          <cell r="Z742" t="str">
            <v>123630</v>
          </cell>
        </row>
        <row r="743">
          <cell r="Z743" t="str">
            <v>123631</v>
          </cell>
        </row>
        <row r="744">
          <cell r="Z744" t="str">
            <v>123632</v>
          </cell>
        </row>
        <row r="745">
          <cell r="Z745" t="str">
            <v>123633</v>
          </cell>
        </row>
        <row r="746">
          <cell r="Z746" t="str">
            <v>123634</v>
          </cell>
        </row>
        <row r="747">
          <cell r="Z747" t="str">
            <v>123639</v>
          </cell>
        </row>
        <row r="748">
          <cell r="Z748" t="str">
            <v>124000</v>
          </cell>
        </row>
        <row r="749">
          <cell r="Z749" t="str">
            <v>124100</v>
          </cell>
        </row>
        <row r="750">
          <cell r="Z750" t="str">
            <v>124110</v>
          </cell>
        </row>
        <row r="751">
          <cell r="Z751" t="str">
            <v>124111</v>
          </cell>
        </row>
        <row r="752">
          <cell r="Z752" t="str">
            <v>124112</v>
          </cell>
        </row>
        <row r="753">
          <cell r="Z753" t="str">
            <v>124113</v>
          </cell>
        </row>
        <row r="754">
          <cell r="Z754" t="str">
            <v>124114</v>
          </cell>
        </row>
        <row r="755">
          <cell r="Z755" t="str">
            <v>124119</v>
          </cell>
        </row>
        <row r="756">
          <cell r="Z756" t="str">
            <v>124120</v>
          </cell>
        </row>
        <row r="757">
          <cell r="Z757" t="str">
            <v>124121</v>
          </cell>
        </row>
        <row r="758">
          <cell r="Z758" t="str">
            <v>124122</v>
          </cell>
        </row>
        <row r="759">
          <cell r="Z759" t="str">
            <v>124123</v>
          </cell>
        </row>
        <row r="760">
          <cell r="Z760" t="str">
            <v>124124</v>
          </cell>
        </row>
        <row r="761">
          <cell r="Z761" t="str">
            <v>124129</v>
          </cell>
        </row>
        <row r="762">
          <cell r="Z762" t="str">
            <v>124130</v>
          </cell>
        </row>
        <row r="763">
          <cell r="Z763" t="str">
            <v>124131</v>
          </cell>
        </row>
        <row r="764">
          <cell r="Z764" t="str">
            <v>124132</v>
          </cell>
        </row>
        <row r="765">
          <cell r="Z765" t="str">
            <v>124133</v>
          </cell>
        </row>
        <row r="766">
          <cell r="Z766" t="str">
            <v>124134</v>
          </cell>
        </row>
        <row r="767">
          <cell r="Z767" t="str">
            <v>124139</v>
          </cell>
        </row>
        <row r="768">
          <cell r="Z768" t="str">
            <v>124140</v>
          </cell>
        </row>
        <row r="769">
          <cell r="Z769" t="str">
            <v>124141</v>
          </cell>
        </row>
        <row r="770">
          <cell r="Z770" t="str">
            <v>124142</v>
          </cell>
        </row>
        <row r="771">
          <cell r="Z771" t="str">
            <v>124143</v>
          </cell>
        </row>
        <row r="772">
          <cell r="Z772" t="str">
            <v>124144</v>
          </cell>
        </row>
        <row r="773">
          <cell r="Z773" t="str">
            <v>124149</v>
          </cell>
        </row>
        <row r="774">
          <cell r="Z774" t="str">
            <v>124150</v>
          </cell>
        </row>
        <row r="775">
          <cell r="Z775" t="str">
            <v>124151</v>
          </cell>
        </row>
        <row r="776">
          <cell r="Z776" t="str">
            <v>124152</v>
          </cell>
        </row>
        <row r="777">
          <cell r="Z777" t="str">
            <v>124153</v>
          </cell>
        </row>
        <row r="778">
          <cell r="Z778" t="str">
            <v>124154</v>
          </cell>
        </row>
        <row r="779">
          <cell r="Z779" t="str">
            <v>124159</v>
          </cell>
        </row>
        <row r="780">
          <cell r="Z780" t="str">
            <v>124160</v>
          </cell>
        </row>
        <row r="781">
          <cell r="Z781" t="str">
            <v>124161</v>
          </cell>
        </row>
        <row r="782">
          <cell r="Z782" t="str">
            <v>124162</v>
          </cell>
        </row>
        <row r="783">
          <cell r="Z783" t="str">
            <v>124163</v>
          </cell>
        </row>
        <row r="784">
          <cell r="Z784" t="str">
            <v>124164</v>
          </cell>
        </row>
        <row r="785">
          <cell r="Z785" t="str">
            <v>124169</v>
          </cell>
        </row>
        <row r="786">
          <cell r="Z786" t="str">
            <v>124170</v>
          </cell>
        </row>
        <row r="787">
          <cell r="Z787" t="str">
            <v>124171</v>
          </cell>
        </row>
        <row r="788">
          <cell r="Z788" t="str">
            <v>124172</v>
          </cell>
        </row>
        <row r="789">
          <cell r="Z789" t="str">
            <v>124173</v>
          </cell>
        </row>
        <row r="790">
          <cell r="Z790" t="str">
            <v>124174</v>
          </cell>
        </row>
        <row r="791">
          <cell r="Z791" t="str">
            <v>124179</v>
          </cell>
        </row>
        <row r="792">
          <cell r="Z792" t="str">
            <v>124200</v>
          </cell>
        </row>
        <row r="793">
          <cell r="Z793" t="str">
            <v>124210</v>
          </cell>
        </row>
        <row r="794">
          <cell r="Z794" t="str">
            <v>124211</v>
          </cell>
        </row>
        <row r="795">
          <cell r="Z795" t="str">
            <v>124212</v>
          </cell>
        </row>
        <row r="796">
          <cell r="Z796" t="str">
            <v>124213</v>
          </cell>
        </row>
        <row r="797">
          <cell r="Z797" t="str">
            <v>124214</v>
          </cell>
        </row>
        <row r="798">
          <cell r="Z798" t="str">
            <v>124219</v>
          </cell>
        </row>
        <row r="799">
          <cell r="Z799" t="str">
            <v>124220</v>
          </cell>
        </row>
        <row r="800">
          <cell r="Z800" t="str">
            <v>124221</v>
          </cell>
        </row>
        <row r="801">
          <cell r="Z801" t="str">
            <v>124222</v>
          </cell>
        </row>
        <row r="802">
          <cell r="Z802" t="str">
            <v>124223</v>
          </cell>
        </row>
        <row r="803">
          <cell r="Z803" t="str">
            <v>124224</v>
          </cell>
        </row>
        <row r="804">
          <cell r="Z804" t="str">
            <v>124229</v>
          </cell>
        </row>
        <row r="805">
          <cell r="Z805" t="str">
            <v>124230</v>
          </cell>
        </row>
        <row r="806">
          <cell r="Z806" t="str">
            <v>124231</v>
          </cell>
        </row>
        <row r="807">
          <cell r="Z807" t="str">
            <v>124232</v>
          </cell>
        </row>
        <row r="808">
          <cell r="Z808" t="str">
            <v>124233</v>
          </cell>
        </row>
        <row r="809">
          <cell r="Z809" t="str">
            <v>124234</v>
          </cell>
        </row>
        <row r="810">
          <cell r="Z810" t="str">
            <v>124239</v>
          </cell>
        </row>
        <row r="811">
          <cell r="Z811" t="str">
            <v>124240</v>
          </cell>
        </row>
        <row r="812">
          <cell r="Z812" t="str">
            <v>124241</v>
          </cell>
        </row>
        <row r="813">
          <cell r="Z813" t="str">
            <v>124242</v>
          </cell>
        </row>
        <row r="814">
          <cell r="Z814" t="str">
            <v>124243</v>
          </cell>
        </row>
        <row r="815">
          <cell r="Z815" t="str">
            <v>124244</v>
          </cell>
        </row>
        <row r="816">
          <cell r="Z816" t="str">
            <v>124249</v>
          </cell>
        </row>
        <row r="817">
          <cell r="Z817" t="str">
            <v>124250</v>
          </cell>
        </row>
        <row r="818">
          <cell r="Z818" t="str">
            <v>124251</v>
          </cell>
        </row>
        <row r="819">
          <cell r="Z819" t="str">
            <v>124252</v>
          </cell>
        </row>
        <row r="820">
          <cell r="Z820" t="str">
            <v>124253</v>
          </cell>
        </row>
        <row r="821">
          <cell r="Z821" t="str">
            <v>124254</v>
          </cell>
        </row>
        <row r="822">
          <cell r="Z822" t="str">
            <v>124259</v>
          </cell>
        </row>
        <row r="823">
          <cell r="Z823" t="str">
            <v>124260</v>
          </cell>
        </row>
        <row r="824">
          <cell r="Z824" t="str">
            <v>124261</v>
          </cell>
        </row>
        <row r="825">
          <cell r="Z825" t="str">
            <v>124262</v>
          </cell>
        </row>
        <row r="826">
          <cell r="Z826" t="str">
            <v>124263</v>
          </cell>
        </row>
        <row r="827">
          <cell r="Z827" t="str">
            <v>124264</v>
          </cell>
        </row>
        <row r="828">
          <cell r="Z828" t="str">
            <v>124269</v>
          </cell>
        </row>
        <row r="829">
          <cell r="Z829" t="str">
            <v>124270</v>
          </cell>
        </row>
        <row r="830">
          <cell r="Z830" t="str">
            <v>124271</v>
          </cell>
        </row>
        <row r="831">
          <cell r="Z831" t="str">
            <v>124272</v>
          </cell>
        </row>
        <row r="832">
          <cell r="Z832" t="str">
            <v>124273</v>
          </cell>
        </row>
        <row r="833">
          <cell r="Z833" t="str">
            <v>124274</v>
          </cell>
        </row>
        <row r="834">
          <cell r="Z834" t="str">
            <v>124279</v>
          </cell>
        </row>
        <row r="835">
          <cell r="Z835" t="str">
            <v>124300</v>
          </cell>
        </row>
        <row r="836">
          <cell r="Z836" t="str">
            <v>124310</v>
          </cell>
        </row>
        <row r="837">
          <cell r="Z837" t="str">
            <v>124311</v>
          </cell>
        </row>
        <row r="838">
          <cell r="Z838" t="str">
            <v>124312</v>
          </cell>
        </row>
        <row r="839">
          <cell r="Z839" t="str">
            <v>124313</v>
          </cell>
        </row>
        <row r="840">
          <cell r="Z840" t="str">
            <v>124314</v>
          </cell>
        </row>
        <row r="841">
          <cell r="Z841" t="str">
            <v>124319</v>
          </cell>
        </row>
        <row r="842">
          <cell r="Z842" t="str">
            <v>124320</v>
          </cell>
        </row>
        <row r="843">
          <cell r="Z843" t="str">
            <v>124321</v>
          </cell>
        </row>
        <row r="844">
          <cell r="Z844" t="str">
            <v>124322</v>
          </cell>
        </row>
        <row r="845">
          <cell r="Z845" t="str">
            <v>124323</v>
          </cell>
        </row>
        <row r="846">
          <cell r="Z846" t="str">
            <v>124324</v>
          </cell>
        </row>
        <row r="847">
          <cell r="Z847" t="str">
            <v>124329</v>
          </cell>
        </row>
        <row r="848">
          <cell r="Z848" t="str">
            <v>124330</v>
          </cell>
        </row>
        <row r="849">
          <cell r="Z849" t="str">
            <v>124331</v>
          </cell>
        </row>
        <row r="850">
          <cell r="Z850" t="str">
            <v>124332</v>
          </cell>
        </row>
        <row r="851">
          <cell r="Z851" t="str">
            <v>124333</v>
          </cell>
        </row>
        <row r="852">
          <cell r="Z852" t="str">
            <v>124334</v>
          </cell>
        </row>
        <row r="853">
          <cell r="Z853" t="str">
            <v>124339</v>
          </cell>
        </row>
        <row r="854">
          <cell r="Z854" t="str">
            <v>124340</v>
          </cell>
        </row>
        <row r="855">
          <cell r="Z855" t="str">
            <v>124341</v>
          </cell>
        </row>
        <row r="856">
          <cell r="Z856" t="str">
            <v>124342</v>
          </cell>
        </row>
        <row r="857">
          <cell r="Z857" t="str">
            <v>124343</v>
          </cell>
        </row>
        <row r="858">
          <cell r="Z858" t="str">
            <v>124344</v>
          </cell>
        </row>
        <row r="859">
          <cell r="Z859" t="str">
            <v>124349</v>
          </cell>
        </row>
        <row r="860">
          <cell r="Z860" t="str">
            <v>124350</v>
          </cell>
        </row>
        <row r="861">
          <cell r="Z861" t="str">
            <v>124351</v>
          </cell>
        </row>
        <row r="862">
          <cell r="Z862" t="str">
            <v>124352</v>
          </cell>
        </row>
        <row r="863">
          <cell r="Z863" t="str">
            <v>124353</v>
          </cell>
        </row>
        <row r="864">
          <cell r="Z864" t="str">
            <v>124354</v>
          </cell>
        </row>
        <row r="865">
          <cell r="Z865" t="str">
            <v>124359</v>
          </cell>
        </row>
        <row r="866">
          <cell r="Z866" t="str">
            <v>124360</v>
          </cell>
        </row>
        <row r="867">
          <cell r="Z867" t="str">
            <v>124361</v>
          </cell>
        </row>
        <row r="868">
          <cell r="Z868" t="str">
            <v>124362</v>
          </cell>
        </row>
        <row r="869">
          <cell r="Z869" t="str">
            <v>124363</v>
          </cell>
        </row>
        <row r="870">
          <cell r="Z870" t="str">
            <v>124364</v>
          </cell>
        </row>
        <row r="871">
          <cell r="Z871" t="str">
            <v>124369</v>
          </cell>
        </row>
        <row r="872">
          <cell r="Z872" t="str">
            <v>124370</v>
          </cell>
        </row>
        <row r="873">
          <cell r="Z873" t="str">
            <v>124371</v>
          </cell>
        </row>
        <row r="874">
          <cell r="Z874" t="str">
            <v>124372</v>
          </cell>
        </row>
        <row r="875">
          <cell r="Z875" t="str">
            <v>124373</v>
          </cell>
        </row>
        <row r="876">
          <cell r="Z876" t="str">
            <v>124374</v>
          </cell>
        </row>
        <row r="877">
          <cell r="Z877" t="str">
            <v>124379</v>
          </cell>
        </row>
        <row r="878">
          <cell r="Z878" t="str">
            <v>124400</v>
          </cell>
        </row>
        <row r="879">
          <cell r="Z879" t="str">
            <v>124410</v>
          </cell>
        </row>
        <row r="880">
          <cell r="Z880" t="str">
            <v>124411</v>
          </cell>
        </row>
        <row r="881">
          <cell r="Z881" t="str">
            <v>124412</v>
          </cell>
        </row>
        <row r="882">
          <cell r="Z882" t="str">
            <v>124413</v>
          </cell>
        </row>
        <row r="883">
          <cell r="Z883" t="str">
            <v>124414</v>
          </cell>
        </row>
        <row r="884">
          <cell r="Z884" t="str">
            <v>124419</v>
          </cell>
        </row>
        <row r="885">
          <cell r="Z885" t="str">
            <v>124420</v>
          </cell>
        </row>
        <row r="886">
          <cell r="Z886" t="str">
            <v>124421</v>
          </cell>
        </row>
        <row r="887">
          <cell r="Z887" t="str">
            <v>124422</v>
          </cell>
        </row>
        <row r="888">
          <cell r="Z888" t="str">
            <v>124423</v>
          </cell>
        </row>
        <row r="889">
          <cell r="Z889" t="str">
            <v>124424</v>
          </cell>
        </row>
        <row r="890">
          <cell r="Z890" t="str">
            <v>124429</v>
          </cell>
        </row>
        <row r="891">
          <cell r="Z891" t="str">
            <v>124430</v>
          </cell>
        </row>
        <row r="892">
          <cell r="Z892" t="str">
            <v>124431</v>
          </cell>
        </row>
        <row r="893">
          <cell r="Z893" t="str">
            <v>124432</v>
          </cell>
        </row>
        <row r="894">
          <cell r="Z894" t="str">
            <v>124433</v>
          </cell>
        </row>
        <row r="895">
          <cell r="Z895" t="str">
            <v>124434</v>
          </cell>
        </row>
        <row r="896">
          <cell r="Z896" t="str">
            <v>124439</v>
          </cell>
        </row>
        <row r="897">
          <cell r="Z897" t="str">
            <v>124440</v>
          </cell>
        </row>
        <row r="898">
          <cell r="Z898" t="str">
            <v>124441</v>
          </cell>
        </row>
        <row r="899">
          <cell r="Z899" t="str">
            <v>124442</v>
          </cell>
        </row>
        <row r="900">
          <cell r="Z900" t="str">
            <v>124443</v>
          </cell>
        </row>
        <row r="901">
          <cell r="Z901" t="str">
            <v>124444</v>
          </cell>
        </row>
        <row r="902">
          <cell r="Z902" t="str">
            <v>124449</v>
          </cell>
        </row>
        <row r="903">
          <cell r="Z903" t="str">
            <v>124450</v>
          </cell>
        </row>
        <row r="904">
          <cell r="Z904" t="str">
            <v>124451</v>
          </cell>
        </row>
        <row r="905">
          <cell r="Z905" t="str">
            <v>124452</v>
          </cell>
        </row>
        <row r="906">
          <cell r="Z906" t="str">
            <v>124453</v>
          </cell>
        </row>
        <row r="907">
          <cell r="Z907" t="str">
            <v>124454</v>
          </cell>
        </row>
        <row r="908">
          <cell r="Z908" t="str">
            <v>124459</v>
          </cell>
        </row>
        <row r="909">
          <cell r="Z909" t="str">
            <v>124460</v>
          </cell>
        </row>
        <row r="910">
          <cell r="Z910" t="str">
            <v>124461</v>
          </cell>
        </row>
        <row r="911">
          <cell r="Z911" t="str">
            <v>124462</v>
          </cell>
        </row>
        <row r="912">
          <cell r="Z912" t="str">
            <v>124463</v>
          </cell>
        </row>
        <row r="913">
          <cell r="Z913" t="str">
            <v>124464</v>
          </cell>
        </row>
        <row r="914">
          <cell r="Z914" t="str">
            <v>124469</v>
          </cell>
        </row>
        <row r="915">
          <cell r="Z915" t="str">
            <v>124470</v>
          </cell>
        </row>
        <row r="916">
          <cell r="Z916" t="str">
            <v>124471</v>
          </cell>
        </row>
        <row r="917">
          <cell r="Z917" t="str">
            <v>124472</v>
          </cell>
        </row>
        <row r="918">
          <cell r="Z918" t="str">
            <v>124473</v>
          </cell>
        </row>
        <row r="919">
          <cell r="Z919" t="str">
            <v>124474</v>
          </cell>
        </row>
        <row r="920">
          <cell r="Z920" t="str">
            <v>124479</v>
          </cell>
        </row>
        <row r="921">
          <cell r="Z921" t="str">
            <v>124500</v>
          </cell>
        </row>
        <row r="922">
          <cell r="Z922" t="str">
            <v>124510</v>
          </cell>
        </row>
        <row r="923">
          <cell r="Z923" t="str">
            <v>124511</v>
          </cell>
        </row>
        <row r="924">
          <cell r="Z924" t="str">
            <v>124512</v>
          </cell>
        </row>
        <row r="925">
          <cell r="Z925" t="str">
            <v>124513</v>
          </cell>
        </row>
        <row r="926">
          <cell r="Z926" t="str">
            <v>124514</v>
          </cell>
        </row>
        <row r="927">
          <cell r="Z927" t="str">
            <v>124519</v>
          </cell>
        </row>
        <row r="928">
          <cell r="Z928" t="str">
            <v>124520</v>
          </cell>
        </row>
        <row r="929">
          <cell r="Z929" t="str">
            <v>124521</v>
          </cell>
        </row>
        <row r="930">
          <cell r="Z930" t="str">
            <v>124522</v>
          </cell>
        </row>
        <row r="931">
          <cell r="Z931" t="str">
            <v>124523</v>
          </cell>
        </row>
        <row r="932">
          <cell r="Z932" t="str">
            <v>124524</v>
          </cell>
        </row>
        <row r="933">
          <cell r="Z933" t="str">
            <v>124529</v>
          </cell>
        </row>
        <row r="934">
          <cell r="Z934" t="str">
            <v>124530</v>
          </cell>
        </row>
        <row r="935">
          <cell r="Z935" t="str">
            <v>124531</v>
          </cell>
        </row>
        <row r="936">
          <cell r="Z936" t="str">
            <v>124532</v>
          </cell>
        </row>
        <row r="937">
          <cell r="Z937" t="str">
            <v>124533</v>
          </cell>
        </row>
        <row r="938">
          <cell r="Z938" t="str">
            <v>124534</v>
          </cell>
        </row>
        <row r="939">
          <cell r="Z939" t="str">
            <v>124539</v>
          </cell>
        </row>
        <row r="940">
          <cell r="Z940" t="str">
            <v>124600</v>
          </cell>
        </row>
        <row r="941">
          <cell r="Z941" t="str">
            <v>124610</v>
          </cell>
        </row>
        <row r="942">
          <cell r="Z942" t="str">
            <v>124611</v>
          </cell>
        </row>
        <row r="943">
          <cell r="Z943" t="str">
            <v>124612</v>
          </cell>
        </row>
        <row r="944">
          <cell r="Z944" t="str">
            <v>124613</v>
          </cell>
        </row>
        <row r="945">
          <cell r="Z945" t="str">
            <v>124614</v>
          </cell>
        </row>
        <row r="946">
          <cell r="Z946" t="str">
            <v>124619</v>
          </cell>
        </row>
        <row r="947">
          <cell r="Z947" t="str">
            <v>124620</v>
          </cell>
        </row>
        <row r="948">
          <cell r="Z948" t="str">
            <v>124621</v>
          </cell>
        </row>
        <row r="949">
          <cell r="Z949" t="str">
            <v>124622</v>
          </cell>
        </row>
        <row r="950">
          <cell r="Z950" t="str">
            <v>124623</v>
          </cell>
        </row>
        <row r="951">
          <cell r="Z951" t="str">
            <v>124624</v>
          </cell>
        </row>
        <row r="952">
          <cell r="Z952" t="str">
            <v>124629</v>
          </cell>
        </row>
        <row r="953">
          <cell r="Z953" t="str">
            <v>124630</v>
          </cell>
        </row>
        <row r="954">
          <cell r="Z954" t="str">
            <v>124631</v>
          </cell>
        </row>
        <row r="955">
          <cell r="Z955" t="str">
            <v>124632</v>
          </cell>
        </row>
        <row r="956">
          <cell r="Z956" t="str">
            <v>124633</v>
          </cell>
        </row>
        <row r="957">
          <cell r="Z957" t="str">
            <v>124634</v>
          </cell>
        </row>
        <row r="958">
          <cell r="Z958" t="str">
            <v>124639</v>
          </cell>
        </row>
        <row r="959">
          <cell r="Z959" t="str">
            <v>125000</v>
          </cell>
        </row>
        <row r="960">
          <cell r="Z960" t="str">
            <v>125100</v>
          </cell>
        </row>
        <row r="961">
          <cell r="Z961" t="str">
            <v>125101</v>
          </cell>
        </row>
        <row r="962">
          <cell r="Z962" t="str">
            <v>125102</v>
          </cell>
        </row>
        <row r="963">
          <cell r="Z963" t="str">
            <v>125103</v>
          </cell>
        </row>
        <row r="964">
          <cell r="Z964" t="str">
            <v>125104</v>
          </cell>
        </row>
        <row r="965">
          <cell r="Z965" t="str">
            <v>125109</v>
          </cell>
        </row>
        <row r="966">
          <cell r="Z966" t="str">
            <v>125200</v>
          </cell>
        </row>
        <row r="967">
          <cell r="Z967" t="str">
            <v>125201</v>
          </cell>
        </row>
        <row r="968">
          <cell r="Z968" t="str">
            <v>125202</v>
          </cell>
        </row>
        <row r="969">
          <cell r="Z969" t="str">
            <v>125203</v>
          </cell>
        </row>
        <row r="970">
          <cell r="Z970" t="str">
            <v>125204</v>
          </cell>
        </row>
        <row r="971">
          <cell r="Z971" t="str">
            <v>125209</v>
          </cell>
        </row>
        <row r="972">
          <cell r="Z972" t="str">
            <v>126000</v>
          </cell>
        </row>
        <row r="973">
          <cell r="Z973" t="str">
            <v>126100</v>
          </cell>
        </row>
        <row r="974">
          <cell r="Z974" t="str">
            <v>126101</v>
          </cell>
        </row>
        <row r="975">
          <cell r="Z975" t="str">
            <v>126102</v>
          </cell>
        </row>
        <row r="976">
          <cell r="Z976" t="str">
            <v>126103</v>
          </cell>
        </row>
        <row r="977">
          <cell r="Z977" t="str">
            <v>126104</v>
          </cell>
        </row>
        <row r="978">
          <cell r="Z978" t="str">
            <v>126109</v>
          </cell>
        </row>
        <row r="979">
          <cell r="Z979" t="str">
            <v>126200</v>
          </cell>
        </row>
        <row r="980">
          <cell r="Z980" t="str">
            <v>126201</v>
          </cell>
        </row>
        <row r="981">
          <cell r="Z981" t="str">
            <v>126202</v>
          </cell>
        </row>
        <row r="982">
          <cell r="Z982" t="str">
            <v>126203</v>
          </cell>
        </row>
        <row r="983">
          <cell r="Z983" t="str">
            <v>126204</v>
          </cell>
        </row>
        <row r="984">
          <cell r="Z984" t="str">
            <v>126209</v>
          </cell>
        </row>
        <row r="985">
          <cell r="Z985" t="str">
            <v>126300</v>
          </cell>
        </row>
        <row r="986">
          <cell r="Z986" t="str">
            <v>126301</v>
          </cell>
        </row>
        <row r="987">
          <cell r="Z987" t="str">
            <v>126302</v>
          </cell>
        </row>
        <row r="988">
          <cell r="Z988" t="str">
            <v>126303</v>
          </cell>
        </row>
        <row r="989">
          <cell r="Z989" t="str">
            <v>126304</v>
          </cell>
        </row>
        <row r="990">
          <cell r="Z990" t="str">
            <v>126309</v>
          </cell>
        </row>
        <row r="991">
          <cell r="Z991" t="str">
            <v>126400</v>
          </cell>
        </row>
        <row r="992">
          <cell r="Z992" t="str">
            <v>126401</v>
          </cell>
        </row>
        <row r="993">
          <cell r="Z993" t="str">
            <v>126402</v>
          </cell>
        </row>
        <row r="994">
          <cell r="Z994" t="str">
            <v>126403</v>
          </cell>
        </row>
        <row r="995">
          <cell r="Z995" t="str">
            <v>126404</v>
          </cell>
        </row>
        <row r="996">
          <cell r="Z996" t="str">
            <v>126409</v>
          </cell>
        </row>
        <row r="997">
          <cell r="Z997" t="str">
            <v>126500</v>
          </cell>
        </row>
        <row r="998">
          <cell r="Z998" t="str">
            <v>126501</v>
          </cell>
        </row>
        <row r="999">
          <cell r="Z999" t="str">
            <v>126502</v>
          </cell>
        </row>
        <row r="1000">
          <cell r="Z1000" t="str">
            <v>126503</v>
          </cell>
        </row>
        <row r="1001">
          <cell r="Z1001" t="str">
            <v>126504</v>
          </cell>
        </row>
        <row r="1002">
          <cell r="Z1002" t="str">
            <v>126509</v>
          </cell>
        </row>
        <row r="1003">
          <cell r="Z1003" t="str">
            <v>126600</v>
          </cell>
        </row>
        <row r="1004">
          <cell r="Z1004" t="str">
            <v>126601</v>
          </cell>
        </row>
        <row r="1005">
          <cell r="Z1005" t="str">
            <v>126602</v>
          </cell>
        </row>
        <row r="1006">
          <cell r="Z1006" t="str">
            <v>126603</v>
          </cell>
        </row>
        <row r="1007">
          <cell r="Z1007" t="str">
            <v>126604</v>
          </cell>
        </row>
        <row r="1008">
          <cell r="Z1008" t="str">
            <v>126609</v>
          </cell>
        </row>
        <row r="1009">
          <cell r="Z1009" t="str">
            <v>126700</v>
          </cell>
        </row>
        <row r="1010">
          <cell r="Z1010" t="str">
            <v>126701</v>
          </cell>
        </row>
        <row r="1011">
          <cell r="Z1011" t="str">
            <v>126702</v>
          </cell>
        </row>
        <row r="1012">
          <cell r="Z1012" t="str">
            <v>126703</v>
          </cell>
        </row>
        <row r="1013">
          <cell r="Z1013" t="str">
            <v>126704</v>
          </cell>
        </row>
        <row r="1014">
          <cell r="Z1014" t="str">
            <v>126709</v>
          </cell>
        </row>
        <row r="1015">
          <cell r="Z1015" t="str">
            <v>126800</v>
          </cell>
        </row>
        <row r="1016">
          <cell r="Z1016" t="str">
            <v>126801</v>
          </cell>
        </row>
        <row r="1017">
          <cell r="Z1017" t="str">
            <v>126802</v>
          </cell>
        </row>
        <row r="1018">
          <cell r="Z1018" t="str">
            <v>126803</v>
          </cell>
        </row>
        <row r="1019">
          <cell r="Z1019" t="str">
            <v>126804</v>
          </cell>
        </row>
        <row r="1020">
          <cell r="Z1020" t="str">
            <v>126809</v>
          </cell>
        </row>
        <row r="1021">
          <cell r="Z1021" t="str">
            <v>130000</v>
          </cell>
        </row>
        <row r="1022">
          <cell r="Z1022" t="str">
            <v>131000</v>
          </cell>
        </row>
        <row r="1023">
          <cell r="Z1023" t="str">
            <v>131100</v>
          </cell>
        </row>
        <row r="1024">
          <cell r="Z1024" t="str">
            <v>131110</v>
          </cell>
        </row>
        <row r="1025">
          <cell r="Z1025" t="str">
            <v>131111</v>
          </cell>
        </row>
        <row r="1026">
          <cell r="Z1026" t="str">
            <v>131112</v>
          </cell>
        </row>
        <row r="1027">
          <cell r="Z1027" t="str">
            <v>131113</v>
          </cell>
        </row>
        <row r="1028">
          <cell r="Z1028" t="str">
            <v>131114</v>
          </cell>
        </row>
        <row r="1029">
          <cell r="Z1029" t="str">
            <v>131119</v>
          </cell>
        </row>
        <row r="1030">
          <cell r="Z1030" t="str">
            <v>131120</v>
          </cell>
        </row>
        <row r="1031">
          <cell r="Z1031" t="str">
            <v>131121</v>
          </cell>
        </row>
        <row r="1032">
          <cell r="Z1032" t="str">
            <v>131122</v>
          </cell>
        </row>
        <row r="1033">
          <cell r="Z1033" t="str">
            <v>131123</v>
          </cell>
        </row>
        <row r="1034">
          <cell r="Z1034" t="str">
            <v>131124</v>
          </cell>
        </row>
        <row r="1035">
          <cell r="Z1035" t="str">
            <v>131129</v>
          </cell>
        </row>
        <row r="1036">
          <cell r="Z1036" t="str">
            <v>131200</v>
          </cell>
        </row>
        <row r="1037">
          <cell r="Z1037" t="str">
            <v>131210</v>
          </cell>
        </row>
        <row r="1038">
          <cell r="Z1038" t="str">
            <v>131211</v>
          </cell>
        </row>
        <row r="1039">
          <cell r="Z1039" t="str">
            <v>131212</v>
          </cell>
        </row>
        <row r="1040">
          <cell r="Z1040" t="str">
            <v>131213</v>
          </cell>
        </row>
        <row r="1041">
          <cell r="Z1041" t="str">
            <v>131214</v>
          </cell>
        </row>
        <row r="1042">
          <cell r="Z1042" t="str">
            <v>131219</v>
          </cell>
        </row>
        <row r="1043">
          <cell r="Z1043" t="str">
            <v>131220</v>
          </cell>
        </row>
        <row r="1044">
          <cell r="Z1044" t="str">
            <v>131221</v>
          </cell>
        </row>
        <row r="1045">
          <cell r="Z1045" t="str">
            <v>131222</v>
          </cell>
        </row>
        <row r="1046">
          <cell r="Z1046" t="str">
            <v>131223</v>
          </cell>
        </row>
        <row r="1047">
          <cell r="Z1047" t="str">
            <v>131224</v>
          </cell>
        </row>
        <row r="1048">
          <cell r="Z1048" t="str">
            <v>131229</v>
          </cell>
        </row>
        <row r="1049">
          <cell r="Z1049" t="str">
            <v>131300</v>
          </cell>
        </row>
        <row r="1050">
          <cell r="Z1050" t="str">
            <v>131310</v>
          </cell>
        </row>
        <row r="1051">
          <cell r="Z1051" t="str">
            <v>131311</v>
          </cell>
        </row>
        <row r="1052">
          <cell r="Z1052" t="str">
            <v>131312</v>
          </cell>
        </row>
        <row r="1053">
          <cell r="Z1053" t="str">
            <v>131313</v>
          </cell>
        </row>
        <row r="1054">
          <cell r="Z1054" t="str">
            <v>131314</v>
          </cell>
        </row>
        <row r="1055">
          <cell r="Z1055" t="str">
            <v>131319</v>
          </cell>
        </row>
        <row r="1056">
          <cell r="Z1056" t="str">
            <v>131320</v>
          </cell>
        </row>
        <row r="1057">
          <cell r="Z1057" t="str">
            <v>131321</v>
          </cell>
        </row>
        <row r="1058">
          <cell r="Z1058" t="str">
            <v>131322</v>
          </cell>
        </row>
        <row r="1059">
          <cell r="Z1059" t="str">
            <v>131323</v>
          </cell>
        </row>
        <row r="1060">
          <cell r="Z1060" t="str">
            <v>131324</v>
          </cell>
        </row>
        <row r="1061">
          <cell r="Z1061" t="str">
            <v>131329</v>
          </cell>
        </row>
        <row r="1062">
          <cell r="Z1062" t="str">
            <v>132000</v>
          </cell>
        </row>
        <row r="1063">
          <cell r="Z1063" t="str">
            <v>132100</v>
          </cell>
        </row>
        <row r="1064">
          <cell r="Z1064" t="str">
            <v>132110</v>
          </cell>
        </row>
        <row r="1065">
          <cell r="Z1065" t="str">
            <v>132111</v>
          </cell>
        </row>
        <row r="1066">
          <cell r="Z1066" t="str">
            <v>132112</v>
          </cell>
        </row>
        <row r="1067">
          <cell r="Z1067" t="str">
            <v>132113</v>
          </cell>
        </row>
        <row r="1068">
          <cell r="Z1068" t="str">
            <v>132114</v>
          </cell>
        </row>
        <row r="1069">
          <cell r="Z1069" t="str">
            <v>132119</v>
          </cell>
        </row>
        <row r="1070">
          <cell r="Z1070" t="str">
            <v>132120</v>
          </cell>
        </row>
        <row r="1071">
          <cell r="Z1071" t="str">
            <v>132121</v>
          </cell>
        </row>
        <row r="1072">
          <cell r="Z1072" t="str">
            <v>132122</v>
          </cell>
        </row>
        <row r="1073">
          <cell r="Z1073" t="str">
            <v>132123</v>
          </cell>
        </row>
        <row r="1074">
          <cell r="Z1074" t="str">
            <v>132124</v>
          </cell>
        </row>
        <row r="1075">
          <cell r="Z1075" t="str">
            <v>132129</v>
          </cell>
        </row>
        <row r="1076">
          <cell r="Z1076" t="str">
            <v>132130</v>
          </cell>
        </row>
        <row r="1077">
          <cell r="Z1077" t="str">
            <v>132131</v>
          </cell>
        </row>
        <row r="1078">
          <cell r="Z1078" t="str">
            <v>132132</v>
          </cell>
        </row>
        <row r="1079">
          <cell r="Z1079" t="str">
            <v>132133</v>
          </cell>
        </row>
        <row r="1080">
          <cell r="Z1080" t="str">
            <v>132134</v>
          </cell>
        </row>
        <row r="1081">
          <cell r="Z1081" t="str">
            <v>132139</v>
          </cell>
        </row>
        <row r="1082">
          <cell r="Z1082" t="str">
            <v>132200</v>
          </cell>
        </row>
        <row r="1083">
          <cell r="Z1083" t="str">
            <v>132210</v>
          </cell>
        </row>
        <row r="1084">
          <cell r="Z1084" t="str">
            <v>132211</v>
          </cell>
        </row>
        <row r="1085">
          <cell r="Z1085" t="str">
            <v>132212</v>
          </cell>
        </row>
        <row r="1086">
          <cell r="Z1086" t="str">
            <v>132213</v>
          </cell>
        </row>
        <row r="1087">
          <cell r="Z1087" t="str">
            <v>132214</v>
          </cell>
        </row>
        <row r="1088">
          <cell r="Z1088" t="str">
            <v>132219</v>
          </cell>
        </row>
        <row r="1089">
          <cell r="Z1089" t="str">
            <v>132220</v>
          </cell>
        </row>
        <row r="1090">
          <cell r="Z1090" t="str">
            <v>132221</v>
          </cell>
        </row>
        <row r="1091">
          <cell r="Z1091" t="str">
            <v>132222</v>
          </cell>
        </row>
        <row r="1092">
          <cell r="Z1092" t="str">
            <v>132223</v>
          </cell>
        </row>
        <row r="1093">
          <cell r="Z1093" t="str">
            <v>132224</v>
          </cell>
        </row>
        <row r="1094">
          <cell r="Z1094" t="str">
            <v>132229</v>
          </cell>
        </row>
        <row r="1095">
          <cell r="Z1095" t="str">
            <v>132230</v>
          </cell>
        </row>
        <row r="1096">
          <cell r="Z1096" t="str">
            <v>132231</v>
          </cell>
        </row>
        <row r="1097">
          <cell r="Z1097" t="str">
            <v>132232</v>
          </cell>
        </row>
        <row r="1098">
          <cell r="Z1098" t="str">
            <v>132233</v>
          </cell>
        </row>
        <row r="1099">
          <cell r="Z1099" t="str">
            <v>132234</v>
          </cell>
        </row>
        <row r="1100">
          <cell r="Z1100" t="str">
            <v>132239</v>
          </cell>
        </row>
        <row r="1101">
          <cell r="Z1101" t="str">
            <v>132300</v>
          </cell>
        </row>
        <row r="1102">
          <cell r="Z1102" t="str">
            <v>132310</v>
          </cell>
        </row>
        <row r="1103">
          <cell r="Z1103" t="str">
            <v>132311</v>
          </cell>
        </row>
        <row r="1104">
          <cell r="Z1104" t="str">
            <v>132312</v>
          </cell>
        </row>
        <row r="1105">
          <cell r="Z1105" t="str">
            <v>132313</v>
          </cell>
        </row>
        <row r="1106">
          <cell r="Z1106" t="str">
            <v>132314</v>
          </cell>
        </row>
        <row r="1107">
          <cell r="Z1107" t="str">
            <v>132319</v>
          </cell>
        </row>
        <row r="1108">
          <cell r="Z1108" t="str">
            <v>132320</v>
          </cell>
        </row>
        <row r="1109">
          <cell r="Z1109" t="str">
            <v>132321</v>
          </cell>
        </row>
        <row r="1110">
          <cell r="Z1110" t="str">
            <v>132322</v>
          </cell>
        </row>
        <row r="1111">
          <cell r="Z1111" t="str">
            <v>132323</v>
          </cell>
        </row>
        <row r="1112">
          <cell r="Z1112" t="str">
            <v>132324</v>
          </cell>
        </row>
        <row r="1113">
          <cell r="Z1113" t="str">
            <v>132329</v>
          </cell>
        </row>
        <row r="1114">
          <cell r="Z1114" t="str">
            <v>132330</v>
          </cell>
        </row>
        <row r="1115">
          <cell r="Z1115" t="str">
            <v>132331</v>
          </cell>
        </row>
        <row r="1116">
          <cell r="Z1116" t="str">
            <v>132332</v>
          </cell>
        </row>
        <row r="1117">
          <cell r="Z1117" t="str">
            <v>132333</v>
          </cell>
        </row>
        <row r="1118">
          <cell r="Z1118" t="str">
            <v>132334</v>
          </cell>
        </row>
        <row r="1119">
          <cell r="Z1119" t="str">
            <v>132339</v>
          </cell>
        </row>
        <row r="1120">
          <cell r="Z1120" t="str">
            <v>132340</v>
          </cell>
        </row>
        <row r="1121">
          <cell r="Z1121" t="str">
            <v>132341</v>
          </cell>
        </row>
        <row r="1122">
          <cell r="Z1122" t="str">
            <v>132342</v>
          </cell>
        </row>
        <row r="1123">
          <cell r="Z1123" t="str">
            <v>132343</v>
          </cell>
        </row>
        <row r="1124">
          <cell r="Z1124" t="str">
            <v>132344</v>
          </cell>
        </row>
        <row r="1125">
          <cell r="Z1125" t="str">
            <v>132349</v>
          </cell>
        </row>
        <row r="1126">
          <cell r="Z1126" t="str">
            <v>132350</v>
          </cell>
        </row>
        <row r="1127">
          <cell r="Z1127" t="str">
            <v>132351</v>
          </cell>
        </row>
        <row r="1128">
          <cell r="Z1128" t="str">
            <v>132352</v>
          </cell>
        </row>
        <row r="1129">
          <cell r="Z1129" t="str">
            <v>132353</v>
          </cell>
        </row>
        <row r="1130">
          <cell r="Z1130" t="str">
            <v>132354</v>
          </cell>
        </row>
        <row r="1131">
          <cell r="Z1131" t="str">
            <v>132359</v>
          </cell>
        </row>
        <row r="1132">
          <cell r="Z1132" t="str">
            <v>132360</v>
          </cell>
        </row>
        <row r="1133">
          <cell r="Z1133" t="str">
            <v>132361</v>
          </cell>
        </row>
        <row r="1134">
          <cell r="Z1134" t="str">
            <v>132362</v>
          </cell>
        </row>
        <row r="1135">
          <cell r="Z1135" t="str">
            <v>132363</v>
          </cell>
        </row>
        <row r="1136">
          <cell r="Z1136" t="str">
            <v>132364</v>
          </cell>
        </row>
        <row r="1137">
          <cell r="Z1137" t="str">
            <v>132369</v>
          </cell>
        </row>
        <row r="1138">
          <cell r="Z1138" t="str">
            <v>132370</v>
          </cell>
        </row>
        <row r="1139">
          <cell r="Z1139" t="str">
            <v>132371</v>
          </cell>
        </row>
        <row r="1140">
          <cell r="Z1140" t="str">
            <v>132372</v>
          </cell>
        </row>
        <row r="1141">
          <cell r="Z1141" t="str">
            <v>132373</v>
          </cell>
        </row>
        <row r="1142">
          <cell r="Z1142" t="str">
            <v>132374</v>
          </cell>
        </row>
        <row r="1143">
          <cell r="Z1143" t="str">
            <v>132379</v>
          </cell>
        </row>
        <row r="1144">
          <cell r="Z1144" t="str">
            <v>132380</v>
          </cell>
        </row>
        <row r="1145">
          <cell r="Z1145" t="str">
            <v>132381</v>
          </cell>
        </row>
        <row r="1146">
          <cell r="Z1146" t="str">
            <v>132382</v>
          </cell>
        </row>
        <row r="1147">
          <cell r="Z1147" t="str">
            <v>132383</v>
          </cell>
        </row>
        <row r="1148">
          <cell r="Z1148" t="str">
            <v>132384</v>
          </cell>
        </row>
        <row r="1149">
          <cell r="Z1149" t="str">
            <v>132389</v>
          </cell>
        </row>
        <row r="1150">
          <cell r="Z1150" t="str">
            <v>132390</v>
          </cell>
        </row>
        <row r="1151">
          <cell r="Z1151" t="str">
            <v>132391</v>
          </cell>
        </row>
        <row r="1152">
          <cell r="Z1152" t="str">
            <v>132392</v>
          </cell>
        </row>
        <row r="1153">
          <cell r="Z1153" t="str">
            <v>132393</v>
          </cell>
        </row>
        <row r="1154">
          <cell r="Z1154" t="str">
            <v>132394</v>
          </cell>
        </row>
        <row r="1155">
          <cell r="Z1155" t="str">
            <v>132399</v>
          </cell>
        </row>
        <row r="1156">
          <cell r="Z1156" t="str">
            <v>132400</v>
          </cell>
        </row>
        <row r="1157">
          <cell r="Z1157" t="str">
            <v>132410</v>
          </cell>
        </row>
        <row r="1158">
          <cell r="Z1158" t="str">
            <v>132411</v>
          </cell>
        </row>
        <row r="1159">
          <cell r="Z1159" t="str">
            <v>132412</v>
          </cell>
        </row>
        <row r="1160">
          <cell r="Z1160" t="str">
            <v>132413</v>
          </cell>
        </row>
        <row r="1161">
          <cell r="Z1161" t="str">
            <v>132414</v>
          </cell>
        </row>
        <row r="1162">
          <cell r="Z1162" t="str">
            <v>132419</v>
          </cell>
        </row>
        <row r="1163">
          <cell r="Z1163" t="str">
            <v>132420</v>
          </cell>
        </row>
        <row r="1164">
          <cell r="Z1164" t="str">
            <v>132421</v>
          </cell>
        </row>
        <row r="1165">
          <cell r="Z1165" t="str">
            <v>132422</v>
          </cell>
        </row>
        <row r="1166">
          <cell r="Z1166" t="str">
            <v>132423</v>
          </cell>
        </row>
        <row r="1167">
          <cell r="Z1167" t="str">
            <v>132424</v>
          </cell>
        </row>
        <row r="1168">
          <cell r="Z1168" t="str">
            <v>132429</v>
          </cell>
        </row>
        <row r="1169">
          <cell r="Z1169" t="str">
            <v>132430</v>
          </cell>
        </row>
        <row r="1170">
          <cell r="Z1170" t="str">
            <v>132431</v>
          </cell>
        </row>
        <row r="1171">
          <cell r="Z1171" t="str">
            <v>132432</v>
          </cell>
        </row>
        <row r="1172">
          <cell r="Z1172" t="str">
            <v>132433</v>
          </cell>
        </row>
        <row r="1173">
          <cell r="Z1173" t="str">
            <v>132434</v>
          </cell>
        </row>
        <row r="1174">
          <cell r="Z1174" t="str">
            <v>132439</v>
          </cell>
        </row>
        <row r="1175">
          <cell r="Z1175" t="str">
            <v>132500</v>
          </cell>
        </row>
        <row r="1176">
          <cell r="Z1176" t="str">
            <v>132510</v>
          </cell>
        </row>
        <row r="1177">
          <cell r="Z1177" t="str">
            <v>132511</v>
          </cell>
        </row>
        <row r="1178">
          <cell r="Z1178" t="str">
            <v>132512</v>
          </cell>
        </row>
        <row r="1179">
          <cell r="Z1179" t="str">
            <v>132513</v>
          </cell>
        </row>
        <row r="1180">
          <cell r="Z1180" t="str">
            <v>132514</v>
          </cell>
        </row>
        <row r="1181">
          <cell r="Z1181" t="str">
            <v>132519</v>
          </cell>
        </row>
        <row r="1182">
          <cell r="Z1182" t="str">
            <v>132520</v>
          </cell>
        </row>
        <row r="1183">
          <cell r="Z1183" t="str">
            <v>132521</v>
          </cell>
        </row>
        <row r="1184">
          <cell r="Z1184" t="str">
            <v>132522</v>
          </cell>
        </row>
        <row r="1185">
          <cell r="Z1185" t="str">
            <v>132523</v>
          </cell>
        </row>
        <row r="1186">
          <cell r="Z1186" t="str">
            <v>132524</v>
          </cell>
        </row>
        <row r="1187">
          <cell r="Z1187" t="str">
            <v>132529</v>
          </cell>
        </row>
        <row r="1188">
          <cell r="Z1188" t="str">
            <v>132600</v>
          </cell>
        </row>
        <row r="1189">
          <cell r="Z1189" t="str">
            <v>132610</v>
          </cell>
        </row>
        <row r="1190">
          <cell r="Z1190" t="str">
            <v>132611</v>
          </cell>
        </row>
        <row r="1191">
          <cell r="Z1191" t="str">
            <v>132612</v>
          </cell>
        </row>
        <row r="1192">
          <cell r="Z1192" t="str">
            <v>132613</v>
          </cell>
        </row>
        <row r="1193">
          <cell r="Z1193" t="str">
            <v>132614</v>
          </cell>
        </row>
        <row r="1194">
          <cell r="Z1194" t="str">
            <v>132619</v>
          </cell>
        </row>
        <row r="1195">
          <cell r="Z1195" t="str">
            <v>132620</v>
          </cell>
        </row>
        <row r="1196">
          <cell r="Z1196" t="str">
            <v>132621</v>
          </cell>
        </row>
        <row r="1197">
          <cell r="Z1197" t="str">
            <v>132622</v>
          </cell>
        </row>
        <row r="1198">
          <cell r="Z1198" t="str">
            <v>132623</v>
          </cell>
        </row>
        <row r="1199">
          <cell r="Z1199" t="str">
            <v>132624</v>
          </cell>
        </row>
        <row r="1200">
          <cell r="Z1200" t="str">
            <v>132629</v>
          </cell>
        </row>
        <row r="1201">
          <cell r="Z1201" t="str">
            <v>132700</v>
          </cell>
        </row>
        <row r="1202">
          <cell r="Z1202" t="str">
            <v>132710</v>
          </cell>
        </row>
        <row r="1203">
          <cell r="Z1203" t="str">
            <v>132711</v>
          </cell>
        </row>
        <row r="1204">
          <cell r="Z1204" t="str">
            <v>132712</v>
          </cell>
        </row>
        <row r="1205">
          <cell r="Z1205" t="str">
            <v>132713</v>
          </cell>
        </row>
        <row r="1206">
          <cell r="Z1206" t="str">
            <v>132714</v>
          </cell>
        </row>
        <row r="1207">
          <cell r="Z1207" t="str">
            <v>132719</v>
          </cell>
        </row>
        <row r="1208">
          <cell r="Z1208" t="str">
            <v>132720</v>
          </cell>
        </row>
        <row r="1209">
          <cell r="Z1209" t="str">
            <v>132721</v>
          </cell>
        </row>
        <row r="1210">
          <cell r="Z1210" t="str">
            <v>132722</v>
          </cell>
        </row>
        <row r="1211">
          <cell r="Z1211" t="str">
            <v>132723</v>
          </cell>
        </row>
        <row r="1212">
          <cell r="Z1212" t="str">
            <v>132724</v>
          </cell>
        </row>
        <row r="1213">
          <cell r="Z1213" t="str">
            <v>132729</v>
          </cell>
        </row>
        <row r="1214">
          <cell r="Z1214" t="str">
            <v>132730</v>
          </cell>
        </row>
        <row r="1215">
          <cell r="Z1215" t="str">
            <v>132731</v>
          </cell>
        </row>
        <row r="1216">
          <cell r="Z1216" t="str">
            <v>132732</v>
          </cell>
        </row>
        <row r="1217">
          <cell r="Z1217" t="str">
            <v>132733</v>
          </cell>
        </row>
        <row r="1218">
          <cell r="Z1218" t="str">
            <v>132734</v>
          </cell>
        </row>
        <row r="1219">
          <cell r="Z1219" t="str">
            <v>132739</v>
          </cell>
        </row>
        <row r="1220">
          <cell r="Z1220" t="str">
            <v>132740</v>
          </cell>
        </row>
        <row r="1221">
          <cell r="Z1221" t="str">
            <v>132741</v>
          </cell>
        </row>
        <row r="1222">
          <cell r="Z1222" t="str">
            <v>132742</v>
          </cell>
        </row>
        <row r="1223">
          <cell r="Z1223" t="str">
            <v>132743</v>
          </cell>
        </row>
        <row r="1224">
          <cell r="Z1224" t="str">
            <v>132744</v>
          </cell>
        </row>
        <row r="1225">
          <cell r="Z1225" t="str">
            <v>132749</v>
          </cell>
        </row>
        <row r="1226">
          <cell r="Z1226" t="str">
            <v>132750</v>
          </cell>
        </row>
        <row r="1227">
          <cell r="Z1227" t="str">
            <v>132751</v>
          </cell>
        </row>
        <row r="1228">
          <cell r="Z1228" t="str">
            <v>132752</v>
          </cell>
        </row>
        <row r="1229">
          <cell r="Z1229" t="str">
            <v>132753</v>
          </cell>
        </row>
        <row r="1230">
          <cell r="Z1230" t="str">
            <v>132754</v>
          </cell>
        </row>
        <row r="1231">
          <cell r="Z1231" t="str">
            <v>132759</v>
          </cell>
        </row>
        <row r="1232">
          <cell r="Z1232" t="str">
            <v>132760</v>
          </cell>
        </row>
        <row r="1233">
          <cell r="Z1233" t="str">
            <v>132761</v>
          </cell>
        </row>
        <row r="1234">
          <cell r="Z1234" t="str">
            <v>132762</v>
          </cell>
        </row>
        <row r="1235">
          <cell r="Z1235" t="str">
            <v>132763</v>
          </cell>
        </row>
        <row r="1236">
          <cell r="Z1236" t="str">
            <v>132764</v>
          </cell>
        </row>
        <row r="1237">
          <cell r="Z1237" t="str">
            <v>132769</v>
          </cell>
        </row>
        <row r="1238">
          <cell r="Z1238" t="str">
            <v>132770</v>
          </cell>
        </row>
        <row r="1239">
          <cell r="Z1239" t="str">
            <v>132771</v>
          </cell>
        </row>
        <row r="1240">
          <cell r="Z1240" t="str">
            <v>132772</v>
          </cell>
        </row>
        <row r="1241">
          <cell r="Z1241" t="str">
            <v>132773</v>
          </cell>
        </row>
        <row r="1242">
          <cell r="Z1242" t="str">
            <v>132774</v>
          </cell>
        </row>
        <row r="1243">
          <cell r="Z1243" t="str">
            <v>132779</v>
          </cell>
        </row>
        <row r="1244">
          <cell r="Z1244" t="str">
            <v>132780</v>
          </cell>
        </row>
        <row r="1245">
          <cell r="Z1245" t="str">
            <v>132781</v>
          </cell>
        </row>
        <row r="1246">
          <cell r="Z1246" t="str">
            <v>132782</v>
          </cell>
        </row>
        <row r="1247">
          <cell r="Z1247" t="str">
            <v>132783</v>
          </cell>
        </row>
        <row r="1248">
          <cell r="Z1248" t="str">
            <v>132784</v>
          </cell>
        </row>
        <row r="1249">
          <cell r="Z1249" t="str">
            <v>132789</v>
          </cell>
        </row>
        <row r="1250">
          <cell r="Z1250" t="str">
            <v>132790</v>
          </cell>
        </row>
        <row r="1251">
          <cell r="Z1251" t="str">
            <v>132791</v>
          </cell>
        </row>
        <row r="1252">
          <cell r="Z1252" t="str">
            <v>132792</v>
          </cell>
        </row>
        <row r="1253">
          <cell r="Z1253" t="str">
            <v>132793</v>
          </cell>
        </row>
        <row r="1254">
          <cell r="Z1254" t="str">
            <v>132794</v>
          </cell>
        </row>
        <row r="1255">
          <cell r="Z1255" t="str">
            <v>132799</v>
          </cell>
        </row>
        <row r="1256">
          <cell r="Z1256" t="str">
            <v>13280</v>
          </cell>
        </row>
        <row r="1257">
          <cell r="Z1257" t="str">
            <v>132810</v>
          </cell>
        </row>
        <row r="1258">
          <cell r="Z1258" t="str">
            <v>132811</v>
          </cell>
        </row>
        <row r="1259">
          <cell r="Z1259" t="str">
            <v>132812</v>
          </cell>
        </row>
        <row r="1260">
          <cell r="Z1260" t="str">
            <v>132813</v>
          </cell>
        </row>
        <row r="1261">
          <cell r="Z1261" t="str">
            <v>132814</v>
          </cell>
        </row>
        <row r="1262">
          <cell r="Z1262" t="str">
            <v>132819</v>
          </cell>
        </row>
        <row r="1263">
          <cell r="Z1263" t="str">
            <v>132820</v>
          </cell>
        </row>
        <row r="1264">
          <cell r="Z1264" t="str">
            <v>132821</v>
          </cell>
        </row>
        <row r="1265">
          <cell r="Z1265" t="str">
            <v>132822</v>
          </cell>
        </row>
        <row r="1266">
          <cell r="Z1266" t="str">
            <v>132823</v>
          </cell>
        </row>
        <row r="1267">
          <cell r="Z1267" t="str">
            <v>132824</v>
          </cell>
        </row>
        <row r="1268">
          <cell r="Z1268" t="str">
            <v>132829</v>
          </cell>
        </row>
        <row r="1269">
          <cell r="Z1269" t="str">
            <v>132830</v>
          </cell>
        </row>
        <row r="1270">
          <cell r="Z1270" t="str">
            <v>132831</v>
          </cell>
        </row>
        <row r="1271">
          <cell r="Z1271" t="str">
            <v>132832</v>
          </cell>
        </row>
        <row r="1272">
          <cell r="Z1272" t="str">
            <v>132833</v>
          </cell>
        </row>
        <row r="1273">
          <cell r="Z1273" t="str">
            <v>132834</v>
          </cell>
        </row>
        <row r="1274">
          <cell r="Z1274" t="str">
            <v>132839</v>
          </cell>
        </row>
        <row r="1275">
          <cell r="Z1275" t="str">
            <v>133000</v>
          </cell>
        </row>
        <row r="1276">
          <cell r="Z1276" t="str">
            <v>133100</v>
          </cell>
        </row>
        <row r="1277">
          <cell r="Z1277" t="str">
            <v>133110</v>
          </cell>
        </row>
        <row r="1278">
          <cell r="Z1278" t="str">
            <v>133111</v>
          </cell>
        </row>
        <row r="1279">
          <cell r="Z1279" t="str">
            <v>133112</v>
          </cell>
        </row>
        <row r="1280">
          <cell r="Z1280" t="str">
            <v>133113</v>
          </cell>
        </row>
        <row r="1281">
          <cell r="Z1281" t="str">
            <v>133114</v>
          </cell>
        </row>
        <row r="1282">
          <cell r="Z1282" t="str">
            <v>133119</v>
          </cell>
        </row>
        <row r="1283">
          <cell r="Z1283" t="str">
            <v>133120</v>
          </cell>
        </row>
        <row r="1284">
          <cell r="Z1284" t="str">
            <v>133121</v>
          </cell>
        </row>
        <row r="1285">
          <cell r="Z1285" t="str">
            <v>133122</v>
          </cell>
        </row>
        <row r="1286">
          <cell r="Z1286" t="str">
            <v>133123</v>
          </cell>
        </row>
        <row r="1287">
          <cell r="Z1287" t="str">
            <v>133124</v>
          </cell>
        </row>
        <row r="1288">
          <cell r="Z1288" t="str">
            <v>133129</v>
          </cell>
        </row>
        <row r="1289">
          <cell r="Z1289" t="str">
            <v>133200</v>
          </cell>
        </row>
        <row r="1290">
          <cell r="Z1290" t="str">
            <v>133210</v>
          </cell>
        </row>
        <row r="1291">
          <cell r="Z1291" t="str">
            <v>133211</v>
          </cell>
        </row>
        <row r="1292">
          <cell r="Z1292" t="str">
            <v>133212</v>
          </cell>
        </row>
        <row r="1293">
          <cell r="Z1293" t="str">
            <v>133213</v>
          </cell>
        </row>
        <row r="1294">
          <cell r="Z1294" t="str">
            <v>133214</v>
          </cell>
        </row>
        <row r="1295">
          <cell r="Z1295" t="str">
            <v>133219</v>
          </cell>
        </row>
        <row r="1296">
          <cell r="Z1296" t="str">
            <v>133220</v>
          </cell>
        </row>
        <row r="1297">
          <cell r="Z1297" t="str">
            <v>133221</v>
          </cell>
        </row>
        <row r="1298">
          <cell r="Z1298" t="str">
            <v>133222</v>
          </cell>
        </row>
        <row r="1299">
          <cell r="Z1299" t="str">
            <v>133223</v>
          </cell>
        </row>
        <row r="1300">
          <cell r="Z1300" t="str">
            <v>133224</v>
          </cell>
        </row>
        <row r="1301">
          <cell r="Z1301" t="str">
            <v>133229</v>
          </cell>
        </row>
        <row r="1302">
          <cell r="Z1302" t="str">
            <v>133300</v>
          </cell>
        </row>
        <row r="1303">
          <cell r="Z1303" t="str">
            <v>133310</v>
          </cell>
        </row>
        <row r="1304">
          <cell r="Z1304" t="str">
            <v>133311</v>
          </cell>
        </row>
        <row r="1305">
          <cell r="Z1305" t="str">
            <v>133312</v>
          </cell>
        </row>
        <row r="1306">
          <cell r="Z1306" t="str">
            <v>133313</v>
          </cell>
        </row>
        <row r="1307">
          <cell r="Z1307" t="str">
            <v>133314</v>
          </cell>
        </row>
        <row r="1308">
          <cell r="Z1308" t="str">
            <v>133319</v>
          </cell>
        </row>
        <row r="1309">
          <cell r="Z1309" t="str">
            <v>133320</v>
          </cell>
        </row>
        <row r="1310">
          <cell r="Z1310" t="str">
            <v>133321</v>
          </cell>
        </row>
        <row r="1311">
          <cell r="Z1311" t="str">
            <v>133322</v>
          </cell>
        </row>
        <row r="1312">
          <cell r="Z1312" t="str">
            <v>133323</v>
          </cell>
        </row>
        <row r="1313">
          <cell r="Z1313" t="str">
            <v>133324</v>
          </cell>
        </row>
        <row r="1314">
          <cell r="Z1314" t="str">
            <v>133329</v>
          </cell>
        </row>
        <row r="1315">
          <cell r="Z1315" t="str">
            <v>133400</v>
          </cell>
        </row>
        <row r="1316">
          <cell r="Z1316" t="str">
            <v>133410</v>
          </cell>
        </row>
        <row r="1317">
          <cell r="Z1317" t="str">
            <v>133411</v>
          </cell>
        </row>
        <row r="1318">
          <cell r="Z1318" t="str">
            <v>133412</v>
          </cell>
        </row>
        <row r="1319">
          <cell r="Z1319" t="str">
            <v>133413</v>
          </cell>
        </row>
        <row r="1320">
          <cell r="Z1320" t="str">
            <v>133414</v>
          </cell>
        </row>
        <row r="1321">
          <cell r="Z1321" t="str">
            <v>133419</v>
          </cell>
        </row>
        <row r="1322">
          <cell r="Z1322" t="str">
            <v>133420</v>
          </cell>
        </row>
        <row r="1323">
          <cell r="Z1323" t="str">
            <v>133421</v>
          </cell>
        </row>
        <row r="1324">
          <cell r="Z1324" t="str">
            <v>133422</v>
          </cell>
        </row>
        <row r="1325">
          <cell r="Z1325" t="str">
            <v>133423</v>
          </cell>
        </row>
        <row r="1326">
          <cell r="Z1326" t="str">
            <v>133424</v>
          </cell>
        </row>
        <row r="1327">
          <cell r="Z1327" t="str">
            <v>133429</v>
          </cell>
        </row>
        <row r="1328">
          <cell r="Z1328" t="str">
            <v>133500</v>
          </cell>
        </row>
        <row r="1329">
          <cell r="Z1329" t="str">
            <v>133510</v>
          </cell>
        </row>
        <row r="1330">
          <cell r="Z1330" t="str">
            <v>133511</v>
          </cell>
        </row>
        <row r="1331">
          <cell r="Z1331" t="str">
            <v>133512</v>
          </cell>
        </row>
        <row r="1332">
          <cell r="Z1332" t="str">
            <v>133513</v>
          </cell>
        </row>
        <row r="1333">
          <cell r="Z1333" t="str">
            <v>133514</v>
          </cell>
        </row>
        <row r="1334">
          <cell r="Z1334" t="str">
            <v>133519</v>
          </cell>
        </row>
        <row r="1335">
          <cell r="Z1335" t="str">
            <v>133520</v>
          </cell>
        </row>
        <row r="1336">
          <cell r="Z1336" t="str">
            <v>133521</v>
          </cell>
        </row>
        <row r="1337">
          <cell r="Z1337" t="str">
            <v>133522</v>
          </cell>
        </row>
        <row r="1338">
          <cell r="Z1338" t="str">
            <v>133523</v>
          </cell>
        </row>
        <row r="1339">
          <cell r="Z1339" t="str">
            <v>133524</v>
          </cell>
        </row>
        <row r="1340">
          <cell r="Z1340" t="str">
            <v>133529</v>
          </cell>
        </row>
        <row r="1341">
          <cell r="Z1341" t="str">
            <v>133900</v>
          </cell>
        </row>
        <row r="1342">
          <cell r="Z1342" t="str">
            <v>133910</v>
          </cell>
        </row>
        <row r="1343">
          <cell r="Z1343" t="str">
            <v>133911</v>
          </cell>
        </row>
        <row r="1344">
          <cell r="Z1344" t="str">
            <v>133912</v>
          </cell>
        </row>
        <row r="1345">
          <cell r="Z1345" t="str">
            <v>133913</v>
          </cell>
        </row>
        <row r="1346">
          <cell r="Z1346" t="str">
            <v>133914</v>
          </cell>
        </row>
        <row r="1347">
          <cell r="Z1347" t="str">
            <v>133919</v>
          </cell>
        </row>
        <row r="1348">
          <cell r="Z1348" t="str">
            <v>133920</v>
          </cell>
        </row>
        <row r="1349">
          <cell r="Z1349" t="str">
            <v>133921</v>
          </cell>
        </row>
        <row r="1350">
          <cell r="Z1350" t="str">
            <v>133922</v>
          </cell>
        </row>
        <row r="1351">
          <cell r="Z1351" t="str">
            <v>133923</v>
          </cell>
        </row>
        <row r="1352">
          <cell r="Z1352" t="str">
            <v>133924</v>
          </cell>
        </row>
        <row r="1353">
          <cell r="Z1353" t="str">
            <v>133929</v>
          </cell>
        </row>
        <row r="1354">
          <cell r="Z1354" t="str">
            <v>140000</v>
          </cell>
        </row>
        <row r="1355">
          <cell r="Z1355" t="str">
            <v>141000</v>
          </cell>
        </row>
        <row r="1356">
          <cell r="Z1356" t="str">
            <v>141100</v>
          </cell>
        </row>
        <row r="1357">
          <cell r="Z1357" t="str">
            <v>141110</v>
          </cell>
        </row>
        <row r="1358">
          <cell r="Z1358" t="str">
            <v>141111</v>
          </cell>
        </row>
        <row r="1359">
          <cell r="Z1359" t="str">
            <v>141112</v>
          </cell>
        </row>
        <row r="1360">
          <cell r="Z1360" t="str">
            <v>141113</v>
          </cell>
        </row>
        <row r="1361">
          <cell r="Z1361" t="str">
            <v>141114</v>
          </cell>
        </row>
        <row r="1362">
          <cell r="Z1362" t="str">
            <v>141119</v>
          </cell>
        </row>
        <row r="1363">
          <cell r="Z1363" t="str">
            <v>141120</v>
          </cell>
        </row>
        <row r="1364">
          <cell r="Z1364" t="str">
            <v>141121</v>
          </cell>
        </row>
        <row r="1365">
          <cell r="Z1365" t="str">
            <v>141122</v>
          </cell>
        </row>
        <row r="1366">
          <cell r="Z1366" t="str">
            <v>141123</v>
          </cell>
        </row>
        <row r="1367">
          <cell r="Z1367" t="str">
            <v>141124</v>
          </cell>
        </row>
        <row r="1368">
          <cell r="Z1368" t="str">
            <v>141129</v>
          </cell>
        </row>
        <row r="1369">
          <cell r="Z1369" t="str">
            <v>141200</v>
          </cell>
        </row>
        <row r="1370">
          <cell r="Z1370" t="str">
            <v>141210</v>
          </cell>
        </row>
        <row r="1371">
          <cell r="Z1371" t="str">
            <v>141211</v>
          </cell>
        </row>
        <row r="1372">
          <cell r="Z1372" t="str">
            <v>141212</v>
          </cell>
        </row>
        <row r="1373">
          <cell r="Z1373" t="str">
            <v>141213</v>
          </cell>
        </row>
        <row r="1374">
          <cell r="Z1374" t="str">
            <v>141214</v>
          </cell>
        </row>
        <row r="1375">
          <cell r="Z1375" t="str">
            <v>141219</v>
          </cell>
        </row>
        <row r="1376">
          <cell r="Z1376" t="str">
            <v>141220</v>
          </cell>
        </row>
        <row r="1377">
          <cell r="Z1377" t="str">
            <v>141221</v>
          </cell>
        </row>
        <row r="1378">
          <cell r="Z1378" t="str">
            <v>141222</v>
          </cell>
        </row>
        <row r="1379">
          <cell r="Z1379" t="str">
            <v>141223</v>
          </cell>
        </row>
        <row r="1380">
          <cell r="Z1380" t="str">
            <v>141224</v>
          </cell>
        </row>
        <row r="1381">
          <cell r="Z1381" t="str">
            <v>141229</v>
          </cell>
        </row>
        <row r="1382">
          <cell r="Z1382" t="str">
            <v>141300</v>
          </cell>
        </row>
        <row r="1383">
          <cell r="Z1383" t="str">
            <v>141310</v>
          </cell>
        </row>
        <row r="1384">
          <cell r="Z1384" t="str">
            <v>141311</v>
          </cell>
        </row>
        <row r="1385">
          <cell r="Z1385" t="str">
            <v>141312</v>
          </cell>
        </row>
        <row r="1386">
          <cell r="Z1386" t="str">
            <v>141313</v>
          </cell>
        </row>
        <row r="1387">
          <cell r="Z1387" t="str">
            <v>141314</v>
          </cell>
        </row>
        <row r="1388">
          <cell r="Z1388" t="str">
            <v>141319</v>
          </cell>
        </row>
        <row r="1389">
          <cell r="Z1389" t="str">
            <v>141320</v>
          </cell>
        </row>
        <row r="1390">
          <cell r="Z1390" t="str">
            <v>141321</v>
          </cell>
        </row>
        <row r="1391">
          <cell r="Z1391" t="str">
            <v>141322</v>
          </cell>
        </row>
        <row r="1392">
          <cell r="Z1392" t="str">
            <v>141323</v>
          </cell>
        </row>
        <row r="1393">
          <cell r="Z1393" t="str">
            <v>141324</v>
          </cell>
        </row>
        <row r="1394">
          <cell r="Z1394" t="str">
            <v>141329</v>
          </cell>
        </row>
        <row r="1395">
          <cell r="Z1395" t="str">
            <v>142000</v>
          </cell>
        </row>
        <row r="1396">
          <cell r="Z1396" t="str">
            <v>142100</v>
          </cell>
        </row>
        <row r="1397">
          <cell r="Z1397" t="str">
            <v>142110</v>
          </cell>
        </row>
        <row r="1398">
          <cell r="Z1398" t="str">
            <v>142111</v>
          </cell>
        </row>
        <row r="1399">
          <cell r="Z1399" t="str">
            <v>142112</v>
          </cell>
        </row>
        <row r="1400">
          <cell r="Z1400" t="str">
            <v>142113</v>
          </cell>
        </row>
        <row r="1401">
          <cell r="Z1401" t="str">
            <v>142114</v>
          </cell>
        </row>
        <row r="1402">
          <cell r="Z1402" t="str">
            <v>142119</v>
          </cell>
        </row>
        <row r="1403">
          <cell r="Z1403" t="str">
            <v>142120</v>
          </cell>
        </row>
        <row r="1404">
          <cell r="Z1404" t="str">
            <v>142121</v>
          </cell>
        </row>
        <row r="1405">
          <cell r="Z1405" t="str">
            <v>142122</v>
          </cell>
        </row>
        <row r="1406">
          <cell r="Z1406" t="str">
            <v>142123</v>
          </cell>
        </row>
        <row r="1407">
          <cell r="Z1407" t="str">
            <v>142124</v>
          </cell>
        </row>
        <row r="1408">
          <cell r="Z1408" t="str">
            <v>142129</v>
          </cell>
        </row>
        <row r="1409">
          <cell r="Z1409" t="str">
            <v>142130</v>
          </cell>
        </row>
        <row r="1410">
          <cell r="Z1410" t="str">
            <v>142131</v>
          </cell>
        </row>
        <row r="1411">
          <cell r="Z1411" t="str">
            <v>142132</v>
          </cell>
        </row>
        <row r="1412">
          <cell r="Z1412" t="str">
            <v>142133</v>
          </cell>
        </row>
        <row r="1413">
          <cell r="Z1413" t="str">
            <v>142134</v>
          </cell>
        </row>
        <row r="1414">
          <cell r="Z1414" t="str">
            <v>142139</v>
          </cell>
        </row>
        <row r="1415">
          <cell r="Z1415" t="str">
            <v>142200</v>
          </cell>
        </row>
        <row r="1416">
          <cell r="Z1416" t="str">
            <v>142210</v>
          </cell>
        </row>
        <row r="1417">
          <cell r="Z1417" t="str">
            <v>142211</v>
          </cell>
        </row>
        <row r="1418">
          <cell r="Z1418" t="str">
            <v>142212</v>
          </cell>
        </row>
        <row r="1419">
          <cell r="Z1419" t="str">
            <v>142213</v>
          </cell>
        </row>
        <row r="1420">
          <cell r="Z1420" t="str">
            <v>142214</v>
          </cell>
        </row>
        <row r="1421">
          <cell r="Z1421" t="str">
            <v>142219</v>
          </cell>
        </row>
        <row r="1422">
          <cell r="Z1422" t="str">
            <v>142220</v>
          </cell>
        </row>
        <row r="1423">
          <cell r="Z1423" t="str">
            <v>142221</v>
          </cell>
        </row>
        <row r="1424">
          <cell r="Z1424" t="str">
            <v>142222</v>
          </cell>
        </row>
        <row r="1425">
          <cell r="Z1425" t="str">
            <v>142223</v>
          </cell>
        </row>
        <row r="1426">
          <cell r="Z1426" t="str">
            <v>142224</v>
          </cell>
        </row>
        <row r="1427">
          <cell r="Z1427" t="str">
            <v>142229</v>
          </cell>
        </row>
        <row r="1428">
          <cell r="Z1428" t="str">
            <v>142230</v>
          </cell>
        </row>
        <row r="1429">
          <cell r="Z1429" t="str">
            <v>142231</v>
          </cell>
        </row>
        <row r="1430">
          <cell r="Z1430" t="str">
            <v>142232</v>
          </cell>
        </row>
        <row r="1431">
          <cell r="Z1431" t="str">
            <v>142233</v>
          </cell>
        </row>
        <row r="1432">
          <cell r="Z1432" t="str">
            <v>142234</v>
          </cell>
        </row>
        <row r="1433">
          <cell r="Z1433" t="str">
            <v>142239</v>
          </cell>
        </row>
        <row r="1434">
          <cell r="Z1434" t="str">
            <v>142300</v>
          </cell>
        </row>
        <row r="1435">
          <cell r="Z1435" t="str">
            <v>142310</v>
          </cell>
        </row>
        <row r="1436">
          <cell r="Z1436" t="str">
            <v>142311</v>
          </cell>
        </row>
        <row r="1437">
          <cell r="Z1437" t="str">
            <v>142312</v>
          </cell>
        </row>
        <row r="1438">
          <cell r="Z1438" t="str">
            <v>142313</v>
          </cell>
        </row>
        <row r="1439">
          <cell r="Z1439" t="str">
            <v>142314</v>
          </cell>
        </row>
        <row r="1440">
          <cell r="Z1440" t="str">
            <v>142319</v>
          </cell>
        </row>
        <row r="1441">
          <cell r="Z1441" t="str">
            <v>142320</v>
          </cell>
        </row>
        <row r="1442">
          <cell r="Z1442" t="str">
            <v>142321</v>
          </cell>
        </row>
        <row r="1443">
          <cell r="Z1443" t="str">
            <v>142322</v>
          </cell>
        </row>
        <row r="1444">
          <cell r="Z1444" t="str">
            <v>142323</v>
          </cell>
        </row>
        <row r="1445">
          <cell r="Z1445" t="str">
            <v>142324</v>
          </cell>
        </row>
        <row r="1446">
          <cell r="Z1446" t="str">
            <v>142329</v>
          </cell>
        </row>
        <row r="1447">
          <cell r="Z1447" t="str">
            <v>142330</v>
          </cell>
        </row>
        <row r="1448">
          <cell r="Z1448" t="str">
            <v>142331</v>
          </cell>
        </row>
        <row r="1449">
          <cell r="Z1449" t="str">
            <v>142332</v>
          </cell>
        </row>
        <row r="1450">
          <cell r="Z1450" t="str">
            <v>142333</v>
          </cell>
        </row>
        <row r="1451">
          <cell r="Z1451" t="str">
            <v>142334</v>
          </cell>
        </row>
        <row r="1452">
          <cell r="Z1452" t="str">
            <v>142339</v>
          </cell>
        </row>
        <row r="1453">
          <cell r="Z1453" t="str">
            <v>142340</v>
          </cell>
        </row>
        <row r="1454">
          <cell r="Z1454" t="str">
            <v>142341</v>
          </cell>
        </row>
        <row r="1455">
          <cell r="Z1455" t="str">
            <v>142342</v>
          </cell>
        </row>
        <row r="1456">
          <cell r="Z1456" t="str">
            <v>142343</v>
          </cell>
        </row>
        <row r="1457">
          <cell r="Z1457" t="str">
            <v>142344</v>
          </cell>
        </row>
        <row r="1458">
          <cell r="Z1458" t="str">
            <v>142349</v>
          </cell>
        </row>
        <row r="1459">
          <cell r="Z1459" t="str">
            <v>142350</v>
          </cell>
        </row>
        <row r="1460">
          <cell r="Z1460" t="str">
            <v>142351</v>
          </cell>
        </row>
        <row r="1461">
          <cell r="Z1461" t="str">
            <v>142352</v>
          </cell>
        </row>
        <row r="1462">
          <cell r="Z1462" t="str">
            <v>142353</v>
          </cell>
        </row>
        <row r="1463">
          <cell r="Z1463" t="str">
            <v>142354</v>
          </cell>
        </row>
        <row r="1464">
          <cell r="Z1464" t="str">
            <v>142359</v>
          </cell>
        </row>
        <row r="1465">
          <cell r="Z1465" t="str">
            <v>142360</v>
          </cell>
        </row>
        <row r="1466">
          <cell r="Z1466" t="str">
            <v>142361</v>
          </cell>
        </row>
        <row r="1467">
          <cell r="Z1467" t="str">
            <v>142362</v>
          </cell>
        </row>
        <row r="1468">
          <cell r="Z1468" t="str">
            <v>142363</v>
          </cell>
        </row>
        <row r="1469">
          <cell r="Z1469" t="str">
            <v>142364</v>
          </cell>
        </row>
        <row r="1470">
          <cell r="Z1470" t="str">
            <v>142369</v>
          </cell>
        </row>
        <row r="1471">
          <cell r="Z1471" t="str">
            <v>142370</v>
          </cell>
        </row>
        <row r="1472">
          <cell r="Z1472" t="str">
            <v>142371</v>
          </cell>
        </row>
        <row r="1473">
          <cell r="Z1473" t="str">
            <v>142372</v>
          </cell>
        </row>
        <row r="1474">
          <cell r="Z1474" t="str">
            <v>142373</v>
          </cell>
        </row>
        <row r="1475">
          <cell r="Z1475" t="str">
            <v>142374</v>
          </cell>
        </row>
        <row r="1476">
          <cell r="Z1476" t="str">
            <v>142379</v>
          </cell>
        </row>
        <row r="1477">
          <cell r="Z1477" t="str">
            <v>142380</v>
          </cell>
        </row>
        <row r="1478">
          <cell r="Z1478" t="str">
            <v>142381</v>
          </cell>
        </row>
        <row r="1479">
          <cell r="Z1479" t="str">
            <v>142382</v>
          </cell>
        </row>
        <row r="1480">
          <cell r="Z1480" t="str">
            <v>142383</v>
          </cell>
        </row>
        <row r="1481">
          <cell r="Z1481" t="str">
            <v>142384</v>
          </cell>
        </row>
        <row r="1482">
          <cell r="Z1482" t="str">
            <v>142389</v>
          </cell>
        </row>
        <row r="1483">
          <cell r="Z1483" t="str">
            <v>142390</v>
          </cell>
        </row>
        <row r="1484">
          <cell r="Z1484" t="str">
            <v>142391</v>
          </cell>
        </row>
        <row r="1485">
          <cell r="Z1485" t="str">
            <v>142392</v>
          </cell>
        </row>
        <row r="1486">
          <cell r="Z1486" t="str">
            <v>142393</v>
          </cell>
        </row>
        <row r="1487">
          <cell r="Z1487" t="str">
            <v>142394</v>
          </cell>
        </row>
        <row r="1488">
          <cell r="Z1488" t="str">
            <v>142399</v>
          </cell>
        </row>
        <row r="1489">
          <cell r="Z1489" t="str">
            <v>142400</v>
          </cell>
        </row>
        <row r="1490">
          <cell r="Z1490" t="str">
            <v>142410</v>
          </cell>
        </row>
        <row r="1491">
          <cell r="Z1491" t="str">
            <v>142411</v>
          </cell>
        </row>
        <row r="1492">
          <cell r="Z1492" t="str">
            <v>142412</v>
          </cell>
        </row>
        <row r="1493">
          <cell r="Z1493" t="str">
            <v>142413</v>
          </cell>
        </row>
        <row r="1494">
          <cell r="Z1494" t="str">
            <v>142414</v>
          </cell>
        </row>
        <row r="1495">
          <cell r="Z1495" t="str">
            <v>142419</v>
          </cell>
        </row>
        <row r="1496">
          <cell r="Z1496" t="str">
            <v>142420</v>
          </cell>
        </row>
        <row r="1497">
          <cell r="Z1497" t="str">
            <v>142421</v>
          </cell>
        </row>
        <row r="1498">
          <cell r="Z1498" t="str">
            <v>142422</v>
          </cell>
        </row>
        <row r="1499">
          <cell r="Z1499" t="str">
            <v>142423</v>
          </cell>
        </row>
        <row r="1500">
          <cell r="Z1500" t="str">
            <v>142424</v>
          </cell>
        </row>
        <row r="1501">
          <cell r="Z1501" t="str">
            <v>142429</v>
          </cell>
        </row>
        <row r="1502">
          <cell r="Z1502" t="str">
            <v>142430</v>
          </cell>
        </row>
        <row r="1503">
          <cell r="Z1503" t="str">
            <v>142431</v>
          </cell>
        </row>
        <row r="1504">
          <cell r="Z1504" t="str">
            <v>142432</v>
          </cell>
        </row>
        <row r="1505">
          <cell r="Z1505" t="str">
            <v>142433</v>
          </cell>
        </row>
        <row r="1506">
          <cell r="Z1506" t="str">
            <v>142434</v>
          </cell>
        </row>
        <row r="1507">
          <cell r="Z1507" t="str">
            <v>142439</v>
          </cell>
        </row>
        <row r="1508">
          <cell r="Z1508" t="str">
            <v>142500</v>
          </cell>
        </row>
        <row r="1509">
          <cell r="Z1509" t="str">
            <v>142510</v>
          </cell>
        </row>
        <row r="1510">
          <cell r="Z1510" t="str">
            <v>142511</v>
          </cell>
        </row>
        <row r="1511">
          <cell r="Z1511" t="str">
            <v>142512</v>
          </cell>
        </row>
        <row r="1512">
          <cell r="Z1512" t="str">
            <v>142513</v>
          </cell>
        </row>
        <row r="1513">
          <cell r="Z1513" t="str">
            <v>142514</v>
          </cell>
        </row>
        <row r="1514">
          <cell r="Z1514" t="str">
            <v>142519</v>
          </cell>
        </row>
        <row r="1515">
          <cell r="Z1515" t="str">
            <v>142520</v>
          </cell>
        </row>
        <row r="1516">
          <cell r="Z1516" t="str">
            <v>142521</v>
          </cell>
        </row>
        <row r="1517">
          <cell r="Z1517" t="str">
            <v>142522</v>
          </cell>
        </row>
        <row r="1518">
          <cell r="Z1518" t="str">
            <v>142523</v>
          </cell>
        </row>
        <row r="1519">
          <cell r="Z1519" t="str">
            <v>142524</v>
          </cell>
        </row>
        <row r="1520">
          <cell r="Z1520" t="str">
            <v>142529</v>
          </cell>
        </row>
        <row r="1521">
          <cell r="Z1521" t="str">
            <v>142600</v>
          </cell>
        </row>
        <row r="1522">
          <cell r="Z1522" t="str">
            <v>142610</v>
          </cell>
        </row>
        <row r="1523">
          <cell r="Z1523" t="str">
            <v>142611</v>
          </cell>
        </row>
        <row r="1524">
          <cell r="Z1524" t="str">
            <v>142612</v>
          </cell>
        </row>
        <row r="1525">
          <cell r="Z1525" t="str">
            <v>142613</v>
          </cell>
        </row>
        <row r="1526">
          <cell r="Z1526" t="str">
            <v>142614</v>
          </cell>
        </row>
        <row r="1527">
          <cell r="Z1527" t="str">
            <v>142619</v>
          </cell>
        </row>
        <row r="1528">
          <cell r="Z1528" t="str">
            <v>142620</v>
          </cell>
        </row>
        <row r="1529">
          <cell r="Z1529" t="str">
            <v>142621</v>
          </cell>
        </row>
        <row r="1530">
          <cell r="Z1530" t="str">
            <v>142622</v>
          </cell>
        </row>
        <row r="1531">
          <cell r="Z1531" t="str">
            <v>142623</v>
          </cell>
        </row>
        <row r="1532">
          <cell r="Z1532" t="str">
            <v>142624</v>
          </cell>
        </row>
        <row r="1533">
          <cell r="Z1533" t="str">
            <v>142629</v>
          </cell>
        </row>
        <row r="1534">
          <cell r="Z1534" t="str">
            <v>142700</v>
          </cell>
        </row>
        <row r="1535">
          <cell r="Z1535" t="str">
            <v>142710</v>
          </cell>
        </row>
        <row r="1536">
          <cell r="Z1536" t="str">
            <v>142711</v>
          </cell>
        </row>
        <row r="1537">
          <cell r="Z1537" t="str">
            <v>142712</v>
          </cell>
        </row>
        <row r="1538">
          <cell r="Z1538" t="str">
            <v>142713</v>
          </cell>
        </row>
        <row r="1539">
          <cell r="Z1539" t="str">
            <v>142714</v>
          </cell>
        </row>
        <row r="1540">
          <cell r="Z1540" t="str">
            <v>142719</v>
          </cell>
        </row>
        <row r="1541">
          <cell r="Z1541" t="str">
            <v>142720</v>
          </cell>
        </row>
        <row r="1542">
          <cell r="Z1542" t="str">
            <v>142721</v>
          </cell>
        </row>
        <row r="1543">
          <cell r="Z1543" t="str">
            <v>142722</v>
          </cell>
        </row>
        <row r="1544">
          <cell r="Z1544" t="str">
            <v>142723</v>
          </cell>
        </row>
        <row r="1545">
          <cell r="Z1545" t="str">
            <v>142724</v>
          </cell>
        </row>
        <row r="1546">
          <cell r="Z1546" t="str">
            <v>142729</v>
          </cell>
        </row>
        <row r="1547">
          <cell r="Z1547" t="str">
            <v>142730</v>
          </cell>
        </row>
        <row r="1548">
          <cell r="Z1548" t="str">
            <v>142731</v>
          </cell>
        </row>
        <row r="1549">
          <cell r="Z1549" t="str">
            <v>142732</v>
          </cell>
        </row>
        <row r="1550">
          <cell r="Z1550" t="str">
            <v>142733</v>
          </cell>
        </row>
        <row r="1551">
          <cell r="Z1551" t="str">
            <v>142734</v>
          </cell>
        </row>
        <row r="1552">
          <cell r="Z1552" t="str">
            <v>142739</v>
          </cell>
        </row>
        <row r="1553">
          <cell r="Z1553" t="str">
            <v>142740</v>
          </cell>
        </row>
        <row r="1554">
          <cell r="Z1554" t="str">
            <v>142741</v>
          </cell>
        </row>
        <row r="1555">
          <cell r="Z1555" t="str">
            <v>142742</v>
          </cell>
        </row>
        <row r="1556">
          <cell r="Z1556" t="str">
            <v>142743</v>
          </cell>
        </row>
        <row r="1557">
          <cell r="Z1557" t="str">
            <v>142744</v>
          </cell>
        </row>
        <row r="1558">
          <cell r="Z1558" t="str">
            <v>142749</v>
          </cell>
        </row>
        <row r="1559">
          <cell r="Z1559" t="str">
            <v>142750</v>
          </cell>
        </row>
        <row r="1560">
          <cell r="Z1560" t="str">
            <v>142751</v>
          </cell>
        </row>
        <row r="1561">
          <cell r="Z1561" t="str">
            <v>142752</v>
          </cell>
        </row>
        <row r="1562">
          <cell r="Z1562" t="str">
            <v>142753</v>
          </cell>
        </row>
        <row r="1563">
          <cell r="Z1563" t="str">
            <v>142754</v>
          </cell>
        </row>
        <row r="1564">
          <cell r="Z1564" t="str">
            <v>142759</v>
          </cell>
        </row>
        <row r="1565">
          <cell r="Z1565" t="str">
            <v>142760</v>
          </cell>
        </row>
        <row r="1566">
          <cell r="Z1566" t="str">
            <v>142761</v>
          </cell>
        </row>
        <row r="1567">
          <cell r="Z1567" t="str">
            <v>142762</v>
          </cell>
        </row>
        <row r="1568">
          <cell r="Z1568" t="str">
            <v>142763</v>
          </cell>
        </row>
        <row r="1569">
          <cell r="Z1569" t="str">
            <v>142764</v>
          </cell>
        </row>
        <row r="1570">
          <cell r="Z1570" t="str">
            <v>142769</v>
          </cell>
        </row>
        <row r="1571">
          <cell r="Z1571" t="str">
            <v>142770</v>
          </cell>
        </row>
        <row r="1572">
          <cell r="Z1572" t="str">
            <v>142771</v>
          </cell>
        </row>
        <row r="1573">
          <cell r="Z1573" t="str">
            <v>142772</v>
          </cell>
        </row>
        <row r="1574">
          <cell r="Z1574" t="str">
            <v>142773</v>
          </cell>
        </row>
        <row r="1575">
          <cell r="Z1575" t="str">
            <v>142774</v>
          </cell>
        </row>
        <row r="1576">
          <cell r="Z1576" t="str">
            <v>142779</v>
          </cell>
        </row>
        <row r="1577">
          <cell r="Z1577" t="str">
            <v>142780</v>
          </cell>
        </row>
        <row r="1578">
          <cell r="Z1578" t="str">
            <v>142781</v>
          </cell>
        </row>
        <row r="1579">
          <cell r="Z1579" t="str">
            <v>142782</v>
          </cell>
        </row>
        <row r="1580">
          <cell r="Z1580" t="str">
            <v>142783</v>
          </cell>
        </row>
        <row r="1581">
          <cell r="Z1581" t="str">
            <v>142784</v>
          </cell>
        </row>
        <row r="1582">
          <cell r="Z1582" t="str">
            <v>142789</v>
          </cell>
        </row>
        <row r="1583">
          <cell r="Z1583" t="str">
            <v>142790</v>
          </cell>
        </row>
        <row r="1584">
          <cell r="Z1584" t="str">
            <v>142791</v>
          </cell>
        </row>
        <row r="1585">
          <cell r="Z1585" t="str">
            <v>142792</v>
          </cell>
        </row>
        <row r="1586">
          <cell r="Z1586" t="str">
            <v>142793</v>
          </cell>
        </row>
        <row r="1587">
          <cell r="Z1587" t="str">
            <v>142794</v>
          </cell>
        </row>
        <row r="1588">
          <cell r="Z1588" t="str">
            <v>142799</v>
          </cell>
        </row>
        <row r="1589">
          <cell r="Z1589" t="str">
            <v>14280</v>
          </cell>
        </row>
        <row r="1590">
          <cell r="Z1590" t="str">
            <v>142810</v>
          </cell>
        </row>
        <row r="1591">
          <cell r="Z1591" t="str">
            <v>142811</v>
          </cell>
        </row>
        <row r="1592">
          <cell r="Z1592" t="str">
            <v>142812</v>
          </cell>
        </row>
        <row r="1593">
          <cell r="Z1593" t="str">
            <v>142813</v>
          </cell>
        </row>
        <row r="1594">
          <cell r="Z1594" t="str">
            <v>142814</v>
          </cell>
        </row>
        <row r="1595">
          <cell r="Z1595" t="str">
            <v>142819</v>
          </cell>
        </row>
        <row r="1596">
          <cell r="Z1596" t="str">
            <v>142820</v>
          </cell>
        </row>
        <row r="1597">
          <cell r="Z1597" t="str">
            <v>142821</v>
          </cell>
        </row>
        <row r="1598">
          <cell r="Z1598" t="str">
            <v>142822</v>
          </cell>
        </row>
        <row r="1599">
          <cell r="Z1599" t="str">
            <v>142823</v>
          </cell>
        </row>
        <row r="1600">
          <cell r="Z1600" t="str">
            <v>142824</v>
          </cell>
        </row>
        <row r="1601">
          <cell r="Z1601" t="str">
            <v>142829</v>
          </cell>
        </row>
        <row r="1602">
          <cell r="Z1602" t="str">
            <v>142830</v>
          </cell>
        </row>
        <row r="1603">
          <cell r="Z1603" t="str">
            <v>142831</v>
          </cell>
        </row>
        <row r="1604">
          <cell r="Z1604" t="str">
            <v>142832</v>
          </cell>
        </row>
        <row r="1605">
          <cell r="Z1605" t="str">
            <v>142833</v>
          </cell>
        </row>
        <row r="1606">
          <cell r="Z1606" t="str">
            <v>142834</v>
          </cell>
        </row>
        <row r="1607">
          <cell r="Z1607" t="str">
            <v>142839</v>
          </cell>
        </row>
        <row r="1608">
          <cell r="Z1608" t="str">
            <v>143000</v>
          </cell>
        </row>
        <row r="1609">
          <cell r="Z1609" t="str">
            <v>143100</v>
          </cell>
        </row>
        <row r="1610">
          <cell r="Z1610" t="str">
            <v>143110</v>
          </cell>
        </row>
        <row r="1611">
          <cell r="Z1611" t="str">
            <v>143111</v>
          </cell>
        </row>
        <row r="1612">
          <cell r="Z1612" t="str">
            <v>143112</v>
          </cell>
        </row>
        <row r="1613">
          <cell r="Z1613" t="str">
            <v>143113</v>
          </cell>
        </row>
        <row r="1614">
          <cell r="Z1614" t="str">
            <v>143114</v>
          </cell>
        </row>
        <row r="1615">
          <cell r="Z1615" t="str">
            <v>143119</v>
          </cell>
        </row>
        <row r="1616">
          <cell r="Z1616" t="str">
            <v>143120</v>
          </cell>
        </row>
        <row r="1617">
          <cell r="Z1617" t="str">
            <v>143121</v>
          </cell>
        </row>
        <row r="1618">
          <cell r="Z1618" t="str">
            <v>143122</v>
          </cell>
        </row>
        <row r="1619">
          <cell r="Z1619" t="str">
            <v>143123</v>
          </cell>
        </row>
        <row r="1620">
          <cell r="Z1620" t="str">
            <v>143124</v>
          </cell>
        </row>
        <row r="1621">
          <cell r="Z1621" t="str">
            <v>143129</v>
          </cell>
        </row>
        <row r="1622">
          <cell r="Z1622" t="str">
            <v>143200</v>
          </cell>
        </row>
        <row r="1623">
          <cell r="Z1623" t="str">
            <v>143210</v>
          </cell>
        </row>
        <row r="1624">
          <cell r="Z1624" t="str">
            <v>143211</v>
          </cell>
        </row>
        <row r="1625">
          <cell r="Z1625" t="str">
            <v>143212</v>
          </cell>
        </row>
        <row r="1626">
          <cell r="Z1626" t="str">
            <v>143213</v>
          </cell>
        </row>
        <row r="1627">
          <cell r="Z1627" t="str">
            <v>143214</v>
          </cell>
        </row>
        <row r="1628">
          <cell r="Z1628" t="str">
            <v>143219</v>
          </cell>
        </row>
        <row r="1629">
          <cell r="Z1629" t="str">
            <v>143220</v>
          </cell>
        </row>
        <row r="1630">
          <cell r="Z1630" t="str">
            <v>143221</v>
          </cell>
        </row>
        <row r="1631">
          <cell r="Z1631" t="str">
            <v>143222</v>
          </cell>
        </row>
        <row r="1632">
          <cell r="Z1632" t="str">
            <v>143223</v>
          </cell>
        </row>
        <row r="1633">
          <cell r="Z1633" t="str">
            <v>143224</v>
          </cell>
        </row>
        <row r="1634">
          <cell r="Z1634" t="str">
            <v>143229</v>
          </cell>
        </row>
        <row r="1635">
          <cell r="Z1635" t="str">
            <v>143300</v>
          </cell>
        </row>
        <row r="1636">
          <cell r="Z1636" t="str">
            <v>143310</v>
          </cell>
        </row>
        <row r="1637">
          <cell r="Z1637" t="str">
            <v>143311</v>
          </cell>
        </row>
        <row r="1638">
          <cell r="Z1638" t="str">
            <v>143312</v>
          </cell>
        </row>
        <row r="1639">
          <cell r="Z1639" t="str">
            <v>143313</v>
          </cell>
        </row>
        <row r="1640">
          <cell r="Z1640" t="str">
            <v>143314</v>
          </cell>
        </row>
        <row r="1641">
          <cell r="Z1641" t="str">
            <v>143319</v>
          </cell>
        </row>
        <row r="1642">
          <cell r="Z1642" t="str">
            <v>143320</v>
          </cell>
        </row>
        <row r="1643">
          <cell r="Z1643" t="str">
            <v>143321</v>
          </cell>
        </row>
        <row r="1644">
          <cell r="Z1644" t="str">
            <v>143322</v>
          </cell>
        </row>
        <row r="1645">
          <cell r="Z1645" t="str">
            <v>143323</v>
          </cell>
        </row>
        <row r="1646">
          <cell r="Z1646" t="str">
            <v>143324</v>
          </cell>
        </row>
        <row r="1647">
          <cell r="Z1647" t="str">
            <v>143329</v>
          </cell>
        </row>
        <row r="1648">
          <cell r="Z1648" t="str">
            <v>143400</v>
          </cell>
        </row>
        <row r="1649">
          <cell r="Z1649" t="str">
            <v>143410</v>
          </cell>
        </row>
        <row r="1650">
          <cell r="Z1650" t="str">
            <v>143411</v>
          </cell>
        </row>
        <row r="1651">
          <cell r="Z1651" t="str">
            <v>143412</v>
          </cell>
        </row>
        <row r="1652">
          <cell r="Z1652" t="str">
            <v>143413</v>
          </cell>
        </row>
        <row r="1653">
          <cell r="Z1653" t="str">
            <v>143414</v>
          </cell>
        </row>
        <row r="1654">
          <cell r="Z1654" t="str">
            <v>143419</v>
          </cell>
        </row>
        <row r="1655">
          <cell r="Z1655" t="str">
            <v>143420</v>
          </cell>
        </row>
        <row r="1656">
          <cell r="Z1656" t="str">
            <v>143421</v>
          </cell>
        </row>
        <row r="1657">
          <cell r="Z1657" t="str">
            <v>143422</v>
          </cell>
        </row>
        <row r="1658">
          <cell r="Z1658" t="str">
            <v>143423</v>
          </cell>
        </row>
        <row r="1659">
          <cell r="Z1659" t="str">
            <v>143424</v>
          </cell>
        </row>
        <row r="1660">
          <cell r="Z1660" t="str">
            <v>143429</v>
          </cell>
        </row>
        <row r="1661">
          <cell r="Z1661" t="str">
            <v>143500</v>
          </cell>
        </row>
        <row r="1662">
          <cell r="Z1662" t="str">
            <v>143510</v>
          </cell>
        </row>
        <row r="1663">
          <cell r="Z1663" t="str">
            <v>143511</v>
          </cell>
        </row>
        <row r="1664">
          <cell r="Z1664" t="str">
            <v>143512</v>
          </cell>
        </row>
        <row r="1665">
          <cell r="Z1665" t="str">
            <v>143513</v>
          </cell>
        </row>
        <row r="1666">
          <cell r="Z1666" t="str">
            <v>143514</v>
          </cell>
        </row>
        <row r="1667">
          <cell r="Z1667" t="str">
            <v>143519</v>
          </cell>
        </row>
        <row r="1668">
          <cell r="Z1668" t="str">
            <v>143520</v>
          </cell>
        </row>
        <row r="1669">
          <cell r="Z1669" t="str">
            <v>143521</v>
          </cell>
        </row>
        <row r="1670">
          <cell r="Z1670" t="str">
            <v>143522</v>
          </cell>
        </row>
        <row r="1671">
          <cell r="Z1671" t="str">
            <v>143523</v>
          </cell>
        </row>
        <row r="1672">
          <cell r="Z1672" t="str">
            <v>143524</v>
          </cell>
        </row>
        <row r="1673">
          <cell r="Z1673" t="str">
            <v>143529</v>
          </cell>
        </row>
        <row r="1674">
          <cell r="Z1674" t="str">
            <v>143900</v>
          </cell>
        </row>
        <row r="1675">
          <cell r="Z1675" t="str">
            <v>143910</v>
          </cell>
        </row>
        <row r="1676">
          <cell r="Z1676" t="str">
            <v>143911</v>
          </cell>
        </row>
        <row r="1677">
          <cell r="Z1677" t="str">
            <v>143912</v>
          </cell>
        </row>
        <row r="1678">
          <cell r="Z1678" t="str">
            <v>143913</v>
          </cell>
        </row>
        <row r="1679">
          <cell r="Z1679" t="str">
            <v>143914</v>
          </cell>
        </row>
        <row r="1680">
          <cell r="Z1680" t="str">
            <v>143919</v>
          </cell>
        </row>
        <row r="1681">
          <cell r="Z1681" t="str">
            <v>143920</v>
          </cell>
        </row>
        <row r="1682">
          <cell r="Z1682" t="str">
            <v>143921</v>
          </cell>
        </row>
        <row r="1683">
          <cell r="Z1683" t="str">
            <v>143922</v>
          </cell>
        </row>
        <row r="1684">
          <cell r="Z1684" t="str">
            <v>143923</v>
          </cell>
        </row>
        <row r="1685">
          <cell r="Z1685" t="str">
            <v>143924</v>
          </cell>
        </row>
        <row r="1686">
          <cell r="Z1686" t="str">
            <v>143929</v>
          </cell>
        </row>
        <row r="1687">
          <cell r="Z1687" t="str">
            <v>150000</v>
          </cell>
        </row>
        <row r="1688">
          <cell r="Z1688" t="str">
            <v>151000</v>
          </cell>
        </row>
        <row r="1689">
          <cell r="Z1689" t="str">
            <v>151100</v>
          </cell>
        </row>
        <row r="1690">
          <cell r="Z1690" t="str">
            <v>151110</v>
          </cell>
        </row>
        <row r="1691">
          <cell r="Z1691" t="str">
            <v>151111</v>
          </cell>
        </row>
        <row r="1692">
          <cell r="Z1692" t="str">
            <v>151112</v>
          </cell>
        </row>
        <row r="1693">
          <cell r="Z1693" t="str">
            <v>151113</v>
          </cell>
        </row>
        <row r="1694">
          <cell r="Z1694" t="str">
            <v>151114</v>
          </cell>
        </row>
        <row r="1695">
          <cell r="Z1695" t="str">
            <v>151119</v>
          </cell>
        </row>
        <row r="1696">
          <cell r="Z1696" t="str">
            <v>151120</v>
          </cell>
        </row>
        <row r="1697">
          <cell r="Z1697" t="str">
            <v>151121</v>
          </cell>
        </row>
        <row r="1698">
          <cell r="Z1698" t="str">
            <v>151122</v>
          </cell>
        </row>
        <row r="1699">
          <cell r="Z1699" t="str">
            <v>151123</v>
          </cell>
        </row>
        <row r="1700">
          <cell r="Z1700" t="str">
            <v>151124</v>
          </cell>
        </row>
        <row r="1701">
          <cell r="Z1701" t="str">
            <v>151129</v>
          </cell>
        </row>
        <row r="1702">
          <cell r="Z1702" t="str">
            <v>151200</v>
          </cell>
        </row>
        <row r="1703">
          <cell r="Z1703" t="str">
            <v>151210</v>
          </cell>
        </row>
        <row r="1704">
          <cell r="Z1704" t="str">
            <v>151211</v>
          </cell>
        </row>
        <row r="1705">
          <cell r="Z1705" t="str">
            <v>151212</v>
          </cell>
        </row>
        <row r="1706">
          <cell r="Z1706" t="str">
            <v>151213</v>
          </cell>
        </row>
        <row r="1707">
          <cell r="Z1707" t="str">
            <v>151214</v>
          </cell>
        </row>
        <row r="1708">
          <cell r="Z1708" t="str">
            <v>151219</v>
          </cell>
        </row>
        <row r="1709">
          <cell r="Z1709" t="str">
            <v>151220</v>
          </cell>
        </row>
        <row r="1710">
          <cell r="Z1710" t="str">
            <v>151221</v>
          </cell>
        </row>
        <row r="1711">
          <cell r="Z1711" t="str">
            <v>151222</v>
          </cell>
        </row>
        <row r="1712">
          <cell r="Z1712" t="str">
            <v>151223</v>
          </cell>
        </row>
        <row r="1713">
          <cell r="Z1713" t="str">
            <v>151224</v>
          </cell>
        </row>
        <row r="1714">
          <cell r="Z1714" t="str">
            <v>151229</v>
          </cell>
        </row>
        <row r="1715">
          <cell r="Z1715" t="str">
            <v>151300</v>
          </cell>
        </row>
        <row r="1716">
          <cell r="Z1716" t="str">
            <v>151310</v>
          </cell>
        </row>
        <row r="1717">
          <cell r="Z1717" t="str">
            <v>151311</v>
          </cell>
        </row>
        <row r="1718">
          <cell r="Z1718" t="str">
            <v>151312</v>
          </cell>
        </row>
        <row r="1719">
          <cell r="Z1719" t="str">
            <v>151313</v>
          </cell>
        </row>
        <row r="1720">
          <cell r="Z1720" t="str">
            <v>151314</v>
          </cell>
        </row>
        <row r="1721">
          <cell r="Z1721" t="str">
            <v>151319</v>
          </cell>
        </row>
        <row r="1722">
          <cell r="Z1722" t="str">
            <v>151320</v>
          </cell>
        </row>
        <row r="1723">
          <cell r="Z1723" t="str">
            <v>151321</v>
          </cell>
        </row>
        <row r="1724">
          <cell r="Z1724" t="str">
            <v>151322</v>
          </cell>
        </row>
        <row r="1725">
          <cell r="Z1725" t="str">
            <v>151323</v>
          </cell>
        </row>
        <row r="1726">
          <cell r="Z1726" t="str">
            <v>151324</v>
          </cell>
        </row>
        <row r="1727">
          <cell r="Z1727" t="str">
            <v>151329</v>
          </cell>
        </row>
        <row r="1728">
          <cell r="Z1728" t="str">
            <v>152000</v>
          </cell>
        </row>
        <row r="1729">
          <cell r="Z1729" t="str">
            <v>152100</v>
          </cell>
        </row>
        <row r="1730">
          <cell r="Z1730" t="str">
            <v>152110</v>
          </cell>
        </row>
        <row r="1731">
          <cell r="Z1731" t="str">
            <v>152111</v>
          </cell>
        </row>
        <row r="1732">
          <cell r="Z1732" t="str">
            <v>152112</v>
          </cell>
        </row>
        <row r="1733">
          <cell r="Z1733" t="str">
            <v>152113</v>
          </cell>
        </row>
        <row r="1734">
          <cell r="Z1734" t="str">
            <v>152114</v>
          </cell>
        </row>
        <row r="1735">
          <cell r="Z1735" t="str">
            <v>152119</v>
          </cell>
        </row>
        <row r="1736">
          <cell r="Z1736" t="str">
            <v>152120</v>
          </cell>
        </row>
        <row r="1737">
          <cell r="Z1737" t="str">
            <v>152121</v>
          </cell>
        </row>
        <row r="1738">
          <cell r="Z1738" t="str">
            <v>152122</v>
          </cell>
        </row>
        <row r="1739">
          <cell r="Z1739" t="str">
            <v>152123</v>
          </cell>
        </row>
        <row r="1740">
          <cell r="Z1740" t="str">
            <v>152124</v>
          </cell>
        </row>
        <row r="1741">
          <cell r="Z1741" t="str">
            <v>152129</v>
          </cell>
        </row>
        <row r="1742">
          <cell r="Z1742" t="str">
            <v>152130</v>
          </cell>
        </row>
        <row r="1743">
          <cell r="Z1743" t="str">
            <v>152131</v>
          </cell>
        </row>
        <row r="1744">
          <cell r="Z1744" t="str">
            <v>152132</v>
          </cell>
        </row>
        <row r="1745">
          <cell r="Z1745" t="str">
            <v>152133</v>
          </cell>
        </row>
        <row r="1746">
          <cell r="Z1746" t="str">
            <v>152134</v>
          </cell>
        </row>
        <row r="1747">
          <cell r="Z1747" t="str">
            <v>152139</v>
          </cell>
        </row>
        <row r="1748">
          <cell r="Z1748" t="str">
            <v>152200</v>
          </cell>
        </row>
        <row r="1749">
          <cell r="Z1749" t="str">
            <v>152210</v>
          </cell>
        </row>
        <row r="1750">
          <cell r="Z1750" t="str">
            <v>152211</v>
          </cell>
        </row>
        <row r="1751">
          <cell r="Z1751" t="str">
            <v>152212</v>
          </cell>
        </row>
        <row r="1752">
          <cell r="Z1752" t="str">
            <v>152213</v>
          </cell>
        </row>
        <row r="1753">
          <cell r="Z1753" t="str">
            <v>152214</v>
          </cell>
        </row>
        <row r="1754">
          <cell r="Z1754" t="str">
            <v>152219</v>
          </cell>
        </row>
        <row r="1755">
          <cell r="Z1755" t="str">
            <v>152220</v>
          </cell>
        </row>
        <row r="1756">
          <cell r="Z1756" t="str">
            <v>152221</v>
          </cell>
        </row>
        <row r="1757">
          <cell r="Z1757" t="str">
            <v>152222</v>
          </cell>
        </row>
        <row r="1758">
          <cell r="Z1758" t="str">
            <v>152223</v>
          </cell>
        </row>
        <row r="1759">
          <cell r="Z1759" t="str">
            <v>152224</v>
          </cell>
        </row>
        <row r="1760">
          <cell r="Z1760" t="str">
            <v>152229</v>
          </cell>
        </row>
        <row r="1761">
          <cell r="Z1761" t="str">
            <v>152230</v>
          </cell>
        </row>
        <row r="1762">
          <cell r="Z1762" t="str">
            <v>152231</v>
          </cell>
        </row>
        <row r="1763">
          <cell r="Z1763" t="str">
            <v>152232</v>
          </cell>
        </row>
        <row r="1764">
          <cell r="Z1764" t="str">
            <v>152233</v>
          </cell>
        </row>
        <row r="1765">
          <cell r="Z1765" t="str">
            <v>152234</v>
          </cell>
        </row>
        <row r="1766">
          <cell r="Z1766" t="str">
            <v>152239</v>
          </cell>
        </row>
        <row r="1767">
          <cell r="Z1767" t="str">
            <v>152300</v>
          </cell>
        </row>
        <row r="1768">
          <cell r="Z1768" t="str">
            <v>152310</v>
          </cell>
        </row>
        <row r="1769">
          <cell r="Z1769" t="str">
            <v>152311</v>
          </cell>
        </row>
        <row r="1770">
          <cell r="Z1770" t="str">
            <v>152312</v>
          </cell>
        </row>
        <row r="1771">
          <cell r="Z1771" t="str">
            <v>152313</v>
          </cell>
        </row>
        <row r="1772">
          <cell r="Z1772" t="str">
            <v>152314</v>
          </cell>
        </row>
        <row r="1773">
          <cell r="Z1773" t="str">
            <v>152319</v>
          </cell>
        </row>
        <row r="1774">
          <cell r="Z1774" t="str">
            <v>152320</v>
          </cell>
        </row>
        <row r="1775">
          <cell r="Z1775" t="str">
            <v>152321</v>
          </cell>
        </row>
        <row r="1776">
          <cell r="Z1776" t="str">
            <v>152322</v>
          </cell>
        </row>
        <row r="1777">
          <cell r="Z1777" t="str">
            <v>152323</v>
          </cell>
        </row>
        <row r="1778">
          <cell r="Z1778" t="str">
            <v>152324</v>
          </cell>
        </row>
        <row r="1779">
          <cell r="Z1779" t="str">
            <v>152329</v>
          </cell>
        </row>
        <row r="1780">
          <cell r="Z1780" t="str">
            <v>152330</v>
          </cell>
        </row>
        <row r="1781">
          <cell r="Z1781" t="str">
            <v>152331</v>
          </cell>
        </row>
        <row r="1782">
          <cell r="Z1782" t="str">
            <v>152332</v>
          </cell>
        </row>
        <row r="1783">
          <cell r="Z1783" t="str">
            <v>152333</v>
          </cell>
        </row>
        <row r="1784">
          <cell r="Z1784" t="str">
            <v>152334</v>
          </cell>
        </row>
        <row r="1785">
          <cell r="Z1785" t="str">
            <v>152339</v>
          </cell>
        </row>
        <row r="1786">
          <cell r="Z1786" t="str">
            <v>152340</v>
          </cell>
        </row>
        <row r="1787">
          <cell r="Z1787" t="str">
            <v>152341</v>
          </cell>
        </row>
        <row r="1788">
          <cell r="Z1788" t="str">
            <v>152342</v>
          </cell>
        </row>
        <row r="1789">
          <cell r="Z1789" t="str">
            <v>152343</v>
          </cell>
        </row>
        <row r="1790">
          <cell r="Z1790" t="str">
            <v>152344</v>
          </cell>
        </row>
        <row r="1791">
          <cell r="Z1791" t="str">
            <v>152349</v>
          </cell>
        </row>
        <row r="1792">
          <cell r="Z1792" t="str">
            <v>152350</v>
          </cell>
        </row>
        <row r="1793">
          <cell r="Z1793" t="str">
            <v>152351</v>
          </cell>
        </row>
        <row r="1794">
          <cell r="Z1794" t="str">
            <v>152352</v>
          </cell>
        </row>
        <row r="1795">
          <cell r="Z1795" t="str">
            <v>152353</v>
          </cell>
        </row>
        <row r="1796">
          <cell r="Z1796" t="str">
            <v>152354</v>
          </cell>
        </row>
        <row r="1797">
          <cell r="Z1797" t="str">
            <v>152359</v>
          </cell>
        </row>
        <row r="1798">
          <cell r="Z1798" t="str">
            <v>152360</v>
          </cell>
        </row>
        <row r="1799">
          <cell r="Z1799" t="str">
            <v>152361</v>
          </cell>
        </row>
        <row r="1800">
          <cell r="Z1800" t="str">
            <v>152362</v>
          </cell>
        </row>
        <row r="1801">
          <cell r="Z1801" t="str">
            <v>152363</v>
          </cell>
        </row>
        <row r="1802">
          <cell r="Z1802" t="str">
            <v>152364</v>
          </cell>
        </row>
        <row r="1803">
          <cell r="Z1803" t="str">
            <v>152369</v>
          </cell>
        </row>
        <row r="1804">
          <cell r="Z1804" t="str">
            <v>152370</v>
          </cell>
        </row>
        <row r="1805">
          <cell r="Z1805" t="str">
            <v>152371</v>
          </cell>
        </row>
        <row r="1806">
          <cell r="Z1806" t="str">
            <v>152372</v>
          </cell>
        </row>
        <row r="1807">
          <cell r="Z1807" t="str">
            <v>152373</v>
          </cell>
        </row>
        <row r="1808">
          <cell r="Z1808" t="str">
            <v>152374</v>
          </cell>
        </row>
        <row r="1809">
          <cell r="Z1809" t="str">
            <v>152379</v>
          </cell>
        </row>
        <row r="1810">
          <cell r="Z1810" t="str">
            <v>152380</v>
          </cell>
        </row>
        <row r="1811">
          <cell r="Z1811" t="str">
            <v>152381</v>
          </cell>
        </row>
        <row r="1812">
          <cell r="Z1812" t="str">
            <v>152382</v>
          </cell>
        </row>
        <row r="1813">
          <cell r="Z1813" t="str">
            <v>152383</v>
          </cell>
        </row>
        <row r="1814">
          <cell r="Z1814" t="str">
            <v>152384</v>
          </cell>
        </row>
        <row r="1815">
          <cell r="Z1815" t="str">
            <v>152389</v>
          </cell>
        </row>
        <row r="1816">
          <cell r="Z1816" t="str">
            <v>152390</v>
          </cell>
        </row>
        <row r="1817">
          <cell r="Z1817" t="str">
            <v>152391</v>
          </cell>
        </row>
        <row r="1818">
          <cell r="Z1818" t="str">
            <v>152392</v>
          </cell>
        </row>
        <row r="1819">
          <cell r="Z1819" t="str">
            <v>152393</v>
          </cell>
        </row>
        <row r="1820">
          <cell r="Z1820" t="str">
            <v>152394</v>
          </cell>
        </row>
        <row r="1821">
          <cell r="Z1821" t="str">
            <v>152399</v>
          </cell>
        </row>
        <row r="1822">
          <cell r="Z1822" t="str">
            <v>152400</v>
          </cell>
        </row>
        <row r="1823">
          <cell r="Z1823" t="str">
            <v>152410</v>
          </cell>
        </row>
        <row r="1824">
          <cell r="Z1824" t="str">
            <v>152411</v>
          </cell>
        </row>
        <row r="1825">
          <cell r="Z1825" t="str">
            <v>152412</v>
          </cell>
        </row>
        <row r="1826">
          <cell r="Z1826" t="str">
            <v>152413</v>
          </cell>
        </row>
        <row r="1827">
          <cell r="Z1827" t="str">
            <v>152414</v>
          </cell>
        </row>
        <row r="1828">
          <cell r="Z1828" t="str">
            <v>152419</v>
          </cell>
        </row>
        <row r="1829">
          <cell r="Z1829" t="str">
            <v>152420</v>
          </cell>
        </row>
        <row r="1830">
          <cell r="Z1830" t="str">
            <v>152421</v>
          </cell>
        </row>
        <row r="1831">
          <cell r="Z1831" t="str">
            <v>152422</v>
          </cell>
        </row>
        <row r="1832">
          <cell r="Z1832" t="str">
            <v>152423</v>
          </cell>
        </row>
        <row r="1833">
          <cell r="Z1833" t="str">
            <v>152424</v>
          </cell>
        </row>
        <row r="1834">
          <cell r="Z1834" t="str">
            <v>152429</v>
          </cell>
        </row>
        <row r="1835">
          <cell r="Z1835" t="str">
            <v>152430</v>
          </cell>
        </row>
        <row r="1836">
          <cell r="Z1836" t="str">
            <v>152431</v>
          </cell>
        </row>
        <row r="1837">
          <cell r="Z1837" t="str">
            <v>152432</v>
          </cell>
        </row>
        <row r="1838">
          <cell r="Z1838" t="str">
            <v>152433</v>
          </cell>
        </row>
        <row r="1839">
          <cell r="Z1839" t="str">
            <v>152434</v>
          </cell>
        </row>
        <row r="1840">
          <cell r="Z1840" t="str">
            <v>152439</v>
          </cell>
        </row>
        <row r="1841">
          <cell r="Z1841" t="str">
            <v>152500</v>
          </cell>
        </row>
        <row r="1842">
          <cell r="Z1842" t="str">
            <v>152510</v>
          </cell>
        </row>
        <row r="1843">
          <cell r="Z1843" t="str">
            <v>152511</v>
          </cell>
        </row>
        <row r="1844">
          <cell r="Z1844" t="str">
            <v>152512</v>
          </cell>
        </row>
        <row r="1845">
          <cell r="Z1845" t="str">
            <v>152513</v>
          </cell>
        </row>
        <row r="1846">
          <cell r="Z1846" t="str">
            <v>152514</v>
          </cell>
        </row>
        <row r="1847">
          <cell r="Z1847" t="str">
            <v>152519</v>
          </cell>
        </row>
        <row r="1848">
          <cell r="Z1848" t="str">
            <v>152520</v>
          </cell>
        </row>
        <row r="1849">
          <cell r="Z1849" t="str">
            <v>152521</v>
          </cell>
        </row>
        <row r="1850">
          <cell r="Z1850" t="str">
            <v>152522</v>
          </cell>
        </row>
        <row r="1851">
          <cell r="Z1851" t="str">
            <v>152523</v>
          </cell>
        </row>
        <row r="1852">
          <cell r="Z1852" t="str">
            <v>152524</v>
          </cell>
        </row>
        <row r="1853">
          <cell r="Z1853" t="str">
            <v>152529</v>
          </cell>
        </row>
        <row r="1854">
          <cell r="Z1854" t="str">
            <v>152600</v>
          </cell>
        </row>
        <row r="1855">
          <cell r="Z1855" t="str">
            <v>152610</v>
          </cell>
        </row>
        <row r="1856">
          <cell r="Z1856" t="str">
            <v>152611</v>
          </cell>
        </row>
        <row r="1857">
          <cell r="Z1857" t="str">
            <v>152612</v>
          </cell>
        </row>
        <row r="1858">
          <cell r="Z1858" t="str">
            <v>152613</v>
          </cell>
        </row>
        <row r="1859">
          <cell r="Z1859" t="str">
            <v>152614</v>
          </cell>
        </row>
        <row r="1860">
          <cell r="Z1860" t="str">
            <v>152619</v>
          </cell>
        </row>
        <row r="1861">
          <cell r="Z1861" t="str">
            <v>152620</v>
          </cell>
        </row>
        <row r="1862">
          <cell r="Z1862" t="str">
            <v>152621</v>
          </cell>
        </row>
        <row r="1863">
          <cell r="Z1863" t="str">
            <v>152622</v>
          </cell>
        </row>
        <row r="1864">
          <cell r="Z1864" t="str">
            <v>152623</v>
          </cell>
        </row>
        <row r="1865">
          <cell r="Z1865" t="str">
            <v>152624</v>
          </cell>
        </row>
        <row r="1866">
          <cell r="Z1866" t="str">
            <v>152629</v>
          </cell>
        </row>
        <row r="1867">
          <cell r="Z1867" t="str">
            <v>152700</v>
          </cell>
        </row>
        <row r="1868">
          <cell r="Z1868" t="str">
            <v>152710</v>
          </cell>
        </row>
        <row r="1869">
          <cell r="Z1869" t="str">
            <v>152711</v>
          </cell>
        </row>
        <row r="1870">
          <cell r="Z1870" t="str">
            <v>152712</v>
          </cell>
        </row>
        <row r="1871">
          <cell r="Z1871" t="str">
            <v>152713</v>
          </cell>
        </row>
        <row r="1872">
          <cell r="Z1872" t="str">
            <v>152714</v>
          </cell>
        </row>
        <row r="1873">
          <cell r="Z1873" t="str">
            <v>152719</v>
          </cell>
        </row>
        <row r="1874">
          <cell r="Z1874" t="str">
            <v>152720</v>
          </cell>
        </row>
        <row r="1875">
          <cell r="Z1875" t="str">
            <v>152721</v>
          </cell>
        </row>
        <row r="1876">
          <cell r="Z1876" t="str">
            <v>152722</v>
          </cell>
        </row>
        <row r="1877">
          <cell r="Z1877" t="str">
            <v>152723</v>
          </cell>
        </row>
        <row r="1878">
          <cell r="Z1878" t="str">
            <v>152724</v>
          </cell>
        </row>
        <row r="1879">
          <cell r="Z1879" t="str">
            <v>152729</v>
          </cell>
        </row>
        <row r="1880">
          <cell r="Z1880" t="str">
            <v>152730</v>
          </cell>
        </row>
        <row r="1881">
          <cell r="Z1881" t="str">
            <v>152731</v>
          </cell>
        </row>
        <row r="1882">
          <cell r="Z1882" t="str">
            <v>152732</v>
          </cell>
        </row>
        <row r="1883">
          <cell r="Z1883" t="str">
            <v>152733</v>
          </cell>
        </row>
        <row r="1884">
          <cell r="Z1884" t="str">
            <v>152734</v>
          </cell>
        </row>
        <row r="1885">
          <cell r="Z1885" t="str">
            <v>152739</v>
          </cell>
        </row>
        <row r="1886">
          <cell r="Z1886" t="str">
            <v>152740</v>
          </cell>
        </row>
        <row r="1887">
          <cell r="Z1887" t="str">
            <v>152741</v>
          </cell>
        </row>
        <row r="1888">
          <cell r="Z1888" t="str">
            <v>152742</v>
          </cell>
        </row>
        <row r="1889">
          <cell r="Z1889" t="str">
            <v>152743</v>
          </cell>
        </row>
        <row r="1890">
          <cell r="Z1890" t="str">
            <v>152744</v>
          </cell>
        </row>
        <row r="1891">
          <cell r="Z1891" t="str">
            <v>152749</v>
          </cell>
        </row>
        <row r="1892">
          <cell r="Z1892" t="str">
            <v>152750</v>
          </cell>
        </row>
        <row r="1893">
          <cell r="Z1893" t="str">
            <v>152751</v>
          </cell>
        </row>
        <row r="1894">
          <cell r="Z1894" t="str">
            <v>152752</v>
          </cell>
        </row>
        <row r="1895">
          <cell r="Z1895" t="str">
            <v>152753</v>
          </cell>
        </row>
        <row r="1896">
          <cell r="Z1896" t="str">
            <v>152754</v>
          </cell>
        </row>
        <row r="1897">
          <cell r="Z1897" t="str">
            <v>152759</v>
          </cell>
        </row>
        <row r="1898">
          <cell r="Z1898" t="str">
            <v>152760</v>
          </cell>
        </row>
        <row r="1899">
          <cell r="Z1899" t="str">
            <v>152761</v>
          </cell>
        </row>
        <row r="1900">
          <cell r="Z1900" t="str">
            <v>152762</v>
          </cell>
        </row>
        <row r="1901">
          <cell r="Z1901" t="str">
            <v>152763</v>
          </cell>
        </row>
        <row r="1902">
          <cell r="Z1902" t="str">
            <v>152764</v>
          </cell>
        </row>
        <row r="1903">
          <cell r="Z1903" t="str">
            <v>152769</v>
          </cell>
        </row>
        <row r="1904">
          <cell r="Z1904" t="str">
            <v>152770</v>
          </cell>
        </row>
        <row r="1905">
          <cell r="Z1905" t="str">
            <v>152771</v>
          </cell>
        </row>
        <row r="1906">
          <cell r="Z1906" t="str">
            <v>152772</v>
          </cell>
        </row>
        <row r="1907">
          <cell r="Z1907" t="str">
            <v>152773</v>
          </cell>
        </row>
        <row r="1908">
          <cell r="Z1908" t="str">
            <v>152774</v>
          </cell>
        </row>
        <row r="1909">
          <cell r="Z1909" t="str">
            <v>152779</v>
          </cell>
        </row>
        <row r="1910">
          <cell r="Z1910" t="str">
            <v>152780</v>
          </cell>
        </row>
        <row r="1911">
          <cell r="Z1911" t="str">
            <v>152781</v>
          </cell>
        </row>
        <row r="1912">
          <cell r="Z1912" t="str">
            <v>152782</v>
          </cell>
        </row>
        <row r="1913">
          <cell r="Z1913" t="str">
            <v>152783</v>
          </cell>
        </row>
        <row r="1914">
          <cell r="Z1914" t="str">
            <v>152784</v>
          </cell>
        </row>
        <row r="1915">
          <cell r="Z1915" t="str">
            <v>152789</v>
          </cell>
        </row>
        <row r="1916">
          <cell r="Z1916" t="str">
            <v>152790</v>
          </cell>
        </row>
        <row r="1917">
          <cell r="Z1917" t="str">
            <v>152791</v>
          </cell>
        </row>
        <row r="1918">
          <cell r="Z1918" t="str">
            <v>152792</v>
          </cell>
        </row>
        <row r="1919">
          <cell r="Z1919" t="str">
            <v>152793</v>
          </cell>
        </row>
        <row r="1920">
          <cell r="Z1920" t="str">
            <v>152794</v>
          </cell>
        </row>
        <row r="1921">
          <cell r="Z1921" t="str">
            <v>152799</v>
          </cell>
        </row>
        <row r="1922">
          <cell r="Z1922" t="str">
            <v>15280</v>
          </cell>
        </row>
        <row r="1923">
          <cell r="Z1923" t="str">
            <v>152810</v>
          </cell>
        </row>
        <row r="1924">
          <cell r="Z1924" t="str">
            <v>152811</v>
          </cell>
        </row>
        <row r="1925">
          <cell r="Z1925" t="str">
            <v>152812</v>
          </cell>
        </row>
        <row r="1926">
          <cell r="Z1926" t="str">
            <v>152813</v>
          </cell>
        </row>
        <row r="1927">
          <cell r="Z1927" t="str">
            <v>152814</v>
          </cell>
        </row>
        <row r="1928">
          <cell r="Z1928" t="str">
            <v>152819</v>
          </cell>
        </row>
        <row r="1929">
          <cell r="Z1929" t="str">
            <v>152820</v>
          </cell>
        </row>
        <row r="1930">
          <cell r="Z1930" t="str">
            <v>152821</v>
          </cell>
        </row>
        <row r="1931">
          <cell r="Z1931" t="str">
            <v>152822</v>
          </cell>
        </row>
        <row r="1932">
          <cell r="Z1932" t="str">
            <v>152823</v>
          </cell>
        </row>
        <row r="1933">
          <cell r="Z1933" t="str">
            <v>152824</v>
          </cell>
        </row>
        <row r="1934">
          <cell r="Z1934" t="str">
            <v>152829</v>
          </cell>
        </row>
        <row r="1935">
          <cell r="Z1935" t="str">
            <v>152830</v>
          </cell>
        </row>
        <row r="1936">
          <cell r="Z1936" t="str">
            <v>152831</v>
          </cell>
        </row>
        <row r="1937">
          <cell r="Z1937" t="str">
            <v>152832</v>
          </cell>
        </row>
        <row r="1938">
          <cell r="Z1938" t="str">
            <v>152833</v>
          </cell>
        </row>
        <row r="1939">
          <cell r="Z1939" t="str">
            <v>152834</v>
          </cell>
        </row>
        <row r="1940">
          <cell r="Z1940" t="str">
            <v>152839</v>
          </cell>
        </row>
        <row r="1941">
          <cell r="Z1941" t="str">
            <v>153000</v>
          </cell>
        </row>
        <row r="1942">
          <cell r="Z1942" t="str">
            <v>153100</v>
          </cell>
        </row>
        <row r="1943">
          <cell r="Z1943" t="str">
            <v>153110</v>
          </cell>
        </row>
        <row r="1944">
          <cell r="Z1944" t="str">
            <v>153111</v>
          </cell>
        </row>
        <row r="1945">
          <cell r="Z1945" t="str">
            <v>153112</v>
          </cell>
        </row>
        <row r="1946">
          <cell r="Z1946" t="str">
            <v>153113</v>
          </cell>
        </row>
        <row r="1947">
          <cell r="Z1947" t="str">
            <v>153114</v>
          </cell>
        </row>
        <row r="1948">
          <cell r="Z1948" t="str">
            <v>153119</v>
          </cell>
        </row>
        <row r="1949">
          <cell r="Z1949" t="str">
            <v>153120</v>
          </cell>
        </row>
        <row r="1950">
          <cell r="Z1950" t="str">
            <v>153121</v>
          </cell>
        </row>
        <row r="1951">
          <cell r="Z1951" t="str">
            <v>153122</v>
          </cell>
        </row>
        <row r="1952">
          <cell r="Z1952" t="str">
            <v>153123</v>
          </cell>
        </row>
        <row r="1953">
          <cell r="Z1953" t="str">
            <v>153124</v>
          </cell>
        </row>
        <row r="1954">
          <cell r="Z1954" t="str">
            <v>153129</v>
          </cell>
        </row>
        <row r="1955">
          <cell r="Z1955" t="str">
            <v>153200</v>
          </cell>
        </row>
        <row r="1956">
          <cell r="Z1956" t="str">
            <v>153210</v>
          </cell>
        </row>
        <row r="1957">
          <cell r="Z1957" t="str">
            <v>153211</v>
          </cell>
        </row>
        <row r="1958">
          <cell r="Z1958" t="str">
            <v>153212</v>
          </cell>
        </row>
        <row r="1959">
          <cell r="Z1959" t="str">
            <v>153213</v>
          </cell>
        </row>
        <row r="1960">
          <cell r="Z1960" t="str">
            <v>153214</v>
          </cell>
        </row>
        <row r="1961">
          <cell r="Z1961" t="str">
            <v>153219</v>
          </cell>
        </row>
        <row r="1962">
          <cell r="Z1962" t="str">
            <v>153220</v>
          </cell>
        </row>
        <row r="1963">
          <cell r="Z1963" t="str">
            <v>153221</v>
          </cell>
        </row>
        <row r="1964">
          <cell r="Z1964" t="str">
            <v>153222</v>
          </cell>
        </row>
        <row r="1965">
          <cell r="Z1965" t="str">
            <v>153223</v>
          </cell>
        </row>
        <row r="1966">
          <cell r="Z1966" t="str">
            <v>153224</v>
          </cell>
        </row>
        <row r="1967">
          <cell r="Z1967" t="str">
            <v>153229</v>
          </cell>
        </row>
        <row r="1968">
          <cell r="Z1968" t="str">
            <v>153300</v>
          </cell>
        </row>
        <row r="1969">
          <cell r="Z1969" t="str">
            <v>153310</v>
          </cell>
        </row>
        <row r="1970">
          <cell r="Z1970" t="str">
            <v>153311</v>
          </cell>
        </row>
        <row r="1971">
          <cell r="Z1971" t="str">
            <v>153312</v>
          </cell>
        </row>
        <row r="1972">
          <cell r="Z1972" t="str">
            <v>153313</v>
          </cell>
        </row>
        <row r="1973">
          <cell r="Z1973" t="str">
            <v>153314</v>
          </cell>
        </row>
        <row r="1974">
          <cell r="Z1974" t="str">
            <v>153319</v>
          </cell>
        </row>
        <row r="1975">
          <cell r="Z1975" t="str">
            <v>153320</v>
          </cell>
        </row>
        <row r="1976">
          <cell r="Z1976" t="str">
            <v>153321</v>
          </cell>
        </row>
        <row r="1977">
          <cell r="Z1977" t="str">
            <v>153322</v>
          </cell>
        </row>
        <row r="1978">
          <cell r="Z1978" t="str">
            <v>153323</v>
          </cell>
        </row>
        <row r="1979">
          <cell r="Z1979" t="str">
            <v>153324</v>
          </cell>
        </row>
        <row r="1980">
          <cell r="Z1980" t="str">
            <v>153329</v>
          </cell>
        </row>
        <row r="1981">
          <cell r="Z1981" t="str">
            <v>153400</v>
          </cell>
        </row>
        <row r="1982">
          <cell r="Z1982" t="str">
            <v>153410</v>
          </cell>
        </row>
        <row r="1983">
          <cell r="Z1983" t="str">
            <v>153411</v>
          </cell>
        </row>
        <row r="1984">
          <cell r="Z1984" t="str">
            <v>153412</v>
          </cell>
        </row>
        <row r="1985">
          <cell r="Z1985" t="str">
            <v>153413</v>
          </cell>
        </row>
        <row r="1986">
          <cell r="Z1986" t="str">
            <v>153414</v>
          </cell>
        </row>
        <row r="1987">
          <cell r="Z1987" t="str">
            <v>153419</v>
          </cell>
        </row>
        <row r="1988">
          <cell r="Z1988" t="str">
            <v>153420</v>
          </cell>
        </row>
        <row r="1989">
          <cell r="Z1989" t="str">
            <v>153421</v>
          </cell>
        </row>
        <row r="1990">
          <cell r="Z1990" t="str">
            <v>153422</v>
          </cell>
        </row>
        <row r="1991">
          <cell r="Z1991" t="str">
            <v>153423</v>
          </cell>
        </row>
        <row r="1992">
          <cell r="Z1992" t="str">
            <v>153424</v>
          </cell>
        </row>
        <row r="1993">
          <cell r="Z1993" t="str">
            <v>153429</v>
          </cell>
        </row>
        <row r="1994">
          <cell r="Z1994" t="str">
            <v>153500</v>
          </cell>
        </row>
        <row r="1995">
          <cell r="Z1995" t="str">
            <v>153510</v>
          </cell>
        </row>
        <row r="1996">
          <cell r="Z1996" t="str">
            <v>153511</v>
          </cell>
        </row>
        <row r="1997">
          <cell r="Z1997" t="str">
            <v>153512</v>
          </cell>
        </row>
        <row r="1998">
          <cell r="Z1998" t="str">
            <v>153513</v>
          </cell>
        </row>
        <row r="1999">
          <cell r="Z1999" t="str">
            <v>153514</v>
          </cell>
        </row>
        <row r="2000">
          <cell r="Z2000" t="str">
            <v>153519</v>
          </cell>
        </row>
        <row r="2001">
          <cell r="Z2001" t="str">
            <v>153520</v>
          </cell>
        </row>
        <row r="2002">
          <cell r="Z2002" t="str">
            <v>153521</v>
          </cell>
        </row>
        <row r="2003">
          <cell r="Z2003" t="str">
            <v>153522</v>
          </cell>
        </row>
        <row r="2004">
          <cell r="Z2004" t="str">
            <v>153523</v>
          </cell>
        </row>
        <row r="2005">
          <cell r="Z2005" t="str">
            <v>153524</v>
          </cell>
        </row>
        <row r="2006">
          <cell r="Z2006" t="str">
            <v>153529</v>
          </cell>
        </row>
        <row r="2007">
          <cell r="Z2007" t="str">
            <v>153900</v>
          </cell>
        </row>
        <row r="2008">
          <cell r="Z2008" t="str">
            <v>153910</v>
          </cell>
        </row>
        <row r="2009">
          <cell r="Z2009" t="str">
            <v>153911</v>
          </cell>
        </row>
        <row r="2010">
          <cell r="Z2010" t="str">
            <v>153912</v>
          </cell>
        </row>
        <row r="2011">
          <cell r="Z2011" t="str">
            <v>153913</v>
          </cell>
        </row>
        <row r="2012">
          <cell r="Z2012" t="str">
            <v>153914</v>
          </cell>
        </row>
        <row r="2013">
          <cell r="Z2013" t="str">
            <v>153919</v>
          </cell>
        </row>
        <row r="2014">
          <cell r="Z2014" t="str">
            <v>153920</v>
          </cell>
        </row>
        <row r="2015">
          <cell r="Z2015" t="str">
            <v>153921</v>
          </cell>
        </row>
        <row r="2016">
          <cell r="Z2016" t="str">
            <v>153922</v>
          </cell>
        </row>
        <row r="2017">
          <cell r="Z2017" t="str">
            <v>153923</v>
          </cell>
        </row>
        <row r="2018">
          <cell r="Z2018" t="str">
            <v>153924</v>
          </cell>
        </row>
        <row r="2019">
          <cell r="Z2019" t="str">
            <v>153929</v>
          </cell>
        </row>
        <row r="2020">
          <cell r="Z2020" t="str">
            <v>160000</v>
          </cell>
        </row>
        <row r="2021">
          <cell r="Z2021" t="str">
            <v>161000</v>
          </cell>
        </row>
        <row r="2022">
          <cell r="Z2022" t="str">
            <v>161100</v>
          </cell>
        </row>
        <row r="2023">
          <cell r="Z2023" t="str">
            <v>161110</v>
          </cell>
        </row>
        <row r="2024">
          <cell r="Z2024" t="str">
            <v>161111</v>
          </cell>
        </row>
        <row r="2025">
          <cell r="Z2025" t="str">
            <v>161112</v>
          </cell>
        </row>
        <row r="2026">
          <cell r="Z2026" t="str">
            <v>161113</v>
          </cell>
        </row>
        <row r="2027">
          <cell r="Z2027" t="str">
            <v>161114</v>
          </cell>
        </row>
        <row r="2028">
          <cell r="Z2028" t="str">
            <v>161119</v>
          </cell>
        </row>
        <row r="2029">
          <cell r="Z2029" t="str">
            <v>161120</v>
          </cell>
        </row>
        <row r="2030">
          <cell r="Z2030" t="str">
            <v>161121</v>
          </cell>
        </row>
        <row r="2031">
          <cell r="Z2031" t="str">
            <v>161122</v>
          </cell>
        </row>
        <row r="2032">
          <cell r="Z2032" t="str">
            <v>161123</v>
          </cell>
        </row>
        <row r="2033">
          <cell r="Z2033" t="str">
            <v>161124</v>
          </cell>
        </row>
        <row r="2034">
          <cell r="Z2034" t="str">
            <v>161129</v>
          </cell>
        </row>
        <row r="2035">
          <cell r="Z2035" t="str">
            <v>161200</v>
          </cell>
        </row>
        <row r="2036">
          <cell r="Z2036" t="str">
            <v>161210</v>
          </cell>
        </row>
        <row r="2037">
          <cell r="Z2037" t="str">
            <v>161211</v>
          </cell>
        </row>
        <row r="2038">
          <cell r="Z2038" t="str">
            <v>161212</v>
          </cell>
        </row>
        <row r="2039">
          <cell r="Z2039" t="str">
            <v>161213</v>
          </cell>
        </row>
        <row r="2040">
          <cell r="Z2040" t="str">
            <v>161214</v>
          </cell>
        </row>
        <row r="2041">
          <cell r="Z2041" t="str">
            <v>161219</v>
          </cell>
        </row>
        <row r="2042">
          <cell r="Z2042" t="str">
            <v>161220</v>
          </cell>
        </row>
        <row r="2043">
          <cell r="Z2043" t="str">
            <v>161221</v>
          </cell>
        </row>
        <row r="2044">
          <cell r="Z2044" t="str">
            <v>161222</v>
          </cell>
        </row>
        <row r="2045">
          <cell r="Z2045" t="str">
            <v>161223</v>
          </cell>
        </row>
        <row r="2046">
          <cell r="Z2046" t="str">
            <v>161224</v>
          </cell>
        </row>
        <row r="2047">
          <cell r="Z2047" t="str">
            <v>161229</v>
          </cell>
        </row>
        <row r="2048">
          <cell r="Z2048" t="str">
            <v>161300</v>
          </cell>
        </row>
        <row r="2049">
          <cell r="Z2049" t="str">
            <v>161310</v>
          </cell>
        </row>
        <row r="2050">
          <cell r="Z2050" t="str">
            <v>161311</v>
          </cell>
        </row>
        <row r="2051">
          <cell r="Z2051" t="str">
            <v>161312</v>
          </cell>
        </row>
        <row r="2052">
          <cell r="Z2052" t="str">
            <v>161313</v>
          </cell>
        </row>
        <row r="2053">
          <cell r="Z2053" t="str">
            <v>161314</v>
          </cell>
        </row>
        <row r="2054">
          <cell r="Z2054" t="str">
            <v>161319</v>
          </cell>
        </row>
        <row r="2055">
          <cell r="Z2055" t="str">
            <v>161320</v>
          </cell>
        </row>
        <row r="2056">
          <cell r="Z2056" t="str">
            <v>161321</v>
          </cell>
        </row>
        <row r="2057">
          <cell r="Z2057" t="str">
            <v>161322</v>
          </cell>
        </row>
        <row r="2058">
          <cell r="Z2058" t="str">
            <v>161323</v>
          </cell>
        </row>
        <row r="2059">
          <cell r="Z2059" t="str">
            <v>161324</v>
          </cell>
        </row>
        <row r="2060">
          <cell r="Z2060" t="str">
            <v>161329</v>
          </cell>
        </row>
        <row r="2061">
          <cell r="Z2061" t="str">
            <v>162000</v>
          </cell>
        </row>
        <row r="2062">
          <cell r="Z2062" t="str">
            <v>162100</v>
          </cell>
        </row>
        <row r="2063">
          <cell r="Z2063" t="str">
            <v>162110</v>
          </cell>
        </row>
        <row r="2064">
          <cell r="Z2064" t="str">
            <v>162111</v>
          </cell>
        </row>
        <row r="2065">
          <cell r="Z2065" t="str">
            <v>162112</v>
          </cell>
        </row>
        <row r="2066">
          <cell r="Z2066" t="str">
            <v>162113</v>
          </cell>
        </row>
        <row r="2067">
          <cell r="Z2067" t="str">
            <v>162114</v>
          </cell>
        </row>
        <row r="2068">
          <cell r="Z2068" t="str">
            <v>162119</v>
          </cell>
        </row>
        <row r="2069">
          <cell r="Z2069" t="str">
            <v>162120</v>
          </cell>
        </row>
        <row r="2070">
          <cell r="Z2070" t="str">
            <v>162121</v>
          </cell>
        </row>
        <row r="2071">
          <cell r="Z2071" t="str">
            <v>162122</v>
          </cell>
        </row>
        <row r="2072">
          <cell r="Z2072" t="str">
            <v>162123</v>
          </cell>
        </row>
        <row r="2073">
          <cell r="Z2073" t="str">
            <v>162124</v>
          </cell>
        </row>
        <row r="2074">
          <cell r="Z2074" t="str">
            <v>162129</v>
          </cell>
        </row>
        <row r="2075">
          <cell r="Z2075" t="str">
            <v>162130</v>
          </cell>
        </row>
        <row r="2076">
          <cell r="Z2076" t="str">
            <v>162131</v>
          </cell>
        </row>
        <row r="2077">
          <cell r="Z2077" t="str">
            <v>162132</v>
          </cell>
        </row>
        <row r="2078">
          <cell r="Z2078" t="str">
            <v>162133</v>
          </cell>
        </row>
        <row r="2079">
          <cell r="Z2079" t="str">
            <v>162134</v>
          </cell>
        </row>
        <row r="2080">
          <cell r="Z2080" t="str">
            <v>162139</v>
          </cell>
        </row>
        <row r="2081">
          <cell r="Z2081" t="str">
            <v>162200</v>
          </cell>
        </row>
        <row r="2082">
          <cell r="Z2082" t="str">
            <v>162210</v>
          </cell>
        </row>
        <row r="2083">
          <cell r="Z2083" t="str">
            <v>162211</v>
          </cell>
        </row>
        <row r="2084">
          <cell r="Z2084" t="str">
            <v>162212</v>
          </cell>
        </row>
        <row r="2085">
          <cell r="Z2085" t="str">
            <v>162213</v>
          </cell>
        </row>
        <row r="2086">
          <cell r="Z2086" t="str">
            <v>162214</v>
          </cell>
        </row>
        <row r="2087">
          <cell r="Z2087" t="str">
            <v>162219</v>
          </cell>
        </row>
        <row r="2088">
          <cell r="Z2088" t="str">
            <v>162220</v>
          </cell>
        </row>
        <row r="2089">
          <cell r="Z2089" t="str">
            <v>162221</v>
          </cell>
        </row>
        <row r="2090">
          <cell r="Z2090" t="str">
            <v>162222</v>
          </cell>
        </row>
        <row r="2091">
          <cell r="Z2091" t="str">
            <v>162223</v>
          </cell>
        </row>
        <row r="2092">
          <cell r="Z2092" t="str">
            <v>162224</v>
          </cell>
        </row>
        <row r="2093">
          <cell r="Z2093" t="str">
            <v>162229</v>
          </cell>
        </row>
        <row r="2094">
          <cell r="Z2094" t="str">
            <v>162230</v>
          </cell>
        </row>
        <row r="2095">
          <cell r="Z2095" t="str">
            <v>162231</v>
          </cell>
        </row>
        <row r="2096">
          <cell r="Z2096" t="str">
            <v>162232</v>
          </cell>
        </row>
        <row r="2097">
          <cell r="Z2097" t="str">
            <v>162233</v>
          </cell>
        </row>
        <row r="2098">
          <cell r="Z2098" t="str">
            <v>162234</v>
          </cell>
        </row>
        <row r="2099">
          <cell r="Z2099" t="str">
            <v>162239</v>
          </cell>
        </row>
        <row r="2100">
          <cell r="Z2100" t="str">
            <v>162300</v>
          </cell>
        </row>
        <row r="2101">
          <cell r="Z2101" t="str">
            <v>162310</v>
          </cell>
        </row>
        <row r="2102">
          <cell r="Z2102" t="str">
            <v>162311</v>
          </cell>
        </row>
        <row r="2103">
          <cell r="Z2103" t="str">
            <v>162312</v>
          </cell>
        </row>
        <row r="2104">
          <cell r="Z2104" t="str">
            <v>162313</v>
          </cell>
        </row>
        <row r="2105">
          <cell r="Z2105" t="str">
            <v>162314</v>
          </cell>
        </row>
        <row r="2106">
          <cell r="Z2106" t="str">
            <v>162319</v>
          </cell>
        </row>
        <row r="2107">
          <cell r="Z2107" t="str">
            <v>162320</v>
          </cell>
        </row>
        <row r="2108">
          <cell r="Z2108" t="str">
            <v>162321</v>
          </cell>
        </row>
        <row r="2109">
          <cell r="Z2109" t="str">
            <v>162322</v>
          </cell>
        </row>
        <row r="2110">
          <cell r="Z2110" t="str">
            <v>162323</v>
          </cell>
        </row>
        <row r="2111">
          <cell r="Z2111" t="str">
            <v>162324</v>
          </cell>
        </row>
        <row r="2112">
          <cell r="Z2112" t="str">
            <v>162329</v>
          </cell>
        </row>
        <row r="2113">
          <cell r="Z2113" t="str">
            <v>162330</v>
          </cell>
        </row>
        <row r="2114">
          <cell r="Z2114" t="str">
            <v>162331</v>
          </cell>
        </row>
        <row r="2115">
          <cell r="Z2115" t="str">
            <v>162332</v>
          </cell>
        </row>
        <row r="2116">
          <cell r="Z2116" t="str">
            <v>162333</v>
          </cell>
        </row>
        <row r="2117">
          <cell r="Z2117" t="str">
            <v>162334</v>
          </cell>
        </row>
        <row r="2118">
          <cell r="Z2118" t="str">
            <v>162339</v>
          </cell>
        </row>
        <row r="2119">
          <cell r="Z2119" t="str">
            <v>162340</v>
          </cell>
        </row>
        <row r="2120">
          <cell r="Z2120" t="str">
            <v>162341</v>
          </cell>
        </row>
        <row r="2121">
          <cell r="Z2121" t="str">
            <v>162342</v>
          </cell>
        </row>
        <row r="2122">
          <cell r="Z2122" t="str">
            <v>162343</v>
          </cell>
        </row>
        <row r="2123">
          <cell r="Z2123" t="str">
            <v>162344</v>
          </cell>
        </row>
        <row r="2124">
          <cell r="Z2124" t="str">
            <v>162349</v>
          </cell>
        </row>
        <row r="2125">
          <cell r="Z2125" t="str">
            <v>162350</v>
          </cell>
        </row>
        <row r="2126">
          <cell r="Z2126" t="str">
            <v>162351</v>
          </cell>
        </row>
        <row r="2127">
          <cell r="Z2127" t="str">
            <v>162352</v>
          </cell>
        </row>
        <row r="2128">
          <cell r="Z2128" t="str">
            <v>162353</v>
          </cell>
        </row>
        <row r="2129">
          <cell r="Z2129" t="str">
            <v>162354</v>
          </cell>
        </row>
        <row r="2130">
          <cell r="Z2130" t="str">
            <v>162359</v>
          </cell>
        </row>
        <row r="2131">
          <cell r="Z2131" t="str">
            <v>162360</v>
          </cell>
        </row>
        <row r="2132">
          <cell r="Z2132" t="str">
            <v>162361</v>
          </cell>
        </row>
        <row r="2133">
          <cell r="Z2133" t="str">
            <v>162362</v>
          </cell>
        </row>
        <row r="2134">
          <cell r="Z2134" t="str">
            <v>162363</v>
          </cell>
        </row>
        <row r="2135">
          <cell r="Z2135" t="str">
            <v>162364</v>
          </cell>
        </row>
        <row r="2136">
          <cell r="Z2136" t="str">
            <v>162369</v>
          </cell>
        </row>
        <row r="2137">
          <cell r="Z2137" t="str">
            <v>162370</v>
          </cell>
        </row>
        <row r="2138">
          <cell r="Z2138" t="str">
            <v>162371</v>
          </cell>
        </row>
        <row r="2139">
          <cell r="Z2139" t="str">
            <v>162372</v>
          </cell>
        </row>
        <row r="2140">
          <cell r="Z2140" t="str">
            <v>162373</v>
          </cell>
        </row>
        <row r="2141">
          <cell r="Z2141" t="str">
            <v>162374</v>
          </cell>
        </row>
        <row r="2142">
          <cell r="Z2142" t="str">
            <v>162379</v>
          </cell>
        </row>
        <row r="2143">
          <cell r="Z2143" t="str">
            <v>162380</v>
          </cell>
        </row>
        <row r="2144">
          <cell r="Z2144" t="str">
            <v>162381</v>
          </cell>
        </row>
        <row r="2145">
          <cell r="Z2145" t="str">
            <v>162382</v>
          </cell>
        </row>
        <row r="2146">
          <cell r="Z2146" t="str">
            <v>162383</v>
          </cell>
        </row>
        <row r="2147">
          <cell r="Z2147" t="str">
            <v>162384</v>
          </cell>
        </row>
        <row r="2148">
          <cell r="Z2148" t="str">
            <v>162389</v>
          </cell>
        </row>
        <row r="2149">
          <cell r="Z2149" t="str">
            <v>162390</v>
          </cell>
        </row>
        <row r="2150">
          <cell r="Z2150" t="str">
            <v>162391</v>
          </cell>
        </row>
        <row r="2151">
          <cell r="Z2151" t="str">
            <v>162392</v>
          </cell>
        </row>
        <row r="2152">
          <cell r="Z2152" t="str">
            <v>162393</v>
          </cell>
        </row>
        <row r="2153">
          <cell r="Z2153" t="str">
            <v>162394</v>
          </cell>
        </row>
        <row r="2154">
          <cell r="Z2154" t="str">
            <v>162399</v>
          </cell>
        </row>
        <row r="2155">
          <cell r="Z2155" t="str">
            <v>162400</v>
          </cell>
        </row>
        <row r="2156">
          <cell r="Z2156" t="str">
            <v>162410</v>
          </cell>
        </row>
        <row r="2157">
          <cell r="Z2157" t="str">
            <v>162411</v>
          </cell>
        </row>
        <row r="2158">
          <cell r="Z2158" t="str">
            <v>162412</v>
          </cell>
        </row>
        <row r="2159">
          <cell r="Z2159" t="str">
            <v>162413</v>
          </cell>
        </row>
        <row r="2160">
          <cell r="Z2160" t="str">
            <v>162414</v>
          </cell>
        </row>
        <row r="2161">
          <cell r="Z2161" t="str">
            <v>162419</v>
          </cell>
        </row>
        <row r="2162">
          <cell r="Z2162" t="str">
            <v>162420</v>
          </cell>
        </row>
        <row r="2163">
          <cell r="Z2163" t="str">
            <v>162421</v>
          </cell>
        </row>
        <row r="2164">
          <cell r="Z2164" t="str">
            <v>162422</v>
          </cell>
        </row>
        <row r="2165">
          <cell r="Z2165" t="str">
            <v>162423</v>
          </cell>
        </row>
        <row r="2166">
          <cell r="Z2166" t="str">
            <v>162424</v>
          </cell>
        </row>
        <row r="2167">
          <cell r="Z2167" t="str">
            <v>162429</v>
          </cell>
        </row>
        <row r="2168">
          <cell r="Z2168" t="str">
            <v>162430</v>
          </cell>
        </row>
        <row r="2169">
          <cell r="Z2169" t="str">
            <v>162431</v>
          </cell>
        </row>
        <row r="2170">
          <cell r="Z2170" t="str">
            <v>162432</v>
          </cell>
        </row>
        <row r="2171">
          <cell r="Z2171" t="str">
            <v>162433</v>
          </cell>
        </row>
        <row r="2172">
          <cell r="Z2172" t="str">
            <v>162434</v>
          </cell>
        </row>
        <row r="2173">
          <cell r="Z2173" t="str">
            <v>162439</v>
          </cell>
        </row>
        <row r="2174">
          <cell r="Z2174" t="str">
            <v>162500</v>
          </cell>
        </row>
        <row r="2175">
          <cell r="Z2175" t="str">
            <v>162510</v>
          </cell>
        </row>
        <row r="2176">
          <cell r="Z2176" t="str">
            <v>162511</v>
          </cell>
        </row>
        <row r="2177">
          <cell r="Z2177" t="str">
            <v>162512</v>
          </cell>
        </row>
        <row r="2178">
          <cell r="Z2178" t="str">
            <v>162513</v>
          </cell>
        </row>
        <row r="2179">
          <cell r="Z2179" t="str">
            <v>162514</v>
          </cell>
        </row>
        <row r="2180">
          <cell r="Z2180" t="str">
            <v>162519</v>
          </cell>
        </row>
        <row r="2181">
          <cell r="Z2181" t="str">
            <v>162520</v>
          </cell>
        </row>
        <row r="2182">
          <cell r="Z2182" t="str">
            <v>162521</v>
          </cell>
        </row>
        <row r="2183">
          <cell r="Z2183" t="str">
            <v>162522</v>
          </cell>
        </row>
        <row r="2184">
          <cell r="Z2184" t="str">
            <v>162523</v>
          </cell>
        </row>
        <row r="2185">
          <cell r="Z2185" t="str">
            <v>162524</v>
          </cell>
        </row>
        <row r="2186">
          <cell r="Z2186" t="str">
            <v>162529</v>
          </cell>
        </row>
        <row r="2187">
          <cell r="Z2187" t="str">
            <v>162600</v>
          </cell>
        </row>
        <row r="2188">
          <cell r="Z2188" t="str">
            <v>162610</v>
          </cell>
        </row>
        <row r="2189">
          <cell r="Z2189" t="str">
            <v>162611</v>
          </cell>
        </row>
        <row r="2190">
          <cell r="Z2190" t="str">
            <v>162612</v>
          </cell>
        </row>
        <row r="2191">
          <cell r="Z2191" t="str">
            <v>162613</v>
          </cell>
        </row>
        <row r="2192">
          <cell r="Z2192" t="str">
            <v>162614</v>
          </cell>
        </row>
        <row r="2193">
          <cell r="Z2193" t="str">
            <v>162619</v>
          </cell>
        </row>
        <row r="2194">
          <cell r="Z2194" t="str">
            <v>162620</v>
          </cell>
        </row>
        <row r="2195">
          <cell r="Z2195" t="str">
            <v>162621</v>
          </cell>
        </row>
        <row r="2196">
          <cell r="Z2196" t="str">
            <v>162622</v>
          </cell>
        </row>
        <row r="2197">
          <cell r="Z2197" t="str">
            <v>162623</v>
          </cell>
        </row>
        <row r="2198">
          <cell r="Z2198" t="str">
            <v>162624</v>
          </cell>
        </row>
        <row r="2199">
          <cell r="Z2199" t="str">
            <v>162629</v>
          </cell>
        </row>
        <row r="2200">
          <cell r="Z2200" t="str">
            <v>162700</v>
          </cell>
        </row>
        <row r="2201">
          <cell r="Z2201" t="str">
            <v>162710</v>
          </cell>
        </row>
        <row r="2202">
          <cell r="Z2202" t="str">
            <v>162711</v>
          </cell>
        </row>
        <row r="2203">
          <cell r="Z2203" t="str">
            <v>162712</v>
          </cell>
        </row>
        <row r="2204">
          <cell r="Z2204" t="str">
            <v>162713</v>
          </cell>
        </row>
        <row r="2205">
          <cell r="Z2205" t="str">
            <v>162714</v>
          </cell>
        </row>
        <row r="2206">
          <cell r="Z2206" t="str">
            <v>162719</v>
          </cell>
        </row>
        <row r="2207">
          <cell r="Z2207" t="str">
            <v>162720</v>
          </cell>
        </row>
        <row r="2208">
          <cell r="Z2208" t="str">
            <v>162721</v>
          </cell>
        </row>
        <row r="2209">
          <cell r="Z2209" t="str">
            <v>162722</v>
          </cell>
        </row>
        <row r="2210">
          <cell r="Z2210" t="str">
            <v>162723</v>
          </cell>
        </row>
        <row r="2211">
          <cell r="Z2211" t="str">
            <v>162724</v>
          </cell>
        </row>
        <row r="2212">
          <cell r="Z2212" t="str">
            <v>162729</v>
          </cell>
        </row>
        <row r="2213">
          <cell r="Z2213" t="str">
            <v>162730</v>
          </cell>
        </row>
        <row r="2214">
          <cell r="Z2214" t="str">
            <v>162731</v>
          </cell>
        </row>
        <row r="2215">
          <cell r="Z2215" t="str">
            <v>162732</v>
          </cell>
        </row>
        <row r="2216">
          <cell r="Z2216" t="str">
            <v>162733</v>
          </cell>
        </row>
        <row r="2217">
          <cell r="Z2217" t="str">
            <v>162734</v>
          </cell>
        </row>
        <row r="2218">
          <cell r="Z2218" t="str">
            <v>162739</v>
          </cell>
        </row>
        <row r="2219">
          <cell r="Z2219" t="str">
            <v>162740</v>
          </cell>
        </row>
        <row r="2220">
          <cell r="Z2220" t="str">
            <v>162741</v>
          </cell>
        </row>
        <row r="2221">
          <cell r="Z2221" t="str">
            <v>162742</v>
          </cell>
        </row>
        <row r="2222">
          <cell r="Z2222" t="str">
            <v>162743</v>
          </cell>
        </row>
        <row r="2223">
          <cell r="Z2223" t="str">
            <v>162744</v>
          </cell>
        </row>
        <row r="2224">
          <cell r="Z2224" t="str">
            <v>162749</v>
          </cell>
        </row>
        <row r="2225">
          <cell r="Z2225" t="str">
            <v>162750</v>
          </cell>
        </row>
        <row r="2226">
          <cell r="Z2226" t="str">
            <v>162751</v>
          </cell>
        </row>
        <row r="2227">
          <cell r="Z2227" t="str">
            <v>162752</v>
          </cell>
        </row>
        <row r="2228">
          <cell r="Z2228" t="str">
            <v>162753</v>
          </cell>
        </row>
        <row r="2229">
          <cell r="Z2229" t="str">
            <v>162754</v>
          </cell>
        </row>
        <row r="2230">
          <cell r="Z2230" t="str">
            <v>162759</v>
          </cell>
        </row>
        <row r="2231">
          <cell r="Z2231" t="str">
            <v>162760</v>
          </cell>
        </row>
        <row r="2232">
          <cell r="Z2232" t="str">
            <v>162761</v>
          </cell>
        </row>
        <row r="2233">
          <cell r="Z2233" t="str">
            <v>162762</v>
          </cell>
        </row>
        <row r="2234">
          <cell r="Z2234" t="str">
            <v>162763</v>
          </cell>
        </row>
        <row r="2235">
          <cell r="Z2235" t="str">
            <v>162764</v>
          </cell>
        </row>
        <row r="2236">
          <cell r="Z2236" t="str">
            <v>162769</v>
          </cell>
        </row>
        <row r="2237">
          <cell r="Z2237" t="str">
            <v>162770</v>
          </cell>
        </row>
        <row r="2238">
          <cell r="Z2238" t="str">
            <v>162771</v>
          </cell>
        </row>
        <row r="2239">
          <cell r="Z2239" t="str">
            <v>162772</v>
          </cell>
        </row>
        <row r="2240">
          <cell r="Z2240" t="str">
            <v>162773</v>
          </cell>
        </row>
        <row r="2241">
          <cell r="Z2241" t="str">
            <v>162774</v>
          </cell>
        </row>
        <row r="2242">
          <cell r="Z2242" t="str">
            <v>162779</v>
          </cell>
        </row>
        <row r="2243">
          <cell r="Z2243" t="str">
            <v>162780</v>
          </cell>
        </row>
        <row r="2244">
          <cell r="Z2244" t="str">
            <v>162781</v>
          </cell>
        </row>
        <row r="2245">
          <cell r="Z2245" t="str">
            <v>162782</v>
          </cell>
        </row>
        <row r="2246">
          <cell r="Z2246" t="str">
            <v>162783</v>
          </cell>
        </row>
        <row r="2247">
          <cell r="Z2247" t="str">
            <v>162784</v>
          </cell>
        </row>
        <row r="2248">
          <cell r="Z2248" t="str">
            <v>162789</v>
          </cell>
        </row>
        <row r="2249">
          <cell r="Z2249" t="str">
            <v>162790</v>
          </cell>
        </row>
        <row r="2250">
          <cell r="Z2250" t="str">
            <v>162791</v>
          </cell>
        </row>
        <row r="2251">
          <cell r="Z2251" t="str">
            <v>162792</v>
          </cell>
        </row>
        <row r="2252">
          <cell r="Z2252" t="str">
            <v>162793</v>
          </cell>
        </row>
        <row r="2253">
          <cell r="Z2253" t="str">
            <v>162794</v>
          </cell>
        </row>
        <row r="2254">
          <cell r="Z2254" t="str">
            <v>162799</v>
          </cell>
        </row>
        <row r="2255">
          <cell r="Z2255" t="str">
            <v>16280</v>
          </cell>
        </row>
        <row r="2256">
          <cell r="Z2256" t="str">
            <v>162810</v>
          </cell>
        </row>
        <row r="2257">
          <cell r="Z2257" t="str">
            <v>162811</v>
          </cell>
        </row>
        <row r="2258">
          <cell r="Z2258" t="str">
            <v>162812</v>
          </cell>
        </row>
        <row r="2259">
          <cell r="Z2259" t="str">
            <v>162813</v>
          </cell>
        </row>
        <row r="2260">
          <cell r="Z2260" t="str">
            <v>162814</v>
          </cell>
        </row>
        <row r="2261">
          <cell r="Z2261" t="str">
            <v>162819</v>
          </cell>
        </row>
        <row r="2262">
          <cell r="Z2262" t="str">
            <v>162820</v>
          </cell>
        </row>
        <row r="2263">
          <cell r="Z2263" t="str">
            <v>162821</v>
          </cell>
        </row>
        <row r="2264">
          <cell r="Z2264" t="str">
            <v>162822</v>
          </cell>
        </row>
        <row r="2265">
          <cell r="Z2265" t="str">
            <v>162823</v>
          </cell>
        </row>
        <row r="2266">
          <cell r="Z2266" t="str">
            <v>162824</v>
          </cell>
        </row>
        <row r="2267">
          <cell r="Z2267" t="str">
            <v>162829</v>
          </cell>
        </row>
        <row r="2268">
          <cell r="Z2268" t="str">
            <v>162830</v>
          </cell>
        </row>
        <row r="2269">
          <cell r="Z2269" t="str">
            <v>162831</v>
          </cell>
        </row>
        <row r="2270">
          <cell r="Z2270" t="str">
            <v>162832</v>
          </cell>
        </row>
        <row r="2271">
          <cell r="Z2271" t="str">
            <v>162833</v>
          </cell>
        </row>
        <row r="2272">
          <cell r="Z2272" t="str">
            <v>162834</v>
          </cell>
        </row>
        <row r="2273">
          <cell r="Z2273" t="str">
            <v>162839</v>
          </cell>
        </row>
        <row r="2274">
          <cell r="Z2274" t="str">
            <v>163000</v>
          </cell>
        </row>
        <row r="2275">
          <cell r="Z2275" t="str">
            <v>163100</v>
          </cell>
        </row>
        <row r="2276">
          <cell r="Z2276" t="str">
            <v>163110</v>
          </cell>
        </row>
        <row r="2277">
          <cell r="Z2277" t="str">
            <v>163111</v>
          </cell>
        </row>
        <row r="2278">
          <cell r="Z2278" t="str">
            <v>163112</v>
          </cell>
        </row>
        <row r="2279">
          <cell r="Z2279" t="str">
            <v>163113</v>
          </cell>
        </row>
        <row r="2280">
          <cell r="Z2280" t="str">
            <v>163114</v>
          </cell>
        </row>
        <row r="2281">
          <cell r="Z2281" t="str">
            <v>163119</v>
          </cell>
        </row>
        <row r="2282">
          <cell r="Z2282" t="str">
            <v>163120</v>
          </cell>
        </row>
        <row r="2283">
          <cell r="Z2283" t="str">
            <v>163121</v>
          </cell>
        </row>
        <row r="2284">
          <cell r="Z2284" t="str">
            <v>163122</v>
          </cell>
        </row>
        <row r="2285">
          <cell r="Z2285" t="str">
            <v>163123</v>
          </cell>
        </row>
        <row r="2286">
          <cell r="Z2286" t="str">
            <v>163124</v>
          </cell>
        </row>
        <row r="2287">
          <cell r="Z2287" t="str">
            <v>163129</v>
          </cell>
        </row>
        <row r="2288">
          <cell r="Z2288" t="str">
            <v>163200</v>
          </cell>
        </row>
        <row r="2289">
          <cell r="Z2289" t="str">
            <v>163210</v>
          </cell>
        </row>
        <row r="2290">
          <cell r="Z2290" t="str">
            <v>163211</v>
          </cell>
        </row>
        <row r="2291">
          <cell r="Z2291" t="str">
            <v>163212</v>
          </cell>
        </row>
        <row r="2292">
          <cell r="Z2292" t="str">
            <v>163213</v>
          </cell>
        </row>
        <row r="2293">
          <cell r="Z2293" t="str">
            <v>163214</v>
          </cell>
        </row>
        <row r="2294">
          <cell r="Z2294" t="str">
            <v>163219</v>
          </cell>
        </row>
        <row r="2295">
          <cell r="Z2295" t="str">
            <v>163220</v>
          </cell>
        </row>
        <row r="2296">
          <cell r="Z2296" t="str">
            <v>163221</v>
          </cell>
        </row>
        <row r="2297">
          <cell r="Z2297" t="str">
            <v>163222</v>
          </cell>
        </row>
        <row r="2298">
          <cell r="Z2298" t="str">
            <v>163223</v>
          </cell>
        </row>
        <row r="2299">
          <cell r="Z2299" t="str">
            <v>163224</v>
          </cell>
        </row>
        <row r="2300">
          <cell r="Z2300" t="str">
            <v>163229</v>
          </cell>
        </row>
        <row r="2301">
          <cell r="Z2301" t="str">
            <v>163300</v>
          </cell>
        </row>
        <row r="2302">
          <cell r="Z2302" t="str">
            <v>163310</v>
          </cell>
        </row>
        <row r="2303">
          <cell r="Z2303" t="str">
            <v>163311</v>
          </cell>
        </row>
        <row r="2304">
          <cell r="Z2304" t="str">
            <v>163312</v>
          </cell>
        </row>
        <row r="2305">
          <cell r="Z2305" t="str">
            <v>163313</v>
          </cell>
        </row>
        <row r="2306">
          <cell r="Z2306" t="str">
            <v>163314</v>
          </cell>
        </row>
        <row r="2307">
          <cell r="Z2307" t="str">
            <v>163319</v>
          </cell>
        </row>
        <row r="2308">
          <cell r="Z2308" t="str">
            <v>163320</v>
          </cell>
        </row>
        <row r="2309">
          <cell r="Z2309" t="str">
            <v>163321</v>
          </cell>
        </row>
        <row r="2310">
          <cell r="Z2310" t="str">
            <v>163322</v>
          </cell>
        </row>
        <row r="2311">
          <cell r="Z2311" t="str">
            <v>163323</v>
          </cell>
        </row>
        <row r="2312">
          <cell r="Z2312" t="str">
            <v>163324</v>
          </cell>
        </row>
        <row r="2313">
          <cell r="Z2313" t="str">
            <v>163329</v>
          </cell>
        </row>
        <row r="2314">
          <cell r="Z2314" t="str">
            <v>163400</v>
          </cell>
        </row>
        <row r="2315">
          <cell r="Z2315" t="str">
            <v>163410</v>
          </cell>
        </row>
        <row r="2316">
          <cell r="Z2316" t="str">
            <v>163411</v>
          </cell>
        </row>
        <row r="2317">
          <cell r="Z2317" t="str">
            <v>163412</v>
          </cell>
        </row>
        <row r="2318">
          <cell r="Z2318" t="str">
            <v>163413</v>
          </cell>
        </row>
        <row r="2319">
          <cell r="Z2319" t="str">
            <v>163414</v>
          </cell>
        </row>
        <row r="2320">
          <cell r="Z2320" t="str">
            <v>163419</v>
          </cell>
        </row>
        <row r="2321">
          <cell r="Z2321" t="str">
            <v>163420</v>
          </cell>
        </row>
        <row r="2322">
          <cell r="Z2322" t="str">
            <v>163421</v>
          </cell>
        </row>
        <row r="2323">
          <cell r="Z2323" t="str">
            <v>163422</v>
          </cell>
        </row>
        <row r="2324">
          <cell r="Z2324" t="str">
            <v>163423</v>
          </cell>
        </row>
        <row r="2325">
          <cell r="Z2325" t="str">
            <v>163424</v>
          </cell>
        </row>
        <row r="2326">
          <cell r="Z2326" t="str">
            <v>163429</v>
          </cell>
        </row>
        <row r="2327">
          <cell r="Z2327" t="str">
            <v>163500</v>
          </cell>
        </row>
        <row r="2328">
          <cell r="Z2328" t="str">
            <v>163510</v>
          </cell>
        </row>
        <row r="2329">
          <cell r="Z2329" t="str">
            <v>163511</v>
          </cell>
        </row>
        <row r="2330">
          <cell r="Z2330" t="str">
            <v>163512</v>
          </cell>
        </row>
        <row r="2331">
          <cell r="Z2331" t="str">
            <v>163513</v>
          </cell>
        </row>
        <row r="2332">
          <cell r="Z2332" t="str">
            <v>163514</v>
          </cell>
        </row>
        <row r="2333">
          <cell r="Z2333" t="str">
            <v>163519</v>
          </cell>
        </row>
        <row r="2334">
          <cell r="Z2334" t="str">
            <v>163520</v>
          </cell>
        </row>
        <row r="2335">
          <cell r="Z2335" t="str">
            <v>163521</v>
          </cell>
        </row>
        <row r="2336">
          <cell r="Z2336" t="str">
            <v>163522</v>
          </cell>
        </row>
        <row r="2337">
          <cell r="Z2337" t="str">
            <v>163523</v>
          </cell>
        </row>
        <row r="2338">
          <cell r="Z2338" t="str">
            <v>163524</v>
          </cell>
        </row>
        <row r="2339">
          <cell r="Z2339" t="str">
            <v>163529</v>
          </cell>
        </row>
        <row r="2340">
          <cell r="Z2340" t="str">
            <v>163900</v>
          </cell>
        </row>
        <row r="2341">
          <cell r="Z2341" t="str">
            <v>163910</v>
          </cell>
        </row>
        <row r="2342">
          <cell r="Z2342" t="str">
            <v>163911</v>
          </cell>
        </row>
        <row r="2343">
          <cell r="Z2343" t="str">
            <v>163912</v>
          </cell>
        </row>
        <row r="2344">
          <cell r="Z2344" t="str">
            <v>163913</v>
          </cell>
        </row>
        <row r="2345">
          <cell r="Z2345" t="str">
            <v>163914</v>
          </cell>
        </row>
        <row r="2346">
          <cell r="Z2346" t="str">
            <v>163919</v>
          </cell>
        </row>
        <row r="2347">
          <cell r="Z2347" t="str">
            <v>163920</v>
          </cell>
        </row>
        <row r="2348">
          <cell r="Z2348" t="str">
            <v>163921</v>
          </cell>
        </row>
        <row r="2349">
          <cell r="Z2349" t="str">
            <v>163922</v>
          </cell>
        </row>
        <row r="2350">
          <cell r="Z2350" t="str">
            <v>163923</v>
          </cell>
        </row>
        <row r="2351">
          <cell r="Z2351" t="str">
            <v>163924</v>
          </cell>
        </row>
        <row r="2352">
          <cell r="Z2352" t="str">
            <v>163929</v>
          </cell>
        </row>
        <row r="2353">
          <cell r="Z2353" t="str">
            <v>170000</v>
          </cell>
        </row>
        <row r="2354">
          <cell r="Z2354" t="str">
            <v>171000</v>
          </cell>
        </row>
        <row r="2355">
          <cell r="Z2355" t="str">
            <v>171100</v>
          </cell>
        </row>
        <row r="2356">
          <cell r="Z2356" t="str">
            <v>171101</v>
          </cell>
        </row>
        <row r="2357">
          <cell r="Z2357" t="str">
            <v>171102</v>
          </cell>
        </row>
        <row r="2358">
          <cell r="Z2358" t="str">
            <v>171103</v>
          </cell>
        </row>
        <row r="2359">
          <cell r="Z2359" t="str">
            <v>171104</v>
          </cell>
        </row>
        <row r="2360">
          <cell r="Z2360" t="str">
            <v>171109</v>
          </cell>
        </row>
        <row r="2361">
          <cell r="Z2361" t="str">
            <v>171200</v>
          </cell>
        </row>
        <row r="2362">
          <cell r="Z2362" t="str">
            <v>171201</v>
          </cell>
        </row>
        <row r="2363">
          <cell r="Z2363" t="str">
            <v>171202</v>
          </cell>
        </row>
        <row r="2364">
          <cell r="Z2364" t="str">
            <v>171203</v>
          </cell>
        </row>
        <row r="2365">
          <cell r="Z2365" t="str">
            <v>171204</v>
          </cell>
        </row>
        <row r="2366">
          <cell r="Z2366" t="str">
            <v>171209</v>
          </cell>
        </row>
        <row r="2367">
          <cell r="Z2367" t="str">
            <v>171300</v>
          </cell>
        </row>
        <row r="2368">
          <cell r="Z2368" t="str">
            <v>171301</v>
          </cell>
        </row>
        <row r="2369">
          <cell r="Z2369" t="str">
            <v>171302</v>
          </cell>
        </row>
        <row r="2370">
          <cell r="Z2370" t="str">
            <v>171303</v>
          </cell>
        </row>
        <row r="2371">
          <cell r="Z2371" t="str">
            <v>171304</v>
          </cell>
        </row>
        <row r="2372">
          <cell r="Z2372" t="str">
            <v>171309</v>
          </cell>
        </row>
        <row r="2373">
          <cell r="Z2373" t="str">
            <v>172000</v>
          </cell>
        </row>
        <row r="2374">
          <cell r="Z2374" t="str">
            <v>172100</v>
          </cell>
        </row>
        <row r="2375">
          <cell r="Z2375" t="str">
            <v>172101</v>
          </cell>
        </row>
        <row r="2376">
          <cell r="Z2376" t="str">
            <v>172102</v>
          </cell>
        </row>
        <row r="2377">
          <cell r="Z2377" t="str">
            <v>172103</v>
          </cell>
        </row>
        <row r="2378">
          <cell r="Z2378" t="str">
            <v>172104</v>
          </cell>
        </row>
        <row r="2379">
          <cell r="Z2379" t="str">
            <v>172109</v>
          </cell>
        </row>
        <row r="2380">
          <cell r="Z2380" t="str">
            <v>172200</v>
          </cell>
        </row>
        <row r="2381">
          <cell r="Z2381" t="str">
            <v>172201</v>
          </cell>
        </row>
        <row r="2382">
          <cell r="Z2382" t="str">
            <v>172202</v>
          </cell>
        </row>
        <row r="2383">
          <cell r="Z2383" t="str">
            <v>172203</v>
          </cell>
        </row>
        <row r="2384">
          <cell r="Z2384" t="str">
            <v>172204</v>
          </cell>
        </row>
        <row r="2385">
          <cell r="Z2385" t="str">
            <v>172209</v>
          </cell>
        </row>
        <row r="2386">
          <cell r="Z2386" t="str">
            <v>172300</v>
          </cell>
        </row>
        <row r="2387">
          <cell r="Z2387" t="str">
            <v>172310</v>
          </cell>
        </row>
        <row r="2388">
          <cell r="Z2388" t="str">
            <v>172311</v>
          </cell>
        </row>
        <row r="2389">
          <cell r="Z2389" t="str">
            <v>172312</v>
          </cell>
        </row>
        <row r="2390">
          <cell r="Z2390" t="str">
            <v>172313</v>
          </cell>
        </row>
        <row r="2391">
          <cell r="Z2391" t="str">
            <v>172314</v>
          </cell>
        </row>
        <row r="2392">
          <cell r="Z2392" t="str">
            <v>172319</v>
          </cell>
        </row>
        <row r="2393">
          <cell r="Z2393" t="str">
            <v>172320</v>
          </cell>
        </row>
        <row r="2394">
          <cell r="Z2394" t="str">
            <v>172321</v>
          </cell>
        </row>
        <row r="2395">
          <cell r="Z2395" t="str">
            <v>172322</v>
          </cell>
        </row>
        <row r="2396">
          <cell r="Z2396" t="str">
            <v>172323</v>
          </cell>
        </row>
        <row r="2397">
          <cell r="Z2397" t="str">
            <v>172324</v>
          </cell>
        </row>
        <row r="2398">
          <cell r="Z2398" t="str">
            <v>172329</v>
          </cell>
        </row>
        <row r="2399">
          <cell r="Z2399" t="str">
            <v>172330</v>
          </cell>
        </row>
        <row r="2400">
          <cell r="Z2400" t="str">
            <v>172331</v>
          </cell>
        </row>
        <row r="2401">
          <cell r="Z2401" t="str">
            <v>172332</v>
          </cell>
        </row>
        <row r="2402">
          <cell r="Z2402" t="str">
            <v>172333</v>
          </cell>
        </row>
        <row r="2403">
          <cell r="Z2403" t="str">
            <v>172334</v>
          </cell>
        </row>
        <row r="2404">
          <cell r="Z2404" t="str">
            <v>172339</v>
          </cell>
        </row>
        <row r="2405">
          <cell r="Z2405" t="str">
            <v>172400</v>
          </cell>
        </row>
        <row r="2406">
          <cell r="Z2406" t="str">
            <v>172401</v>
          </cell>
        </row>
        <row r="2407">
          <cell r="Z2407" t="str">
            <v>172402</v>
          </cell>
        </row>
        <row r="2408">
          <cell r="Z2408" t="str">
            <v>172403</v>
          </cell>
        </row>
        <row r="2409">
          <cell r="Z2409" t="str">
            <v>172404</v>
          </cell>
        </row>
        <row r="2410">
          <cell r="Z2410" t="str">
            <v>172409</v>
          </cell>
        </row>
        <row r="2411">
          <cell r="Z2411" t="str">
            <v>172500</v>
          </cell>
        </row>
        <row r="2412">
          <cell r="Z2412" t="str">
            <v>172501</v>
          </cell>
        </row>
        <row r="2413">
          <cell r="Z2413" t="str">
            <v>172502</v>
          </cell>
        </row>
        <row r="2414">
          <cell r="Z2414" t="str">
            <v>172503</v>
          </cell>
        </row>
        <row r="2415">
          <cell r="Z2415" t="str">
            <v>172504</v>
          </cell>
        </row>
        <row r="2416">
          <cell r="Z2416" t="str">
            <v>172509</v>
          </cell>
        </row>
        <row r="2417">
          <cell r="Z2417" t="str">
            <v>172600</v>
          </cell>
        </row>
        <row r="2418">
          <cell r="Z2418" t="str">
            <v>172601</v>
          </cell>
        </row>
        <row r="2419">
          <cell r="Z2419" t="str">
            <v>172602</v>
          </cell>
        </row>
        <row r="2420">
          <cell r="Z2420" t="str">
            <v>172603</v>
          </cell>
        </row>
        <row r="2421">
          <cell r="Z2421" t="str">
            <v>172604</v>
          </cell>
        </row>
        <row r="2422">
          <cell r="Z2422" t="str">
            <v>172609</v>
          </cell>
        </row>
        <row r="2423">
          <cell r="Z2423" t="str">
            <v>172700</v>
          </cell>
        </row>
        <row r="2424">
          <cell r="Z2424" t="str">
            <v>172710</v>
          </cell>
        </row>
        <row r="2425">
          <cell r="Z2425" t="str">
            <v>172711</v>
          </cell>
        </row>
        <row r="2426">
          <cell r="Z2426" t="str">
            <v>172712</v>
          </cell>
        </row>
        <row r="2427">
          <cell r="Z2427" t="str">
            <v>172713</v>
          </cell>
        </row>
        <row r="2428">
          <cell r="Z2428" t="str">
            <v>172714</v>
          </cell>
        </row>
        <row r="2429">
          <cell r="Z2429" t="str">
            <v>172719</v>
          </cell>
        </row>
        <row r="2430">
          <cell r="Z2430" t="str">
            <v>172720</v>
          </cell>
        </row>
        <row r="2431">
          <cell r="Z2431" t="str">
            <v>172721</v>
          </cell>
        </row>
        <row r="2432">
          <cell r="Z2432" t="str">
            <v>172722</v>
          </cell>
        </row>
        <row r="2433">
          <cell r="Z2433" t="str">
            <v>172723</v>
          </cell>
        </row>
        <row r="2434">
          <cell r="Z2434" t="str">
            <v>172724</v>
          </cell>
        </row>
        <row r="2435">
          <cell r="Z2435" t="str">
            <v>172729</v>
          </cell>
        </row>
        <row r="2436">
          <cell r="Z2436" t="str">
            <v>172730</v>
          </cell>
        </row>
        <row r="2437">
          <cell r="Z2437" t="str">
            <v>172731</v>
          </cell>
        </row>
        <row r="2438">
          <cell r="Z2438" t="str">
            <v>172732</v>
          </cell>
        </row>
        <row r="2439">
          <cell r="Z2439" t="str">
            <v>172733</v>
          </cell>
        </row>
        <row r="2440">
          <cell r="Z2440" t="str">
            <v>172734</v>
          </cell>
        </row>
        <row r="2441">
          <cell r="Z2441" t="str">
            <v>172739</v>
          </cell>
        </row>
        <row r="2442">
          <cell r="Z2442" t="str">
            <v>172800</v>
          </cell>
        </row>
        <row r="2443">
          <cell r="Z2443" t="str">
            <v>172801</v>
          </cell>
        </row>
        <row r="2444">
          <cell r="Z2444" t="str">
            <v>172802</v>
          </cell>
        </row>
        <row r="2445">
          <cell r="Z2445" t="str">
            <v>172803</v>
          </cell>
        </row>
        <row r="2446">
          <cell r="Z2446" t="str">
            <v>172804</v>
          </cell>
        </row>
        <row r="2447">
          <cell r="Z2447" t="str">
            <v>172809</v>
          </cell>
        </row>
        <row r="2448">
          <cell r="Z2448" t="str">
            <v>173000</v>
          </cell>
        </row>
        <row r="2449">
          <cell r="Z2449" t="str">
            <v>173100</v>
          </cell>
        </row>
        <row r="2450">
          <cell r="Z2450" t="str">
            <v>173101</v>
          </cell>
        </row>
        <row r="2451">
          <cell r="Z2451" t="str">
            <v>173102</v>
          </cell>
        </row>
        <row r="2452">
          <cell r="Z2452" t="str">
            <v>173103</v>
          </cell>
        </row>
        <row r="2453">
          <cell r="Z2453" t="str">
            <v>173104</v>
          </cell>
        </row>
        <row r="2454">
          <cell r="Z2454" t="str">
            <v>173109</v>
          </cell>
        </row>
        <row r="2455">
          <cell r="Z2455" t="str">
            <v>173200</v>
          </cell>
        </row>
        <row r="2456">
          <cell r="Z2456" t="str">
            <v>173201</v>
          </cell>
        </row>
        <row r="2457">
          <cell r="Z2457" t="str">
            <v>173202</v>
          </cell>
        </row>
        <row r="2458">
          <cell r="Z2458" t="str">
            <v>173203</v>
          </cell>
        </row>
        <row r="2459">
          <cell r="Z2459" t="str">
            <v>173204</v>
          </cell>
        </row>
        <row r="2460">
          <cell r="Z2460" t="str">
            <v>173209</v>
          </cell>
        </row>
        <row r="2461">
          <cell r="Z2461" t="str">
            <v>173300</v>
          </cell>
        </row>
        <row r="2462">
          <cell r="Z2462" t="str">
            <v>173301</v>
          </cell>
        </row>
        <row r="2463">
          <cell r="Z2463" t="str">
            <v>173302</v>
          </cell>
        </row>
        <row r="2464">
          <cell r="Z2464" t="str">
            <v>173303</v>
          </cell>
        </row>
        <row r="2465">
          <cell r="Z2465" t="str">
            <v>173304</v>
          </cell>
        </row>
        <row r="2466">
          <cell r="Z2466" t="str">
            <v>173309</v>
          </cell>
        </row>
        <row r="2467">
          <cell r="Z2467" t="str">
            <v>173400</v>
          </cell>
        </row>
        <row r="2468">
          <cell r="Z2468" t="str">
            <v>173401</v>
          </cell>
        </row>
        <row r="2469">
          <cell r="Z2469" t="str">
            <v>173402</v>
          </cell>
        </row>
        <row r="2470">
          <cell r="Z2470" t="str">
            <v>173403</v>
          </cell>
        </row>
        <row r="2471">
          <cell r="Z2471" t="str">
            <v>173404</v>
          </cell>
        </row>
        <row r="2472">
          <cell r="Z2472" t="str">
            <v>173409</v>
          </cell>
        </row>
        <row r="2473">
          <cell r="Z2473" t="str">
            <v>173500</v>
          </cell>
        </row>
        <row r="2474">
          <cell r="Z2474" t="str">
            <v>173501</v>
          </cell>
        </row>
        <row r="2475">
          <cell r="Z2475" t="str">
            <v>173502</v>
          </cell>
        </row>
        <row r="2476">
          <cell r="Z2476" t="str">
            <v>173503</v>
          </cell>
        </row>
        <row r="2477">
          <cell r="Z2477" t="str">
            <v>173504</v>
          </cell>
        </row>
        <row r="2478">
          <cell r="Z2478" t="str">
            <v>173509</v>
          </cell>
        </row>
        <row r="2479">
          <cell r="Z2479" t="str">
            <v>173900</v>
          </cell>
        </row>
        <row r="2480">
          <cell r="Z2480" t="str">
            <v>173901</v>
          </cell>
        </row>
        <row r="2481">
          <cell r="Z2481" t="str">
            <v>173902</v>
          </cell>
        </row>
        <row r="2482">
          <cell r="Z2482" t="str">
            <v>173903</v>
          </cell>
        </row>
        <row r="2483">
          <cell r="Z2483" t="str">
            <v>173904</v>
          </cell>
        </row>
        <row r="2484">
          <cell r="Z2484" t="str">
            <v>173909</v>
          </cell>
        </row>
        <row r="2485">
          <cell r="Z2485" t="str">
            <v>174000</v>
          </cell>
        </row>
        <row r="2486">
          <cell r="Z2486" t="str">
            <v>174100</v>
          </cell>
        </row>
        <row r="2487">
          <cell r="Z2487" t="str">
            <v>174110</v>
          </cell>
        </row>
        <row r="2488">
          <cell r="Z2488" t="str">
            <v>174111</v>
          </cell>
        </row>
        <row r="2489">
          <cell r="Z2489" t="str">
            <v>174112</v>
          </cell>
        </row>
        <row r="2490">
          <cell r="Z2490" t="str">
            <v>174113</v>
          </cell>
        </row>
        <row r="2491">
          <cell r="Z2491" t="str">
            <v>174114</v>
          </cell>
        </row>
        <row r="2492">
          <cell r="Z2492" t="str">
            <v>174119</v>
          </cell>
        </row>
        <row r="2493">
          <cell r="Z2493" t="str">
            <v>174120</v>
          </cell>
        </row>
        <row r="2494">
          <cell r="Z2494" t="str">
            <v>174121</v>
          </cell>
        </row>
        <row r="2495">
          <cell r="Z2495" t="str">
            <v>174122</v>
          </cell>
        </row>
        <row r="2496">
          <cell r="Z2496" t="str">
            <v>174123</v>
          </cell>
        </row>
        <row r="2497">
          <cell r="Z2497" t="str">
            <v>174124</v>
          </cell>
        </row>
        <row r="2498">
          <cell r="Z2498" t="str">
            <v>174129</v>
          </cell>
        </row>
        <row r="2499">
          <cell r="Z2499" t="str">
            <v>174130</v>
          </cell>
        </row>
        <row r="2500">
          <cell r="Z2500" t="str">
            <v>174131</v>
          </cell>
        </row>
        <row r="2501">
          <cell r="Z2501" t="str">
            <v>174132</v>
          </cell>
        </row>
        <row r="2502">
          <cell r="Z2502" t="str">
            <v>174133</v>
          </cell>
        </row>
        <row r="2503">
          <cell r="Z2503" t="str">
            <v>174134</v>
          </cell>
        </row>
        <row r="2504">
          <cell r="Z2504" t="str">
            <v>174139</v>
          </cell>
        </row>
        <row r="2505">
          <cell r="Z2505" t="str">
            <v>174200</v>
          </cell>
        </row>
        <row r="2506">
          <cell r="Z2506" t="str">
            <v>174210</v>
          </cell>
        </row>
        <row r="2507">
          <cell r="Z2507" t="str">
            <v>174211</v>
          </cell>
        </row>
        <row r="2508">
          <cell r="Z2508" t="str">
            <v>174212</v>
          </cell>
        </row>
        <row r="2509">
          <cell r="Z2509" t="str">
            <v>174213</v>
          </cell>
        </row>
        <row r="2510">
          <cell r="Z2510" t="str">
            <v>1742.14</v>
          </cell>
        </row>
        <row r="2511">
          <cell r="Z2511" t="str">
            <v>174219</v>
          </cell>
        </row>
        <row r="2512">
          <cell r="Z2512" t="str">
            <v>174220</v>
          </cell>
        </row>
        <row r="2513">
          <cell r="Z2513" t="str">
            <v>174221</v>
          </cell>
        </row>
        <row r="2514">
          <cell r="Z2514" t="str">
            <v>174222</v>
          </cell>
        </row>
        <row r="2515">
          <cell r="Z2515" t="str">
            <v>174223</v>
          </cell>
        </row>
        <row r="2516">
          <cell r="Z2516" t="str">
            <v>174224</v>
          </cell>
        </row>
        <row r="2517">
          <cell r="Z2517" t="str">
            <v>174229</v>
          </cell>
        </row>
        <row r="2518">
          <cell r="Z2518" t="str">
            <v>174230</v>
          </cell>
        </row>
        <row r="2519">
          <cell r="Z2519" t="str">
            <v>174231</v>
          </cell>
        </row>
        <row r="2520">
          <cell r="Z2520" t="str">
            <v>174232</v>
          </cell>
        </row>
        <row r="2521">
          <cell r="Z2521" t="str">
            <v>174233</v>
          </cell>
        </row>
        <row r="2522">
          <cell r="Z2522" t="str">
            <v>174234</v>
          </cell>
        </row>
        <row r="2523">
          <cell r="Z2523" t="str">
            <v>174239</v>
          </cell>
        </row>
        <row r="2524">
          <cell r="Z2524" t="str">
            <v>174300</v>
          </cell>
        </row>
        <row r="2525">
          <cell r="Z2525" t="str">
            <v>174310</v>
          </cell>
        </row>
        <row r="2526">
          <cell r="Z2526" t="str">
            <v>174311</v>
          </cell>
        </row>
        <row r="2527">
          <cell r="Z2527" t="str">
            <v>174312</v>
          </cell>
        </row>
        <row r="2528">
          <cell r="Z2528" t="str">
            <v>174313</v>
          </cell>
        </row>
        <row r="2529">
          <cell r="Z2529" t="str">
            <v>174314</v>
          </cell>
        </row>
        <row r="2530">
          <cell r="Z2530" t="str">
            <v>174319</v>
          </cell>
        </row>
        <row r="2531">
          <cell r="Z2531" t="str">
            <v>174320</v>
          </cell>
        </row>
        <row r="2532">
          <cell r="Z2532" t="str">
            <v>174321</v>
          </cell>
        </row>
        <row r="2533">
          <cell r="Z2533" t="str">
            <v>174322</v>
          </cell>
        </row>
        <row r="2534">
          <cell r="Z2534" t="str">
            <v>174323</v>
          </cell>
        </row>
        <row r="2535">
          <cell r="Z2535" t="str">
            <v>174324</v>
          </cell>
        </row>
        <row r="2536">
          <cell r="Z2536" t="str">
            <v>174329</v>
          </cell>
        </row>
        <row r="2537">
          <cell r="Z2537" t="str">
            <v>174330</v>
          </cell>
        </row>
        <row r="2538">
          <cell r="Z2538" t="str">
            <v>174331</v>
          </cell>
        </row>
        <row r="2539">
          <cell r="Z2539" t="str">
            <v>174332</v>
          </cell>
        </row>
        <row r="2540">
          <cell r="Z2540" t="str">
            <v>174333</v>
          </cell>
        </row>
        <row r="2541">
          <cell r="Z2541" t="str">
            <v>174334</v>
          </cell>
        </row>
        <row r="2542">
          <cell r="Z2542" t="str">
            <v>174339</v>
          </cell>
        </row>
        <row r="2543">
          <cell r="Z2543" t="str">
            <v>200000</v>
          </cell>
        </row>
        <row r="2544">
          <cell r="Z2544" t="str">
            <v>210000</v>
          </cell>
        </row>
        <row r="2545">
          <cell r="Z2545" t="str">
            <v>211000</v>
          </cell>
        </row>
        <row r="2546">
          <cell r="Z2546" t="str">
            <v>211100</v>
          </cell>
        </row>
        <row r="2547">
          <cell r="Z2547" t="str">
            <v>211110</v>
          </cell>
        </row>
        <row r="2548">
          <cell r="Z2548" t="str">
            <v>211111</v>
          </cell>
        </row>
        <row r="2549">
          <cell r="Z2549" t="str">
            <v>211112</v>
          </cell>
        </row>
        <row r="2550">
          <cell r="Z2550" t="str">
            <v>211113</v>
          </cell>
        </row>
        <row r="2551">
          <cell r="Z2551" t="str">
            <v>211114</v>
          </cell>
        </row>
        <row r="2552">
          <cell r="Z2552" t="str">
            <v>211119</v>
          </cell>
        </row>
        <row r="2553">
          <cell r="Z2553" t="str">
            <v>211120</v>
          </cell>
        </row>
        <row r="2554">
          <cell r="Z2554" t="str">
            <v>211121</v>
          </cell>
        </row>
        <row r="2555">
          <cell r="Z2555" t="str">
            <v>211122</v>
          </cell>
        </row>
        <row r="2556">
          <cell r="Z2556" t="str">
            <v>211123</v>
          </cell>
        </row>
        <row r="2557">
          <cell r="Z2557" t="str">
            <v>211124</v>
          </cell>
        </row>
        <row r="2558">
          <cell r="Z2558" t="str">
            <v>211129</v>
          </cell>
        </row>
        <row r="2559">
          <cell r="Z2559" t="str">
            <v>211130</v>
          </cell>
        </row>
        <row r="2560">
          <cell r="Z2560" t="str">
            <v>211131</v>
          </cell>
        </row>
        <row r="2561">
          <cell r="Z2561" t="str">
            <v>211132</v>
          </cell>
        </row>
        <row r="2562">
          <cell r="Z2562" t="str">
            <v>211133</v>
          </cell>
        </row>
        <row r="2563">
          <cell r="Z2563" t="str">
            <v>211134</v>
          </cell>
        </row>
        <row r="2564">
          <cell r="Z2564" t="str">
            <v>211139</v>
          </cell>
        </row>
        <row r="2565">
          <cell r="Z2565" t="str">
            <v>211140</v>
          </cell>
        </row>
        <row r="2566">
          <cell r="Z2566" t="str">
            <v>211141</v>
          </cell>
        </row>
        <row r="2567">
          <cell r="Z2567" t="str">
            <v>211142</v>
          </cell>
        </row>
        <row r="2568">
          <cell r="Z2568" t="str">
            <v>211143</v>
          </cell>
        </row>
        <row r="2569">
          <cell r="Z2569" t="str">
            <v>211144</v>
          </cell>
        </row>
        <row r="2570">
          <cell r="Z2570" t="str">
            <v>211149</v>
          </cell>
        </row>
        <row r="2571">
          <cell r="Z2571" t="str">
            <v>211150</v>
          </cell>
        </row>
        <row r="2572">
          <cell r="Z2572" t="str">
            <v>211151</v>
          </cell>
        </row>
        <row r="2573">
          <cell r="Z2573" t="str">
            <v>211152</v>
          </cell>
        </row>
        <row r="2574">
          <cell r="Z2574" t="str">
            <v>211153</v>
          </cell>
        </row>
        <row r="2575">
          <cell r="Z2575" t="str">
            <v>211154</v>
          </cell>
        </row>
        <row r="2576">
          <cell r="Z2576" t="str">
            <v>211159</v>
          </cell>
        </row>
        <row r="2577">
          <cell r="Z2577" t="str">
            <v>211160</v>
          </cell>
        </row>
        <row r="2578">
          <cell r="Z2578" t="str">
            <v>211161</v>
          </cell>
        </row>
        <row r="2579">
          <cell r="Z2579" t="str">
            <v>211162</v>
          </cell>
        </row>
        <row r="2580">
          <cell r="Z2580" t="str">
            <v>211163</v>
          </cell>
        </row>
        <row r="2581">
          <cell r="Z2581" t="str">
            <v>211164</v>
          </cell>
        </row>
        <row r="2582">
          <cell r="Z2582" t="str">
            <v>211169</v>
          </cell>
        </row>
        <row r="2583">
          <cell r="Z2583" t="str">
            <v>211170</v>
          </cell>
        </row>
        <row r="2584">
          <cell r="Z2584" t="str">
            <v>211171</v>
          </cell>
        </row>
        <row r="2585">
          <cell r="Z2585" t="str">
            <v>211172</v>
          </cell>
        </row>
        <row r="2586">
          <cell r="Z2586" t="str">
            <v>211173</v>
          </cell>
        </row>
        <row r="2587">
          <cell r="Z2587" t="str">
            <v>211174</v>
          </cell>
        </row>
        <row r="2588">
          <cell r="Z2588" t="str">
            <v>211179</v>
          </cell>
        </row>
        <row r="2589">
          <cell r="Z2589" t="str">
            <v>211180</v>
          </cell>
        </row>
        <row r="2590">
          <cell r="Z2590" t="str">
            <v>211181</v>
          </cell>
        </row>
        <row r="2591">
          <cell r="Z2591" t="str">
            <v>211182</v>
          </cell>
        </row>
        <row r="2592">
          <cell r="Z2592" t="str">
            <v>211183</v>
          </cell>
        </row>
        <row r="2593">
          <cell r="Z2593" t="str">
            <v>211184</v>
          </cell>
        </row>
        <row r="2594">
          <cell r="Z2594" t="str">
            <v>211189</v>
          </cell>
        </row>
        <row r="2595">
          <cell r="Z2595" t="str">
            <v>211200</v>
          </cell>
        </row>
        <row r="2596">
          <cell r="Z2596" t="str">
            <v>211210</v>
          </cell>
        </row>
        <row r="2597">
          <cell r="Z2597" t="str">
            <v>211211</v>
          </cell>
        </row>
        <row r="2598">
          <cell r="Z2598" t="str">
            <v>211212</v>
          </cell>
        </row>
        <row r="2599">
          <cell r="Z2599" t="str">
            <v>211213</v>
          </cell>
        </row>
        <row r="2600">
          <cell r="Z2600" t="str">
            <v>211214</v>
          </cell>
        </row>
        <row r="2601">
          <cell r="Z2601" t="str">
            <v>211219</v>
          </cell>
        </row>
        <row r="2602">
          <cell r="Z2602" t="str">
            <v>211220</v>
          </cell>
        </row>
        <row r="2603">
          <cell r="Z2603" t="str">
            <v>211221</v>
          </cell>
        </row>
        <row r="2604">
          <cell r="Z2604" t="str">
            <v>211222</v>
          </cell>
        </row>
        <row r="2605">
          <cell r="Z2605" t="str">
            <v>211223</v>
          </cell>
        </row>
        <row r="2606">
          <cell r="Z2606" t="str">
            <v>211224</v>
          </cell>
        </row>
        <row r="2607">
          <cell r="Z2607" t="str">
            <v>211229</v>
          </cell>
        </row>
        <row r="2608">
          <cell r="Z2608" t="str">
            <v>211230</v>
          </cell>
        </row>
        <row r="2609">
          <cell r="Z2609" t="str">
            <v>211231</v>
          </cell>
        </row>
        <row r="2610">
          <cell r="Z2610" t="str">
            <v>211232</v>
          </cell>
        </row>
        <row r="2611">
          <cell r="Z2611" t="str">
            <v>211233</v>
          </cell>
        </row>
        <row r="2612">
          <cell r="Z2612" t="str">
            <v>211234</v>
          </cell>
        </row>
        <row r="2613">
          <cell r="Z2613" t="str">
            <v>211239</v>
          </cell>
        </row>
        <row r="2614">
          <cell r="Z2614" t="str">
            <v>211240</v>
          </cell>
        </row>
        <row r="2615">
          <cell r="Z2615" t="str">
            <v>211241</v>
          </cell>
        </row>
        <row r="2616">
          <cell r="Z2616" t="str">
            <v>211242</v>
          </cell>
        </row>
        <row r="2617">
          <cell r="Z2617" t="str">
            <v>211243</v>
          </cell>
        </row>
        <row r="2618">
          <cell r="Z2618" t="str">
            <v>211244</v>
          </cell>
        </row>
        <row r="2619">
          <cell r="Z2619" t="str">
            <v>211249</v>
          </cell>
        </row>
        <row r="2620">
          <cell r="Z2620" t="str">
            <v>211300</v>
          </cell>
        </row>
        <row r="2621">
          <cell r="Z2621" t="str">
            <v>211310</v>
          </cell>
        </row>
        <row r="2622">
          <cell r="Z2622" t="str">
            <v>211311</v>
          </cell>
        </row>
        <row r="2623">
          <cell r="Z2623" t="str">
            <v>211312</v>
          </cell>
        </row>
        <row r="2624">
          <cell r="Z2624" t="str">
            <v>211313</v>
          </cell>
        </row>
        <row r="2625">
          <cell r="Z2625" t="str">
            <v>211314</v>
          </cell>
        </row>
        <row r="2626">
          <cell r="Z2626" t="str">
            <v>211319</v>
          </cell>
        </row>
        <row r="2627">
          <cell r="Z2627" t="str">
            <v>211320</v>
          </cell>
        </row>
        <row r="2628">
          <cell r="Z2628" t="str">
            <v>211321</v>
          </cell>
        </row>
        <row r="2629">
          <cell r="Z2629" t="str">
            <v>211322</v>
          </cell>
        </row>
        <row r="2630">
          <cell r="Z2630" t="str">
            <v>211323</v>
          </cell>
        </row>
        <row r="2631">
          <cell r="Z2631" t="str">
            <v>211324</v>
          </cell>
        </row>
        <row r="2632">
          <cell r="Z2632" t="str">
            <v>211329</v>
          </cell>
        </row>
        <row r="2633">
          <cell r="Z2633" t="str">
            <v>211330</v>
          </cell>
        </row>
        <row r="2634">
          <cell r="Z2634" t="str">
            <v>211331</v>
          </cell>
        </row>
        <row r="2635">
          <cell r="Z2635" t="str">
            <v>211332</v>
          </cell>
        </row>
        <row r="2636">
          <cell r="Z2636" t="str">
            <v>211333</v>
          </cell>
        </row>
        <row r="2637">
          <cell r="Z2637" t="str">
            <v>211334</v>
          </cell>
        </row>
        <row r="2638">
          <cell r="Z2638" t="str">
            <v>211339</v>
          </cell>
        </row>
        <row r="2639">
          <cell r="Z2639" t="str">
            <v>211340</v>
          </cell>
        </row>
        <row r="2640">
          <cell r="Z2640" t="str">
            <v>211341</v>
          </cell>
        </row>
        <row r="2641">
          <cell r="Z2641" t="str">
            <v>211342</v>
          </cell>
        </row>
        <row r="2642">
          <cell r="Z2642" t="str">
            <v>211343</v>
          </cell>
        </row>
        <row r="2643">
          <cell r="Z2643" t="str">
            <v>211344</v>
          </cell>
        </row>
        <row r="2644">
          <cell r="Z2644" t="str">
            <v>211349</v>
          </cell>
        </row>
        <row r="2645">
          <cell r="Z2645" t="str">
            <v>211400</v>
          </cell>
        </row>
        <row r="2646">
          <cell r="Z2646" t="str">
            <v>211410</v>
          </cell>
        </row>
        <row r="2647">
          <cell r="Z2647" t="str">
            <v>211411</v>
          </cell>
        </row>
        <row r="2648">
          <cell r="Z2648" t="str">
            <v>211412</v>
          </cell>
        </row>
        <row r="2649">
          <cell r="Z2649" t="str">
            <v>211413</v>
          </cell>
        </row>
        <row r="2650">
          <cell r="Z2650" t="str">
            <v>211414</v>
          </cell>
        </row>
        <row r="2651">
          <cell r="Z2651" t="str">
            <v>211419</v>
          </cell>
        </row>
        <row r="2652">
          <cell r="Z2652" t="str">
            <v>211420</v>
          </cell>
        </row>
        <row r="2653">
          <cell r="Z2653" t="str">
            <v>211421</v>
          </cell>
        </row>
        <row r="2654">
          <cell r="Z2654" t="str">
            <v>211422</v>
          </cell>
        </row>
        <row r="2655">
          <cell r="Z2655" t="str">
            <v>211423</v>
          </cell>
        </row>
        <row r="2656">
          <cell r="Z2656" t="str">
            <v>211424</v>
          </cell>
        </row>
        <row r="2657">
          <cell r="Z2657" t="str">
            <v>211429</v>
          </cell>
        </row>
        <row r="2658">
          <cell r="Z2658" t="str">
            <v>211430</v>
          </cell>
        </row>
        <row r="2659">
          <cell r="Z2659" t="str">
            <v>211431</v>
          </cell>
        </row>
        <row r="2660">
          <cell r="Z2660" t="str">
            <v>211432</v>
          </cell>
        </row>
        <row r="2661">
          <cell r="Z2661" t="str">
            <v>211433</v>
          </cell>
        </row>
        <row r="2662">
          <cell r="Z2662" t="str">
            <v>211434</v>
          </cell>
        </row>
        <row r="2663">
          <cell r="Z2663" t="str">
            <v>211439</v>
          </cell>
        </row>
        <row r="2664">
          <cell r="Z2664" t="str">
            <v>211440</v>
          </cell>
        </row>
        <row r="2665">
          <cell r="Z2665" t="str">
            <v>211441</v>
          </cell>
        </row>
        <row r="2666">
          <cell r="Z2666" t="str">
            <v>211442</v>
          </cell>
        </row>
        <row r="2667">
          <cell r="Z2667" t="str">
            <v>211443</v>
          </cell>
        </row>
        <row r="2668">
          <cell r="Z2668" t="str">
            <v>211444</v>
          </cell>
        </row>
        <row r="2669">
          <cell r="Z2669" t="str">
            <v>211449</v>
          </cell>
        </row>
        <row r="2670">
          <cell r="Z2670" t="str">
            <v>211500</v>
          </cell>
        </row>
        <row r="2671">
          <cell r="Z2671" t="str">
            <v>211510</v>
          </cell>
        </row>
        <row r="2672">
          <cell r="Z2672" t="str">
            <v>211511</v>
          </cell>
        </row>
        <row r="2673">
          <cell r="Z2673" t="str">
            <v>211512</v>
          </cell>
        </row>
        <row r="2674">
          <cell r="Z2674" t="str">
            <v>211513</v>
          </cell>
        </row>
        <row r="2675">
          <cell r="Z2675" t="str">
            <v>211514</v>
          </cell>
        </row>
        <row r="2676">
          <cell r="Z2676" t="str">
            <v>211519</v>
          </cell>
        </row>
        <row r="2677">
          <cell r="Z2677" t="str">
            <v>211520</v>
          </cell>
        </row>
        <row r="2678">
          <cell r="Z2678" t="str">
            <v>211521</v>
          </cell>
        </row>
        <row r="2679">
          <cell r="Z2679" t="str">
            <v>211522</v>
          </cell>
        </row>
        <row r="2680">
          <cell r="Z2680" t="str">
            <v>211523</v>
          </cell>
        </row>
        <row r="2681">
          <cell r="Z2681" t="str">
            <v>211524</v>
          </cell>
        </row>
        <row r="2682">
          <cell r="Z2682" t="str">
            <v>211529</v>
          </cell>
        </row>
        <row r="2683">
          <cell r="Z2683" t="str">
            <v>211530</v>
          </cell>
        </row>
        <row r="2684">
          <cell r="Z2684" t="str">
            <v>211531</v>
          </cell>
        </row>
        <row r="2685">
          <cell r="Z2685" t="str">
            <v>211532</v>
          </cell>
        </row>
        <row r="2686">
          <cell r="Z2686" t="str">
            <v>211533</v>
          </cell>
        </row>
        <row r="2687">
          <cell r="Z2687" t="str">
            <v>211534</v>
          </cell>
        </row>
        <row r="2688">
          <cell r="Z2688" t="str">
            <v>211539</v>
          </cell>
        </row>
        <row r="2689">
          <cell r="Z2689" t="str">
            <v>211600</v>
          </cell>
        </row>
        <row r="2690">
          <cell r="Z2690" t="str">
            <v>211601</v>
          </cell>
        </row>
        <row r="2691">
          <cell r="Z2691" t="str">
            <v>211602</v>
          </cell>
        </row>
        <row r="2692">
          <cell r="Z2692" t="str">
            <v>211603</v>
          </cell>
        </row>
        <row r="2693">
          <cell r="Z2693" t="str">
            <v>211604</v>
          </cell>
        </row>
        <row r="2694">
          <cell r="Z2694" t="str">
            <v>211609</v>
          </cell>
        </row>
        <row r="2695">
          <cell r="Z2695" t="str">
            <v>212000</v>
          </cell>
        </row>
        <row r="2696">
          <cell r="Z2696" t="str">
            <v>212100</v>
          </cell>
        </row>
        <row r="2697">
          <cell r="Z2697" t="str">
            <v>212110</v>
          </cell>
        </row>
        <row r="2698">
          <cell r="Z2698" t="str">
            <v>212111</v>
          </cell>
        </row>
        <row r="2699">
          <cell r="Z2699" t="str">
            <v>212112</v>
          </cell>
        </row>
        <row r="2700">
          <cell r="Z2700" t="str">
            <v>212113</v>
          </cell>
        </row>
        <row r="2701">
          <cell r="Z2701" t="str">
            <v>212114</v>
          </cell>
        </row>
        <row r="2702">
          <cell r="Z2702" t="str">
            <v>212119</v>
          </cell>
        </row>
        <row r="2703">
          <cell r="Z2703" t="str">
            <v>212120</v>
          </cell>
        </row>
        <row r="2704">
          <cell r="Z2704" t="str">
            <v>212121</v>
          </cell>
        </row>
        <row r="2705">
          <cell r="Z2705" t="str">
            <v>212122</v>
          </cell>
        </row>
        <row r="2706">
          <cell r="Z2706" t="str">
            <v>212123</v>
          </cell>
        </row>
        <row r="2707">
          <cell r="Z2707" t="str">
            <v>212124</v>
          </cell>
        </row>
        <row r="2708">
          <cell r="Z2708" t="str">
            <v>212129</v>
          </cell>
        </row>
        <row r="2709">
          <cell r="Z2709" t="str">
            <v>212130</v>
          </cell>
        </row>
        <row r="2710">
          <cell r="Z2710" t="str">
            <v>212131</v>
          </cell>
        </row>
        <row r="2711">
          <cell r="Z2711" t="str">
            <v>212132</v>
          </cell>
        </row>
        <row r="2712">
          <cell r="Z2712" t="str">
            <v>212133</v>
          </cell>
        </row>
        <row r="2713">
          <cell r="Z2713" t="str">
            <v>212134</v>
          </cell>
        </row>
        <row r="2714">
          <cell r="Z2714" t="str">
            <v>212139</v>
          </cell>
        </row>
        <row r="2715">
          <cell r="Z2715" t="str">
            <v>212140</v>
          </cell>
        </row>
        <row r="2716">
          <cell r="Z2716" t="str">
            <v>212141</v>
          </cell>
        </row>
        <row r="2717">
          <cell r="Z2717" t="str">
            <v>212142</v>
          </cell>
        </row>
        <row r="2718">
          <cell r="Z2718" t="str">
            <v>212143</v>
          </cell>
        </row>
        <row r="2719">
          <cell r="Z2719" t="str">
            <v>212144</v>
          </cell>
        </row>
        <row r="2720">
          <cell r="Z2720" t="str">
            <v>212149</v>
          </cell>
        </row>
        <row r="2721">
          <cell r="Z2721" t="str">
            <v>212150</v>
          </cell>
        </row>
        <row r="2722">
          <cell r="Z2722" t="str">
            <v>212151</v>
          </cell>
        </row>
        <row r="2723">
          <cell r="Z2723" t="str">
            <v>212152</v>
          </cell>
        </row>
        <row r="2724">
          <cell r="Z2724" t="str">
            <v>212153</v>
          </cell>
        </row>
        <row r="2725">
          <cell r="Z2725" t="str">
            <v>212154</v>
          </cell>
        </row>
        <row r="2726">
          <cell r="Z2726" t="str">
            <v>212159</v>
          </cell>
        </row>
        <row r="2727">
          <cell r="Z2727" t="str">
            <v>212160</v>
          </cell>
        </row>
        <row r="2728">
          <cell r="Z2728" t="str">
            <v>212161</v>
          </cell>
        </row>
        <row r="2729">
          <cell r="Z2729" t="str">
            <v>212162</v>
          </cell>
        </row>
        <row r="2730">
          <cell r="Z2730" t="str">
            <v>212163</v>
          </cell>
        </row>
        <row r="2731">
          <cell r="Z2731" t="str">
            <v>212164</v>
          </cell>
        </row>
        <row r="2732">
          <cell r="Z2732" t="str">
            <v>212169</v>
          </cell>
        </row>
        <row r="2733">
          <cell r="Z2733" t="str">
            <v>212170</v>
          </cell>
        </row>
        <row r="2734">
          <cell r="Z2734" t="str">
            <v>212171</v>
          </cell>
        </row>
        <row r="2735">
          <cell r="Z2735" t="str">
            <v>212172</v>
          </cell>
        </row>
        <row r="2736">
          <cell r="Z2736" t="str">
            <v>212173</v>
          </cell>
        </row>
        <row r="2737">
          <cell r="Z2737" t="str">
            <v>212174</v>
          </cell>
        </row>
        <row r="2738">
          <cell r="Z2738" t="str">
            <v>212179</v>
          </cell>
        </row>
        <row r="2739">
          <cell r="Z2739" t="str">
            <v>212180</v>
          </cell>
        </row>
        <row r="2740">
          <cell r="Z2740" t="str">
            <v>212181</v>
          </cell>
        </row>
        <row r="2741">
          <cell r="Z2741" t="str">
            <v>212182</v>
          </cell>
        </row>
        <row r="2742">
          <cell r="Z2742" t="str">
            <v>212183</v>
          </cell>
        </row>
        <row r="2743">
          <cell r="Z2743" t="str">
            <v>212184</v>
          </cell>
        </row>
        <row r="2744">
          <cell r="Z2744" t="str">
            <v>212189</v>
          </cell>
        </row>
        <row r="2745">
          <cell r="Z2745" t="str">
            <v>212200</v>
          </cell>
        </row>
        <row r="2746">
          <cell r="Z2746" t="str">
            <v>212210</v>
          </cell>
        </row>
        <row r="2747">
          <cell r="Z2747" t="str">
            <v>212211</v>
          </cell>
        </row>
        <row r="2748">
          <cell r="Z2748" t="str">
            <v>212212</v>
          </cell>
        </row>
        <row r="2749">
          <cell r="Z2749" t="str">
            <v>212213</v>
          </cell>
        </row>
        <row r="2750">
          <cell r="Z2750" t="str">
            <v>212214</v>
          </cell>
        </row>
        <row r="2751">
          <cell r="Z2751" t="str">
            <v>212219</v>
          </cell>
        </row>
        <row r="2752">
          <cell r="Z2752" t="str">
            <v>212220</v>
          </cell>
        </row>
        <row r="2753">
          <cell r="Z2753" t="str">
            <v>212221</v>
          </cell>
        </row>
        <row r="2754">
          <cell r="Z2754" t="str">
            <v>212222</v>
          </cell>
        </row>
        <row r="2755">
          <cell r="Z2755" t="str">
            <v>212223</v>
          </cell>
        </row>
        <row r="2756">
          <cell r="Z2756" t="str">
            <v>212224</v>
          </cell>
        </row>
        <row r="2757">
          <cell r="Z2757" t="str">
            <v>212229</v>
          </cell>
        </row>
        <row r="2758">
          <cell r="Z2758" t="str">
            <v>212230</v>
          </cell>
        </row>
        <row r="2759">
          <cell r="Z2759" t="str">
            <v>212231</v>
          </cell>
        </row>
        <row r="2760">
          <cell r="Z2760" t="str">
            <v>212232</v>
          </cell>
        </row>
        <row r="2761">
          <cell r="Z2761" t="str">
            <v>212233</v>
          </cell>
        </row>
        <row r="2762">
          <cell r="Z2762" t="str">
            <v>212234</v>
          </cell>
        </row>
        <row r="2763">
          <cell r="Z2763" t="str">
            <v>212239</v>
          </cell>
        </row>
        <row r="2764">
          <cell r="Z2764" t="str">
            <v>212240</v>
          </cell>
        </row>
        <row r="2765">
          <cell r="Z2765" t="str">
            <v>212241</v>
          </cell>
        </row>
        <row r="2766">
          <cell r="Z2766" t="str">
            <v>212242</v>
          </cell>
        </row>
        <row r="2767">
          <cell r="Z2767" t="str">
            <v>212243</v>
          </cell>
        </row>
        <row r="2768">
          <cell r="Z2768" t="str">
            <v>212244</v>
          </cell>
        </row>
        <row r="2769">
          <cell r="Z2769" t="str">
            <v>212249</v>
          </cell>
        </row>
        <row r="2770">
          <cell r="Z2770" t="str">
            <v>212300</v>
          </cell>
        </row>
        <row r="2771">
          <cell r="Z2771" t="str">
            <v>212310</v>
          </cell>
        </row>
        <row r="2772">
          <cell r="Z2772" t="str">
            <v>212311</v>
          </cell>
        </row>
        <row r="2773">
          <cell r="Z2773" t="str">
            <v>212312</v>
          </cell>
        </row>
        <row r="2774">
          <cell r="Z2774" t="str">
            <v>212313</v>
          </cell>
        </row>
        <row r="2775">
          <cell r="Z2775" t="str">
            <v>212314</v>
          </cell>
        </row>
        <row r="2776">
          <cell r="Z2776" t="str">
            <v>212319</v>
          </cell>
        </row>
        <row r="2777">
          <cell r="Z2777" t="str">
            <v>212320</v>
          </cell>
        </row>
        <row r="2778">
          <cell r="Z2778" t="str">
            <v>212321</v>
          </cell>
        </row>
        <row r="2779">
          <cell r="Z2779" t="str">
            <v>212322</v>
          </cell>
        </row>
        <row r="2780">
          <cell r="Z2780" t="str">
            <v>212323</v>
          </cell>
        </row>
        <row r="2781">
          <cell r="Z2781" t="str">
            <v>212324</v>
          </cell>
        </row>
        <row r="2782">
          <cell r="Z2782" t="str">
            <v>212329</v>
          </cell>
        </row>
        <row r="2783">
          <cell r="Z2783" t="str">
            <v>212330</v>
          </cell>
        </row>
        <row r="2784">
          <cell r="Z2784" t="str">
            <v>212331</v>
          </cell>
        </row>
        <row r="2785">
          <cell r="Z2785" t="str">
            <v>212332</v>
          </cell>
        </row>
        <row r="2786">
          <cell r="Z2786" t="str">
            <v>212333</v>
          </cell>
        </row>
        <row r="2787">
          <cell r="Z2787" t="str">
            <v>212334</v>
          </cell>
        </row>
        <row r="2788">
          <cell r="Z2788" t="str">
            <v>212339</v>
          </cell>
        </row>
        <row r="2789">
          <cell r="Z2789" t="str">
            <v>212340</v>
          </cell>
        </row>
        <row r="2790">
          <cell r="Z2790" t="str">
            <v>212341</v>
          </cell>
        </row>
        <row r="2791">
          <cell r="Z2791" t="str">
            <v>212342</v>
          </cell>
        </row>
        <row r="2792">
          <cell r="Z2792" t="str">
            <v>212343</v>
          </cell>
        </row>
        <row r="2793">
          <cell r="Z2793" t="str">
            <v>212344</v>
          </cell>
        </row>
        <row r="2794">
          <cell r="Z2794" t="str">
            <v>212349</v>
          </cell>
        </row>
        <row r="2795">
          <cell r="Z2795" t="str">
            <v>212400</v>
          </cell>
        </row>
        <row r="2796">
          <cell r="Z2796" t="str">
            <v>212410</v>
          </cell>
        </row>
        <row r="2797">
          <cell r="Z2797" t="str">
            <v>212411</v>
          </cell>
        </row>
        <row r="2798">
          <cell r="Z2798" t="str">
            <v>212412</v>
          </cell>
        </row>
        <row r="2799">
          <cell r="Z2799" t="str">
            <v>212413</v>
          </cell>
        </row>
        <row r="2800">
          <cell r="Z2800" t="str">
            <v>212414</v>
          </cell>
        </row>
        <row r="2801">
          <cell r="Z2801" t="str">
            <v>212419</v>
          </cell>
        </row>
        <row r="2802">
          <cell r="Z2802" t="str">
            <v>212420</v>
          </cell>
        </row>
        <row r="2803">
          <cell r="Z2803" t="str">
            <v>212421</v>
          </cell>
        </row>
        <row r="2804">
          <cell r="Z2804" t="str">
            <v>212422</v>
          </cell>
        </row>
        <row r="2805">
          <cell r="Z2805" t="str">
            <v>212423</v>
          </cell>
        </row>
        <row r="2806">
          <cell r="Z2806" t="str">
            <v>212424</v>
          </cell>
        </row>
        <row r="2807">
          <cell r="Z2807" t="str">
            <v>212429</v>
          </cell>
        </row>
        <row r="2808">
          <cell r="Z2808" t="str">
            <v>212430</v>
          </cell>
        </row>
        <row r="2809">
          <cell r="Z2809" t="str">
            <v>212431</v>
          </cell>
        </row>
        <row r="2810">
          <cell r="Z2810" t="str">
            <v>212432</v>
          </cell>
        </row>
        <row r="2811">
          <cell r="Z2811" t="str">
            <v>212433</v>
          </cell>
        </row>
        <row r="2812">
          <cell r="Z2812" t="str">
            <v>212434</v>
          </cell>
        </row>
        <row r="2813">
          <cell r="Z2813" t="str">
            <v>212439</v>
          </cell>
        </row>
        <row r="2814">
          <cell r="Z2814" t="str">
            <v>212440</v>
          </cell>
        </row>
        <row r="2815">
          <cell r="Z2815" t="str">
            <v>212441</v>
          </cell>
        </row>
        <row r="2816">
          <cell r="Z2816" t="str">
            <v>212442</v>
          </cell>
        </row>
        <row r="2817">
          <cell r="Z2817" t="str">
            <v>212443</v>
          </cell>
        </row>
        <row r="2818">
          <cell r="Z2818" t="str">
            <v>212444</v>
          </cell>
        </row>
        <row r="2819">
          <cell r="Z2819" t="str">
            <v>212449</v>
          </cell>
        </row>
        <row r="2820">
          <cell r="Z2820" t="str">
            <v>212500</v>
          </cell>
        </row>
        <row r="2821">
          <cell r="Z2821" t="str">
            <v>212510</v>
          </cell>
        </row>
        <row r="2822">
          <cell r="Z2822" t="str">
            <v>212511</v>
          </cell>
        </row>
        <row r="2823">
          <cell r="Z2823" t="str">
            <v>212512</v>
          </cell>
        </row>
        <row r="2824">
          <cell r="Z2824" t="str">
            <v>212513</v>
          </cell>
        </row>
        <row r="2825">
          <cell r="Z2825" t="str">
            <v>212514</v>
          </cell>
        </row>
        <row r="2826">
          <cell r="Z2826" t="str">
            <v>212519</v>
          </cell>
        </row>
        <row r="2827">
          <cell r="Z2827" t="str">
            <v>212520</v>
          </cell>
        </row>
        <row r="2828">
          <cell r="Z2828" t="str">
            <v>212521</v>
          </cell>
        </row>
        <row r="2829">
          <cell r="Z2829" t="str">
            <v>212522</v>
          </cell>
        </row>
        <row r="2830">
          <cell r="Z2830" t="str">
            <v>212523</v>
          </cell>
        </row>
        <row r="2831">
          <cell r="Z2831" t="str">
            <v>212524</v>
          </cell>
        </row>
        <row r="2832">
          <cell r="Z2832" t="str">
            <v>212529</v>
          </cell>
        </row>
        <row r="2833">
          <cell r="Z2833" t="str">
            <v>212530</v>
          </cell>
        </row>
        <row r="2834">
          <cell r="Z2834" t="str">
            <v>212531</v>
          </cell>
        </row>
        <row r="2835">
          <cell r="Z2835" t="str">
            <v>212532</v>
          </cell>
        </row>
        <row r="2836">
          <cell r="Z2836" t="str">
            <v>212533</v>
          </cell>
        </row>
        <row r="2837">
          <cell r="Z2837" t="str">
            <v>212534</v>
          </cell>
        </row>
        <row r="2838">
          <cell r="Z2838" t="str">
            <v>212539</v>
          </cell>
        </row>
        <row r="2839">
          <cell r="Z2839" t="str">
            <v>212600</v>
          </cell>
        </row>
        <row r="2840">
          <cell r="Z2840" t="str">
            <v>212601</v>
          </cell>
        </row>
        <row r="2841">
          <cell r="Z2841" t="str">
            <v>212602</v>
          </cell>
        </row>
        <row r="2842">
          <cell r="Z2842" t="str">
            <v>212603</v>
          </cell>
        </row>
        <row r="2843">
          <cell r="Z2843" t="str">
            <v>212604</v>
          </cell>
        </row>
        <row r="2844">
          <cell r="Z2844" t="str">
            <v>212609</v>
          </cell>
        </row>
        <row r="2845">
          <cell r="Z2845" t="str">
            <v>212900</v>
          </cell>
        </row>
        <row r="2846">
          <cell r="Z2846" t="str">
            <v>212910</v>
          </cell>
        </row>
        <row r="2847">
          <cell r="Z2847" t="str">
            <v>212911</v>
          </cell>
        </row>
        <row r="2848">
          <cell r="Z2848" t="str">
            <v>212912</v>
          </cell>
        </row>
        <row r="2849">
          <cell r="Z2849" t="str">
            <v>212913</v>
          </cell>
        </row>
        <row r="2850">
          <cell r="Z2850" t="str">
            <v>212914</v>
          </cell>
        </row>
        <row r="2851">
          <cell r="Z2851" t="str">
            <v>212919</v>
          </cell>
        </row>
        <row r="2852">
          <cell r="Z2852" t="str">
            <v>212920</v>
          </cell>
        </row>
        <row r="2853">
          <cell r="Z2853" t="str">
            <v>212921</v>
          </cell>
        </row>
        <row r="2854">
          <cell r="Z2854" t="str">
            <v>212922</v>
          </cell>
        </row>
        <row r="2855">
          <cell r="Z2855" t="str">
            <v>212923</v>
          </cell>
        </row>
        <row r="2856">
          <cell r="Z2856" t="str">
            <v>212924</v>
          </cell>
        </row>
        <row r="2857">
          <cell r="Z2857" t="str">
            <v>212929</v>
          </cell>
        </row>
        <row r="2858">
          <cell r="Z2858" t="str">
            <v>212930</v>
          </cell>
        </row>
        <row r="2859">
          <cell r="Z2859" t="str">
            <v>212931</v>
          </cell>
        </row>
        <row r="2860">
          <cell r="Z2860" t="str">
            <v>212932</v>
          </cell>
        </row>
        <row r="2861">
          <cell r="Z2861" t="str">
            <v>212933</v>
          </cell>
        </row>
        <row r="2862">
          <cell r="Z2862" t="str">
            <v>212934</v>
          </cell>
        </row>
        <row r="2863">
          <cell r="Z2863" t="str">
            <v>212939</v>
          </cell>
        </row>
        <row r="2864">
          <cell r="Z2864" t="str">
            <v>212940</v>
          </cell>
        </row>
        <row r="2865">
          <cell r="Z2865" t="str">
            <v>212941</v>
          </cell>
        </row>
        <row r="2866">
          <cell r="Z2866" t="str">
            <v>212942</v>
          </cell>
        </row>
        <row r="2867">
          <cell r="Z2867" t="str">
            <v>212943</v>
          </cell>
        </row>
        <row r="2868">
          <cell r="Z2868" t="str">
            <v>212944</v>
          </cell>
        </row>
        <row r="2869">
          <cell r="Z2869" t="str">
            <v>212949</v>
          </cell>
        </row>
        <row r="2870">
          <cell r="Z2870" t="str">
            <v>212950</v>
          </cell>
        </row>
        <row r="2871">
          <cell r="Z2871" t="str">
            <v>212951</v>
          </cell>
        </row>
        <row r="2872">
          <cell r="Z2872" t="str">
            <v>212952</v>
          </cell>
        </row>
        <row r="2873">
          <cell r="Z2873" t="str">
            <v>212953</v>
          </cell>
        </row>
        <row r="2874">
          <cell r="Z2874" t="str">
            <v>212954</v>
          </cell>
        </row>
        <row r="2875">
          <cell r="Z2875" t="str">
            <v>212959</v>
          </cell>
        </row>
        <row r="2876">
          <cell r="Z2876" t="str">
            <v>212960</v>
          </cell>
        </row>
        <row r="2877">
          <cell r="Z2877" t="str">
            <v>212961</v>
          </cell>
        </row>
        <row r="2878">
          <cell r="Z2878" t="str">
            <v>212962</v>
          </cell>
        </row>
        <row r="2879">
          <cell r="Z2879" t="str">
            <v>212963</v>
          </cell>
        </row>
        <row r="2880">
          <cell r="Z2880" t="str">
            <v>212964</v>
          </cell>
        </row>
        <row r="2881">
          <cell r="Z2881" t="str">
            <v>212969</v>
          </cell>
        </row>
        <row r="2882">
          <cell r="Z2882" t="str">
            <v>212970</v>
          </cell>
        </row>
        <row r="2883">
          <cell r="Z2883" t="str">
            <v>212971</v>
          </cell>
        </row>
        <row r="2884">
          <cell r="Z2884" t="str">
            <v>212972</v>
          </cell>
        </row>
        <row r="2885">
          <cell r="Z2885" t="str">
            <v>212973</v>
          </cell>
        </row>
        <row r="2886">
          <cell r="Z2886" t="str">
            <v>212974</v>
          </cell>
        </row>
        <row r="2887">
          <cell r="Z2887" t="str">
            <v>212979</v>
          </cell>
        </row>
        <row r="2888">
          <cell r="Z2888" t="str">
            <v>213000</v>
          </cell>
        </row>
        <row r="2889">
          <cell r="Z2889" t="str">
            <v>213100</v>
          </cell>
        </row>
        <row r="2890">
          <cell r="Z2890" t="str">
            <v>213110</v>
          </cell>
        </row>
        <row r="2891">
          <cell r="Z2891" t="str">
            <v>213111</v>
          </cell>
        </row>
        <row r="2892">
          <cell r="Z2892" t="str">
            <v>213112</v>
          </cell>
        </row>
        <row r="2893">
          <cell r="Z2893" t="str">
            <v>213113</v>
          </cell>
        </row>
        <row r="2894">
          <cell r="Z2894" t="str">
            <v>213114</v>
          </cell>
        </row>
        <row r="2895">
          <cell r="Z2895" t="str">
            <v>213119</v>
          </cell>
        </row>
        <row r="2896">
          <cell r="Z2896" t="str">
            <v>213120</v>
          </cell>
        </row>
        <row r="2897">
          <cell r="Z2897" t="str">
            <v>213121</v>
          </cell>
        </row>
        <row r="2898">
          <cell r="Z2898" t="str">
            <v>213122</v>
          </cell>
        </row>
        <row r="2899">
          <cell r="Z2899" t="str">
            <v>213123</v>
          </cell>
        </row>
        <row r="2900">
          <cell r="Z2900" t="str">
            <v>213124</v>
          </cell>
        </row>
        <row r="2901">
          <cell r="Z2901" t="str">
            <v>213129</v>
          </cell>
        </row>
        <row r="2902">
          <cell r="Z2902" t="str">
            <v>213130</v>
          </cell>
        </row>
        <row r="2903">
          <cell r="Z2903" t="str">
            <v>213131</v>
          </cell>
        </row>
        <row r="2904">
          <cell r="Z2904" t="str">
            <v>213132</v>
          </cell>
        </row>
        <row r="2905">
          <cell r="Z2905" t="str">
            <v>213133</v>
          </cell>
        </row>
        <row r="2906">
          <cell r="Z2906" t="str">
            <v>213134</v>
          </cell>
        </row>
        <row r="2907">
          <cell r="Z2907" t="str">
            <v>213139</v>
          </cell>
        </row>
        <row r="2908">
          <cell r="Z2908" t="str">
            <v>213140</v>
          </cell>
        </row>
        <row r="2909">
          <cell r="Z2909" t="str">
            <v>213141</v>
          </cell>
        </row>
        <row r="2910">
          <cell r="Z2910" t="str">
            <v>213142</v>
          </cell>
        </row>
        <row r="2911">
          <cell r="Z2911" t="str">
            <v>213143</v>
          </cell>
        </row>
        <row r="2912">
          <cell r="Z2912" t="str">
            <v>213144</v>
          </cell>
        </row>
        <row r="2913">
          <cell r="Z2913" t="str">
            <v>213149</v>
          </cell>
        </row>
        <row r="2914">
          <cell r="Z2914" t="str">
            <v>213150</v>
          </cell>
        </row>
        <row r="2915">
          <cell r="Z2915" t="str">
            <v>213151</v>
          </cell>
        </row>
        <row r="2916">
          <cell r="Z2916" t="str">
            <v>213152</v>
          </cell>
        </row>
        <row r="2917">
          <cell r="Z2917" t="str">
            <v>213153</v>
          </cell>
        </row>
        <row r="2918">
          <cell r="Z2918" t="str">
            <v>213154</v>
          </cell>
        </row>
        <row r="2919">
          <cell r="Z2919" t="str">
            <v>213159</v>
          </cell>
        </row>
        <row r="2920">
          <cell r="Z2920" t="str">
            <v>213160</v>
          </cell>
        </row>
        <row r="2921">
          <cell r="Z2921" t="str">
            <v>213161</v>
          </cell>
        </row>
        <row r="2922">
          <cell r="Z2922" t="str">
            <v>213162</v>
          </cell>
        </row>
        <row r="2923">
          <cell r="Z2923" t="str">
            <v>213163</v>
          </cell>
        </row>
        <row r="2924">
          <cell r="Z2924" t="str">
            <v>213164</v>
          </cell>
        </row>
        <row r="2925">
          <cell r="Z2925" t="str">
            <v>213169</v>
          </cell>
        </row>
        <row r="2926">
          <cell r="Z2926" t="str">
            <v>213170</v>
          </cell>
        </row>
        <row r="2927">
          <cell r="Z2927" t="str">
            <v>213171</v>
          </cell>
        </row>
        <row r="2928">
          <cell r="Z2928" t="str">
            <v>213172</v>
          </cell>
        </row>
        <row r="2929">
          <cell r="Z2929" t="str">
            <v>213173</v>
          </cell>
        </row>
        <row r="2930">
          <cell r="Z2930" t="str">
            <v>213174</v>
          </cell>
        </row>
        <row r="2931">
          <cell r="Z2931" t="str">
            <v>213179</v>
          </cell>
        </row>
        <row r="2932">
          <cell r="Z2932" t="str">
            <v>213180</v>
          </cell>
        </row>
        <row r="2933">
          <cell r="Z2933" t="str">
            <v>213181</v>
          </cell>
        </row>
        <row r="2934">
          <cell r="Z2934" t="str">
            <v>213182</v>
          </cell>
        </row>
        <row r="2935">
          <cell r="Z2935" t="str">
            <v>213183</v>
          </cell>
        </row>
        <row r="2936">
          <cell r="Z2936" t="str">
            <v>213184</v>
          </cell>
        </row>
        <row r="2937">
          <cell r="Z2937" t="str">
            <v>213189</v>
          </cell>
        </row>
        <row r="2938">
          <cell r="Z2938" t="str">
            <v>213200</v>
          </cell>
        </row>
        <row r="2939">
          <cell r="Z2939" t="str">
            <v>213210</v>
          </cell>
        </row>
        <row r="2940">
          <cell r="Z2940" t="str">
            <v>213211</v>
          </cell>
        </row>
        <row r="2941">
          <cell r="Z2941" t="str">
            <v>213212</v>
          </cell>
        </row>
        <row r="2942">
          <cell r="Z2942" t="str">
            <v>213213</v>
          </cell>
        </row>
        <row r="2943">
          <cell r="Z2943" t="str">
            <v>213214</v>
          </cell>
        </row>
        <row r="2944">
          <cell r="Z2944" t="str">
            <v>213219</v>
          </cell>
        </row>
        <row r="2945">
          <cell r="Z2945" t="str">
            <v>213220</v>
          </cell>
        </row>
        <row r="2946">
          <cell r="Z2946" t="str">
            <v>213221</v>
          </cell>
        </row>
        <row r="2947">
          <cell r="Z2947" t="str">
            <v>213222</v>
          </cell>
        </row>
        <row r="2948">
          <cell r="Z2948" t="str">
            <v>213223</v>
          </cell>
        </row>
        <row r="2949">
          <cell r="Z2949" t="str">
            <v>213224</v>
          </cell>
        </row>
        <row r="2950">
          <cell r="Z2950" t="str">
            <v>213229</v>
          </cell>
        </row>
        <row r="2951">
          <cell r="Z2951" t="str">
            <v>213230</v>
          </cell>
        </row>
        <row r="2952">
          <cell r="Z2952" t="str">
            <v>213231</v>
          </cell>
        </row>
        <row r="2953">
          <cell r="Z2953" t="str">
            <v>213232</v>
          </cell>
        </row>
        <row r="2954">
          <cell r="Z2954" t="str">
            <v>213233</v>
          </cell>
        </row>
        <row r="2955">
          <cell r="Z2955" t="str">
            <v>213234</v>
          </cell>
        </row>
        <row r="2956">
          <cell r="Z2956" t="str">
            <v>213239</v>
          </cell>
        </row>
        <row r="2957">
          <cell r="Z2957" t="str">
            <v>213240</v>
          </cell>
        </row>
        <row r="2958">
          <cell r="Z2958" t="str">
            <v>213241</v>
          </cell>
        </row>
        <row r="2959">
          <cell r="Z2959" t="str">
            <v>213242</v>
          </cell>
        </row>
        <row r="2960">
          <cell r="Z2960" t="str">
            <v>213243</v>
          </cell>
        </row>
        <row r="2961">
          <cell r="Z2961" t="str">
            <v>213244</v>
          </cell>
        </row>
        <row r="2962">
          <cell r="Z2962" t="str">
            <v>213249</v>
          </cell>
        </row>
        <row r="2963">
          <cell r="Z2963" t="str">
            <v>213300</v>
          </cell>
        </row>
        <row r="2964">
          <cell r="Z2964" t="str">
            <v>213310</v>
          </cell>
        </row>
        <row r="2965">
          <cell r="Z2965" t="str">
            <v>213311</v>
          </cell>
        </row>
        <row r="2966">
          <cell r="Z2966" t="str">
            <v>213312</v>
          </cell>
        </row>
        <row r="2967">
          <cell r="Z2967" t="str">
            <v>213313</v>
          </cell>
        </row>
        <row r="2968">
          <cell r="Z2968" t="str">
            <v>213314</v>
          </cell>
        </row>
        <row r="2969">
          <cell r="Z2969" t="str">
            <v>213319</v>
          </cell>
        </row>
        <row r="2970">
          <cell r="Z2970" t="str">
            <v>213320</v>
          </cell>
        </row>
        <row r="2971">
          <cell r="Z2971" t="str">
            <v>213321</v>
          </cell>
        </row>
        <row r="2972">
          <cell r="Z2972" t="str">
            <v>213322</v>
          </cell>
        </row>
        <row r="2973">
          <cell r="Z2973" t="str">
            <v>213323</v>
          </cell>
        </row>
        <row r="2974">
          <cell r="Z2974" t="str">
            <v>213324</v>
          </cell>
        </row>
        <row r="2975">
          <cell r="Z2975" t="str">
            <v>213329</v>
          </cell>
        </row>
        <row r="2976">
          <cell r="Z2976" t="str">
            <v>213330</v>
          </cell>
        </row>
        <row r="2977">
          <cell r="Z2977" t="str">
            <v>213331</v>
          </cell>
        </row>
        <row r="2978">
          <cell r="Z2978" t="str">
            <v>213332</v>
          </cell>
        </row>
        <row r="2979">
          <cell r="Z2979" t="str">
            <v>213333</v>
          </cell>
        </row>
        <row r="2980">
          <cell r="Z2980" t="str">
            <v>213334</v>
          </cell>
        </row>
        <row r="2981">
          <cell r="Z2981" t="str">
            <v>213339</v>
          </cell>
        </row>
        <row r="2982">
          <cell r="Z2982" t="str">
            <v>213340</v>
          </cell>
        </row>
        <row r="2983">
          <cell r="Z2983" t="str">
            <v>213341</v>
          </cell>
        </row>
        <row r="2984">
          <cell r="Z2984" t="str">
            <v>213342</v>
          </cell>
        </row>
        <row r="2985">
          <cell r="Z2985" t="str">
            <v>213343</v>
          </cell>
        </row>
        <row r="2986">
          <cell r="Z2986" t="str">
            <v>213344</v>
          </cell>
        </row>
        <row r="2987">
          <cell r="Z2987" t="str">
            <v>213349</v>
          </cell>
        </row>
        <row r="2988">
          <cell r="Z2988" t="str">
            <v>213400</v>
          </cell>
        </row>
        <row r="2989">
          <cell r="Z2989" t="str">
            <v>213410</v>
          </cell>
        </row>
        <row r="2990">
          <cell r="Z2990" t="str">
            <v>213411</v>
          </cell>
        </row>
        <row r="2991">
          <cell r="Z2991" t="str">
            <v>213412</v>
          </cell>
        </row>
        <row r="2992">
          <cell r="Z2992" t="str">
            <v>213413</v>
          </cell>
        </row>
        <row r="2993">
          <cell r="Z2993" t="str">
            <v>213414</v>
          </cell>
        </row>
        <row r="2994">
          <cell r="Z2994" t="str">
            <v>213419</v>
          </cell>
        </row>
        <row r="2995">
          <cell r="Z2995" t="str">
            <v>213420</v>
          </cell>
        </row>
        <row r="2996">
          <cell r="Z2996" t="str">
            <v>213421</v>
          </cell>
        </row>
        <row r="2997">
          <cell r="Z2997" t="str">
            <v>213422</v>
          </cell>
        </row>
        <row r="2998">
          <cell r="Z2998" t="str">
            <v>213423</v>
          </cell>
        </row>
        <row r="2999">
          <cell r="Z2999" t="str">
            <v>213424</v>
          </cell>
        </row>
        <row r="3000">
          <cell r="Z3000" t="str">
            <v>213429</v>
          </cell>
        </row>
        <row r="3001">
          <cell r="Z3001" t="str">
            <v>213430</v>
          </cell>
        </row>
        <row r="3002">
          <cell r="Z3002" t="str">
            <v>213431</v>
          </cell>
        </row>
        <row r="3003">
          <cell r="Z3003" t="str">
            <v>213432</v>
          </cell>
        </row>
        <row r="3004">
          <cell r="Z3004" t="str">
            <v>213433</v>
          </cell>
        </row>
        <row r="3005">
          <cell r="Z3005" t="str">
            <v>213434</v>
          </cell>
        </row>
        <row r="3006">
          <cell r="Z3006" t="str">
            <v>213439</v>
          </cell>
        </row>
        <row r="3007">
          <cell r="Z3007" t="str">
            <v>213440</v>
          </cell>
        </row>
        <row r="3008">
          <cell r="Z3008" t="str">
            <v>213441</v>
          </cell>
        </row>
        <row r="3009">
          <cell r="Z3009" t="str">
            <v>213442</v>
          </cell>
        </row>
        <row r="3010">
          <cell r="Z3010" t="str">
            <v>213443</v>
          </cell>
        </row>
        <row r="3011">
          <cell r="Z3011" t="str">
            <v>213444</v>
          </cell>
        </row>
        <row r="3012">
          <cell r="Z3012" t="str">
            <v>213449</v>
          </cell>
        </row>
        <row r="3013">
          <cell r="Z3013" t="str">
            <v>213500</v>
          </cell>
        </row>
        <row r="3014">
          <cell r="Z3014" t="str">
            <v>213510</v>
          </cell>
        </row>
        <row r="3015">
          <cell r="Z3015" t="str">
            <v>213511</v>
          </cell>
        </row>
        <row r="3016">
          <cell r="Z3016" t="str">
            <v>213512</v>
          </cell>
        </row>
        <row r="3017">
          <cell r="Z3017" t="str">
            <v>213513</v>
          </cell>
        </row>
        <row r="3018">
          <cell r="Z3018" t="str">
            <v>213514</v>
          </cell>
        </row>
        <row r="3019">
          <cell r="Z3019" t="str">
            <v>213519</v>
          </cell>
        </row>
        <row r="3020">
          <cell r="Z3020" t="str">
            <v>213520</v>
          </cell>
        </row>
        <row r="3021">
          <cell r="Z3021" t="str">
            <v>213521</v>
          </cell>
        </row>
        <row r="3022">
          <cell r="Z3022" t="str">
            <v>213522</v>
          </cell>
        </row>
        <row r="3023">
          <cell r="Z3023" t="str">
            <v>213523</v>
          </cell>
        </row>
        <row r="3024">
          <cell r="Z3024" t="str">
            <v>213524</v>
          </cell>
        </row>
        <row r="3025">
          <cell r="Z3025" t="str">
            <v>213529</v>
          </cell>
        </row>
        <row r="3026">
          <cell r="Z3026" t="str">
            <v>213530</v>
          </cell>
        </row>
        <row r="3027">
          <cell r="Z3027" t="str">
            <v>213531</v>
          </cell>
        </row>
        <row r="3028">
          <cell r="Z3028" t="str">
            <v>213532</v>
          </cell>
        </row>
        <row r="3029">
          <cell r="Z3029" t="str">
            <v>213533</v>
          </cell>
        </row>
        <row r="3030">
          <cell r="Z3030" t="str">
            <v>213534</v>
          </cell>
        </row>
        <row r="3031">
          <cell r="Z3031" t="str">
            <v>213539</v>
          </cell>
        </row>
        <row r="3032">
          <cell r="Z3032" t="str">
            <v>213600</v>
          </cell>
        </row>
        <row r="3033">
          <cell r="Z3033" t="str">
            <v>213601</v>
          </cell>
        </row>
        <row r="3034">
          <cell r="Z3034" t="str">
            <v>213602</v>
          </cell>
        </row>
        <row r="3035">
          <cell r="Z3035" t="str">
            <v>213603</v>
          </cell>
        </row>
        <row r="3036">
          <cell r="Z3036" t="str">
            <v>213604</v>
          </cell>
        </row>
        <row r="3037">
          <cell r="Z3037" t="str">
            <v>213609</v>
          </cell>
        </row>
        <row r="3038">
          <cell r="Z3038" t="str">
            <v>213900</v>
          </cell>
        </row>
        <row r="3039">
          <cell r="Z3039" t="str">
            <v>213910</v>
          </cell>
        </row>
        <row r="3040">
          <cell r="Z3040" t="str">
            <v>213911</v>
          </cell>
        </row>
        <row r="3041">
          <cell r="Z3041" t="str">
            <v>213912</v>
          </cell>
        </row>
        <row r="3042">
          <cell r="Z3042" t="str">
            <v>213913</v>
          </cell>
        </row>
        <row r="3043">
          <cell r="Z3043" t="str">
            <v>213914</v>
          </cell>
        </row>
        <row r="3044">
          <cell r="Z3044" t="str">
            <v>213919</v>
          </cell>
        </row>
        <row r="3045">
          <cell r="Z3045" t="str">
            <v>213920</v>
          </cell>
        </row>
        <row r="3046">
          <cell r="Z3046" t="str">
            <v>213921</v>
          </cell>
        </row>
        <row r="3047">
          <cell r="Z3047" t="str">
            <v>213922</v>
          </cell>
        </row>
        <row r="3048">
          <cell r="Z3048" t="str">
            <v>213923</v>
          </cell>
        </row>
        <row r="3049">
          <cell r="Z3049" t="str">
            <v>213924</v>
          </cell>
        </row>
        <row r="3050">
          <cell r="Z3050" t="str">
            <v>213929</v>
          </cell>
        </row>
        <row r="3051">
          <cell r="Z3051" t="str">
            <v>213930</v>
          </cell>
        </row>
        <row r="3052">
          <cell r="Z3052" t="str">
            <v>213931</v>
          </cell>
        </row>
        <row r="3053">
          <cell r="Z3053" t="str">
            <v>213932</v>
          </cell>
        </row>
        <row r="3054">
          <cell r="Z3054" t="str">
            <v>213933</v>
          </cell>
        </row>
        <row r="3055">
          <cell r="Z3055" t="str">
            <v>213934</v>
          </cell>
        </row>
        <row r="3056">
          <cell r="Z3056" t="str">
            <v>213939</v>
          </cell>
        </row>
        <row r="3057">
          <cell r="Z3057" t="str">
            <v>213940</v>
          </cell>
        </row>
        <row r="3058">
          <cell r="Z3058" t="str">
            <v>213941</v>
          </cell>
        </row>
        <row r="3059">
          <cell r="Z3059" t="str">
            <v>213942</v>
          </cell>
        </row>
        <row r="3060">
          <cell r="Z3060" t="str">
            <v>213943</v>
          </cell>
        </row>
        <row r="3061">
          <cell r="Z3061" t="str">
            <v>213944</v>
          </cell>
        </row>
        <row r="3062">
          <cell r="Z3062" t="str">
            <v>213949</v>
          </cell>
        </row>
        <row r="3063">
          <cell r="Z3063" t="str">
            <v>213950</v>
          </cell>
        </row>
        <row r="3064">
          <cell r="Z3064" t="str">
            <v>213951</v>
          </cell>
        </row>
        <row r="3065">
          <cell r="Z3065" t="str">
            <v>213952</v>
          </cell>
        </row>
        <row r="3066">
          <cell r="Z3066" t="str">
            <v>213953</v>
          </cell>
        </row>
        <row r="3067">
          <cell r="Z3067" t="str">
            <v>213954</v>
          </cell>
        </row>
        <row r="3068">
          <cell r="Z3068" t="str">
            <v>213959</v>
          </cell>
        </row>
        <row r="3069">
          <cell r="Z3069" t="str">
            <v>213960</v>
          </cell>
        </row>
        <row r="3070">
          <cell r="Z3070" t="str">
            <v>213961</v>
          </cell>
        </row>
        <row r="3071">
          <cell r="Z3071" t="str">
            <v>213962</v>
          </cell>
        </row>
        <row r="3072">
          <cell r="Z3072" t="str">
            <v>213963</v>
          </cell>
        </row>
        <row r="3073">
          <cell r="Z3073" t="str">
            <v>213964</v>
          </cell>
        </row>
        <row r="3074">
          <cell r="Z3074" t="str">
            <v>213969</v>
          </cell>
        </row>
        <row r="3075">
          <cell r="Z3075" t="str">
            <v>213970</v>
          </cell>
        </row>
        <row r="3076">
          <cell r="Z3076" t="str">
            <v>213971</v>
          </cell>
        </row>
        <row r="3077">
          <cell r="Z3077" t="str">
            <v>213972</v>
          </cell>
        </row>
        <row r="3078">
          <cell r="Z3078" t="str">
            <v>213973</v>
          </cell>
        </row>
        <row r="3079">
          <cell r="Z3079" t="str">
            <v>213974</v>
          </cell>
        </row>
        <row r="3080">
          <cell r="Z3080" t="str">
            <v>213979</v>
          </cell>
        </row>
        <row r="3081">
          <cell r="Z3081" t="str">
            <v>214000</v>
          </cell>
        </row>
        <row r="3082">
          <cell r="Z3082" t="str">
            <v>214001</v>
          </cell>
        </row>
        <row r="3083">
          <cell r="Z3083" t="str">
            <v>214002</v>
          </cell>
        </row>
        <row r="3084">
          <cell r="Z3084" t="str">
            <v>214003</v>
          </cell>
        </row>
        <row r="3085">
          <cell r="Z3085" t="str">
            <v>214004</v>
          </cell>
        </row>
        <row r="3086">
          <cell r="Z3086" t="str">
            <v>214009</v>
          </cell>
        </row>
        <row r="3087">
          <cell r="Z3087" t="str">
            <v>215000</v>
          </cell>
        </row>
        <row r="3088">
          <cell r="Z3088" t="str">
            <v>215100</v>
          </cell>
        </row>
        <row r="3089">
          <cell r="Z3089" t="str">
            <v>215110</v>
          </cell>
        </row>
        <row r="3090">
          <cell r="Z3090" t="str">
            <v>215111</v>
          </cell>
        </row>
        <row r="3091">
          <cell r="Z3091" t="str">
            <v>215112</v>
          </cell>
        </row>
        <row r="3092">
          <cell r="Z3092" t="str">
            <v>215113</v>
          </cell>
        </row>
        <row r="3093">
          <cell r="Z3093" t="str">
            <v>215114</v>
          </cell>
        </row>
        <row r="3094">
          <cell r="Z3094" t="str">
            <v>215119</v>
          </cell>
        </row>
        <row r="3095">
          <cell r="Z3095" t="str">
            <v>215120</v>
          </cell>
        </row>
        <row r="3096">
          <cell r="Z3096" t="str">
            <v>215121</v>
          </cell>
        </row>
        <row r="3097">
          <cell r="Z3097" t="str">
            <v>215122</v>
          </cell>
        </row>
        <row r="3098">
          <cell r="Z3098" t="str">
            <v>215123</v>
          </cell>
        </row>
        <row r="3099">
          <cell r="Z3099" t="str">
            <v>215124</v>
          </cell>
        </row>
        <row r="3100">
          <cell r="Z3100" t="str">
            <v>215129</v>
          </cell>
        </row>
        <row r="3101">
          <cell r="Z3101" t="str">
            <v>215130</v>
          </cell>
        </row>
        <row r="3102">
          <cell r="Z3102" t="str">
            <v>215131</v>
          </cell>
        </row>
        <row r="3103">
          <cell r="Z3103" t="str">
            <v>215132</v>
          </cell>
        </row>
        <row r="3104">
          <cell r="Z3104" t="str">
            <v>215133</v>
          </cell>
        </row>
        <row r="3105">
          <cell r="Z3105" t="str">
            <v>215134</v>
          </cell>
        </row>
        <row r="3106">
          <cell r="Z3106" t="str">
            <v>215139</v>
          </cell>
        </row>
        <row r="3107">
          <cell r="Z3107" t="str">
            <v>215140</v>
          </cell>
        </row>
        <row r="3108">
          <cell r="Z3108" t="str">
            <v>215141</v>
          </cell>
        </row>
        <row r="3109">
          <cell r="Z3109" t="str">
            <v>215142</v>
          </cell>
        </row>
        <row r="3110">
          <cell r="Z3110" t="str">
            <v>215143</v>
          </cell>
        </row>
        <row r="3111">
          <cell r="Z3111" t="str">
            <v>215144</v>
          </cell>
        </row>
        <row r="3112">
          <cell r="Z3112" t="str">
            <v>215149</v>
          </cell>
        </row>
        <row r="3113">
          <cell r="Z3113" t="str">
            <v>215150</v>
          </cell>
        </row>
        <row r="3114">
          <cell r="Z3114" t="str">
            <v>215151</v>
          </cell>
        </row>
        <row r="3115">
          <cell r="Z3115" t="str">
            <v>215152</v>
          </cell>
        </row>
        <row r="3116">
          <cell r="Z3116" t="str">
            <v>215153</v>
          </cell>
        </row>
        <row r="3117">
          <cell r="Z3117" t="str">
            <v>215154</v>
          </cell>
        </row>
        <row r="3118">
          <cell r="Z3118" t="str">
            <v>215159</v>
          </cell>
        </row>
        <row r="3119">
          <cell r="Z3119" t="str">
            <v>215160</v>
          </cell>
        </row>
        <row r="3120">
          <cell r="Z3120" t="str">
            <v>215161</v>
          </cell>
        </row>
        <row r="3121">
          <cell r="Z3121" t="str">
            <v>215162</v>
          </cell>
        </row>
        <row r="3122">
          <cell r="Z3122" t="str">
            <v>215163</v>
          </cell>
        </row>
        <row r="3123">
          <cell r="Z3123" t="str">
            <v>215164</v>
          </cell>
        </row>
        <row r="3124">
          <cell r="Z3124" t="str">
            <v>215169</v>
          </cell>
        </row>
        <row r="3125">
          <cell r="Z3125" t="str">
            <v>215170</v>
          </cell>
        </row>
        <row r="3126">
          <cell r="Z3126" t="str">
            <v>215171</v>
          </cell>
        </row>
        <row r="3127">
          <cell r="Z3127" t="str">
            <v>215172</v>
          </cell>
        </row>
        <row r="3128">
          <cell r="Z3128" t="str">
            <v>215173</v>
          </cell>
        </row>
        <row r="3129">
          <cell r="Z3129" t="str">
            <v>215174</v>
          </cell>
        </row>
        <row r="3130">
          <cell r="Z3130" t="str">
            <v>215179</v>
          </cell>
        </row>
        <row r="3131">
          <cell r="Z3131" t="str">
            <v>215200</v>
          </cell>
        </row>
        <row r="3132">
          <cell r="Z3132" t="str">
            <v>215210</v>
          </cell>
        </row>
        <row r="3133">
          <cell r="Z3133" t="str">
            <v>215211</v>
          </cell>
        </row>
        <row r="3134">
          <cell r="Z3134" t="str">
            <v>215212</v>
          </cell>
        </row>
        <row r="3135">
          <cell r="Z3135" t="str">
            <v>215213</v>
          </cell>
        </row>
        <row r="3136">
          <cell r="Z3136" t="str">
            <v>215214</v>
          </cell>
        </row>
        <row r="3137">
          <cell r="Z3137" t="str">
            <v>215219</v>
          </cell>
        </row>
        <row r="3138">
          <cell r="Z3138" t="str">
            <v>215220</v>
          </cell>
        </row>
        <row r="3139">
          <cell r="Z3139" t="str">
            <v>215221</v>
          </cell>
        </row>
        <row r="3140">
          <cell r="Z3140" t="str">
            <v>215222</v>
          </cell>
        </row>
        <row r="3141">
          <cell r="Z3141" t="str">
            <v>215223</v>
          </cell>
        </row>
        <row r="3142">
          <cell r="Z3142" t="str">
            <v>215224</v>
          </cell>
        </row>
        <row r="3143">
          <cell r="Z3143" t="str">
            <v>215229</v>
          </cell>
        </row>
        <row r="3144">
          <cell r="Z3144" t="str">
            <v>215230</v>
          </cell>
        </row>
        <row r="3145">
          <cell r="Z3145" t="str">
            <v>215231</v>
          </cell>
        </row>
        <row r="3146">
          <cell r="Z3146" t="str">
            <v>215232</v>
          </cell>
        </row>
        <row r="3147">
          <cell r="Z3147" t="str">
            <v>215233</v>
          </cell>
        </row>
        <row r="3148">
          <cell r="Z3148" t="str">
            <v>215234</v>
          </cell>
        </row>
        <row r="3149">
          <cell r="Z3149" t="str">
            <v>215239</v>
          </cell>
        </row>
        <row r="3150">
          <cell r="Z3150" t="str">
            <v>215240</v>
          </cell>
        </row>
        <row r="3151">
          <cell r="Z3151" t="str">
            <v>215241</v>
          </cell>
        </row>
        <row r="3152">
          <cell r="Z3152" t="str">
            <v>215242</v>
          </cell>
        </row>
        <row r="3153">
          <cell r="Z3153" t="str">
            <v>215243</v>
          </cell>
        </row>
        <row r="3154">
          <cell r="Z3154" t="str">
            <v>215244</v>
          </cell>
        </row>
        <row r="3155">
          <cell r="Z3155" t="str">
            <v>215249</v>
          </cell>
        </row>
        <row r="3156">
          <cell r="Z3156" t="str">
            <v>215300</v>
          </cell>
        </row>
        <row r="3157">
          <cell r="Z3157" t="str">
            <v>215310</v>
          </cell>
        </row>
        <row r="3158">
          <cell r="Z3158" t="str">
            <v>215311</v>
          </cell>
        </row>
        <row r="3159">
          <cell r="Z3159" t="str">
            <v>215312</v>
          </cell>
        </row>
        <row r="3160">
          <cell r="Z3160" t="str">
            <v>215313</v>
          </cell>
        </row>
        <row r="3161">
          <cell r="Z3161" t="str">
            <v>215314</v>
          </cell>
        </row>
        <row r="3162">
          <cell r="Z3162" t="str">
            <v>215319</v>
          </cell>
        </row>
        <row r="3163">
          <cell r="Z3163" t="str">
            <v>215320</v>
          </cell>
        </row>
        <row r="3164">
          <cell r="Z3164" t="str">
            <v>215321</v>
          </cell>
        </row>
        <row r="3165">
          <cell r="Z3165" t="str">
            <v>215322</v>
          </cell>
        </row>
        <row r="3166">
          <cell r="Z3166" t="str">
            <v>215323</v>
          </cell>
        </row>
        <row r="3167">
          <cell r="Z3167" t="str">
            <v>215324</v>
          </cell>
        </row>
        <row r="3168">
          <cell r="Z3168" t="str">
            <v>215329</v>
          </cell>
        </row>
        <row r="3169">
          <cell r="Z3169" t="str">
            <v>215330</v>
          </cell>
        </row>
        <row r="3170">
          <cell r="Z3170" t="str">
            <v>215331</v>
          </cell>
        </row>
        <row r="3171">
          <cell r="Z3171" t="str">
            <v>215332</v>
          </cell>
        </row>
        <row r="3172">
          <cell r="Z3172" t="str">
            <v>215333</v>
          </cell>
        </row>
        <row r="3173">
          <cell r="Z3173" t="str">
            <v>215334</v>
          </cell>
        </row>
        <row r="3174">
          <cell r="Z3174" t="str">
            <v>215339</v>
          </cell>
        </row>
        <row r="3175">
          <cell r="Z3175" t="str">
            <v>215340</v>
          </cell>
        </row>
        <row r="3176">
          <cell r="Z3176" t="str">
            <v>215341</v>
          </cell>
        </row>
        <row r="3177">
          <cell r="Z3177" t="str">
            <v>215342</v>
          </cell>
        </row>
        <row r="3178">
          <cell r="Z3178" t="str">
            <v>215343</v>
          </cell>
        </row>
        <row r="3179">
          <cell r="Z3179" t="str">
            <v>215344</v>
          </cell>
        </row>
        <row r="3180">
          <cell r="Z3180" t="str">
            <v>215349</v>
          </cell>
        </row>
        <row r="3181">
          <cell r="Z3181" t="str">
            <v>215400</v>
          </cell>
        </row>
        <row r="3182">
          <cell r="Z3182" t="str">
            <v>215410</v>
          </cell>
        </row>
        <row r="3183">
          <cell r="Z3183" t="str">
            <v>215411</v>
          </cell>
        </row>
        <row r="3184">
          <cell r="Z3184" t="str">
            <v>215412</v>
          </cell>
        </row>
        <row r="3185">
          <cell r="Z3185" t="str">
            <v>215413</v>
          </cell>
        </row>
        <row r="3186">
          <cell r="Z3186" t="str">
            <v>215414</v>
          </cell>
        </row>
        <row r="3187">
          <cell r="Z3187" t="str">
            <v>215419</v>
          </cell>
        </row>
        <row r="3188">
          <cell r="Z3188" t="str">
            <v>215420</v>
          </cell>
        </row>
        <row r="3189">
          <cell r="Z3189" t="str">
            <v>215421</v>
          </cell>
        </row>
        <row r="3190">
          <cell r="Z3190" t="str">
            <v>215422</v>
          </cell>
        </row>
        <row r="3191">
          <cell r="Z3191" t="str">
            <v>215423</v>
          </cell>
        </row>
        <row r="3192">
          <cell r="Z3192" t="str">
            <v>215424</v>
          </cell>
        </row>
        <row r="3193">
          <cell r="Z3193" t="str">
            <v>215429</v>
          </cell>
        </row>
        <row r="3194">
          <cell r="Z3194" t="str">
            <v>215430</v>
          </cell>
        </row>
        <row r="3195">
          <cell r="Z3195" t="str">
            <v>215431</v>
          </cell>
        </row>
        <row r="3196">
          <cell r="Z3196" t="str">
            <v>215432</v>
          </cell>
        </row>
        <row r="3197">
          <cell r="Z3197" t="str">
            <v>215433</v>
          </cell>
        </row>
        <row r="3198">
          <cell r="Z3198" t="str">
            <v>215434</v>
          </cell>
        </row>
        <row r="3199">
          <cell r="Z3199" t="str">
            <v>215439</v>
          </cell>
        </row>
        <row r="3200">
          <cell r="Z3200" t="str">
            <v>215440</v>
          </cell>
        </row>
        <row r="3201">
          <cell r="Z3201" t="str">
            <v>215441</v>
          </cell>
        </row>
        <row r="3202">
          <cell r="Z3202" t="str">
            <v>215442</v>
          </cell>
        </row>
        <row r="3203">
          <cell r="Z3203" t="str">
            <v>215443</v>
          </cell>
        </row>
        <row r="3204">
          <cell r="Z3204" t="str">
            <v>215444</v>
          </cell>
        </row>
        <row r="3205">
          <cell r="Z3205" t="str">
            <v>215449</v>
          </cell>
        </row>
        <row r="3206">
          <cell r="Z3206" t="str">
            <v>215500</v>
          </cell>
        </row>
        <row r="3207">
          <cell r="Z3207" t="str">
            <v>215510</v>
          </cell>
        </row>
        <row r="3208">
          <cell r="Z3208" t="str">
            <v>215511</v>
          </cell>
        </row>
        <row r="3209">
          <cell r="Z3209" t="str">
            <v>215512</v>
          </cell>
        </row>
        <row r="3210">
          <cell r="Z3210" t="str">
            <v>215513</v>
          </cell>
        </row>
        <row r="3211">
          <cell r="Z3211" t="str">
            <v>215514</v>
          </cell>
        </row>
        <row r="3212">
          <cell r="Z3212" t="str">
            <v>215519</v>
          </cell>
        </row>
        <row r="3213">
          <cell r="Z3213" t="str">
            <v>215520</v>
          </cell>
        </row>
        <row r="3214">
          <cell r="Z3214" t="str">
            <v>215521</v>
          </cell>
        </row>
        <row r="3215">
          <cell r="Z3215" t="str">
            <v>215522</v>
          </cell>
        </row>
        <row r="3216">
          <cell r="Z3216" t="str">
            <v>215523</v>
          </cell>
        </row>
        <row r="3217">
          <cell r="Z3217" t="str">
            <v>215524</v>
          </cell>
        </row>
        <row r="3218">
          <cell r="Z3218" t="str">
            <v>215529</v>
          </cell>
        </row>
        <row r="3219">
          <cell r="Z3219" t="str">
            <v>215530</v>
          </cell>
        </row>
        <row r="3220">
          <cell r="Z3220" t="str">
            <v>215531</v>
          </cell>
        </row>
        <row r="3221">
          <cell r="Z3221" t="str">
            <v>215532</v>
          </cell>
        </row>
        <row r="3222">
          <cell r="Z3222" t="str">
            <v>215533</v>
          </cell>
        </row>
        <row r="3223">
          <cell r="Z3223" t="str">
            <v>215534</v>
          </cell>
        </row>
        <row r="3224">
          <cell r="Z3224" t="str">
            <v>215539</v>
          </cell>
        </row>
        <row r="3225">
          <cell r="Z3225" t="str">
            <v>215900</v>
          </cell>
        </row>
        <row r="3226">
          <cell r="Z3226" t="str">
            <v>215910</v>
          </cell>
        </row>
        <row r="3227">
          <cell r="Z3227" t="str">
            <v>215911</v>
          </cell>
        </row>
        <row r="3228">
          <cell r="Z3228" t="str">
            <v>215912</v>
          </cell>
        </row>
        <row r="3229">
          <cell r="Z3229" t="str">
            <v>215913</v>
          </cell>
        </row>
        <row r="3230">
          <cell r="Z3230" t="str">
            <v>215914</v>
          </cell>
        </row>
        <row r="3231">
          <cell r="Z3231" t="str">
            <v>215919</v>
          </cell>
        </row>
        <row r="3232">
          <cell r="Z3232" t="str">
            <v>215920</v>
          </cell>
        </row>
        <row r="3233">
          <cell r="Z3233" t="str">
            <v>215921</v>
          </cell>
        </row>
        <row r="3234">
          <cell r="Z3234" t="str">
            <v>215922</v>
          </cell>
        </row>
        <row r="3235">
          <cell r="Z3235" t="str">
            <v>215923</v>
          </cell>
        </row>
        <row r="3236">
          <cell r="Z3236" t="str">
            <v>215924</v>
          </cell>
        </row>
        <row r="3237">
          <cell r="Z3237" t="str">
            <v>215929</v>
          </cell>
        </row>
        <row r="3238">
          <cell r="Z3238" t="str">
            <v>215930</v>
          </cell>
        </row>
        <row r="3239">
          <cell r="Z3239" t="str">
            <v>215931</v>
          </cell>
        </row>
        <row r="3240">
          <cell r="Z3240" t="str">
            <v>215932</v>
          </cell>
        </row>
        <row r="3241">
          <cell r="Z3241" t="str">
            <v>215933</v>
          </cell>
        </row>
        <row r="3242">
          <cell r="Z3242" t="str">
            <v>215934</v>
          </cell>
        </row>
        <row r="3243">
          <cell r="Z3243" t="str">
            <v>215939</v>
          </cell>
        </row>
        <row r="3244">
          <cell r="Z3244" t="str">
            <v>215940</v>
          </cell>
        </row>
        <row r="3245">
          <cell r="Z3245" t="str">
            <v>215941</v>
          </cell>
        </row>
        <row r="3246">
          <cell r="Z3246" t="str">
            <v>215942</v>
          </cell>
        </row>
        <row r="3247">
          <cell r="Z3247" t="str">
            <v>215943</v>
          </cell>
        </row>
        <row r="3248">
          <cell r="Z3248" t="str">
            <v>215944</v>
          </cell>
        </row>
        <row r="3249">
          <cell r="Z3249" t="str">
            <v>215949</v>
          </cell>
        </row>
        <row r="3250">
          <cell r="Z3250" t="str">
            <v>215950</v>
          </cell>
        </row>
        <row r="3251">
          <cell r="Z3251" t="str">
            <v>215951</v>
          </cell>
        </row>
        <row r="3252">
          <cell r="Z3252" t="str">
            <v>215952</v>
          </cell>
        </row>
        <row r="3253">
          <cell r="Z3253" t="str">
            <v>215953</v>
          </cell>
        </row>
        <row r="3254">
          <cell r="Z3254" t="str">
            <v>215954</v>
          </cell>
        </row>
        <row r="3255">
          <cell r="Z3255" t="str">
            <v>215959</v>
          </cell>
        </row>
        <row r="3256">
          <cell r="Z3256" t="str">
            <v>215960</v>
          </cell>
        </row>
        <row r="3257">
          <cell r="Z3257" t="str">
            <v>215961</v>
          </cell>
        </row>
        <row r="3258">
          <cell r="Z3258" t="str">
            <v>215962</v>
          </cell>
        </row>
        <row r="3259">
          <cell r="Z3259" t="str">
            <v>215963</v>
          </cell>
        </row>
        <row r="3260">
          <cell r="Z3260" t="str">
            <v>215964</v>
          </cell>
        </row>
        <row r="3261">
          <cell r="Z3261" t="str">
            <v>215969</v>
          </cell>
        </row>
        <row r="3262">
          <cell r="Z3262" t="str">
            <v>215970</v>
          </cell>
        </row>
        <row r="3263">
          <cell r="Z3263" t="str">
            <v>215971</v>
          </cell>
        </row>
        <row r="3264">
          <cell r="Z3264" t="str">
            <v>215972</v>
          </cell>
        </row>
        <row r="3265">
          <cell r="Z3265" t="str">
            <v>215973</v>
          </cell>
        </row>
        <row r="3266">
          <cell r="Z3266" t="str">
            <v>215974</v>
          </cell>
        </row>
        <row r="3267">
          <cell r="Z3267" t="str">
            <v>215979</v>
          </cell>
        </row>
        <row r="3268">
          <cell r="Z3268" t="str">
            <v>216000</v>
          </cell>
        </row>
        <row r="3269">
          <cell r="Z3269" t="str">
            <v>216100</v>
          </cell>
        </row>
        <row r="3270">
          <cell r="Z3270" t="str">
            <v>216110</v>
          </cell>
        </row>
        <row r="3271">
          <cell r="Z3271" t="str">
            <v>216111</v>
          </cell>
        </row>
        <row r="3272">
          <cell r="Z3272" t="str">
            <v>216112</v>
          </cell>
        </row>
        <row r="3273">
          <cell r="Z3273" t="str">
            <v>216113</v>
          </cell>
        </row>
        <row r="3274">
          <cell r="Z3274" t="str">
            <v>216114</v>
          </cell>
        </row>
        <row r="3275">
          <cell r="Z3275" t="str">
            <v>216119</v>
          </cell>
        </row>
        <row r="3276">
          <cell r="Z3276" t="str">
            <v>216120</v>
          </cell>
        </row>
        <row r="3277">
          <cell r="Z3277" t="str">
            <v>216121</v>
          </cell>
        </row>
        <row r="3278">
          <cell r="Z3278" t="str">
            <v>216122</v>
          </cell>
        </row>
        <row r="3279">
          <cell r="Z3279" t="str">
            <v>216123</v>
          </cell>
        </row>
        <row r="3280">
          <cell r="Z3280" t="str">
            <v>216124</v>
          </cell>
        </row>
        <row r="3281">
          <cell r="Z3281" t="str">
            <v>216129</v>
          </cell>
        </row>
        <row r="3282">
          <cell r="Z3282" t="str">
            <v>216130</v>
          </cell>
        </row>
        <row r="3283">
          <cell r="Z3283" t="str">
            <v>216131</v>
          </cell>
        </row>
        <row r="3284">
          <cell r="Z3284" t="str">
            <v>216132</v>
          </cell>
        </row>
        <row r="3285">
          <cell r="Z3285" t="str">
            <v>216133</v>
          </cell>
        </row>
        <row r="3286">
          <cell r="Z3286" t="str">
            <v>216134</v>
          </cell>
        </row>
        <row r="3287">
          <cell r="Z3287" t="str">
            <v>216139</v>
          </cell>
        </row>
        <row r="3288">
          <cell r="Z3288" t="str">
            <v>216140</v>
          </cell>
        </row>
        <row r="3289">
          <cell r="Z3289" t="str">
            <v>216141</v>
          </cell>
        </row>
        <row r="3290">
          <cell r="Z3290" t="str">
            <v>216142</v>
          </cell>
        </row>
        <row r="3291">
          <cell r="Z3291" t="str">
            <v>216143</v>
          </cell>
        </row>
        <row r="3292">
          <cell r="Z3292" t="str">
            <v>216144</v>
          </cell>
        </row>
        <row r="3293">
          <cell r="Z3293" t="str">
            <v>216149</v>
          </cell>
        </row>
        <row r="3294">
          <cell r="Z3294" t="str">
            <v>216150</v>
          </cell>
        </row>
        <row r="3295">
          <cell r="Z3295" t="str">
            <v>216151</v>
          </cell>
        </row>
        <row r="3296">
          <cell r="Z3296" t="str">
            <v>216152</v>
          </cell>
        </row>
        <row r="3297">
          <cell r="Z3297" t="str">
            <v>216153</v>
          </cell>
        </row>
        <row r="3298">
          <cell r="Z3298" t="str">
            <v>216154</v>
          </cell>
        </row>
        <row r="3299">
          <cell r="Z3299" t="str">
            <v>216159</v>
          </cell>
        </row>
        <row r="3300">
          <cell r="Z3300" t="str">
            <v>216160</v>
          </cell>
        </row>
        <row r="3301">
          <cell r="Z3301" t="str">
            <v>216161</v>
          </cell>
        </row>
        <row r="3302">
          <cell r="Z3302" t="str">
            <v>216162</v>
          </cell>
        </row>
        <row r="3303">
          <cell r="Z3303" t="str">
            <v>216163</v>
          </cell>
        </row>
        <row r="3304">
          <cell r="Z3304" t="str">
            <v>216164</v>
          </cell>
        </row>
        <row r="3305">
          <cell r="Z3305" t="str">
            <v>216169</v>
          </cell>
        </row>
        <row r="3306">
          <cell r="Z3306" t="str">
            <v>216170</v>
          </cell>
        </row>
        <row r="3307">
          <cell r="Z3307" t="str">
            <v>216171</v>
          </cell>
        </row>
        <row r="3308">
          <cell r="Z3308" t="str">
            <v>216172</v>
          </cell>
        </row>
        <row r="3309">
          <cell r="Z3309" t="str">
            <v>216173</v>
          </cell>
        </row>
        <row r="3310">
          <cell r="Z3310" t="str">
            <v>216174</v>
          </cell>
        </row>
        <row r="3311">
          <cell r="Z3311" t="str">
            <v>216179</v>
          </cell>
        </row>
        <row r="3312">
          <cell r="Z3312" t="str">
            <v>216200</v>
          </cell>
        </row>
        <row r="3313">
          <cell r="Z3313" t="str">
            <v>216210</v>
          </cell>
        </row>
        <row r="3314">
          <cell r="Z3314" t="str">
            <v>216211</v>
          </cell>
        </row>
        <row r="3315">
          <cell r="Z3315" t="str">
            <v>216212</v>
          </cell>
        </row>
        <row r="3316">
          <cell r="Z3316" t="str">
            <v>216213</v>
          </cell>
        </row>
        <row r="3317">
          <cell r="Z3317" t="str">
            <v>216214</v>
          </cell>
        </row>
        <row r="3318">
          <cell r="Z3318" t="str">
            <v>216219</v>
          </cell>
        </row>
        <row r="3319">
          <cell r="Z3319" t="str">
            <v>216220</v>
          </cell>
        </row>
        <row r="3320">
          <cell r="Z3320" t="str">
            <v>216221</v>
          </cell>
        </row>
        <row r="3321">
          <cell r="Z3321" t="str">
            <v>216222</v>
          </cell>
        </row>
        <row r="3322">
          <cell r="Z3322" t="str">
            <v>216223</v>
          </cell>
        </row>
        <row r="3323">
          <cell r="Z3323" t="str">
            <v>216224</v>
          </cell>
        </row>
        <row r="3324">
          <cell r="Z3324" t="str">
            <v>216229</v>
          </cell>
        </row>
        <row r="3325">
          <cell r="Z3325" t="str">
            <v>216230</v>
          </cell>
        </row>
        <row r="3326">
          <cell r="Z3326" t="str">
            <v>216231</v>
          </cell>
        </row>
        <row r="3327">
          <cell r="Z3327" t="str">
            <v>216232</v>
          </cell>
        </row>
        <row r="3328">
          <cell r="Z3328" t="str">
            <v>216233</v>
          </cell>
        </row>
        <row r="3329">
          <cell r="Z3329" t="str">
            <v>216234</v>
          </cell>
        </row>
        <row r="3330">
          <cell r="Z3330" t="str">
            <v>216239</v>
          </cell>
        </row>
        <row r="3331">
          <cell r="Z3331" t="str">
            <v>216240</v>
          </cell>
        </row>
        <row r="3332">
          <cell r="Z3332" t="str">
            <v>216241</v>
          </cell>
        </row>
        <row r="3333">
          <cell r="Z3333" t="str">
            <v>216242</v>
          </cell>
        </row>
        <row r="3334">
          <cell r="Z3334" t="str">
            <v>216243</v>
          </cell>
        </row>
        <row r="3335">
          <cell r="Z3335" t="str">
            <v>216244</v>
          </cell>
        </row>
        <row r="3336">
          <cell r="Z3336" t="str">
            <v>216249</v>
          </cell>
        </row>
        <row r="3337">
          <cell r="Z3337" t="str">
            <v>216300</v>
          </cell>
        </row>
        <row r="3338">
          <cell r="Z3338" t="str">
            <v>216310</v>
          </cell>
        </row>
        <row r="3339">
          <cell r="Z3339" t="str">
            <v>216311</v>
          </cell>
        </row>
        <row r="3340">
          <cell r="Z3340" t="str">
            <v>216312</v>
          </cell>
        </row>
        <row r="3341">
          <cell r="Z3341" t="str">
            <v>216313</v>
          </cell>
        </row>
        <row r="3342">
          <cell r="Z3342" t="str">
            <v>216314</v>
          </cell>
        </row>
        <row r="3343">
          <cell r="Z3343" t="str">
            <v>216319</v>
          </cell>
        </row>
        <row r="3344">
          <cell r="Z3344" t="str">
            <v>216320</v>
          </cell>
        </row>
        <row r="3345">
          <cell r="Z3345" t="str">
            <v>216321</v>
          </cell>
        </row>
        <row r="3346">
          <cell r="Z3346" t="str">
            <v>216322</v>
          </cell>
        </row>
        <row r="3347">
          <cell r="Z3347" t="str">
            <v>216323</v>
          </cell>
        </row>
        <row r="3348">
          <cell r="Z3348" t="str">
            <v>216324</v>
          </cell>
        </row>
        <row r="3349">
          <cell r="Z3349" t="str">
            <v>216329</v>
          </cell>
        </row>
        <row r="3350">
          <cell r="Z3350" t="str">
            <v>216330</v>
          </cell>
        </row>
        <row r="3351">
          <cell r="Z3351" t="str">
            <v>216331</v>
          </cell>
        </row>
        <row r="3352">
          <cell r="Z3352" t="str">
            <v>216332</v>
          </cell>
        </row>
        <row r="3353">
          <cell r="Z3353" t="str">
            <v>216333</v>
          </cell>
        </row>
        <row r="3354">
          <cell r="Z3354" t="str">
            <v>216334</v>
          </cell>
        </row>
        <row r="3355">
          <cell r="Z3355" t="str">
            <v>216339</v>
          </cell>
        </row>
        <row r="3356">
          <cell r="Z3356" t="str">
            <v>216340</v>
          </cell>
        </row>
        <row r="3357">
          <cell r="Z3357" t="str">
            <v>216341</v>
          </cell>
        </row>
        <row r="3358">
          <cell r="Z3358" t="str">
            <v>216342</v>
          </cell>
        </row>
        <row r="3359">
          <cell r="Z3359" t="str">
            <v>216343</v>
          </cell>
        </row>
        <row r="3360">
          <cell r="Z3360" t="str">
            <v>216344</v>
          </cell>
        </row>
        <row r="3361">
          <cell r="Z3361" t="str">
            <v>216349</v>
          </cell>
        </row>
        <row r="3362">
          <cell r="Z3362" t="str">
            <v>216400</v>
          </cell>
        </row>
        <row r="3363">
          <cell r="Z3363" t="str">
            <v>216410</v>
          </cell>
        </row>
        <row r="3364">
          <cell r="Z3364" t="str">
            <v>216411</v>
          </cell>
        </row>
        <row r="3365">
          <cell r="Z3365" t="str">
            <v>216412</v>
          </cell>
        </row>
        <row r="3366">
          <cell r="Z3366" t="str">
            <v>216413</v>
          </cell>
        </row>
        <row r="3367">
          <cell r="Z3367" t="str">
            <v>216414</v>
          </cell>
        </row>
        <row r="3368">
          <cell r="Z3368" t="str">
            <v>216419</v>
          </cell>
        </row>
        <row r="3369">
          <cell r="Z3369" t="str">
            <v>216420</v>
          </cell>
        </row>
        <row r="3370">
          <cell r="Z3370" t="str">
            <v>216421</v>
          </cell>
        </row>
        <row r="3371">
          <cell r="Z3371" t="str">
            <v>216422</v>
          </cell>
        </row>
        <row r="3372">
          <cell r="Z3372" t="str">
            <v>216423</v>
          </cell>
        </row>
        <row r="3373">
          <cell r="Z3373" t="str">
            <v>216424</v>
          </cell>
        </row>
        <row r="3374">
          <cell r="Z3374" t="str">
            <v>216429</v>
          </cell>
        </row>
        <row r="3375">
          <cell r="Z3375" t="str">
            <v>216430</v>
          </cell>
        </row>
        <row r="3376">
          <cell r="Z3376" t="str">
            <v>216431</v>
          </cell>
        </row>
        <row r="3377">
          <cell r="Z3377" t="str">
            <v>216432</v>
          </cell>
        </row>
        <row r="3378">
          <cell r="Z3378" t="str">
            <v>216433</v>
          </cell>
        </row>
        <row r="3379">
          <cell r="Z3379" t="str">
            <v>216434</v>
          </cell>
        </row>
        <row r="3380">
          <cell r="Z3380" t="str">
            <v>216439</v>
          </cell>
        </row>
        <row r="3381">
          <cell r="Z3381" t="str">
            <v>216440</v>
          </cell>
        </row>
        <row r="3382">
          <cell r="Z3382" t="str">
            <v>216441</v>
          </cell>
        </row>
        <row r="3383">
          <cell r="Z3383" t="str">
            <v>216442</v>
          </cell>
        </row>
        <row r="3384">
          <cell r="Z3384" t="str">
            <v>216443</v>
          </cell>
        </row>
        <row r="3385">
          <cell r="Z3385" t="str">
            <v>216444</v>
          </cell>
        </row>
        <row r="3386">
          <cell r="Z3386" t="str">
            <v>216449</v>
          </cell>
        </row>
        <row r="3387">
          <cell r="Z3387" t="str">
            <v>216500</v>
          </cell>
        </row>
        <row r="3388">
          <cell r="Z3388" t="str">
            <v>216510</v>
          </cell>
        </row>
        <row r="3389">
          <cell r="Z3389" t="str">
            <v>216511</v>
          </cell>
        </row>
        <row r="3390">
          <cell r="Z3390" t="str">
            <v>216512</v>
          </cell>
        </row>
        <row r="3391">
          <cell r="Z3391" t="str">
            <v>216513</v>
          </cell>
        </row>
        <row r="3392">
          <cell r="Z3392" t="str">
            <v>216514</v>
          </cell>
        </row>
        <row r="3393">
          <cell r="Z3393" t="str">
            <v>216519</v>
          </cell>
        </row>
        <row r="3394">
          <cell r="Z3394" t="str">
            <v>216520</v>
          </cell>
        </row>
        <row r="3395">
          <cell r="Z3395" t="str">
            <v>216521</v>
          </cell>
        </row>
        <row r="3396">
          <cell r="Z3396" t="str">
            <v>216522</v>
          </cell>
        </row>
        <row r="3397">
          <cell r="Z3397" t="str">
            <v>216523</v>
          </cell>
        </row>
        <row r="3398">
          <cell r="Z3398" t="str">
            <v>216524</v>
          </cell>
        </row>
        <row r="3399">
          <cell r="Z3399" t="str">
            <v>216529</v>
          </cell>
        </row>
        <row r="3400">
          <cell r="Z3400" t="str">
            <v>216530</v>
          </cell>
        </row>
        <row r="3401">
          <cell r="Z3401" t="str">
            <v>216531</v>
          </cell>
        </row>
        <row r="3402">
          <cell r="Z3402" t="str">
            <v>216532</v>
          </cell>
        </row>
        <row r="3403">
          <cell r="Z3403" t="str">
            <v>216533</v>
          </cell>
        </row>
        <row r="3404">
          <cell r="Z3404" t="str">
            <v>216534</v>
          </cell>
        </row>
        <row r="3405">
          <cell r="Z3405" t="str">
            <v>216539</v>
          </cell>
        </row>
        <row r="3406">
          <cell r="Z3406" t="str">
            <v>216900</v>
          </cell>
        </row>
        <row r="3407">
          <cell r="Z3407" t="str">
            <v>216910</v>
          </cell>
        </row>
        <row r="3408">
          <cell r="Z3408" t="str">
            <v>216911</v>
          </cell>
        </row>
        <row r="3409">
          <cell r="Z3409" t="str">
            <v>216912</v>
          </cell>
        </row>
        <row r="3410">
          <cell r="Z3410" t="str">
            <v>216913</v>
          </cell>
        </row>
        <row r="3411">
          <cell r="Z3411" t="str">
            <v>216914</v>
          </cell>
        </row>
        <row r="3412">
          <cell r="Z3412" t="str">
            <v>216919</v>
          </cell>
        </row>
        <row r="3413">
          <cell r="Z3413" t="str">
            <v>216920</v>
          </cell>
        </row>
        <row r="3414">
          <cell r="Z3414" t="str">
            <v>216921</v>
          </cell>
        </row>
        <row r="3415">
          <cell r="Z3415" t="str">
            <v>216922</v>
          </cell>
        </row>
        <row r="3416">
          <cell r="Z3416" t="str">
            <v>216923</v>
          </cell>
        </row>
        <row r="3417">
          <cell r="Z3417" t="str">
            <v>216924</v>
          </cell>
        </row>
        <row r="3418">
          <cell r="Z3418" t="str">
            <v>216929</v>
          </cell>
        </row>
        <row r="3419">
          <cell r="Z3419" t="str">
            <v>216930</v>
          </cell>
        </row>
        <row r="3420">
          <cell r="Z3420" t="str">
            <v>216931</v>
          </cell>
        </row>
        <row r="3421">
          <cell r="Z3421" t="str">
            <v>216932</v>
          </cell>
        </row>
        <row r="3422">
          <cell r="Z3422" t="str">
            <v>216933</v>
          </cell>
        </row>
        <row r="3423">
          <cell r="Z3423" t="str">
            <v>216934</v>
          </cell>
        </row>
        <row r="3424">
          <cell r="Z3424" t="str">
            <v>216939</v>
          </cell>
        </row>
        <row r="3425">
          <cell r="Z3425" t="str">
            <v>216940</v>
          </cell>
        </row>
        <row r="3426">
          <cell r="Z3426" t="str">
            <v>216941</v>
          </cell>
        </row>
        <row r="3427">
          <cell r="Z3427" t="str">
            <v>216942</v>
          </cell>
        </row>
        <row r="3428">
          <cell r="Z3428" t="str">
            <v>216943</v>
          </cell>
        </row>
        <row r="3429">
          <cell r="Z3429" t="str">
            <v>216944</v>
          </cell>
        </row>
        <row r="3430">
          <cell r="Z3430" t="str">
            <v>216949</v>
          </cell>
        </row>
        <row r="3431">
          <cell r="Z3431" t="str">
            <v>216950</v>
          </cell>
        </row>
        <row r="3432">
          <cell r="Z3432" t="str">
            <v>216951</v>
          </cell>
        </row>
        <row r="3433">
          <cell r="Z3433" t="str">
            <v>216952</v>
          </cell>
        </row>
        <row r="3434">
          <cell r="Z3434" t="str">
            <v>216953</v>
          </cell>
        </row>
        <row r="3435">
          <cell r="Z3435" t="str">
            <v>216954</v>
          </cell>
        </row>
        <row r="3436">
          <cell r="Z3436" t="str">
            <v>216959</v>
          </cell>
        </row>
        <row r="3437">
          <cell r="Z3437" t="str">
            <v>216960</v>
          </cell>
        </row>
        <row r="3438">
          <cell r="Z3438" t="str">
            <v>216961</v>
          </cell>
        </row>
        <row r="3439">
          <cell r="Z3439" t="str">
            <v>216962</v>
          </cell>
        </row>
        <row r="3440">
          <cell r="Z3440" t="str">
            <v>216963</v>
          </cell>
        </row>
        <row r="3441">
          <cell r="Z3441" t="str">
            <v>216964</v>
          </cell>
        </row>
        <row r="3442">
          <cell r="Z3442" t="str">
            <v>216969</v>
          </cell>
        </row>
        <row r="3443">
          <cell r="Z3443" t="str">
            <v>216970</v>
          </cell>
        </row>
        <row r="3444">
          <cell r="Z3444" t="str">
            <v>216971</v>
          </cell>
        </row>
        <row r="3445">
          <cell r="Z3445" t="str">
            <v>216972</v>
          </cell>
        </row>
        <row r="3446">
          <cell r="Z3446" t="str">
            <v>216973</v>
          </cell>
        </row>
        <row r="3447">
          <cell r="Z3447" t="str">
            <v>216974</v>
          </cell>
        </row>
        <row r="3448">
          <cell r="Z3448" t="str">
            <v>216979</v>
          </cell>
        </row>
        <row r="3449">
          <cell r="Z3449" t="str">
            <v>220000</v>
          </cell>
        </row>
        <row r="3450">
          <cell r="Z3450" t="str">
            <v>221000</v>
          </cell>
        </row>
        <row r="3451">
          <cell r="Z3451" t="str">
            <v>221100</v>
          </cell>
        </row>
        <row r="3452">
          <cell r="Z3452" t="str">
            <v>221101</v>
          </cell>
        </row>
        <row r="3453">
          <cell r="Z3453" t="str">
            <v>221102</v>
          </cell>
        </row>
        <row r="3454">
          <cell r="Z3454" t="str">
            <v>221103</v>
          </cell>
        </row>
        <row r="3455">
          <cell r="Z3455" t="str">
            <v>221104</v>
          </cell>
        </row>
        <row r="3456">
          <cell r="Z3456" t="str">
            <v>221109</v>
          </cell>
        </row>
        <row r="3457">
          <cell r="Z3457" t="str">
            <v>221200</v>
          </cell>
        </row>
        <row r="3458">
          <cell r="Z3458" t="str">
            <v>221201</v>
          </cell>
        </row>
        <row r="3459">
          <cell r="Z3459" t="str">
            <v>221202</v>
          </cell>
        </row>
        <row r="3460">
          <cell r="Z3460" t="str">
            <v>221203</v>
          </cell>
        </row>
        <row r="3461">
          <cell r="Z3461" t="str">
            <v>221204</v>
          </cell>
        </row>
        <row r="3462">
          <cell r="Z3462" t="str">
            <v>221209</v>
          </cell>
        </row>
        <row r="3463">
          <cell r="Z3463" t="str">
            <v>221300</v>
          </cell>
        </row>
        <row r="3464">
          <cell r="Z3464" t="str">
            <v>221301</v>
          </cell>
        </row>
        <row r="3465">
          <cell r="Z3465" t="str">
            <v>221302</v>
          </cell>
        </row>
        <row r="3466">
          <cell r="Z3466" t="str">
            <v>221303</v>
          </cell>
        </row>
        <row r="3467">
          <cell r="Z3467" t="str">
            <v>221304</v>
          </cell>
        </row>
        <row r="3468">
          <cell r="Z3468" t="str">
            <v>221309</v>
          </cell>
        </row>
        <row r="3469">
          <cell r="Z3469" t="str">
            <v>221400</v>
          </cell>
        </row>
        <row r="3470">
          <cell r="Z3470" t="str">
            <v>221401</v>
          </cell>
        </row>
        <row r="3471">
          <cell r="Z3471" t="str">
            <v>221402</v>
          </cell>
        </row>
        <row r="3472">
          <cell r="Z3472" t="str">
            <v>221403</v>
          </cell>
        </row>
        <row r="3473">
          <cell r="Z3473" t="str">
            <v>221404</v>
          </cell>
        </row>
        <row r="3474">
          <cell r="Z3474" t="str">
            <v>221409</v>
          </cell>
        </row>
        <row r="3475">
          <cell r="Z3475" t="str">
            <v>221500</v>
          </cell>
        </row>
        <row r="3476">
          <cell r="Z3476" t="str">
            <v>221501</v>
          </cell>
        </row>
        <row r="3477">
          <cell r="Z3477" t="str">
            <v>221502</v>
          </cell>
        </row>
        <row r="3478">
          <cell r="Z3478" t="str">
            <v>221503</v>
          </cell>
        </row>
        <row r="3479">
          <cell r="Z3479" t="str">
            <v>221504</v>
          </cell>
        </row>
        <row r="3480">
          <cell r="Z3480" t="str">
            <v>221509</v>
          </cell>
        </row>
        <row r="3481">
          <cell r="Z3481" t="str">
            <v>221600</v>
          </cell>
        </row>
        <row r="3482">
          <cell r="Z3482" t="str">
            <v>221601</v>
          </cell>
        </row>
        <row r="3483">
          <cell r="Z3483" t="str">
            <v>221602</v>
          </cell>
        </row>
        <row r="3484">
          <cell r="Z3484" t="str">
            <v>221603</v>
          </cell>
        </row>
        <row r="3485">
          <cell r="Z3485" t="str">
            <v>221604</v>
          </cell>
        </row>
        <row r="3486">
          <cell r="Z3486" t="str">
            <v>221609</v>
          </cell>
        </row>
        <row r="3487">
          <cell r="Z3487" t="str">
            <v>221700</v>
          </cell>
        </row>
        <row r="3488">
          <cell r="Z3488" t="str">
            <v>221701</v>
          </cell>
        </row>
        <row r="3489">
          <cell r="Z3489" t="str">
            <v>221702</v>
          </cell>
        </row>
        <row r="3490">
          <cell r="Z3490" t="str">
            <v>221703</v>
          </cell>
        </row>
        <row r="3491">
          <cell r="Z3491" t="str">
            <v>221704</v>
          </cell>
        </row>
        <row r="3492">
          <cell r="Z3492" t="str">
            <v>221709</v>
          </cell>
        </row>
        <row r="3493">
          <cell r="Z3493" t="str">
            <v>221800</v>
          </cell>
        </row>
        <row r="3494">
          <cell r="Z3494" t="str">
            <v>221801</v>
          </cell>
        </row>
        <row r="3495">
          <cell r="Z3495" t="str">
            <v>221802</v>
          </cell>
        </row>
        <row r="3496">
          <cell r="Z3496" t="str">
            <v>221803</v>
          </cell>
        </row>
        <row r="3497">
          <cell r="Z3497" t="str">
            <v>221804</v>
          </cell>
        </row>
        <row r="3498">
          <cell r="Z3498" t="str">
            <v>221809</v>
          </cell>
        </row>
        <row r="3499">
          <cell r="Z3499" t="str">
            <v>222000</v>
          </cell>
        </row>
        <row r="3500">
          <cell r="Z3500" t="str">
            <v>222100</v>
          </cell>
        </row>
        <row r="3501">
          <cell r="Z3501" t="str">
            <v>222101</v>
          </cell>
        </row>
        <row r="3502">
          <cell r="Z3502" t="str">
            <v>222102</v>
          </cell>
        </row>
        <row r="3503">
          <cell r="Z3503" t="str">
            <v>222103</v>
          </cell>
        </row>
        <row r="3504">
          <cell r="Z3504" t="str">
            <v>222104</v>
          </cell>
        </row>
        <row r="3505">
          <cell r="Z3505" t="str">
            <v>222109</v>
          </cell>
        </row>
        <row r="3506">
          <cell r="Z3506" t="str">
            <v>222200</v>
          </cell>
        </row>
        <row r="3507">
          <cell r="Z3507" t="str">
            <v>222201</v>
          </cell>
        </row>
        <row r="3508">
          <cell r="Z3508" t="str">
            <v>222202</v>
          </cell>
        </row>
        <row r="3509">
          <cell r="Z3509" t="str">
            <v>222203</v>
          </cell>
        </row>
        <row r="3510">
          <cell r="Z3510" t="str">
            <v>222204</v>
          </cell>
        </row>
        <row r="3511">
          <cell r="Z3511" t="str">
            <v>222209</v>
          </cell>
        </row>
        <row r="3512">
          <cell r="Z3512" t="str">
            <v>222300</v>
          </cell>
        </row>
        <row r="3513">
          <cell r="Z3513" t="str">
            <v>222301</v>
          </cell>
        </row>
        <row r="3514">
          <cell r="Z3514" t="str">
            <v>222302</v>
          </cell>
        </row>
        <row r="3515">
          <cell r="Z3515" t="str">
            <v>222303</v>
          </cell>
        </row>
        <row r="3516">
          <cell r="Z3516" t="str">
            <v>222304</v>
          </cell>
        </row>
        <row r="3517">
          <cell r="Z3517" t="str">
            <v>222309</v>
          </cell>
        </row>
        <row r="3518">
          <cell r="Z3518" t="str">
            <v>222400</v>
          </cell>
        </row>
        <row r="3519">
          <cell r="Z3519" t="str">
            <v>222401</v>
          </cell>
        </row>
        <row r="3520">
          <cell r="Z3520" t="str">
            <v>222402</v>
          </cell>
        </row>
        <row r="3521">
          <cell r="Z3521" t="str">
            <v>222403</v>
          </cell>
        </row>
        <row r="3522">
          <cell r="Z3522" t="str">
            <v>222404</v>
          </cell>
        </row>
        <row r="3523">
          <cell r="Z3523" t="str">
            <v>222409</v>
          </cell>
        </row>
        <row r="3524">
          <cell r="Z3524" t="str">
            <v>222500</v>
          </cell>
        </row>
        <row r="3525">
          <cell r="Z3525" t="str">
            <v>222501</v>
          </cell>
        </row>
        <row r="3526">
          <cell r="Z3526" t="str">
            <v>222502</v>
          </cell>
        </row>
        <row r="3527">
          <cell r="Z3527" t="str">
            <v>222503</v>
          </cell>
        </row>
        <row r="3528">
          <cell r="Z3528" t="str">
            <v>222504</v>
          </cell>
        </row>
        <row r="3529">
          <cell r="Z3529" t="str">
            <v>222509</v>
          </cell>
        </row>
        <row r="3530">
          <cell r="Z3530" t="str">
            <v>222600</v>
          </cell>
        </row>
        <row r="3531">
          <cell r="Z3531" t="str">
            <v>222601</v>
          </cell>
        </row>
        <row r="3532">
          <cell r="Z3532" t="str">
            <v>222602</v>
          </cell>
        </row>
        <row r="3533">
          <cell r="Z3533" t="str">
            <v>222603</v>
          </cell>
        </row>
        <row r="3534">
          <cell r="Z3534" t="str">
            <v>222604</v>
          </cell>
        </row>
        <row r="3535">
          <cell r="Z3535" t="str">
            <v>222609</v>
          </cell>
        </row>
        <row r="3536">
          <cell r="Z3536" t="str">
            <v>230000</v>
          </cell>
        </row>
        <row r="3537">
          <cell r="Z3537" t="str">
            <v>231000</v>
          </cell>
        </row>
        <row r="3538">
          <cell r="Z3538" t="str">
            <v>231100</v>
          </cell>
        </row>
        <row r="3539">
          <cell r="Z3539" t="str">
            <v>231110</v>
          </cell>
        </row>
        <row r="3540">
          <cell r="Z3540" t="str">
            <v>231111</v>
          </cell>
        </row>
        <row r="3541">
          <cell r="Z3541" t="str">
            <v>231112</v>
          </cell>
        </row>
        <row r="3542">
          <cell r="Z3542" t="str">
            <v>231113</v>
          </cell>
        </row>
        <row r="3543">
          <cell r="Z3543" t="str">
            <v>231114</v>
          </cell>
        </row>
        <row r="3544">
          <cell r="Z3544" t="str">
            <v>231119</v>
          </cell>
        </row>
        <row r="3545">
          <cell r="Z3545" t="str">
            <v>231120</v>
          </cell>
        </row>
        <row r="3546">
          <cell r="Z3546" t="str">
            <v>231121</v>
          </cell>
        </row>
        <row r="3547">
          <cell r="Z3547" t="str">
            <v>231122</v>
          </cell>
        </row>
        <row r="3548">
          <cell r="Z3548" t="str">
            <v>231123</v>
          </cell>
        </row>
        <row r="3549">
          <cell r="Z3549" t="str">
            <v>231124</v>
          </cell>
        </row>
        <row r="3550">
          <cell r="Z3550" t="str">
            <v>231129</v>
          </cell>
        </row>
        <row r="3551">
          <cell r="Z3551" t="str">
            <v>231130</v>
          </cell>
        </row>
        <row r="3552">
          <cell r="Z3552" t="str">
            <v>231131</v>
          </cell>
        </row>
        <row r="3553">
          <cell r="Z3553" t="str">
            <v>231132</v>
          </cell>
        </row>
        <row r="3554">
          <cell r="Z3554" t="str">
            <v>231133</v>
          </cell>
        </row>
        <row r="3555">
          <cell r="Z3555" t="str">
            <v>231134</v>
          </cell>
        </row>
        <row r="3556">
          <cell r="Z3556" t="str">
            <v>231139</v>
          </cell>
        </row>
        <row r="3557">
          <cell r="Z3557" t="str">
            <v>231140</v>
          </cell>
        </row>
        <row r="3558">
          <cell r="Z3558" t="str">
            <v>231141</v>
          </cell>
        </row>
        <row r="3559">
          <cell r="Z3559" t="str">
            <v>231142</v>
          </cell>
        </row>
        <row r="3560">
          <cell r="Z3560" t="str">
            <v>231143</v>
          </cell>
        </row>
        <row r="3561">
          <cell r="Z3561" t="str">
            <v>231144</v>
          </cell>
        </row>
        <row r="3562">
          <cell r="Z3562" t="str">
            <v>231149</v>
          </cell>
        </row>
        <row r="3563">
          <cell r="Z3563" t="str">
            <v>231150</v>
          </cell>
        </row>
        <row r="3564">
          <cell r="Z3564" t="str">
            <v>231151</v>
          </cell>
        </row>
        <row r="3565">
          <cell r="Z3565" t="str">
            <v>231152</v>
          </cell>
        </row>
        <row r="3566">
          <cell r="Z3566" t="str">
            <v>231153</v>
          </cell>
        </row>
        <row r="3567">
          <cell r="Z3567" t="str">
            <v>231154</v>
          </cell>
        </row>
        <row r="3568">
          <cell r="Z3568" t="str">
            <v>231159</v>
          </cell>
        </row>
        <row r="3569">
          <cell r="Z3569" t="str">
            <v>231200</v>
          </cell>
        </row>
        <row r="3570">
          <cell r="Z3570" t="str">
            <v>231210</v>
          </cell>
        </row>
        <row r="3571">
          <cell r="Z3571" t="str">
            <v>231211</v>
          </cell>
        </row>
        <row r="3572">
          <cell r="Z3572" t="str">
            <v>231212</v>
          </cell>
        </row>
        <row r="3573">
          <cell r="Z3573" t="str">
            <v>231213</v>
          </cell>
        </row>
        <row r="3574">
          <cell r="Z3574" t="str">
            <v>231214</v>
          </cell>
        </row>
        <row r="3575">
          <cell r="Z3575" t="str">
            <v>231219</v>
          </cell>
        </row>
        <row r="3576">
          <cell r="Z3576" t="str">
            <v>231220</v>
          </cell>
        </row>
        <row r="3577">
          <cell r="Z3577" t="str">
            <v>231221</v>
          </cell>
        </row>
        <row r="3578">
          <cell r="Z3578" t="str">
            <v>231222</v>
          </cell>
        </row>
        <row r="3579">
          <cell r="Z3579" t="str">
            <v>231223</v>
          </cell>
        </row>
        <row r="3580">
          <cell r="Z3580" t="str">
            <v>231224</v>
          </cell>
        </row>
        <row r="3581">
          <cell r="Z3581" t="str">
            <v>231229</v>
          </cell>
        </row>
        <row r="3582">
          <cell r="Z3582" t="str">
            <v>232000</v>
          </cell>
        </row>
        <row r="3583">
          <cell r="Z3583" t="str">
            <v>232100</v>
          </cell>
        </row>
        <row r="3584">
          <cell r="Z3584" t="str">
            <v>232110</v>
          </cell>
        </row>
        <row r="3585">
          <cell r="Z3585" t="str">
            <v>232111</v>
          </cell>
        </row>
        <row r="3586">
          <cell r="Z3586" t="str">
            <v>232112</v>
          </cell>
        </row>
        <row r="3587">
          <cell r="Z3587" t="str">
            <v>232113</v>
          </cell>
        </row>
        <row r="3588">
          <cell r="Z3588" t="str">
            <v>232114</v>
          </cell>
        </row>
        <row r="3589">
          <cell r="Z3589" t="str">
            <v>232119</v>
          </cell>
        </row>
        <row r="3590">
          <cell r="Z3590" t="str">
            <v>232120</v>
          </cell>
        </row>
        <row r="3591">
          <cell r="Z3591" t="str">
            <v>232121</v>
          </cell>
        </row>
        <row r="3592">
          <cell r="Z3592" t="str">
            <v>232122</v>
          </cell>
        </row>
        <row r="3593">
          <cell r="Z3593" t="str">
            <v>232123</v>
          </cell>
        </row>
        <row r="3594">
          <cell r="Z3594" t="str">
            <v>232124</v>
          </cell>
        </row>
        <row r="3595">
          <cell r="Z3595" t="str">
            <v>232129</v>
          </cell>
        </row>
        <row r="3596">
          <cell r="Z3596" t="str">
            <v>232130</v>
          </cell>
        </row>
        <row r="3597">
          <cell r="Z3597" t="str">
            <v>232131</v>
          </cell>
        </row>
        <row r="3598">
          <cell r="Z3598" t="str">
            <v>232132</v>
          </cell>
        </row>
        <row r="3599">
          <cell r="Z3599" t="str">
            <v>232133</v>
          </cell>
        </row>
        <row r="3600">
          <cell r="Z3600" t="str">
            <v>232134</v>
          </cell>
        </row>
        <row r="3601">
          <cell r="Z3601" t="str">
            <v>232139</v>
          </cell>
        </row>
        <row r="3602">
          <cell r="Z3602" t="str">
            <v>232140</v>
          </cell>
        </row>
        <row r="3603">
          <cell r="Z3603" t="str">
            <v>232141</v>
          </cell>
        </row>
        <row r="3604">
          <cell r="Z3604" t="str">
            <v>232142</v>
          </cell>
        </row>
        <row r="3605">
          <cell r="Z3605" t="str">
            <v>232143</v>
          </cell>
        </row>
        <row r="3606">
          <cell r="Z3606" t="str">
            <v>232144</v>
          </cell>
        </row>
        <row r="3607">
          <cell r="Z3607" t="str">
            <v>232149</v>
          </cell>
        </row>
        <row r="3608">
          <cell r="Z3608" t="str">
            <v>232150</v>
          </cell>
        </row>
        <row r="3609">
          <cell r="Z3609" t="str">
            <v>232151</v>
          </cell>
        </row>
        <row r="3610">
          <cell r="Z3610" t="str">
            <v>232152</v>
          </cell>
        </row>
        <row r="3611">
          <cell r="Z3611" t="str">
            <v>232153</v>
          </cell>
        </row>
        <row r="3612">
          <cell r="Z3612" t="str">
            <v>232154</v>
          </cell>
        </row>
        <row r="3613">
          <cell r="Z3613" t="str">
            <v>232159</v>
          </cell>
        </row>
        <row r="3614">
          <cell r="Z3614" t="str">
            <v>232160</v>
          </cell>
        </row>
        <row r="3615">
          <cell r="Z3615" t="str">
            <v>232161</v>
          </cell>
        </row>
        <row r="3616">
          <cell r="Z3616" t="str">
            <v>232162</v>
          </cell>
        </row>
        <row r="3617">
          <cell r="Z3617" t="str">
            <v>232163</v>
          </cell>
        </row>
        <row r="3618">
          <cell r="Z3618" t="str">
            <v>232164</v>
          </cell>
        </row>
        <row r="3619">
          <cell r="Z3619" t="str">
            <v>232169</v>
          </cell>
        </row>
        <row r="3620">
          <cell r="Z3620" t="str">
            <v>232170</v>
          </cell>
        </row>
        <row r="3621">
          <cell r="Z3621" t="str">
            <v>232171</v>
          </cell>
        </row>
        <row r="3622">
          <cell r="Z3622" t="str">
            <v>232172</v>
          </cell>
        </row>
        <row r="3623">
          <cell r="Z3623" t="str">
            <v>232173</v>
          </cell>
        </row>
        <row r="3624">
          <cell r="Z3624" t="str">
            <v>232174</v>
          </cell>
        </row>
        <row r="3625">
          <cell r="Z3625" t="str">
            <v>232179</v>
          </cell>
        </row>
        <row r="3626">
          <cell r="Z3626" t="str">
            <v>232200</v>
          </cell>
        </row>
        <row r="3627">
          <cell r="Z3627" t="str">
            <v>232210</v>
          </cell>
        </row>
        <row r="3628">
          <cell r="Z3628" t="str">
            <v>232211</v>
          </cell>
        </row>
        <row r="3629">
          <cell r="Z3629" t="str">
            <v>232212</v>
          </cell>
        </row>
        <row r="3630">
          <cell r="Z3630" t="str">
            <v>232213</v>
          </cell>
        </row>
        <row r="3631">
          <cell r="Z3631" t="str">
            <v>232214</v>
          </cell>
        </row>
        <row r="3632">
          <cell r="Z3632" t="str">
            <v>232219</v>
          </cell>
        </row>
        <row r="3633">
          <cell r="Z3633" t="str">
            <v>232220</v>
          </cell>
        </row>
        <row r="3634">
          <cell r="Z3634" t="str">
            <v>232221</v>
          </cell>
        </row>
        <row r="3635">
          <cell r="Z3635" t="str">
            <v>232222</v>
          </cell>
        </row>
        <row r="3636">
          <cell r="Z3636" t="str">
            <v>232223</v>
          </cell>
        </row>
        <row r="3637">
          <cell r="Z3637" t="str">
            <v>232224</v>
          </cell>
        </row>
        <row r="3638">
          <cell r="Z3638" t="str">
            <v>232229</v>
          </cell>
        </row>
        <row r="3639">
          <cell r="Z3639" t="str">
            <v>232230</v>
          </cell>
        </row>
        <row r="3640">
          <cell r="Z3640" t="str">
            <v>232231</v>
          </cell>
        </row>
        <row r="3641">
          <cell r="Z3641" t="str">
            <v>232232</v>
          </cell>
        </row>
        <row r="3642">
          <cell r="Z3642" t="str">
            <v>232233</v>
          </cell>
        </row>
        <row r="3643">
          <cell r="Z3643" t="str">
            <v>232234</v>
          </cell>
        </row>
        <row r="3644">
          <cell r="Z3644" t="str">
            <v>232239</v>
          </cell>
        </row>
        <row r="3645">
          <cell r="Z3645" t="str">
            <v>232240</v>
          </cell>
        </row>
        <row r="3646">
          <cell r="Z3646" t="str">
            <v>232241</v>
          </cell>
        </row>
        <row r="3647">
          <cell r="Z3647" t="str">
            <v>232242</v>
          </cell>
        </row>
        <row r="3648">
          <cell r="Z3648" t="str">
            <v>232243</v>
          </cell>
        </row>
        <row r="3649">
          <cell r="Z3649" t="str">
            <v>232244</v>
          </cell>
        </row>
        <row r="3650">
          <cell r="Z3650" t="str">
            <v>232249</v>
          </cell>
        </row>
        <row r="3651">
          <cell r="Z3651" t="str">
            <v>232250</v>
          </cell>
        </row>
        <row r="3652">
          <cell r="Z3652" t="str">
            <v>232251</v>
          </cell>
        </row>
        <row r="3653">
          <cell r="Z3653" t="str">
            <v>232252</v>
          </cell>
        </row>
        <row r="3654">
          <cell r="Z3654" t="str">
            <v>232253</v>
          </cell>
        </row>
        <row r="3655">
          <cell r="Z3655" t="str">
            <v>232254</v>
          </cell>
        </row>
        <row r="3656">
          <cell r="Z3656" t="str">
            <v>232259</v>
          </cell>
        </row>
        <row r="3657">
          <cell r="Z3657" t="str">
            <v>232260</v>
          </cell>
        </row>
        <row r="3658">
          <cell r="Z3658" t="str">
            <v>232261</v>
          </cell>
        </row>
        <row r="3659">
          <cell r="Z3659" t="str">
            <v>232262</v>
          </cell>
        </row>
        <row r="3660">
          <cell r="Z3660" t="str">
            <v>232263</v>
          </cell>
        </row>
        <row r="3661">
          <cell r="Z3661" t="str">
            <v>232264</v>
          </cell>
        </row>
        <row r="3662">
          <cell r="Z3662" t="str">
            <v>232269</v>
          </cell>
        </row>
        <row r="3663">
          <cell r="Z3663" t="str">
            <v>232270</v>
          </cell>
        </row>
        <row r="3664">
          <cell r="Z3664" t="str">
            <v>232271</v>
          </cell>
        </row>
        <row r="3665">
          <cell r="Z3665" t="str">
            <v>232272</v>
          </cell>
        </row>
        <row r="3666">
          <cell r="Z3666" t="str">
            <v>232273</v>
          </cell>
        </row>
        <row r="3667">
          <cell r="Z3667" t="str">
            <v>232274</v>
          </cell>
        </row>
        <row r="3668">
          <cell r="Z3668" t="str">
            <v>232279</v>
          </cell>
        </row>
        <row r="3669">
          <cell r="Z3669" t="str">
            <v>232300</v>
          </cell>
        </row>
        <row r="3670">
          <cell r="Z3670" t="str">
            <v>232310</v>
          </cell>
        </row>
        <row r="3671">
          <cell r="Z3671" t="str">
            <v>232311</v>
          </cell>
        </row>
        <row r="3672">
          <cell r="Z3672" t="str">
            <v>232312</v>
          </cell>
        </row>
        <row r="3673">
          <cell r="Z3673" t="str">
            <v>232313</v>
          </cell>
        </row>
        <row r="3674">
          <cell r="Z3674" t="str">
            <v>232314</v>
          </cell>
        </row>
        <row r="3675">
          <cell r="Z3675" t="str">
            <v>232319</v>
          </cell>
        </row>
        <row r="3676">
          <cell r="Z3676" t="str">
            <v>232320</v>
          </cell>
        </row>
        <row r="3677">
          <cell r="Z3677" t="str">
            <v>232321</v>
          </cell>
        </row>
        <row r="3678">
          <cell r="Z3678" t="str">
            <v>232322</v>
          </cell>
        </row>
        <row r="3679">
          <cell r="Z3679" t="str">
            <v>232323</v>
          </cell>
        </row>
        <row r="3680">
          <cell r="Z3680" t="str">
            <v>232324</v>
          </cell>
        </row>
        <row r="3681">
          <cell r="Z3681" t="str">
            <v>232329</v>
          </cell>
        </row>
        <row r="3682">
          <cell r="Z3682" t="str">
            <v>232330</v>
          </cell>
        </row>
        <row r="3683">
          <cell r="Z3683" t="str">
            <v>232331</v>
          </cell>
        </row>
        <row r="3684">
          <cell r="Z3684" t="str">
            <v>232332</v>
          </cell>
        </row>
        <row r="3685">
          <cell r="Z3685" t="str">
            <v>232333</v>
          </cell>
        </row>
        <row r="3686">
          <cell r="Z3686" t="str">
            <v>232334</v>
          </cell>
        </row>
        <row r="3687">
          <cell r="Z3687" t="str">
            <v>232339</v>
          </cell>
        </row>
        <row r="3688">
          <cell r="Z3688" t="str">
            <v>232340</v>
          </cell>
        </row>
        <row r="3689">
          <cell r="Z3689" t="str">
            <v>232341</v>
          </cell>
        </row>
        <row r="3690">
          <cell r="Z3690" t="str">
            <v>232342</v>
          </cell>
        </row>
        <row r="3691">
          <cell r="Z3691" t="str">
            <v>232343</v>
          </cell>
        </row>
        <row r="3692">
          <cell r="Z3692" t="str">
            <v>232344</v>
          </cell>
        </row>
        <row r="3693">
          <cell r="Z3693" t="str">
            <v>232349</v>
          </cell>
        </row>
        <row r="3694">
          <cell r="Z3694" t="str">
            <v>232350</v>
          </cell>
        </row>
        <row r="3695">
          <cell r="Z3695" t="str">
            <v>232351</v>
          </cell>
        </row>
        <row r="3696">
          <cell r="Z3696" t="str">
            <v>232352</v>
          </cell>
        </row>
        <row r="3697">
          <cell r="Z3697" t="str">
            <v>232353</v>
          </cell>
        </row>
        <row r="3698">
          <cell r="Z3698" t="str">
            <v>232354</v>
          </cell>
        </row>
        <row r="3699">
          <cell r="Z3699" t="str">
            <v>232359</v>
          </cell>
        </row>
        <row r="3700">
          <cell r="Z3700" t="str">
            <v>232360</v>
          </cell>
        </row>
        <row r="3701">
          <cell r="Z3701" t="str">
            <v>232361</v>
          </cell>
        </row>
        <row r="3702">
          <cell r="Z3702" t="str">
            <v>232362</v>
          </cell>
        </row>
        <row r="3703">
          <cell r="Z3703" t="str">
            <v>232363</v>
          </cell>
        </row>
        <row r="3704">
          <cell r="Z3704" t="str">
            <v>232364</v>
          </cell>
        </row>
        <row r="3705">
          <cell r="Z3705" t="str">
            <v>232369</v>
          </cell>
        </row>
        <row r="3706">
          <cell r="Z3706" t="str">
            <v>232370</v>
          </cell>
        </row>
        <row r="3707">
          <cell r="Z3707" t="str">
            <v>232371</v>
          </cell>
        </row>
        <row r="3708">
          <cell r="Z3708" t="str">
            <v>232372</v>
          </cell>
        </row>
        <row r="3709">
          <cell r="Z3709" t="str">
            <v>232373</v>
          </cell>
        </row>
        <row r="3710">
          <cell r="Z3710" t="str">
            <v>232374</v>
          </cell>
        </row>
        <row r="3711">
          <cell r="Z3711" t="str">
            <v>232379</v>
          </cell>
        </row>
        <row r="3712">
          <cell r="Z3712" t="str">
            <v>232400</v>
          </cell>
        </row>
        <row r="3713">
          <cell r="Z3713" t="str">
            <v>232410</v>
          </cell>
        </row>
        <row r="3714">
          <cell r="Z3714" t="str">
            <v>232411</v>
          </cell>
        </row>
        <row r="3715">
          <cell r="Z3715" t="str">
            <v>232412</v>
          </cell>
        </row>
        <row r="3716">
          <cell r="Z3716" t="str">
            <v>232413</v>
          </cell>
        </row>
        <row r="3717">
          <cell r="Z3717" t="str">
            <v>232414</v>
          </cell>
        </row>
        <row r="3718">
          <cell r="Z3718" t="str">
            <v>232419</v>
          </cell>
        </row>
        <row r="3719">
          <cell r="Z3719" t="str">
            <v>232420</v>
          </cell>
        </row>
        <row r="3720">
          <cell r="Z3720" t="str">
            <v>232421</v>
          </cell>
        </row>
        <row r="3721">
          <cell r="Z3721" t="str">
            <v>232422</v>
          </cell>
        </row>
        <row r="3722">
          <cell r="Z3722" t="str">
            <v>232423</v>
          </cell>
        </row>
        <row r="3723">
          <cell r="Z3723" t="str">
            <v>232424</v>
          </cell>
        </row>
        <row r="3724">
          <cell r="Z3724" t="str">
            <v>232429</v>
          </cell>
        </row>
        <row r="3725">
          <cell r="Z3725" t="str">
            <v>232430</v>
          </cell>
        </row>
        <row r="3726">
          <cell r="Z3726" t="str">
            <v>232431</v>
          </cell>
        </row>
        <row r="3727">
          <cell r="Z3727" t="str">
            <v>232432</v>
          </cell>
        </row>
        <row r="3728">
          <cell r="Z3728" t="str">
            <v>232433</v>
          </cell>
        </row>
        <row r="3729">
          <cell r="Z3729" t="str">
            <v>232434</v>
          </cell>
        </row>
        <row r="3730">
          <cell r="Z3730" t="str">
            <v>232439</v>
          </cell>
        </row>
        <row r="3731">
          <cell r="Z3731" t="str">
            <v>232440</v>
          </cell>
        </row>
        <row r="3732">
          <cell r="Z3732" t="str">
            <v>232441</v>
          </cell>
        </row>
        <row r="3733">
          <cell r="Z3733" t="str">
            <v>232442</v>
          </cell>
        </row>
        <row r="3734">
          <cell r="Z3734" t="str">
            <v>232443</v>
          </cell>
        </row>
        <row r="3735">
          <cell r="Z3735" t="str">
            <v>232444</v>
          </cell>
        </row>
        <row r="3736">
          <cell r="Z3736" t="str">
            <v>232449</v>
          </cell>
        </row>
        <row r="3737">
          <cell r="Z3737" t="str">
            <v>232450</v>
          </cell>
        </row>
        <row r="3738">
          <cell r="Z3738" t="str">
            <v>232451</v>
          </cell>
        </row>
        <row r="3739">
          <cell r="Z3739" t="str">
            <v>232452</v>
          </cell>
        </row>
        <row r="3740">
          <cell r="Z3740" t="str">
            <v>232453</v>
          </cell>
        </row>
        <row r="3741">
          <cell r="Z3741" t="str">
            <v>232454</v>
          </cell>
        </row>
        <row r="3742">
          <cell r="Z3742" t="str">
            <v>232459</v>
          </cell>
        </row>
        <row r="3743">
          <cell r="Z3743" t="str">
            <v>232460</v>
          </cell>
        </row>
        <row r="3744">
          <cell r="Z3744" t="str">
            <v>232461</v>
          </cell>
        </row>
        <row r="3745">
          <cell r="Z3745" t="str">
            <v>232462</v>
          </cell>
        </row>
        <row r="3746">
          <cell r="Z3746" t="str">
            <v>232463</v>
          </cell>
        </row>
        <row r="3747">
          <cell r="Z3747" t="str">
            <v>232464</v>
          </cell>
        </row>
        <row r="3748">
          <cell r="Z3748" t="str">
            <v>232469</v>
          </cell>
        </row>
        <row r="3749">
          <cell r="Z3749" t="str">
            <v>232470</v>
          </cell>
        </row>
        <row r="3750">
          <cell r="Z3750" t="str">
            <v>232471</v>
          </cell>
        </row>
        <row r="3751">
          <cell r="Z3751" t="str">
            <v>232472</v>
          </cell>
        </row>
        <row r="3752">
          <cell r="Z3752" t="str">
            <v>232473</v>
          </cell>
        </row>
        <row r="3753">
          <cell r="Z3753" t="str">
            <v>232474</v>
          </cell>
        </row>
        <row r="3754">
          <cell r="Z3754" t="str">
            <v>232479</v>
          </cell>
        </row>
        <row r="3755">
          <cell r="Z3755" t="str">
            <v>232500</v>
          </cell>
        </row>
        <row r="3756">
          <cell r="Z3756" t="str">
            <v>232510</v>
          </cell>
        </row>
        <row r="3757">
          <cell r="Z3757" t="str">
            <v>232511</v>
          </cell>
        </row>
        <row r="3758">
          <cell r="Z3758" t="str">
            <v>232512</v>
          </cell>
        </row>
        <row r="3759">
          <cell r="Z3759" t="str">
            <v>232513</v>
          </cell>
        </row>
        <row r="3760">
          <cell r="Z3760" t="str">
            <v>232514</v>
          </cell>
        </row>
        <row r="3761">
          <cell r="Z3761" t="str">
            <v>232519</v>
          </cell>
        </row>
        <row r="3762">
          <cell r="Z3762" t="str">
            <v>232520</v>
          </cell>
        </row>
        <row r="3763">
          <cell r="Z3763" t="str">
            <v>232521</v>
          </cell>
        </row>
        <row r="3764">
          <cell r="Z3764" t="str">
            <v>232522</v>
          </cell>
        </row>
        <row r="3765">
          <cell r="Z3765" t="str">
            <v>232523</v>
          </cell>
        </row>
        <row r="3766">
          <cell r="Z3766" t="str">
            <v>232524</v>
          </cell>
        </row>
        <row r="3767">
          <cell r="Z3767" t="str">
            <v>232529</v>
          </cell>
        </row>
        <row r="3768">
          <cell r="Z3768" t="str">
            <v>232530</v>
          </cell>
        </row>
        <row r="3769">
          <cell r="Z3769" t="str">
            <v>232531</v>
          </cell>
        </row>
        <row r="3770">
          <cell r="Z3770" t="str">
            <v>232532</v>
          </cell>
        </row>
        <row r="3771">
          <cell r="Z3771" t="str">
            <v>232533</v>
          </cell>
        </row>
        <row r="3772">
          <cell r="Z3772" t="str">
            <v>232534</v>
          </cell>
        </row>
        <row r="3773">
          <cell r="Z3773" t="str">
            <v>232539</v>
          </cell>
        </row>
        <row r="3774">
          <cell r="Z3774" t="str">
            <v>232600</v>
          </cell>
        </row>
        <row r="3775">
          <cell r="Z3775" t="str">
            <v>232610</v>
          </cell>
        </row>
        <row r="3776">
          <cell r="Z3776" t="str">
            <v>232611</v>
          </cell>
        </row>
        <row r="3777">
          <cell r="Z3777" t="str">
            <v>232612</v>
          </cell>
        </row>
        <row r="3778">
          <cell r="Z3778" t="str">
            <v>232613</v>
          </cell>
        </row>
        <row r="3779">
          <cell r="Z3779" t="str">
            <v>232614</v>
          </cell>
        </row>
        <row r="3780">
          <cell r="Z3780" t="str">
            <v>232619</v>
          </cell>
        </row>
        <row r="3781">
          <cell r="Z3781" t="str">
            <v>232620</v>
          </cell>
        </row>
        <row r="3782">
          <cell r="Z3782" t="str">
            <v>232621</v>
          </cell>
        </row>
        <row r="3783">
          <cell r="Z3783" t="str">
            <v>232622</v>
          </cell>
        </row>
        <row r="3784">
          <cell r="Z3784" t="str">
            <v>232623</v>
          </cell>
        </row>
        <row r="3785">
          <cell r="Z3785" t="str">
            <v>232624</v>
          </cell>
        </row>
        <row r="3786">
          <cell r="Z3786" t="str">
            <v>232629</v>
          </cell>
        </row>
        <row r="3787">
          <cell r="Z3787" t="str">
            <v>232630</v>
          </cell>
        </row>
        <row r="3788">
          <cell r="Z3788" t="str">
            <v>232631</v>
          </cell>
        </row>
        <row r="3789">
          <cell r="Z3789" t="str">
            <v>232632</v>
          </cell>
        </row>
        <row r="3790">
          <cell r="Z3790" t="str">
            <v>232633</v>
          </cell>
        </row>
        <row r="3791">
          <cell r="Z3791" t="str">
            <v>232634</v>
          </cell>
        </row>
        <row r="3792">
          <cell r="Z3792" t="str">
            <v>232639</v>
          </cell>
        </row>
        <row r="3793">
          <cell r="Z3793" t="str">
            <v>233000</v>
          </cell>
        </row>
        <row r="3794">
          <cell r="Z3794" t="str">
            <v>233100</v>
          </cell>
        </row>
        <row r="3795">
          <cell r="Z3795" t="str">
            <v>233110</v>
          </cell>
        </row>
        <row r="3796">
          <cell r="Z3796" t="str">
            <v>233111</v>
          </cell>
        </row>
        <row r="3797">
          <cell r="Z3797" t="str">
            <v>233112</v>
          </cell>
        </row>
        <row r="3798">
          <cell r="Z3798" t="str">
            <v>233113</v>
          </cell>
        </row>
        <row r="3799">
          <cell r="Z3799" t="str">
            <v>233114</v>
          </cell>
        </row>
        <row r="3800">
          <cell r="Z3800" t="str">
            <v>233119</v>
          </cell>
        </row>
        <row r="3801">
          <cell r="Z3801" t="str">
            <v>233120</v>
          </cell>
        </row>
        <row r="3802">
          <cell r="Z3802" t="str">
            <v>233121</v>
          </cell>
        </row>
        <row r="3803">
          <cell r="Z3803" t="str">
            <v>233122</v>
          </cell>
        </row>
        <row r="3804">
          <cell r="Z3804" t="str">
            <v>233123</v>
          </cell>
        </row>
        <row r="3805">
          <cell r="Z3805" t="str">
            <v>233124</v>
          </cell>
        </row>
        <row r="3806">
          <cell r="Z3806" t="str">
            <v>233129</v>
          </cell>
        </row>
        <row r="3807">
          <cell r="Z3807" t="str">
            <v>233130</v>
          </cell>
        </row>
        <row r="3808">
          <cell r="Z3808" t="str">
            <v>233131</v>
          </cell>
        </row>
        <row r="3809">
          <cell r="Z3809" t="str">
            <v>233132</v>
          </cell>
        </row>
        <row r="3810">
          <cell r="Z3810" t="str">
            <v>233133</v>
          </cell>
        </row>
        <row r="3811">
          <cell r="Z3811" t="str">
            <v>233134</v>
          </cell>
        </row>
        <row r="3812">
          <cell r="Z3812" t="str">
            <v>233139</v>
          </cell>
        </row>
        <row r="3813">
          <cell r="Z3813" t="str">
            <v>233140</v>
          </cell>
        </row>
        <row r="3814">
          <cell r="Z3814" t="str">
            <v>233141</v>
          </cell>
        </row>
        <row r="3815">
          <cell r="Z3815" t="str">
            <v>233142</v>
          </cell>
        </row>
        <row r="3816">
          <cell r="Z3816" t="str">
            <v>233143</v>
          </cell>
        </row>
        <row r="3817">
          <cell r="Z3817" t="str">
            <v>233144</v>
          </cell>
        </row>
        <row r="3818">
          <cell r="Z3818" t="str">
            <v>233149</v>
          </cell>
        </row>
        <row r="3819">
          <cell r="Z3819" t="str">
            <v>233150</v>
          </cell>
        </row>
        <row r="3820">
          <cell r="Z3820" t="str">
            <v>233151</v>
          </cell>
        </row>
        <row r="3821">
          <cell r="Z3821" t="str">
            <v>233152</v>
          </cell>
        </row>
        <row r="3822">
          <cell r="Z3822" t="str">
            <v>233153</v>
          </cell>
        </row>
        <row r="3823">
          <cell r="Z3823" t="str">
            <v>233154</v>
          </cell>
        </row>
        <row r="3824">
          <cell r="Z3824" t="str">
            <v>233159</v>
          </cell>
        </row>
        <row r="3825">
          <cell r="Z3825" t="str">
            <v>233160</v>
          </cell>
        </row>
        <row r="3826">
          <cell r="Z3826" t="str">
            <v>233161</v>
          </cell>
        </row>
        <row r="3827">
          <cell r="Z3827" t="str">
            <v>233162</v>
          </cell>
        </row>
        <row r="3828">
          <cell r="Z3828" t="str">
            <v>233163</v>
          </cell>
        </row>
        <row r="3829">
          <cell r="Z3829" t="str">
            <v>233164</v>
          </cell>
        </row>
        <row r="3830">
          <cell r="Z3830" t="str">
            <v>233169</v>
          </cell>
        </row>
        <row r="3831">
          <cell r="Z3831" t="str">
            <v>233170</v>
          </cell>
        </row>
        <row r="3832">
          <cell r="Z3832" t="str">
            <v>233171</v>
          </cell>
        </row>
        <row r="3833">
          <cell r="Z3833" t="str">
            <v>233172</v>
          </cell>
        </row>
        <row r="3834">
          <cell r="Z3834" t="str">
            <v>233173</v>
          </cell>
        </row>
        <row r="3835">
          <cell r="Z3835" t="str">
            <v>233174</v>
          </cell>
        </row>
        <row r="3836">
          <cell r="Z3836" t="str">
            <v>233179</v>
          </cell>
        </row>
        <row r="3837">
          <cell r="Z3837" t="str">
            <v>233200</v>
          </cell>
        </row>
        <row r="3838">
          <cell r="Z3838" t="str">
            <v>233210</v>
          </cell>
        </row>
        <row r="3839">
          <cell r="Z3839" t="str">
            <v>233211</v>
          </cell>
        </row>
        <row r="3840">
          <cell r="Z3840" t="str">
            <v>233212</v>
          </cell>
        </row>
        <row r="3841">
          <cell r="Z3841" t="str">
            <v>233213</v>
          </cell>
        </row>
        <row r="3842">
          <cell r="Z3842" t="str">
            <v>233214</v>
          </cell>
        </row>
        <row r="3843">
          <cell r="Z3843" t="str">
            <v>233219</v>
          </cell>
        </row>
        <row r="3844">
          <cell r="Z3844" t="str">
            <v>233220</v>
          </cell>
        </row>
        <row r="3845">
          <cell r="Z3845" t="str">
            <v>233221</v>
          </cell>
        </row>
        <row r="3846">
          <cell r="Z3846" t="str">
            <v>233222</v>
          </cell>
        </row>
        <row r="3847">
          <cell r="Z3847" t="str">
            <v>233223</v>
          </cell>
        </row>
        <row r="3848">
          <cell r="Z3848" t="str">
            <v>233224</v>
          </cell>
        </row>
        <row r="3849">
          <cell r="Z3849" t="str">
            <v>233229</v>
          </cell>
        </row>
        <row r="3850">
          <cell r="Z3850" t="str">
            <v>233230</v>
          </cell>
        </row>
        <row r="3851">
          <cell r="Z3851" t="str">
            <v>233231</v>
          </cell>
        </row>
        <row r="3852">
          <cell r="Z3852" t="str">
            <v>233232</v>
          </cell>
        </row>
        <row r="3853">
          <cell r="Z3853" t="str">
            <v>233233</v>
          </cell>
        </row>
        <row r="3854">
          <cell r="Z3854" t="str">
            <v>233234</v>
          </cell>
        </row>
        <row r="3855">
          <cell r="Z3855" t="str">
            <v>233239</v>
          </cell>
        </row>
        <row r="3856">
          <cell r="Z3856" t="str">
            <v>233240</v>
          </cell>
        </row>
        <row r="3857">
          <cell r="Z3857" t="str">
            <v>233241</v>
          </cell>
        </row>
        <row r="3858">
          <cell r="Z3858" t="str">
            <v>233242</v>
          </cell>
        </row>
        <row r="3859">
          <cell r="Z3859" t="str">
            <v>233243</v>
          </cell>
        </row>
        <row r="3860">
          <cell r="Z3860" t="str">
            <v>233244</v>
          </cell>
        </row>
        <row r="3861">
          <cell r="Z3861" t="str">
            <v>233249</v>
          </cell>
        </row>
        <row r="3862">
          <cell r="Z3862" t="str">
            <v>233250</v>
          </cell>
        </row>
        <row r="3863">
          <cell r="Z3863" t="str">
            <v>233251</v>
          </cell>
        </row>
        <row r="3864">
          <cell r="Z3864" t="str">
            <v>233252</v>
          </cell>
        </row>
        <row r="3865">
          <cell r="Z3865" t="str">
            <v>233253</v>
          </cell>
        </row>
        <row r="3866">
          <cell r="Z3866" t="str">
            <v>233254</v>
          </cell>
        </row>
        <row r="3867">
          <cell r="Z3867" t="str">
            <v>233259</v>
          </cell>
        </row>
        <row r="3868">
          <cell r="Z3868" t="str">
            <v>233260</v>
          </cell>
        </row>
        <row r="3869">
          <cell r="Z3869" t="str">
            <v>233261</v>
          </cell>
        </row>
        <row r="3870">
          <cell r="Z3870" t="str">
            <v>233262</v>
          </cell>
        </row>
        <row r="3871">
          <cell r="Z3871" t="str">
            <v>233263</v>
          </cell>
        </row>
        <row r="3872">
          <cell r="Z3872" t="str">
            <v>233264</v>
          </cell>
        </row>
        <row r="3873">
          <cell r="Z3873" t="str">
            <v>233269</v>
          </cell>
        </row>
        <row r="3874">
          <cell r="Z3874" t="str">
            <v>233270</v>
          </cell>
        </row>
        <row r="3875">
          <cell r="Z3875" t="str">
            <v>233271</v>
          </cell>
        </row>
        <row r="3876">
          <cell r="Z3876" t="str">
            <v>233272</v>
          </cell>
        </row>
        <row r="3877">
          <cell r="Z3877" t="str">
            <v>233273</v>
          </cell>
        </row>
        <row r="3878">
          <cell r="Z3878" t="str">
            <v>233274</v>
          </cell>
        </row>
        <row r="3879">
          <cell r="Z3879" t="str">
            <v>233279</v>
          </cell>
        </row>
        <row r="3880">
          <cell r="Z3880" t="str">
            <v>233300</v>
          </cell>
        </row>
        <row r="3881">
          <cell r="Z3881" t="str">
            <v>233310</v>
          </cell>
        </row>
        <row r="3882">
          <cell r="Z3882" t="str">
            <v>233311</v>
          </cell>
        </row>
        <row r="3883">
          <cell r="Z3883" t="str">
            <v>233312</v>
          </cell>
        </row>
        <row r="3884">
          <cell r="Z3884" t="str">
            <v>233313</v>
          </cell>
        </row>
        <row r="3885">
          <cell r="Z3885" t="str">
            <v>233314</v>
          </cell>
        </row>
        <row r="3886">
          <cell r="Z3886" t="str">
            <v>233319</v>
          </cell>
        </row>
        <row r="3887">
          <cell r="Z3887" t="str">
            <v>233320</v>
          </cell>
        </row>
        <row r="3888">
          <cell r="Z3888" t="str">
            <v>233321</v>
          </cell>
        </row>
        <row r="3889">
          <cell r="Z3889" t="str">
            <v>233322</v>
          </cell>
        </row>
        <row r="3890">
          <cell r="Z3890" t="str">
            <v>233323</v>
          </cell>
        </row>
        <row r="3891">
          <cell r="Z3891" t="str">
            <v>233324</v>
          </cell>
        </row>
        <row r="3892">
          <cell r="Z3892" t="str">
            <v>233329</v>
          </cell>
        </row>
        <row r="3893">
          <cell r="Z3893" t="str">
            <v>233330</v>
          </cell>
        </row>
        <row r="3894">
          <cell r="Z3894" t="str">
            <v>233331</v>
          </cell>
        </row>
        <row r="3895">
          <cell r="Z3895" t="str">
            <v>233332</v>
          </cell>
        </row>
        <row r="3896">
          <cell r="Z3896" t="str">
            <v>233333</v>
          </cell>
        </row>
        <row r="3897">
          <cell r="Z3897" t="str">
            <v>233334</v>
          </cell>
        </row>
        <row r="3898">
          <cell r="Z3898" t="str">
            <v>233339</v>
          </cell>
        </row>
        <row r="3899">
          <cell r="Z3899" t="str">
            <v>233340</v>
          </cell>
        </row>
        <row r="3900">
          <cell r="Z3900" t="str">
            <v>233341</v>
          </cell>
        </row>
        <row r="3901">
          <cell r="Z3901" t="str">
            <v>233342</v>
          </cell>
        </row>
        <row r="3902">
          <cell r="Z3902" t="str">
            <v>233343</v>
          </cell>
        </row>
        <row r="3903">
          <cell r="Z3903" t="str">
            <v>233344</v>
          </cell>
        </row>
        <row r="3904">
          <cell r="Z3904" t="str">
            <v>233349</v>
          </cell>
        </row>
        <row r="3905">
          <cell r="Z3905" t="str">
            <v>233350</v>
          </cell>
        </row>
        <row r="3906">
          <cell r="Z3906" t="str">
            <v>233351</v>
          </cell>
        </row>
        <row r="3907">
          <cell r="Z3907" t="str">
            <v>233352</v>
          </cell>
        </row>
        <row r="3908">
          <cell r="Z3908" t="str">
            <v>233353</v>
          </cell>
        </row>
        <row r="3909">
          <cell r="Z3909" t="str">
            <v>233354</v>
          </cell>
        </row>
        <row r="3910">
          <cell r="Z3910" t="str">
            <v>233359</v>
          </cell>
        </row>
        <row r="3911">
          <cell r="Z3911" t="str">
            <v>233360</v>
          </cell>
        </row>
        <row r="3912">
          <cell r="Z3912" t="str">
            <v>233361</v>
          </cell>
        </row>
        <row r="3913">
          <cell r="Z3913" t="str">
            <v>233362</v>
          </cell>
        </row>
        <row r="3914">
          <cell r="Z3914" t="str">
            <v>233363</v>
          </cell>
        </row>
        <row r="3915">
          <cell r="Z3915" t="str">
            <v>233364</v>
          </cell>
        </row>
        <row r="3916">
          <cell r="Z3916" t="str">
            <v>233369</v>
          </cell>
        </row>
        <row r="3917">
          <cell r="Z3917" t="str">
            <v>233370</v>
          </cell>
        </row>
        <row r="3918">
          <cell r="Z3918" t="str">
            <v>233371</v>
          </cell>
        </row>
        <row r="3919">
          <cell r="Z3919" t="str">
            <v>233372</v>
          </cell>
        </row>
        <row r="3920">
          <cell r="Z3920" t="str">
            <v>233373</v>
          </cell>
        </row>
        <row r="3921">
          <cell r="Z3921" t="str">
            <v>233374</v>
          </cell>
        </row>
        <row r="3922">
          <cell r="Z3922" t="str">
            <v>233379</v>
          </cell>
        </row>
        <row r="3923">
          <cell r="Z3923" t="str">
            <v>233400</v>
          </cell>
        </row>
        <row r="3924">
          <cell r="Z3924" t="str">
            <v>233410</v>
          </cell>
        </row>
        <row r="3925">
          <cell r="Z3925" t="str">
            <v>233411</v>
          </cell>
        </row>
        <row r="3926">
          <cell r="Z3926" t="str">
            <v>233412</v>
          </cell>
        </row>
        <row r="3927">
          <cell r="Z3927" t="str">
            <v>233413</v>
          </cell>
        </row>
        <row r="3928">
          <cell r="Z3928" t="str">
            <v>233414</v>
          </cell>
        </row>
        <row r="3929">
          <cell r="Z3929" t="str">
            <v>233419</v>
          </cell>
        </row>
        <row r="3930">
          <cell r="Z3930" t="str">
            <v>233420</v>
          </cell>
        </row>
        <row r="3931">
          <cell r="Z3931" t="str">
            <v>233421</v>
          </cell>
        </row>
        <row r="3932">
          <cell r="Z3932" t="str">
            <v>233422</v>
          </cell>
        </row>
        <row r="3933">
          <cell r="Z3933" t="str">
            <v>233423</v>
          </cell>
        </row>
        <row r="3934">
          <cell r="Z3934" t="str">
            <v>233424</v>
          </cell>
        </row>
        <row r="3935">
          <cell r="Z3935" t="str">
            <v>233429</v>
          </cell>
        </row>
        <row r="3936">
          <cell r="Z3936" t="str">
            <v>233430</v>
          </cell>
        </row>
        <row r="3937">
          <cell r="Z3937" t="str">
            <v>233431</v>
          </cell>
        </row>
        <row r="3938">
          <cell r="Z3938" t="str">
            <v>233432</v>
          </cell>
        </row>
        <row r="3939">
          <cell r="Z3939" t="str">
            <v>233433</v>
          </cell>
        </row>
        <row r="3940">
          <cell r="Z3940" t="str">
            <v>233434</v>
          </cell>
        </row>
        <row r="3941">
          <cell r="Z3941" t="str">
            <v>233439</v>
          </cell>
        </row>
        <row r="3942">
          <cell r="Z3942" t="str">
            <v>233440</v>
          </cell>
        </row>
        <row r="3943">
          <cell r="Z3943" t="str">
            <v>233441</v>
          </cell>
        </row>
        <row r="3944">
          <cell r="Z3944" t="str">
            <v>233442</v>
          </cell>
        </row>
        <row r="3945">
          <cell r="Z3945" t="str">
            <v>233443</v>
          </cell>
        </row>
        <row r="3946">
          <cell r="Z3946" t="str">
            <v>233444</v>
          </cell>
        </row>
        <row r="3947">
          <cell r="Z3947" t="str">
            <v>233445</v>
          </cell>
        </row>
        <row r="3948">
          <cell r="Z3948" t="str">
            <v>233450</v>
          </cell>
        </row>
        <row r="3949">
          <cell r="Z3949" t="str">
            <v>233451</v>
          </cell>
        </row>
        <row r="3950">
          <cell r="Z3950" t="str">
            <v>233452</v>
          </cell>
        </row>
        <row r="3951">
          <cell r="Z3951" t="str">
            <v>233453</v>
          </cell>
        </row>
        <row r="3952">
          <cell r="Z3952" t="str">
            <v>233454</v>
          </cell>
        </row>
        <row r="3953">
          <cell r="Z3953" t="str">
            <v>233459</v>
          </cell>
        </row>
        <row r="3954">
          <cell r="Z3954" t="str">
            <v>233460</v>
          </cell>
        </row>
        <row r="3955">
          <cell r="Z3955" t="str">
            <v>233461</v>
          </cell>
        </row>
        <row r="3956">
          <cell r="Z3956" t="str">
            <v>233462</v>
          </cell>
        </row>
        <row r="3957">
          <cell r="Z3957" t="str">
            <v>233463</v>
          </cell>
        </row>
        <row r="3958">
          <cell r="Z3958" t="str">
            <v>233464</v>
          </cell>
        </row>
        <row r="3959">
          <cell r="Z3959" t="str">
            <v>233469</v>
          </cell>
        </row>
        <row r="3960">
          <cell r="Z3960" t="str">
            <v>233470</v>
          </cell>
        </row>
        <row r="3961">
          <cell r="Z3961" t="str">
            <v>233471</v>
          </cell>
        </row>
        <row r="3962">
          <cell r="Z3962" t="str">
            <v>233472</v>
          </cell>
        </row>
        <row r="3963">
          <cell r="Z3963" t="str">
            <v>233473</v>
          </cell>
        </row>
        <row r="3964">
          <cell r="Z3964" t="str">
            <v>233474</v>
          </cell>
        </row>
        <row r="3965">
          <cell r="Z3965" t="str">
            <v>233479</v>
          </cell>
        </row>
        <row r="3966">
          <cell r="Z3966" t="str">
            <v>233500</v>
          </cell>
        </row>
        <row r="3967">
          <cell r="Z3967" t="str">
            <v>233510</v>
          </cell>
        </row>
        <row r="3968">
          <cell r="Z3968" t="str">
            <v>233511</v>
          </cell>
        </row>
        <row r="3969">
          <cell r="Z3969" t="str">
            <v>233512</v>
          </cell>
        </row>
        <row r="3970">
          <cell r="Z3970" t="str">
            <v>233513</v>
          </cell>
        </row>
        <row r="3971">
          <cell r="Z3971" t="str">
            <v>233514</v>
          </cell>
        </row>
        <row r="3972">
          <cell r="Z3972" t="str">
            <v>233519</v>
          </cell>
        </row>
        <row r="3973">
          <cell r="Z3973" t="str">
            <v>233520</v>
          </cell>
        </row>
        <row r="3974">
          <cell r="Z3974" t="str">
            <v>233521</v>
          </cell>
        </row>
        <row r="3975">
          <cell r="Z3975" t="str">
            <v>233522</v>
          </cell>
        </row>
        <row r="3976">
          <cell r="Z3976" t="str">
            <v>233523</v>
          </cell>
        </row>
        <row r="3977">
          <cell r="Z3977" t="str">
            <v>233524</v>
          </cell>
        </row>
        <row r="3978">
          <cell r="Z3978" t="str">
            <v>233529</v>
          </cell>
        </row>
        <row r="3979">
          <cell r="Z3979" t="str">
            <v>233530</v>
          </cell>
        </row>
        <row r="3980">
          <cell r="Z3980" t="str">
            <v>233531</v>
          </cell>
        </row>
        <row r="3981">
          <cell r="Z3981" t="str">
            <v>233532</v>
          </cell>
        </row>
        <row r="3982">
          <cell r="Z3982" t="str">
            <v>233533</v>
          </cell>
        </row>
        <row r="3983">
          <cell r="Z3983" t="str">
            <v>233534</v>
          </cell>
        </row>
        <row r="3984">
          <cell r="Z3984" t="str">
            <v>233539</v>
          </cell>
        </row>
        <row r="3985">
          <cell r="Z3985" t="str">
            <v>233600</v>
          </cell>
        </row>
        <row r="3986">
          <cell r="Z3986" t="str">
            <v>233610</v>
          </cell>
        </row>
        <row r="3987">
          <cell r="Z3987" t="str">
            <v>233611</v>
          </cell>
        </row>
        <row r="3988">
          <cell r="Z3988" t="str">
            <v>233612</v>
          </cell>
        </row>
        <row r="3989">
          <cell r="Z3989" t="str">
            <v>233613</v>
          </cell>
        </row>
        <row r="3990">
          <cell r="Z3990" t="str">
            <v>233614</v>
          </cell>
        </row>
        <row r="3991">
          <cell r="Z3991" t="str">
            <v>233619</v>
          </cell>
        </row>
        <row r="3992">
          <cell r="Z3992" t="str">
            <v>233620</v>
          </cell>
        </row>
        <row r="3993">
          <cell r="Z3993" t="str">
            <v>233621</v>
          </cell>
        </row>
        <row r="3994">
          <cell r="Z3994" t="str">
            <v>233622</v>
          </cell>
        </row>
        <row r="3995">
          <cell r="Z3995" t="str">
            <v>233623</v>
          </cell>
        </row>
        <row r="3996">
          <cell r="Z3996" t="str">
            <v>233624</v>
          </cell>
        </row>
        <row r="3997">
          <cell r="Z3997" t="str">
            <v>233629</v>
          </cell>
        </row>
        <row r="3998">
          <cell r="Z3998" t="str">
            <v>233630</v>
          </cell>
        </row>
        <row r="3999">
          <cell r="Z3999" t="str">
            <v>233631</v>
          </cell>
        </row>
        <row r="4000">
          <cell r="Z4000" t="str">
            <v>233632</v>
          </cell>
        </row>
        <row r="4001">
          <cell r="Z4001" t="str">
            <v>233633</v>
          </cell>
        </row>
        <row r="4002">
          <cell r="Z4002" t="str">
            <v>233634</v>
          </cell>
        </row>
        <row r="4003">
          <cell r="Z4003" t="str">
            <v>233639</v>
          </cell>
        </row>
        <row r="4004">
          <cell r="Z4004" t="str">
            <v>234000</v>
          </cell>
        </row>
        <row r="4005">
          <cell r="Z4005" t="str">
            <v>234100</v>
          </cell>
        </row>
        <row r="4006">
          <cell r="Z4006" t="str">
            <v>234110</v>
          </cell>
        </row>
        <row r="4007">
          <cell r="Z4007" t="str">
            <v>234111</v>
          </cell>
        </row>
        <row r="4008">
          <cell r="Z4008" t="str">
            <v>234112</v>
          </cell>
        </row>
        <row r="4009">
          <cell r="Z4009" t="str">
            <v>234113</v>
          </cell>
        </row>
        <row r="4010">
          <cell r="Z4010" t="str">
            <v>234114</v>
          </cell>
        </row>
        <row r="4011">
          <cell r="Z4011" t="str">
            <v>234119</v>
          </cell>
        </row>
        <row r="4012">
          <cell r="Z4012" t="str">
            <v>234120</v>
          </cell>
        </row>
        <row r="4013">
          <cell r="Z4013" t="str">
            <v>234121</v>
          </cell>
        </row>
        <row r="4014">
          <cell r="Z4014" t="str">
            <v>234122</v>
          </cell>
        </row>
        <row r="4015">
          <cell r="Z4015" t="str">
            <v>234123</v>
          </cell>
        </row>
        <row r="4016">
          <cell r="Z4016" t="str">
            <v>234124</v>
          </cell>
        </row>
        <row r="4017">
          <cell r="Z4017" t="str">
            <v>234129</v>
          </cell>
        </row>
        <row r="4018">
          <cell r="Z4018" t="str">
            <v>234130</v>
          </cell>
        </row>
        <row r="4019">
          <cell r="Z4019" t="str">
            <v>234131</v>
          </cell>
        </row>
        <row r="4020">
          <cell r="Z4020" t="str">
            <v>234132</v>
          </cell>
        </row>
        <row r="4021">
          <cell r="Z4021" t="str">
            <v>234133</v>
          </cell>
        </row>
        <row r="4022">
          <cell r="Z4022" t="str">
            <v>234134</v>
          </cell>
        </row>
        <row r="4023">
          <cell r="Z4023" t="str">
            <v>234139</v>
          </cell>
        </row>
        <row r="4024">
          <cell r="Z4024" t="str">
            <v>234140</v>
          </cell>
        </row>
        <row r="4025">
          <cell r="Z4025" t="str">
            <v>234141</v>
          </cell>
        </row>
        <row r="4026">
          <cell r="Z4026" t="str">
            <v>234142</v>
          </cell>
        </row>
        <row r="4027">
          <cell r="Z4027" t="str">
            <v>234143</v>
          </cell>
        </row>
        <row r="4028">
          <cell r="Z4028" t="str">
            <v>234144</v>
          </cell>
        </row>
        <row r="4029">
          <cell r="Z4029" t="str">
            <v>234149</v>
          </cell>
        </row>
        <row r="4030">
          <cell r="Z4030" t="str">
            <v>234150</v>
          </cell>
        </row>
        <row r="4031">
          <cell r="Z4031" t="str">
            <v>234151</v>
          </cell>
        </row>
        <row r="4032">
          <cell r="Z4032" t="str">
            <v>234152</v>
          </cell>
        </row>
        <row r="4033">
          <cell r="Z4033" t="str">
            <v>234153</v>
          </cell>
        </row>
        <row r="4034">
          <cell r="Z4034" t="str">
            <v>234154</v>
          </cell>
        </row>
        <row r="4035">
          <cell r="Z4035" t="str">
            <v>234159</v>
          </cell>
        </row>
        <row r="4036">
          <cell r="Z4036" t="str">
            <v>234160</v>
          </cell>
        </row>
        <row r="4037">
          <cell r="Z4037" t="str">
            <v>234161</v>
          </cell>
        </row>
        <row r="4038">
          <cell r="Z4038" t="str">
            <v>234162</v>
          </cell>
        </row>
        <row r="4039">
          <cell r="Z4039" t="str">
            <v>234163</v>
          </cell>
        </row>
        <row r="4040">
          <cell r="Z4040" t="str">
            <v>234164</v>
          </cell>
        </row>
        <row r="4041">
          <cell r="Z4041" t="str">
            <v>234169</v>
          </cell>
        </row>
        <row r="4042">
          <cell r="Z4042" t="str">
            <v>234170</v>
          </cell>
        </row>
        <row r="4043">
          <cell r="Z4043" t="str">
            <v>234171</v>
          </cell>
        </row>
        <row r="4044">
          <cell r="Z4044" t="str">
            <v>234172</v>
          </cell>
        </row>
        <row r="4045">
          <cell r="Z4045" t="str">
            <v>234173</v>
          </cell>
        </row>
        <row r="4046">
          <cell r="Z4046" t="str">
            <v>234174</v>
          </cell>
        </row>
        <row r="4047">
          <cell r="Z4047" t="str">
            <v>234179</v>
          </cell>
        </row>
        <row r="4048">
          <cell r="Z4048" t="str">
            <v>234200</v>
          </cell>
        </row>
        <row r="4049">
          <cell r="Z4049" t="str">
            <v>234210</v>
          </cell>
        </row>
        <row r="4050">
          <cell r="Z4050" t="str">
            <v>234211</v>
          </cell>
        </row>
        <row r="4051">
          <cell r="Z4051" t="str">
            <v>234212</v>
          </cell>
        </row>
        <row r="4052">
          <cell r="Z4052" t="str">
            <v>234213</v>
          </cell>
        </row>
        <row r="4053">
          <cell r="Z4053" t="str">
            <v>234214</v>
          </cell>
        </row>
        <row r="4054">
          <cell r="Z4054" t="str">
            <v>234219</v>
          </cell>
        </row>
        <row r="4055">
          <cell r="Z4055" t="str">
            <v>234220</v>
          </cell>
        </row>
        <row r="4056">
          <cell r="Z4056" t="str">
            <v>234221</v>
          </cell>
        </row>
        <row r="4057">
          <cell r="Z4057" t="str">
            <v>234222</v>
          </cell>
        </row>
        <row r="4058">
          <cell r="Z4058" t="str">
            <v>234223</v>
          </cell>
        </row>
        <row r="4059">
          <cell r="Z4059" t="str">
            <v>234224</v>
          </cell>
        </row>
        <row r="4060">
          <cell r="Z4060" t="str">
            <v>234229</v>
          </cell>
        </row>
        <row r="4061">
          <cell r="Z4061" t="str">
            <v>234230</v>
          </cell>
        </row>
        <row r="4062">
          <cell r="Z4062" t="str">
            <v>234231</v>
          </cell>
        </row>
        <row r="4063">
          <cell r="Z4063" t="str">
            <v>234232</v>
          </cell>
        </row>
        <row r="4064">
          <cell r="Z4064" t="str">
            <v>234233</v>
          </cell>
        </row>
        <row r="4065">
          <cell r="Z4065" t="str">
            <v>234234</v>
          </cell>
        </row>
        <row r="4066">
          <cell r="Z4066" t="str">
            <v>234239</v>
          </cell>
        </row>
        <row r="4067">
          <cell r="Z4067" t="str">
            <v>234240</v>
          </cell>
        </row>
        <row r="4068">
          <cell r="Z4068" t="str">
            <v>234241</v>
          </cell>
        </row>
        <row r="4069">
          <cell r="Z4069" t="str">
            <v>234242</v>
          </cell>
        </row>
        <row r="4070">
          <cell r="Z4070" t="str">
            <v>234243</v>
          </cell>
        </row>
        <row r="4071">
          <cell r="Z4071" t="str">
            <v>234244</v>
          </cell>
        </row>
        <row r="4072">
          <cell r="Z4072" t="str">
            <v>234249</v>
          </cell>
        </row>
        <row r="4073">
          <cell r="Z4073" t="str">
            <v>234250</v>
          </cell>
        </row>
        <row r="4074">
          <cell r="Z4074" t="str">
            <v>234251</v>
          </cell>
        </row>
        <row r="4075">
          <cell r="Z4075" t="str">
            <v>234252</v>
          </cell>
        </row>
        <row r="4076">
          <cell r="Z4076" t="str">
            <v>234253</v>
          </cell>
        </row>
        <row r="4077">
          <cell r="Z4077" t="str">
            <v>234254</v>
          </cell>
        </row>
        <row r="4078">
          <cell r="Z4078" t="str">
            <v>234259</v>
          </cell>
        </row>
        <row r="4079">
          <cell r="Z4079" t="str">
            <v>234260</v>
          </cell>
        </row>
        <row r="4080">
          <cell r="Z4080" t="str">
            <v>234261</v>
          </cell>
        </row>
        <row r="4081">
          <cell r="Z4081" t="str">
            <v>234262</v>
          </cell>
        </row>
        <row r="4082">
          <cell r="Z4082" t="str">
            <v>234263</v>
          </cell>
        </row>
        <row r="4083">
          <cell r="Z4083" t="str">
            <v>234264</v>
          </cell>
        </row>
        <row r="4084">
          <cell r="Z4084" t="str">
            <v>234269</v>
          </cell>
        </row>
        <row r="4085">
          <cell r="Z4085" t="str">
            <v>234270</v>
          </cell>
        </row>
        <row r="4086">
          <cell r="Z4086" t="str">
            <v>234271</v>
          </cell>
        </row>
        <row r="4087">
          <cell r="Z4087" t="str">
            <v>234272</v>
          </cell>
        </row>
        <row r="4088">
          <cell r="Z4088" t="str">
            <v>234273</v>
          </cell>
        </row>
        <row r="4089">
          <cell r="Z4089" t="str">
            <v>234274</v>
          </cell>
        </row>
        <row r="4090">
          <cell r="Z4090" t="str">
            <v>234279</v>
          </cell>
        </row>
        <row r="4091">
          <cell r="Z4091" t="str">
            <v>234300</v>
          </cell>
        </row>
        <row r="4092">
          <cell r="Z4092" t="str">
            <v>234310</v>
          </cell>
        </row>
        <row r="4093">
          <cell r="Z4093" t="str">
            <v>234311</v>
          </cell>
        </row>
        <row r="4094">
          <cell r="Z4094" t="str">
            <v>234312</v>
          </cell>
        </row>
        <row r="4095">
          <cell r="Z4095" t="str">
            <v>234313</v>
          </cell>
        </row>
        <row r="4096">
          <cell r="Z4096" t="str">
            <v>234314</v>
          </cell>
        </row>
        <row r="4097">
          <cell r="Z4097" t="str">
            <v>234319</v>
          </cell>
        </row>
        <row r="4098">
          <cell r="Z4098" t="str">
            <v>234320</v>
          </cell>
        </row>
        <row r="4099">
          <cell r="Z4099" t="str">
            <v>234321</v>
          </cell>
        </row>
        <row r="4100">
          <cell r="Z4100" t="str">
            <v>234322</v>
          </cell>
        </row>
        <row r="4101">
          <cell r="Z4101" t="str">
            <v>234323</v>
          </cell>
        </row>
        <row r="4102">
          <cell r="Z4102" t="str">
            <v>234324</v>
          </cell>
        </row>
        <row r="4103">
          <cell r="Z4103" t="str">
            <v>234329</v>
          </cell>
        </row>
        <row r="4104">
          <cell r="Z4104" t="str">
            <v>234330</v>
          </cell>
        </row>
        <row r="4105">
          <cell r="Z4105" t="str">
            <v>234331</v>
          </cell>
        </row>
        <row r="4106">
          <cell r="Z4106" t="str">
            <v>234332</v>
          </cell>
        </row>
        <row r="4107">
          <cell r="Z4107" t="str">
            <v>234333</v>
          </cell>
        </row>
        <row r="4108">
          <cell r="Z4108" t="str">
            <v>234334</v>
          </cell>
        </row>
        <row r="4109">
          <cell r="Z4109" t="str">
            <v>234339</v>
          </cell>
        </row>
        <row r="4110">
          <cell r="Z4110" t="str">
            <v>234340</v>
          </cell>
        </row>
        <row r="4111">
          <cell r="Z4111" t="str">
            <v>234341</v>
          </cell>
        </row>
        <row r="4112">
          <cell r="Z4112" t="str">
            <v>234342</v>
          </cell>
        </row>
        <row r="4113">
          <cell r="Z4113" t="str">
            <v>234343</v>
          </cell>
        </row>
        <row r="4114">
          <cell r="Z4114" t="str">
            <v>234344</v>
          </cell>
        </row>
        <row r="4115">
          <cell r="Z4115" t="str">
            <v>234349</v>
          </cell>
        </row>
        <row r="4116">
          <cell r="Z4116" t="str">
            <v>234350</v>
          </cell>
        </row>
        <row r="4117">
          <cell r="Z4117" t="str">
            <v>234351</v>
          </cell>
        </row>
        <row r="4118">
          <cell r="Z4118" t="str">
            <v>234352</v>
          </cell>
        </row>
        <row r="4119">
          <cell r="Z4119" t="str">
            <v>234353</v>
          </cell>
        </row>
        <row r="4120">
          <cell r="Z4120" t="str">
            <v>234354</v>
          </cell>
        </row>
        <row r="4121">
          <cell r="Z4121" t="str">
            <v>234359</v>
          </cell>
        </row>
        <row r="4122">
          <cell r="Z4122" t="str">
            <v>234360</v>
          </cell>
        </row>
        <row r="4123">
          <cell r="Z4123" t="str">
            <v>234361</v>
          </cell>
        </row>
        <row r="4124">
          <cell r="Z4124" t="str">
            <v>234362</v>
          </cell>
        </row>
        <row r="4125">
          <cell r="Z4125" t="str">
            <v>234363</v>
          </cell>
        </row>
        <row r="4126">
          <cell r="Z4126" t="str">
            <v>234364</v>
          </cell>
        </row>
        <row r="4127">
          <cell r="Z4127" t="str">
            <v>234369</v>
          </cell>
        </row>
        <row r="4128">
          <cell r="Z4128" t="str">
            <v>234370</v>
          </cell>
        </row>
        <row r="4129">
          <cell r="Z4129" t="str">
            <v>234371</v>
          </cell>
        </row>
        <row r="4130">
          <cell r="Z4130" t="str">
            <v>234372</v>
          </cell>
        </row>
        <row r="4131">
          <cell r="Z4131" t="str">
            <v>234373</v>
          </cell>
        </row>
        <row r="4132">
          <cell r="Z4132" t="str">
            <v>234374</v>
          </cell>
        </row>
        <row r="4133">
          <cell r="Z4133" t="str">
            <v>234379</v>
          </cell>
        </row>
        <row r="4134">
          <cell r="Z4134" t="str">
            <v>234400</v>
          </cell>
        </row>
        <row r="4135">
          <cell r="Z4135" t="str">
            <v>234410</v>
          </cell>
        </row>
        <row r="4136">
          <cell r="Z4136" t="str">
            <v>234411</v>
          </cell>
        </row>
        <row r="4137">
          <cell r="Z4137" t="str">
            <v>234412</v>
          </cell>
        </row>
        <row r="4138">
          <cell r="Z4138" t="str">
            <v>234413</v>
          </cell>
        </row>
        <row r="4139">
          <cell r="Z4139" t="str">
            <v>234414</v>
          </cell>
        </row>
        <row r="4140">
          <cell r="Z4140" t="str">
            <v>234419</v>
          </cell>
        </row>
        <row r="4141">
          <cell r="Z4141" t="str">
            <v>234420</v>
          </cell>
        </row>
        <row r="4142">
          <cell r="Z4142" t="str">
            <v>234421</v>
          </cell>
        </row>
        <row r="4143">
          <cell r="Z4143" t="str">
            <v>234422</v>
          </cell>
        </row>
        <row r="4144">
          <cell r="Z4144" t="str">
            <v>234423</v>
          </cell>
        </row>
        <row r="4145">
          <cell r="Z4145" t="str">
            <v>234424</v>
          </cell>
        </row>
        <row r="4146">
          <cell r="Z4146" t="str">
            <v>234429</v>
          </cell>
        </row>
        <row r="4147">
          <cell r="Z4147" t="str">
            <v>234430</v>
          </cell>
        </row>
        <row r="4148">
          <cell r="Z4148" t="str">
            <v>234431</v>
          </cell>
        </row>
        <row r="4149">
          <cell r="Z4149" t="str">
            <v>234432</v>
          </cell>
        </row>
        <row r="4150">
          <cell r="Z4150" t="str">
            <v>234433</v>
          </cell>
        </row>
        <row r="4151">
          <cell r="Z4151" t="str">
            <v>234434</v>
          </cell>
        </row>
        <row r="4152">
          <cell r="Z4152" t="str">
            <v>234439</v>
          </cell>
        </row>
        <row r="4153">
          <cell r="Z4153" t="str">
            <v>234440</v>
          </cell>
        </row>
        <row r="4154">
          <cell r="Z4154" t="str">
            <v>234441</v>
          </cell>
        </row>
        <row r="4155">
          <cell r="Z4155" t="str">
            <v>234442</v>
          </cell>
        </row>
        <row r="4156">
          <cell r="Z4156" t="str">
            <v>234443</v>
          </cell>
        </row>
        <row r="4157">
          <cell r="Z4157" t="str">
            <v>234444</v>
          </cell>
        </row>
        <row r="4158">
          <cell r="Z4158" t="str">
            <v>234445</v>
          </cell>
        </row>
        <row r="4159">
          <cell r="Z4159" t="str">
            <v>234450</v>
          </cell>
        </row>
        <row r="4160">
          <cell r="Z4160" t="str">
            <v>234451</v>
          </cell>
        </row>
        <row r="4161">
          <cell r="Z4161" t="str">
            <v>234452</v>
          </cell>
        </row>
        <row r="4162">
          <cell r="Z4162" t="str">
            <v>234453</v>
          </cell>
        </row>
        <row r="4163">
          <cell r="Z4163" t="str">
            <v>234454</v>
          </cell>
        </row>
        <row r="4164">
          <cell r="Z4164" t="str">
            <v>234459</v>
          </cell>
        </row>
        <row r="4165">
          <cell r="Z4165" t="str">
            <v>234460</v>
          </cell>
        </row>
        <row r="4166">
          <cell r="Z4166" t="str">
            <v>234461</v>
          </cell>
        </row>
        <row r="4167">
          <cell r="Z4167" t="str">
            <v>234462</v>
          </cell>
        </row>
        <row r="4168">
          <cell r="Z4168" t="str">
            <v>234463</v>
          </cell>
        </row>
        <row r="4169">
          <cell r="Z4169" t="str">
            <v>234464</v>
          </cell>
        </row>
        <row r="4170">
          <cell r="Z4170" t="str">
            <v>234469</v>
          </cell>
        </row>
        <row r="4171">
          <cell r="Z4171" t="str">
            <v>234470</v>
          </cell>
        </row>
        <row r="4172">
          <cell r="Z4172" t="str">
            <v>234471</v>
          </cell>
        </row>
        <row r="4173">
          <cell r="Z4173" t="str">
            <v>234472</v>
          </cell>
        </row>
        <row r="4174">
          <cell r="Z4174" t="str">
            <v>234473</v>
          </cell>
        </row>
        <row r="4175">
          <cell r="Z4175" t="str">
            <v>234474</v>
          </cell>
        </row>
        <row r="4176">
          <cell r="Z4176" t="str">
            <v>234479</v>
          </cell>
        </row>
        <row r="4177">
          <cell r="Z4177" t="str">
            <v>234500</v>
          </cell>
        </row>
        <row r="4178">
          <cell r="Z4178" t="str">
            <v>234510</v>
          </cell>
        </row>
        <row r="4179">
          <cell r="Z4179" t="str">
            <v>234511</v>
          </cell>
        </row>
        <row r="4180">
          <cell r="Z4180" t="str">
            <v>234512</v>
          </cell>
        </row>
        <row r="4181">
          <cell r="Z4181" t="str">
            <v>234513</v>
          </cell>
        </row>
        <row r="4182">
          <cell r="Z4182" t="str">
            <v>234514</v>
          </cell>
        </row>
        <row r="4183">
          <cell r="Z4183" t="str">
            <v>234519</v>
          </cell>
        </row>
        <row r="4184">
          <cell r="Z4184" t="str">
            <v>234520</v>
          </cell>
        </row>
        <row r="4185">
          <cell r="Z4185" t="str">
            <v>234521</v>
          </cell>
        </row>
        <row r="4186">
          <cell r="Z4186" t="str">
            <v>234522</v>
          </cell>
        </row>
        <row r="4187">
          <cell r="Z4187" t="str">
            <v>234523</v>
          </cell>
        </row>
        <row r="4188">
          <cell r="Z4188" t="str">
            <v>234524</v>
          </cell>
        </row>
        <row r="4189">
          <cell r="Z4189" t="str">
            <v>234529</v>
          </cell>
        </row>
        <row r="4190">
          <cell r="Z4190" t="str">
            <v>234530</v>
          </cell>
        </row>
        <row r="4191">
          <cell r="Z4191" t="str">
            <v>234531</v>
          </cell>
        </row>
        <row r="4192">
          <cell r="Z4192" t="str">
            <v>234532</v>
          </cell>
        </row>
        <row r="4193">
          <cell r="Z4193" t="str">
            <v>234533</v>
          </cell>
        </row>
        <row r="4194">
          <cell r="Z4194" t="str">
            <v>234534</v>
          </cell>
        </row>
        <row r="4195">
          <cell r="Z4195" t="str">
            <v>234539</v>
          </cell>
        </row>
        <row r="4196">
          <cell r="Z4196" t="str">
            <v>234600</v>
          </cell>
        </row>
        <row r="4197">
          <cell r="Z4197" t="str">
            <v>234610</v>
          </cell>
        </row>
        <row r="4198">
          <cell r="Z4198" t="str">
            <v>234611</v>
          </cell>
        </row>
        <row r="4199">
          <cell r="Z4199" t="str">
            <v>234612</v>
          </cell>
        </row>
        <row r="4200">
          <cell r="Z4200" t="str">
            <v>234613</v>
          </cell>
        </row>
        <row r="4201">
          <cell r="Z4201" t="str">
            <v>234614</v>
          </cell>
        </row>
        <row r="4202">
          <cell r="Z4202" t="str">
            <v>234619</v>
          </cell>
        </row>
        <row r="4203">
          <cell r="Z4203" t="str">
            <v>234620</v>
          </cell>
        </row>
        <row r="4204">
          <cell r="Z4204" t="str">
            <v>234621</v>
          </cell>
        </row>
        <row r="4205">
          <cell r="Z4205" t="str">
            <v>234622</v>
          </cell>
        </row>
        <row r="4206">
          <cell r="Z4206" t="str">
            <v>234623</v>
          </cell>
        </row>
        <row r="4207">
          <cell r="Z4207" t="str">
            <v>234624</v>
          </cell>
        </row>
        <row r="4208">
          <cell r="Z4208" t="str">
            <v>234629</v>
          </cell>
        </row>
        <row r="4209">
          <cell r="Z4209" t="str">
            <v>234630</v>
          </cell>
        </row>
        <row r="4210">
          <cell r="Z4210" t="str">
            <v>234631</v>
          </cell>
        </row>
        <row r="4211">
          <cell r="Z4211" t="str">
            <v>234632</v>
          </cell>
        </row>
        <row r="4212">
          <cell r="Z4212" t="str">
            <v>234633</v>
          </cell>
        </row>
        <row r="4213">
          <cell r="Z4213" t="str">
            <v>234634</v>
          </cell>
        </row>
        <row r="4214">
          <cell r="Z4214" t="str">
            <v>234639</v>
          </cell>
        </row>
        <row r="4215">
          <cell r="Z4215" t="str">
            <v>235000</v>
          </cell>
        </row>
        <row r="4216">
          <cell r="Z4216" t="str">
            <v>235100</v>
          </cell>
        </row>
        <row r="4217">
          <cell r="Z4217" t="str">
            <v>235110</v>
          </cell>
        </row>
        <row r="4218">
          <cell r="Z4218" t="str">
            <v>235111</v>
          </cell>
        </row>
        <row r="4219">
          <cell r="Z4219" t="str">
            <v>235112</v>
          </cell>
        </row>
        <row r="4220">
          <cell r="Z4220" t="str">
            <v>235113</v>
          </cell>
        </row>
        <row r="4221">
          <cell r="Z4221" t="str">
            <v>235114</v>
          </cell>
        </row>
        <row r="4222">
          <cell r="Z4222" t="str">
            <v>235119</v>
          </cell>
        </row>
        <row r="4223">
          <cell r="Z4223" t="str">
            <v>235120</v>
          </cell>
        </row>
        <row r="4224">
          <cell r="Z4224" t="str">
            <v>235121</v>
          </cell>
        </row>
        <row r="4225">
          <cell r="Z4225" t="str">
            <v>235122</v>
          </cell>
        </row>
        <row r="4226">
          <cell r="Z4226" t="str">
            <v>235123</v>
          </cell>
        </row>
        <row r="4227">
          <cell r="Z4227" t="str">
            <v>235124</v>
          </cell>
        </row>
        <row r="4228">
          <cell r="Z4228" t="str">
            <v>235129</v>
          </cell>
        </row>
        <row r="4229">
          <cell r="Z4229" t="str">
            <v>235130</v>
          </cell>
        </row>
        <row r="4230">
          <cell r="Z4230" t="str">
            <v>235131</v>
          </cell>
        </row>
        <row r="4231">
          <cell r="Z4231" t="str">
            <v>235132</v>
          </cell>
        </row>
        <row r="4232">
          <cell r="Z4232" t="str">
            <v>235133</v>
          </cell>
        </row>
        <row r="4233">
          <cell r="Z4233" t="str">
            <v>235134</v>
          </cell>
        </row>
        <row r="4234">
          <cell r="Z4234" t="str">
            <v>235139</v>
          </cell>
        </row>
        <row r="4235">
          <cell r="Z4235" t="str">
            <v>235140</v>
          </cell>
        </row>
        <row r="4236">
          <cell r="Z4236" t="str">
            <v>235141</v>
          </cell>
        </row>
        <row r="4237">
          <cell r="Z4237" t="str">
            <v>235142</v>
          </cell>
        </row>
        <row r="4238">
          <cell r="Z4238" t="str">
            <v>235143</v>
          </cell>
        </row>
        <row r="4239">
          <cell r="Z4239" t="str">
            <v>235144</v>
          </cell>
        </row>
        <row r="4240">
          <cell r="Z4240" t="str">
            <v>235149</v>
          </cell>
        </row>
        <row r="4241">
          <cell r="Z4241" t="str">
            <v>235150</v>
          </cell>
        </row>
        <row r="4242">
          <cell r="Z4242" t="str">
            <v>235151</v>
          </cell>
        </row>
        <row r="4243">
          <cell r="Z4243" t="str">
            <v>235152</v>
          </cell>
        </row>
        <row r="4244">
          <cell r="Z4244" t="str">
            <v>235153</v>
          </cell>
        </row>
        <row r="4245">
          <cell r="Z4245" t="str">
            <v>235154</v>
          </cell>
        </row>
        <row r="4246">
          <cell r="Z4246" t="str">
            <v>235159</v>
          </cell>
        </row>
        <row r="4247">
          <cell r="Z4247" t="str">
            <v>235160</v>
          </cell>
        </row>
        <row r="4248">
          <cell r="Z4248" t="str">
            <v>235161</v>
          </cell>
        </row>
        <row r="4249">
          <cell r="Z4249" t="str">
            <v>235162</v>
          </cell>
        </row>
        <row r="4250">
          <cell r="Z4250" t="str">
            <v>235163</v>
          </cell>
        </row>
        <row r="4251">
          <cell r="Z4251" t="str">
            <v>235164</v>
          </cell>
        </row>
        <row r="4252">
          <cell r="Z4252" t="str">
            <v>235169</v>
          </cell>
        </row>
        <row r="4253">
          <cell r="Z4253" t="str">
            <v>235170</v>
          </cell>
        </row>
        <row r="4254">
          <cell r="Z4254" t="str">
            <v>235171</v>
          </cell>
        </row>
        <row r="4255">
          <cell r="Z4255" t="str">
            <v>235172</v>
          </cell>
        </row>
        <row r="4256">
          <cell r="Z4256" t="str">
            <v>235173</v>
          </cell>
        </row>
        <row r="4257">
          <cell r="Z4257" t="str">
            <v>235174</v>
          </cell>
        </row>
        <row r="4258">
          <cell r="Z4258" t="str">
            <v>235179</v>
          </cell>
        </row>
        <row r="4259">
          <cell r="Z4259" t="str">
            <v>235200</v>
          </cell>
        </row>
        <row r="4260">
          <cell r="Z4260" t="str">
            <v>235210</v>
          </cell>
        </row>
        <row r="4261">
          <cell r="Z4261" t="str">
            <v>235211</v>
          </cell>
        </row>
        <row r="4262">
          <cell r="Z4262" t="str">
            <v>235212</v>
          </cell>
        </row>
        <row r="4263">
          <cell r="Z4263" t="str">
            <v>235213</v>
          </cell>
        </row>
        <row r="4264">
          <cell r="Z4264" t="str">
            <v>235214</v>
          </cell>
        </row>
        <row r="4265">
          <cell r="Z4265" t="str">
            <v>235219</v>
          </cell>
        </row>
        <row r="4266">
          <cell r="Z4266" t="str">
            <v>235220</v>
          </cell>
        </row>
        <row r="4267">
          <cell r="Z4267" t="str">
            <v>235221</v>
          </cell>
        </row>
        <row r="4268">
          <cell r="Z4268" t="str">
            <v>235222</v>
          </cell>
        </row>
        <row r="4269">
          <cell r="Z4269" t="str">
            <v>235223</v>
          </cell>
        </row>
        <row r="4270">
          <cell r="Z4270" t="str">
            <v>235224</v>
          </cell>
        </row>
        <row r="4271">
          <cell r="Z4271" t="str">
            <v>235229</v>
          </cell>
        </row>
        <row r="4272">
          <cell r="Z4272" t="str">
            <v>235230</v>
          </cell>
        </row>
        <row r="4273">
          <cell r="Z4273" t="str">
            <v>235231</v>
          </cell>
        </row>
        <row r="4274">
          <cell r="Z4274" t="str">
            <v>235232</v>
          </cell>
        </row>
        <row r="4275">
          <cell r="Z4275" t="str">
            <v>235233</v>
          </cell>
        </row>
        <row r="4276">
          <cell r="Z4276" t="str">
            <v>235234</v>
          </cell>
        </row>
        <row r="4277">
          <cell r="Z4277" t="str">
            <v>235239</v>
          </cell>
        </row>
        <row r="4278">
          <cell r="Z4278" t="str">
            <v>235240</v>
          </cell>
        </row>
        <row r="4279">
          <cell r="Z4279" t="str">
            <v>235241</v>
          </cell>
        </row>
        <row r="4280">
          <cell r="Z4280" t="str">
            <v>235242</v>
          </cell>
        </row>
        <row r="4281">
          <cell r="Z4281" t="str">
            <v>235243</v>
          </cell>
        </row>
        <row r="4282">
          <cell r="Z4282" t="str">
            <v>235244</v>
          </cell>
        </row>
        <row r="4283">
          <cell r="Z4283" t="str">
            <v>235249</v>
          </cell>
        </row>
        <row r="4284">
          <cell r="Z4284" t="str">
            <v>235250</v>
          </cell>
        </row>
        <row r="4285">
          <cell r="Z4285" t="str">
            <v>235251</v>
          </cell>
        </row>
        <row r="4286">
          <cell r="Z4286" t="str">
            <v>235252</v>
          </cell>
        </row>
        <row r="4287">
          <cell r="Z4287" t="str">
            <v>235253</v>
          </cell>
        </row>
        <row r="4288">
          <cell r="Z4288" t="str">
            <v>235254</v>
          </cell>
        </row>
        <row r="4289">
          <cell r="Z4289" t="str">
            <v>235259</v>
          </cell>
        </row>
        <row r="4290">
          <cell r="Z4290" t="str">
            <v>235260</v>
          </cell>
        </row>
        <row r="4291">
          <cell r="Z4291" t="str">
            <v>235261</v>
          </cell>
        </row>
        <row r="4292">
          <cell r="Z4292" t="str">
            <v>235262</v>
          </cell>
        </row>
        <row r="4293">
          <cell r="Z4293" t="str">
            <v>235263</v>
          </cell>
        </row>
        <row r="4294">
          <cell r="Z4294" t="str">
            <v>235264</v>
          </cell>
        </row>
        <row r="4295">
          <cell r="Z4295" t="str">
            <v>235269</v>
          </cell>
        </row>
        <row r="4296">
          <cell r="Z4296" t="str">
            <v>235270</v>
          </cell>
        </row>
        <row r="4297">
          <cell r="Z4297" t="str">
            <v>235271</v>
          </cell>
        </row>
        <row r="4298">
          <cell r="Z4298" t="str">
            <v>235272</v>
          </cell>
        </row>
        <row r="4299">
          <cell r="Z4299" t="str">
            <v>235273</v>
          </cell>
        </row>
        <row r="4300">
          <cell r="Z4300" t="str">
            <v>235274</v>
          </cell>
        </row>
        <row r="4301">
          <cell r="Z4301" t="str">
            <v>235279</v>
          </cell>
        </row>
        <row r="4302">
          <cell r="Z4302" t="str">
            <v>235300</v>
          </cell>
        </row>
        <row r="4303">
          <cell r="Z4303" t="str">
            <v>235310</v>
          </cell>
        </row>
        <row r="4304">
          <cell r="Z4304" t="str">
            <v>235311</v>
          </cell>
        </row>
        <row r="4305">
          <cell r="Z4305" t="str">
            <v>235312</v>
          </cell>
        </row>
        <row r="4306">
          <cell r="Z4306" t="str">
            <v>235313</v>
          </cell>
        </row>
        <row r="4307">
          <cell r="Z4307" t="str">
            <v>235314</v>
          </cell>
        </row>
        <row r="4308">
          <cell r="Z4308" t="str">
            <v>235319</v>
          </cell>
        </row>
        <row r="4309">
          <cell r="Z4309" t="str">
            <v>235320</v>
          </cell>
        </row>
        <row r="4310">
          <cell r="Z4310" t="str">
            <v>235321</v>
          </cell>
        </row>
        <row r="4311">
          <cell r="Z4311" t="str">
            <v>235322</v>
          </cell>
        </row>
        <row r="4312">
          <cell r="Z4312" t="str">
            <v>235323</v>
          </cell>
        </row>
        <row r="4313">
          <cell r="Z4313" t="str">
            <v>235324</v>
          </cell>
        </row>
        <row r="4314">
          <cell r="Z4314" t="str">
            <v>235329</v>
          </cell>
        </row>
        <row r="4315">
          <cell r="Z4315" t="str">
            <v>235330</v>
          </cell>
        </row>
        <row r="4316">
          <cell r="Z4316" t="str">
            <v>235331</v>
          </cell>
        </row>
        <row r="4317">
          <cell r="Z4317" t="str">
            <v>235332</v>
          </cell>
        </row>
        <row r="4318">
          <cell r="Z4318" t="str">
            <v>235333</v>
          </cell>
        </row>
        <row r="4319">
          <cell r="Z4319" t="str">
            <v>235334</v>
          </cell>
        </row>
        <row r="4320">
          <cell r="Z4320" t="str">
            <v>235339</v>
          </cell>
        </row>
        <row r="4321">
          <cell r="Z4321" t="str">
            <v>235340</v>
          </cell>
        </row>
        <row r="4322">
          <cell r="Z4322" t="str">
            <v>235341</v>
          </cell>
        </row>
        <row r="4323">
          <cell r="Z4323" t="str">
            <v>235342</v>
          </cell>
        </row>
        <row r="4324">
          <cell r="Z4324" t="str">
            <v>235343</v>
          </cell>
        </row>
        <row r="4325">
          <cell r="Z4325" t="str">
            <v>235344</v>
          </cell>
        </row>
        <row r="4326">
          <cell r="Z4326" t="str">
            <v>235349</v>
          </cell>
        </row>
        <row r="4327">
          <cell r="Z4327" t="str">
            <v>235350</v>
          </cell>
        </row>
        <row r="4328">
          <cell r="Z4328" t="str">
            <v>235351</v>
          </cell>
        </row>
        <row r="4329">
          <cell r="Z4329" t="str">
            <v>235352</v>
          </cell>
        </row>
        <row r="4330">
          <cell r="Z4330" t="str">
            <v>235353</v>
          </cell>
        </row>
        <row r="4331">
          <cell r="Z4331" t="str">
            <v>235354</v>
          </cell>
        </row>
        <row r="4332">
          <cell r="Z4332" t="str">
            <v>235359</v>
          </cell>
        </row>
        <row r="4333">
          <cell r="Z4333" t="str">
            <v>235360</v>
          </cell>
        </row>
        <row r="4334">
          <cell r="Z4334" t="str">
            <v>235361</v>
          </cell>
        </row>
        <row r="4335">
          <cell r="Z4335" t="str">
            <v>235362</v>
          </cell>
        </row>
        <row r="4336">
          <cell r="Z4336" t="str">
            <v>235363</v>
          </cell>
        </row>
        <row r="4337">
          <cell r="Z4337" t="str">
            <v>235364</v>
          </cell>
        </row>
        <row r="4338">
          <cell r="Z4338" t="str">
            <v>235369</v>
          </cell>
        </row>
        <row r="4339">
          <cell r="Z4339" t="str">
            <v>235370</v>
          </cell>
        </row>
        <row r="4340">
          <cell r="Z4340" t="str">
            <v>235371</v>
          </cell>
        </row>
        <row r="4341">
          <cell r="Z4341" t="str">
            <v>235372</v>
          </cell>
        </row>
        <row r="4342">
          <cell r="Z4342" t="str">
            <v>235373</v>
          </cell>
        </row>
        <row r="4343">
          <cell r="Z4343" t="str">
            <v>235374</v>
          </cell>
        </row>
        <row r="4344">
          <cell r="Z4344" t="str">
            <v>235379</v>
          </cell>
        </row>
        <row r="4345">
          <cell r="Z4345" t="str">
            <v>235400</v>
          </cell>
        </row>
        <row r="4346">
          <cell r="Z4346" t="str">
            <v>235410</v>
          </cell>
        </row>
        <row r="4347">
          <cell r="Z4347" t="str">
            <v>235411</v>
          </cell>
        </row>
        <row r="4348">
          <cell r="Z4348" t="str">
            <v>235412</v>
          </cell>
        </row>
        <row r="4349">
          <cell r="Z4349" t="str">
            <v>235413</v>
          </cell>
        </row>
        <row r="4350">
          <cell r="Z4350" t="str">
            <v>235414</v>
          </cell>
        </row>
        <row r="4351">
          <cell r="Z4351" t="str">
            <v>235419</v>
          </cell>
        </row>
        <row r="4352">
          <cell r="Z4352" t="str">
            <v>235420</v>
          </cell>
        </row>
        <row r="4353">
          <cell r="Z4353" t="str">
            <v>235421</v>
          </cell>
        </row>
        <row r="4354">
          <cell r="Z4354" t="str">
            <v>235422</v>
          </cell>
        </row>
        <row r="4355">
          <cell r="Z4355" t="str">
            <v>235423</v>
          </cell>
        </row>
        <row r="4356">
          <cell r="Z4356" t="str">
            <v>235424</v>
          </cell>
        </row>
        <row r="4357">
          <cell r="Z4357" t="str">
            <v>235429</v>
          </cell>
        </row>
        <row r="4358">
          <cell r="Z4358" t="str">
            <v>235430</v>
          </cell>
        </row>
        <row r="4359">
          <cell r="Z4359" t="str">
            <v>235431</v>
          </cell>
        </row>
        <row r="4360">
          <cell r="Z4360" t="str">
            <v>235432</v>
          </cell>
        </row>
        <row r="4361">
          <cell r="Z4361" t="str">
            <v>235433</v>
          </cell>
        </row>
        <row r="4362">
          <cell r="Z4362" t="str">
            <v>235434</v>
          </cell>
        </row>
        <row r="4363">
          <cell r="Z4363" t="str">
            <v>235439</v>
          </cell>
        </row>
        <row r="4364">
          <cell r="Z4364" t="str">
            <v>235440</v>
          </cell>
        </row>
        <row r="4365">
          <cell r="Z4365" t="str">
            <v>235441</v>
          </cell>
        </row>
        <row r="4366">
          <cell r="Z4366" t="str">
            <v>235442</v>
          </cell>
        </row>
        <row r="4367">
          <cell r="Z4367" t="str">
            <v>235443</v>
          </cell>
        </row>
        <row r="4368">
          <cell r="Z4368" t="str">
            <v>235444</v>
          </cell>
        </row>
        <row r="4369">
          <cell r="Z4369" t="str">
            <v>235445</v>
          </cell>
        </row>
        <row r="4370">
          <cell r="Z4370" t="str">
            <v>235450</v>
          </cell>
        </row>
        <row r="4371">
          <cell r="Z4371" t="str">
            <v>235451</v>
          </cell>
        </row>
        <row r="4372">
          <cell r="Z4372" t="str">
            <v>235452</v>
          </cell>
        </row>
        <row r="4373">
          <cell r="Z4373" t="str">
            <v>235453</v>
          </cell>
        </row>
        <row r="4374">
          <cell r="Z4374" t="str">
            <v>235454</v>
          </cell>
        </row>
        <row r="4375">
          <cell r="Z4375" t="str">
            <v>235459</v>
          </cell>
        </row>
        <row r="4376">
          <cell r="Z4376" t="str">
            <v>235460</v>
          </cell>
        </row>
        <row r="4377">
          <cell r="Z4377" t="str">
            <v>235461</v>
          </cell>
        </row>
        <row r="4378">
          <cell r="Z4378" t="str">
            <v>235462</v>
          </cell>
        </row>
        <row r="4379">
          <cell r="Z4379" t="str">
            <v>235463</v>
          </cell>
        </row>
        <row r="4380">
          <cell r="Z4380" t="str">
            <v>235464</v>
          </cell>
        </row>
        <row r="4381">
          <cell r="Z4381" t="str">
            <v>235469</v>
          </cell>
        </row>
        <row r="4382">
          <cell r="Z4382" t="str">
            <v>235470</v>
          </cell>
        </row>
        <row r="4383">
          <cell r="Z4383" t="str">
            <v>235471</v>
          </cell>
        </row>
        <row r="4384">
          <cell r="Z4384" t="str">
            <v>235472</v>
          </cell>
        </row>
        <row r="4385">
          <cell r="Z4385" t="str">
            <v>235473</v>
          </cell>
        </row>
        <row r="4386">
          <cell r="Z4386" t="str">
            <v>235474</v>
          </cell>
        </row>
        <row r="4387">
          <cell r="Z4387" t="str">
            <v>235479</v>
          </cell>
        </row>
        <row r="4388">
          <cell r="Z4388" t="str">
            <v>235500</v>
          </cell>
        </row>
        <row r="4389">
          <cell r="Z4389" t="str">
            <v>235510</v>
          </cell>
        </row>
        <row r="4390">
          <cell r="Z4390" t="str">
            <v>235511</v>
          </cell>
        </row>
        <row r="4391">
          <cell r="Z4391" t="str">
            <v>235512</v>
          </cell>
        </row>
        <row r="4392">
          <cell r="Z4392" t="str">
            <v>235513</v>
          </cell>
        </row>
        <row r="4393">
          <cell r="Z4393" t="str">
            <v>235514</v>
          </cell>
        </row>
        <row r="4394">
          <cell r="Z4394" t="str">
            <v>235519</v>
          </cell>
        </row>
        <row r="4395">
          <cell r="Z4395" t="str">
            <v>235520</v>
          </cell>
        </row>
        <row r="4396">
          <cell r="Z4396" t="str">
            <v>235521</v>
          </cell>
        </row>
        <row r="4397">
          <cell r="Z4397" t="str">
            <v>235522</v>
          </cell>
        </row>
        <row r="4398">
          <cell r="Z4398" t="str">
            <v>235523</v>
          </cell>
        </row>
        <row r="4399">
          <cell r="Z4399" t="str">
            <v>235524</v>
          </cell>
        </row>
        <row r="4400">
          <cell r="Z4400" t="str">
            <v>235529</v>
          </cell>
        </row>
        <row r="4401">
          <cell r="Z4401" t="str">
            <v>235530</v>
          </cell>
        </row>
        <row r="4402">
          <cell r="Z4402" t="str">
            <v>235531</v>
          </cell>
        </row>
        <row r="4403">
          <cell r="Z4403" t="str">
            <v>235532</v>
          </cell>
        </row>
        <row r="4404">
          <cell r="Z4404" t="str">
            <v>235533</v>
          </cell>
        </row>
        <row r="4405">
          <cell r="Z4405" t="str">
            <v>235534</v>
          </cell>
        </row>
        <row r="4406">
          <cell r="Z4406" t="str">
            <v>235539</v>
          </cell>
        </row>
        <row r="4407">
          <cell r="Z4407" t="str">
            <v>235600</v>
          </cell>
        </row>
        <row r="4408">
          <cell r="Z4408" t="str">
            <v>235610</v>
          </cell>
        </row>
        <row r="4409">
          <cell r="Z4409" t="str">
            <v>235611</v>
          </cell>
        </row>
        <row r="4410">
          <cell r="Z4410" t="str">
            <v>235612</v>
          </cell>
        </row>
        <row r="4411">
          <cell r="Z4411" t="str">
            <v>235613</v>
          </cell>
        </row>
        <row r="4412">
          <cell r="Z4412" t="str">
            <v>235614</v>
          </cell>
        </row>
        <row r="4413">
          <cell r="Z4413" t="str">
            <v>235619</v>
          </cell>
        </row>
        <row r="4414">
          <cell r="Z4414" t="str">
            <v>235620</v>
          </cell>
        </row>
        <row r="4415">
          <cell r="Z4415" t="str">
            <v>235621</v>
          </cell>
        </row>
        <row r="4416">
          <cell r="Z4416" t="str">
            <v>235622</v>
          </cell>
        </row>
        <row r="4417">
          <cell r="Z4417" t="str">
            <v>235623</v>
          </cell>
        </row>
        <row r="4418">
          <cell r="Z4418" t="str">
            <v>235624</v>
          </cell>
        </row>
        <row r="4419">
          <cell r="Z4419" t="str">
            <v>235629</v>
          </cell>
        </row>
        <row r="4420">
          <cell r="Z4420" t="str">
            <v>235630</v>
          </cell>
        </row>
        <row r="4421">
          <cell r="Z4421" t="str">
            <v>235631</v>
          </cell>
        </row>
        <row r="4422">
          <cell r="Z4422" t="str">
            <v>235632</v>
          </cell>
        </row>
        <row r="4423">
          <cell r="Z4423" t="str">
            <v>235633</v>
          </cell>
        </row>
        <row r="4424">
          <cell r="Z4424" t="str">
            <v>235634</v>
          </cell>
        </row>
        <row r="4425">
          <cell r="Z4425" t="str">
            <v>235639</v>
          </cell>
        </row>
        <row r="4426">
          <cell r="Z4426" t="str">
            <v>236000</v>
          </cell>
        </row>
        <row r="4427">
          <cell r="Z4427" t="str">
            <v>236100</v>
          </cell>
        </row>
        <row r="4428">
          <cell r="Z4428" t="str">
            <v>236101</v>
          </cell>
        </row>
        <row r="4429">
          <cell r="Z4429" t="str">
            <v>236102</v>
          </cell>
        </row>
        <row r="4430">
          <cell r="Z4430" t="str">
            <v>236103</v>
          </cell>
        </row>
        <row r="4431">
          <cell r="Z4431" t="str">
            <v>236104</v>
          </cell>
        </row>
        <row r="4432">
          <cell r="Z4432" t="str">
            <v>236109</v>
          </cell>
        </row>
        <row r="4433">
          <cell r="Z4433" t="str">
            <v>236200</v>
          </cell>
        </row>
        <row r="4434">
          <cell r="Z4434" t="str">
            <v>236201</v>
          </cell>
        </row>
        <row r="4435">
          <cell r="Z4435" t="str">
            <v>236202</v>
          </cell>
        </row>
        <row r="4436">
          <cell r="Z4436" t="str">
            <v>236203</v>
          </cell>
        </row>
        <row r="4437">
          <cell r="Z4437" t="str">
            <v>236204</v>
          </cell>
        </row>
        <row r="4438">
          <cell r="Z4438" t="str">
            <v>236209</v>
          </cell>
        </row>
        <row r="4439">
          <cell r="Z4439" t="str">
            <v>237000</v>
          </cell>
        </row>
        <row r="4440">
          <cell r="Z4440" t="str">
            <v>237100</v>
          </cell>
        </row>
        <row r="4441">
          <cell r="Z4441" t="str">
            <v>237101</v>
          </cell>
        </row>
        <row r="4442">
          <cell r="Z4442" t="str">
            <v>237102</v>
          </cell>
        </row>
        <row r="4443">
          <cell r="Z4443" t="str">
            <v>237103</v>
          </cell>
        </row>
        <row r="4444">
          <cell r="Z4444" t="str">
            <v>237104</v>
          </cell>
        </row>
        <row r="4445">
          <cell r="Z4445" t="str">
            <v>237109</v>
          </cell>
        </row>
        <row r="4446">
          <cell r="Z4446" t="str">
            <v>237200</v>
          </cell>
        </row>
        <row r="4447">
          <cell r="Z4447" t="str">
            <v>237201</v>
          </cell>
        </row>
        <row r="4448">
          <cell r="Z4448" t="str">
            <v>237202</v>
          </cell>
        </row>
        <row r="4449">
          <cell r="Z4449" t="str">
            <v>237203</v>
          </cell>
        </row>
        <row r="4450">
          <cell r="Z4450" t="str">
            <v>237204</v>
          </cell>
        </row>
        <row r="4451">
          <cell r="Z4451" t="str">
            <v>237209</v>
          </cell>
        </row>
        <row r="4452">
          <cell r="Z4452" t="str">
            <v>237300</v>
          </cell>
        </row>
        <row r="4453">
          <cell r="Z4453" t="str">
            <v>237301</v>
          </cell>
        </row>
        <row r="4454">
          <cell r="Z4454" t="str">
            <v>237302</v>
          </cell>
        </row>
        <row r="4455">
          <cell r="Z4455" t="str">
            <v>237303</v>
          </cell>
        </row>
        <row r="4456">
          <cell r="Z4456" t="str">
            <v>237304</v>
          </cell>
        </row>
        <row r="4457">
          <cell r="Z4457" t="str">
            <v>237309</v>
          </cell>
        </row>
        <row r="4458">
          <cell r="Z4458" t="str">
            <v>237400</v>
          </cell>
        </row>
        <row r="4459">
          <cell r="Z4459" t="str">
            <v>237401</v>
          </cell>
        </row>
        <row r="4460">
          <cell r="Z4460" t="str">
            <v>237402</v>
          </cell>
        </row>
        <row r="4461">
          <cell r="Z4461" t="str">
            <v>237403</v>
          </cell>
        </row>
        <row r="4462">
          <cell r="Z4462" t="str">
            <v>237404</v>
          </cell>
        </row>
        <row r="4463">
          <cell r="Z4463" t="str">
            <v>237409</v>
          </cell>
        </row>
        <row r="4464">
          <cell r="Z4464" t="str">
            <v>237500</v>
          </cell>
        </row>
        <row r="4465">
          <cell r="Z4465" t="str">
            <v>237501</v>
          </cell>
        </row>
        <row r="4466">
          <cell r="Z4466" t="str">
            <v>237502</v>
          </cell>
        </row>
        <row r="4467">
          <cell r="Z4467" t="str">
            <v>237503</v>
          </cell>
        </row>
        <row r="4468">
          <cell r="Z4468" t="str">
            <v>237504</v>
          </cell>
        </row>
        <row r="4469">
          <cell r="Z4469" t="str">
            <v>237509</v>
          </cell>
        </row>
        <row r="4470">
          <cell r="Z4470" t="str">
            <v>237600</v>
          </cell>
        </row>
        <row r="4471">
          <cell r="Z4471" t="str">
            <v>237601</v>
          </cell>
        </row>
        <row r="4472">
          <cell r="Z4472" t="str">
            <v>237602</v>
          </cell>
        </row>
        <row r="4473">
          <cell r="Z4473" t="str">
            <v>237603</v>
          </cell>
        </row>
        <row r="4474">
          <cell r="Z4474" t="str">
            <v>237604</v>
          </cell>
        </row>
        <row r="4475">
          <cell r="Z4475" t="str">
            <v>237609</v>
          </cell>
        </row>
        <row r="4476">
          <cell r="Z4476" t="str">
            <v>237700</v>
          </cell>
        </row>
        <row r="4477">
          <cell r="Z4477" t="str">
            <v>237701</v>
          </cell>
        </row>
        <row r="4478">
          <cell r="Z4478" t="str">
            <v>237702</v>
          </cell>
        </row>
        <row r="4479">
          <cell r="Z4479" t="str">
            <v>237703</v>
          </cell>
        </row>
        <row r="4480">
          <cell r="Z4480" t="str">
            <v>237704</v>
          </cell>
        </row>
        <row r="4481">
          <cell r="Z4481" t="str">
            <v>237709</v>
          </cell>
        </row>
        <row r="4482">
          <cell r="Z4482" t="str">
            <v>237800</v>
          </cell>
        </row>
        <row r="4483">
          <cell r="Z4483" t="str">
            <v>237801</v>
          </cell>
        </row>
        <row r="4484">
          <cell r="Z4484" t="str">
            <v>237802</v>
          </cell>
        </row>
        <row r="4485">
          <cell r="Z4485" t="str">
            <v>237803</v>
          </cell>
        </row>
        <row r="4486">
          <cell r="Z4486" t="str">
            <v>237804</v>
          </cell>
        </row>
        <row r="4487">
          <cell r="Z4487" t="str">
            <v>237809</v>
          </cell>
        </row>
        <row r="4488">
          <cell r="Z4488" t="str">
            <v>240000</v>
          </cell>
        </row>
        <row r="4489">
          <cell r="Z4489" t="str">
            <v>241000</v>
          </cell>
        </row>
        <row r="4490">
          <cell r="Z4490" t="str">
            <v>241100</v>
          </cell>
        </row>
        <row r="4491">
          <cell r="Z4491" t="str">
            <v>241110</v>
          </cell>
        </row>
        <row r="4492">
          <cell r="Z4492" t="str">
            <v>241111</v>
          </cell>
        </row>
        <row r="4493">
          <cell r="Z4493" t="str">
            <v>241112</v>
          </cell>
        </row>
        <row r="4494">
          <cell r="Z4494" t="str">
            <v>241113</v>
          </cell>
        </row>
        <row r="4495">
          <cell r="Z4495" t="str">
            <v>241114</v>
          </cell>
        </row>
        <row r="4496">
          <cell r="Z4496" t="str">
            <v>241119</v>
          </cell>
        </row>
        <row r="4497">
          <cell r="Z4497" t="str">
            <v>241120</v>
          </cell>
        </row>
        <row r="4498">
          <cell r="Z4498" t="str">
            <v>241121</v>
          </cell>
        </row>
        <row r="4499">
          <cell r="Z4499" t="str">
            <v>241122</v>
          </cell>
        </row>
        <row r="4500">
          <cell r="Z4500" t="str">
            <v>241123</v>
          </cell>
        </row>
        <row r="4501">
          <cell r="Z4501" t="str">
            <v>241124</v>
          </cell>
        </row>
        <row r="4502">
          <cell r="Z4502" t="str">
            <v>241129</v>
          </cell>
        </row>
        <row r="4503">
          <cell r="Z4503" t="str">
            <v>241130</v>
          </cell>
        </row>
        <row r="4504">
          <cell r="Z4504" t="str">
            <v>241131</v>
          </cell>
        </row>
        <row r="4505">
          <cell r="Z4505" t="str">
            <v>241132</v>
          </cell>
        </row>
        <row r="4506">
          <cell r="Z4506" t="str">
            <v>241133</v>
          </cell>
        </row>
        <row r="4507">
          <cell r="Z4507" t="str">
            <v>241134</v>
          </cell>
        </row>
        <row r="4508">
          <cell r="Z4508" t="str">
            <v>241139</v>
          </cell>
        </row>
        <row r="4509">
          <cell r="Z4509" t="str">
            <v>241140</v>
          </cell>
        </row>
        <row r="4510">
          <cell r="Z4510" t="str">
            <v>241141</v>
          </cell>
        </row>
        <row r="4511">
          <cell r="Z4511" t="str">
            <v>241142</v>
          </cell>
        </row>
        <row r="4512">
          <cell r="Z4512" t="str">
            <v>241143</v>
          </cell>
        </row>
        <row r="4513">
          <cell r="Z4513" t="str">
            <v>241144</v>
          </cell>
        </row>
        <row r="4514">
          <cell r="Z4514" t="str">
            <v>241149</v>
          </cell>
        </row>
        <row r="4515">
          <cell r="Z4515" t="str">
            <v>241150</v>
          </cell>
        </row>
        <row r="4516">
          <cell r="Z4516" t="str">
            <v>241151</v>
          </cell>
        </row>
        <row r="4517">
          <cell r="Z4517" t="str">
            <v>241152</v>
          </cell>
        </row>
        <row r="4518">
          <cell r="Z4518" t="str">
            <v>241153</v>
          </cell>
        </row>
        <row r="4519">
          <cell r="Z4519" t="str">
            <v>241154</v>
          </cell>
        </row>
        <row r="4520">
          <cell r="Z4520" t="str">
            <v>241159</v>
          </cell>
        </row>
        <row r="4521">
          <cell r="Z4521" t="str">
            <v>241160</v>
          </cell>
        </row>
        <row r="4522">
          <cell r="Z4522" t="str">
            <v>241161</v>
          </cell>
        </row>
        <row r="4523">
          <cell r="Z4523" t="str">
            <v>241162</v>
          </cell>
        </row>
        <row r="4524">
          <cell r="Z4524" t="str">
            <v>241163</v>
          </cell>
        </row>
        <row r="4525">
          <cell r="Z4525" t="str">
            <v>241164</v>
          </cell>
        </row>
        <row r="4526">
          <cell r="Z4526" t="str">
            <v>241169</v>
          </cell>
        </row>
        <row r="4527">
          <cell r="Z4527" t="str">
            <v>241170</v>
          </cell>
        </row>
        <row r="4528">
          <cell r="Z4528" t="str">
            <v>241171</v>
          </cell>
        </row>
        <row r="4529">
          <cell r="Z4529" t="str">
            <v>241172</v>
          </cell>
        </row>
        <row r="4530">
          <cell r="Z4530" t="str">
            <v>241173</v>
          </cell>
        </row>
        <row r="4531">
          <cell r="Z4531" t="str">
            <v>241174</v>
          </cell>
        </row>
        <row r="4532">
          <cell r="Z4532" t="str">
            <v>241179</v>
          </cell>
        </row>
        <row r="4533">
          <cell r="Z4533" t="str">
            <v>241200</v>
          </cell>
        </row>
        <row r="4534">
          <cell r="Z4534" t="str">
            <v>241210</v>
          </cell>
        </row>
        <row r="4535">
          <cell r="Z4535" t="str">
            <v>241211</v>
          </cell>
        </row>
        <row r="4536">
          <cell r="Z4536" t="str">
            <v>241212</v>
          </cell>
        </row>
        <row r="4537">
          <cell r="Z4537" t="str">
            <v>241213</v>
          </cell>
        </row>
        <row r="4538">
          <cell r="Z4538" t="str">
            <v>241214</v>
          </cell>
        </row>
        <row r="4539">
          <cell r="Z4539" t="str">
            <v>241219</v>
          </cell>
        </row>
        <row r="4540">
          <cell r="Z4540" t="str">
            <v>241220</v>
          </cell>
        </row>
        <row r="4541">
          <cell r="Z4541" t="str">
            <v>241221</v>
          </cell>
        </row>
        <row r="4542">
          <cell r="Z4542" t="str">
            <v>241222</v>
          </cell>
        </row>
        <row r="4543">
          <cell r="Z4543" t="str">
            <v>241223</v>
          </cell>
        </row>
        <row r="4544">
          <cell r="Z4544" t="str">
            <v>241224</v>
          </cell>
        </row>
        <row r="4545">
          <cell r="Z4545" t="str">
            <v>241229</v>
          </cell>
        </row>
        <row r="4546">
          <cell r="Z4546" t="str">
            <v>241230</v>
          </cell>
        </row>
        <row r="4547">
          <cell r="Z4547" t="str">
            <v>241231</v>
          </cell>
        </row>
        <row r="4548">
          <cell r="Z4548" t="str">
            <v>241232</v>
          </cell>
        </row>
        <row r="4549">
          <cell r="Z4549" t="str">
            <v>241233</v>
          </cell>
        </row>
        <row r="4550">
          <cell r="Z4550" t="str">
            <v>241234</v>
          </cell>
        </row>
        <row r="4551">
          <cell r="Z4551" t="str">
            <v>241239</v>
          </cell>
        </row>
        <row r="4552">
          <cell r="Z4552" t="str">
            <v>241240</v>
          </cell>
        </row>
        <row r="4553">
          <cell r="Z4553" t="str">
            <v>241241</v>
          </cell>
        </row>
        <row r="4554">
          <cell r="Z4554" t="str">
            <v>241242</v>
          </cell>
        </row>
        <row r="4555">
          <cell r="Z4555" t="str">
            <v>241243</v>
          </cell>
        </row>
        <row r="4556">
          <cell r="Z4556" t="str">
            <v>241244</v>
          </cell>
        </row>
        <row r="4557">
          <cell r="Z4557" t="str">
            <v>241249</v>
          </cell>
        </row>
        <row r="4558">
          <cell r="Z4558" t="str">
            <v>241300</v>
          </cell>
        </row>
        <row r="4559">
          <cell r="Z4559" t="str">
            <v>241310</v>
          </cell>
        </row>
        <row r="4560">
          <cell r="Z4560" t="str">
            <v>241311</v>
          </cell>
        </row>
        <row r="4561">
          <cell r="Z4561" t="str">
            <v>241312</v>
          </cell>
        </row>
        <row r="4562">
          <cell r="Z4562" t="str">
            <v>241313</v>
          </cell>
        </row>
        <row r="4563">
          <cell r="Z4563" t="str">
            <v>241314</v>
          </cell>
        </row>
        <row r="4564">
          <cell r="Z4564" t="str">
            <v>241319</v>
          </cell>
        </row>
        <row r="4565">
          <cell r="Z4565" t="str">
            <v>241320</v>
          </cell>
        </row>
        <row r="4566">
          <cell r="Z4566" t="str">
            <v>241321</v>
          </cell>
        </row>
        <row r="4567">
          <cell r="Z4567" t="str">
            <v>241322</v>
          </cell>
        </row>
        <row r="4568">
          <cell r="Z4568" t="str">
            <v>241323</v>
          </cell>
        </row>
        <row r="4569">
          <cell r="Z4569" t="str">
            <v>241324</v>
          </cell>
        </row>
        <row r="4570">
          <cell r="Z4570" t="str">
            <v>241329</v>
          </cell>
        </row>
        <row r="4571">
          <cell r="Z4571" t="str">
            <v>241330</v>
          </cell>
        </row>
        <row r="4572">
          <cell r="Z4572" t="str">
            <v>241331</v>
          </cell>
        </row>
        <row r="4573">
          <cell r="Z4573" t="str">
            <v>241332</v>
          </cell>
        </row>
        <row r="4574">
          <cell r="Z4574" t="str">
            <v>241333</v>
          </cell>
        </row>
        <row r="4575">
          <cell r="Z4575" t="str">
            <v>241334</v>
          </cell>
        </row>
        <row r="4576">
          <cell r="Z4576" t="str">
            <v>241339</v>
          </cell>
        </row>
        <row r="4577">
          <cell r="Z4577" t="str">
            <v>241340</v>
          </cell>
        </row>
        <row r="4578">
          <cell r="Z4578" t="str">
            <v>241341</v>
          </cell>
        </row>
        <row r="4579">
          <cell r="Z4579" t="str">
            <v>241342</v>
          </cell>
        </row>
        <row r="4580">
          <cell r="Z4580" t="str">
            <v>241343</v>
          </cell>
        </row>
        <row r="4581">
          <cell r="Z4581" t="str">
            <v>241344</v>
          </cell>
        </row>
        <row r="4582">
          <cell r="Z4582" t="str">
            <v>241349</v>
          </cell>
        </row>
        <row r="4583">
          <cell r="Z4583" t="str">
            <v>241400</v>
          </cell>
        </row>
        <row r="4584">
          <cell r="Z4584" t="str">
            <v>241410</v>
          </cell>
        </row>
        <row r="4585">
          <cell r="Z4585" t="str">
            <v>241411</v>
          </cell>
        </row>
        <row r="4586">
          <cell r="Z4586" t="str">
            <v>241412</v>
          </cell>
        </row>
        <row r="4587">
          <cell r="Z4587" t="str">
            <v>241413</v>
          </cell>
        </row>
        <row r="4588">
          <cell r="Z4588" t="str">
            <v>241414</v>
          </cell>
        </row>
        <row r="4589">
          <cell r="Z4589" t="str">
            <v>241419</v>
          </cell>
        </row>
        <row r="4590">
          <cell r="Z4590" t="str">
            <v>241420</v>
          </cell>
        </row>
        <row r="4591">
          <cell r="Z4591" t="str">
            <v>241421</v>
          </cell>
        </row>
        <row r="4592">
          <cell r="Z4592" t="str">
            <v>241422</v>
          </cell>
        </row>
        <row r="4593">
          <cell r="Z4593" t="str">
            <v>241423</v>
          </cell>
        </row>
        <row r="4594">
          <cell r="Z4594" t="str">
            <v>241424</v>
          </cell>
        </row>
        <row r="4595">
          <cell r="Z4595" t="str">
            <v>241429</v>
          </cell>
        </row>
        <row r="4596">
          <cell r="Z4596" t="str">
            <v>241430</v>
          </cell>
        </row>
        <row r="4597">
          <cell r="Z4597" t="str">
            <v>241431</v>
          </cell>
        </row>
        <row r="4598">
          <cell r="Z4598" t="str">
            <v>241432</v>
          </cell>
        </row>
        <row r="4599">
          <cell r="Z4599" t="str">
            <v>241433</v>
          </cell>
        </row>
        <row r="4600">
          <cell r="Z4600" t="str">
            <v>241434</v>
          </cell>
        </row>
        <row r="4601">
          <cell r="Z4601" t="str">
            <v>241439</v>
          </cell>
        </row>
        <row r="4602">
          <cell r="Z4602" t="str">
            <v>241440</v>
          </cell>
        </row>
        <row r="4603">
          <cell r="Z4603" t="str">
            <v>241441</v>
          </cell>
        </row>
        <row r="4604">
          <cell r="Z4604" t="str">
            <v>241442</v>
          </cell>
        </row>
        <row r="4605">
          <cell r="Z4605" t="str">
            <v>241443</v>
          </cell>
        </row>
        <row r="4606">
          <cell r="Z4606" t="str">
            <v>241444</v>
          </cell>
        </row>
        <row r="4607">
          <cell r="Z4607" t="str">
            <v>241449</v>
          </cell>
        </row>
        <row r="4608">
          <cell r="Z4608" t="str">
            <v>241500</v>
          </cell>
        </row>
        <row r="4609">
          <cell r="Z4609" t="str">
            <v>241510</v>
          </cell>
        </row>
        <row r="4610">
          <cell r="Z4610" t="str">
            <v>241511</v>
          </cell>
        </row>
        <row r="4611">
          <cell r="Z4611" t="str">
            <v>241512</v>
          </cell>
        </row>
        <row r="4612">
          <cell r="Z4612" t="str">
            <v>241513</v>
          </cell>
        </row>
        <row r="4613">
          <cell r="Z4613" t="str">
            <v>241514</v>
          </cell>
        </row>
        <row r="4614">
          <cell r="Z4614" t="str">
            <v>241519</v>
          </cell>
        </row>
        <row r="4615">
          <cell r="Z4615" t="str">
            <v>241520</v>
          </cell>
        </row>
        <row r="4616">
          <cell r="Z4616" t="str">
            <v>241521</v>
          </cell>
        </row>
        <row r="4617">
          <cell r="Z4617" t="str">
            <v>241522</v>
          </cell>
        </row>
        <row r="4618">
          <cell r="Z4618" t="str">
            <v>241523</v>
          </cell>
        </row>
        <row r="4619">
          <cell r="Z4619" t="str">
            <v>241524</v>
          </cell>
        </row>
        <row r="4620">
          <cell r="Z4620" t="str">
            <v>241529</v>
          </cell>
        </row>
        <row r="4621">
          <cell r="Z4621" t="str">
            <v>241530</v>
          </cell>
        </row>
        <row r="4622">
          <cell r="Z4622" t="str">
            <v>241531</v>
          </cell>
        </row>
        <row r="4623">
          <cell r="Z4623" t="str">
            <v>241532</v>
          </cell>
        </row>
        <row r="4624">
          <cell r="Z4624" t="str">
            <v>241533</v>
          </cell>
        </row>
        <row r="4625">
          <cell r="Z4625" t="str">
            <v>241534</v>
          </cell>
        </row>
        <row r="4626">
          <cell r="Z4626" t="str">
            <v>241539</v>
          </cell>
        </row>
        <row r="4627">
          <cell r="Z4627" t="str">
            <v>242000</v>
          </cell>
        </row>
        <row r="4628">
          <cell r="Z4628" t="str">
            <v>242100</v>
          </cell>
        </row>
        <row r="4629">
          <cell r="Z4629" t="str">
            <v>242110</v>
          </cell>
        </row>
        <row r="4630">
          <cell r="Z4630" t="str">
            <v>242111</v>
          </cell>
        </row>
        <row r="4631">
          <cell r="Z4631" t="str">
            <v>242112</v>
          </cell>
        </row>
        <row r="4632">
          <cell r="Z4632" t="str">
            <v>242113</v>
          </cell>
        </row>
        <row r="4633">
          <cell r="Z4633" t="str">
            <v>242114</v>
          </cell>
        </row>
        <row r="4634">
          <cell r="Z4634" t="str">
            <v>242119</v>
          </cell>
        </row>
        <row r="4635">
          <cell r="Z4635" t="str">
            <v>242120</v>
          </cell>
        </row>
        <row r="4636">
          <cell r="Z4636" t="str">
            <v>242121</v>
          </cell>
        </row>
        <row r="4637">
          <cell r="Z4637" t="str">
            <v>242122</v>
          </cell>
        </row>
        <row r="4638">
          <cell r="Z4638" t="str">
            <v>242123</v>
          </cell>
        </row>
        <row r="4639">
          <cell r="Z4639" t="str">
            <v>242124</v>
          </cell>
        </row>
        <row r="4640">
          <cell r="Z4640" t="str">
            <v>242129</v>
          </cell>
        </row>
        <row r="4641">
          <cell r="Z4641" t="str">
            <v>242130</v>
          </cell>
        </row>
        <row r="4642">
          <cell r="Z4642" t="str">
            <v>242131</v>
          </cell>
        </row>
        <row r="4643">
          <cell r="Z4643" t="str">
            <v>242132</v>
          </cell>
        </row>
        <row r="4644">
          <cell r="Z4644" t="str">
            <v>242133</v>
          </cell>
        </row>
        <row r="4645">
          <cell r="Z4645" t="str">
            <v>242134</v>
          </cell>
        </row>
        <row r="4646">
          <cell r="Z4646" t="str">
            <v>242139</v>
          </cell>
        </row>
        <row r="4647">
          <cell r="Z4647" t="str">
            <v>242140</v>
          </cell>
        </row>
        <row r="4648">
          <cell r="Z4648" t="str">
            <v>242141</v>
          </cell>
        </row>
        <row r="4649">
          <cell r="Z4649" t="str">
            <v>242142</v>
          </cell>
        </row>
        <row r="4650">
          <cell r="Z4650" t="str">
            <v>242143</v>
          </cell>
        </row>
        <row r="4651">
          <cell r="Z4651" t="str">
            <v>242144</v>
          </cell>
        </row>
        <row r="4652">
          <cell r="Z4652" t="str">
            <v>242149</v>
          </cell>
        </row>
        <row r="4653">
          <cell r="Z4653" t="str">
            <v>242150</v>
          </cell>
        </row>
        <row r="4654">
          <cell r="Z4654" t="str">
            <v>242151</v>
          </cell>
        </row>
        <row r="4655">
          <cell r="Z4655" t="str">
            <v>242152</v>
          </cell>
        </row>
        <row r="4656">
          <cell r="Z4656" t="str">
            <v>242153</v>
          </cell>
        </row>
        <row r="4657">
          <cell r="Z4657" t="str">
            <v>242154</v>
          </cell>
        </row>
        <row r="4658">
          <cell r="Z4658" t="str">
            <v>242159</v>
          </cell>
        </row>
        <row r="4659">
          <cell r="Z4659" t="str">
            <v>242160</v>
          </cell>
        </row>
        <row r="4660">
          <cell r="Z4660" t="str">
            <v>242161</v>
          </cell>
        </row>
        <row r="4661">
          <cell r="Z4661" t="str">
            <v>242162</v>
          </cell>
        </row>
        <row r="4662">
          <cell r="Z4662" t="str">
            <v>242163</v>
          </cell>
        </row>
        <row r="4663">
          <cell r="Z4663" t="str">
            <v>242164</v>
          </cell>
        </row>
        <row r="4664">
          <cell r="Z4664" t="str">
            <v>242169</v>
          </cell>
        </row>
        <row r="4665">
          <cell r="Z4665" t="str">
            <v>242170</v>
          </cell>
        </row>
        <row r="4666">
          <cell r="Z4666" t="str">
            <v>242171</v>
          </cell>
        </row>
        <row r="4667">
          <cell r="Z4667" t="str">
            <v>242172</v>
          </cell>
        </row>
        <row r="4668">
          <cell r="Z4668" t="str">
            <v>242173</v>
          </cell>
        </row>
        <row r="4669">
          <cell r="Z4669" t="str">
            <v>242174</v>
          </cell>
        </row>
        <row r="4670">
          <cell r="Z4670" t="str">
            <v>242179</v>
          </cell>
        </row>
        <row r="4671">
          <cell r="Z4671" t="str">
            <v>242200</v>
          </cell>
        </row>
        <row r="4672">
          <cell r="Z4672" t="str">
            <v>242210</v>
          </cell>
        </row>
        <row r="4673">
          <cell r="Z4673" t="str">
            <v>242211</v>
          </cell>
        </row>
        <row r="4674">
          <cell r="Z4674" t="str">
            <v>242212</v>
          </cell>
        </row>
        <row r="4675">
          <cell r="Z4675" t="str">
            <v>242213</v>
          </cell>
        </row>
        <row r="4676">
          <cell r="Z4676" t="str">
            <v>242214</v>
          </cell>
        </row>
        <row r="4677">
          <cell r="Z4677" t="str">
            <v>242219</v>
          </cell>
        </row>
        <row r="4678">
          <cell r="Z4678" t="str">
            <v>242220</v>
          </cell>
        </row>
        <row r="4679">
          <cell r="Z4679" t="str">
            <v>242221</v>
          </cell>
        </row>
        <row r="4680">
          <cell r="Z4680" t="str">
            <v>242222</v>
          </cell>
        </row>
        <row r="4681">
          <cell r="Z4681" t="str">
            <v>242223</v>
          </cell>
        </row>
        <row r="4682">
          <cell r="Z4682" t="str">
            <v>242224</v>
          </cell>
        </row>
        <row r="4683">
          <cell r="Z4683" t="str">
            <v>242229</v>
          </cell>
        </row>
        <row r="4684">
          <cell r="Z4684" t="str">
            <v>242230</v>
          </cell>
        </row>
        <row r="4685">
          <cell r="Z4685" t="str">
            <v>242231</v>
          </cell>
        </row>
        <row r="4686">
          <cell r="Z4686" t="str">
            <v>242232</v>
          </cell>
        </row>
        <row r="4687">
          <cell r="Z4687" t="str">
            <v>242233</v>
          </cell>
        </row>
        <row r="4688">
          <cell r="Z4688" t="str">
            <v>242234</v>
          </cell>
        </row>
        <row r="4689">
          <cell r="Z4689" t="str">
            <v>242239</v>
          </cell>
        </row>
        <row r="4690">
          <cell r="Z4690" t="str">
            <v>242240</v>
          </cell>
        </row>
        <row r="4691">
          <cell r="Z4691" t="str">
            <v>242241</v>
          </cell>
        </row>
        <row r="4692">
          <cell r="Z4692" t="str">
            <v>242242</v>
          </cell>
        </row>
        <row r="4693">
          <cell r="Z4693" t="str">
            <v>242243</v>
          </cell>
        </row>
        <row r="4694">
          <cell r="Z4694" t="str">
            <v>242244</v>
          </cell>
        </row>
        <row r="4695">
          <cell r="Z4695" t="str">
            <v>242249</v>
          </cell>
        </row>
        <row r="4696">
          <cell r="Z4696" t="str">
            <v>242300</v>
          </cell>
        </row>
        <row r="4697">
          <cell r="Z4697" t="str">
            <v>242310</v>
          </cell>
        </row>
        <row r="4698">
          <cell r="Z4698" t="str">
            <v>242311</v>
          </cell>
        </row>
        <row r="4699">
          <cell r="Z4699" t="str">
            <v>242312</v>
          </cell>
        </row>
        <row r="4700">
          <cell r="Z4700" t="str">
            <v>242313</v>
          </cell>
        </row>
        <row r="4701">
          <cell r="Z4701" t="str">
            <v>242314</v>
          </cell>
        </row>
        <row r="4702">
          <cell r="Z4702" t="str">
            <v>242319</v>
          </cell>
        </row>
        <row r="4703">
          <cell r="Z4703" t="str">
            <v>242320</v>
          </cell>
        </row>
        <row r="4704">
          <cell r="Z4704" t="str">
            <v>242321</v>
          </cell>
        </row>
        <row r="4705">
          <cell r="Z4705" t="str">
            <v>242322</v>
          </cell>
        </row>
        <row r="4706">
          <cell r="Z4706" t="str">
            <v>242323</v>
          </cell>
        </row>
        <row r="4707">
          <cell r="Z4707" t="str">
            <v>242324</v>
          </cell>
        </row>
        <row r="4708">
          <cell r="Z4708" t="str">
            <v>242329</v>
          </cell>
        </row>
        <row r="4709">
          <cell r="Z4709" t="str">
            <v>242330</v>
          </cell>
        </row>
        <row r="4710">
          <cell r="Z4710" t="str">
            <v>242331</v>
          </cell>
        </row>
        <row r="4711">
          <cell r="Z4711" t="str">
            <v>242332</v>
          </cell>
        </row>
        <row r="4712">
          <cell r="Z4712" t="str">
            <v>242333</v>
          </cell>
        </row>
        <row r="4713">
          <cell r="Z4713" t="str">
            <v>242334</v>
          </cell>
        </row>
        <row r="4714">
          <cell r="Z4714" t="str">
            <v>242339</v>
          </cell>
        </row>
        <row r="4715">
          <cell r="Z4715" t="str">
            <v>242340</v>
          </cell>
        </row>
        <row r="4716">
          <cell r="Z4716" t="str">
            <v>242341</v>
          </cell>
        </row>
        <row r="4717">
          <cell r="Z4717" t="str">
            <v>242342</v>
          </cell>
        </row>
        <row r="4718">
          <cell r="Z4718" t="str">
            <v>242343</v>
          </cell>
        </row>
        <row r="4719">
          <cell r="Z4719" t="str">
            <v>242344</v>
          </cell>
        </row>
        <row r="4720">
          <cell r="Z4720" t="str">
            <v>242349</v>
          </cell>
        </row>
        <row r="4721">
          <cell r="Z4721" t="str">
            <v>242400</v>
          </cell>
        </row>
        <row r="4722">
          <cell r="Z4722" t="str">
            <v>242410</v>
          </cell>
        </row>
        <row r="4723">
          <cell r="Z4723" t="str">
            <v>242411</v>
          </cell>
        </row>
        <row r="4724">
          <cell r="Z4724" t="str">
            <v>242412</v>
          </cell>
        </row>
        <row r="4725">
          <cell r="Z4725" t="str">
            <v>242413</v>
          </cell>
        </row>
        <row r="4726">
          <cell r="Z4726" t="str">
            <v>242414</v>
          </cell>
        </row>
        <row r="4727">
          <cell r="Z4727" t="str">
            <v>242419</v>
          </cell>
        </row>
        <row r="4728">
          <cell r="Z4728" t="str">
            <v>242420</v>
          </cell>
        </row>
        <row r="4729">
          <cell r="Z4729" t="str">
            <v>242421</v>
          </cell>
        </row>
        <row r="4730">
          <cell r="Z4730" t="str">
            <v>242422</v>
          </cell>
        </row>
        <row r="4731">
          <cell r="Z4731" t="str">
            <v>242423</v>
          </cell>
        </row>
        <row r="4732">
          <cell r="Z4732" t="str">
            <v>242424</v>
          </cell>
        </row>
        <row r="4733">
          <cell r="Z4733" t="str">
            <v>242429</v>
          </cell>
        </row>
        <row r="4734">
          <cell r="Z4734" t="str">
            <v>242430</v>
          </cell>
        </row>
        <row r="4735">
          <cell r="Z4735" t="str">
            <v>242431</v>
          </cell>
        </row>
        <row r="4736">
          <cell r="Z4736" t="str">
            <v>242432</v>
          </cell>
        </row>
        <row r="4737">
          <cell r="Z4737" t="str">
            <v>242433</v>
          </cell>
        </row>
        <row r="4738">
          <cell r="Z4738" t="str">
            <v>242434</v>
          </cell>
        </row>
        <row r="4739">
          <cell r="Z4739" t="str">
            <v>242439</v>
          </cell>
        </row>
        <row r="4740">
          <cell r="Z4740" t="str">
            <v>242440</v>
          </cell>
        </row>
        <row r="4741">
          <cell r="Z4741" t="str">
            <v>242441</v>
          </cell>
        </row>
        <row r="4742">
          <cell r="Z4742" t="str">
            <v>242442</v>
          </cell>
        </row>
        <row r="4743">
          <cell r="Z4743" t="str">
            <v>242443</v>
          </cell>
        </row>
        <row r="4744">
          <cell r="Z4744" t="str">
            <v>242444</v>
          </cell>
        </row>
        <row r="4745">
          <cell r="Z4745" t="str">
            <v>242449</v>
          </cell>
        </row>
        <row r="4746">
          <cell r="Z4746" t="str">
            <v>242500</v>
          </cell>
        </row>
        <row r="4747">
          <cell r="Z4747" t="str">
            <v>242510</v>
          </cell>
        </row>
        <row r="4748">
          <cell r="Z4748" t="str">
            <v>242511</v>
          </cell>
        </row>
        <row r="4749">
          <cell r="Z4749" t="str">
            <v>242512</v>
          </cell>
        </row>
        <row r="4750">
          <cell r="Z4750" t="str">
            <v>242513</v>
          </cell>
        </row>
        <row r="4751">
          <cell r="Z4751" t="str">
            <v>242514</v>
          </cell>
        </row>
        <row r="4752">
          <cell r="Z4752" t="str">
            <v>242519</v>
          </cell>
        </row>
        <row r="4753">
          <cell r="Z4753" t="str">
            <v>242520</v>
          </cell>
        </row>
        <row r="4754">
          <cell r="Z4754" t="str">
            <v>242521</v>
          </cell>
        </row>
        <row r="4755">
          <cell r="Z4755" t="str">
            <v>242522</v>
          </cell>
        </row>
        <row r="4756">
          <cell r="Z4756" t="str">
            <v>242523</v>
          </cell>
        </row>
        <row r="4757">
          <cell r="Z4757" t="str">
            <v>242524</v>
          </cell>
        </row>
        <row r="4758">
          <cell r="Z4758" t="str">
            <v>242529</v>
          </cell>
        </row>
        <row r="4759">
          <cell r="Z4759" t="str">
            <v>242530</v>
          </cell>
        </row>
        <row r="4760">
          <cell r="Z4760" t="str">
            <v>242531</v>
          </cell>
        </row>
        <row r="4761">
          <cell r="Z4761" t="str">
            <v>242532</v>
          </cell>
        </row>
        <row r="4762">
          <cell r="Z4762" t="str">
            <v>242533</v>
          </cell>
        </row>
        <row r="4763">
          <cell r="Z4763" t="str">
            <v>242534</v>
          </cell>
        </row>
        <row r="4764">
          <cell r="Z4764" t="str">
            <v>242539</v>
          </cell>
        </row>
        <row r="4765">
          <cell r="Z4765" t="str">
            <v>242900</v>
          </cell>
        </row>
        <row r="4766">
          <cell r="Z4766" t="str">
            <v>242910</v>
          </cell>
        </row>
        <row r="4767">
          <cell r="Z4767" t="str">
            <v>242911</v>
          </cell>
        </row>
        <row r="4768">
          <cell r="Z4768" t="str">
            <v>242912</v>
          </cell>
        </row>
        <row r="4769">
          <cell r="Z4769" t="str">
            <v>242913</v>
          </cell>
        </row>
        <row r="4770">
          <cell r="Z4770" t="str">
            <v>242914</v>
          </cell>
        </row>
        <row r="4771">
          <cell r="Z4771" t="str">
            <v>242919</v>
          </cell>
        </row>
        <row r="4772">
          <cell r="Z4772" t="str">
            <v>242920</v>
          </cell>
        </row>
        <row r="4773">
          <cell r="Z4773" t="str">
            <v>242921</v>
          </cell>
        </row>
        <row r="4774">
          <cell r="Z4774" t="str">
            <v>242922</v>
          </cell>
        </row>
        <row r="4775">
          <cell r="Z4775" t="str">
            <v>242923</v>
          </cell>
        </row>
        <row r="4776">
          <cell r="Z4776" t="str">
            <v>242924</v>
          </cell>
        </row>
        <row r="4777">
          <cell r="Z4777" t="str">
            <v>242929</v>
          </cell>
        </row>
        <row r="4778">
          <cell r="Z4778" t="str">
            <v>242930</v>
          </cell>
        </row>
        <row r="4779">
          <cell r="Z4779" t="str">
            <v>242931</v>
          </cell>
        </row>
        <row r="4780">
          <cell r="Z4780" t="str">
            <v>242932</v>
          </cell>
        </row>
        <row r="4781">
          <cell r="Z4781" t="str">
            <v>242933</v>
          </cell>
        </row>
        <row r="4782">
          <cell r="Z4782" t="str">
            <v>242934</v>
          </cell>
        </row>
        <row r="4783">
          <cell r="Z4783" t="str">
            <v>242939</v>
          </cell>
        </row>
        <row r="4784">
          <cell r="Z4784" t="str">
            <v>242940</v>
          </cell>
        </row>
        <row r="4785">
          <cell r="Z4785" t="str">
            <v>242941</v>
          </cell>
        </row>
        <row r="4786">
          <cell r="Z4786" t="str">
            <v>242942</v>
          </cell>
        </row>
        <row r="4787">
          <cell r="Z4787" t="str">
            <v>242943</v>
          </cell>
        </row>
        <row r="4788">
          <cell r="Z4788" t="str">
            <v>242944</v>
          </cell>
        </row>
        <row r="4789">
          <cell r="Z4789" t="str">
            <v>242949</v>
          </cell>
        </row>
        <row r="4790">
          <cell r="Z4790" t="str">
            <v>242950</v>
          </cell>
        </row>
        <row r="4791">
          <cell r="Z4791" t="str">
            <v>242951</v>
          </cell>
        </row>
        <row r="4792">
          <cell r="Z4792" t="str">
            <v>242952</v>
          </cell>
        </row>
        <row r="4793">
          <cell r="Z4793" t="str">
            <v>242953</v>
          </cell>
        </row>
        <row r="4794">
          <cell r="Z4794" t="str">
            <v>242954</v>
          </cell>
        </row>
        <row r="4795">
          <cell r="Z4795" t="str">
            <v>242959</v>
          </cell>
        </row>
        <row r="4796">
          <cell r="Z4796" t="str">
            <v>242960</v>
          </cell>
        </row>
        <row r="4797">
          <cell r="Z4797" t="str">
            <v>242961</v>
          </cell>
        </row>
        <row r="4798">
          <cell r="Z4798" t="str">
            <v>242962</v>
          </cell>
        </row>
        <row r="4799">
          <cell r="Z4799" t="str">
            <v>242963</v>
          </cell>
        </row>
        <row r="4800">
          <cell r="Z4800" t="str">
            <v>242964</v>
          </cell>
        </row>
        <row r="4801">
          <cell r="Z4801" t="str">
            <v>242969</v>
          </cell>
        </row>
        <row r="4802">
          <cell r="Z4802" t="str">
            <v>242970</v>
          </cell>
        </row>
        <row r="4803">
          <cell r="Z4803" t="str">
            <v>242971</v>
          </cell>
        </row>
        <row r="4804">
          <cell r="Z4804" t="str">
            <v>242972</v>
          </cell>
        </row>
        <row r="4805">
          <cell r="Z4805" t="str">
            <v>242973</v>
          </cell>
        </row>
        <row r="4806">
          <cell r="Z4806" t="str">
            <v>242974</v>
          </cell>
        </row>
        <row r="4807">
          <cell r="Z4807" t="str">
            <v>242979</v>
          </cell>
        </row>
        <row r="4808">
          <cell r="Z4808" t="str">
            <v>243000</v>
          </cell>
        </row>
        <row r="4809">
          <cell r="Z4809" t="str">
            <v>243100</v>
          </cell>
        </row>
        <row r="4810">
          <cell r="Z4810" t="str">
            <v>243110</v>
          </cell>
        </row>
        <row r="4811">
          <cell r="Z4811" t="str">
            <v>243111</v>
          </cell>
        </row>
        <row r="4812">
          <cell r="Z4812" t="str">
            <v>243112</v>
          </cell>
        </row>
        <row r="4813">
          <cell r="Z4813" t="str">
            <v>243113</v>
          </cell>
        </row>
        <row r="4814">
          <cell r="Z4814" t="str">
            <v>243114</v>
          </cell>
        </row>
        <row r="4815">
          <cell r="Z4815" t="str">
            <v>243119</v>
          </cell>
        </row>
        <row r="4816">
          <cell r="Z4816" t="str">
            <v>243120</v>
          </cell>
        </row>
        <row r="4817">
          <cell r="Z4817" t="str">
            <v>243121</v>
          </cell>
        </row>
        <row r="4818">
          <cell r="Z4818" t="str">
            <v>243122</v>
          </cell>
        </row>
        <row r="4819">
          <cell r="Z4819" t="str">
            <v>243123</v>
          </cell>
        </row>
        <row r="4820">
          <cell r="Z4820" t="str">
            <v>243124</v>
          </cell>
        </row>
        <row r="4821">
          <cell r="Z4821" t="str">
            <v>243129</v>
          </cell>
        </row>
        <row r="4822">
          <cell r="Z4822" t="str">
            <v>243130</v>
          </cell>
        </row>
        <row r="4823">
          <cell r="Z4823" t="str">
            <v>243131</v>
          </cell>
        </row>
        <row r="4824">
          <cell r="Z4824" t="str">
            <v>243132</v>
          </cell>
        </row>
        <row r="4825">
          <cell r="Z4825" t="str">
            <v>243133</v>
          </cell>
        </row>
        <row r="4826">
          <cell r="Z4826" t="str">
            <v>243134</v>
          </cell>
        </row>
        <row r="4827">
          <cell r="Z4827" t="str">
            <v>243139</v>
          </cell>
        </row>
        <row r="4828">
          <cell r="Z4828" t="str">
            <v>243140</v>
          </cell>
        </row>
        <row r="4829">
          <cell r="Z4829" t="str">
            <v>243141</v>
          </cell>
        </row>
        <row r="4830">
          <cell r="Z4830" t="str">
            <v>243142</v>
          </cell>
        </row>
        <row r="4831">
          <cell r="Z4831" t="str">
            <v>243143</v>
          </cell>
        </row>
        <row r="4832">
          <cell r="Z4832" t="str">
            <v>243144</v>
          </cell>
        </row>
        <row r="4833">
          <cell r="Z4833" t="str">
            <v>243149</v>
          </cell>
        </row>
        <row r="4834">
          <cell r="Z4834" t="str">
            <v>243150</v>
          </cell>
        </row>
        <row r="4835">
          <cell r="Z4835" t="str">
            <v>243151</v>
          </cell>
        </row>
        <row r="4836">
          <cell r="Z4836" t="str">
            <v>243152</v>
          </cell>
        </row>
        <row r="4837">
          <cell r="Z4837" t="str">
            <v>243153</v>
          </cell>
        </row>
        <row r="4838">
          <cell r="Z4838" t="str">
            <v>243154</v>
          </cell>
        </row>
        <row r="4839">
          <cell r="Z4839" t="str">
            <v>243159</v>
          </cell>
        </row>
        <row r="4840">
          <cell r="Z4840" t="str">
            <v>243160</v>
          </cell>
        </row>
        <row r="4841">
          <cell r="Z4841" t="str">
            <v>243161</v>
          </cell>
        </row>
        <row r="4842">
          <cell r="Z4842" t="str">
            <v>243162</v>
          </cell>
        </row>
        <row r="4843">
          <cell r="Z4843" t="str">
            <v>243163</v>
          </cell>
        </row>
        <row r="4844">
          <cell r="Z4844" t="str">
            <v>243164</v>
          </cell>
        </row>
        <row r="4845">
          <cell r="Z4845" t="str">
            <v>243169</v>
          </cell>
        </row>
        <row r="4846">
          <cell r="Z4846" t="str">
            <v>243170</v>
          </cell>
        </row>
        <row r="4847">
          <cell r="Z4847" t="str">
            <v>243171</v>
          </cell>
        </row>
        <row r="4848">
          <cell r="Z4848" t="str">
            <v>243172</v>
          </cell>
        </row>
        <row r="4849">
          <cell r="Z4849" t="str">
            <v>243173</v>
          </cell>
        </row>
        <row r="4850">
          <cell r="Z4850" t="str">
            <v>243174</v>
          </cell>
        </row>
        <row r="4851">
          <cell r="Z4851" t="str">
            <v>243179</v>
          </cell>
        </row>
        <row r="4852">
          <cell r="Z4852" t="str">
            <v>243200</v>
          </cell>
        </row>
        <row r="4853">
          <cell r="Z4853" t="str">
            <v>243210</v>
          </cell>
        </row>
        <row r="4854">
          <cell r="Z4854" t="str">
            <v>243211</v>
          </cell>
        </row>
        <row r="4855">
          <cell r="Z4855" t="str">
            <v>243212</v>
          </cell>
        </row>
        <row r="4856">
          <cell r="Z4856" t="str">
            <v>243213</v>
          </cell>
        </row>
        <row r="4857">
          <cell r="Z4857" t="str">
            <v>243214</v>
          </cell>
        </row>
        <row r="4858">
          <cell r="Z4858" t="str">
            <v>243219</v>
          </cell>
        </row>
        <row r="4859">
          <cell r="Z4859" t="str">
            <v>243220</v>
          </cell>
        </row>
        <row r="4860">
          <cell r="Z4860" t="str">
            <v>243221</v>
          </cell>
        </row>
        <row r="4861">
          <cell r="Z4861" t="str">
            <v>243222</v>
          </cell>
        </row>
        <row r="4862">
          <cell r="Z4862" t="str">
            <v>243223</v>
          </cell>
        </row>
        <row r="4863">
          <cell r="Z4863" t="str">
            <v>243224</v>
          </cell>
        </row>
        <row r="4864">
          <cell r="Z4864" t="str">
            <v>243229</v>
          </cell>
        </row>
        <row r="4865">
          <cell r="Z4865" t="str">
            <v>243230</v>
          </cell>
        </row>
        <row r="4866">
          <cell r="Z4866" t="str">
            <v>243231</v>
          </cell>
        </row>
        <row r="4867">
          <cell r="Z4867" t="str">
            <v>243232</v>
          </cell>
        </row>
        <row r="4868">
          <cell r="Z4868" t="str">
            <v>243233</v>
          </cell>
        </row>
        <row r="4869">
          <cell r="Z4869" t="str">
            <v>243234</v>
          </cell>
        </row>
        <row r="4870">
          <cell r="Z4870" t="str">
            <v>243239</v>
          </cell>
        </row>
        <row r="4871">
          <cell r="Z4871" t="str">
            <v>243240</v>
          </cell>
        </row>
        <row r="4872">
          <cell r="Z4872" t="str">
            <v>243241</v>
          </cell>
        </row>
        <row r="4873">
          <cell r="Z4873" t="str">
            <v>243242</v>
          </cell>
        </row>
        <row r="4874">
          <cell r="Z4874" t="str">
            <v>243243</v>
          </cell>
        </row>
        <row r="4875">
          <cell r="Z4875" t="str">
            <v>243244</v>
          </cell>
        </row>
        <row r="4876">
          <cell r="Z4876" t="str">
            <v>243249</v>
          </cell>
        </row>
        <row r="4877">
          <cell r="Z4877" t="str">
            <v>243300</v>
          </cell>
        </row>
        <row r="4878">
          <cell r="Z4878" t="str">
            <v>243310</v>
          </cell>
        </row>
        <row r="4879">
          <cell r="Z4879" t="str">
            <v>243311</v>
          </cell>
        </row>
        <row r="4880">
          <cell r="Z4880" t="str">
            <v>243312</v>
          </cell>
        </row>
        <row r="4881">
          <cell r="Z4881" t="str">
            <v>243313</v>
          </cell>
        </row>
        <row r="4882">
          <cell r="Z4882" t="str">
            <v>243314</v>
          </cell>
        </row>
        <row r="4883">
          <cell r="Z4883" t="str">
            <v>243319</v>
          </cell>
        </row>
        <row r="4884">
          <cell r="Z4884" t="str">
            <v>243320</v>
          </cell>
        </row>
        <row r="4885">
          <cell r="Z4885" t="str">
            <v>243321</v>
          </cell>
        </row>
        <row r="4886">
          <cell r="Z4886" t="str">
            <v>243322</v>
          </cell>
        </row>
        <row r="4887">
          <cell r="Z4887" t="str">
            <v>243323</v>
          </cell>
        </row>
        <row r="4888">
          <cell r="Z4888" t="str">
            <v>243324</v>
          </cell>
        </row>
        <row r="4889">
          <cell r="Z4889" t="str">
            <v>243329</v>
          </cell>
        </row>
        <row r="4890">
          <cell r="Z4890" t="str">
            <v>243330</v>
          </cell>
        </row>
        <row r="4891">
          <cell r="Z4891" t="str">
            <v>243331</v>
          </cell>
        </row>
        <row r="4892">
          <cell r="Z4892" t="str">
            <v>243332</v>
          </cell>
        </row>
        <row r="4893">
          <cell r="Z4893" t="str">
            <v>243333</v>
          </cell>
        </row>
        <row r="4894">
          <cell r="Z4894" t="str">
            <v>243334</v>
          </cell>
        </row>
        <row r="4895">
          <cell r="Z4895" t="str">
            <v>243339</v>
          </cell>
        </row>
        <row r="4896">
          <cell r="Z4896" t="str">
            <v>243340</v>
          </cell>
        </row>
        <row r="4897">
          <cell r="Z4897" t="str">
            <v>243341</v>
          </cell>
        </row>
        <row r="4898">
          <cell r="Z4898" t="str">
            <v>243342</v>
          </cell>
        </row>
        <row r="4899">
          <cell r="Z4899" t="str">
            <v>243343</v>
          </cell>
        </row>
        <row r="4900">
          <cell r="Z4900" t="str">
            <v>243344</v>
          </cell>
        </row>
        <row r="4901">
          <cell r="Z4901" t="str">
            <v>243349</v>
          </cell>
        </row>
        <row r="4902">
          <cell r="Z4902" t="str">
            <v>243400</v>
          </cell>
        </row>
        <row r="4903">
          <cell r="Z4903" t="str">
            <v>243410</v>
          </cell>
        </row>
        <row r="4904">
          <cell r="Z4904" t="str">
            <v>243411</v>
          </cell>
        </row>
        <row r="4905">
          <cell r="Z4905" t="str">
            <v>243412</v>
          </cell>
        </row>
        <row r="4906">
          <cell r="Z4906" t="str">
            <v>243413</v>
          </cell>
        </row>
        <row r="4907">
          <cell r="Z4907" t="str">
            <v>243414</v>
          </cell>
        </row>
        <row r="4908">
          <cell r="Z4908" t="str">
            <v>243419</v>
          </cell>
        </row>
        <row r="4909">
          <cell r="Z4909" t="str">
            <v>243420</v>
          </cell>
        </row>
        <row r="4910">
          <cell r="Z4910" t="str">
            <v>243421</v>
          </cell>
        </row>
        <row r="4911">
          <cell r="Z4911" t="str">
            <v>243422</v>
          </cell>
        </row>
        <row r="4912">
          <cell r="Z4912" t="str">
            <v>243423</v>
          </cell>
        </row>
        <row r="4913">
          <cell r="Z4913" t="str">
            <v>243424</v>
          </cell>
        </row>
        <row r="4914">
          <cell r="Z4914" t="str">
            <v>243429</v>
          </cell>
        </row>
        <row r="4915">
          <cell r="Z4915" t="str">
            <v>243430</v>
          </cell>
        </row>
        <row r="4916">
          <cell r="Z4916" t="str">
            <v>243431</v>
          </cell>
        </row>
        <row r="4917">
          <cell r="Z4917" t="str">
            <v>243432</v>
          </cell>
        </row>
        <row r="4918">
          <cell r="Z4918" t="str">
            <v>243433</v>
          </cell>
        </row>
        <row r="4919">
          <cell r="Z4919" t="str">
            <v>243434</v>
          </cell>
        </row>
        <row r="4920">
          <cell r="Z4920" t="str">
            <v>243439</v>
          </cell>
        </row>
        <row r="4921">
          <cell r="Z4921" t="str">
            <v>243440</v>
          </cell>
        </row>
        <row r="4922">
          <cell r="Z4922" t="str">
            <v>243441</v>
          </cell>
        </row>
        <row r="4923">
          <cell r="Z4923" t="str">
            <v>243442</v>
          </cell>
        </row>
        <row r="4924">
          <cell r="Z4924" t="str">
            <v>243443</v>
          </cell>
        </row>
        <row r="4925">
          <cell r="Z4925" t="str">
            <v>243444</v>
          </cell>
        </row>
        <row r="4926">
          <cell r="Z4926" t="str">
            <v>243449</v>
          </cell>
        </row>
        <row r="4927">
          <cell r="Z4927" t="str">
            <v>243500</v>
          </cell>
        </row>
        <row r="4928">
          <cell r="Z4928" t="str">
            <v>243510</v>
          </cell>
        </row>
        <row r="4929">
          <cell r="Z4929" t="str">
            <v>243511</v>
          </cell>
        </row>
        <row r="4930">
          <cell r="Z4930" t="str">
            <v>243512</v>
          </cell>
        </row>
        <row r="4931">
          <cell r="Z4931" t="str">
            <v>243513</v>
          </cell>
        </row>
        <row r="4932">
          <cell r="Z4932" t="str">
            <v>243514</v>
          </cell>
        </row>
        <row r="4933">
          <cell r="Z4933" t="str">
            <v>243519</v>
          </cell>
        </row>
        <row r="4934">
          <cell r="Z4934" t="str">
            <v>243520</v>
          </cell>
        </row>
        <row r="4935">
          <cell r="Z4935" t="str">
            <v>243521</v>
          </cell>
        </row>
        <row r="4936">
          <cell r="Z4936" t="str">
            <v>243522</v>
          </cell>
        </row>
        <row r="4937">
          <cell r="Z4937" t="str">
            <v>243523</v>
          </cell>
        </row>
        <row r="4938">
          <cell r="Z4938" t="str">
            <v>243524</v>
          </cell>
        </row>
        <row r="4939">
          <cell r="Z4939" t="str">
            <v>243529</v>
          </cell>
        </row>
        <row r="4940">
          <cell r="Z4940" t="str">
            <v>243530</v>
          </cell>
        </row>
        <row r="4941">
          <cell r="Z4941" t="str">
            <v>243531</v>
          </cell>
        </row>
        <row r="4942">
          <cell r="Z4942" t="str">
            <v>243532</v>
          </cell>
        </row>
        <row r="4943">
          <cell r="Z4943" t="str">
            <v>243533</v>
          </cell>
        </row>
        <row r="4944">
          <cell r="Z4944" t="str">
            <v>243534</v>
          </cell>
        </row>
        <row r="4945">
          <cell r="Z4945" t="str">
            <v>243539</v>
          </cell>
        </row>
        <row r="4946">
          <cell r="Z4946" t="str">
            <v>243900</v>
          </cell>
        </row>
        <row r="4947">
          <cell r="Z4947" t="str">
            <v>243910</v>
          </cell>
        </row>
        <row r="4948">
          <cell r="Z4948" t="str">
            <v>243911</v>
          </cell>
        </row>
        <row r="4949">
          <cell r="Z4949" t="str">
            <v>243912</v>
          </cell>
        </row>
        <row r="4950">
          <cell r="Z4950" t="str">
            <v>243913</v>
          </cell>
        </row>
        <row r="4951">
          <cell r="Z4951" t="str">
            <v>243914</v>
          </cell>
        </row>
        <row r="4952">
          <cell r="Z4952" t="str">
            <v>243919</v>
          </cell>
        </row>
        <row r="4953">
          <cell r="Z4953" t="str">
            <v>243920</v>
          </cell>
        </row>
        <row r="4954">
          <cell r="Z4954" t="str">
            <v>243921</v>
          </cell>
        </row>
        <row r="4955">
          <cell r="Z4955" t="str">
            <v>243922</v>
          </cell>
        </row>
        <row r="4956">
          <cell r="Z4956" t="str">
            <v>243923</v>
          </cell>
        </row>
        <row r="4957">
          <cell r="Z4957" t="str">
            <v>243924</v>
          </cell>
        </row>
        <row r="4958">
          <cell r="Z4958" t="str">
            <v>243929</v>
          </cell>
        </row>
        <row r="4959">
          <cell r="Z4959" t="str">
            <v>243930</v>
          </cell>
        </row>
        <row r="4960">
          <cell r="Z4960" t="str">
            <v>243931</v>
          </cell>
        </row>
        <row r="4961">
          <cell r="Z4961" t="str">
            <v>243932</v>
          </cell>
        </row>
        <row r="4962">
          <cell r="Z4962" t="str">
            <v>243933</v>
          </cell>
        </row>
        <row r="4963">
          <cell r="Z4963" t="str">
            <v>243934</v>
          </cell>
        </row>
        <row r="4964">
          <cell r="Z4964" t="str">
            <v>243939</v>
          </cell>
        </row>
        <row r="4965">
          <cell r="Z4965" t="str">
            <v>243940</v>
          </cell>
        </row>
        <row r="4966">
          <cell r="Z4966" t="str">
            <v>243941</v>
          </cell>
        </row>
        <row r="4967">
          <cell r="Z4967" t="str">
            <v>243942</v>
          </cell>
        </row>
        <row r="4968">
          <cell r="Z4968" t="str">
            <v>243943</v>
          </cell>
        </row>
        <row r="4969">
          <cell r="Z4969" t="str">
            <v>243944</v>
          </cell>
        </row>
        <row r="4970">
          <cell r="Z4970" t="str">
            <v>243949</v>
          </cell>
        </row>
        <row r="4971">
          <cell r="Z4971" t="str">
            <v>243950</v>
          </cell>
        </row>
        <row r="4972">
          <cell r="Z4972" t="str">
            <v>243951</v>
          </cell>
        </row>
        <row r="4973">
          <cell r="Z4973" t="str">
            <v>243952</v>
          </cell>
        </row>
        <row r="4974">
          <cell r="Z4974" t="str">
            <v>243953</v>
          </cell>
        </row>
        <row r="4975">
          <cell r="Z4975" t="str">
            <v>243954</v>
          </cell>
        </row>
        <row r="4976">
          <cell r="Z4976" t="str">
            <v>243959</v>
          </cell>
        </row>
        <row r="4977">
          <cell r="Z4977" t="str">
            <v>243960</v>
          </cell>
        </row>
        <row r="4978">
          <cell r="Z4978" t="str">
            <v>243961</v>
          </cell>
        </row>
        <row r="4979">
          <cell r="Z4979" t="str">
            <v>243962</v>
          </cell>
        </row>
        <row r="4980">
          <cell r="Z4980" t="str">
            <v>243963</v>
          </cell>
        </row>
        <row r="4981">
          <cell r="Z4981" t="str">
            <v>243964</v>
          </cell>
        </row>
        <row r="4982">
          <cell r="Z4982" t="str">
            <v>243969</v>
          </cell>
        </row>
        <row r="4983">
          <cell r="Z4983" t="str">
            <v>243970</v>
          </cell>
        </row>
        <row r="4984">
          <cell r="Z4984" t="str">
            <v>243971</v>
          </cell>
        </row>
        <row r="4985">
          <cell r="Z4985" t="str">
            <v>243972</v>
          </cell>
        </row>
        <row r="4986">
          <cell r="Z4986" t="str">
            <v>243973</v>
          </cell>
        </row>
        <row r="4987">
          <cell r="Z4987" t="str">
            <v>243974</v>
          </cell>
        </row>
        <row r="4988">
          <cell r="Z4988" t="str">
            <v>243979</v>
          </cell>
        </row>
        <row r="4989">
          <cell r="Z4989" t="str">
            <v>250000</v>
          </cell>
        </row>
        <row r="4990">
          <cell r="Z4990" t="str">
            <v>251000</v>
          </cell>
        </row>
        <row r="4991">
          <cell r="Z4991" t="str">
            <v>251100</v>
          </cell>
        </row>
        <row r="4992">
          <cell r="Z4992" t="str">
            <v>251110</v>
          </cell>
        </row>
        <row r="4993">
          <cell r="Z4993" t="str">
            <v>251111</v>
          </cell>
        </row>
        <row r="4994">
          <cell r="Z4994" t="str">
            <v>251112</v>
          </cell>
        </row>
        <row r="4995">
          <cell r="Z4995" t="str">
            <v>251113</v>
          </cell>
        </row>
        <row r="4996">
          <cell r="Z4996" t="str">
            <v>251114</v>
          </cell>
        </row>
        <row r="4997">
          <cell r="Z4997" t="str">
            <v>251119</v>
          </cell>
        </row>
        <row r="4998">
          <cell r="Z4998" t="str">
            <v>251120</v>
          </cell>
        </row>
        <row r="4999">
          <cell r="Z4999" t="str">
            <v>251121</v>
          </cell>
        </row>
        <row r="5000">
          <cell r="Z5000" t="str">
            <v>251122</v>
          </cell>
        </row>
        <row r="5001">
          <cell r="Z5001" t="str">
            <v>251123</v>
          </cell>
        </row>
        <row r="5002">
          <cell r="Z5002" t="str">
            <v>251124</v>
          </cell>
        </row>
        <row r="5003">
          <cell r="Z5003" t="str">
            <v>251129</v>
          </cell>
        </row>
        <row r="5004">
          <cell r="Z5004" t="str">
            <v>251200</v>
          </cell>
        </row>
        <row r="5005">
          <cell r="Z5005" t="str">
            <v>251210</v>
          </cell>
        </row>
        <row r="5006">
          <cell r="Z5006" t="str">
            <v>251211</v>
          </cell>
        </row>
        <row r="5007">
          <cell r="Z5007" t="str">
            <v>251212</v>
          </cell>
        </row>
        <row r="5008">
          <cell r="Z5008" t="str">
            <v>251213</v>
          </cell>
        </row>
        <row r="5009">
          <cell r="Z5009" t="str">
            <v>251214</v>
          </cell>
        </row>
        <row r="5010">
          <cell r="Z5010" t="str">
            <v>251219</v>
          </cell>
        </row>
        <row r="5011">
          <cell r="Z5011" t="str">
            <v>251220</v>
          </cell>
        </row>
        <row r="5012">
          <cell r="Z5012" t="str">
            <v>251221</v>
          </cell>
        </row>
        <row r="5013">
          <cell r="Z5013" t="str">
            <v>251222</v>
          </cell>
        </row>
        <row r="5014">
          <cell r="Z5014" t="str">
            <v>251223</v>
          </cell>
        </row>
        <row r="5015">
          <cell r="Z5015" t="str">
            <v>251224</v>
          </cell>
        </row>
        <row r="5016">
          <cell r="Z5016" t="str">
            <v>251229</v>
          </cell>
        </row>
        <row r="5017">
          <cell r="Z5017" t="str">
            <v>251300</v>
          </cell>
        </row>
        <row r="5018">
          <cell r="Z5018" t="str">
            <v>251310</v>
          </cell>
        </row>
        <row r="5019">
          <cell r="Z5019" t="str">
            <v>251311</v>
          </cell>
        </row>
        <row r="5020">
          <cell r="Z5020" t="str">
            <v>251312</v>
          </cell>
        </row>
        <row r="5021">
          <cell r="Z5021" t="str">
            <v>251313</v>
          </cell>
        </row>
        <row r="5022">
          <cell r="Z5022" t="str">
            <v>251314</v>
          </cell>
        </row>
        <row r="5023">
          <cell r="Z5023" t="str">
            <v>251319</v>
          </cell>
        </row>
        <row r="5024">
          <cell r="Z5024" t="str">
            <v>251320</v>
          </cell>
        </row>
        <row r="5025">
          <cell r="Z5025" t="str">
            <v>251321</v>
          </cell>
        </row>
        <row r="5026">
          <cell r="Z5026" t="str">
            <v>251322</v>
          </cell>
        </row>
        <row r="5027">
          <cell r="Z5027" t="str">
            <v>251323</v>
          </cell>
        </row>
        <row r="5028">
          <cell r="Z5028" t="str">
            <v>251324</v>
          </cell>
        </row>
        <row r="5029">
          <cell r="Z5029" t="str">
            <v>251329</v>
          </cell>
        </row>
        <row r="5030">
          <cell r="Z5030" t="str">
            <v>252000</v>
          </cell>
        </row>
        <row r="5031">
          <cell r="Z5031" t="str">
            <v>252100</v>
          </cell>
        </row>
        <row r="5032">
          <cell r="Z5032" t="str">
            <v>252110</v>
          </cell>
        </row>
        <row r="5033">
          <cell r="Z5033" t="str">
            <v>252111</v>
          </cell>
        </row>
        <row r="5034">
          <cell r="Z5034" t="str">
            <v>252112</v>
          </cell>
        </row>
        <row r="5035">
          <cell r="Z5035" t="str">
            <v>252113</v>
          </cell>
        </row>
        <row r="5036">
          <cell r="Z5036" t="str">
            <v>252114</v>
          </cell>
        </row>
        <row r="5037">
          <cell r="Z5037" t="str">
            <v>252119</v>
          </cell>
        </row>
        <row r="5038">
          <cell r="Z5038" t="str">
            <v>252120</v>
          </cell>
        </row>
        <row r="5039">
          <cell r="Z5039" t="str">
            <v>252121</v>
          </cell>
        </row>
        <row r="5040">
          <cell r="Z5040" t="str">
            <v>252122</v>
          </cell>
        </row>
        <row r="5041">
          <cell r="Z5041" t="str">
            <v>252123</v>
          </cell>
        </row>
        <row r="5042">
          <cell r="Z5042" t="str">
            <v>252124</v>
          </cell>
        </row>
        <row r="5043">
          <cell r="Z5043" t="str">
            <v>252129</v>
          </cell>
        </row>
        <row r="5044">
          <cell r="Z5044" t="str">
            <v>252130</v>
          </cell>
        </row>
        <row r="5045">
          <cell r="Z5045" t="str">
            <v>252131</v>
          </cell>
        </row>
        <row r="5046">
          <cell r="Z5046" t="str">
            <v>252132</v>
          </cell>
        </row>
        <row r="5047">
          <cell r="Z5047" t="str">
            <v>252133</v>
          </cell>
        </row>
        <row r="5048">
          <cell r="Z5048" t="str">
            <v>252134</v>
          </cell>
        </row>
        <row r="5049">
          <cell r="Z5049" t="str">
            <v>252139</v>
          </cell>
        </row>
        <row r="5050">
          <cell r="Z5050" t="str">
            <v>252200</v>
          </cell>
        </row>
        <row r="5051">
          <cell r="Z5051" t="str">
            <v>252210</v>
          </cell>
        </row>
        <row r="5052">
          <cell r="Z5052" t="str">
            <v>252211</v>
          </cell>
        </row>
        <row r="5053">
          <cell r="Z5053" t="str">
            <v>252212</v>
          </cell>
        </row>
        <row r="5054">
          <cell r="Z5054" t="str">
            <v>252213</v>
          </cell>
        </row>
        <row r="5055">
          <cell r="Z5055" t="str">
            <v>252214</v>
          </cell>
        </row>
        <row r="5056">
          <cell r="Z5056" t="str">
            <v>252219</v>
          </cell>
        </row>
        <row r="5057">
          <cell r="Z5057" t="str">
            <v>252220</v>
          </cell>
        </row>
        <row r="5058">
          <cell r="Z5058" t="str">
            <v>252221</v>
          </cell>
        </row>
        <row r="5059">
          <cell r="Z5059" t="str">
            <v>252222</v>
          </cell>
        </row>
        <row r="5060">
          <cell r="Z5060" t="str">
            <v>252223</v>
          </cell>
        </row>
        <row r="5061">
          <cell r="Z5061" t="str">
            <v>252224</v>
          </cell>
        </row>
        <row r="5062">
          <cell r="Z5062" t="str">
            <v>252229</v>
          </cell>
        </row>
        <row r="5063">
          <cell r="Z5063" t="str">
            <v>252230</v>
          </cell>
        </row>
        <row r="5064">
          <cell r="Z5064" t="str">
            <v>252231</v>
          </cell>
        </row>
        <row r="5065">
          <cell r="Z5065" t="str">
            <v>252232</v>
          </cell>
        </row>
        <row r="5066">
          <cell r="Z5066" t="str">
            <v>252233</v>
          </cell>
        </row>
        <row r="5067">
          <cell r="Z5067" t="str">
            <v>252234</v>
          </cell>
        </row>
        <row r="5068">
          <cell r="Z5068" t="str">
            <v>252239</v>
          </cell>
        </row>
        <row r="5069">
          <cell r="Z5069" t="str">
            <v>252300</v>
          </cell>
        </row>
        <row r="5070">
          <cell r="Z5070" t="str">
            <v>252310</v>
          </cell>
        </row>
        <row r="5071">
          <cell r="Z5071" t="str">
            <v>252311</v>
          </cell>
        </row>
        <row r="5072">
          <cell r="Z5072" t="str">
            <v>252312</v>
          </cell>
        </row>
        <row r="5073">
          <cell r="Z5073" t="str">
            <v>252313</v>
          </cell>
        </row>
        <row r="5074">
          <cell r="Z5074" t="str">
            <v>252314</v>
          </cell>
        </row>
        <row r="5075">
          <cell r="Z5075" t="str">
            <v>252319</v>
          </cell>
        </row>
        <row r="5076">
          <cell r="Z5076" t="str">
            <v>252320</v>
          </cell>
        </row>
        <row r="5077">
          <cell r="Z5077" t="str">
            <v>252321</v>
          </cell>
        </row>
        <row r="5078">
          <cell r="Z5078" t="str">
            <v>252322</v>
          </cell>
        </row>
        <row r="5079">
          <cell r="Z5079" t="str">
            <v>252323</v>
          </cell>
        </row>
        <row r="5080">
          <cell r="Z5080" t="str">
            <v>252324</v>
          </cell>
        </row>
        <row r="5081">
          <cell r="Z5081" t="str">
            <v>252329</v>
          </cell>
        </row>
        <row r="5082">
          <cell r="Z5082" t="str">
            <v>252330</v>
          </cell>
        </row>
        <row r="5083">
          <cell r="Z5083" t="str">
            <v>252331</v>
          </cell>
        </row>
        <row r="5084">
          <cell r="Z5084" t="str">
            <v>252332</v>
          </cell>
        </row>
        <row r="5085">
          <cell r="Z5085" t="str">
            <v>252333</v>
          </cell>
        </row>
        <row r="5086">
          <cell r="Z5086" t="str">
            <v>252334</v>
          </cell>
        </row>
        <row r="5087">
          <cell r="Z5087" t="str">
            <v>252339</v>
          </cell>
        </row>
        <row r="5088">
          <cell r="Z5088" t="str">
            <v>252340</v>
          </cell>
        </row>
        <row r="5089">
          <cell r="Z5089" t="str">
            <v>252341</v>
          </cell>
        </row>
        <row r="5090">
          <cell r="Z5090" t="str">
            <v>252342</v>
          </cell>
        </row>
        <row r="5091">
          <cell r="Z5091" t="str">
            <v>252343</v>
          </cell>
        </row>
        <row r="5092">
          <cell r="Z5092" t="str">
            <v>252344</v>
          </cell>
        </row>
        <row r="5093">
          <cell r="Z5093" t="str">
            <v>252349</v>
          </cell>
        </row>
        <row r="5094">
          <cell r="Z5094" t="str">
            <v>252350</v>
          </cell>
        </row>
        <row r="5095">
          <cell r="Z5095" t="str">
            <v>252351</v>
          </cell>
        </row>
        <row r="5096">
          <cell r="Z5096" t="str">
            <v>252352</v>
          </cell>
        </row>
        <row r="5097">
          <cell r="Z5097" t="str">
            <v>252353</v>
          </cell>
        </row>
        <row r="5098">
          <cell r="Z5098" t="str">
            <v>252354</v>
          </cell>
        </row>
        <row r="5099">
          <cell r="Z5099" t="str">
            <v>252359</v>
          </cell>
        </row>
        <row r="5100">
          <cell r="Z5100" t="str">
            <v>252360</v>
          </cell>
        </row>
        <row r="5101">
          <cell r="Z5101" t="str">
            <v>252361</v>
          </cell>
        </row>
        <row r="5102">
          <cell r="Z5102" t="str">
            <v>252362</v>
          </cell>
        </row>
        <row r="5103">
          <cell r="Z5103" t="str">
            <v>252363</v>
          </cell>
        </row>
        <row r="5104">
          <cell r="Z5104" t="str">
            <v>252364</v>
          </cell>
        </row>
        <row r="5105">
          <cell r="Z5105" t="str">
            <v>252369</v>
          </cell>
        </row>
        <row r="5106">
          <cell r="Z5106" t="str">
            <v>252370</v>
          </cell>
        </row>
        <row r="5107">
          <cell r="Z5107" t="str">
            <v>252371</v>
          </cell>
        </row>
        <row r="5108">
          <cell r="Z5108" t="str">
            <v>252372</v>
          </cell>
        </row>
        <row r="5109">
          <cell r="Z5109" t="str">
            <v>252373</v>
          </cell>
        </row>
        <row r="5110">
          <cell r="Z5110" t="str">
            <v>252374</v>
          </cell>
        </row>
        <row r="5111">
          <cell r="Z5111" t="str">
            <v>252379</v>
          </cell>
        </row>
        <row r="5112">
          <cell r="Z5112" t="str">
            <v>252380</v>
          </cell>
        </row>
        <row r="5113">
          <cell r="Z5113" t="str">
            <v>252381</v>
          </cell>
        </row>
        <row r="5114">
          <cell r="Z5114" t="str">
            <v>252382</v>
          </cell>
        </row>
        <row r="5115">
          <cell r="Z5115" t="str">
            <v>252383</v>
          </cell>
        </row>
        <row r="5116">
          <cell r="Z5116" t="str">
            <v>252384</v>
          </cell>
        </row>
        <row r="5117">
          <cell r="Z5117" t="str">
            <v>252389</v>
          </cell>
        </row>
        <row r="5118">
          <cell r="Z5118" t="str">
            <v>252390</v>
          </cell>
        </row>
        <row r="5119">
          <cell r="Z5119" t="str">
            <v>252391</v>
          </cell>
        </row>
        <row r="5120">
          <cell r="Z5120" t="str">
            <v>252392</v>
          </cell>
        </row>
        <row r="5121">
          <cell r="Z5121" t="str">
            <v>252393</v>
          </cell>
        </row>
        <row r="5122">
          <cell r="Z5122" t="str">
            <v>252394</v>
          </cell>
        </row>
        <row r="5123">
          <cell r="Z5123" t="str">
            <v>252399</v>
          </cell>
        </row>
        <row r="5124">
          <cell r="Z5124" t="str">
            <v>252400</v>
          </cell>
        </row>
        <row r="5125">
          <cell r="Z5125" t="str">
            <v>252410</v>
          </cell>
        </row>
        <row r="5126">
          <cell r="Z5126" t="str">
            <v>252411</v>
          </cell>
        </row>
        <row r="5127">
          <cell r="Z5127" t="str">
            <v>252412</v>
          </cell>
        </row>
        <row r="5128">
          <cell r="Z5128" t="str">
            <v>252413</v>
          </cell>
        </row>
        <row r="5129">
          <cell r="Z5129" t="str">
            <v>252414</v>
          </cell>
        </row>
        <row r="5130">
          <cell r="Z5130" t="str">
            <v>252419</v>
          </cell>
        </row>
        <row r="5131">
          <cell r="Z5131" t="str">
            <v>252420</v>
          </cell>
        </row>
        <row r="5132">
          <cell r="Z5132" t="str">
            <v>252421</v>
          </cell>
        </row>
        <row r="5133">
          <cell r="Z5133" t="str">
            <v>252422</v>
          </cell>
        </row>
        <row r="5134">
          <cell r="Z5134" t="str">
            <v>252423</v>
          </cell>
        </row>
        <row r="5135">
          <cell r="Z5135" t="str">
            <v>252424</v>
          </cell>
        </row>
        <row r="5136">
          <cell r="Z5136" t="str">
            <v>252429</v>
          </cell>
        </row>
        <row r="5137">
          <cell r="Z5137" t="str">
            <v>252430</v>
          </cell>
        </row>
        <row r="5138">
          <cell r="Z5138" t="str">
            <v>252431</v>
          </cell>
        </row>
        <row r="5139">
          <cell r="Z5139" t="str">
            <v>252432</v>
          </cell>
        </row>
        <row r="5140">
          <cell r="Z5140" t="str">
            <v>252433</v>
          </cell>
        </row>
        <row r="5141">
          <cell r="Z5141" t="str">
            <v>252434</v>
          </cell>
        </row>
        <row r="5142">
          <cell r="Z5142" t="str">
            <v>252439</v>
          </cell>
        </row>
        <row r="5143">
          <cell r="Z5143" t="str">
            <v>252500</v>
          </cell>
        </row>
        <row r="5144">
          <cell r="Z5144" t="str">
            <v>252510</v>
          </cell>
        </row>
        <row r="5145">
          <cell r="Z5145" t="str">
            <v>252511</v>
          </cell>
        </row>
        <row r="5146">
          <cell r="Z5146" t="str">
            <v>252512</v>
          </cell>
        </row>
        <row r="5147">
          <cell r="Z5147" t="str">
            <v>252513</v>
          </cell>
        </row>
        <row r="5148">
          <cell r="Z5148" t="str">
            <v>252514</v>
          </cell>
        </row>
        <row r="5149">
          <cell r="Z5149" t="str">
            <v>252519</v>
          </cell>
        </row>
        <row r="5150">
          <cell r="Z5150" t="str">
            <v>252520</v>
          </cell>
        </row>
        <row r="5151">
          <cell r="Z5151" t="str">
            <v>252521</v>
          </cell>
        </row>
        <row r="5152">
          <cell r="Z5152" t="str">
            <v>252522</v>
          </cell>
        </row>
        <row r="5153">
          <cell r="Z5153" t="str">
            <v>252523</v>
          </cell>
        </row>
        <row r="5154">
          <cell r="Z5154" t="str">
            <v>252524</v>
          </cell>
        </row>
        <row r="5155">
          <cell r="Z5155" t="str">
            <v>252529</v>
          </cell>
        </row>
        <row r="5156">
          <cell r="Z5156" t="str">
            <v>252600</v>
          </cell>
        </row>
        <row r="5157">
          <cell r="Z5157" t="str">
            <v>252610</v>
          </cell>
        </row>
        <row r="5158">
          <cell r="Z5158" t="str">
            <v>252611</v>
          </cell>
        </row>
        <row r="5159">
          <cell r="Z5159" t="str">
            <v>252612</v>
          </cell>
        </row>
        <row r="5160">
          <cell r="Z5160" t="str">
            <v>252613</v>
          </cell>
        </row>
        <row r="5161">
          <cell r="Z5161" t="str">
            <v>252614</v>
          </cell>
        </row>
        <row r="5162">
          <cell r="Z5162" t="str">
            <v>252619</v>
          </cell>
        </row>
        <row r="5163">
          <cell r="Z5163" t="str">
            <v>252620</v>
          </cell>
        </row>
        <row r="5164">
          <cell r="Z5164" t="str">
            <v>252621</v>
          </cell>
        </row>
        <row r="5165">
          <cell r="Z5165" t="str">
            <v>252622</v>
          </cell>
        </row>
        <row r="5166">
          <cell r="Z5166" t="str">
            <v>252623</v>
          </cell>
        </row>
        <row r="5167">
          <cell r="Z5167" t="str">
            <v>252624</v>
          </cell>
        </row>
        <row r="5168">
          <cell r="Z5168" t="str">
            <v>252629</v>
          </cell>
        </row>
        <row r="5169">
          <cell r="Z5169" t="str">
            <v>252700</v>
          </cell>
        </row>
        <row r="5170">
          <cell r="Z5170" t="str">
            <v>252710</v>
          </cell>
        </row>
        <row r="5171">
          <cell r="Z5171" t="str">
            <v>252711</v>
          </cell>
        </row>
        <row r="5172">
          <cell r="Z5172" t="str">
            <v>252712</v>
          </cell>
        </row>
        <row r="5173">
          <cell r="Z5173" t="str">
            <v>252713</v>
          </cell>
        </row>
        <row r="5174">
          <cell r="Z5174" t="str">
            <v>252714</v>
          </cell>
        </row>
        <row r="5175">
          <cell r="Z5175" t="str">
            <v>252719</v>
          </cell>
        </row>
        <row r="5176">
          <cell r="Z5176" t="str">
            <v>252720</v>
          </cell>
        </row>
        <row r="5177">
          <cell r="Z5177" t="str">
            <v>252721</v>
          </cell>
        </row>
        <row r="5178">
          <cell r="Z5178" t="str">
            <v>252722</v>
          </cell>
        </row>
        <row r="5179">
          <cell r="Z5179" t="str">
            <v>252723</v>
          </cell>
        </row>
        <row r="5180">
          <cell r="Z5180" t="str">
            <v>252724</v>
          </cell>
        </row>
        <row r="5181">
          <cell r="Z5181" t="str">
            <v>252729</v>
          </cell>
        </row>
        <row r="5182">
          <cell r="Z5182" t="str">
            <v>252730</v>
          </cell>
        </row>
        <row r="5183">
          <cell r="Z5183" t="str">
            <v>252731</v>
          </cell>
        </row>
        <row r="5184">
          <cell r="Z5184" t="str">
            <v>252732</v>
          </cell>
        </row>
        <row r="5185">
          <cell r="Z5185" t="str">
            <v>252733</v>
          </cell>
        </row>
        <row r="5186">
          <cell r="Z5186" t="str">
            <v>252734</v>
          </cell>
        </row>
        <row r="5187">
          <cell r="Z5187" t="str">
            <v>252739</v>
          </cell>
        </row>
        <row r="5188">
          <cell r="Z5188" t="str">
            <v>252740</v>
          </cell>
        </row>
        <row r="5189">
          <cell r="Z5189" t="str">
            <v>252741</v>
          </cell>
        </row>
        <row r="5190">
          <cell r="Z5190" t="str">
            <v>252742</v>
          </cell>
        </row>
        <row r="5191">
          <cell r="Z5191" t="str">
            <v>252743</v>
          </cell>
        </row>
        <row r="5192">
          <cell r="Z5192" t="str">
            <v>252744</v>
          </cell>
        </row>
        <row r="5193">
          <cell r="Z5193" t="str">
            <v>252749</v>
          </cell>
        </row>
        <row r="5194">
          <cell r="Z5194" t="str">
            <v>252750</v>
          </cell>
        </row>
        <row r="5195">
          <cell r="Z5195" t="str">
            <v>252751</v>
          </cell>
        </row>
        <row r="5196">
          <cell r="Z5196" t="str">
            <v>252752</v>
          </cell>
        </row>
        <row r="5197">
          <cell r="Z5197" t="str">
            <v>252753</v>
          </cell>
        </row>
        <row r="5198">
          <cell r="Z5198" t="str">
            <v>252754</v>
          </cell>
        </row>
        <row r="5199">
          <cell r="Z5199" t="str">
            <v>252759</v>
          </cell>
        </row>
        <row r="5200">
          <cell r="Z5200" t="str">
            <v>252760</v>
          </cell>
        </row>
        <row r="5201">
          <cell r="Z5201" t="str">
            <v>252761</v>
          </cell>
        </row>
        <row r="5202">
          <cell r="Z5202" t="str">
            <v>252762</v>
          </cell>
        </row>
        <row r="5203">
          <cell r="Z5203" t="str">
            <v>252763</v>
          </cell>
        </row>
        <row r="5204">
          <cell r="Z5204" t="str">
            <v>252764</v>
          </cell>
        </row>
        <row r="5205">
          <cell r="Z5205" t="str">
            <v>252769</v>
          </cell>
        </row>
        <row r="5206">
          <cell r="Z5206" t="str">
            <v>252770</v>
          </cell>
        </row>
        <row r="5207">
          <cell r="Z5207" t="str">
            <v>252771</v>
          </cell>
        </row>
        <row r="5208">
          <cell r="Z5208" t="str">
            <v>252772</v>
          </cell>
        </row>
        <row r="5209">
          <cell r="Z5209" t="str">
            <v>252773</v>
          </cell>
        </row>
        <row r="5210">
          <cell r="Z5210" t="str">
            <v>252774</v>
          </cell>
        </row>
        <row r="5211">
          <cell r="Z5211" t="str">
            <v>252779</v>
          </cell>
        </row>
        <row r="5212">
          <cell r="Z5212" t="str">
            <v>252780</v>
          </cell>
        </row>
        <row r="5213">
          <cell r="Z5213" t="str">
            <v>252781</v>
          </cell>
        </row>
        <row r="5214">
          <cell r="Z5214" t="str">
            <v>252782</v>
          </cell>
        </row>
        <row r="5215">
          <cell r="Z5215" t="str">
            <v>252783</v>
          </cell>
        </row>
        <row r="5216">
          <cell r="Z5216" t="str">
            <v>252784</v>
          </cell>
        </row>
        <row r="5217">
          <cell r="Z5217" t="str">
            <v>252789</v>
          </cell>
        </row>
        <row r="5218">
          <cell r="Z5218" t="str">
            <v>252790</v>
          </cell>
        </row>
        <row r="5219">
          <cell r="Z5219" t="str">
            <v>252791</v>
          </cell>
        </row>
        <row r="5220">
          <cell r="Z5220" t="str">
            <v>252792</v>
          </cell>
        </row>
        <row r="5221">
          <cell r="Z5221" t="str">
            <v>252793</v>
          </cell>
        </row>
        <row r="5222">
          <cell r="Z5222" t="str">
            <v>252794</v>
          </cell>
        </row>
        <row r="5223">
          <cell r="Z5223" t="str">
            <v>252799</v>
          </cell>
        </row>
        <row r="5224">
          <cell r="Z5224" t="str">
            <v>252800</v>
          </cell>
        </row>
        <row r="5225">
          <cell r="Z5225" t="str">
            <v>252810</v>
          </cell>
        </row>
        <row r="5226">
          <cell r="Z5226" t="str">
            <v>252811</v>
          </cell>
        </row>
        <row r="5227">
          <cell r="Z5227" t="str">
            <v>252812</v>
          </cell>
        </row>
        <row r="5228">
          <cell r="Z5228" t="str">
            <v>252813</v>
          </cell>
        </row>
        <row r="5229">
          <cell r="Z5229" t="str">
            <v>252814</v>
          </cell>
        </row>
        <row r="5230">
          <cell r="Z5230" t="str">
            <v>252819</v>
          </cell>
        </row>
        <row r="5231">
          <cell r="Z5231" t="str">
            <v>252820</v>
          </cell>
        </row>
        <row r="5232">
          <cell r="Z5232" t="str">
            <v>252821</v>
          </cell>
        </row>
        <row r="5233">
          <cell r="Z5233" t="str">
            <v>252822</v>
          </cell>
        </row>
        <row r="5234">
          <cell r="Z5234" t="str">
            <v>252823</v>
          </cell>
        </row>
        <row r="5235">
          <cell r="Z5235" t="str">
            <v>252824</v>
          </cell>
        </row>
        <row r="5236">
          <cell r="Z5236" t="str">
            <v>252829</v>
          </cell>
        </row>
        <row r="5237">
          <cell r="Z5237" t="str">
            <v>252830</v>
          </cell>
        </row>
        <row r="5238">
          <cell r="Z5238" t="str">
            <v>252831</v>
          </cell>
        </row>
        <row r="5239">
          <cell r="Z5239" t="str">
            <v>252832</v>
          </cell>
        </row>
        <row r="5240">
          <cell r="Z5240" t="str">
            <v>252833</v>
          </cell>
        </row>
        <row r="5241">
          <cell r="Z5241" t="str">
            <v>252834</v>
          </cell>
        </row>
        <row r="5242">
          <cell r="Z5242" t="str">
            <v>252839</v>
          </cell>
        </row>
        <row r="5243">
          <cell r="Z5243" t="str">
            <v>253000</v>
          </cell>
        </row>
        <row r="5244">
          <cell r="Z5244" t="str">
            <v>253100</v>
          </cell>
        </row>
        <row r="5245">
          <cell r="Z5245" t="str">
            <v>253110</v>
          </cell>
        </row>
        <row r="5246">
          <cell r="Z5246" t="str">
            <v>253111</v>
          </cell>
        </row>
        <row r="5247">
          <cell r="Z5247" t="str">
            <v>253112</v>
          </cell>
        </row>
        <row r="5248">
          <cell r="Z5248" t="str">
            <v>253113</v>
          </cell>
        </row>
        <row r="5249">
          <cell r="Z5249" t="str">
            <v>253114</v>
          </cell>
        </row>
        <row r="5250">
          <cell r="Z5250" t="str">
            <v>253119</v>
          </cell>
        </row>
        <row r="5251">
          <cell r="Z5251" t="str">
            <v>253120</v>
          </cell>
        </row>
        <row r="5252">
          <cell r="Z5252" t="str">
            <v>253121</v>
          </cell>
        </row>
        <row r="5253">
          <cell r="Z5253" t="str">
            <v>253122</v>
          </cell>
        </row>
        <row r="5254">
          <cell r="Z5254" t="str">
            <v>253123</v>
          </cell>
        </row>
        <row r="5255">
          <cell r="Z5255" t="str">
            <v>253124</v>
          </cell>
        </row>
        <row r="5256">
          <cell r="Z5256" t="str">
            <v>253129</v>
          </cell>
        </row>
        <row r="5257">
          <cell r="Z5257" t="str">
            <v>253200</v>
          </cell>
        </row>
        <row r="5258">
          <cell r="Z5258" t="str">
            <v>253210</v>
          </cell>
        </row>
        <row r="5259">
          <cell r="Z5259" t="str">
            <v>253211</v>
          </cell>
        </row>
        <row r="5260">
          <cell r="Z5260" t="str">
            <v>253212</v>
          </cell>
        </row>
        <row r="5261">
          <cell r="Z5261" t="str">
            <v>253213</v>
          </cell>
        </row>
        <row r="5262">
          <cell r="Z5262" t="str">
            <v>253214</v>
          </cell>
        </row>
        <row r="5263">
          <cell r="Z5263" t="str">
            <v>253219</v>
          </cell>
        </row>
        <row r="5264">
          <cell r="Z5264" t="str">
            <v>253220</v>
          </cell>
        </row>
        <row r="5265">
          <cell r="Z5265" t="str">
            <v>253221</v>
          </cell>
        </row>
        <row r="5266">
          <cell r="Z5266" t="str">
            <v>253222</v>
          </cell>
        </row>
        <row r="5267">
          <cell r="Z5267" t="str">
            <v>253223</v>
          </cell>
        </row>
        <row r="5268">
          <cell r="Z5268" t="str">
            <v>253224</v>
          </cell>
        </row>
        <row r="5269">
          <cell r="Z5269" t="str">
            <v>253229</v>
          </cell>
        </row>
        <row r="5270">
          <cell r="Z5270" t="str">
            <v>253300</v>
          </cell>
        </row>
        <row r="5271">
          <cell r="Z5271" t="str">
            <v>253310</v>
          </cell>
        </row>
        <row r="5272">
          <cell r="Z5272" t="str">
            <v>253311</v>
          </cell>
        </row>
        <row r="5273">
          <cell r="Z5273" t="str">
            <v>253312</v>
          </cell>
        </row>
        <row r="5274">
          <cell r="Z5274" t="str">
            <v>253313</v>
          </cell>
        </row>
        <row r="5275">
          <cell r="Z5275" t="str">
            <v>253314</v>
          </cell>
        </row>
        <row r="5276">
          <cell r="Z5276" t="str">
            <v>253319</v>
          </cell>
        </row>
        <row r="5277">
          <cell r="Z5277" t="str">
            <v>253320</v>
          </cell>
        </row>
        <row r="5278">
          <cell r="Z5278" t="str">
            <v>253321</v>
          </cell>
        </row>
        <row r="5279">
          <cell r="Z5279" t="str">
            <v>253322</v>
          </cell>
        </row>
        <row r="5280">
          <cell r="Z5280" t="str">
            <v>253323</v>
          </cell>
        </row>
        <row r="5281">
          <cell r="Z5281" t="str">
            <v>253324</v>
          </cell>
        </row>
        <row r="5282">
          <cell r="Z5282" t="str">
            <v>253329</v>
          </cell>
        </row>
        <row r="5283">
          <cell r="Z5283" t="str">
            <v>253400</v>
          </cell>
        </row>
        <row r="5284">
          <cell r="Z5284" t="str">
            <v>253410</v>
          </cell>
        </row>
        <row r="5285">
          <cell r="Z5285" t="str">
            <v>253411</v>
          </cell>
        </row>
        <row r="5286">
          <cell r="Z5286" t="str">
            <v>253412</v>
          </cell>
        </row>
        <row r="5287">
          <cell r="Z5287" t="str">
            <v>253413</v>
          </cell>
        </row>
        <row r="5288">
          <cell r="Z5288" t="str">
            <v>253414</v>
          </cell>
        </row>
        <row r="5289">
          <cell r="Z5289" t="str">
            <v>253419</v>
          </cell>
        </row>
        <row r="5290">
          <cell r="Z5290" t="str">
            <v>253420</v>
          </cell>
        </row>
        <row r="5291">
          <cell r="Z5291" t="str">
            <v>253421</v>
          </cell>
        </row>
        <row r="5292">
          <cell r="Z5292" t="str">
            <v>253422</v>
          </cell>
        </row>
        <row r="5293">
          <cell r="Z5293" t="str">
            <v>253423</v>
          </cell>
        </row>
        <row r="5294">
          <cell r="Z5294" t="str">
            <v>253424</v>
          </cell>
        </row>
        <row r="5295">
          <cell r="Z5295" t="str">
            <v>253429</v>
          </cell>
        </row>
        <row r="5296">
          <cell r="Z5296" t="str">
            <v>253500</v>
          </cell>
        </row>
        <row r="5297">
          <cell r="Z5297" t="str">
            <v>253510</v>
          </cell>
        </row>
        <row r="5298">
          <cell r="Z5298" t="str">
            <v>253511</v>
          </cell>
        </row>
        <row r="5299">
          <cell r="Z5299" t="str">
            <v>253512</v>
          </cell>
        </row>
        <row r="5300">
          <cell r="Z5300" t="str">
            <v>253513</v>
          </cell>
        </row>
        <row r="5301">
          <cell r="Z5301" t="str">
            <v>253514</v>
          </cell>
        </row>
        <row r="5302">
          <cell r="Z5302" t="str">
            <v>253519</v>
          </cell>
        </row>
        <row r="5303">
          <cell r="Z5303" t="str">
            <v>253520</v>
          </cell>
        </row>
        <row r="5304">
          <cell r="Z5304" t="str">
            <v>253521</v>
          </cell>
        </row>
        <row r="5305">
          <cell r="Z5305" t="str">
            <v>253522</v>
          </cell>
        </row>
        <row r="5306">
          <cell r="Z5306" t="str">
            <v>253523</v>
          </cell>
        </row>
        <row r="5307">
          <cell r="Z5307" t="str">
            <v>253524</v>
          </cell>
        </row>
        <row r="5308">
          <cell r="Z5308" t="str">
            <v>253529</v>
          </cell>
        </row>
        <row r="5309">
          <cell r="Z5309" t="str">
            <v>253900</v>
          </cell>
        </row>
        <row r="5310">
          <cell r="Z5310" t="str">
            <v>253910</v>
          </cell>
        </row>
        <row r="5311">
          <cell r="Z5311" t="str">
            <v>253911</v>
          </cell>
        </row>
        <row r="5312">
          <cell r="Z5312" t="str">
            <v>253912</v>
          </cell>
        </row>
        <row r="5313">
          <cell r="Z5313" t="str">
            <v>253913</v>
          </cell>
        </row>
        <row r="5314">
          <cell r="Z5314" t="str">
            <v>253914</v>
          </cell>
        </row>
        <row r="5315">
          <cell r="Z5315" t="str">
            <v>253919</v>
          </cell>
        </row>
        <row r="5316">
          <cell r="Z5316" t="str">
            <v>253920</v>
          </cell>
        </row>
        <row r="5317">
          <cell r="Z5317" t="str">
            <v>253921</v>
          </cell>
        </row>
        <row r="5318">
          <cell r="Z5318" t="str">
            <v>253922</v>
          </cell>
        </row>
        <row r="5319">
          <cell r="Z5319" t="str">
            <v>253923</v>
          </cell>
        </row>
        <row r="5320">
          <cell r="Z5320" t="str">
            <v>253924</v>
          </cell>
        </row>
        <row r="5321">
          <cell r="Z5321" t="str">
            <v>253929</v>
          </cell>
        </row>
        <row r="5322">
          <cell r="Z5322" t="str">
            <v>260000</v>
          </cell>
        </row>
        <row r="5323">
          <cell r="Z5323" t="str">
            <v>261000</v>
          </cell>
        </row>
        <row r="5324">
          <cell r="Z5324" t="str">
            <v>261100</v>
          </cell>
        </row>
        <row r="5325">
          <cell r="Z5325" t="str">
            <v>261110</v>
          </cell>
        </row>
        <row r="5326">
          <cell r="Z5326" t="str">
            <v>261111</v>
          </cell>
        </row>
        <row r="5327">
          <cell r="Z5327" t="str">
            <v>261112</v>
          </cell>
        </row>
        <row r="5328">
          <cell r="Z5328" t="str">
            <v>261113</v>
          </cell>
        </row>
        <row r="5329">
          <cell r="Z5329" t="str">
            <v>261114</v>
          </cell>
        </row>
        <row r="5330">
          <cell r="Z5330" t="str">
            <v>261119</v>
          </cell>
        </row>
        <row r="5331">
          <cell r="Z5331" t="str">
            <v>261120</v>
          </cell>
        </row>
        <row r="5332">
          <cell r="Z5332" t="str">
            <v>261121</v>
          </cell>
        </row>
        <row r="5333">
          <cell r="Z5333" t="str">
            <v>261122</v>
          </cell>
        </row>
        <row r="5334">
          <cell r="Z5334" t="str">
            <v>261123</v>
          </cell>
        </row>
        <row r="5335">
          <cell r="Z5335" t="str">
            <v>261124</v>
          </cell>
        </row>
        <row r="5336">
          <cell r="Z5336" t="str">
            <v>261129</v>
          </cell>
        </row>
        <row r="5337">
          <cell r="Z5337" t="str">
            <v>261200</v>
          </cell>
        </row>
        <row r="5338">
          <cell r="Z5338" t="str">
            <v>261210</v>
          </cell>
        </row>
        <row r="5339">
          <cell r="Z5339" t="str">
            <v>261211</v>
          </cell>
        </row>
        <row r="5340">
          <cell r="Z5340" t="str">
            <v>261212</v>
          </cell>
        </row>
        <row r="5341">
          <cell r="Z5341" t="str">
            <v>261213</v>
          </cell>
        </row>
        <row r="5342">
          <cell r="Z5342" t="str">
            <v>261214</v>
          </cell>
        </row>
        <row r="5343">
          <cell r="Z5343" t="str">
            <v>261219</v>
          </cell>
        </row>
        <row r="5344">
          <cell r="Z5344" t="str">
            <v>261220</v>
          </cell>
        </row>
        <row r="5345">
          <cell r="Z5345" t="str">
            <v>261221</v>
          </cell>
        </row>
        <row r="5346">
          <cell r="Z5346" t="str">
            <v>261222</v>
          </cell>
        </row>
        <row r="5347">
          <cell r="Z5347" t="str">
            <v>261223</v>
          </cell>
        </row>
        <row r="5348">
          <cell r="Z5348" t="str">
            <v>261224</v>
          </cell>
        </row>
        <row r="5349">
          <cell r="Z5349" t="str">
            <v>261229</v>
          </cell>
        </row>
        <row r="5350">
          <cell r="Z5350" t="str">
            <v>261300</v>
          </cell>
        </row>
        <row r="5351">
          <cell r="Z5351" t="str">
            <v>261310</v>
          </cell>
        </row>
        <row r="5352">
          <cell r="Z5352" t="str">
            <v>261311</v>
          </cell>
        </row>
        <row r="5353">
          <cell r="Z5353" t="str">
            <v>261312</v>
          </cell>
        </row>
        <row r="5354">
          <cell r="Z5354" t="str">
            <v>261313</v>
          </cell>
        </row>
        <row r="5355">
          <cell r="Z5355" t="str">
            <v>261314</v>
          </cell>
        </row>
        <row r="5356">
          <cell r="Z5356" t="str">
            <v>261319</v>
          </cell>
        </row>
        <row r="5357">
          <cell r="Z5357" t="str">
            <v>261320</v>
          </cell>
        </row>
        <row r="5358">
          <cell r="Z5358" t="str">
            <v>261321</v>
          </cell>
        </row>
        <row r="5359">
          <cell r="Z5359" t="str">
            <v>261322</v>
          </cell>
        </row>
        <row r="5360">
          <cell r="Z5360" t="str">
            <v>261323</v>
          </cell>
        </row>
        <row r="5361">
          <cell r="Z5361" t="str">
            <v>261324</v>
          </cell>
        </row>
        <row r="5362">
          <cell r="Z5362" t="str">
            <v>261329</v>
          </cell>
        </row>
        <row r="5363">
          <cell r="Z5363" t="str">
            <v>262000</v>
          </cell>
        </row>
        <row r="5364">
          <cell r="Z5364" t="str">
            <v>262100</v>
          </cell>
        </row>
        <row r="5365">
          <cell r="Z5365" t="str">
            <v>262110</v>
          </cell>
        </row>
        <row r="5366">
          <cell r="Z5366" t="str">
            <v>262111</v>
          </cell>
        </row>
        <row r="5367">
          <cell r="Z5367" t="str">
            <v>262112</v>
          </cell>
        </row>
        <row r="5368">
          <cell r="Z5368" t="str">
            <v>262113</v>
          </cell>
        </row>
        <row r="5369">
          <cell r="Z5369" t="str">
            <v>262114</v>
          </cell>
        </row>
        <row r="5370">
          <cell r="Z5370" t="str">
            <v>262119</v>
          </cell>
        </row>
        <row r="5371">
          <cell r="Z5371" t="str">
            <v>262120</v>
          </cell>
        </row>
        <row r="5372">
          <cell r="Z5372" t="str">
            <v>262121</v>
          </cell>
        </row>
        <row r="5373">
          <cell r="Z5373" t="str">
            <v>262122</v>
          </cell>
        </row>
        <row r="5374">
          <cell r="Z5374" t="str">
            <v>262123</v>
          </cell>
        </row>
        <row r="5375">
          <cell r="Z5375" t="str">
            <v>262124</v>
          </cell>
        </row>
        <row r="5376">
          <cell r="Z5376" t="str">
            <v>262129</v>
          </cell>
        </row>
        <row r="5377">
          <cell r="Z5377" t="str">
            <v>262130</v>
          </cell>
        </row>
        <row r="5378">
          <cell r="Z5378" t="str">
            <v>262131</v>
          </cell>
        </row>
        <row r="5379">
          <cell r="Z5379" t="str">
            <v>262132</v>
          </cell>
        </row>
        <row r="5380">
          <cell r="Z5380" t="str">
            <v>262133</v>
          </cell>
        </row>
        <row r="5381">
          <cell r="Z5381" t="str">
            <v>262134</v>
          </cell>
        </row>
        <row r="5382">
          <cell r="Z5382" t="str">
            <v>262139</v>
          </cell>
        </row>
        <row r="5383">
          <cell r="Z5383" t="str">
            <v>262200</v>
          </cell>
        </row>
        <row r="5384">
          <cell r="Z5384" t="str">
            <v>262210</v>
          </cell>
        </row>
        <row r="5385">
          <cell r="Z5385" t="str">
            <v>262211</v>
          </cell>
        </row>
        <row r="5386">
          <cell r="Z5386" t="str">
            <v>262212</v>
          </cell>
        </row>
        <row r="5387">
          <cell r="Z5387" t="str">
            <v>262213</v>
          </cell>
        </row>
        <row r="5388">
          <cell r="Z5388" t="str">
            <v>262214</v>
          </cell>
        </row>
        <row r="5389">
          <cell r="Z5389" t="str">
            <v>262219</v>
          </cell>
        </row>
        <row r="5390">
          <cell r="Z5390" t="str">
            <v>262220</v>
          </cell>
        </row>
        <row r="5391">
          <cell r="Z5391" t="str">
            <v>262221</v>
          </cell>
        </row>
        <row r="5392">
          <cell r="Z5392" t="str">
            <v>262222</v>
          </cell>
        </row>
        <row r="5393">
          <cell r="Z5393" t="str">
            <v>262223</v>
          </cell>
        </row>
        <row r="5394">
          <cell r="Z5394" t="str">
            <v>262224</v>
          </cell>
        </row>
        <row r="5395">
          <cell r="Z5395" t="str">
            <v>262229</v>
          </cell>
        </row>
        <row r="5396">
          <cell r="Z5396" t="str">
            <v>262230</v>
          </cell>
        </row>
        <row r="5397">
          <cell r="Z5397" t="str">
            <v>262231</v>
          </cell>
        </row>
        <row r="5398">
          <cell r="Z5398" t="str">
            <v>262232</v>
          </cell>
        </row>
        <row r="5399">
          <cell r="Z5399" t="str">
            <v>262233</v>
          </cell>
        </row>
        <row r="5400">
          <cell r="Z5400" t="str">
            <v>262234</v>
          </cell>
        </row>
        <row r="5401">
          <cell r="Z5401" t="str">
            <v>262239</v>
          </cell>
        </row>
        <row r="5402">
          <cell r="Z5402" t="str">
            <v>262300</v>
          </cell>
        </row>
        <row r="5403">
          <cell r="Z5403" t="str">
            <v>262310</v>
          </cell>
        </row>
        <row r="5404">
          <cell r="Z5404" t="str">
            <v>262311</v>
          </cell>
        </row>
        <row r="5405">
          <cell r="Z5405" t="str">
            <v>262312</v>
          </cell>
        </row>
        <row r="5406">
          <cell r="Z5406" t="str">
            <v>262313</v>
          </cell>
        </row>
        <row r="5407">
          <cell r="Z5407" t="str">
            <v>262314</v>
          </cell>
        </row>
        <row r="5408">
          <cell r="Z5408" t="str">
            <v>262319</v>
          </cell>
        </row>
        <row r="5409">
          <cell r="Z5409" t="str">
            <v>262320</v>
          </cell>
        </row>
        <row r="5410">
          <cell r="Z5410" t="str">
            <v>262321</v>
          </cell>
        </row>
        <row r="5411">
          <cell r="Z5411" t="str">
            <v>262322</v>
          </cell>
        </row>
        <row r="5412">
          <cell r="Z5412" t="str">
            <v>262323</v>
          </cell>
        </row>
        <row r="5413">
          <cell r="Z5413" t="str">
            <v>262324</v>
          </cell>
        </row>
        <row r="5414">
          <cell r="Z5414" t="str">
            <v>262329</v>
          </cell>
        </row>
        <row r="5415">
          <cell r="Z5415" t="str">
            <v>262330</v>
          </cell>
        </row>
        <row r="5416">
          <cell r="Z5416" t="str">
            <v>262331</v>
          </cell>
        </row>
        <row r="5417">
          <cell r="Z5417" t="str">
            <v>262332</v>
          </cell>
        </row>
        <row r="5418">
          <cell r="Z5418" t="str">
            <v>262333</v>
          </cell>
        </row>
        <row r="5419">
          <cell r="Z5419" t="str">
            <v>262334</v>
          </cell>
        </row>
        <row r="5420">
          <cell r="Z5420" t="str">
            <v>262339</v>
          </cell>
        </row>
        <row r="5421">
          <cell r="Z5421" t="str">
            <v>262340</v>
          </cell>
        </row>
        <row r="5422">
          <cell r="Z5422" t="str">
            <v>262341</v>
          </cell>
        </row>
        <row r="5423">
          <cell r="Z5423" t="str">
            <v>262342</v>
          </cell>
        </row>
        <row r="5424">
          <cell r="Z5424" t="str">
            <v>262343</v>
          </cell>
        </row>
        <row r="5425">
          <cell r="Z5425" t="str">
            <v>262344</v>
          </cell>
        </row>
        <row r="5426">
          <cell r="Z5426" t="str">
            <v>262349</v>
          </cell>
        </row>
        <row r="5427">
          <cell r="Z5427" t="str">
            <v>262350</v>
          </cell>
        </row>
        <row r="5428">
          <cell r="Z5428" t="str">
            <v>262351</v>
          </cell>
        </row>
        <row r="5429">
          <cell r="Z5429" t="str">
            <v>262352</v>
          </cell>
        </row>
        <row r="5430">
          <cell r="Z5430" t="str">
            <v>262353</v>
          </cell>
        </row>
        <row r="5431">
          <cell r="Z5431" t="str">
            <v>262354</v>
          </cell>
        </row>
        <row r="5432">
          <cell r="Z5432" t="str">
            <v>262359</v>
          </cell>
        </row>
        <row r="5433">
          <cell r="Z5433" t="str">
            <v>262360</v>
          </cell>
        </row>
        <row r="5434">
          <cell r="Z5434" t="str">
            <v>262361</v>
          </cell>
        </row>
        <row r="5435">
          <cell r="Z5435" t="str">
            <v>262362</v>
          </cell>
        </row>
        <row r="5436">
          <cell r="Z5436" t="str">
            <v>262363</v>
          </cell>
        </row>
        <row r="5437">
          <cell r="Z5437" t="str">
            <v>262364</v>
          </cell>
        </row>
        <row r="5438">
          <cell r="Z5438" t="str">
            <v>262369</v>
          </cell>
        </row>
        <row r="5439">
          <cell r="Z5439" t="str">
            <v>262370</v>
          </cell>
        </row>
        <row r="5440">
          <cell r="Z5440" t="str">
            <v>262371</v>
          </cell>
        </row>
        <row r="5441">
          <cell r="Z5441" t="str">
            <v>262372</v>
          </cell>
        </row>
        <row r="5442">
          <cell r="Z5442" t="str">
            <v>262373</v>
          </cell>
        </row>
        <row r="5443">
          <cell r="Z5443" t="str">
            <v>262374</v>
          </cell>
        </row>
        <row r="5444">
          <cell r="Z5444" t="str">
            <v>262379</v>
          </cell>
        </row>
        <row r="5445">
          <cell r="Z5445" t="str">
            <v>262380</v>
          </cell>
        </row>
        <row r="5446">
          <cell r="Z5446" t="str">
            <v>262381</v>
          </cell>
        </row>
        <row r="5447">
          <cell r="Z5447" t="str">
            <v>262382</v>
          </cell>
        </row>
        <row r="5448">
          <cell r="Z5448" t="str">
            <v>262383</v>
          </cell>
        </row>
        <row r="5449">
          <cell r="Z5449" t="str">
            <v>262384</v>
          </cell>
        </row>
        <row r="5450">
          <cell r="Z5450" t="str">
            <v>262389</v>
          </cell>
        </row>
        <row r="5451">
          <cell r="Z5451" t="str">
            <v>262390</v>
          </cell>
        </row>
        <row r="5452">
          <cell r="Z5452" t="str">
            <v>262391</v>
          </cell>
        </row>
        <row r="5453">
          <cell r="Z5453" t="str">
            <v>262392</v>
          </cell>
        </row>
        <row r="5454">
          <cell r="Z5454" t="str">
            <v>262393</v>
          </cell>
        </row>
        <row r="5455">
          <cell r="Z5455" t="str">
            <v>262394</v>
          </cell>
        </row>
        <row r="5456">
          <cell r="Z5456" t="str">
            <v>262399</v>
          </cell>
        </row>
        <row r="5457">
          <cell r="Z5457" t="str">
            <v>262400</v>
          </cell>
        </row>
        <row r="5458">
          <cell r="Z5458" t="str">
            <v>262410</v>
          </cell>
        </row>
        <row r="5459">
          <cell r="Z5459" t="str">
            <v>262411</v>
          </cell>
        </row>
        <row r="5460">
          <cell r="Z5460" t="str">
            <v>262412</v>
          </cell>
        </row>
        <row r="5461">
          <cell r="Z5461" t="str">
            <v>262413</v>
          </cell>
        </row>
        <row r="5462">
          <cell r="Z5462" t="str">
            <v>262414</v>
          </cell>
        </row>
        <row r="5463">
          <cell r="Z5463" t="str">
            <v>262419</v>
          </cell>
        </row>
        <row r="5464">
          <cell r="Z5464" t="str">
            <v>262420</v>
          </cell>
        </row>
        <row r="5465">
          <cell r="Z5465" t="str">
            <v>262421</v>
          </cell>
        </row>
        <row r="5466">
          <cell r="Z5466" t="str">
            <v>262422</v>
          </cell>
        </row>
        <row r="5467">
          <cell r="Z5467" t="str">
            <v>262423</v>
          </cell>
        </row>
        <row r="5468">
          <cell r="Z5468" t="str">
            <v>262424</v>
          </cell>
        </row>
        <row r="5469">
          <cell r="Z5469" t="str">
            <v>262429</v>
          </cell>
        </row>
        <row r="5470">
          <cell r="Z5470" t="str">
            <v>262430</v>
          </cell>
        </row>
        <row r="5471">
          <cell r="Z5471" t="str">
            <v>262431</v>
          </cell>
        </row>
        <row r="5472">
          <cell r="Z5472" t="str">
            <v>262432</v>
          </cell>
        </row>
        <row r="5473">
          <cell r="Z5473" t="str">
            <v>262433</v>
          </cell>
        </row>
        <row r="5474">
          <cell r="Z5474" t="str">
            <v>262434</v>
          </cell>
        </row>
        <row r="5475">
          <cell r="Z5475" t="str">
            <v>262439</v>
          </cell>
        </row>
        <row r="5476">
          <cell r="Z5476" t="str">
            <v>262500</v>
          </cell>
        </row>
        <row r="5477">
          <cell r="Z5477" t="str">
            <v>262510</v>
          </cell>
        </row>
        <row r="5478">
          <cell r="Z5478" t="str">
            <v>262511</v>
          </cell>
        </row>
        <row r="5479">
          <cell r="Z5479" t="str">
            <v>262512</v>
          </cell>
        </row>
        <row r="5480">
          <cell r="Z5480" t="str">
            <v>262513</v>
          </cell>
        </row>
        <row r="5481">
          <cell r="Z5481" t="str">
            <v>262514</v>
          </cell>
        </row>
        <row r="5482">
          <cell r="Z5482" t="str">
            <v>262519</v>
          </cell>
        </row>
        <row r="5483">
          <cell r="Z5483" t="str">
            <v>262520</v>
          </cell>
        </row>
        <row r="5484">
          <cell r="Z5484" t="str">
            <v>262521</v>
          </cell>
        </row>
        <row r="5485">
          <cell r="Z5485" t="str">
            <v>262522</v>
          </cell>
        </row>
        <row r="5486">
          <cell r="Z5486" t="str">
            <v>262523</v>
          </cell>
        </row>
        <row r="5487">
          <cell r="Z5487" t="str">
            <v>262524</v>
          </cell>
        </row>
        <row r="5488">
          <cell r="Z5488" t="str">
            <v>262529</v>
          </cell>
        </row>
        <row r="5489">
          <cell r="Z5489" t="str">
            <v>262600</v>
          </cell>
        </row>
        <row r="5490">
          <cell r="Z5490" t="str">
            <v>262610</v>
          </cell>
        </row>
        <row r="5491">
          <cell r="Z5491" t="str">
            <v>262611</v>
          </cell>
        </row>
        <row r="5492">
          <cell r="Z5492" t="str">
            <v>262612</v>
          </cell>
        </row>
        <row r="5493">
          <cell r="Z5493" t="str">
            <v>262613</v>
          </cell>
        </row>
        <row r="5494">
          <cell r="Z5494" t="str">
            <v>262614</v>
          </cell>
        </row>
        <row r="5495">
          <cell r="Z5495" t="str">
            <v>262619</v>
          </cell>
        </row>
        <row r="5496">
          <cell r="Z5496" t="str">
            <v>262620</v>
          </cell>
        </row>
        <row r="5497">
          <cell r="Z5497" t="str">
            <v>262621</v>
          </cell>
        </row>
        <row r="5498">
          <cell r="Z5498" t="str">
            <v>262622</v>
          </cell>
        </row>
        <row r="5499">
          <cell r="Z5499" t="str">
            <v>262623</v>
          </cell>
        </row>
        <row r="5500">
          <cell r="Z5500" t="str">
            <v>262624</v>
          </cell>
        </row>
        <row r="5501">
          <cell r="Z5501" t="str">
            <v>262629</v>
          </cell>
        </row>
        <row r="5502">
          <cell r="Z5502" t="str">
            <v>262700</v>
          </cell>
        </row>
        <row r="5503">
          <cell r="Z5503" t="str">
            <v>262710</v>
          </cell>
        </row>
        <row r="5504">
          <cell r="Z5504" t="str">
            <v>262711</v>
          </cell>
        </row>
        <row r="5505">
          <cell r="Z5505" t="str">
            <v>262712</v>
          </cell>
        </row>
        <row r="5506">
          <cell r="Z5506" t="str">
            <v>262713</v>
          </cell>
        </row>
        <row r="5507">
          <cell r="Z5507" t="str">
            <v>262714</v>
          </cell>
        </row>
        <row r="5508">
          <cell r="Z5508" t="str">
            <v>262719</v>
          </cell>
        </row>
        <row r="5509">
          <cell r="Z5509" t="str">
            <v>262720</v>
          </cell>
        </row>
        <row r="5510">
          <cell r="Z5510" t="str">
            <v>262721</v>
          </cell>
        </row>
        <row r="5511">
          <cell r="Z5511" t="str">
            <v>262722</v>
          </cell>
        </row>
        <row r="5512">
          <cell r="Z5512" t="str">
            <v>262723</v>
          </cell>
        </row>
        <row r="5513">
          <cell r="Z5513" t="str">
            <v>262724</v>
          </cell>
        </row>
        <row r="5514">
          <cell r="Z5514" t="str">
            <v>262729</v>
          </cell>
        </row>
        <row r="5515">
          <cell r="Z5515" t="str">
            <v>262730</v>
          </cell>
        </row>
        <row r="5516">
          <cell r="Z5516" t="str">
            <v>262731</v>
          </cell>
        </row>
        <row r="5517">
          <cell r="Z5517" t="str">
            <v>262732</v>
          </cell>
        </row>
        <row r="5518">
          <cell r="Z5518" t="str">
            <v>262733</v>
          </cell>
        </row>
        <row r="5519">
          <cell r="Z5519" t="str">
            <v>262734</v>
          </cell>
        </row>
        <row r="5520">
          <cell r="Z5520" t="str">
            <v>262739</v>
          </cell>
        </row>
        <row r="5521">
          <cell r="Z5521" t="str">
            <v>262740</v>
          </cell>
        </row>
        <row r="5522">
          <cell r="Z5522" t="str">
            <v>262741</v>
          </cell>
        </row>
        <row r="5523">
          <cell r="Z5523" t="str">
            <v>262742</v>
          </cell>
        </row>
        <row r="5524">
          <cell r="Z5524" t="str">
            <v>262743</v>
          </cell>
        </row>
        <row r="5525">
          <cell r="Z5525" t="str">
            <v>262744</v>
          </cell>
        </row>
        <row r="5526">
          <cell r="Z5526" t="str">
            <v>262749</v>
          </cell>
        </row>
        <row r="5527">
          <cell r="Z5527" t="str">
            <v>262750</v>
          </cell>
        </row>
        <row r="5528">
          <cell r="Z5528" t="str">
            <v>262751</v>
          </cell>
        </row>
        <row r="5529">
          <cell r="Z5529" t="str">
            <v>262752</v>
          </cell>
        </row>
        <row r="5530">
          <cell r="Z5530" t="str">
            <v>262753</v>
          </cell>
        </row>
        <row r="5531">
          <cell r="Z5531" t="str">
            <v>262754</v>
          </cell>
        </row>
        <row r="5532">
          <cell r="Z5532" t="str">
            <v>262759</v>
          </cell>
        </row>
        <row r="5533">
          <cell r="Z5533" t="str">
            <v>262760</v>
          </cell>
        </row>
        <row r="5534">
          <cell r="Z5534" t="str">
            <v>262761</v>
          </cell>
        </row>
        <row r="5535">
          <cell r="Z5535" t="str">
            <v>262762</v>
          </cell>
        </row>
        <row r="5536">
          <cell r="Z5536" t="str">
            <v>262763</v>
          </cell>
        </row>
        <row r="5537">
          <cell r="Z5537" t="str">
            <v>262764</v>
          </cell>
        </row>
        <row r="5538">
          <cell r="Z5538" t="str">
            <v>262769</v>
          </cell>
        </row>
        <row r="5539">
          <cell r="Z5539" t="str">
            <v>262770</v>
          </cell>
        </row>
        <row r="5540">
          <cell r="Z5540" t="str">
            <v>262771</v>
          </cell>
        </row>
        <row r="5541">
          <cell r="Z5541" t="str">
            <v>262772</v>
          </cell>
        </row>
        <row r="5542">
          <cell r="Z5542" t="str">
            <v>262773</v>
          </cell>
        </row>
        <row r="5543">
          <cell r="Z5543" t="str">
            <v>262774</v>
          </cell>
        </row>
        <row r="5544">
          <cell r="Z5544" t="str">
            <v>262779</v>
          </cell>
        </row>
        <row r="5545">
          <cell r="Z5545" t="str">
            <v>262780</v>
          </cell>
        </row>
        <row r="5546">
          <cell r="Z5546" t="str">
            <v>262781</v>
          </cell>
        </row>
        <row r="5547">
          <cell r="Z5547" t="str">
            <v>262782</v>
          </cell>
        </row>
        <row r="5548">
          <cell r="Z5548" t="str">
            <v>262783</v>
          </cell>
        </row>
        <row r="5549">
          <cell r="Z5549" t="str">
            <v>262784</v>
          </cell>
        </row>
        <row r="5550">
          <cell r="Z5550" t="str">
            <v>262789</v>
          </cell>
        </row>
        <row r="5551">
          <cell r="Z5551" t="str">
            <v>262790</v>
          </cell>
        </row>
        <row r="5552">
          <cell r="Z5552" t="str">
            <v>262791</v>
          </cell>
        </row>
        <row r="5553">
          <cell r="Z5553" t="str">
            <v>262792</v>
          </cell>
        </row>
        <row r="5554">
          <cell r="Z5554" t="str">
            <v>262793</v>
          </cell>
        </row>
        <row r="5555">
          <cell r="Z5555" t="str">
            <v>262794</v>
          </cell>
        </row>
        <row r="5556">
          <cell r="Z5556" t="str">
            <v>262799</v>
          </cell>
        </row>
        <row r="5557">
          <cell r="Z5557" t="str">
            <v>262800</v>
          </cell>
        </row>
        <row r="5558">
          <cell r="Z5558" t="str">
            <v>262810</v>
          </cell>
        </row>
        <row r="5559">
          <cell r="Z5559" t="str">
            <v>262811</v>
          </cell>
        </row>
        <row r="5560">
          <cell r="Z5560" t="str">
            <v>262812</v>
          </cell>
        </row>
        <row r="5561">
          <cell r="Z5561" t="str">
            <v>262813</v>
          </cell>
        </row>
        <row r="5562">
          <cell r="Z5562" t="str">
            <v>262814</v>
          </cell>
        </row>
        <row r="5563">
          <cell r="Z5563" t="str">
            <v>262819</v>
          </cell>
        </row>
        <row r="5564">
          <cell r="Z5564" t="str">
            <v>262820</v>
          </cell>
        </row>
        <row r="5565">
          <cell r="Z5565" t="str">
            <v>262821</v>
          </cell>
        </row>
        <row r="5566">
          <cell r="Z5566" t="str">
            <v>262822</v>
          </cell>
        </row>
        <row r="5567">
          <cell r="Z5567" t="str">
            <v>262823</v>
          </cell>
        </row>
        <row r="5568">
          <cell r="Z5568" t="str">
            <v>262824</v>
          </cell>
        </row>
        <row r="5569">
          <cell r="Z5569" t="str">
            <v>262829</v>
          </cell>
        </row>
        <row r="5570">
          <cell r="Z5570" t="str">
            <v>262830</v>
          </cell>
        </row>
        <row r="5571">
          <cell r="Z5571" t="str">
            <v>262831</v>
          </cell>
        </row>
        <row r="5572">
          <cell r="Z5572" t="str">
            <v>262832</v>
          </cell>
        </row>
        <row r="5573">
          <cell r="Z5573" t="str">
            <v>262833</v>
          </cell>
        </row>
        <row r="5574">
          <cell r="Z5574" t="str">
            <v>262834</v>
          </cell>
        </row>
        <row r="5575">
          <cell r="Z5575" t="str">
            <v>262839</v>
          </cell>
        </row>
        <row r="5576">
          <cell r="Z5576" t="str">
            <v>263000</v>
          </cell>
        </row>
        <row r="5577">
          <cell r="Z5577" t="str">
            <v>263100</v>
          </cell>
        </row>
        <row r="5578">
          <cell r="Z5578" t="str">
            <v>263110</v>
          </cell>
        </row>
        <row r="5579">
          <cell r="Z5579" t="str">
            <v>263111</v>
          </cell>
        </row>
        <row r="5580">
          <cell r="Z5580" t="str">
            <v>263112</v>
          </cell>
        </row>
        <row r="5581">
          <cell r="Z5581" t="str">
            <v>263113</v>
          </cell>
        </row>
        <row r="5582">
          <cell r="Z5582" t="str">
            <v>263114</v>
          </cell>
        </row>
        <row r="5583">
          <cell r="Z5583" t="str">
            <v>263119</v>
          </cell>
        </row>
        <row r="5584">
          <cell r="Z5584" t="str">
            <v>263120</v>
          </cell>
        </row>
        <row r="5585">
          <cell r="Z5585" t="str">
            <v>263121</v>
          </cell>
        </row>
        <row r="5586">
          <cell r="Z5586" t="str">
            <v>263122</v>
          </cell>
        </row>
        <row r="5587">
          <cell r="Z5587" t="str">
            <v>263123</v>
          </cell>
        </row>
        <row r="5588">
          <cell r="Z5588" t="str">
            <v>263124</v>
          </cell>
        </row>
        <row r="5589">
          <cell r="Z5589" t="str">
            <v>263129</v>
          </cell>
        </row>
        <row r="5590">
          <cell r="Z5590" t="str">
            <v>263200</v>
          </cell>
        </row>
        <row r="5591">
          <cell r="Z5591" t="str">
            <v>263210</v>
          </cell>
        </row>
        <row r="5592">
          <cell r="Z5592" t="str">
            <v>263211</v>
          </cell>
        </row>
        <row r="5593">
          <cell r="Z5593" t="str">
            <v>263212</v>
          </cell>
        </row>
        <row r="5594">
          <cell r="Z5594" t="str">
            <v>263213</v>
          </cell>
        </row>
        <row r="5595">
          <cell r="Z5595" t="str">
            <v>263214</v>
          </cell>
        </row>
        <row r="5596">
          <cell r="Z5596" t="str">
            <v>263219</v>
          </cell>
        </row>
        <row r="5597">
          <cell r="Z5597" t="str">
            <v>263220</v>
          </cell>
        </row>
        <row r="5598">
          <cell r="Z5598" t="str">
            <v>263221</v>
          </cell>
        </row>
        <row r="5599">
          <cell r="Z5599" t="str">
            <v>263222</v>
          </cell>
        </row>
        <row r="5600">
          <cell r="Z5600" t="str">
            <v>263223</v>
          </cell>
        </row>
        <row r="5601">
          <cell r="Z5601" t="str">
            <v>263224</v>
          </cell>
        </row>
        <row r="5602">
          <cell r="Z5602" t="str">
            <v>263229</v>
          </cell>
        </row>
        <row r="5603">
          <cell r="Z5603" t="str">
            <v>263300</v>
          </cell>
        </row>
        <row r="5604">
          <cell r="Z5604" t="str">
            <v>263310</v>
          </cell>
        </row>
        <row r="5605">
          <cell r="Z5605" t="str">
            <v>263311</v>
          </cell>
        </row>
        <row r="5606">
          <cell r="Z5606" t="str">
            <v>263312</v>
          </cell>
        </row>
        <row r="5607">
          <cell r="Z5607" t="str">
            <v>263313</v>
          </cell>
        </row>
        <row r="5608">
          <cell r="Z5608" t="str">
            <v>263314</v>
          </cell>
        </row>
        <row r="5609">
          <cell r="Z5609" t="str">
            <v>263319</v>
          </cell>
        </row>
        <row r="5610">
          <cell r="Z5610" t="str">
            <v>263320</v>
          </cell>
        </row>
        <row r="5611">
          <cell r="Z5611" t="str">
            <v>263321</v>
          </cell>
        </row>
        <row r="5612">
          <cell r="Z5612" t="str">
            <v>263322</v>
          </cell>
        </row>
        <row r="5613">
          <cell r="Z5613" t="str">
            <v>263323</v>
          </cell>
        </row>
        <row r="5614">
          <cell r="Z5614" t="str">
            <v>263324</v>
          </cell>
        </row>
        <row r="5615">
          <cell r="Z5615" t="str">
            <v>263329</v>
          </cell>
        </row>
        <row r="5616">
          <cell r="Z5616" t="str">
            <v>263400</v>
          </cell>
        </row>
        <row r="5617">
          <cell r="Z5617" t="str">
            <v>263410</v>
          </cell>
        </row>
        <row r="5618">
          <cell r="Z5618" t="str">
            <v>263411</v>
          </cell>
        </row>
        <row r="5619">
          <cell r="Z5619" t="str">
            <v>263412</v>
          </cell>
        </row>
        <row r="5620">
          <cell r="Z5620" t="str">
            <v>263413</v>
          </cell>
        </row>
        <row r="5621">
          <cell r="Z5621" t="str">
            <v>263414</v>
          </cell>
        </row>
        <row r="5622">
          <cell r="Z5622" t="str">
            <v>263419</v>
          </cell>
        </row>
        <row r="5623">
          <cell r="Z5623" t="str">
            <v>263420</v>
          </cell>
        </row>
        <row r="5624">
          <cell r="Z5624" t="str">
            <v>263421</v>
          </cell>
        </row>
        <row r="5625">
          <cell r="Z5625" t="str">
            <v>263422</v>
          </cell>
        </row>
        <row r="5626">
          <cell r="Z5626" t="str">
            <v>263423</v>
          </cell>
        </row>
        <row r="5627">
          <cell r="Z5627" t="str">
            <v>263424</v>
          </cell>
        </row>
        <row r="5628">
          <cell r="Z5628" t="str">
            <v>263429</v>
          </cell>
        </row>
        <row r="5629">
          <cell r="Z5629" t="str">
            <v>263500</v>
          </cell>
        </row>
        <row r="5630">
          <cell r="Z5630" t="str">
            <v>263510</v>
          </cell>
        </row>
        <row r="5631">
          <cell r="Z5631" t="str">
            <v>263511</v>
          </cell>
        </row>
        <row r="5632">
          <cell r="Z5632" t="str">
            <v>263512</v>
          </cell>
        </row>
        <row r="5633">
          <cell r="Z5633" t="str">
            <v>263513</v>
          </cell>
        </row>
        <row r="5634">
          <cell r="Z5634" t="str">
            <v>263514</v>
          </cell>
        </row>
        <row r="5635">
          <cell r="Z5635" t="str">
            <v>263519</v>
          </cell>
        </row>
        <row r="5636">
          <cell r="Z5636" t="str">
            <v>263520</v>
          </cell>
        </row>
        <row r="5637">
          <cell r="Z5637" t="str">
            <v>263521</v>
          </cell>
        </row>
        <row r="5638">
          <cell r="Z5638" t="str">
            <v>263522</v>
          </cell>
        </row>
        <row r="5639">
          <cell r="Z5639" t="str">
            <v>263523</v>
          </cell>
        </row>
        <row r="5640">
          <cell r="Z5640" t="str">
            <v>263524</v>
          </cell>
        </row>
        <row r="5641">
          <cell r="Z5641" t="str">
            <v>263529</v>
          </cell>
        </row>
        <row r="5642">
          <cell r="Z5642" t="str">
            <v>263900</v>
          </cell>
        </row>
        <row r="5643">
          <cell r="Z5643" t="str">
            <v>263910</v>
          </cell>
        </row>
        <row r="5644">
          <cell r="Z5644" t="str">
            <v>263911</v>
          </cell>
        </row>
        <row r="5645">
          <cell r="Z5645" t="str">
            <v>263912</v>
          </cell>
        </row>
        <row r="5646">
          <cell r="Z5646" t="str">
            <v>263913</v>
          </cell>
        </row>
        <row r="5647">
          <cell r="Z5647" t="str">
            <v>263914</v>
          </cell>
        </row>
        <row r="5648">
          <cell r="Z5648" t="str">
            <v>263919</v>
          </cell>
        </row>
        <row r="5649">
          <cell r="Z5649" t="str">
            <v>263920</v>
          </cell>
        </row>
        <row r="5650">
          <cell r="Z5650" t="str">
            <v>263921</v>
          </cell>
        </row>
        <row r="5651">
          <cell r="Z5651" t="str">
            <v>263922</v>
          </cell>
        </row>
        <row r="5652">
          <cell r="Z5652" t="str">
            <v>263923</v>
          </cell>
        </row>
        <row r="5653">
          <cell r="Z5653" t="str">
            <v>263924</v>
          </cell>
        </row>
        <row r="5654">
          <cell r="Z5654" t="str">
            <v>263929</v>
          </cell>
        </row>
        <row r="5655">
          <cell r="Z5655" t="str">
            <v>270000</v>
          </cell>
        </row>
        <row r="5656">
          <cell r="Z5656" t="str">
            <v>271000</v>
          </cell>
        </row>
        <row r="5657">
          <cell r="Z5657" t="str">
            <v>271100</v>
          </cell>
        </row>
        <row r="5658">
          <cell r="Z5658" t="str">
            <v>271110</v>
          </cell>
        </row>
        <row r="5659">
          <cell r="Z5659" t="str">
            <v>271111</v>
          </cell>
        </row>
        <row r="5660">
          <cell r="Z5660" t="str">
            <v>271112</v>
          </cell>
        </row>
        <row r="5661">
          <cell r="Z5661" t="str">
            <v>271113</v>
          </cell>
        </row>
        <row r="5662">
          <cell r="Z5662" t="str">
            <v>271114</v>
          </cell>
        </row>
        <row r="5663">
          <cell r="Z5663" t="str">
            <v>271119</v>
          </cell>
        </row>
        <row r="5664">
          <cell r="Z5664" t="str">
            <v>271120</v>
          </cell>
        </row>
        <row r="5665">
          <cell r="Z5665" t="str">
            <v>271121</v>
          </cell>
        </row>
        <row r="5666">
          <cell r="Z5666" t="str">
            <v>271122</v>
          </cell>
        </row>
        <row r="5667">
          <cell r="Z5667" t="str">
            <v>271123</v>
          </cell>
        </row>
        <row r="5668">
          <cell r="Z5668" t="str">
            <v>271124</v>
          </cell>
        </row>
        <row r="5669">
          <cell r="Z5669" t="str">
            <v>271129</v>
          </cell>
        </row>
        <row r="5670">
          <cell r="Z5670" t="str">
            <v>271200</v>
          </cell>
        </row>
        <row r="5671">
          <cell r="Z5671" t="str">
            <v>271210</v>
          </cell>
        </row>
        <row r="5672">
          <cell r="Z5672" t="str">
            <v>271211</v>
          </cell>
        </row>
        <row r="5673">
          <cell r="Z5673" t="str">
            <v>271212</v>
          </cell>
        </row>
        <row r="5674">
          <cell r="Z5674" t="str">
            <v>271213</v>
          </cell>
        </row>
        <row r="5675">
          <cell r="Z5675" t="str">
            <v>271214</v>
          </cell>
        </row>
        <row r="5676">
          <cell r="Z5676" t="str">
            <v>271219</v>
          </cell>
        </row>
        <row r="5677">
          <cell r="Z5677" t="str">
            <v>271220</v>
          </cell>
        </row>
        <row r="5678">
          <cell r="Z5678" t="str">
            <v>271221</v>
          </cell>
        </row>
        <row r="5679">
          <cell r="Z5679" t="str">
            <v>271222</v>
          </cell>
        </row>
        <row r="5680">
          <cell r="Z5680" t="str">
            <v>271223</v>
          </cell>
        </row>
        <row r="5681">
          <cell r="Z5681" t="str">
            <v>271224</v>
          </cell>
        </row>
        <row r="5682">
          <cell r="Z5682" t="str">
            <v>271229</v>
          </cell>
        </row>
        <row r="5683">
          <cell r="Z5683" t="str">
            <v>271300</v>
          </cell>
        </row>
        <row r="5684">
          <cell r="Z5684" t="str">
            <v>271310</v>
          </cell>
        </row>
        <row r="5685">
          <cell r="Z5685" t="str">
            <v>271311</v>
          </cell>
        </row>
        <row r="5686">
          <cell r="Z5686" t="str">
            <v>271312</v>
          </cell>
        </row>
        <row r="5687">
          <cell r="Z5687" t="str">
            <v>271313</v>
          </cell>
        </row>
        <row r="5688">
          <cell r="Z5688" t="str">
            <v>271314</v>
          </cell>
        </row>
        <row r="5689">
          <cell r="Z5689" t="str">
            <v>271319</v>
          </cell>
        </row>
        <row r="5690">
          <cell r="Z5690" t="str">
            <v>271320</v>
          </cell>
        </row>
        <row r="5691">
          <cell r="Z5691" t="str">
            <v>271321</v>
          </cell>
        </row>
        <row r="5692">
          <cell r="Z5692" t="str">
            <v>271322</v>
          </cell>
        </row>
        <row r="5693">
          <cell r="Z5693" t="str">
            <v>271323</v>
          </cell>
        </row>
        <row r="5694">
          <cell r="Z5694" t="str">
            <v>271324</v>
          </cell>
        </row>
        <row r="5695">
          <cell r="Z5695" t="str">
            <v>271329</v>
          </cell>
        </row>
        <row r="5696">
          <cell r="Z5696" t="str">
            <v>272000</v>
          </cell>
        </row>
        <row r="5697">
          <cell r="Z5697" t="str">
            <v>272100</v>
          </cell>
        </row>
        <row r="5698">
          <cell r="Z5698" t="str">
            <v>272110</v>
          </cell>
        </row>
        <row r="5699">
          <cell r="Z5699" t="str">
            <v>272111</v>
          </cell>
        </row>
        <row r="5700">
          <cell r="Z5700" t="str">
            <v>272112</v>
          </cell>
        </row>
        <row r="5701">
          <cell r="Z5701" t="str">
            <v>272113</v>
          </cell>
        </row>
        <row r="5702">
          <cell r="Z5702" t="str">
            <v>272114</v>
          </cell>
        </row>
        <row r="5703">
          <cell r="Z5703" t="str">
            <v>272119</v>
          </cell>
        </row>
        <row r="5704">
          <cell r="Z5704" t="str">
            <v>272120</v>
          </cell>
        </row>
        <row r="5705">
          <cell r="Z5705" t="str">
            <v>272121</v>
          </cell>
        </row>
        <row r="5706">
          <cell r="Z5706" t="str">
            <v>272122</v>
          </cell>
        </row>
        <row r="5707">
          <cell r="Z5707" t="str">
            <v>272123</v>
          </cell>
        </row>
        <row r="5708">
          <cell r="Z5708" t="str">
            <v>272124</v>
          </cell>
        </row>
        <row r="5709">
          <cell r="Z5709" t="str">
            <v>272129</v>
          </cell>
        </row>
        <row r="5710">
          <cell r="Z5710" t="str">
            <v>272130</v>
          </cell>
        </row>
        <row r="5711">
          <cell r="Z5711" t="str">
            <v>272131</v>
          </cell>
        </row>
        <row r="5712">
          <cell r="Z5712" t="str">
            <v>272132</v>
          </cell>
        </row>
        <row r="5713">
          <cell r="Z5713" t="str">
            <v>272133</v>
          </cell>
        </row>
        <row r="5714">
          <cell r="Z5714" t="str">
            <v>272134</v>
          </cell>
        </row>
        <row r="5715">
          <cell r="Z5715" t="str">
            <v>272139</v>
          </cell>
        </row>
        <row r="5716">
          <cell r="Z5716" t="str">
            <v>272200</v>
          </cell>
        </row>
        <row r="5717">
          <cell r="Z5717" t="str">
            <v>272210</v>
          </cell>
        </row>
        <row r="5718">
          <cell r="Z5718" t="str">
            <v>272211</v>
          </cell>
        </row>
        <row r="5719">
          <cell r="Z5719" t="str">
            <v>272212</v>
          </cell>
        </row>
        <row r="5720">
          <cell r="Z5720" t="str">
            <v>272213</v>
          </cell>
        </row>
        <row r="5721">
          <cell r="Z5721" t="str">
            <v>272214</v>
          </cell>
        </row>
        <row r="5722">
          <cell r="Z5722" t="str">
            <v>272219</v>
          </cell>
        </row>
        <row r="5723">
          <cell r="Z5723" t="str">
            <v>272220</v>
          </cell>
        </row>
        <row r="5724">
          <cell r="Z5724" t="str">
            <v>272221</v>
          </cell>
        </row>
        <row r="5725">
          <cell r="Z5725" t="str">
            <v>272222</v>
          </cell>
        </row>
        <row r="5726">
          <cell r="Z5726" t="str">
            <v>272223</v>
          </cell>
        </row>
        <row r="5727">
          <cell r="Z5727" t="str">
            <v>272224</v>
          </cell>
        </row>
        <row r="5728">
          <cell r="Z5728" t="str">
            <v>272229</v>
          </cell>
        </row>
        <row r="5729">
          <cell r="Z5729" t="str">
            <v>272230</v>
          </cell>
        </row>
        <row r="5730">
          <cell r="Z5730" t="str">
            <v>272231</v>
          </cell>
        </row>
        <row r="5731">
          <cell r="Z5731" t="str">
            <v>272232</v>
          </cell>
        </row>
        <row r="5732">
          <cell r="Z5732" t="str">
            <v>272233</v>
          </cell>
        </row>
        <row r="5733">
          <cell r="Z5733" t="str">
            <v>272234</v>
          </cell>
        </row>
        <row r="5734">
          <cell r="Z5734" t="str">
            <v>272239</v>
          </cell>
        </row>
        <row r="5735">
          <cell r="Z5735" t="str">
            <v>272300</v>
          </cell>
        </row>
        <row r="5736">
          <cell r="Z5736" t="str">
            <v>272310</v>
          </cell>
        </row>
        <row r="5737">
          <cell r="Z5737" t="str">
            <v>272311</v>
          </cell>
        </row>
        <row r="5738">
          <cell r="Z5738" t="str">
            <v>272312</v>
          </cell>
        </row>
        <row r="5739">
          <cell r="Z5739" t="str">
            <v>272313</v>
          </cell>
        </row>
        <row r="5740">
          <cell r="Z5740" t="str">
            <v>272314</v>
          </cell>
        </row>
        <row r="5741">
          <cell r="Z5741" t="str">
            <v>272319</v>
          </cell>
        </row>
        <row r="5742">
          <cell r="Z5742" t="str">
            <v>272320</v>
          </cell>
        </row>
        <row r="5743">
          <cell r="Z5743" t="str">
            <v>272321</v>
          </cell>
        </row>
        <row r="5744">
          <cell r="Z5744" t="str">
            <v>272322</v>
          </cell>
        </row>
        <row r="5745">
          <cell r="Z5745" t="str">
            <v>272323</v>
          </cell>
        </row>
        <row r="5746">
          <cell r="Z5746" t="str">
            <v>272324</v>
          </cell>
        </row>
        <row r="5747">
          <cell r="Z5747" t="str">
            <v>272329</v>
          </cell>
        </row>
        <row r="5748">
          <cell r="Z5748" t="str">
            <v>272330</v>
          </cell>
        </row>
        <row r="5749">
          <cell r="Z5749" t="str">
            <v>272331</v>
          </cell>
        </row>
        <row r="5750">
          <cell r="Z5750" t="str">
            <v>272332</v>
          </cell>
        </row>
        <row r="5751">
          <cell r="Z5751" t="str">
            <v>272333</v>
          </cell>
        </row>
        <row r="5752">
          <cell r="Z5752" t="str">
            <v>272334</v>
          </cell>
        </row>
        <row r="5753">
          <cell r="Z5753" t="str">
            <v>272339</v>
          </cell>
        </row>
        <row r="5754">
          <cell r="Z5754" t="str">
            <v>272340</v>
          </cell>
        </row>
        <row r="5755">
          <cell r="Z5755" t="str">
            <v>272341</v>
          </cell>
        </row>
        <row r="5756">
          <cell r="Z5756" t="str">
            <v>272342</v>
          </cell>
        </row>
        <row r="5757">
          <cell r="Z5757" t="str">
            <v>272343</v>
          </cell>
        </row>
        <row r="5758">
          <cell r="Z5758" t="str">
            <v>272344</v>
          </cell>
        </row>
        <row r="5759">
          <cell r="Z5759" t="str">
            <v>272349</v>
          </cell>
        </row>
        <row r="5760">
          <cell r="Z5760" t="str">
            <v>272350</v>
          </cell>
        </row>
        <row r="5761">
          <cell r="Z5761" t="str">
            <v>272351</v>
          </cell>
        </row>
        <row r="5762">
          <cell r="Z5762" t="str">
            <v>272352</v>
          </cell>
        </row>
        <row r="5763">
          <cell r="Z5763" t="str">
            <v>272353</v>
          </cell>
        </row>
        <row r="5764">
          <cell r="Z5764" t="str">
            <v>272354</v>
          </cell>
        </row>
        <row r="5765">
          <cell r="Z5765" t="str">
            <v>272359</v>
          </cell>
        </row>
        <row r="5766">
          <cell r="Z5766" t="str">
            <v>272360</v>
          </cell>
        </row>
        <row r="5767">
          <cell r="Z5767" t="str">
            <v>272361</v>
          </cell>
        </row>
        <row r="5768">
          <cell r="Z5768" t="str">
            <v>272362</v>
          </cell>
        </row>
        <row r="5769">
          <cell r="Z5769" t="str">
            <v>272363</v>
          </cell>
        </row>
        <row r="5770">
          <cell r="Z5770" t="str">
            <v>272364</v>
          </cell>
        </row>
        <row r="5771">
          <cell r="Z5771" t="str">
            <v>272369</v>
          </cell>
        </row>
        <row r="5772">
          <cell r="Z5772" t="str">
            <v>272370</v>
          </cell>
        </row>
        <row r="5773">
          <cell r="Z5773" t="str">
            <v>272371</v>
          </cell>
        </row>
        <row r="5774">
          <cell r="Z5774" t="str">
            <v>272372</v>
          </cell>
        </row>
        <row r="5775">
          <cell r="Z5775" t="str">
            <v>272373</v>
          </cell>
        </row>
        <row r="5776">
          <cell r="Z5776" t="str">
            <v>272374</v>
          </cell>
        </row>
        <row r="5777">
          <cell r="Z5777" t="str">
            <v>272379</v>
          </cell>
        </row>
        <row r="5778">
          <cell r="Z5778" t="str">
            <v>272380</v>
          </cell>
        </row>
        <row r="5779">
          <cell r="Z5779" t="str">
            <v>272381</v>
          </cell>
        </row>
        <row r="5780">
          <cell r="Z5780" t="str">
            <v>272382</v>
          </cell>
        </row>
        <row r="5781">
          <cell r="Z5781" t="str">
            <v>272383</v>
          </cell>
        </row>
        <row r="5782">
          <cell r="Z5782" t="str">
            <v>272384</v>
          </cell>
        </row>
        <row r="5783">
          <cell r="Z5783" t="str">
            <v>272389</v>
          </cell>
        </row>
        <row r="5784">
          <cell r="Z5784" t="str">
            <v>272390</v>
          </cell>
        </row>
        <row r="5785">
          <cell r="Z5785" t="str">
            <v>272391</v>
          </cell>
        </row>
        <row r="5786">
          <cell r="Z5786" t="str">
            <v>272392</v>
          </cell>
        </row>
        <row r="5787">
          <cell r="Z5787" t="str">
            <v>272393</v>
          </cell>
        </row>
        <row r="5788">
          <cell r="Z5788" t="str">
            <v>272394</v>
          </cell>
        </row>
        <row r="5789">
          <cell r="Z5789" t="str">
            <v>272399</v>
          </cell>
        </row>
        <row r="5790">
          <cell r="Z5790" t="str">
            <v>272400</v>
          </cell>
        </row>
        <row r="5791">
          <cell r="Z5791" t="str">
            <v>272410</v>
          </cell>
        </row>
        <row r="5792">
          <cell r="Z5792" t="str">
            <v>272411</v>
          </cell>
        </row>
        <row r="5793">
          <cell r="Z5793" t="str">
            <v>272412</v>
          </cell>
        </row>
        <row r="5794">
          <cell r="Z5794" t="str">
            <v>272413</v>
          </cell>
        </row>
        <row r="5795">
          <cell r="Z5795" t="str">
            <v>272414</v>
          </cell>
        </row>
        <row r="5796">
          <cell r="Z5796" t="str">
            <v>272419</v>
          </cell>
        </row>
        <row r="5797">
          <cell r="Z5797" t="str">
            <v>272420</v>
          </cell>
        </row>
        <row r="5798">
          <cell r="Z5798" t="str">
            <v>272421</v>
          </cell>
        </row>
        <row r="5799">
          <cell r="Z5799" t="str">
            <v>272422</v>
          </cell>
        </row>
        <row r="5800">
          <cell r="Z5800" t="str">
            <v>272423</v>
          </cell>
        </row>
        <row r="5801">
          <cell r="Z5801" t="str">
            <v>272424</v>
          </cell>
        </row>
        <row r="5802">
          <cell r="Z5802" t="str">
            <v>272429</v>
          </cell>
        </row>
        <row r="5803">
          <cell r="Z5803" t="str">
            <v>272430</v>
          </cell>
        </row>
        <row r="5804">
          <cell r="Z5804" t="str">
            <v>272431</v>
          </cell>
        </row>
        <row r="5805">
          <cell r="Z5805" t="str">
            <v>272432</v>
          </cell>
        </row>
        <row r="5806">
          <cell r="Z5806" t="str">
            <v>272433</v>
          </cell>
        </row>
        <row r="5807">
          <cell r="Z5807" t="str">
            <v>272434</v>
          </cell>
        </row>
        <row r="5808">
          <cell r="Z5808" t="str">
            <v>272439</v>
          </cell>
        </row>
        <row r="5809">
          <cell r="Z5809" t="str">
            <v>272500</v>
          </cell>
        </row>
        <row r="5810">
          <cell r="Z5810" t="str">
            <v>272510</v>
          </cell>
        </row>
        <row r="5811">
          <cell r="Z5811" t="str">
            <v>272511</v>
          </cell>
        </row>
        <row r="5812">
          <cell r="Z5812" t="str">
            <v>272512</v>
          </cell>
        </row>
        <row r="5813">
          <cell r="Z5813" t="str">
            <v>272513</v>
          </cell>
        </row>
        <row r="5814">
          <cell r="Z5814" t="str">
            <v>272514</v>
          </cell>
        </row>
        <row r="5815">
          <cell r="Z5815" t="str">
            <v>272519</v>
          </cell>
        </row>
        <row r="5816">
          <cell r="Z5816" t="str">
            <v>272520</v>
          </cell>
        </row>
        <row r="5817">
          <cell r="Z5817" t="str">
            <v>272521</v>
          </cell>
        </row>
        <row r="5818">
          <cell r="Z5818" t="str">
            <v>272522</v>
          </cell>
        </row>
        <row r="5819">
          <cell r="Z5819" t="str">
            <v>272523</v>
          </cell>
        </row>
        <row r="5820">
          <cell r="Z5820" t="str">
            <v>272524</v>
          </cell>
        </row>
        <row r="5821">
          <cell r="Z5821" t="str">
            <v>272529</v>
          </cell>
        </row>
        <row r="5822">
          <cell r="Z5822" t="str">
            <v>272600</v>
          </cell>
        </row>
        <row r="5823">
          <cell r="Z5823" t="str">
            <v>272610</v>
          </cell>
        </row>
        <row r="5824">
          <cell r="Z5824" t="str">
            <v>272611</v>
          </cell>
        </row>
        <row r="5825">
          <cell r="Z5825" t="str">
            <v>272612</v>
          </cell>
        </row>
        <row r="5826">
          <cell r="Z5826" t="str">
            <v>272613</v>
          </cell>
        </row>
        <row r="5827">
          <cell r="Z5827" t="str">
            <v>272614</v>
          </cell>
        </row>
        <row r="5828">
          <cell r="Z5828" t="str">
            <v>272619</v>
          </cell>
        </row>
        <row r="5829">
          <cell r="Z5829" t="str">
            <v>272620</v>
          </cell>
        </row>
        <row r="5830">
          <cell r="Z5830" t="str">
            <v>272621</v>
          </cell>
        </row>
        <row r="5831">
          <cell r="Z5831" t="str">
            <v>272622</v>
          </cell>
        </row>
        <row r="5832">
          <cell r="Z5832" t="str">
            <v>272623</v>
          </cell>
        </row>
        <row r="5833">
          <cell r="Z5833" t="str">
            <v>272624</v>
          </cell>
        </row>
        <row r="5834">
          <cell r="Z5834" t="str">
            <v>272629</v>
          </cell>
        </row>
        <row r="5835">
          <cell r="Z5835" t="str">
            <v>272700</v>
          </cell>
        </row>
        <row r="5836">
          <cell r="Z5836" t="str">
            <v>272710</v>
          </cell>
        </row>
        <row r="5837">
          <cell r="Z5837" t="str">
            <v>272711</v>
          </cell>
        </row>
        <row r="5838">
          <cell r="Z5838" t="str">
            <v>272712</v>
          </cell>
        </row>
        <row r="5839">
          <cell r="Z5839" t="str">
            <v>272713</v>
          </cell>
        </row>
        <row r="5840">
          <cell r="Z5840" t="str">
            <v>272714</v>
          </cell>
        </row>
        <row r="5841">
          <cell r="Z5841" t="str">
            <v>272719</v>
          </cell>
        </row>
        <row r="5842">
          <cell r="Z5842" t="str">
            <v>272720</v>
          </cell>
        </row>
        <row r="5843">
          <cell r="Z5843" t="str">
            <v>272721</v>
          </cell>
        </row>
        <row r="5844">
          <cell r="Z5844" t="str">
            <v>272722</v>
          </cell>
        </row>
        <row r="5845">
          <cell r="Z5845" t="str">
            <v>272723</v>
          </cell>
        </row>
        <row r="5846">
          <cell r="Z5846" t="str">
            <v>272724</v>
          </cell>
        </row>
        <row r="5847">
          <cell r="Z5847" t="str">
            <v>272729</v>
          </cell>
        </row>
        <row r="5848">
          <cell r="Z5848" t="str">
            <v>272730</v>
          </cell>
        </row>
        <row r="5849">
          <cell r="Z5849" t="str">
            <v>272731</v>
          </cell>
        </row>
        <row r="5850">
          <cell r="Z5850" t="str">
            <v>272732</v>
          </cell>
        </row>
        <row r="5851">
          <cell r="Z5851" t="str">
            <v>272733</v>
          </cell>
        </row>
        <row r="5852">
          <cell r="Z5852" t="str">
            <v>272734</v>
          </cell>
        </row>
        <row r="5853">
          <cell r="Z5853" t="str">
            <v>272739</v>
          </cell>
        </row>
        <row r="5854">
          <cell r="Z5854" t="str">
            <v>272740</v>
          </cell>
        </row>
        <row r="5855">
          <cell r="Z5855" t="str">
            <v>272741</v>
          </cell>
        </row>
        <row r="5856">
          <cell r="Z5856" t="str">
            <v>272742</v>
          </cell>
        </row>
        <row r="5857">
          <cell r="Z5857" t="str">
            <v>272743</v>
          </cell>
        </row>
        <row r="5858">
          <cell r="Z5858" t="str">
            <v>272744</v>
          </cell>
        </row>
        <row r="5859">
          <cell r="Z5859" t="str">
            <v>272749</v>
          </cell>
        </row>
        <row r="5860">
          <cell r="Z5860" t="str">
            <v>272750</v>
          </cell>
        </row>
        <row r="5861">
          <cell r="Z5861" t="str">
            <v>272751</v>
          </cell>
        </row>
        <row r="5862">
          <cell r="Z5862" t="str">
            <v>272752</v>
          </cell>
        </row>
        <row r="5863">
          <cell r="Z5863" t="str">
            <v>272753</v>
          </cell>
        </row>
        <row r="5864">
          <cell r="Z5864" t="str">
            <v>272754</v>
          </cell>
        </row>
        <row r="5865">
          <cell r="Z5865" t="str">
            <v>272759</v>
          </cell>
        </row>
        <row r="5866">
          <cell r="Z5866" t="str">
            <v>272760</v>
          </cell>
        </row>
        <row r="5867">
          <cell r="Z5867" t="str">
            <v>272761</v>
          </cell>
        </row>
        <row r="5868">
          <cell r="Z5868" t="str">
            <v>272762</v>
          </cell>
        </row>
        <row r="5869">
          <cell r="Z5869" t="str">
            <v>272763</v>
          </cell>
        </row>
        <row r="5870">
          <cell r="Z5870" t="str">
            <v>272764</v>
          </cell>
        </row>
        <row r="5871">
          <cell r="Z5871" t="str">
            <v>272769</v>
          </cell>
        </row>
        <row r="5872">
          <cell r="Z5872" t="str">
            <v>272770</v>
          </cell>
        </row>
        <row r="5873">
          <cell r="Z5873" t="str">
            <v>272771</v>
          </cell>
        </row>
        <row r="5874">
          <cell r="Z5874" t="str">
            <v>272772</v>
          </cell>
        </row>
        <row r="5875">
          <cell r="Z5875" t="str">
            <v>272773</v>
          </cell>
        </row>
        <row r="5876">
          <cell r="Z5876" t="str">
            <v>272774</v>
          </cell>
        </row>
        <row r="5877">
          <cell r="Z5877" t="str">
            <v>272779</v>
          </cell>
        </row>
        <row r="5878">
          <cell r="Z5878" t="str">
            <v>272780</v>
          </cell>
        </row>
        <row r="5879">
          <cell r="Z5879" t="str">
            <v>272781</v>
          </cell>
        </row>
        <row r="5880">
          <cell r="Z5880" t="str">
            <v>272782</v>
          </cell>
        </row>
        <row r="5881">
          <cell r="Z5881" t="str">
            <v>272783</v>
          </cell>
        </row>
        <row r="5882">
          <cell r="Z5882" t="str">
            <v>272784</v>
          </cell>
        </row>
        <row r="5883">
          <cell r="Z5883" t="str">
            <v>272789</v>
          </cell>
        </row>
        <row r="5884">
          <cell r="Z5884" t="str">
            <v>272790</v>
          </cell>
        </row>
        <row r="5885">
          <cell r="Z5885" t="str">
            <v>272791</v>
          </cell>
        </row>
        <row r="5886">
          <cell r="Z5886" t="str">
            <v>272792</v>
          </cell>
        </row>
        <row r="5887">
          <cell r="Z5887" t="str">
            <v>272793</v>
          </cell>
        </row>
        <row r="5888">
          <cell r="Z5888" t="str">
            <v>272794</v>
          </cell>
        </row>
        <row r="5889">
          <cell r="Z5889" t="str">
            <v>272799</v>
          </cell>
        </row>
        <row r="5890">
          <cell r="Z5890" t="str">
            <v>272800</v>
          </cell>
        </row>
        <row r="5891">
          <cell r="Z5891" t="str">
            <v>272810</v>
          </cell>
        </row>
        <row r="5892">
          <cell r="Z5892" t="str">
            <v>272811</v>
          </cell>
        </row>
        <row r="5893">
          <cell r="Z5893" t="str">
            <v>272812</v>
          </cell>
        </row>
        <row r="5894">
          <cell r="Z5894" t="str">
            <v>272813</v>
          </cell>
        </row>
        <row r="5895">
          <cell r="Z5895" t="str">
            <v>272814</v>
          </cell>
        </row>
        <row r="5896">
          <cell r="Z5896" t="str">
            <v>272819</v>
          </cell>
        </row>
        <row r="5897">
          <cell r="Z5897" t="str">
            <v>272820</v>
          </cell>
        </row>
        <row r="5898">
          <cell r="Z5898" t="str">
            <v>272821</v>
          </cell>
        </row>
        <row r="5899">
          <cell r="Z5899" t="str">
            <v>272822</v>
          </cell>
        </row>
        <row r="5900">
          <cell r="Z5900" t="str">
            <v>272823</v>
          </cell>
        </row>
        <row r="5901">
          <cell r="Z5901" t="str">
            <v>272824</v>
          </cell>
        </row>
        <row r="5902">
          <cell r="Z5902" t="str">
            <v>272829</v>
          </cell>
        </row>
        <row r="5903">
          <cell r="Z5903" t="str">
            <v>272830</v>
          </cell>
        </row>
        <row r="5904">
          <cell r="Z5904" t="str">
            <v>272831</v>
          </cell>
        </row>
        <row r="5905">
          <cell r="Z5905" t="str">
            <v>272832</v>
          </cell>
        </row>
        <row r="5906">
          <cell r="Z5906" t="str">
            <v>272833</v>
          </cell>
        </row>
        <row r="5907">
          <cell r="Z5907" t="str">
            <v>272834</v>
          </cell>
        </row>
        <row r="5908">
          <cell r="Z5908" t="str">
            <v>272839</v>
          </cell>
        </row>
        <row r="5909">
          <cell r="Z5909" t="str">
            <v>273000</v>
          </cell>
        </row>
        <row r="5910">
          <cell r="Z5910" t="str">
            <v>273100</v>
          </cell>
        </row>
        <row r="5911">
          <cell r="Z5911" t="str">
            <v>273110</v>
          </cell>
        </row>
        <row r="5912">
          <cell r="Z5912" t="str">
            <v>273111</v>
          </cell>
        </row>
        <row r="5913">
          <cell r="Z5913" t="str">
            <v>273112</v>
          </cell>
        </row>
        <row r="5914">
          <cell r="Z5914" t="str">
            <v>273113</v>
          </cell>
        </row>
        <row r="5915">
          <cell r="Z5915" t="str">
            <v>273114</v>
          </cell>
        </row>
        <row r="5916">
          <cell r="Z5916" t="str">
            <v>273119</v>
          </cell>
        </row>
        <row r="5917">
          <cell r="Z5917" t="str">
            <v>273120</v>
          </cell>
        </row>
        <row r="5918">
          <cell r="Z5918" t="str">
            <v>273121</v>
          </cell>
        </row>
        <row r="5919">
          <cell r="Z5919" t="str">
            <v>273122</v>
          </cell>
        </row>
        <row r="5920">
          <cell r="Z5920" t="str">
            <v>273123</v>
          </cell>
        </row>
        <row r="5921">
          <cell r="Z5921" t="str">
            <v>273124</v>
          </cell>
        </row>
        <row r="5922">
          <cell r="Z5922" t="str">
            <v>273129</v>
          </cell>
        </row>
        <row r="5923">
          <cell r="Z5923" t="str">
            <v>273200</v>
          </cell>
        </row>
        <row r="5924">
          <cell r="Z5924" t="str">
            <v>273210</v>
          </cell>
        </row>
        <row r="5925">
          <cell r="Z5925" t="str">
            <v>273211</v>
          </cell>
        </row>
        <row r="5926">
          <cell r="Z5926" t="str">
            <v>273212</v>
          </cell>
        </row>
        <row r="5927">
          <cell r="Z5927" t="str">
            <v>273213</v>
          </cell>
        </row>
        <row r="5928">
          <cell r="Z5928" t="str">
            <v>273214</v>
          </cell>
        </row>
        <row r="5929">
          <cell r="Z5929" t="str">
            <v>273219</v>
          </cell>
        </row>
        <row r="5930">
          <cell r="Z5930" t="str">
            <v>273220</v>
          </cell>
        </row>
        <row r="5931">
          <cell r="Z5931" t="str">
            <v>273221</v>
          </cell>
        </row>
        <row r="5932">
          <cell r="Z5932" t="str">
            <v>273222</v>
          </cell>
        </row>
        <row r="5933">
          <cell r="Z5933" t="str">
            <v>273223</v>
          </cell>
        </row>
        <row r="5934">
          <cell r="Z5934" t="str">
            <v>273224</v>
          </cell>
        </row>
        <row r="5935">
          <cell r="Z5935" t="str">
            <v>273229</v>
          </cell>
        </row>
        <row r="5936">
          <cell r="Z5936" t="str">
            <v>273300</v>
          </cell>
        </row>
        <row r="5937">
          <cell r="Z5937" t="str">
            <v>273310</v>
          </cell>
        </row>
        <row r="5938">
          <cell r="Z5938" t="str">
            <v>273311</v>
          </cell>
        </row>
        <row r="5939">
          <cell r="Z5939" t="str">
            <v>273312</v>
          </cell>
        </row>
        <row r="5940">
          <cell r="Z5940" t="str">
            <v>273313</v>
          </cell>
        </row>
        <row r="5941">
          <cell r="Z5941" t="str">
            <v>273314</v>
          </cell>
        </row>
        <row r="5942">
          <cell r="Z5942" t="str">
            <v>273319</v>
          </cell>
        </row>
        <row r="5943">
          <cell r="Z5943" t="str">
            <v>273320</v>
          </cell>
        </row>
        <row r="5944">
          <cell r="Z5944" t="str">
            <v>273321</v>
          </cell>
        </row>
        <row r="5945">
          <cell r="Z5945" t="str">
            <v>273322</v>
          </cell>
        </row>
        <row r="5946">
          <cell r="Z5946" t="str">
            <v>273323</v>
          </cell>
        </row>
        <row r="5947">
          <cell r="Z5947" t="str">
            <v>273324</v>
          </cell>
        </row>
        <row r="5948">
          <cell r="Z5948" t="str">
            <v>273329</v>
          </cell>
        </row>
        <row r="5949">
          <cell r="Z5949" t="str">
            <v>273400</v>
          </cell>
        </row>
        <row r="5950">
          <cell r="Z5950" t="str">
            <v>273410</v>
          </cell>
        </row>
        <row r="5951">
          <cell r="Z5951" t="str">
            <v>273411</v>
          </cell>
        </row>
        <row r="5952">
          <cell r="Z5952" t="str">
            <v>273412</v>
          </cell>
        </row>
        <row r="5953">
          <cell r="Z5953" t="str">
            <v>273413</v>
          </cell>
        </row>
        <row r="5954">
          <cell r="Z5954" t="str">
            <v>273414</v>
          </cell>
        </row>
        <row r="5955">
          <cell r="Z5955" t="str">
            <v>273419</v>
          </cell>
        </row>
        <row r="5956">
          <cell r="Z5956" t="str">
            <v>273420</v>
          </cell>
        </row>
        <row r="5957">
          <cell r="Z5957" t="str">
            <v>273421</v>
          </cell>
        </row>
        <row r="5958">
          <cell r="Z5958" t="str">
            <v>273422</v>
          </cell>
        </row>
        <row r="5959">
          <cell r="Z5959" t="str">
            <v>273423</v>
          </cell>
        </row>
        <row r="5960">
          <cell r="Z5960" t="str">
            <v>273424</v>
          </cell>
        </row>
        <row r="5961">
          <cell r="Z5961" t="str">
            <v>273429</v>
          </cell>
        </row>
        <row r="5962">
          <cell r="Z5962" t="str">
            <v>273500</v>
          </cell>
        </row>
        <row r="5963">
          <cell r="Z5963" t="str">
            <v>273510</v>
          </cell>
        </row>
        <row r="5964">
          <cell r="Z5964" t="str">
            <v>273511</v>
          </cell>
        </row>
        <row r="5965">
          <cell r="Z5965" t="str">
            <v>273512</v>
          </cell>
        </row>
        <row r="5966">
          <cell r="Z5966" t="str">
            <v>273513</v>
          </cell>
        </row>
        <row r="5967">
          <cell r="Z5967" t="str">
            <v>273514</v>
          </cell>
        </row>
        <row r="5968">
          <cell r="Z5968" t="str">
            <v>273519</v>
          </cell>
        </row>
        <row r="5969">
          <cell r="Z5969" t="str">
            <v>273520</v>
          </cell>
        </row>
        <row r="5970">
          <cell r="Z5970" t="str">
            <v>273521</v>
          </cell>
        </row>
        <row r="5971">
          <cell r="Z5971" t="str">
            <v>273522</v>
          </cell>
        </row>
        <row r="5972">
          <cell r="Z5972" t="str">
            <v>273523</v>
          </cell>
        </row>
        <row r="5973">
          <cell r="Z5973" t="str">
            <v>273524</v>
          </cell>
        </row>
        <row r="5974">
          <cell r="Z5974" t="str">
            <v>273529</v>
          </cell>
        </row>
        <row r="5975">
          <cell r="Z5975" t="str">
            <v>273900</v>
          </cell>
        </row>
        <row r="5976">
          <cell r="Z5976" t="str">
            <v>273910</v>
          </cell>
        </row>
        <row r="5977">
          <cell r="Z5977" t="str">
            <v>273911</v>
          </cell>
        </row>
        <row r="5978">
          <cell r="Z5978" t="str">
            <v>273912</v>
          </cell>
        </row>
        <row r="5979">
          <cell r="Z5979" t="str">
            <v>273913</v>
          </cell>
        </row>
        <row r="5980">
          <cell r="Z5980" t="str">
            <v>273914</v>
          </cell>
        </row>
        <row r="5981">
          <cell r="Z5981" t="str">
            <v>273919</v>
          </cell>
        </row>
        <row r="5982">
          <cell r="Z5982" t="str">
            <v>273920</v>
          </cell>
        </row>
        <row r="5983">
          <cell r="Z5983" t="str">
            <v>273921</v>
          </cell>
        </row>
        <row r="5984">
          <cell r="Z5984" t="str">
            <v>273922</v>
          </cell>
        </row>
        <row r="5985">
          <cell r="Z5985" t="str">
            <v>273923</v>
          </cell>
        </row>
        <row r="5986">
          <cell r="Z5986" t="str">
            <v>273924</v>
          </cell>
        </row>
        <row r="5987">
          <cell r="Z5987" t="str">
            <v>273929</v>
          </cell>
        </row>
        <row r="5988">
          <cell r="Z5988" t="str">
            <v>280000</v>
          </cell>
        </row>
        <row r="5989">
          <cell r="Z5989" t="str">
            <v>281000</v>
          </cell>
        </row>
        <row r="5990">
          <cell r="Z5990" t="str">
            <v>281100</v>
          </cell>
        </row>
        <row r="5991">
          <cell r="Z5991" t="str">
            <v>281110</v>
          </cell>
        </row>
        <row r="5992">
          <cell r="Z5992" t="str">
            <v>281111</v>
          </cell>
        </row>
        <row r="5993">
          <cell r="Z5993" t="str">
            <v>281112</v>
          </cell>
        </row>
        <row r="5994">
          <cell r="Z5994" t="str">
            <v>281113</v>
          </cell>
        </row>
        <row r="5995">
          <cell r="Z5995" t="str">
            <v>281114</v>
          </cell>
        </row>
        <row r="5996">
          <cell r="Z5996" t="str">
            <v>281119</v>
          </cell>
        </row>
        <row r="5997">
          <cell r="Z5997" t="str">
            <v>281120</v>
          </cell>
        </row>
        <row r="5998">
          <cell r="Z5998" t="str">
            <v>281121</v>
          </cell>
        </row>
        <row r="5999">
          <cell r="Z5999" t="str">
            <v>281122</v>
          </cell>
        </row>
        <row r="6000">
          <cell r="Z6000" t="str">
            <v>281123</v>
          </cell>
        </row>
        <row r="6001">
          <cell r="Z6001" t="str">
            <v>281124</v>
          </cell>
        </row>
        <row r="6002">
          <cell r="Z6002" t="str">
            <v>281129</v>
          </cell>
        </row>
        <row r="6003">
          <cell r="Z6003" t="str">
            <v>281200</v>
          </cell>
        </row>
        <row r="6004">
          <cell r="Z6004" t="str">
            <v>281210</v>
          </cell>
        </row>
        <row r="6005">
          <cell r="Z6005" t="str">
            <v>281211</v>
          </cell>
        </row>
        <row r="6006">
          <cell r="Z6006" t="str">
            <v>281212</v>
          </cell>
        </row>
        <row r="6007">
          <cell r="Z6007" t="str">
            <v>281213</v>
          </cell>
        </row>
        <row r="6008">
          <cell r="Z6008" t="str">
            <v>281214</v>
          </cell>
        </row>
        <row r="6009">
          <cell r="Z6009" t="str">
            <v>281219</v>
          </cell>
        </row>
        <row r="6010">
          <cell r="Z6010" t="str">
            <v>281220</v>
          </cell>
        </row>
        <row r="6011">
          <cell r="Z6011" t="str">
            <v>281221</v>
          </cell>
        </row>
        <row r="6012">
          <cell r="Z6012" t="str">
            <v>281222</v>
          </cell>
        </row>
        <row r="6013">
          <cell r="Z6013" t="str">
            <v>281223</v>
          </cell>
        </row>
        <row r="6014">
          <cell r="Z6014" t="str">
            <v>281224</v>
          </cell>
        </row>
        <row r="6015">
          <cell r="Z6015" t="str">
            <v>281229</v>
          </cell>
        </row>
        <row r="6016">
          <cell r="Z6016" t="str">
            <v>281300</v>
          </cell>
        </row>
        <row r="6017">
          <cell r="Z6017" t="str">
            <v>281310</v>
          </cell>
        </row>
        <row r="6018">
          <cell r="Z6018" t="str">
            <v>281311</v>
          </cell>
        </row>
        <row r="6019">
          <cell r="Z6019" t="str">
            <v>281312</v>
          </cell>
        </row>
        <row r="6020">
          <cell r="Z6020" t="str">
            <v>281313</v>
          </cell>
        </row>
        <row r="6021">
          <cell r="Z6021" t="str">
            <v>281314</v>
          </cell>
        </row>
        <row r="6022">
          <cell r="Z6022" t="str">
            <v>281319</v>
          </cell>
        </row>
        <row r="6023">
          <cell r="Z6023" t="str">
            <v>281320</v>
          </cell>
        </row>
        <row r="6024">
          <cell r="Z6024" t="str">
            <v>281321</v>
          </cell>
        </row>
        <row r="6025">
          <cell r="Z6025" t="str">
            <v>281322</v>
          </cell>
        </row>
        <row r="6026">
          <cell r="Z6026" t="str">
            <v>281323</v>
          </cell>
        </row>
        <row r="6027">
          <cell r="Z6027" t="str">
            <v>281324</v>
          </cell>
        </row>
        <row r="6028">
          <cell r="Z6028" t="str">
            <v>281329</v>
          </cell>
        </row>
        <row r="6029">
          <cell r="Z6029" t="str">
            <v>282000</v>
          </cell>
        </row>
        <row r="6030">
          <cell r="Z6030" t="str">
            <v>282100</v>
          </cell>
        </row>
        <row r="6031">
          <cell r="Z6031" t="str">
            <v>282110</v>
          </cell>
        </row>
        <row r="6032">
          <cell r="Z6032" t="str">
            <v>282111</v>
          </cell>
        </row>
        <row r="6033">
          <cell r="Z6033" t="str">
            <v>282112</v>
          </cell>
        </row>
        <row r="6034">
          <cell r="Z6034" t="str">
            <v>282113</v>
          </cell>
        </row>
        <row r="6035">
          <cell r="Z6035" t="str">
            <v>282114</v>
          </cell>
        </row>
        <row r="6036">
          <cell r="Z6036" t="str">
            <v>282119</v>
          </cell>
        </row>
        <row r="6037">
          <cell r="Z6037" t="str">
            <v>282120</v>
          </cell>
        </row>
        <row r="6038">
          <cell r="Z6038" t="str">
            <v>282121</v>
          </cell>
        </row>
        <row r="6039">
          <cell r="Z6039" t="str">
            <v>282122</v>
          </cell>
        </row>
        <row r="6040">
          <cell r="Z6040" t="str">
            <v>282123</v>
          </cell>
        </row>
        <row r="6041">
          <cell r="Z6041" t="str">
            <v>282124</v>
          </cell>
        </row>
        <row r="6042">
          <cell r="Z6042" t="str">
            <v>282129</v>
          </cell>
        </row>
        <row r="6043">
          <cell r="Z6043" t="str">
            <v>282130</v>
          </cell>
        </row>
        <row r="6044">
          <cell r="Z6044" t="str">
            <v>282131</v>
          </cell>
        </row>
        <row r="6045">
          <cell r="Z6045" t="str">
            <v>282132</v>
          </cell>
        </row>
        <row r="6046">
          <cell r="Z6046" t="str">
            <v>282133</v>
          </cell>
        </row>
        <row r="6047">
          <cell r="Z6047" t="str">
            <v>282134</v>
          </cell>
        </row>
        <row r="6048">
          <cell r="Z6048" t="str">
            <v>282139</v>
          </cell>
        </row>
        <row r="6049">
          <cell r="Z6049" t="str">
            <v>282200</v>
          </cell>
        </row>
        <row r="6050">
          <cell r="Z6050" t="str">
            <v>282210</v>
          </cell>
        </row>
        <row r="6051">
          <cell r="Z6051" t="str">
            <v>282211</v>
          </cell>
        </row>
        <row r="6052">
          <cell r="Z6052" t="str">
            <v>282212</v>
          </cell>
        </row>
        <row r="6053">
          <cell r="Z6053" t="str">
            <v>282213</v>
          </cell>
        </row>
        <row r="6054">
          <cell r="Z6054" t="str">
            <v>282214</v>
          </cell>
        </row>
        <row r="6055">
          <cell r="Z6055" t="str">
            <v>282219</v>
          </cell>
        </row>
        <row r="6056">
          <cell r="Z6056" t="str">
            <v>282220</v>
          </cell>
        </row>
        <row r="6057">
          <cell r="Z6057" t="str">
            <v>282221</v>
          </cell>
        </row>
        <row r="6058">
          <cell r="Z6058" t="str">
            <v>282222</v>
          </cell>
        </row>
        <row r="6059">
          <cell r="Z6059" t="str">
            <v>282223</v>
          </cell>
        </row>
        <row r="6060">
          <cell r="Z6060" t="str">
            <v>282224</v>
          </cell>
        </row>
        <row r="6061">
          <cell r="Z6061" t="str">
            <v>282229</v>
          </cell>
        </row>
        <row r="6062">
          <cell r="Z6062" t="str">
            <v>282230</v>
          </cell>
        </row>
        <row r="6063">
          <cell r="Z6063" t="str">
            <v>282231</v>
          </cell>
        </row>
        <row r="6064">
          <cell r="Z6064" t="str">
            <v>282232</v>
          </cell>
        </row>
        <row r="6065">
          <cell r="Z6065" t="str">
            <v>282233</v>
          </cell>
        </row>
        <row r="6066">
          <cell r="Z6066" t="str">
            <v>282234</v>
          </cell>
        </row>
        <row r="6067">
          <cell r="Z6067" t="str">
            <v>282239</v>
          </cell>
        </row>
        <row r="6068">
          <cell r="Z6068" t="str">
            <v>282300</v>
          </cell>
        </row>
        <row r="6069">
          <cell r="Z6069" t="str">
            <v>282310</v>
          </cell>
        </row>
        <row r="6070">
          <cell r="Z6070" t="str">
            <v>282311</v>
          </cell>
        </row>
        <row r="6071">
          <cell r="Z6071" t="str">
            <v>282312</v>
          </cell>
        </row>
        <row r="6072">
          <cell r="Z6072" t="str">
            <v>282313</v>
          </cell>
        </row>
        <row r="6073">
          <cell r="Z6073" t="str">
            <v>282314</v>
          </cell>
        </row>
        <row r="6074">
          <cell r="Z6074" t="str">
            <v>282319</v>
          </cell>
        </row>
        <row r="6075">
          <cell r="Z6075" t="str">
            <v>282320</v>
          </cell>
        </row>
        <row r="6076">
          <cell r="Z6076" t="str">
            <v>282321</v>
          </cell>
        </row>
        <row r="6077">
          <cell r="Z6077" t="str">
            <v>282322</v>
          </cell>
        </row>
        <row r="6078">
          <cell r="Z6078" t="str">
            <v>282323</v>
          </cell>
        </row>
        <row r="6079">
          <cell r="Z6079" t="str">
            <v>282324</v>
          </cell>
        </row>
        <row r="6080">
          <cell r="Z6080" t="str">
            <v>282329</v>
          </cell>
        </row>
        <row r="6081">
          <cell r="Z6081" t="str">
            <v>282330</v>
          </cell>
        </row>
        <row r="6082">
          <cell r="Z6082" t="str">
            <v>282331</v>
          </cell>
        </row>
        <row r="6083">
          <cell r="Z6083" t="str">
            <v>282332</v>
          </cell>
        </row>
        <row r="6084">
          <cell r="Z6084" t="str">
            <v>282333</v>
          </cell>
        </row>
        <row r="6085">
          <cell r="Z6085" t="str">
            <v>282334</v>
          </cell>
        </row>
        <row r="6086">
          <cell r="Z6086" t="str">
            <v>282339</v>
          </cell>
        </row>
        <row r="6087">
          <cell r="Z6087" t="str">
            <v>282340</v>
          </cell>
        </row>
        <row r="6088">
          <cell r="Z6088" t="str">
            <v>282341</v>
          </cell>
        </row>
        <row r="6089">
          <cell r="Z6089" t="str">
            <v>282342</v>
          </cell>
        </row>
        <row r="6090">
          <cell r="Z6090" t="str">
            <v>282343</v>
          </cell>
        </row>
        <row r="6091">
          <cell r="Z6091" t="str">
            <v>282344</v>
          </cell>
        </row>
        <row r="6092">
          <cell r="Z6092" t="str">
            <v>282349</v>
          </cell>
        </row>
        <row r="6093">
          <cell r="Z6093" t="str">
            <v>282350</v>
          </cell>
        </row>
        <row r="6094">
          <cell r="Z6094" t="str">
            <v>282351</v>
          </cell>
        </row>
        <row r="6095">
          <cell r="Z6095" t="str">
            <v>282352</v>
          </cell>
        </row>
        <row r="6096">
          <cell r="Z6096" t="str">
            <v>282353</v>
          </cell>
        </row>
        <row r="6097">
          <cell r="Z6097" t="str">
            <v>282354</v>
          </cell>
        </row>
        <row r="6098">
          <cell r="Z6098" t="str">
            <v>282359</v>
          </cell>
        </row>
        <row r="6099">
          <cell r="Z6099" t="str">
            <v>282360</v>
          </cell>
        </row>
        <row r="6100">
          <cell r="Z6100" t="str">
            <v>282361</v>
          </cell>
        </row>
        <row r="6101">
          <cell r="Z6101" t="str">
            <v>282362</v>
          </cell>
        </row>
        <row r="6102">
          <cell r="Z6102" t="str">
            <v>282363</v>
          </cell>
        </row>
        <row r="6103">
          <cell r="Z6103" t="str">
            <v>282364</v>
          </cell>
        </row>
        <row r="6104">
          <cell r="Z6104" t="str">
            <v>282369</v>
          </cell>
        </row>
        <row r="6105">
          <cell r="Z6105" t="str">
            <v>282370</v>
          </cell>
        </row>
        <row r="6106">
          <cell r="Z6106" t="str">
            <v>282371</v>
          </cell>
        </row>
        <row r="6107">
          <cell r="Z6107" t="str">
            <v>282372</v>
          </cell>
        </row>
        <row r="6108">
          <cell r="Z6108" t="str">
            <v>282373</v>
          </cell>
        </row>
        <row r="6109">
          <cell r="Z6109" t="str">
            <v>282374</v>
          </cell>
        </row>
        <row r="6110">
          <cell r="Z6110" t="str">
            <v>282379</v>
          </cell>
        </row>
        <row r="6111">
          <cell r="Z6111" t="str">
            <v>282380</v>
          </cell>
        </row>
        <row r="6112">
          <cell r="Z6112" t="str">
            <v>282381</v>
          </cell>
        </row>
        <row r="6113">
          <cell r="Z6113" t="str">
            <v>282382</v>
          </cell>
        </row>
        <row r="6114">
          <cell r="Z6114" t="str">
            <v>282383</v>
          </cell>
        </row>
        <row r="6115">
          <cell r="Z6115" t="str">
            <v>282384</v>
          </cell>
        </row>
        <row r="6116">
          <cell r="Z6116" t="str">
            <v>282389</v>
          </cell>
        </row>
        <row r="6117">
          <cell r="Z6117" t="str">
            <v>282390</v>
          </cell>
        </row>
        <row r="6118">
          <cell r="Z6118" t="str">
            <v>282391</v>
          </cell>
        </row>
        <row r="6119">
          <cell r="Z6119" t="str">
            <v>282392</v>
          </cell>
        </row>
        <row r="6120">
          <cell r="Z6120" t="str">
            <v>282393</v>
          </cell>
        </row>
        <row r="6121">
          <cell r="Z6121" t="str">
            <v>282394</v>
          </cell>
        </row>
        <row r="6122">
          <cell r="Z6122" t="str">
            <v>282399</v>
          </cell>
        </row>
        <row r="6123">
          <cell r="Z6123" t="str">
            <v>282400</v>
          </cell>
        </row>
        <row r="6124">
          <cell r="Z6124" t="str">
            <v>282410</v>
          </cell>
        </row>
        <row r="6125">
          <cell r="Z6125" t="str">
            <v>282411</v>
          </cell>
        </row>
        <row r="6126">
          <cell r="Z6126" t="str">
            <v>282412</v>
          </cell>
        </row>
        <row r="6127">
          <cell r="Z6127" t="str">
            <v>282413</v>
          </cell>
        </row>
        <row r="6128">
          <cell r="Z6128" t="str">
            <v>282414</v>
          </cell>
        </row>
        <row r="6129">
          <cell r="Z6129" t="str">
            <v>282419</v>
          </cell>
        </row>
        <row r="6130">
          <cell r="Z6130" t="str">
            <v>282420</v>
          </cell>
        </row>
        <row r="6131">
          <cell r="Z6131" t="str">
            <v>282421</v>
          </cell>
        </row>
        <row r="6132">
          <cell r="Z6132" t="str">
            <v>282422</v>
          </cell>
        </row>
        <row r="6133">
          <cell r="Z6133" t="str">
            <v>282423</v>
          </cell>
        </row>
        <row r="6134">
          <cell r="Z6134" t="str">
            <v>282424</v>
          </cell>
        </row>
        <row r="6135">
          <cell r="Z6135" t="str">
            <v>282429</v>
          </cell>
        </row>
        <row r="6136">
          <cell r="Z6136" t="str">
            <v>282430</v>
          </cell>
        </row>
        <row r="6137">
          <cell r="Z6137" t="str">
            <v>282431</v>
          </cell>
        </row>
        <row r="6138">
          <cell r="Z6138" t="str">
            <v>282432</v>
          </cell>
        </row>
        <row r="6139">
          <cell r="Z6139" t="str">
            <v>282433</v>
          </cell>
        </row>
        <row r="6140">
          <cell r="Z6140" t="str">
            <v>282434</v>
          </cell>
        </row>
        <row r="6141">
          <cell r="Z6141" t="str">
            <v>282439</v>
          </cell>
        </row>
        <row r="6142">
          <cell r="Z6142" t="str">
            <v>282500</v>
          </cell>
        </row>
        <row r="6143">
          <cell r="Z6143" t="str">
            <v>282510</v>
          </cell>
        </row>
        <row r="6144">
          <cell r="Z6144" t="str">
            <v>282511</v>
          </cell>
        </row>
        <row r="6145">
          <cell r="Z6145" t="str">
            <v>282512</v>
          </cell>
        </row>
        <row r="6146">
          <cell r="Z6146" t="str">
            <v>282513</v>
          </cell>
        </row>
        <row r="6147">
          <cell r="Z6147" t="str">
            <v>282514</v>
          </cell>
        </row>
        <row r="6148">
          <cell r="Z6148" t="str">
            <v>282519</v>
          </cell>
        </row>
        <row r="6149">
          <cell r="Z6149" t="str">
            <v>282520</v>
          </cell>
        </row>
        <row r="6150">
          <cell r="Z6150" t="str">
            <v>282521</v>
          </cell>
        </row>
        <row r="6151">
          <cell r="Z6151" t="str">
            <v>282522</v>
          </cell>
        </row>
        <row r="6152">
          <cell r="Z6152" t="str">
            <v>282523</v>
          </cell>
        </row>
        <row r="6153">
          <cell r="Z6153" t="str">
            <v>282524</v>
          </cell>
        </row>
        <row r="6154">
          <cell r="Z6154" t="str">
            <v>282529</v>
          </cell>
        </row>
        <row r="6155">
          <cell r="Z6155" t="str">
            <v>282600</v>
          </cell>
        </row>
        <row r="6156">
          <cell r="Z6156" t="str">
            <v>282610</v>
          </cell>
        </row>
        <row r="6157">
          <cell r="Z6157" t="str">
            <v>282611</v>
          </cell>
        </row>
        <row r="6158">
          <cell r="Z6158" t="str">
            <v>282612</v>
          </cell>
        </row>
        <row r="6159">
          <cell r="Z6159" t="str">
            <v>282613</v>
          </cell>
        </row>
        <row r="6160">
          <cell r="Z6160" t="str">
            <v>282614</v>
          </cell>
        </row>
        <row r="6161">
          <cell r="Z6161" t="str">
            <v>282619</v>
          </cell>
        </row>
        <row r="6162">
          <cell r="Z6162" t="str">
            <v>282620</v>
          </cell>
        </row>
        <row r="6163">
          <cell r="Z6163" t="str">
            <v>282621</v>
          </cell>
        </row>
        <row r="6164">
          <cell r="Z6164" t="str">
            <v>282622</v>
          </cell>
        </row>
        <row r="6165">
          <cell r="Z6165" t="str">
            <v>282623</v>
          </cell>
        </row>
        <row r="6166">
          <cell r="Z6166" t="str">
            <v>282624</v>
          </cell>
        </row>
        <row r="6167">
          <cell r="Z6167" t="str">
            <v>282629</v>
          </cell>
        </row>
        <row r="6168">
          <cell r="Z6168" t="str">
            <v>282700</v>
          </cell>
        </row>
        <row r="6169">
          <cell r="Z6169" t="str">
            <v>282710</v>
          </cell>
        </row>
        <row r="6170">
          <cell r="Z6170" t="str">
            <v>282711</v>
          </cell>
        </row>
        <row r="6171">
          <cell r="Z6171" t="str">
            <v>282712</v>
          </cell>
        </row>
        <row r="6172">
          <cell r="Z6172" t="str">
            <v>282713</v>
          </cell>
        </row>
        <row r="6173">
          <cell r="Z6173" t="str">
            <v>282714</v>
          </cell>
        </row>
        <row r="6174">
          <cell r="Z6174" t="str">
            <v>282719</v>
          </cell>
        </row>
        <row r="6175">
          <cell r="Z6175" t="str">
            <v>282720</v>
          </cell>
        </row>
        <row r="6176">
          <cell r="Z6176" t="str">
            <v>282721</v>
          </cell>
        </row>
        <row r="6177">
          <cell r="Z6177" t="str">
            <v>282722</v>
          </cell>
        </row>
        <row r="6178">
          <cell r="Z6178" t="str">
            <v>282723</v>
          </cell>
        </row>
        <row r="6179">
          <cell r="Z6179" t="str">
            <v>282724</v>
          </cell>
        </row>
        <row r="6180">
          <cell r="Z6180" t="str">
            <v>282729</v>
          </cell>
        </row>
        <row r="6181">
          <cell r="Z6181" t="str">
            <v>282730</v>
          </cell>
        </row>
        <row r="6182">
          <cell r="Z6182" t="str">
            <v>282731</v>
          </cell>
        </row>
        <row r="6183">
          <cell r="Z6183" t="str">
            <v>282732</v>
          </cell>
        </row>
        <row r="6184">
          <cell r="Z6184" t="str">
            <v>282733</v>
          </cell>
        </row>
        <row r="6185">
          <cell r="Z6185" t="str">
            <v>282734</v>
          </cell>
        </row>
        <row r="6186">
          <cell r="Z6186" t="str">
            <v>282739</v>
          </cell>
        </row>
        <row r="6187">
          <cell r="Z6187" t="str">
            <v>282740</v>
          </cell>
        </row>
        <row r="6188">
          <cell r="Z6188" t="str">
            <v>282741</v>
          </cell>
        </row>
        <row r="6189">
          <cell r="Z6189" t="str">
            <v>282742</v>
          </cell>
        </row>
        <row r="6190">
          <cell r="Z6190" t="str">
            <v>282743</v>
          </cell>
        </row>
        <row r="6191">
          <cell r="Z6191" t="str">
            <v>282744</v>
          </cell>
        </row>
        <row r="6192">
          <cell r="Z6192" t="str">
            <v>282749</v>
          </cell>
        </row>
        <row r="6193">
          <cell r="Z6193" t="str">
            <v>282750</v>
          </cell>
        </row>
        <row r="6194">
          <cell r="Z6194" t="str">
            <v>282751</v>
          </cell>
        </row>
        <row r="6195">
          <cell r="Z6195" t="str">
            <v>282752</v>
          </cell>
        </row>
        <row r="6196">
          <cell r="Z6196" t="str">
            <v>282753</v>
          </cell>
        </row>
        <row r="6197">
          <cell r="Z6197" t="str">
            <v>282754</v>
          </cell>
        </row>
        <row r="6198">
          <cell r="Z6198" t="str">
            <v>282759</v>
          </cell>
        </row>
        <row r="6199">
          <cell r="Z6199" t="str">
            <v>282760</v>
          </cell>
        </row>
        <row r="6200">
          <cell r="Z6200" t="str">
            <v>282761</v>
          </cell>
        </row>
        <row r="6201">
          <cell r="Z6201" t="str">
            <v>282762</v>
          </cell>
        </row>
        <row r="6202">
          <cell r="Z6202" t="str">
            <v>282763</v>
          </cell>
        </row>
        <row r="6203">
          <cell r="Z6203" t="str">
            <v>282764</v>
          </cell>
        </row>
        <row r="6204">
          <cell r="Z6204" t="str">
            <v>282769</v>
          </cell>
        </row>
        <row r="6205">
          <cell r="Z6205" t="str">
            <v>282770</v>
          </cell>
        </row>
        <row r="6206">
          <cell r="Z6206" t="str">
            <v>282771</v>
          </cell>
        </row>
        <row r="6207">
          <cell r="Z6207" t="str">
            <v>282772</v>
          </cell>
        </row>
        <row r="6208">
          <cell r="Z6208" t="str">
            <v>282773</v>
          </cell>
        </row>
        <row r="6209">
          <cell r="Z6209" t="str">
            <v>282774</v>
          </cell>
        </row>
        <row r="6210">
          <cell r="Z6210" t="str">
            <v>282779</v>
          </cell>
        </row>
        <row r="6211">
          <cell r="Z6211" t="str">
            <v>282780</v>
          </cell>
        </row>
        <row r="6212">
          <cell r="Z6212" t="str">
            <v>282781</v>
          </cell>
        </row>
        <row r="6213">
          <cell r="Z6213" t="str">
            <v>282782</v>
          </cell>
        </row>
        <row r="6214">
          <cell r="Z6214" t="str">
            <v>282783</v>
          </cell>
        </row>
        <row r="6215">
          <cell r="Z6215" t="str">
            <v>282784</v>
          </cell>
        </row>
        <row r="6216">
          <cell r="Z6216" t="str">
            <v>282789</v>
          </cell>
        </row>
        <row r="6217">
          <cell r="Z6217" t="str">
            <v>282790</v>
          </cell>
        </row>
        <row r="6218">
          <cell r="Z6218" t="str">
            <v>282791</v>
          </cell>
        </row>
        <row r="6219">
          <cell r="Z6219" t="str">
            <v>282792</v>
          </cell>
        </row>
        <row r="6220">
          <cell r="Z6220" t="str">
            <v>282793</v>
          </cell>
        </row>
        <row r="6221">
          <cell r="Z6221" t="str">
            <v>282794</v>
          </cell>
        </row>
        <row r="6222">
          <cell r="Z6222" t="str">
            <v>282799</v>
          </cell>
        </row>
        <row r="6223">
          <cell r="Z6223" t="str">
            <v>282800</v>
          </cell>
        </row>
        <row r="6224">
          <cell r="Z6224" t="str">
            <v>282810</v>
          </cell>
        </row>
        <row r="6225">
          <cell r="Z6225" t="str">
            <v>282811</v>
          </cell>
        </row>
        <row r="6226">
          <cell r="Z6226" t="str">
            <v>282812</v>
          </cell>
        </row>
        <row r="6227">
          <cell r="Z6227" t="str">
            <v>282813</v>
          </cell>
        </row>
        <row r="6228">
          <cell r="Z6228" t="str">
            <v>282814</v>
          </cell>
        </row>
        <row r="6229">
          <cell r="Z6229" t="str">
            <v>282819</v>
          </cell>
        </row>
        <row r="6230">
          <cell r="Z6230" t="str">
            <v>282820</v>
          </cell>
        </row>
        <row r="6231">
          <cell r="Z6231" t="str">
            <v>282821</v>
          </cell>
        </row>
        <row r="6232">
          <cell r="Z6232" t="str">
            <v>282822</v>
          </cell>
        </row>
        <row r="6233">
          <cell r="Z6233" t="str">
            <v>282823</v>
          </cell>
        </row>
        <row r="6234">
          <cell r="Z6234" t="str">
            <v>282824</v>
          </cell>
        </row>
        <row r="6235">
          <cell r="Z6235" t="str">
            <v>282829</v>
          </cell>
        </row>
        <row r="6236">
          <cell r="Z6236" t="str">
            <v>282830</v>
          </cell>
        </row>
        <row r="6237">
          <cell r="Z6237" t="str">
            <v>282831</v>
          </cell>
        </row>
        <row r="6238">
          <cell r="Z6238" t="str">
            <v>282832</v>
          </cell>
        </row>
        <row r="6239">
          <cell r="Z6239" t="str">
            <v>282833</v>
          </cell>
        </row>
        <row r="6240">
          <cell r="Z6240" t="str">
            <v>282834</v>
          </cell>
        </row>
        <row r="6241">
          <cell r="Z6241" t="str">
            <v>282839</v>
          </cell>
        </row>
        <row r="6242">
          <cell r="Z6242" t="str">
            <v>283000</v>
          </cell>
        </row>
        <row r="6243">
          <cell r="Z6243" t="str">
            <v>283100</v>
          </cell>
        </row>
        <row r="6244">
          <cell r="Z6244" t="str">
            <v>283110</v>
          </cell>
        </row>
        <row r="6245">
          <cell r="Z6245" t="str">
            <v>283111</v>
          </cell>
        </row>
        <row r="6246">
          <cell r="Z6246" t="str">
            <v>283112</v>
          </cell>
        </row>
        <row r="6247">
          <cell r="Z6247" t="str">
            <v>283113</v>
          </cell>
        </row>
        <row r="6248">
          <cell r="Z6248" t="str">
            <v>283114</v>
          </cell>
        </row>
        <row r="6249">
          <cell r="Z6249" t="str">
            <v>283119</v>
          </cell>
        </row>
        <row r="6250">
          <cell r="Z6250" t="str">
            <v>283120</v>
          </cell>
        </row>
        <row r="6251">
          <cell r="Z6251" t="str">
            <v>283121</v>
          </cell>
        </row>
        <row r="6252">
          <cell r="Z6252" t="str">
            <v>283122</v>
          </cell>
        </row>
        <row r="6253">
          <cell r="Z6253" t="str">
            <v>283123</v>
          </cell>
        </row>
        <row r="6254">
          <cell r="Z6254" t="str">
            <v>283124</v>
          </cell>
        </row>
        <row r="6255">
          <cell r="Z6255" t="str">
            <v>283129</v>
          </cell>
        </row>
        <row r="6256">
          <cell r="Z6256" t="str">
            <v>283200</v>
          </cell>
        </row>
        <row r="6257">
          <cell r="Z6257" t="str">
            <v>283210</v>
          </cell>
        </row>
        <row r="6258">
          <cell r="Z6258" t="str">
            <v>283211</v>
          </cell>
        </row>
        <row r="6259">
          <cell r="Z6259" t="str">
            <v>283212</v>
          </cell>
        </row>
        <row r="6260">
          <cell r="Z6260" t="str">
            <v>283213</v>
          </cell>
        </row>
        <row r="6261">
          <cell r="Z6261" t="str">
            <v>283214</v>
          </cell>
        </row>
        <row r="6262">
          <cell r="Z6262" t="str">
            <v>283219</v>
          </cell>
        </row>
        <row r="6263">
          <cell r="Z6263" t="str">
            <v>283220</v>
          </cell>
        </row>
        <row r="6264">
          <cell r="Z6264" t="str">
            <v>283221</v>
          </cell>
        </row>
        <row r="6265">
          <cell r="Z6265" t="str">
            <v>283222</v>
          </cell>
        </row>
        <row r="6266">
          <cell r="Z6266" t="str">
            <v>283223</v>
          </cell>
        </row>
        <row r="6267">
          <cell r="Z6267" t="str">
            <v>283224</v>
          </cell>
        </row>
        <row r="6268">
          <cell r="Z6268" t="str">
            <v>283229</v>
          </cell>
        </row>
        <row r="6269">
          <cell r="Z6269" t="str">
            <v>283300</v>
          </cell>
        </row>
        <row r="6270">
          <cell r="Z6270" t="str">
            <v>283310</v>
          </cell>
        </row>
        <row r="6271">
          <cell r="Z6271" t="str">
            <v>283311</v>
          </cell>
        </row>
        <row r="6272">
          <cell r="Z6272" t="str">
            <v>283312</v>
          </cell>
        </row>
        <row r="6273">
          <cell r="Z6273" t="str">
            <v>283313</v>
          </cell>
        </row>
        <row r="6274">
          <cell r="Z6274" t="str">
            <v>283314</v>
          </cell>
        </row>
        <row r="6275">
          <cell r="Z6275" t="str">
            <v>283319</v>
          </cell>
        </row>
        <row r="6276">
          <cell r="Z6276" t="str">
            <v>283320</v>
          </cell>
        </row>
        <row r="6277">
          <cell r="Z6277" t="str">
            <v>283321</v>
          </cell>
        </row>
        <row r="6278">
          <cell r="Z6278" t="str">
            <v>283322</v>
          </cell>
        </row>
        <row r="6279">
          <cell r="Z6279" t="str">
            <v>283323</v>
          </cell>
        </row>
        <row r="6280">
          <cell r="Z6280" t="str">
            <v>283324</v>
          </cell>
        </row>
        <row r="6281">
          <cell r="Z6281" t="str">
            <v>283329</v>
          </cell>
        </row>
        <row r="6282">
          <cell r="Z6282" t="str">
            <v>283400</v>
          </cell>
        </row>
        <row r="6283">
          <cell r="Z6283" t="str">
            <v>283410</v>
          </cell>
        </row>
        <row r="6284">
          <cell r="Z6284" t="str">
            <v>283411</v>
          </cell>
        </row>
        <row r="6285">
          <cell r="Z6285" t="str">
            <v>283412</v>
          </cell>
        </row>
        <row r="6286">
          <cell r="Z6286" t="str">
            <v>283413</v>
          </cell>
        </row>
        <row r="6287">
          <cell r="Z6287" t="str">
            <v>283414</v>
          </cell>
        </row>
        <row r="6288">
          <cell r="Z6288" t="str">
            <v>283419</v>
          </cell>
        </row>
        <row r="6289">
          <cell r="Z6289" t="str">
            <v>283420</v>
          </cell>
        </row>
        <row r="6290">
          <cell r="Z6290" t="str">
            <v>283421</v>
          </cell>
        </row>
        <row r="6291">
          <cell r="Z6291" t="str">
            <v>283422</v>
          </cell>
        </row>
        <row r="6292">
          <cell r="Z6292" t="str">
            <v>283423</v>
          </cell>
        </row>
        <row r="6293">
          <cell r="Z6293" t="str">
            <v>283424</v>
          </cell>
        </row>
        <row r="6294">
          <cell r="Z6294" t="str">
            <v>283429</v>
          </cell>
        </row>
        <row r="6295">
          <cell r="Z6295" t="str">
            <v>283500</v>
          </cell>
        </row>
        <row r="6296">
          <cell r="Z6296" t="str">
            <v>283510</v>
          </cell>
        </row>
        <row r="6297">
          <cell r="Z6297" t="str">
            <v>283511</v>
          </cell>
        </row>
        <row r="6298">
          <cell r="Z6298" t="str">
            <v>283512</v>
          </cell>
        </row>
        <row r="6299">
          <cell r="Z6299" t="str">
            <v>283513</v>
          </cell>
        </row>
        <row r="6300">
          <cell r="Z6300" t="str">
            <v>283514</v>
          </cell>
        </row>
        <row r="6301">
          <cell r="Z6301" t="str">
            <v>283519</v>
          </cell>
        </row>
        <row r="6302">
          <cell r="Z6302" t="str">
            <v>283520</v>
          </cell>
        </row>
        <row r="6303">
          <cell r="Z6303" t="str">
            <v>283521</v>
          </cell>
        </row>
        <row r="6304">
          <cell r="Z6304" t="str">
            <v>283522</v>
          </cell>
        </row>
        <row r="6305">
          <cell r="Z6305" t="str">
            <v>283523</v>
          </cell>
        </row>
        <row r="6306">
          <cell r="Z6306" t="str">
            <v>283524</v>
          </cell>
        </row>
        <row r="6307">
          <cell r="Z6307" t="str">
            <v>283529</v>
          </cell>
        </row>
        <row r="6308">
          <cell r="Z6308" t="str">
            <v>283900</v>
          </cell>
        </row>
        <row r="6309">
          <cell r="Z6309" t="str">
            <v>283910</v>
          </cell>
        </row>
        <row r="6310">
          <cell r="Z6310" t="str">
            <v>283911</v>
          </cell>
        </row>
        <row r="6311">
          <cell r="Z6311" t="str">
            <v>283912</v>
          </cell>
        </row>
        <row r="6312">
          <cell r="Z6312" t="str">
            <v>283913</v>
          </cell>
        </row>
        <row r="6313">
          <cell r="Z6313" t="str">
            <v>283914</v>
          </cell>
        </row>
        <row r="6314">
          <cell r="Z6314" t="str">
            <v>283919</v>
          </cell>
        </row>
        <row r="6315">
          <cell r="Z6315" t="str">
            <v>283920</v>
          </cell>
        </row>
        <row r="6316">
          <cell r="Z6316" t="str">
            <v>283921</v>
          </cell>
        </row>
        <row r="6317">
          <cell r="Z6317" t="str">
            <v>283922</v>
          </cell>
        </row>
        <row r="6318">
          <cell r="Z6318" t="str">
            <v>283923</v>
          </cell>
        </row>
        <row r="6319">
          <cell r="Z6319" t="str">
            <v>283924</v>
          </cell>
        </row>
        <row r="6320">
          <cell r="Z6320" t="str">
            <v>283929</v>
          </cell>
        </row>
        <row r="6321">
          <cell r="Z6321" t="str">
            <v>290000</v>
          </cell>
        </row>
        <row r="6322">
          <cell r="Z6322" t="str">
            <v>291000</v>
          </cell>
        </row>
        <row r="6323">
          <cell r="Z6323" t="str">
            <v>291100</v>
          </cell>
        </row>
        <row r="6324">
          <cell r="Z6324" t="str">
            <v>291101</v>
          </cell>
        </row>
        <row r="6325">
          <cell r="Z6325" t="str">
            <v>291102</v>
          </cell>
        </row>
        <row r="6326">
          <cell r="Z6326" t="str">
            <v>291103</v>
          </cell>
        </row>
        <row r="6327">
          <cell r="Z6327" t="str">
            <v>291104</v>
          </cell>
        </row>
        <row r="6328">
          <cell r="Z6328" t="str">
            <v>291109</v>
          </cell>
        </row>
        <row r="6329">
          <cell r="Z6329" t="str">
            <v>291200</v>
          </cell>
        </row>
        <row r="6330">
          <cell r="Z6330" t="str">
            <v>291201</v>
          </cell>
        </row>
        <row r="6331">
          <cell r="Z6331" t="str">
            <v>291202</v>
          </cell>
        </row>
        <row r="6332">
          <cell r="Z6332" t="str">
            <v>291203</v>
          </cell>
        </row>
        <row r="6333">
          <cell r="Z6333" t="str">
            <v>291204</v>
          </cell>
        </row>
        <row r="6334">
          <cell r="Z6334" t="str">
            <v>291209</v>
          </cell>
        </row>
        <row r="6335">
          <cell r="Z6335" t="str">
            <v>292000</v>
          </cell>
        </row>
        <row r="6336">
          <cell r="Z6336" t="str">
            <v>292100</v>
          </cell>
        </row>
        <row r="6337">
          <cell r="Z6337" t="str">
            <v>292101</v>
          </cell>
        </row>
        <row r="6338">
          <cell r="Z6338" t="str">
            <v>292102</v>
          </cell>
        </row>
        <row r="6339">
          <cell r="Z6339" t="str">
            <v>292103</v>
          </cell>
        </row>
        <row r="6340">
          <cell r="Z6340" t="str">
            <v>292104</v>
          </cell>
        </row>
        <row r="6341">
          <cell r="Z6341" t="str">
            <v>292109</v>
          </cell>
        </row>
        <row r="6342">
          <cell r="Z6342" t="str">
            <v>292200</v>
          </cell>
        </row>
        <row r="6343">
          <cell r="Z6343" t="str">
            <v>292201</v>
          </cell>
        </row>
        <row r="6344">
          <cell r="Z6344" t="str">
            <v>292202</v>
          </cell>
        </row>
        <row r="6345">
          <cell r="Z6345" t="str">
            <v>292203</v>
          </cell>
        </row>
        <row r="6346">
          <cell r="Z6346" t="str">
            <v>292204</v>
          </cell>
        </row>
        <row r="6347">
          <cell r="Z6347" t="str">
            <v>292209</v>
          </cell>
        </row>
        <row r="6348">
          <cell r="Z6348" t="str">
            <v>292300</v>
          </cell>
        </row>
        <row r="6349">
          <cell r="Z6349" t="str">
            <v>292301</v>
          </cell>
        </row>
        <row r="6350">
          <cell r="Z6350" t="str">
            <v>292302</v>
          </cell>
        </row>
        <row r="6351">
          <cell r="Z6351" t="str">
            <v>292303</v>
          </cell>
        </row>
        <row r="6352">
          <cell r="Z6352" t="str">
            <v>292304</v>
          </cell>
        </row>
        <row r="6353">
          <cell r="Z6353" t="str">
            <v>292309</v>
          </cell>
        </row>
        <row r="6354">
          <cell r="Z6354" t="str">
            <v>293000</v>
          </cell>
        </row>
        <row r="6355">
          <cell r="Z6355" t="str">
            <v>293100</v>
          </cell>
        </row>
        <row r="6356">
          <cell r="Z6356" t="str">
            <v>293101</v>
          </cell>
        </row>
        <row r="6357">
          <cell r="Z6357" t="str">
            <v>293102</v>
          </cell>
        </row>
        <row r="6358">
          <cell r="Z6358" t="str">
            <v>293103</v>
          </cell>
        </row>
        <row r="6359">
          <cell r="Z6359" t="str">
            <v>293104</v>
          </cell>
        </row>
        <row r="6360">
          <cell r="Z6360" t="str">
            <v>293109</v>
          </cell>
        </row>
        <row r="6361">
          <cell r="Z6361" t="str">
            <v>293200</v>
          </cell>
        </row>
        <row r="6362">
          <cell r="Z6362" t="str">
            <v>293201</v>
          </cell>
        </row>
        <row r="6363">
          <cell r="Z6363" t="str">
            <v>293202</v>
          </cell>
        </row>
        <row r="6364">
          <cell r="Z6364" t="str">
            <v>293203</v>
          </cell>
        </row>
        <row r="6365">
          <cell r="Z6365" t="str">
            <v>293204</v>
          </cell>
        </row>
        <row r="6366">
          <cell r="Z6366" t="str">
            <v>293209</v>
          </cell>
        </row>
        <row r="6367">
          <cell r="Z6367" t="str">
            <v>293300</v>
          </cell>
        </row>
        <row r="6368">
          <cell r="Z6368" t="str">
            <v>293301</v>
          </cell>
        </row>
        <row r="6369">
          <cell r="Z6369" t="str">
            <v>293302</v>
          </cell>
        </row>
        <row r="6370">
          <cell r="Z6370" t="str">
            <v>293303</v>
          </cell>
        </row>
        <row r="6371">
          <cell r="Z6371" t="str">
            <v>293304</v>
          </cell>
        </row>
        <row r="6372">
          <cell r="Z6372" t="str">
            <v>293309</v>
          </cell>
        </row>
        <row r="6373">
          <cell r="Z6373" t="str">
            <v>293400</v>
          </cell>
        </row>
        <row r="6374">
          <cell r="Z6374" t="str">
            <v>293401</v>
          </cell>
        </row>
        <row r="6375">
          <cell r="Z6375" t="str">
            <v>293402</v>
          </cell>
        </row>
        <row r="6376">
          <cell r="Z6376" t="str">
            <v>293403</v>
          </cell>
        </row>
        <row r="6377">
          <cell r="Z6377" t="str">
            <v>293404</v>
          </cell>
        </row>
        <row r="6378">
          <cell r="Z6378" t="str">
            <v>293409</v>
          </cell>
        </row>
        <row r="6379">
          <cell r="Z6379" t="str">
            <v>293500</v>
          </cell>
        </row>
        <row r="6380">
          <cell r="Z6380" t="str">
            <v>293501</v>
          </cell>
        </row>
        <row r="6381">
          <cell r="Z6381" t="str">
            <v>293502</v>
          </cell>
        </row>
        <row r="6382">
          <cell r="Z6382" t="str">
            <v>293503</v>
          </cell>
        </row>
        <row r="6383">
          <cell r="Z6383" t="str">
            <v>293504</v>
          </cell>
        </row>
        <row r="6384">
          <cell r="Z6384" t="str">
            <v>293509</v>
          </cell>
        </row>
        <row r="6385">
          <cell r="Z6385" t="str">
            <v>293600</v>
          </cell>
        </row>
        <row r="6386">
          <cell r="Z6386" t="str">
            <v>293601</v>
          </cell>
        </row>
        <row r="6387">
          <cell r="Z6387" t="str">
            <v>293602</v>
          </cell>
        </row>
        <row r="6388">
          <cell r="Z6388" t="str">
            <v>293603</v>
          </cell>
        </row>
        <row r="6389">
          <cell r="Z6389" t="str">
            <v>293604</v>
          </cell>
        </row>
        <row r="6390">
          <cell r="Z6390" t="str">
            <v>293609</v>
          </cell>
        </row>
        <row r="6391">
          <cell r="Z6391" t="str">
            <v>294000</v>
          </cell>
        </row>
        <row r="6392">
          <cell r="Z6392" t="str">
            <v>294100</v>
          </cell>
        </row>
        <row r="6393">
          <cell r="Z6393" t="str">
            <v>294101</v>
          </cell>
        </row>
        <row r="6394">
          <cell r="Z6394" t="str">
            <v>294102</v>
          </cell>
        </row>
        <row r="6395">
          <cell r="Z6395" t="str">
            <v>294103</v>
          </cell>
        </row>
        <row r="6396">
          <cell r="Z6396" t="str">
            <v>294104</v>
          </cell>
        </row>
        <row r="6397">
          <cell r="Z6397" t="str">
            <v>294109</v>
          </cell>
        </row>
        <row r="6398">
          <cell r="Z6398" t="str">
            <v>294200</v>
          </cell>
        </row>
        <row r="6399">
          <cell r="Z6399" t="str">
            <v>294210</v>
          </cell>
        </row>
        <row r="6400">
          <cell r="Z6400" t="str">
            <v>294211</v>
          </cell>
        </row>
        <row r="6401">
          <cell r="Z6401" t="str">
            <v>294212</v>
          </cell>
        </row>
        <row r="6402">
          <cell r="Z6402" t="str">
            <v>294213</v>
          </cell>
        </row>
        <row r="6403">
          <cell r="Z6403" t="str">
            <v>294214</v>
          </cell>
        </row>
        <row r="6404">
          <cell r="Z6404" t="str">
            <v>294219</v>
          </cell>
        </row>
        <row r="6405">
          <cell r="Z6405" t="str">
            <v>294220</v>
          </cell>
        </row>
        <row r="6406">
          <cell r="Z6406" t="str">
            <v>294221</v>
          </cell>
        </row>
        <row r="6407">
          <cell r="Z6407" t="str">
            <v>294222</v>
          </cell>
        </row>
        <row r="6408">
          <cell r="Z6408" t="str">
            <v>294223</v>
          </cell>
        </row>
        <row r="6409">
          <cell r="Z6409" t="str">
            <v>294224</v>
          </cell>
        </row>
        <row r="6410">
          <cell r="Z6410" t="str">
            <v>294229</v>
          </cell>
        </row>
        <row r="6411">
          <cell r="Z6411" t="str">
            <v>294300</v>
          </cell>
        </row>
        <row r="6412">
          <cell r="Z6412" t="str">
            <v>294310</v>
          </cell>
        </row>
        <row r="6413">
          <cell r="Z6413" t="str">
            <v>294311</v>
          </cell>
        </row>
        <row r="6414">
          <cell r="Z6414" t="str">
            <v>294312</v>
          </cell>
        </row>
        <row r="6415">
          <cell r="Z6415" t="str">
            <v>294313</v>
          </cell>
        </row>
        <row r="6416">
          <cell r="Z6416" t="str">
            <v>294314</v>
          </cell>
        </row>
        <row r="6417">
          <cell r="Z6417" t="str">
            <v>294319</v>
          </cell>
        </row>
        <row r="6418">
          <cell r="Z6418" t="str">
            <v>294320</v>
          </cell>
        </row>
        <row r="6419">
          <cell r="Z6419" t="str">
            <v>294321</v>
          </cell>
        </row>
        <row r="6420">
          <cell r="Z6420" t="str">
            <v>294322</v>
          </cell>
        </row>
        <row r="6421">
          <cell r="Z6421" t="str">
            <v>294323</v>
          </cell>
        </row>
        <row r="6422">
          <cell r="Z6422" t="str">
            <v>294324</v>
          </cell>
        </row>
        <row r="6423">
          <cell r="Z6423" t="str">
            <v>294329</v>
          </cell>
        </row>
        <row r="6424">
          <cell r="Z6424" t="str">
            <v>294330</v>
          </cell>
        </row>
        <row r="6425">
          <cell r="Z6425" t="str">
            <v>294331</v>
          </cell>
        </row>
        <row r="6426">
          <cell r="Z6426" t="str">
            <v>294332</v>
          </cell>
        </row>
        <row r="6427">
          <cell r="Z6427" t="str">
            <v>294334</v>
          </cell>
        </row>
        <row r="6428">
          <cell r="Z6428" t="str">
            <v>294334</v>
          </cell>
        </row>
        <row r="6429">
          <cell r="Z6429" t="str">
            <v>294339</v>
          </cell>
        </row>
        <row r="6430">
          <cell r="Z6430" t="str">
            <v>294340</v>
          </cell>
        </row>
        <row r="6431">
          <cell r="Z6431" t="str">
            <v>294341</v>
          </cell>
        </row>
        <row r="6432">
          <cell r="Z6432" t="str">
            <v>294342</v>
          </cell>
        </row>
        <row r="6433">
          <cell r="Z6433" t="str">
            <v>294343</v>
          </cell>
        </row>
        <row r="6434">
          <cell r="Z6434" t="str">
            <v>294344</v>
          </cell>
        </row>
        <row r="6435">
          <cell r="Z6435" t="str">
            <v>294349</v>
          </cell>
        </row>
        <row r="6436">
          <cell r="Z6436" t="str">
            <v>294350</v>
          </cell>
        </row>
        <row r="6437">
          <cell r="Z6437" t="str">
            <v>294351</v>
          </cell>
        </row>
        <row r="6438">
          <cell r="Z6438" t="str">
            <v>294352</v>
          </cell>
        </row>
        <row r="6439">
          <cell r="Z6439" t="str">
            <v>294353</v>
          </cell>
        </row>
        <row r="6440">
          <cell r="Z6440" t="str">
            <v>294354</v>
          </cell>
        </row>
        <row r="6441">
          <cell r="Z6441" t="str">
            <v>294359</v>
          </cell>
        </row>
        <row r="6442">
          <cell r="Z6442" t="str">
            <v>294360</v>
          </cell>
        </row>
        <row r="6443">
          <cell r="Z6443" t="str">
            <v>294361</v>
          </cell>
        </row>
        <row r="6444">
          <cell r="Z6444" t="str">
            <v>294362</v>
          </cell>
        </row>
        <row r="6445">
          <cell r="Z6445" t="str">
            <v>294363</v>
          </cell>
        </row>
        <row r="6446">
          <cell r="Z6446" t="str">
            <v>294364</v>
          </cell>
        </row>
        <row r="6447">
          <cell r="Z6447" t="str">
            <v>294369</v>
          </cell>
        </row>
        <row r="6448">
          <cell r="Z6448" t="str">
            <v>295000</v>
          </cell>
        </row>
        <row r="6449">
          <cell r="Z6449" t="str">
            <v>295100</v>
          </cell>
        </row>
        <row r="6450">
          <cell r="Z6450" t="str">
            <v>295101</v>
          </cell>
        </row>
        <row r="6451">
          <cell r="Z6451" t="str">
            <v>295102</v>
          </cell>
        </row>
        <row r="6452">
          <cell r="Z6452" t="str">
            <v>295103</v>
          </cell>
        </row>
        <row r="6453">
          <cell r="Z6453" t="str">
            <v>295104</v>
          </cell>
        </row>
        <row r="6454">
          <cell r="Z6454" t="str">
            <v>295109</v>
          </cell>
        </row>
        <row r="6455">
          <cell r="Z6455" t="str">
            <v>295200</v>
          </cell>
        </row>
        <row r="6456">
          <cell r="Z6456" t="str">
            <v>295201</v>
          </cell>
        </row>
        <row r="6457">
          <cell r="Z6457" t="str">
            <v>295202</v>
          </cell>
        </row>
        <row r="6458">
          <cell r="Z6458" t="str">
            <v>295203</v>
          </cell>
        </row>
        <row r="6459">
          <cell r="Z6459" t="str">
            <v>295204</v>
          </cell>
        </row>
        <row r="6460">
          <cell r="Z6460" t="str">
            <v>295209</v>
          </cell>
        </row>
        <row r="6461">
          <cell r="Z6461" t="str">
            <v>295300</v>
          </cell>
        </row>
        <row r="6462">
          <cell r="Z6462" t="str">
            <v>295301</v>
          </cell>
        </row>
        <row r="6463">
          <cell r="Z6463" t="str">
            <v>295302</v>
          </cell>
        </row>
        <row r="6464">
          <cell r="Z6464" t="str">
            <v>295303</v>
          </cell>
        </row>
        <row r="6465">
          <cell r="Z6465" t="str">
            <v>295304</v>
          </cell>
        </row>
        <row r="6466">
          <cell r="Z6466" t="str">
            <v>295309</v>
          </cell>
        </row>
        <row r="6467">
          <cell r="Z6467" t="str">
            <v>295400</v>
          </cell>
        </row>
        <row r="6468">
          <cell r="Z6468" t="str">
            <v>295401</v>
          </cell>
        </row>
        <row r="6469">
          <cell r="Z6469" t="str">
            <v>295402</v>
          </cell>
        </row>
        <row r="6470">
          <cell r="Z6470" t="str">
            <v>295403</v>
          </cell>
        </row>
        <row r="6471">
          <cell r="Z6471" t="str">
            <v>295404</v>
          </cell>
        </row>
        <row r="6472">
          <cell r="Z6472" t="str">
            <v>295409</v>
          </cell>
        </row>
        <row r="6473">
          <cell r="Z6473" t="str">
            <v>296000</v>
          </cell>
        </row>
        <row r="6474">
          <cell r="Z6474" t="str">
            <v>296100</v>
          </cell>
        </row>
        <row r="6475">
          <cell r="Z6475" t="str">
            <v>296101</v>
          </cell>
        </row>
        <row r="6476">
          <cell r="Z6476" t="str">
            <v>296102</v>
          </cell>
        </row>
        <row r="6477">
          <cell r="Z6477" t="str">
            <v>296103</v>
          </cell>
        </row>
        <row r="6478">
          <cell r="Z6478" t="str">
            <v>296104</v>
          </cell>
        </row>
        <row r="6479">
          <cell r="Z6479" t="str">
            <v>296109</v>
          </cell>
        </row>
        <row r="6480">
          <cell r="Z6480" t="str">
            <v>296200</v>
          </cell>
        </row>
        <row r="6481">
          <cell r="Z6481" t="str">
            <v>296210</v>
          </cell>
        </row>
        <row r="6482">
          <cell r="Z6482" t="str">
            <v>296211</v>
          </cell>
        </row>
        <row r="6483">
          <cell r="Z6483" t="str">
            <v>296212</v>
          </cell>
        </row>
        <row r="6484">
          <cell r="Z6484" t="str">
            <v>296213</v>
          </cell>
        </row>
        <row r="6485">
          <cell r="Z6485" t="str">
            <v>296214</v>
          </cell>
        </row>
        <row r="6486">
          <cell r="Z6486" t="str">
            <v>296219</v>
          </cell>
        </row>
        <row r="6487">
          <cell r="Z6487" t="str">
            <v>296220</v>
          </cell>
        </row>
        <row r="6488">
          <cell r="Z6488" t="str">
            <v>296221</v>
          </cell>
        </row>
        <row r="6489">
          <cell r="Z6489" t="str">
            <v>296222</v>
          </cell>
        </row>
        <row r="6490">
          <cell r="Z6490" t="str">
            <v>296223</v>
          </cell>
        </row>
        <row r="6491">
          <cell r="Z6491" t="str">
            <v>296224</v>
          </cell>
        </row>
        <row r="6492">
          <cell r="Z6492" t="str">
            <v>296229</v>
          </cell>
        </row>
        <row r="6493">
          <cell r="Z6493" t="str">
            <v>296300</v>
          </cell>
        </row>
        <row r="6494">
          <cell r="Z6494" t="str">
            <v>296301</v>
          </cell>
        </row>
        <row r="6495">
          <cell r="Z6495" t="str">
            <v>296302</v>
          </cell>
        </row>
        <row r="6496">
          <cell r="Z6496" t="str">
            <v>296303</v>
          </cell>
        </row>
        <row r="6497">
          <cell r="Z6497" t="str">
            <v>296304</v>
          </cell>
        </row>
        <row r="6498">
          <cell r="Z6498" t="str">
            <v>296309</v>
          </cell>
        </row>
        <row r="6499">
          <cell r="Z6499" t="str">
            <v>296400</v>
          </cell>
        </row>
        <row r="6500">
          <cell r="Z6500" t="str">
            <v>296410</v>
          </cell>
        </row>
        <row r="6501">
          <cell r="Z6501" t="str">
            <v>296411</v>
          </cell>
        </row>
        <row r="6502">
          <cell r="Z6502" t="str">
            <v>296412</v>
          </cell>
        </row>
        <row r="6503">
          <cell r="Z6503" t="str">
            <v>296413</v>
          </cell>
        </row>
        <row r="6504">
          <cell r="Z6504" t="str">
            <v>296414</v>
          </cell>
        </row>
        <row r="6505">
          <cell r="Z6505" t="str">
            <v>296419</v>
          </cell>
        </row>
        <row r="6506">
          <cell r="Z6506" t="str">
            <v>296420</v>
          </cell>
        </row>
        <row r="6507">
          <cell r="Z6507" t="str">
            <v>296421</v>
          </cell>
        </row>
        <row r="6508">
          <cell r="Z6508" t="str">
            <v>296422</v>
          </cell>
        </row>
        <row r="6509">
          <cell r="Z6509" t="str">
            <v>296423</v>
          </cell>
        </row>
        <row r="6510">
          <cell r="Z6510" t="str">
            <v>296424</v>
          </cell>
        </row>
        <row r="6511">
          <cell r="Z6511" t="str">
            <v>296429</v>
          </cell>
        </row>
        <row r="6512">
          <cell r="Z6512" t="str">
            <v>296500</v>
          </cell>
        </row>
        <row r="6513">
          <cell r="Z6513" t="str">
            <v>296501</v>
          </cell>
        </row>
        <row r="6514">
          <cell r="Z6514" t="str">
            <v>296502</v>
          </cell>
        </row>
        <row r="6515">
          <cell r="Z6515" t="str">
            <v>296503</v>
          </cell>
        </row>
        <row r="6516">
          <cell r="Z6516" t="str">
            <v>296504</v>
          </cell>
        </row>
        <row r="6517">
          <cell r="Z6517" t="str">
            <v>296509</v>
          </cell>
        </row>
        <row r="6518">
          <cell r="Z6518" t="str">
            <v>296600</v>
          </cell>
        </row>
        <row r="6519">
          <cell r="Z6519" t="str">
            <v>296601</v>
          </cell>
        </row>
        <row r="6520">
          <cell r="Z6520" t="str">
            <v>296602</v>
          </cell>
        </row>
        <row r="6521">
          <cell r="Z6521" t="str">
            <v>296603</v>
          </cell>
        </row>
        <row r="6522">
          <cell r="Z6522" t="str">
            <v>296604</v>
          </cell>
        </row>
        <row r="6523">
          <cell r="Z6523" t="str">
            <v>296609</v>
          </cell>
        </row>
        <row r="6524">
          <cell r="Z6524" t="str">
            <v>296700</v>
          </cell>
        </row>
        <row r="6525">
          <cell r="Z6525" t="str">
            <v>296701</v>
          </cell>
        </row>
        <row r="6526">
          <cell r="Z6526" t="str">
            <v>296702</v>
          </cell>
        </row>
        <row r="6527">
          <cell r="Z6527" t="str">
            <v>296703</v>
          </cell>
        </row>
        <row r="6528">
          <cell r="Z6528" t="str">
            <v>296704</v>
          </cell>
        </row>
        <row r="6529">
          <cell r="Z6529" t="str">
            <v>296709</v>
          </cell>
        </row>
        <row r="6530">
          <cell r="Z6530" t="str">
            <v>296800</v>
          </cell>
        </row>
        <row r="6531">
          <cell r="Z6531" t="str">
            <v>296801</v>
          </cell>
        </row>
        <row r="6532">
          <cell r="Z6532" t="str">
            <v>296802</v>
          </cell>
        </row>
        <row r="6533">
          <cell r="Z6533" t="str">
            <v>296803</v>
          </cell>
        </row>
        <row r="6534">
          <cell r="Z6534" t="str">
            <v>296804</v>
          </cell>
        </row>
        <row r="6535">
          <cell r="Z6535" t="str">
            <v>296809</v>
          </cell>
        </row>
        <row r="6536">
          <cell r="Z6536" t="str">
            <v>296900</v>
          </cell>
        </row>
        <row r="6537">
          <cell r="Z6537" t="str">
            <v>296910</v>
          </cell>
        </row>
        <row r="6538">
          <cell r="Z6538" t="str">
            <v>296911</v>
          </cell>
        </row>
        <row r="6539">
          <cell r="Z6539" t="str">
            <v>296912</v>
          </cell>
        </row>
        <row r="6540">
          <cell r="Z6540" t="str">
            <v>296913</v>
          </cell>
        </row>
        <row r="6541">
          <cell r="Z6541" t="str">
            <v>296914</v>
          </cell>
        </row>
        <row r="6542">
          <cell r="Z6542" t="str">
            <v>296919</v>
          </cell>
        </row>
        <row r="6543">
          <cell r="Z6543" t="str">
            <v>296920</v>
          </cell>
        </row>
        <row r="6544">
          <cell r="Z6544" t="str">
            <v>296921</v>
          </cell>
        </row>
        <row r="6545">
          <cell r="Z6545" t="str">
            <v>296922</v>
          </cell>
        </row>
        <row r="6546">
          <cell r="Z6546" t="str">
            <v>296923</v>
          </cell>
        </row>
        <row r="6547">
          <cell r="Z6547" t="str">
            <v>296924</v>
          </cell>
        </row>
        <row r="6548">
          <cell r="Z6548" t="str">
            <v>296929</v>
          </cell>
        </row>
        <row r="6549">
          <cell r="Z6549" t="str">
            <v/>
          </cell>
        </row>
        <row r="6550">
          <cell r="Z6550" t="str">
            <v/>
          </cell>
        </row>
        <row r="6551">
          <cell r="Z6551" t="str">
            <v/>
          </cell>
        </row>
        <row r="6552">
          <cell r="Z6552" t="str">
            <v/>
          </cell>
        </row>
        <row r="6553">
          <cell r="Z6553" t="str">
            <v/>
          </cell>
        </row>
        <row r="6554">
          <cell r="Z6554" t="str">
            <v/>
          </cell>
        </row>
        <row r="6555">
          <cell r="Z6555" t="str">
            <v/>
          </cell>
        </row>
        <row r="6556">
          <cell r="Z6556" t="str">
            <v/>
          </cell>
        </row>
        <row r="6557">
          <cell r="Z6557" t="str">
            <v/>
          </cell>
        </row>
        <row r="6558">
          <cell r="Z6558" t="str">
            <v>L1L2L3L4</v>
          </cell>
        </row>
        <row r="6559">
          <cell r="Z6559" t="str">
            <v>300000</v>
          </cell>
        </row>
        <row r="6560">
          <cell r="Z6560" t="str">
            <v>310000</v>
          </cell>
        </row>
        <row r="6561">
          <cell r="Z6561" t="str">
            <v>311000</v>
          </cell>
        </row>
        <row r="6562">
          <cell r="Z6562" t="str">
            <v>311100</v>
          </cell>
        </row>
        <row r="6563">
          <cell r="Z6563" t="str">
            <v>311110</v>
          </cell>
        </row>
        <row r="6564">
          <cell r="Z6564" t="str">
            <v>311111</v>
          </cell>
        </row>
        <row r="6565">
          <cell r="Z6565" t="str">
            <v>311112</v>
          </cell>
        </row>
        <row r="6566">
          <cell r="Z6566" t="str">
            <v>311113</v>
          </cell>
        </row>
        <row r="6567">
          <cell r="Z6567" t="str">
            <v>311114</v>
          </cell>
        </row>
        <row r="6568">
          <cell r="Z6568" t="str">
            <v>311119</v>
          </cell>
        </row>
        <row r="6569">
          <cell r="Z6569" t="str">
            <v>311120</v>
          </cell>
        </row>
        <row r="6570">
          <cell r="Z6570" t="str">
            <v>311121</v>
          </cell>
        </row>
        <row r="6571">
          <cell r="Z6571" t="str">
            <v>311122</v>
          </cell>
        </row>
        <row r="6572">
          <cell r="Z6572" t="str">
            <v>311123</v>
          </cell>
        </row>
        <row r="6573">
          <cell r="Z6573" t="str">
            <v>311124</v>
          </cell>
        </row>
        <row r="6574">
          <cell r="Z6574" t="str">
            <v>311129</v>
          </cell>
        </row>
        <row r="6575">
          <cell r="Z6575" t="str">
            <v>311200</v>
          </cell>
        </row>
        <row r="6576">
          <cell r="Z6576" t="str">
            <v>311210</v>
          </cell>
        </row>
        <row r="6577">
          <cell r="Z6577" t="str">
            <v>311211</v>
          </cell>
        </row>
        <row r="6578">
          <cell r="Z6578" t="str">
            <v>311212</v>
          </cell>
        </row>
        <row r="6579">
          <cell r="Z6579" t="str">
            <v>311213</v>
          </cell>
        </row>
        <row r="6580">
          <cell r="Z6580" t="str">
            <v>311214</v>
          </cell>
        </row>
        <row r="6581">
          <cell r="Z6581" t="str">
            <v>311219</v>
          </cell>
        </row>
        <row r="6582">
          <cell r="Z6582" t="str">
            <v>311220</v>
          </cell>
        </row>
        <row r="6583">
          <cell r="Z6583" t="str">
            <v>311221</v>
          </cell>
        </row>
        <row r="6584">
          <cell r="Z6584" t="str">
            <v>311222</v>
          </cell>
        </row>
        <row r="6585">
          <cell r="Z6585" t="str">
            <v>311223</v>
          </cell>
        </row>
        <row r="6586">
          <cell r="Z6586" t="str">
            <v>311224</v>
          </cell>
        </row>
        <row r="6587">
          <cell r="Z6587" t="str">
            <v>311229</v>
          </cell>
        </row>
        <row r="6588">
          <cell r="Z6588" t="str">
            <v>311230</v>
          </cell>
        </row>
        <row r="6589">
          <cell r="Z6589" t="str">
            <v>311231</v>
          </cell>
        </row>
        <row r="6590">
          <cell r="Z6590" t="str">
            <v>311232</v>
          </cell>
        </row>
        <row r="6591">
          <cell r="Z6591" t="str">
            <v>311233</v>
          </cell>
        </row>
        <row r="6592">
          <cell r="Z6592" t="str">
            <v>311234</v>
          </cell>
        </row>
        <row r="6593">
          <cell r="Z6593" t="str">
            <v>311239</v>
          </cell>
        </row>
        <row r="6594">
          <cell r="Z6594" t="str">
            <v>311240</v>
          </cell>
        </row>
        <row r="6595">
          <cell r="Z6595" t="str">
            <v>311241</v>
          </cell>
        </row>
        <row r="6596">
          <cell r="Z6596" t="str">
            <v>311242</v>
          </cell>
        </row>
        <row r="6597">
          <cell r="Z6597" t="str">
            <v>311243</v>
          </cell>
        </row>
        <row r="6598">
          <cell r="Z6598" t="str">
            <v>311244</v>
          </cell>
        </row>
        <row r="6599">
          <cell r="Z6599" t="str">
            <v>311249</v>
          </cell>
        </row>
        <row r="6600">
          <cell r="Z6600" t="str">
            <v>311250</v>
          </cell>
        </row>
        <row r="6601">
          <cell r="Z6601" t="str">
            <v>311251</v>
          </cell>
        </row>
        <row r="6602">
          <cell r="Z6602" t="str">
            <v>311252</v>
          </cell>
        </row>
        <row r="6603">
          <cell r="Z6603" t="str">
            <v>311253</v>
          </cell>
        </row>
        <row r="6604">
          <cell r="Z6604" t="str">
            <v>311254</v>
          </cell>
        </row>
        <row r="6605">
          <cell r="Z6605" t="str">
            <v>311259</v>
          </cell>
        </row>
        <row r="6606">
          <cell r="Z6606" t="str">
            <v>311260</v>
          </cell>
        </row>
        <row r="6607">
          <cell r="Z6607" t="str">
            <v>311261</v>
          </cell>
        </row>
        <row r="6608">
          <cell r="Z6608" t="str">
            <v>311262</v>
          </cell>
        </row>
        <row r="6609">
          <cell r="Z6609" t="str">
            <v>311263</v>
          </cell>
        </row>
        <row r="6610">
          <cell r="Z6610" t="str">
            <v>311264</v>
          </cell>
        </row>
        <row r="6611">
          <cell r="Z6611" t="str">
            <v>311269</v>
          </cell>
        </row>
        <row r="6612">
          <cell r="Z6612" t="str">
            <v>311300</v>
          </cell>
        </row>
        <row r="6613">
          <cell r="Z6613" t="str">
            <v>311310</v>
          </cell>
        </row>
        <row r="6614">
          <cell r="Z6614" t="str">
            <v>311311</v>
          </cell>
        </row>
        <row r="6615">
          <cell r="Z6615" t="str">
            <v>311312</v>
          </cell>
        </row>
        <row r="6616">
          <cell r="Z6616" t="str">
            <v>311313</v>
          </cell>
        </row>
        <row r="6617">
          <cell r="Z6617" t="str">
            <v>311314</v>
          </cell>
        </row>
        <row r="6618">
          <cell r="Z6618" t="str">
            <v>311319</v>
          </cell>
        </row>
        <row r="6619">
          <cell r="Z6619" t="str">
            <v>311320</v>
          </cell>
        </row>
        <row r="6620">
          <cell r="Z6620" t="str">
            <v>311321</v>
          </cell>
        </row>
        <row r="6621">
          <cell r="Z6621" t="str">
            <v>311322</v>
          </cell>
        </row>
        <row r="6622">
          <cell r="Z6622" t="str">
            <v>311323</v>
          </cell>
        </row>
        <row r="6623">
          <cell r="Z6623" t="str">
            <v>311324</v>
          </cell>
        </row>
        <row r="6624">
          <cell r="Z6624" t="str">
            <v>311329</v>
          </cell>
        </row>
        <row r="6625">
          <cell r="Z6625" t="str">
            <v>311330</v>
          </cell>
        </row>
        <row r="6626">
          <cell r="Z6626" t="str">
            <v>311331</v>
          </cell>
        </row>
        <row r="6627">
          <cell r="Z6627" t="str">
            <v>311332</v>
          </cell>
        </row>
        <row r="6628">
          <cell r="Z6628" t="str">
            <v>311333</v>
          </cell>
        </row>
        <row r="6629">
          <cell r="Z6629" t="str">
            <v>311334</v>
          </cell>
        </row>
        <row r="6630">
          <cell r="Z6630" t="str">
            <v>311339</v>
          </cell>
        </row>
        <row r="6631">
          <cell r="Z6631" t="str">
            <v>311340</v>
          </cell>
        </row>
        <row r="6632">
          <cell r="Z6632" t="str">
            <v>311341</v>
          </cell>
        </row>
        <row r="6633">
          <cell r="Z6633" t="str">
            <v>311342</v>
          </cell>
        </row>
        <row r="6634">
          <cell r="Z6634" t="str">
            <v>311343</v>
          </cell>
        </row>
        <row r="6635">
          <cell r="Z6635" t="str">
            <v>311344</v>
          </cell>
        </row>
        <row r="6636">
          <cell r="Z6636" t="str">
            <v>311349</v>
          </cell>
        </row>
        <row r="6637">
          <cell r="Z6637" t="str">
            <v>311350</v>
          </cell>
        </row>
        <row r="6638">
          <cell r="Z6638" t="str">
            <v>311351</v>
          </cell>
        </row>
        <row r="6639">
          <cell r="Z6639" t="str">
            <v>311352</v>
          </cell>
        </row>
        <row r="6640">
          <cell r="Z6640" t="str">
            <v>311353</v>
          </cell>
        </row>
        <row r="6641">
          <cell r="Z6641" t="str">
            <v>311354</v>
          </cell>
        </row>
        <row r="6642">
          <cell r="Z6642" t="str">
            <v>311359</v>
          </cell>
        </row>
        <row r="6643">
          <cell r="Z6643" t="str">
            <v>311360</v>
          </cell>
        </row>
        <row r="6644">
          <cell r="Z6644" t="str">
            <v>311361</v>
          </cell>
        </row>
        <row r="6645">
          <cell r="Z6645" t="str">
            <v>311362</v>
          </cell>
        </row>
        <row r="6646">
          <cell r="Z6646" t="str">
            <v>311363</v>
          </cell>
        </row>
        <row r="6647">
          <cell r="Z6647" t="str">
            <v>311364</v>
          </cell>
        </row>
        <row r="6648">
          <cell r="Z6648" t="str">
            <v>311369</v>
          </cell>
        </row>
        <row r="6649">
          <cell r="Z6649" t="str">
            <v>311400</v>
          </cell>
        </row>
        <row r="6650">
          <cell r="Z6650" t="str">
            <v>311410</v>
          </cell>
        </row>
        <row r="6651">
          <cell r="Z6651" t="str">
            <v>311411</v>
          </cell>
        </row>
        <row r="6652">
          <cell r="Z6652" t="str">
            <v>311412</v>
          </cell>
        </row>
        <row r="6653">
          <cell r="Z6653" t="str">
            <v>311413</v>
          </cell>
        </row>
        <row r="6654">
          <cell r="Z6654" t="str">
            <v>311414</v>
          </cell>
        </row>
        <row r="6655">
          <cell r="Z6655" t="str">
            <v>311419</v>
          </cell>
        </row>
        <row r="6656">
          <cell r="Z6656" t="str">
            <v>311420</v>
          </cell>
        </row>
        <row r="6657">
          <cell r="Z6657" t="str">
            <v>311421</v>
          </cell>
        </row>
        <row r="6658">
          <cell r="Z6658" t="str">
            <v>311422</v>
          </cell>
        </row>
        <row r="6659">
          <cell r="Z6659" t="str">
            <v>311423</v>
          </cell>
        </row>
        <row r="6660">
          <cell r="Z6660" t="str">
            <v>311424</v>
          </cell>
        </row>
        <row r="6661">
          <cell r="Z6661" t="str">
            <v>311429</v>
          </cell>
        </row>
        <row r="6662">
          <cell r="Z6662" t="str">
            <v>311430</v>
          </cell>
        </row>
        <row r="6663">
          <cell r="Z6663" t="str">
            <v>311431</v>
          </cell>
        </row>
        <row r="6664">
          <cell r="Z6664" t="str">
            <v>311432</v>
          </cell>
        </row>
        <row r="6665">
          <cell r="Z6665" t="str">
            <v>311433</v>
          </cell>
        </row>
        <row r="6666">
          <cell r="Z6666" t="str">
            <v>311434</v>
          </cell>
        </row>
        <row r="6667">
          <cell r="Z6667" t="str">
            <v>311439</v>
          </cell>
        </row>
        <row r="6668">
          <cell r="Z6668" t="str">
            <v>312000</v>
          </cell>
        </row>
        <row r="6669">
          <cell r="Z6669" t="str">
            <v>312100</v>
          </cell>
        </row>
        <row r="6670">
          <cell r="Z6670" t="str">
            <v>312110</v>
          </cell>
        </row>
        <row r="6671">
          <cell r="Z6671" t="str">
            <v>312111</v>
          </cell>
        </row>
        <row r="6672">
          <cell r="Z6672" t="str">
            <v>312112</v>
          </cell>
        </row>
        <row r="6673">
          <cell r="Z6673" t="str">
            <v>312113</v>
          </cell>
        </row>
        <row r="6674">
          <cell r="Z6674" t="str">
            <v>312114</v>
          </cell>
        </row>
        <row r="6675">
          <cell r="Z6675" t="str">
            <v>312119</v>
          </cell>
        </row>
        <row r="6676">
          <cell r="Z6676" t="str">
            <v>312120</v>
          </cell>
        </row>
        <row r="6677">
          <cell r="Z6677" t="str">
            <v>312121</v>
          </cell>
        </row>
        <row r="6678">
          <cell r="Z6678" t="str">
            <v>312122</v>
          </cell>
        </row>
        <row r="6679">
          <cell r="Z6679" t="str">
            <v>312123</v>
          </cell>
        </row>
        <row r="6680">
          <cell r="Z6680" t="str">
            <v>312124</v>
          </cell>
        </row>
        <row r="6681">
          <cell r="Z6681" t="str">
            <v>312129</v>
          </cell>
        </row>
        <row r="6682">
          <cell r="Z6682" t="str">
            <v>312200</v>
          </cell>
        </row>
        <row r="6683">
          <cell r="Z6683" t="str">
            <v>312210</v>
          </cell>
        </row>
        <row r="6684">
          <cell r="Z6684" t="str">
            <v>312211</v>
          </cell>
        </row>
        <row r="6685">
          <cell r="Z6685" t="str">
            <v>312212</v>
          </cell>
        </row>
        <row r="6686">
          <cell r="Z6686" t="str">
            <v>312213</v>
          </cell>
        </row>
        <row r="6687">
          <cell r="Z6687" t="str">
            <v>312214</v>
          </cell>
        </row>
        <row r="6688">
          <cell r="Z6688" t="str">
            <v>312219</v>
          </cell>
        </row>
        <row r="6689">
          <cell r="Z6689" t="str">
            <v>312220</v>
          </cell>
        </row>
        <row r="6690">
          <cell r="Z6690" t="str">
            <v>312221</v>
          </cell>
        </row>
        <row r="6691">
          <cell r="Z6691" t="str">
            <v>312222</v>
          </cell>
        </row>
        <row r="6692">
          <cell r="Z6692" t="str">
            <v>312223</v>
          </cell>
        </row>
        <row r="6693">
          <cell r="Z6693" t="str">
            <v>312224</v>
          </cell>
        </row>
        <row r="6694">
          <cell r="Z6694" t="str">
            <v>312229</v>
          </cell>
        </row>
        <row r="6695">
          <cell r="Z6695" t="str">
            <v>312230</v>
          </cell>
        </row>
        <row r="6696">
          <cell r="Z6696" t="str">
            <v>312231</v>
          </cell>
        </row>
        <row r="6697">
          <cell r="Z6697" t="str">
            <v>312232</v>
          </cell>
        </row>
        <row r="6698">
          <cell r="Z6698" t="str">
            <v>312233</v>
          </cell>
        </row>
        <row r="6699">
          <cell r="Z6699" t="str">
            <v>312234</v>
          </cell>
        </row>
        <row r="6700">
          <cell r="Z6700" t="str">
            <v>312239</v>
          </cell>
        </row>
        <row r="6701">
          <cell r="Z6701" t="str">
            <v>312240</v>
          </cell>
        </row>
        <row r="6702">
          <cell r="Z6702" t="str">
            <v>312241</v>
          </cell>
        </row>
        <row r="6703">
          <cell r="Z6703" t="str">
            <v>312242</v>
          </cell>
        </row>
        <row r="6704">
          <cell r="Z6704" t="str">
            <v>312243</v>
          </cell>
        </row>
        <row r="6705">
          <cell r="Z6705" t="str">
            <v>312244</v>
          </cell>
        </row>
        <row r="6706">
          <cell r="Z6706" t="str">
            <v>312249</v>
          </cell>
        </row>
        <row r="6707">
          <cell r="Z6707" t="str">
            <v>312300</v>
          </cell>
        </row>
        <row r="6708">
          <cell r="Z6708" t="str">
            <v>312310</v>
          </cell>
        </row>
        <row r="6709">
          <cell r="Z6709" t="str">
            <v>312311</v>
          </cell>
        </row>
        <row r="6710">
          <cell r="Z6710" t="str">
            <v>312312</v>
          </cell>
        </row>
        <row r="6711">
          <cell r="Z6711" t="str">
            <v>312313</v>
          </cell>
        </row>
        <row r="6712">
          <cell r="Z6712" t="str">
            <v>312314</v>
          </cell>
        </row>
        <row r="6713">
          <cell r="Z6713" t="str">
            <v>312319</v>
          </cell>
        </row>
        <row r="6714">
          <cell r="Z6714" t="str">
            <v>312320</v>
          </cell>
        </row>
        <row r="6715">
          <cell r="Z6715" t="str">
            <v>312321</v>
          </cell>
        </row>
        <row r="6716">
          <cell r="Z6716" t="str">
            <v>312322</v>
          </cell>
        </row>
        <row r="6717">
          <cell r="Z6717" t="str">
            <v>312323</v>
          </cell>
        </row>
        <row r="6718">
          <cell r="Z6718" t="str">
            <v>312324</v>
          </cell>
        </row>
        <row r="6719">
          <cell r="Z6719" t="str">
            <v>312329</v>
          </cell>
        </row>
        <row r="6720">
          <cell r="Z6720" t="str">
            <v>312330</v>
          </cell>
        </row>
        <row r="6721">
          <cell r="Z6721" t="str">
            <v>312331</v>
          </cell>
        </row>
        <row r="6722">
          <cell r="Z6722" t="str">
            <v>312332</v>
          </cell>
        </row>
        <row r="6723">
          <cell r="Z6723" t="str">
            <v>312333</v>
          </cell>
        </row>
        <row r="6724">
          <cell r="Z6724" t="str">
            <v>312334</v>
          </cell>
        </row>
        <row r="6725">
          <cell r="Z6725" t="str">
            <v>312339</v>
          </cell>
        </row>
        <row r="6726">
          <cell r="Z6726" t="str">
            <v>312340</v>
          </cell>
        </row>
        <row r="6727">
          <cell r="Z6727" t="str">
            <v>312341</v>
          </cell>
        </row>
        <row r="6728">
          <cell r="Z6728" t="str">
            <v>312342</v>
          </cell>
        </row>
        <row r="6729">
          <cell r="Z6729" t="str">
            <v>312343</v>
          </cell>
        </row>
        <row r="6730">
          <cell r="Z6730" t="str">
            <v>312344</v>
          </cell>
        </row>
        <row r="6731">
          <cell r="Z6731" t="str">
            <v>312349</v>
          </cell>
        </row>
        <row r="6732">
          <cell r="Z6732" t="str">
            <v>312400</v>
          </cell>
        </row>
        <row r="6733">
          <cell r="Z6733" t="str">
            <v>312410</v>
          </cell>
        </row>
        <row r="6734">
          <cell r="Z6734" t="str">
            <v>312411</v>
          </cell>
        </row>
        <row r="6735">
          <cell r="Z6735" t="str">
            <v>312412</v>
          </cell>
        </row>
        <row r="6736">
          <cell r="Z6736" t="str">
            <v>312413</v>
          </cell>
        </row>
        <row r="6737">
          <cell r="Z6737" t="str">
            <v>312414</v>
          </cell>
        </row>
        <row r="6738">
          <cell r="Z6738" t="str">
            <v>312419</v>
          </cell>
        </row>
        <row r="6739">
          <cell r="Z6739" t="str">
            <v>312420</v>
          </cell>
        </row>
        <row r="6740">
          <cell r="Z6740" t="str">
            <v>312421</v>
          </cell>
        </row>
        <row r="6741">
          <cell r="Z6741" t="str">
            <v>312422</v>
          </cell>
        </row>
        <row r="6742">
          <cell r="Z6742" t="str">
            <v>312423</v>
          </cell>
        </row>
        <row r="6743">
          <cell r="Z6743" t="str">
            <v>312424</v>
          </cell>
        </row>
        <row r="6744">
          <cell r="Z6744" t="str">
            <v>312429</v>
          </cell>
        </row>
        <row r="6745">
          <cell r="Z6745" t="str">
            <v>313000</v>
          </cell>
        </row>
        <row r="6746">
          <cell r="Z6746" t="str">
            <v>313100</v>
          </cell>
        </row>
        <row r="6747">
          <cell r="Z6747" t="str">
            <v>313110</v>
          </cell>
        </row>
        <row r="6748">
          <cell r="Z6748" t="str">
            <v>313111</v>
          </cell>
        </row>
        <row r="6749">
          <cell r="Z6749" t="str">
            <v>313112</v>
          </cell>
        </row>
        <row r="6750">
          <cell r="Z6750" t="str">
            <v>313113</v>
          </cell>
        </row>
        <row r="6751">
          <cell r="Z6751" t="str">
            <v>313114</v>
          </cell>
        </row>
        <row r="6752">
          <cell r="Z6752" t="str">
            <v>313119</v>
          </cell>
        </row>
        <row r="6753">
          <cell r="Z6753" t="str">
            <v>313120</v>
          </cell>
        </row>
        <row r="6754">
          <cell r="Z6754" t="str">
            <v>313121</v>
          </cell>
        </row>
        <row r="6755">
          <cell r="Z6755" t="str">
            <v>313122</v>
          </cell>
        </row>
        <row r="6756">
          <cell r="Z6756" t="str">
            <v>313123</v>
          </cell>
        </row>
        <row r="6757">
          <cell r="Z6757" t="str">
            <v>313124</v>
          </cell>
        </row>
        <row r="6758">
          <cell r="Z6758" t="str">
            <v>313129</v>
          </cell>
        </row>
        <row r="6759">
          <cell r="Z6759" t="str">
            <v>313200</v>
          </cell>
        </row>
        <row r="6760">
          <cell r="Z6760" t="str">
            <v>313210</v>
          </cell>
        </row>
        <row r="6761">
          <cell r="Z6761" t="str">
            <v>313211</v>
          </cell>
        </row>
        <row r="6762">
          <cell r="Z6762" t="str">
            <v>313212</v>
          </cell>
        </row>
        <row r="6763">
          <cell r="Z6763" t="str">
            <v>313213</v>
          </cell>
        </row>
        <row r="6764">
          <cell r="Z6764" t="str">
            <v>313214</v>
          </cell>
        </row>
        <row r="6765">
          <cell r="Z6765" t="str">
            <v>313219</v>
          </cell>
        </row>
        <row r="6766">
          <cell r="Z6766" t="str">
            <v>313220</v>
          </cell>
        </row>
        <row r="6767">
          <cell r="Z6767" t="str">
            <v>313221</v>
          </cell>
        </row>
        <row r="6768">
          <cell r="Z6768" t="str">
            <v>313222</v>
          </cell>
        </row>
        <row r="6769">
          <cell r="Z6769" t="str">
            <v>313223</v>
          </cell>
        </row>
        <row r="6770">
          <cell r="Z6770" t="str">
            <v>313224</v>
          </cell>
        </row>
        <row r="6771">
          <cell r="Z6771" t="str">
            <v>313229</v>
          </cell>
        </row>
        <row r="6772">
          <cell r="Z6772" t="str">
            <v>314000</v>
          </cell>
        </row>
        <row r="6773">
          <cell r="Z6773" t="str">
            <v>314100</v>
          </cell>
        </row>
        <row r="6774">
          <cell r="Z6774" t="str">
            <v>314110</v>
          </cell>
        </row>
        <row r="6775">
          <cell r="Z6775" t="str">
            <v>314111</v>
          </cell>
        </row>
        <row r="6776">
          <cell r="Z6776" t="str">
            <v>314112</v>
          </cell>
        </row>
        <row r="6777">
          <cell r="Z6777" t="str">
            <v>314113</v>
          </cell>
        </row>
        <row r="6778">
          <cell r="Z6778" t="str">
            <v>314114</v>
          </cell>
        </row>
        <row r="6779">
          <cell r="Z6779" t="str">
            <v>314119</v>
          </cell>
        </row>
        <row r="6780">
          <cell r="Z6780" t="str">
            <v>314120</v>
          </cell>
        </row>
        <row r="6781">
          <cell r="Z6781" t="str">
            <v>314121</v>
          </cell>
        </row>
        <row r="6782">
          <cell r="Z6782" t="str">
            <v>314122</v>
          </cell>
        </row>
        <row r="6783">
          <cell r="Z6783" t="str">
            <v>314123</v>
          </cell>
        </row>
        <row r="6784">
          <cell r="Z6784" t="str">
            <v>314124</v>
          </cell>
        </row>
        <row r="6785">
          <cell r="Z6785" t="str">
            <v>314129</v>
          </cell>
        </row>
        <row r="6786">
          <cell r="Z6786" t="str">
            <v>314200</v>
          </cell>
        </row>
        <row r="6787">
          <cell r="Z6787" t="str">
            <v>314210</v>
          </cell>
        </row>
        <row r="6788">
          <cell r="Z6788" t="str">
            <v>314211</v>
          </cell>
        </row>
        <row r="6789">
          <cell r="Z6789" t="str">
            <v>314212</v>
          </cell>
        </row>
        <row r="6790">
          <cell r="Z6790" t="str">
            <v>314213</v>
          </cell>
        </row>
        <row r="6791">
          <cell r="Z6791" t="str">
            <v>314214</v>
          </cell>
        </row>
        <row r="6792">
          <cell r="Z6792" t="str">
            <v>314219</v>
          </cell>
        </row>
        <row r="6793">
          <cell r="Z6793" t="str">
            <v>314220</v>
          </cell>
        </row>
        <row r="6794">
          <cell r="Z6794" t="str">
            <v>314221</v>
          </cell>
        </row>
        <row r="6795">
          <cell r="Z6795" t="str">
            <v>314222</v>
          </cell>
        </row>
        <row r="6796">
          <cell r="Z6796" t="str">
            <v>314223</v>
          </cell>
        </row>
        <row r="6797">
          <cell r="Z6797" t="str">
            <v>314224</v>
          </cell>
        </row>
        <row r="6798">
          <cell r="Z6798" t="str">
            <v>314229</v>
          </cell>
        </row>
        <row r="6799">
          <cell r="Z6799" t="str">
            <v>315000</v>
          </cell>
        </row>
        <row r="6800">
          <cell r="Z6800" t="str">
            <v>315100</v>
          </cell>
        </row>
        <row r="6801">
          <cell r="Z6801" t="str">
            <v>315110</v>
          </cell>
        </row>
        <row r="6802">
          <cell r="Z6802" t="str">
            <v>315111</v>
          </cell>
        </row>
        <row r="6803">
          <cell r="Z6803" t="str">
            <v>315112</v>
          </cell>
        </row>
        <row r="6804">
          <cell r="Z6804" t="str">
            <v>315113</v>
          </cell>
        </row>
        <row r="6805">
          <cell r="Z6805" t="str">
            <v>315114</v>
          </cell>
        </row>
        <row r="6806">
          <cell r="Z6806" t="str">
            <v>315119</v>
          </cell>
        </row>
        <row r="6807">
          <cell r="Z6807" t="str">
            <v>315120</v>
          </cell>
        </row>
        <row r="6808">
          <cell r="Z6808" t="str">
            <v>315121</v>
          </cell>
        </row>
        <row r="6809">
          <cell r="Z6809" t="str">
            <v>315122</v>
          </cell>
        </row>
        <row r="6810">
          <cell r="Z6810" t="str">
            <v>315123</v>
          </cell>
        </row>
        <row r="6811">
          <cell r="Z6811" t="str">
            <v>315124</v>
          </cell>
        </row>
        <row r="6812">
          <cell r="Z6812" t="str">
            <v>315129</v>
          </cell>
        </row>
        <row r="6813">
          <cell r="Z6813" t="str">
            <v>315200</v>
          </cell>
        </row>
        <row r="6814">
          <cell r="Z6814" t="str">
            <v>315210</v>
          </cell>
        </row>
        <row r="6815">
          <cell r="Z6815" t="str">
            <v>315211</v>
          </cell>
        </row>
        <row r="6816">
          <cell r="Z6816" t="str">
            <v>315212</v>
          </cell>
        </row>
        <row r="6817">
          <cell r="Z6817" t="str">
            <v>315213</v>
          </cell>
        </row>
        <row r="6818">
          <cell r="Z6818" t="str">
            <v>315214</v>
          </cell>
        </row>
        <row r="6819">
          <cell r="Z6819" t="str">
            <v>315219</v>
          </cell>
        </row>
        <row r="6820">
          <cell r="Z6820" t="str">
            <v>315220</v>
          </cell>
        </row>
        <row r="6821">
          <cell r="Z6821" t="str">
            <v>315221</v>
          </cell>
        </row>
        <row r="6822">
          <cell r="Z6822" t="str">
            <v>315222</v>
          </cell>
        </row>
        <row r="6823">
          <cell r="Z6823" t="str">
            <v>315223</v>
          </cell>
        </row>
        <row r="6824">
          <cell r="Z6824" t="str">
            <v>315224</v>
          </cell>
        </row>
        <row r="6825">
          <cell r="Z6825" t="str">
            <v>315229</v>
          </cell>
        </row>
        <row r="6826">
          <cell r="Z6826" t="str">
            <v>316000</v>
          </cell>
        </row>
        <row r="6827">
          <cell r="Z6827" t="str">
            <v>316100</v>
          </cell>
        </row>
        <row r="6828">
          <cell r="Z6828" t="str">
            <v>316110</v>
          </cell>
        </row>
        <row r="6829">
          <cell r="Z6829" t="str">
            <v>316111</v>
          </cell>
        </row>
        <row r="6830">
          <cell r="Z6830" t="str">
            <v>316112</v>
          </cell>
        </row>
        <row r="6831">
          <cell r="Z6831" t="str">
            <v>316113</v>
          </cell>
        </row>
        <row r="6832">
          <cell r="Z6832" t="str">
            <v>316114</v>
          </cell>
        </row>
        <row r="6833">
          <cell r="Z6833" t="str">
            <v>316119</v>
          </cell>
        </row>
        <row r="6834">
          <cell r="Z6834" t="str">
            <v>316120</v>
          </cell>
        </row>
        <row r="6835">
          <cell r="Z6835" t="str">
            <v>316121</v>
          </cell>
        </row>
        <row r="6836">
          <cell r="Z6836" t="str">
            <v>316122</v>
          </cell>
        </row>
        <row r="6837">
          <cell r="Z6837" t="str">
            <v>316123</v>
          </cell>
        </row>
        <row r="6838">
          <cell r="Z6838" t="str">
            <v>316124</v>
          </cell>
        </row>
        <row r="6839">
          <cell r="Z6839" t="str">
            <v>316129</v>
          </cell>
        </row>
        <row r="6840">
          <cell r="Z6840" t="str">
            <v>316200</v>
          </cell>
        </row>
        <row r="6841">
          <cell r="Z6841" t="str">
            <v>316210</v>
          </cell>
        </row>
        <row r="6842">
          <cell r="Z6842" t="str">
            <v>316211</v>
          </cell>
        </row>
        <row r="6843">
          <cell r="Z6843" t="str">
            <v>316212</v>
          </cell>
        </row>
        <row r="6844">
          <cell r="Z6844" t="str">
            <v>316213</v>
          </cell>
        </row>
        <row r="6845">
          <cell r="Z6845" t="str">
            <v>316214</v>
          </cell>
        </row>
        <row r="6846">
          <cell r="Z6846" t="str">
            <v>316219</v>
          </cell>
        </row>
        <row r="6847">
          <cell r="Z6847" t="str">
            <v>316220</v>
          </cell>
        </row>
        <row r="6848">
          <cell r="Z6848" t="str">
            <v>316221</v>
          </cell>
        </row>
        <row r="6849">
          <cell r="Z6849" t="str">
            <v>316222</v>
          </cell>
        </row>
        <row r="6850">
          <cell r="Z6850" t="str">
            <v>316223</v>
          </cell>
        </row>
        <row r="6851">
          <cell r="Z6851" t="str">
            <v>316224</v>
          </cell>
        </row>
        <row r="6852">
          <cell r="Z6852" t="str">
            <v>316229</v>
          </cell>
        </row>
        <row r="6853">
          <cell r="Z6853" t="str">
            <v>317000</v>
          </cell>
        </row>
        <row r="6854">
          <cell r="Z6854" t="str">
            <v>317100</v>
          </cell>
        </row>
        <row r="6855">
          <cell r="Z6855" t="str">
            <v>317110</v>
          </cell>
        </row>
        <row r="6856">
          <cell r="Z6856" t="str">
            <v>317111</v>
          </cell>
        </row>
        <row r="6857">
          <cell r="Z6857" t="str">
            <v>317112</v>
          </cell>
        </row>
        <row r="6858">
          <cell r="Z6858" t="str">
            <v>317113</v>
          </cell>
        </row>
        <row r="6859">
          <cell r="Z6859" t="str">
            <v>317114</v>
          </cell>
        </row>
        <row r="6860">
          <cell r="Z6860" t="str">
            <v>317119</v>
          </cell>
        </row>
        <row r="6861">
          <cell r="Z6861" t="str">
            <v>317120</v>
          </cell>
        </row>
        <row r="6862">
          <cell r="Z6862" t="str">
            <v>317121</v>
          </cell>
        </row>
        <row r="6863">
          <cell r="Z6863" t="str">
            <v>317122</v>
          </cell>
        </row>
        <row r="6864">
          <cell r="Z6864" t="str">
            <v>317123</v>
          </cell>
        </row>
        <row r="6865">
          <cell r="Z6865" t="str">
            <v>317124</v>
          </cell>
        </row>
        <row r="6866">
          <cell r="Z6866" t="str">
            <v>317129</v>
          </cell>
        </row>
        <row r="6867">
          <cell r="Z6867" t="str">
            <v>317200</v>
          </cell>
        </row>
        <row r="6868">
          <cell r="Z6868" t="str">
            <v>317210</v>
          </cell>
        </row>
        <row r="6869">
          <cell r="Z6869" t="str">
            <v>317211</v>
          </cell>
        </row>
        <row r="6870">
          <cell r="Z6870" t="str">
            <v>317212</v>
          </cell>
        </row>
        <row r="6871">
          <cell r="Z6871" t="str">
            <v>317213</v>
          </cell>
        </row>
        <row r="6872">
          <cell r="Z6872" t="str">
            <v>317214</v>
          </cell>
        </row>
        <row r="6873">
          <cell r="Z6873" t="str">
            <v>317219</v>
          </cell>
        </row>
        <row r="6874">
          <cell r="Z6874" t="str">
            <v>317220</v>
          </cell>
        </row>
        <row r="6875">
          <cell r="Z6875" t="str">
            <v>317221</v>
          </cell>
        </row>
        <row r="6876">
          <cell r="Z6876" t="str">
            <v>317222</v>
          </cell>
        </row>
        <row r="6877">
          <cell r="Z6877" t="str">
            <v>317223</v>
          </cell>
        </row>
        <row r="6878">
          <cell r="Z6878" t="str">
            <v>317224</v>
          </cell>
        </row>
        <row r="6879">
          <cell r="Z6879" t="str">
            <v>317229</v>
          </cell>
        </row>
        <row r="6880">
          <cell r="Z6880" t="str">
            <v>318000</v>
          </cell>
        </row>
        <row r="6881">
          <cell r="Z6881" t="str">
            <v>318100</v>
          </cell>
        </row>
        <row r="6882">
          <cell r="Z6882" t="str">
            <v>318110</v>
          </cell>
        </row>
        <row r="6883">
          <cell r="Z6883" t="str">
            <v>318111</v>
          </cell>
        </row>
        <row r="6884">
          <cell r="Z6884" t="str">
            <v>318112</v>
          </cell>
        </row>
        <row r="6885">
          <cell r="Z6885" t="str">
            <v>318113</v>
          </cell>
        </row>
        <row r="6886">
          <cell r="Z6886" t="str">
            <v>318114</v>
          </cell>
        </row>
        <row r="6887">
          <cell r="Z6887" t="str">
            <v>318119</v>
          </cell>
        </row>
        <row r="6888">
          <cell r="Z6888" t="str">
            <v>318120</v>
          </cell>
        </row>
        <row r="6889">
          <cell r="Z6889" t="str">
            <v>318121</v>
          </cell>
        </row>
        <row r="6890">
          <cell r="Z6890" t="str">
            <v>318122</v>
          </cell>
        </row>
        <row r="6891">
          <cell r="Z6891" t="str">
            <v>318123</v>
          </cell>
        </row>
        <row r="6892">
          <cell r="Z6892" t="str">
            <v>318124</v>
          </cell>
        </row>
        <row r="6893">
          <cell r="Z6893" t="str">
            <v>318129</v>
          </cell>
        </row>
        <row r="6894">
          <cell r="Z6894" t="str">
            <v>318200</v>
          </cell>
        </row>
        <row r="6895">
          <cell r="Z6895" t="str">
            <v>318210</v>
          </cell>
        </row>
        <row r="6896">
          <cell r="Z6896" t="str">
            <v>318211</v>
          </cell>
        </row>
        <row r="6897">
          <cell r="Z6897" t="str">
            <v>318212</v>
          </cell>
        </row>
        <row r="6898">
          <cell r="Z6898" t="str">
            <v>318213</v>
          </cell>
        </row>
        <row r="6899">
          <cell r="Z6899" t="str">
            <v>318214</v>
          </cell>
        </row>
        <row r="6900">
          <cell r="Z6900" t="str">
            <v>318219</v>
          </cell>
        </row>
        <row r="6901">
          <cell r="Z6901" t="str">
            <v>318220</v>
          </cell>
        </row>
        <row r="6902">
          <cell r="Z6902" t="str">
            <v>318221</v>
          </cell>
        </row>
        <row r="6903">
          <cell r="Z6903" t="str">
            <v>318222</v>
          </cell>
        </row>
        <row r="6904">
          <cell r="Z6904" t="str">
            <v>318223</v>
          </cell>
        </row>
        <row r="6905">
          <cell r="Z6905" t="str">
            <v>318224</v>
          </cell>
        </row>
        <row r="6906">
          <cell r="Z6906" t="str">
            <v>318229</v>
          </cell>
        </row>
        <row r="6907">
          <cell r="Z6907" t="str">
            <v>319000</v>
          </cell>
        </row>
        <row r="6908">
          <cell r="Z6908" t="str">
            <v>319100</v>
          </cell>
        </row>
        <row r="6909">
          <cell r="Z6909" t="str">
            <v>319110</v>
          </cell>
        </row>
        <row r="6910">
          <cell r="Z6910" t="str">
            <v>319111</v>
          </cell>
        </row>
        <row r="6911">
          <cell r="Z6911" t="str">
            <v>319112</v>
          </cell>
        </row>
        <row r="6912">
          <cell r="Z6912" t="str">
            <v>319113</v>
          </cell>
        </row>
        <row r="6913">
          <cell r="Z6913" t="str">
            <v>319114</v>
          </cell>
        </row>
        <row r="6914">
          <cell r="Z6914" t="str">
            <v>319119</v>
          </cell>
        </row>
        <row r="6915">
          <cell r="Z6915" t="str">
            <v>319120</v>
          </cell>
        </row>
        <row r="6916">
          <cell r="Z6916" t="str">
            <v>319121</v>
          </cell>
        </row>
        <row r="6917">
          <cell r="Z6917" t="str">
            <v>319122</v>
          </cell>
        </row>
        <row r="6918">
          <cell r="Z6918" t="str">
            <v>319123</v>
          </cell>
        </row>
        <row r="6919">
          <cell r="Z6919" t="str">
            <v>319124</v>
          </cell>
        </row>
        <row r="6920">
          <cell r="Z6920" t="str">
            <v>319129</v>
          </cell>
        </row>
        <row r="6921">
          <cell r="Z6921" t="str">
            <v>319200</v>
          </cell>
        </row>
        <row r="6922">
          <cell r="Z6922" t="str">
            <v>319210</v>
          </cell>
        </row>
        <row r="6923">
          <cell r="Z6923" t="str">
            <v>319211</v>
          </cell>
        </row>
        <row r="6924">
          <cell r="Z6924" t="str">
            <v>319212</v>
          </cell>
        </row>
        <row r="6925">
          <cell r="Z6925" t="str">
            <v>319213</v>
          </cell>
        </row>
        <row r="6926">
          <cell r="Z6926" t="str">
            <v>319214</v>
          </cell>
        </row>
        <row r="6927">
          <cell r="Z6927" t="str">
            <v>319219</v>
          </cell>
        </row>
        <row r="6928">
          <cell r="Z6928" t="str">
            <v>319220</v>
          </cell>
        </row>
        <row r="6929">
          <cell r="Z6929" t="str">
            <v>319221</v>
          </cell>
        </row>
        <row r="6930">
          <cell r="Z6930" t="str">
            <v>319222</v>
          </cell>
        </row>
        <row r="6931">
          <cell r="Z6931" t="str">
            <v>319223</v>
          </cell>
        </row>
        <row r="6932">
          <cell r="Z6932" t="str">
            <v>319224</v>
          </cell>
        </row>
        <row r="6933">
          <cell r="Z6933" t="str">
            <v>319229</v>
          </cell>
        </row>
        <row r="6934">
          <cell r="Z6934" t="str">
            <v>319230</v>
          </cell>
        </row>
        <row r="6935">
          <cell r="Z6935" t="str">
            <v>319231</v>
          </cell>
        </row>
        <row r="6936">
          <cell r="Z6936" t="str">
            <v>319232</v>
          </cell>
        </row>
        <row r="6937">
          <cell r="Z6937" t="str">
            <v>319233</v>
          </cell>
        </row>
        <row r="6938">
          <cell r="Z6938" t="str">
            <v>319234</v>
          </cell>
        </row>
        <row r="6939">
          <cell r="Z6939" t="str">
            <v>319239</v>
          </cell>
        </row>
        <row r="6940">
          <cell r="Z6940" t="str">
            <v>319240</v>
          </cell>
        </row>
        <row r="6941">
          <cell r="Z6941" t="str">
            <v>319241</v>
          </cell>
        </row>
        <row r="6942">
          <cell r="Z6942" t="str">
            <v>319242</v>
          </cell>
        </row>
        <row r="6943">
          <cell r="Z6943" t="str">
            <v>319243</v>
          </cell>
        </row>
        <row r="6944">
          <cell r="Z6944" t="str">
            <v>319244</v>
          </cell>
        </row>
        <row r="6945">
          <cell r="Z6945" t="str">
            <v>319249</v>
          </cell>
        </row>
        <row r="6946">
          <cell r="Z6946" t="str">
            <v>319300</v>
          </cell>
        </row>
        <row r="6947">
          <cell r="Z6947" t="str">
            <v>319310</v>
          </cell>
        </row>
        <row r="6948">
          <cell r="Z6948" t="str">
            <v>319311</v>
          </cell>
        </row>
        <row r="6949">
          <cell r="Z6949" t="str">
            <v>319312</v>
          </cell>
        </row>
        <row r="6950">
          <cell r="Z6950" t="str">
            <v>319313</v>
          </cell>
        </row>
        <row r="6951">
          <cell r="Z6951" t="str">
            <v>319314</v>
          </cell>
        </row>
        <row r="6952">
          <cell r="Z6952" t="str">
            <v>319319</v>
          </cell>
        </row>
        <row r="6953">
          <cell r="Z6953" t="str">
            <v>319320</v>
          </cell>
        </row>
        <row r="6954">
          <cell r="Z6954" t="str">
            <v>319321</v>
          </cell>
        </row>
        <row r="6955">
          <cell r="Z6955" t="str">
            <v>319322</v>
          </cell>
        </row>
        <row r="6956">
          <cell r="Z6956" t="str">
            <v>319323</v>
          </cell>
        </row>
        <row r="6957">
          <cell r="Z6957" t="str">
            <v>319324</v>
          </cell>
        </row>
        <row r="6958">
          <cell r="Z6958" t="str">
            <v>319329</v>
          </cell>
        </row>
        <row r="6959">
          <cell r="Z6959" t="str">
            <v>319330</v>
          </cell>
        </row>
        <row r="6960">
          <cell r="Z6960" t="str">
            <v>319331</v>
          </cell>
        </row>
        <row r="6961">
          <cell r="Z6961" t="str">
            <v>319332</v>
          </cell>
        </row>
        <row r="6962">
          <cell r="Z6962" t="str">
            <v>319333</v>
          </cell>
        </row>
        <row r="6963">
          <cell r="Z6963" t="str">
            <v>319334</v>
          </cell>
        </row>
        <row r="6964">
          <cell r="Z6964" t="str">
            <v>319339</v>
          </cell>
        </row>
        <row r="6965">
          <cell r="Z6965" t="str">
            <v>319340</v>
          </cell>
        </row>
        <row r="6966">
          <cell r="Z6966" t="str">
            <v>319341</v>
          </cell>
        </row>
        <row r="6967">
          <cell r="Z6967" t="str">
            <v>319342</v>
          </cell>
        </row>
        <row r="6968">
          <cell r="Z6968" t="str">
            <v>319343</v>
          </cell>
        </row>
        <row r="6969">
          <cell r="Z6969" t="str">
            <v>319344</v>
          </cell>
        </row>
        <row r="6970">
          <cell r="Z6970" t="str">
            <v>319349</v>
          </cell>
        </row>
        <row r="6971">
          <cell r="Z6971" t="str">
            <v>319400</v>
          </cell>
        </row>
        <row r="6972">
          <cell r="Z6972" t="str">
            <v>319410</v>
          </cell>
        </row>
        <row r="6973">
          <cell r="Z6973" t="str">
            <v>319411</v>
          </cell>
        </row>
        <row r="6974">
          <cell r="Z6974" t="str">
            <v>319412</v>
          </cell>
        </row>
        <row r="6975">
          <cell r="Z6975" t="str">
            <v>319413</v>
          </cell>
        </row>
        <row r="6976">
          <cell r="Z6976" t="str">
            <v>319414</v>
          </cell>
        </row>
        <row r="6977">
          <cell r="Z6977" t="str">
            <v>319419</v>
          </cell>
        </row>
        <row r="6978">
          <cell r="Z6978" t="str">
            <v>319420</v>
          </cell>
        </row>
        <row r="6979">
          <cell r="Z6979" t="str">
            <v>319421</v>
          </cell>
        </row>
        <row r="6980">
          <cell r="Z6980" t="str">
            <v>319422</v>
          </cell>
        </row>
        <row r="6981">
          <cell r="Z6981" t="str">
            <v>319423</v>
          </cell>
        </row>
        <row r="6982">
          <cell r="Z6982" t="str">
            <v>319424</v>
          </cell>
        </row>
        <row r="6983">
          <cell r="Z6983" t="str">
            <v>319429</v>
          </cell>
        </row>
        <row r="6984">
          <cell r="Z6984" t="str">
            <v>319500</v>
          </cell>
        </row>
        <row r="6985">
          <cell r="Z6985" t="str">
            <v>319510</v>
          </cell>
        </row>
        <row r="6986">
          <cell r="Z6986" t="str">
            <v>319511</v>
          </cell>
        </row>
        <row r="6987">
          <cell r="Z6987" t="str">
            <v>319512</v>
          </cell>
        </row>
        <row r="6988">
          <cell r="Z6988" t="str">
            <v>319513</v>
          </cell>
        </row>
        <row r="6989">
          <cell r="Z6989" t="str">
            <v>319514</v>
          </cell>
        </row>
        <row r="6990">
          <cell r="Z6990" t="str">
            <v>319519</v>
          </cell>
        </row>
        <row r="6991">
          <cell r="Z6991" t="str">
            <v>319520</v>
          </cell>
        </row>
        <row r="6992">
          <cell r="Z6992" t="str">
            <v>319521</v>
          </cell>
        </row>
        <row r="6993">
          <cell r="Z6993" t="str">
            <v>319522</v>
          </cell>
        </row>
        <row r="6994">
          <cell r="Z6994" t="str">
            <v>319523</v>
          </cell>
        </row>
        <row r="6995">
          <cell r="Z6995" t="str">
            <v>319524</v>
          </cell>
        </row>
        <row r="6996">
          <cell r="Z6996" t="str">
            <v>319529</v>
          </cell>
        </row>
        <row r="6997">
          <cell r="Z6997" t="str">
            <v>319600</v>
          </cell>
        </row>
        <row r="6998">
          <cell r="Z6998" t="str">
            <v>319611</v>
          </cell>
        </row>
        <row r="6999">
          <cell r="Z6999" t="str">
            <v>319612</v>
          </cell>
        </row>
        <row r="7000">
          <cell r="Z7000" t="str">
            <v>319613</v>
          </cell>
        </row>
        <row r="7001">
          <cell r="Z7001" t="str">
            <v>319614</v>
          </cell>
        </row>
        <row r="7002">
          <cell r="Z7002" t="str">
            <v>319619</v>
          </cell>
        </row>
        <row r="7003">
          <cell r="Z7003" t="str">
            <v>320000</v>
          </cell>
        </row>
        <row r="7004">
          <cell r="Z7004" t="str">
            <v>321000</v>
          </cell>
        </row>
        <row r="7005">
          <cell r="Z7005" t="str">
            <v>321100</v>
          </cell>
        </row>
        <row r="7006">
          <cell r="Z7006" t="str">
            <v>321110</v>
          </cell>
        </row>
        <row r="7007">
          <cell r="Z7007" t="str">
            <v>321111</v>
          </cell>
        </row>
        <row r="7008">
          <cell r="Z7008" t="str">
            <v>321112</v>
          </cell>
        </row>
        <row r="7009">
          <cell r="Z7009" t="str">
            <v>321113</v>
          </cell>
        </row>
        <row r="7010">
          <cell r="Z7010" t="str">
            <v>321114</v>
          </cell>
        </row>
        <row r="7011">
          <cell r="Z7011" t="str">
            <v>321119</v>
          </cell>
        </row>
        <row r="7012">
          <cell r="Z7012" t="str">
            <v>321120</v>
          </cell>
        </row>
        <row r="7013">
          <cell r="Z7013" t="str">
            <v>321121</v>
          </cell>
        </row>
        <row r="7014">
          <cell r="Z7014" t="str">
            <v>321122</v>
          </cell>
        </row>
        <row r="7015">
          <cell r="Z7015" t="str">
            <v>321123</v>
          </cell>
        </row>
        <row r="7016">
          <cell r="Z7016" t="str">
            <v>321124</v>
          </cell>
        </row>
        <row r="7017">
          <cell r="Z7017" t="str">
            <v>321129</v>
          </cell>
        </row>
        <row r="7018">
          <cell r="Z7018" t="str">
            <v>321130</v>
          </cell>
        </row>
        <row r="7019">
          <cell r="Z7019" t="str">
            <v>321131</v>
          </cell>
        </row>
        <row r="7020">
          <cell r="Z7020" t="str">
            <v>321132</v>
          </cell>
        </row>
        <row r="7021">
          <cell r="Z7021" t="str">
            <v>321133</v>
          </cell>
        </row>
        <row r="7022">
          <cell r="Z7022" t="str">
            <v>321134</v>
          </cell>
        </row>
        <row r="7023">
          <cell r="Z7023" t="str">
            <v>321139</v>
          </cell>
        </row>
        <row r="7024">
          <cell r="Z7024" t="str">
            <v>321140</v>
          </cell>
        </row>
        <row r="7025">
          <cell r="Z7025" t="str">
            <v>321141</v>
          </cell>
        </row>
        <row r="7026">
          <cell r="Z7026" t="str">
            <v>321142</v>
          </cell>
        </row>
        <row r="7027">
          <cell r="Z7027" t="str">
            <v>321143</v>
          </cell>
        </row>
        <row r="7028">
          <cell r="Z7028" t="str">
            <v>321144</v>
          </cell>
        </row>
        <row r="7029">
          <cell r="Z7029" t="str">
            <v>321149</v>
          </cell>
        </row>
        <row r="7030">
          <cell r="Z7030" t="str">
            <v>321150</v>
          </cell>
        </row>
        <row r="7031">
          <cell r="Z7031" t="str">
            <v>321151</v>
          </cell>
        </row>
        <row r="7032">
          <cell r="Z7032" t="str">
            <v>321152</v>
          </cell>
        </row>
        <row r="7033">
          <cell r="Z7033" t="str">
            <v>321153</v>
          </cell>
        </row>
        <row r="7034">
          <cell r="Z7034" t="str">
            <v>321154</v>
          </cell>
        </row>
        <row r="7035">
          <cell r="Z7035" t="str">
            <v>321159</v>
          </cell>
        </row>
        <row r="7036">
          <cell r="Z7036" t="str">
            <v>321160</v>
          </cell>
        </row>
        <row r="7037">
          <cell r="Z7037" t="str">
            <v>321161</v>
          </cell>
        </row>
        <row r="7038">
          <cell r="Z7038" t="str">
            <v>321162</v>
          </cell>
        </row>
        <row r="7039">
          <cell r="Z7039" t="str">
            <v>321163</v>
          </cell>
        </row>
        <row r="7040">
          <cell r="Z7040" t="str">
            <v>321164</v>
          </cell>
        </row>
        <row r="7041">
          <cell r="Z7041" t="str">
            <v>321169</v>
          </cell>
        </row>
        <row r="7042">
          <cell r="Z7042" t="str">
            <v>321170</v>
          </cell>
        </row>
        <row r="7043">
          <cell r="Z7043" t="str">
            <v>321171</v>
          </cell>
        </row>
        <row r="7044">
          <cell r="Z7044" t="str">
            <v>321172.</v>
          </cell>
        </row>
        <row r="7045">
          <cell r="Z7045" t="str">
            <v>321173</v>
          </cell>
        </row>
        <row r="7046">
          <cell r="Z7046" t="str">
            <v>321174</v>
          </cell>
        </row>
        <row r="7047">
          <cell r="Z7047" t="str">
            <v>321179</v>
          </cell>
        </row>
        <row r="7048">
          <cell r="Z7048" t="str">
            <v>321180</v>
          </cell>
        </row>
        <row r="7049">
          <cell r="Z7049" t="str">
            <v>321181</v>
          </cell>
        </row>
        <row r="7050">
          <cell r="Z7050" t="str">
            <v>321182</v>
          </cell>
        </row>
        <row r="7051">
          <cell r="Z7051" t="str">
            <v>321183</v>
          </cell>
        </row>
        <row r="7052">
          <cell r="Z7052" t="str">
            <v>321184</v>
          </cell>
        </row>
        <row r="7053">
          <cell r="Z7053" t="str">
            <v>321189</v>
          </cell>
        </row>
        <row r="7054">
          <cell r="Z7054" t="str">
            <v>321200</v>
          </cell>
        </row>
        <row r="7055">
          <cell r="Z7055" t="str">
            <v>321210</v>
          </cell>
        </row>
        <row r="7056">
          <cell r="Z7056" t="str">
            <v>321211</v>
          </cell>
        </row>
        <row r="7057">
          <cell r="Z7057" t="str">
            <v>321212</v>
          </cell>
        </row>
        <row r="7058">
          <cell r="Z7058" t="str">
            <v>321213</v>
          </cell>
        </row>
        <row r="7059">
          <cell r="Z7059" t="str">
            <v>321214</v>
          </cell>
        </row>
        <row r="7060">
          <cell r="Z7060" t="str">
            <v>321219</v>
          </cell>
        </row>
        <row r="7061">
          <cell r="Z7061" t="str">
            <v>321220</v>
          </cell>
        </row>
        <row r="7062">
          <cell r="Z7062" t="str">
            <v>321221</v>
          </cell>
        </row>
        <row r="7063">
          <cell r="Z7063" t="str">
            <v>321222</v>
          </cell>
        </row>
        <row r="7064">
          <cell r="Z7064" t="str">
            <v>321223</v>
          </cell>
        </row>
        <row r="7065">
          <cell r="Z7065" t="str">
            <v>321224</v>
          </cell>
        </row>
        <row r="7066">
          <cell r="Z7066" t="str">
            <v>321229</v>
          </cell>
        </row>
        <row r="7067">
          <cell r="Z7067" t="str">
            <v>321230</v>
          </cell>
        </row>
        <row r="7068">
          <cell r="Z7068" t="str">
            <v>321231</v>
          </cell>
        </row>
        <row r="7069">
          <cell r="Z7069" t="str">
            <v>321232</v>
          </cell>
        </row>
        <row r="7070">
          <cell r="Z7070" t="str">
            <v>321233</v>
          </cell>
        </row>
        <row r="7071">
          <cell r="Z7071" t="str">
            <v>321234</v>
          </cell>
        </row>
        <row r="7072">
          <cell r="Z7072" t="str">
            <v>321239</v>
          </cell>
        </row>
        <row r="7073">
          <cell r="Z7073" t="str">
            <v>321240</v>
          </cell>
        </row>
        <row r="7074">
          <cell r="Z7074" t="str">
            <v>321241</v>
          </cell>
        </row>
        <row r="7075">
          <cell r="Z7075" t="str">
            <v>321242</v>
          </cell>
        </row>
        <row r="7076">
          <cell r="Z7076" t="str">
            <v>321243</v>
          </cell>
        </row>
        <row r="7077">
          <cell r="Z7077" t="str">
            <v>321244</v>
          </cell>
        </row>
        <row r="7078">
          <cell r="Z7078" t="str">
            <v>321249</v>
          </cell>
        </row>
        <row r="7079">
          <cell r="Z7079" t="str">
            <v>321250</v>
          </cell>
        </row>
        <row r="7080">
          <cell r="Z7080" t="str">
            <v>321251</v>
          </cell>
        </row>
        <row r="7081">
          <cell r="Z7081" t="str">
            <v>321252</v>
          </cell>
        </row>
        <row r="7082">
          <cell r="Z7082" t="str">
            <v>321253</v>
          </cell>
        </row>
        <row r="7083">
          <cell r="Z7083" t="str">
            <v>321254</v>
          </cell>
        </row>
        <row r="7084">
          <cell r="Z7084" t="str">
            <v>321259</v>
          </cell>
        </row>
        <row r="7085">
          <cell r="Z7085" t="str">
            <v>321260</v>
          </cell>
        </row>
        <row r="7086">
          <cell r="Z7086" t="str">
            <v>321261</v>
          </cell>
        </row>
        <row r="7087">
          <cell r="Z7087" t="str">
            <v>321262</v>
          </cell>
        </row>
        <row r="7088">
          <cell r="Z7088" t="str">
            <v>321263</v>
          </cell>
        </row>
        <row r="7089">
          <cell r="Z7089" t="str">
            <v>321264</v>
          </cell>
        </row>
        <row r="7090">
          <cell r="Z7090" t="str">
            <v>321269</v>
          </cell>
        </row>
        <row r="7091">
          <cell r="Z7091" t="str">
            <v>321270</v>
          </cell>
        </row>
        <row r="7092">
          <cell r="Z7092" t="str">
            <v>321271</v>
          </cell>
        </row>
        <row r="7093">
          <cell r="Z7093" t="str">
            <v>321272.</v>
          </cell>
        </row>
        <row r="7094">
          <cell r="Z7094" t="str">
            <v>321273</v>
          </cell>
        </row>
        <row r="7095">
          <cell r="Z7095" t="str">
            <v>321274</v>
          </cell>
        </row>
        <row r="7096">
          <cell r="Z7096" t="str">
            <v>321279</v>
          </cell>
        </row>
        <row r="7097">
          <cell r="Z7097" t="str">
            <v>321280</v>
          </cell>
        </row>
        <row r="7098">
          <cell r="Z7098" t="str">
            <v>321281</v>
          </cell>
        </row>
        <row r="7099">
          <cell r="Z7099" t="str">
            <v>321282</v>
          </cell>
        </row>
        <row r="7100">
          <cell r="Z7100" t="str">
            <v>321283</v>
          </cell>
        </row>
        <row r="7101">
          <cell r="Z7101" t="str">
            <v>321284</v>
          </cell>
        </row>
        <row r="7102">
          <cell r="Z7102" t="str">
            <v>321289</v>
          </cell>
        </row>
        <row r="7103">
          <cell r="Z7103" t="str">
            <v>321300</v>
          </cell>
        </row>
        <row r="7104">
          <cell r="Z7104" t="str">
            <v>321310</v>
          </cell>
        </row>
        <row r="7105">
          <cell r="Z7105" t="str">
            <v>321311</v>
          </cell>
        </row>
        <row r="7106">
          <cell r="Z7106" t="str">
            <v>321312</v>
          </cell>
        </row>
        <row r="7107">
          <cell r="Z7107" t="str">
            <v>321313</v>
          </cell>
        </row>
        <row r="7108">
          <cell r="Z7108" t="str">
            <v>321314</v>
          </cell>
        </row>
        <row r="7109">
          <cell r="Z7109" t="str">
            <v>321319</v>
          </cell>
        </row>
        <row r="7110">
          <cell r="Z7110" t="str">
            <v>321320</v>
          </cell>
        </row>
        <row r="7111">
          <cell r="Z7111" t="str">
            <v>321321</v>
          </cell>
        </row>
        <row r="7112">
          <cell r="Z7112" t="str">
            <v>321322</v>
          </cell>
        </row>
        <row r="7113">
          <cell r="Z7113" t="str">
            <v>321323</v>
          </cell>
        </row>
        <row r="7114">
          <cell r="Z7114" t="str">
            <v>321324</v>
          </cell>
        </row>
        <row r="7115">
          <cell r="Z7115" t="str">
            <v>321329</v>
          </cell>
        </row>
        <row r="7116">
          <cell r="Z7116" t="str">
            <v>321330</v>
          </cell>
        </row>
        <row r="7117">
          <cell r="Z7117" t="str">
            <v>321331</v>
          </cell>
        </row>
        <row r="7118">
          <cell r="Z7118" t="str">
            <v>321332</v>
          </cell>
        </row>
        <row r="7119">
          <cell r="Z7119" t="str">
            <v>321333</v>
          </cell>
        </row>
        <row r="7120">
          <cell r="Z7120" t="str">
            <v>321334</v>
          </cell>
        </row>
        <row r="7121">
          <cell r="Z7121" t="str">
            <v>321339</v>
          </cell>
        </row>
        <row r="7122">
          <cell r="Z7122" t="str">
            <v>321340</v>
          </cell>
        </row>
        <row r="7123">
          <cell r="Z7123" t="str">
            <v>321341</v>
          </cell>
        </row>
        <row r="7124">
          <cell r="Z7124" t="str">
            <v>321342</v>
          </cell>
        </row>
        <row r="7125">
          <cell r="Z7125" t="str">
            <v>321343</v>
          </cell>
        </row>
        <row r="7126">
          <cell r="Z7126" t="str">
            <v>321344</v>
          </cell>
        </row>
        <row r="7127">
          <cell r="Z7127" t="str">
            <v>321349</v>
          </cell>
        </row>
        <row r="7128">
          <cell r="Z7128" t="str">
            <v>321400</v>
          </cell>
        </row>
        <row r="7129">
          <cell r="Z7129" t="str">
            <v>321410</v>
          </cell>
        </row>
        <row r="7130">
          <cell r="Z7130" t="str">
            <v>321411</v>
          </cell>
        </row>
        <row r="7131">
          <cell r="Z7131" t="str">
            <v>321412</v>
          </cell>
        </row>
        <row r="7132">
          <cell r="Z7132" t="str">
            <v>321413</v>
          </cell>
        </row>
        <row r="7133">
          <cell r="Z7133" t="str">
            <v>321414</v>
          </cell>
        </row>
        <row r="7134">
          <cell r="Z7134" t="str">
            <v>321419</v>
          </cell>
        </row>
        <row r="7135">
          <cell r="Z7135" t="str">
            <v>321420</v>
          </cell>
        </row>
        <row r="7136">
          <cell r="Z7136" t="str">
            <v>321421</v>
          </cell>
        </row>
        <row r="7137">
          <cell r="Z7137" t="str">
            <v>321422</v>
          </cell>
        </row>
        <row r="7138">
          <cell r="Z7138" t="str">
            <v>321423</v>
          </cell>
        </row>
        <row r="7139">
          <cell r="Z7139" t="str">
            <v>321424</v>
          </cell>
        </row>
        <row r="7140">
          <cell r="Z7140" t="str">
            <v>321429</v>
          </cell>
        </row>
        <row r="7141">
          <cell r="Z7141" t="str">
            <v>321430</v>
          </cell>
        </row>
        <row r="7142">
          <cell r="Z7142" t="str">
            <v>321431</v>
          </cell>
        </row>
        <row r="7143">
          <cell r="Z7143" t="str">
            <v>321432</v>
          </cell>
        </row>
        <row r="7144">
          <cell r="Z7144" t="str">
            <v>321433</v>
          </cell>
        </row>
        <row r="7145">
          <cell r="Z7145" t="str">
            <v>321434</v>
          </cell>
        </row>
        <row r="7146">
          <cell r="Z7146" t="str">
            <v>321439</v>
          </cell>
        </row>
        <row r="7147">
          <cell r="Z7147" t="str">
            <v>321440</v>
          </cell>
        </row>
        <row r="7148">
          <cell r="Z7148" t="str">
            <v>321441</v>
          </cell>
        </row>
        <row r="7149">
          <cell r="Z7149" t="str">
            <v>321442</v>
          </cell>
        </row>
        <row r="7150">
          <cell r="Z7150" t="str">
            <v>321443</v>
          </cell>
        </row>
        <row r="7151">
          <cell r="Z7151" t="str">
            <v>321444</v>
          </cell>
        </row>
        <row r="7152">
          <cell r="Z7152" t="str">
            <v>321449</v>
          </cell>
        </row>
        <row r="7153">
          <cell r="Z7153" t="str">
            <v>321500</v>
          </cell>
        </row>
        <row r="7154">
          <cell r="Z7154" t="str">
            <v>321510</v>
          </cell>
        </row>
        <row r="7155">
          <cell r="Z7155" t="str">
            <v>321511</v>
          </cell>
        </row>
        <row r="7156">
          <cell r="Z7156" t="str">
            <v>321512</v>
          </cell>
        </row>
        <row r="7157">
          <cell r="Z7157" t="str">
            <v>321513</v>
          </cell>
        </row>
        <row r="7158">
          <cell r="Z7158" t="str">
            <v>321514</v>
          </cell>
        </row>
        <row r="7159">
          <cell r="Z7159" t="str">
            <v>321519</v>
          </cell>
        </row>
        <row r="7160">
          <cell r="Z7160" t="str">
            <v>321520</v>
          </cell>
        </row>
        <row r="7161">
          <cell r="Z7161" t="str">
            <v>321521</v>
          </cell>
        </row>
        <row r="7162">
          <cell r="Z7162" t="str">
            <v>321522</v>
          </cell>
        </row>
        <row r="7163">
          <cell r="Z7163" t="str">
            <v>321523</v>
          </cell>
        </row>
        <row r="7164">
          <cell r="Z7164" t="str">
            <v>321524</v>
          </cell>
        </row>
        <row r="7165">
          <cell r="Z7165" t="str">
            <v>321529</v>
          </cell>
        </row>
        <row r="7166">
          <cell r="Z7166" t="str">
            <v>321530</v>
          </cell>
        </row>
        <row r="7167">
          <cell r="Z7167" t="str">
            <v>321531</v>
          </cell>
        </row>
        <row r="7168">
          <cell r="Z7168" t="str">
            <v>321532</v>
          </cell>
        </row>
        <row r="7169">
          <cell r="Z7169" t="str">
            <v>321533</v>
          </cell>
        </row>
        <row r="7170">
          <cell r="Z7170" t="str">
            <v>321534</v>
          </cell>
        </row>
        <row r="7171">
          <cell r="Z7171" t="str">
            <v>321539</v>
          </cell>
        </row>
        <row r="7172">
          <cell r="Z7172" t="str">
            <v>321540</v>
          </cell>
        </row>
        <row r="7173">
          <cell r="Z7173" t="str">
            <v>321541</v>
          </cell>
        </row>
        <row r="7174">
          <cell r="Z7174" t="str">
            <v>321542</v>
          </cell>
        </row>
        <row r="7175">
          <cell r="Z7175" t="str">
            <v>321543</v>
          </cell>
        </row>
        <row r="7176">
          <cell r="Z7176" t="str">
            <v>321544</v>
          </cell>
        </row>
        <row r="7177">
          <cell r="Z7177" t="str">
            <v>321549</v>
          </cell>
        </row>
        <row r="7178">
          <cell r="Z7178" t="str">
            <v>322000</v>
          </cell>
        </row>
        <row r="7179">
          <cell r="Z7179" t="str">
            <v>322100</v>
          </cell>
        </row>
        <row r="7180">
          <cell r="Z7180" t="str">
            <v>322110</v>
          </cell>
        </row>
        <row r="7181">
          <cell r="Z7181" t="str">
            <v>322111</v>
          </cell>
        </row>
        <row r="7182">
          <cell r="Z7182" t="str">
            <v>322112</v>
          </cell>
        </row>
        <row r="7183">
          <cell r="Z7183" t="str">
            <v>322113</v>
          </cell>
        </row>
        <row r="7184">
          <cell r="Z7184" t="str">
            <v>322114</v>
          </cell>
        </row>
        <row r="7185">
          <cell r="Z7185" t="str">
            <v>322119</v>
          </cell>
        </row>
        <row r="7186">
          <cell r="Z7186" t="str">
            <v>322120</v>
          </cell>
        </row>
        <row r="7187">
          <cell r="Z7187" t="str">
            <v>322121</v>
          </cell>
        </row>
        <row r="7188">
          <cell r="Z7188" t="str">
            <v>322122</v>
          </cell>
        </row>
        <row r="7189">
          <cell r="Z7189" t="str">
            <v>322123</v>
          </cell>
        </row>
        <row r="7190">
          <cell r="Z7190" t="str">
            <v>322124</v>
          </cell>
        </row>
        <row r="7191">
          <cell r="Z7191" t="str">
            <v>322129</v>
          </cell>
        </row>
        <row r="7192">
          <cell r="Z7192" t="str">
            <v>322200</v>
          </cell>
        </row>
        <row r="7193">
          <cell r="Z7193" t="str">
            <v>322210</v>
          </cell>
        </row>
        <row r="7194">
          <cell r="Z7194" t="str">
            <v>322211</v>
          </cell>
        </row>
        <row r="7195">
          <cell r="Z7195" t="str">
            <v>322212</v>
          </cell>
        </row>
        <row r="7196">
          <cell r="Z7196" t="str">
            <v>322213</v>
          </cell>
        </row>
        <row r="7197">
          <cell r="Z7197" t="str">
            <v>322214</v>
          </cell>
        </row>
        <row r="7198">
          <cell r="Z7198" t="str">
            <v>322219</v>
          </cell>
        </row>
        <row r="7199">
          <cell r="Z7199" t="str">
            <v>322220</v>
          </cell>
        </row>
        <row r="7200">
          <cell r="Z7200" t="str">
            <v>322221</v>
          </cell>
        </row>
        <row r="7201">
          <cell r="Z7201" t="str">
            <v>322222</v>
          </cell>
        </row>
        <row r="7202">
          <cell r="Z7202" t="str">
            <v>322223</v>
          </cell>
        </row>
        <row r="7203">
          <cell r="Z7203" t="str">
            <v>322224</v>
          </cell>
        </row>
        <row r="7204">
          <cell r="Z7204" t="str">
            <v>322229</v>
          </cell>
        </row>
        <row r="7205">
          <cell r="Z7205" t="str">
            <v>322300</v>
          </cell>
        </row>
        <row r="7206">
          <cell r="Z7206" t="str">
            <v>322311</v>
          </cell>
        </row>
        <row r="7207">
          <cell r="Z7207" t="str">
            <v>322312</v>
          </cell>
        </row>
        <row r="7208">
          <cell r="Z7208" t="str">
            <v>322313</v>
          </cell>
        </row>
        <row r="7209">
          <cell r="Z7209" t="str">
            <v>322314</v>
          </cell>
        </row>
        <row r="7210">
          <cell r="Z7210" t="str">
            <v>322319</v>
          </cell>
        </row>
        <row r="7211">
          <cell r="Z7211" t="str">
            <v>322400</v>
          </cell>
        </row>
        <row r="7212">
          <cell r="Z7212" t="str">
            <v>322411</v>
          </cell>
        </row>
        <row r="7213">
          <cell r="Z7213" t="str">
            <v>322412</v>
          </cell>
        </row>
        <row r="7214">
          <cell r="Z7214" t="str">
            <v>322413</v>
          </cell>
        </row>
        <row r="7215">
          <cell r="Z7215" t="str">
            <v>322415</v>
          </cell>
        </row>
        <row r="7216">
          <cell r="Z7216" t="str">
            <v>322419</v>
          </cell>
        </row>
        <row r="7217">
          <cell r="Z7217" t="str">
            <v>322500</v>
          </cell>
        </row>
        <row r="7218">
          <cell r="Z7218" t="str">
            <v>322511</v>
          </cell>
        </row>
        <row r="7219">
          <cell r="Z7219" t="str">
            <v>322512</v>
          </cell>
        </row>
        <row r="7220">
          <cell r="Z7220" t="str">
            <v>322513</v>
          </cell>
        </row>
        <row r="7221">
          <cell r="Z7221" t="str">
            <v>322514</v>
          </cell>
        </row>
        <row r="7222">
          <cell r="Z7222" t="str">
            <v>322519</v>
          </cell>
        </row>
        <row r="7223">
          <cell r="Z7223" t="str">
            <v>323000</v>
          </cell>
        </row>
        <row r="7224">
          <cell r="Z7224" t="str">
            <v>323100</v>
          </cell>
        </row>
        <row r="7225">
          <cell r="Z7225" t="str">
            <v>323110</v>
          </cell>
        </row>
        <row r="7226">
          <cell r="Z7226" t="str">
            <v>323111</v>
          </cell>
        </row>
        <row r="7227">
          <cell r="Z7227" t="str">
            <v>323112</v>
          </cell>
        </row>
        <row r="7228">
          <cell r="Z7228" t="str">
            <v>323113</v>
          </cell>
        </row>
        <row r="7229">
          <cell r="Z7229" t="str">
            <v>323114</v>
          </cell>
        </row>
        <row r="7230">
          <cell r="Z7230" t="str">
            <v>323119</v>
          </cell>
        </row>
        <row r="7231">
          <cell r="Z7231" t="str">
            <v>323120</v>
          </cell>
        </row>
        <row r="7232">
          <cell r="Z7232" t="str">
            <v>323121</v>
          </cell>
        </row>
        <row r="7233">
          <cell r="Z7233" t="str">
            <v>323122</v>
          </cell>
        </row>
        <row r="7234">
          <cell r="Z7234" t="str">
            <v>323123</v>
          </cell>
        </row>
        <row r="7235">
          <cell r="Z7235" t="str">
            <v>323124</v>
          </cell>
        </row>
        <row r="7236">
          <cell r="Z7236" t="str">
            <v>323129</v>
          </cell>
        </row>
        <row r="7237">
          <cell r="Z7237" t="str">
            <v>323130</v>
          </cell>
        </row>
        <row r="7238">
          <cell r="Z7238" t="str">
            <v>323131</v>
          </cell>
        </row>
        <row r="7239">
          <cell r="Z7239" t="str">
            <v>323132</v>
          </cell>
        </row>
        <row r="7240">
          <cell r="Z7240" t="str">
            <v>323133</v>
          </cell>
        </row>
        <row r="7241">
          <cell r="Z7241" t="str">
            <v>323134</v>
          </cell>
        </row>
        <row r="7242">
          <cell r="Z7242" t="str">
            <v>323139</v>
          </cell>
        </row>
        <row r="7243">
          <cell r="Z7243" t="str">
            <v>323140</v>
          </cell>
        </row>
        <row r="7244">
          <cell r="Z7244" t="str">
            <v>323141</v>
          </cell>
        </row>
        <row r="7245">
          <cell r="Z7245" t="str">
            <v>323142</v>
          </cell>
        </row>
        <row r="7246">
          <cell r="Z7246" t="str">
            <v>323143</v>
          </cell>
        </row>
        <row r="7247">
          <cell r="Z7247" t="str">
            <v>323144</v>
          </cell>
        </row>
        <row r="7248">
          <cell r="Z7248" t="str">
            <v>323149</v>
          </cell>
        </row>
        <row r="7249">
          <cell r="Z7249" t="str">
            <v>323200</v>
          </cell>
        </row>
        <row r="7250">
          <cell r="Z7250" t="str">
            <v>323210</v>
          </cell>
        </row>
        <row r="7251">
          <cell r="Z7251" t="str">
            <v>323211</v>
          </cell>
        </row>
        <row r="7252">
          <cell r="Z7252" t="str">
            <v>323212</v>
          </cell>
        </row>
        <row r="7253">
          <cell r="Z7253" t="str">
            <v>323213</v>
          </cell>
        </row>
        <row r="7254">
          <cell r="Z7254" t="str">
            <v>323214</v>
          </cell>
        </row>
        <row r="7255">
          <cell r="Z7255" t="str">
            <v>323219</v>
          </cell>
        </row>
        <row r="7256">
          <cell r="Z7256" t="str">
            <v>323220</v>
          </cell>
        </row>
        <row r="7257">
          <cell r="Z7257" t="str">
            <v>323221</v>
          </cell>
        </row>
        <row r="7258">
          <cell r="Z7258" t="str">
            <v>323222</v>
          </cell>
        </row>
        <row r="7259">
          <cell r="Z7259" t="str">
            <v>323223</v>
          </cell>
        </row>
        <row r="7260">
          <cell r="Z7260" t="str">
            <v>323224</v>
          </cell>
        </row>
        <row r="7261">
          <cell r="Z7261" t="str">
            <v>323229</v>
          </cell>
        </row>
        <row r="7262">
          <cell r="Z7262" t="str">
            <v>323230</v>
          </cell>
        </row>
        <row r="7263">
          <cell r="Z7263" t="str">
            <v>323231</v>
          </cell>
        </row>
        <row r="7264">
          <cell r="Z7264" t="str">
            <v>323232</v>
          </cell>
        </row>
        <row r="7265">
          <cell r="Z7265" t="str">
            <v>323233</v>
          </cell>
        </row>
        <row r="7266">
          <cell r="Z7266" t="str">
            <v>323234</v>
          </cell>
        </row>
        <row r="7267">
          <cell r="Z7267" t="str">
            <v>323239</v>
          </cell>
        </row>
        <row r="7268">
          <cell r="Z7268" t="str">
            <v>323240</v>
          </cell>
        </row>
        <row r="7269">
          <cell r="Z7269" t="str">
            <v>323241</v>
          </cell>
        </row>
        <row r="7270">
          <cell r="Z7270" t="str">
            <v>323242</v>
          </cell>
        </row>
        <row r="7271">
          <cell r="Z7271" t="str">
            <v>323243</v>
          </cell>
        </row>
        <row r="7272">
          <cell r="Z7272" t="str">
            <v>323244</v>
          </cell>
        </row>
        <row r="7273">
          <cell r="Z7273" t="str">
            <v>323249</v>
          </cell>
        </row>
        <row r="7274">
          <cell r="Z7274" t="str">
            <v>323300</v>
          </cell>
        </row>
        <row r="7275">
          <cell r="Z7275" t="str">
            <v>323310</v>
          </cell>
        </row>
        <row r="7276">
          <cell r="Z7276" t="str">
            <v>323311</v>
          </cell>
        </row>
        <row r="7277">
          <cell r="Z7277" t="str">
            <v>323312</v>
          </cell>
        </row>
        <row r="7278">
          <cell r="Z7278" t="str">
            <v>323313</v>
          </cell>
        </row>
        <row r="7279">
          <cell r="Z7279" t="str">
            <v>323314</v>
          </cell>
        </row>
        <row r="7280">
          <cell r="Z7280" t="str">
            <v>323319</v>
          </cell>
        </row>
        <row r="7281">
          <cell r="Z7281" t="str">
            <v>323320</v>
          </cell>
        </row>
        <row r="7282">
          <cell r="Z7282" t="str">
            <v>323321</v>
          </cell>
        </row>
        <row r="7283">
          <cell r="Z7283" t="str">
            <v>323322</v>
          </cell>
        </row>
        <row r="7284">
          <cell r="Z7284" t="str">
            <v>323323</v>
          </cell>
        </row>
        <row r="7285">
          <cell r="Z7285" t="str">
            <v>323324</v>
          </cell>
        </row>
        <row r="7286">
          <cell r="Z7286" t="str">
            <v>323329</v>
          </cell>
        </row>
        <row r="7287">
          <cell r="Z7287" t="str">
            <v>323400</v>
          </cell>
        </row>
        <row r="7288">
          <cell r="Z7288" t="str">
            <v>323410</v>
          </cell>
        </row>
        <row r="7289">
          <cell r="Z7289" t="str">
            <v>323411</v>
          </cell>
        </row>
        <row r="7290">
          <cell r="Z7290" t="str">
            <v>323412</v>
          </cell>
        </row>
        <row r="7291">
          <cell r="Z7291" t="str">
            <v>323413</v>
          </cell>
        </row>
        <row r="7292">
          <cell r="Z7292" t="str">
            <v>323414</v>
          </cell>
        </row>
        <row r="7293">
          <cell r="Z7293" t="str">
            <v>323419</v>
          </cell>
        </row>
        <row r="7294">
          <cell r="Z7294" t="str">
            <v>323420</v>
          </cell>
        </row>
        <row r="7295">
          <cell r="Z7295" t="str">
            <v>323421</v>
          </cell>
        </row>
        <row r="7296">
          <cell r="Z7296" t="str">
            <v>323422</v>
          </cell>
        </row>
        <row r="7297">
          <cell r="Z7297" t="str">
            <v>323423</v>
          </cell>
        </row>
        <row r="7298">
          <cell r="Z7298" t="str">
            <v>323424</v>
          </cell>
        </row>
        <row r="7299">
          <cell r="Z7299" t="str">
            <v>323429</v>
          </cell>
        </row>
        <row r="7300">
          <cell r="Z7300" t="str">
            <v>323500</v>
          </cell>
        </row>
        <row r="7301">
          <cell r="Z7301" t="str">
            <v>323510</v>
          </cell>
        </row>
        <row r="7302">
          <cell r="Z7302" t="str">
            <v>323511</v>
          </cell>
        </row>
        <row r="7303">
          <cell r="Z7303" t="str">
            <v>323512</v>
          </cell>
        </row>
        <row r="7304">
          <cell r="Z7304" t="str">
            <v>323513</v>
          </cell>
        </row>
        <row r="7305">
          <cell r="Z7305" t="str">
            <v>323514</v>
          </cell>
        </row>
        <row r="7306">
          <cell r="Z7306" t="str">
            <v>323519</v>
          </cell>
        </row>
        <row r="7307">
          <cell r="Z7307" t="str">
            <v>323520</v>
          </cell>
        </row>
        <row r="7308">
          <cell r="Z7308" t="str">
            <v>323521</v>
          </cell>
        </row>
        <row r="7309">
          <cell r="Z7309" t="str">
            <v>323522</v>
          </cell>
        </row>
        <row r="7310">
          <cell r="Z7310" t="str">
            <v>323523</v>
          </cell>
        </row>
        <row r="7311">
          <cell r="Z7311" t="str">
            <v>323524</v>
          </cell>
        </row>
        <row r="7312">
          <cell r="Z7312" t="str">
            <v>323529</v>
          </cell>
        </row>
        <row r="7313">
          <cell r="Z7313" t="str">
            <v>324000</v>
          </cell>
        </row>
        <row r="7314">
          <cell r="Z7314" t="str">
            <v>324100</v>
          </cell>
        </row>
        <row r="7315">
          <cell r="Z7315" t="str">
            <v>324110</v>
          </cell>
        </row>
        <row r="7316">
          <cell r="Z7316" t="str">
            <v>324111</v>
          </cell>
        </row>
        <row r="7317">
          <cell r="Z7317" t="str">
            <v>324112</v>
          </cell>
        </row>
        <row r="7318">
          <cell r="Z7318" t="str">
            <v>324113</v>
          </cell>
        </row>
        <row r="7319">
          <cell r="Z7319" t="str">
            <v>324114</v>
          </cell>
        </row>
        <row r="7320">
          <cell r="Z7320" t="str">
            <v>324119</v>
          </cell>
        </row>
        <row r="7321">
          <cell r="Z7321" t="str">
            <v>324120</v>
          </cell>
        </row>
        <row r="7322">
          <cell r="Z7322" t="str">
            <v>324121</v>
          </cell>
        </row>
        <row r="7323">
          <cell r="Z7323" t="str">
            <v>324122</v>
          </cell>
        </row>
        <row r="7324">
          <cell r="Z7324" t="str">
            <v>324123</v>
          </cell>
        </row>
        <row r="7325">
          <cell r="Z7325" t="str">
            <v>324124</v>
          </cell>
        </row>
        <row r="7326">
          <cell r="Z7326" t="str">
            <v>324129</v>
          </cell>
        </row>
        <row r="7327">
          <cell r="Z7327" t="str">
            <v>324200</v>
          </cell>
        </row>
        <row r="7328">
          <cell r="Z7328" t="str">
            <v>324210</v>
          </cell>
        </row>
        <row r="7329">
          <cell r="Z7329" t="str">
            <v>324211</v>
          </cell>
        </row>
        <row r="7330">
          <cell r="Z7330" t="str">
            <v>324212</v>
          </cell>
        </row>
        <row r="7331">
          <cell r="Z7331" t="str">
            <v>324213</v>
          </cell>
        </row>
        <row r="7332">
          <cell r="Z7332" t="str">
            <v>324214</v>
          </cell>
        </row>
        <row r="7333">
          <cell r="Z7333" t="str">
            <v>324219</v>
          </cell>
        </row>
        <row r="7334">
          <cell r="Z7334" t="str">
            <v>324220</v>
          </cell>
        </row>
        <row r="7335">
          <cell r="Z7335" t="str">
            <v>324221</v>
          </cell>
        </row>
        <row r="7336">
          <cell r="Z7336" t="str">
            <v>324222</v>
          </cell>
        </row>
        <row r="7337">
          <cell r="Z7337" t="str">
            <v>324223</v>
          </cell>
        </row>
        <row r="7338">
          <cell r="Z7338" t="str">
            <v>324224</v>
          </cell>
        </row>
        <row r="7339">
          <cell r="Z7339" t="str">
            <v>324229</v>
          </cell>
        </row>
        <row r="7340">
          <cell r="Z7340" t="str">
            <v>324300</v>
          </cell>
        </row>
        <row r="7341">
          <cell r="Z7341" t="str">
            <v>324301</v>
          </cell>
        </row>
        <row r="7342">
          <cell r="Z7342" t="str">
            <v>324302</v>
          </cell>
        </row>
        <row r="7343">
          <cell r="Z7343" t="str">
            <v>324303</v>
          </cell>
        </row>
        <row r="7344">
          <cell r="Z7344" t="str">
            <v>324304</v>
          </cell>
        </row>
        <row r="7345">
          <cell r="Z7345" t="str">
            <v>324309</v>
          </cell>
        </row>
        <row r="7346">
          <cell r="Z7346" t="str">
            <v>324400</v>
          </cell>
        </row>
        <row r="7347">
          <cell r="Z7347" t="str">
            <v>324401</v>
          </cell>
        </row>
        <row r="7348">
          <cell r="Z7348" t="str">
            <v>324402</v>
          </cell>
        </row>
        <row r="7349">
          <cell r="Z7349" t="str">
            <v>324403</v>
          </cell>
        </row>
        <row r="7350">
          <cell r="Z7350" t="str">
            <v>324404</v>
          </cell>
        </row>
        <row r="7351">
          <cell r="Z7351" t="str">
            <v>324409</v>
          </cell>
        </row>
        <row r="7352">
          <cell r="Z7352" t="str">
            <v>324500</v>
          </cell>
        </row>
        <row r="7353">
          <cell r="Z7353" t="str">
            <v>324501</v>
          </cell>
        </row>
        <row r="7354">
          <cell r="Z7354" t="str">
            <v>324502</v>
          </cell>
        </row>
        <row r="7355">
          <cell r="Z7355" t="str">
            <v>324503</v>
          </cell>
        </row>
        <row r="7356">
          <cell r="Z7356" t="str">
            <v>324504</v>
          </cell>
        </row>
        <row r="7357">
          <cell r="Z7357" t="str">
            <v>324509</v>
          </cell>
        </row>
        <row r="7358">
          <cell r="Z7358" t="str">
            <v>325000</v>
          </cell>
        </row>
        <row r="7359">
          <cell r="Z7359" t="str">
            <v>325100</v>
          </cell>
        </row>
        <row r="7360">
          <cell r="Z7360" t="str">
            <v>325110</v>
          </cell>
        </row>
        <row r="7361">
          <cell r="Z7361" t="str">
            <v>325111</v>
          </cell>
        </row>
        <row r="7362">
          <cell r="Z7362" t="str">
            <v>325112</v>
          </cell>
        </row>
        <row r="7363">
          <cell r="Z7363" t="str">
            <v>325113</v>
          </cell>
        </row>
        <row r="7364">
          <cell r="Z7364" t="str">
            <v>325114</v>
          </cell>
        </row>
        <row r="7365">
          <cell r="Z7365" t="str">
            <v>325119</v>
          </cell>
        </row>
        <row r="7366">
          <cell r="Z7366" t="str">
            <v>325120</v>
          </cell>
        </row>
        <row r="7367">
          <cell r="Z7367" t="str">
            <v>325121</v>
          </cell>
        </row>
        <row r="7368">
          <cell r="Z7368" t="str">
            <v>325122</v>
          </cell>
        </row>
        <row r="7369">
          <cell r="Z7369" t="str">
            <v>325123</v>
          </cell>
        </row>
        <row r="7370">
          <cell r="Z7370" t="str">
            <v>325124</v>
          </cell>
        </row>
        <row r="7371">
          <cell r="Z7371" t="str">
            <v>325129</v>
          </cell>
        </row>
        <row r="7372">
          <cell r="Z7372" t="str">
            <v>325200</v>
          </cell>
        </row>
        <row r="7373">
          <cell r="Z7373" t="str">
            <v>325210</v>
          </cell>
        </row>
        <row r="7374">
          <cell r="Z7374" t="str">
            <v>325211</v>
          </cell>
        </row>
        <row r="7375">
          <cell r="Z7375" t="str">
            <v>325212</v>
          </cell>
        </row>
        <row r="7376">
          <cell r="Z7376" t="str">
            <v>325213</v>
          </cell>
        </row>
        <row r="7377">
          <cell r="Z7377" t="str">
            <v>325214</v>
          </cell>
        </row>
        <row r="7378">
          <cell r="Z7378" t="str">
            <v>325219</v>
          </cell>
        </row>
        <row r="7379">
          <cell r="Z7379" t="str">
            <v>325220</v>
          </cell>
        </row>
        <row r="7380">
          <cell r="Z7380" t="str">
            <v>325221</v>
          </cell>
        </row>
        <row r="7381">
          <cell r="Z7381" t="str">
            <v>325222</v>
          </cell>
        </row>
        <row r="7382">
          <cell r="Z7382" t="str">
            <v>325223</v>
          </cell>
        </row>
        <row r="7383">
          <cell r="Z7383" t="str">
            <v>325224</v>
          </cell>
        </row>
        <row r="7384">
          <cell r="Z7384" t="str">
            <v>325229</v>
          </cell>
        </row>
        <row r="7385">
          <cell r="Z7385" t="str">
            <v>325300</v>
          </cell>
        </row>
        <row r="7386">
          <cell r="Z7386" t="str">
            <v>325301</v>
          </cell>
        </row>
        <row r="7387">
          <cell r="Z7387" t="str">
            <v>325302</v>
          </cell>
        </row>
        <row r="7388">
          <cell r="Z7388" t="str">
            <v>325303</v>
          </cell>
        </row>
        <row r="7389">
          <cell r="Z7389" t="str">
            <v>325304</v>
          </cell>
        </row>
        <row r="7390">
          <cell r="Z7390" t="str">
            <v>325309</v>
          </cell>
        </row>
        <row r="7391">
          <cell r="Z7391" t="str">
            <v>325400</v>
          </cell>
        </row>
        <row r="7392">
          <cell r="Z7392" t="str">
            <v>325401</v>
          </cell>
        </row>
        <row r="7393">
          <cell r="Z7393" t="str">
            <v>325402</v>
          </cell>
        </row>
        <row r="7394">
          <cell r="Z7394" t="str">
            <v>325403</v>
          </cell>
        </row>
        <row r="7395">
          <cell r="Z7395" t="str">
            <v>325404</v>
          </cell>
        </row>
        <row r="7396">
          <cell r="Z7396" t="str">
            <v>325409</v>
          </cell>
        </row>
        <row r="7397">
          <cell r="Z7397" t="str">
            <v>325500</v>
          </cell>
        </row>
        <row r="7398">
          <cell r="Z7398" t="str">
            <v>325501</v>
          </cell>
        </row>
        <row r="7399">
          <cell r="Z7399" t="str">
            <v>325502</v>
          </cell>
        </row>
        <row r="7400">
          <cell r="Z7400" t="str">
            <v>325503</v>
          </cell>
        </row>
        <row r="7401">
          <cell r="Z7401" t="str">
            <v>325504</v>
          </cell>
        </row>
        <row r="7402">
          <cell r="Z7402" t="str">
            <v>325509</v>
          </cell>
        </row>
        <row r="7403">
          <cell r="Z7403" t="str">
            <v>326000</v>
          </cell>
        </row>
        <row r="7404">
          <cell r="Z7404" t="str">
            <v>326100</v>
          </cell>
        </row>
        <row r="7405">
          <cell r="Z7405" t="str">
            <v>326110</v>
          </cell>
        </row>
        <row r="7406">
          <cell r="Z7406" t="str">
            <v>326111</v>
          </cell>
        </row>
        <row r="7407">
          <cell r="Z7407" t="str">
            <v>326112</v>
          </cell>
        </row>
        <row r="7408">
          <cell r="Z7408" t="str">
            <v>326113</v>
          </cell>
        </row>
        <row r="7409">
          <cell r="Z7409" t="str">
            <v>326114</v>
          </cell>
        </row>
        <row r="7410">
          <cell r="Z7410" t="str">
            <v>326119</v>
          </cell>
        </row>
        <row r="7411">
          <cell r="Z7411" t="str">
            <v>326120</v>
          </cell>
        </row>
        <row r="7412">
          <cell r="Z7412" t="str">
            <v>326121</v>
          </cell>
        </row>
        <row r="7413">
          <cell r="Z7413" t="str">
            <v>326122</v>
          </cell>
        </row>
        <row r="7414">
          <cell r="Z7414" t="str">
            <v>326123</v>
          </cell>
        </row>
        <row r="7415">
          <cell r="Z7415" t="str">
            <v>326124</v>
          </cell>
        </row>
        <row r="7416">
          <cell r="Z7416" t="str">
            <v>326129</v>
          </cell>
        </row>
        <row r="7417">
          <cell r="Z7417" t="str">
            <v>326200</v>
          </cell>
        </row>
        <row r="7418">
          <cell r="Z7418" t="str">
            <v>326210</v>
          </cell>
        </row>
        <row r="7419">
          <cell r="Z7419" t="str">
            <v>326211</v>
          </cell>
        </row>
        <row r="7420">
          <cell r="Z7420" t="str">
            <v>326212</v>
          </cell>
        </row>
        <row r="7421">
          <cell r="Z7421" t="str">
            <v>326213</v>
          </cell>
        </row>
        <row r="7422">
          <cell r="Z7422" t="str">
            <v>326214</v>
          </cell>
        </row>
        <row r="7423">
          <cell r="Z7423" t="str">
            <v>326219</v>
          </cell>
        </row>
        <row r="7424">
          <cell r="Z7424" t="str">
            <v>326220</v>
          </cell>
        </row>
        <row r="7425">
          <cell r="Z7425" t="str">
            <v>326221</v>
          </cell>
        </row>
        <row r="7426">
          <cell r="Z7426" t="str">
            <v>326222</v>
          </cell>
        </row>
        <row r="7427">
          <cell r="Z7427" t="str">
            <v>326223</v>
          </cell>
        </row>
        <row r="7428">
          <cell r="Z7428" t="str">
            <v>326224</v>
          </cell>
        </row>
        <row r="7429">
          <cell r="Z7429" t="str">
            <v>326229</v>
          </cell>
        </row>
        <row r="7430">
          <cell r="Z7430" t="str">
            <v>326300</v>
          </cell>
        </row>
        <row r="7431">
          <cell r="Z7431" t="str">
            <v>326301</v>
          </cell>
        </row>
        <row r="7432">
          <cell r="Z7432" t="str">
            <v>326302</v>
          </cell>
        </row>
        <row r="7433">
          <cell r="Z7433" t="str">
            <v>326303</v>
          </cell>
        </row>
        <row r="7434">
          <cell r="Z7434" t="str">
            <v>326304</v>
          </cell>
        </row>
        <row r="7435">
          <cell r="Z7435" t="str">
            <v>326309</v>
          </cell>
        </row>
        <row r="7436">
          <cell r="Z7436" t="str">
            <v>326400</v>
          </cell>
        </row>
        <row r="7437">
          <cell r="Z7437" t="str">
            <v>326401</v>
          </cell>
        </row>
        <row r="7438">
          <cell r="Z7438" t="str">
            <v>326402</v>
          </cell>
        </row>
        <row r="7439">
          <cell r="Z7439" t="str">
            <v>326403</v>
          </cell>
        </row>
        <row r="7440">
          <cell r="Z7440" t="str">
            <v>326404</v>
          </cell>
        </row>
        <row r="7441">
          <cell r="Z7441" t="str">
            <v>326409</v>
          </cell>
        </row>
        <row r="7442">
          <cell r="Z7442" t="str">
            <v>326500</v>
          </cell>
        </row>
        <row r="7443">
          <cell r="Z7443" t="str">
            <v>326501</v>
          </cell>
        </row>
        <row r="7444">
          <cell r="Z7444" t="str">
            <v>326502</v>
          </cell>
        </row>
        <row r="7445">
          <cell r="Z7445" t="str">
            <v>326503</v>
          </cell>
        </row>
        <row r="7446">
          <cell r="Z7446" t="str">
            <v>326504</v>
          </cell>
        </row>
        <row r="7447">
          <cell r="Z7447" t="str">
            <v>326509</v>
          </cell>
        </row>
        <row r="7448">
          <cell r="Z7448" t="str">
            <v>327000</v>
          </cell>
        </row>
        <row r="7449">
          <cell r="Z7449" t="str">
            <v>327100</v>
          </cell>
        </row>
        <row r="7450">
          <cell r="Z7450" t="str">
            <v>327110</v>
          </cell>
        </row>
        <row r="7451">
          <cell r="Z7451" t="str">
            <v>327111</v>
          </cell>
        </row>
        <row r="7452">
          <cell r="Z7452" t="str">
            <v>327112</v>
          </cell>
        </row>
        <row r="7453">
          <cell r="Z7453" t="str">
            <v>327113</v>
          </cell>
        </row>
        <row r="7454">
          <cell r="Z7454" t="str">
            <v>327114</v>
          </cell>
        </row>
        <row r="7455">
          <cell r="Z7455" t="str">
            <v>327119</v>
          </cell>
        </row>
        <row r="7456">
          <cell r="Z7456" t="str">
            <v>327120</v>
          </cell>
        </row>
        <row r="7457">
          <cell r="Z7457" t="str">
            <v>327121</v>
          </cell>
        </row>
        <row r="7458">
          <cell r="Z7458" t="str">
            <v>327122</v>
          </cell>
        </row>
        <row r="7459">
          <cell r="Z7459" t="str">
            <v>327123</v>
          </cell>
        </row>
        <row r="7460">
          <cell r="Z7460" t="str">
            <v>327124</v>
          </cell>
        </row>
        <row r="7461">
          <cell r="Z7461" t="str">
            <v>327129</v>
          </cell>
        </row>
        <row r="7462">
          <cell r="Z7462" t="str">
            <v>327200</v>
          </cell>
        </row>
        <row r="7463">
          <cell r="Z7463" t="str">
            <v>327210</v>
          </cell>
        </row>
        <row r="7464">
          <cell r="Z7464" t="str">
            <v>327211</v>
          </cell>
        </row>
        <row r="7465">
          <cell r="Z7465" t="str">
            <v>327212</v>
          </cell>
        </row>
        <row r="7466">
          <cell r="Z7466" t="str">
            <v>327213</v>
          </cell>
        </row>
        <row r="7467">
          <cell r="Z7467" t="str">
            <v>327214</v>
          </cell>
        </row>
        <row r="7468">
          <cell r="Z7468" t="str">
            <v>327219</v>
          </cell>
        </row>
        <row r="7469">
          <cell r="Z7469" t="str">
            <v>327220</v>
          </cell>
        </row>
        <row r="7470">
          <cell r="Z7470" t="str">
            <v>327221</v>
          </cell>
        </row>
        <row r="7471">
          <cell r="Z7471" t="str">
            <v>327222</v>
          </cell>
        </row>
        <row r="7472">
          <cell r="Z7472" t="str">
            <v>327223</v>
          </cell>
        </row>
        <row r="7473">
          <cell r="Z7473" t="str">
            <v>327224</v>
          </cell>
        </row>
        <row r="7474">
          <cell r="Z7474" t="str">
            <v>327229</v>
          </cell>
        </row>
        <row r="7475">
          <cell r="Z7475" t="str">
            <v>327300</v>
          </cell>
        </row>
        <row r="7476">
          <cell r="Z7476" t="str">
            <v>327301</v>
          </cell>
        </row>
        <row r="7477">
          <cell r="Z7477" t="str">
            <v>327302</v>
          </cell>
        </row>
        <row r="7478">
          <cell r="Z7478" t="str">
            <v>327303</v>
          </cell>
        </row>
        <row r="7479">
          <cell r="Z7479" t="str">
            <v>327304</v>
          </cell>
        </row>
        <row r="7480">
          <cell r="Z7480" t="str">
            <v>327309</v>
          </cell>
        </row>
        <row r="7481">
          <cell r="Z7481" t="str">
            <v>327400</v>
          </cell>
        </row>
        <row r="7482">
          <cell r="Z7482" t="str">
            <v>327401</v>
          </cell>
        </row>
        <row r="7483">
          <cell r="Z7483" t="str">
            <v>327402</v>
          </cell>
        </row>
        <row r="7484">
          <cell r="Z7484" t="str">
            <v>327403</v>
          </cell>
        </row>
        <row r="7485">
          <cell r="Z7485" t="str">
            <v>327404</v>
          </cell>
        </row>
        <row r="7486">
          <cell r="Z7486" t="str">
            <v>327409</v>
          </cell>
        </row>
        <row r="7487">
          <cell r="Z7487" t="str">
            <v>327500</v>
          </cell>
        </row>
        <row r="7488">
          <cell r="Z7488" t="str">
            <v>327501</v>
          </cell>
        </row>
        <row r="7489">
          <cell r="Z7489" t="str">
            <v>327502</v>
          </cell>
        </row>
        <row r="7490">
          <cell r="Z7490" t="str">
            <v>327503</v>
          </cell>
        </row>
        <row r="7491">
          <cell r="Z7491" t="str">
            <v>327504</v>
          </cell>
        </row>
        <row r="7492">
          <cell r="Z7492" t="str">
            <v>327509</v>
          </cell>
        </row>
        <row r="7493">
          <cell r="Z7493" t="str">
            <v>328000</v>
          </cell>
        </row>
        <row r="7494">
          <cell r="Z7494" t="str">
            <v>328100</v>
          </cell>
        </row>
        <row r="7495">
          <cell r="Z7495" t="str">
            <v>328110</v>
          </cell>
        </row>
        <row r="7496">
          <cell r="Z7496" t="str">
            <v>328111</v>
          </cell>
        </row>
        <row r="7497">
          <cell r="Z7497" t="str">
            <v>328112</v>
          </cell>
        </row>
        <row r="7498">
          <cell r="Z7498" t="str">
            <v>328113</v>
          </cell>
        </row>
        <row r="7499">
          <cell r="Z7499" t="str">
            <v>328114</v>
          </cell>
        </row>
        <row r="7500">
          <cell r="Z7500" t="str">
            <v>328119</v>
          </cell>
        </row>
        <row r="7501">
          <cell r="Z7501" t="str">
            <v>328120</v>
          </cell>
        </row>
        <row r="7502">
          <cell r="Z7502" t="str">
            <v>328121</v>
          </cell>
        </row>
        <row r="7503">
          <cell r="Z7503" t="str">
            <v>328122</v>
          </cell>
        </row>
        <row r="7504">
          <cell r="Z7504" t="str">
            <v>328123</v>
          </cell>
        </row>
        <row r="7505">
          <cell r="Z7505" t="str">
            <v>328124</v>
          </cell>
        </row>
        <row r="7506">
          <cell r="Z7506" t="str">
            <v>328129</v>
          </cell>
        </row>
        <row r="7507">
          <cell r="Z7507" t="str">
            <v>328130</v>
          </cell>
        </row>
        <row r="7508">
          <cell r="Z7508" t="str">
            <v>328131</v>
          </cell>
        </row>
        <row r="7509">
          <cell r="Z7509" t="str">
            <v>328132</v>
          </cell>
        </row>
        <row r="7510">
          <cell r="Z7510" t="str">
            <v>328133</v>
          </cell>
        </row>
        <row r="7511">
          <cell r="Z7511" t="str">
            <v>328134</v>
          </cell>
        </row>
        <row r="7512">
          <cell r="Z7512" t="str">
            <v>328139</v>
          </cell>
        </row>
        <row r="7513">
          <cell r="Z7513" t="str">
            <v>328140</v>
          </cell>
        </row>
        <row r="7514">
          <cell r="Z7514" t="str">
            <v>328141</v>
          </cell>
        </row>
        <row r="7515">
          <cell r="Z7515" t="str">
            <v>328142</v>
          </cell>
        </row>
        <row r="7516">
          <cell r="Z7516" t="str">
            <v>328143</v>
          </cell>
        </row>
        <row r="7517">
          <cell r="Z7517" t="str">
            <v>328144</v>
          </cell>
        </row>
        <row r="7518">
          <cell r="Z7518" t="str">
            <v>328149</v>
          </cell>
        </row>
        <row r="7519">
          <cell r="Z7519" t="str">
            <v>328200</v>
          </cell>
        </row>
        <row r="7520">
          <cell r="Z7520" t="str">
            <v>328210</v>
          </cell>
        </row>
        <row r="7521">
          <cell r="Z7521" t="str">
            <v>328211</v>
          </cell>
        </row>
        <row r="7522">
          <cell r="Z7522" t="str">
            <v>328212</v>
          </cell>
        </row>
        <row r="7523">
          <cell r="Z7523" t="str">
            <v>328213</v>
          </cell>
        </row>
        <row r="7524">
          <cell r="Z7524" t="str">
            <v>328214</v>
          </cell>
        </row>
        <row r="7525">
          <cell r="Z7525" t="str">
            <v>328219</v>
          </cell>
        </row>
        <row r="7526">
          <cell r="Z7526" t="str">
            <v>328220</v>
          </cell>
        </row>
        <row r="7527">
          <cell r="Z7527" t="str">
            <v>328221</v>
          </cell>
        </row>
        <row r="7528">
          <cell r="Z7528" t="str">
            <v>328222</v>
          </cell>
        </row>
        <row r="7529">
          <cell r="Z7529" t="str">
            <v>328223</v>
          </cell>
        </row>
        <row r="7530">
          <cell r="Z7530" t="str">
            <v>328224</v>
          </cell>
        </row>
        <row r="7531">
          <cell r="Z7531" t="str">
            <v>328229</v>
          </cell>
        </row>
        <row r="7532">
          <cell r="Z7532" t="str">
            <v>328230</v>
          </cell>
        </row>
        <row r="7533">
          <cell r="Z7533" t="str">
            <v>328231</v>
          </cell>
        </row>
        <row r="7534">
          <cell r="Z7534" t="str">
            <v>328232</v>
          </cell>
        </row>
        <row r="7535">
          <cell r="Z7535" t="str">
            <v>328233</v>
          </cell>
        </row>
        <row r="7536">
          <cell r="Z7536" t="str">
            <v>328234</v>
          </cell>
        </row>
        <row r="7537">
          <cell r="Z7537" t="str">
            <v>328239</v>
          </cell>
        </row>
        <row r="7538">
          <cell r="Z7538" t="str">
            <v>328240</v>
          </cell>
        </row>
        <row r="7539">
          <cell r="Z7539" t="str">
            <v>328241</v>
          </cell>
        </row>
        <row r="7540">
          <cell r="Z7540" t="str">
            <v>328242</v>
          </cell>
        </row>
        <row r="7541">
          <cell r="Z7541" t="str">
            <v>328243</v>
          </cell>
        </row>
        <row r="7542">
          <cell r="Z7542" t="str">
            <v>328244</v>
          </cell>
        </row>
        <row r="7543">
          <cell r="Z7543" t="str">
            <v>328249</v>
          </cell>
        </row>
        <row r="7544">
          <cell r="Z7544" t="str">
            <v>328300</v>
          </cell>
        </row>
        <row r="7545">
          <cell r="Z7545" t="str">
            <v>328310</v>
          </cell>
        </row>
        <row r="7546">
          <cell r="Z7546" t="str">
            <v>328311</v>
          </cell>
        </row>
        <row r="7547">
          <cell r="Z7547" t="str">
            <v>328312</v>
          </cell>
        </row>
        <row r="7548">
          <cell r="Z7548" t="str">
            <v>328313</v>
          </cell>
        </row>
        <row r="7549">
          <cell r="Z7549" t="str">
            <v>328314</v>
          </cell>
        </row>
        <row r="7550">
          <cell r="Z7550" t="str">
            <v>328319</v>
          </cell>
        </row>
        <row r="7551">
          <cell r="Z7551" t="str">
            <v>328320</v>
          </cell>
        </row>
        <row r="7552">
          <cell r="Z7552" t="str">
            <v>328321</v>
          </cell>
        </row>
        <row r="7553">
          <cell r="Z7553" t="str">
            <v>328322</v>
          </cell>
        </row>
        <row r="7554">
          <cell r="Z7554" t="str">
            <v>328323</v>
          </cell>
        </row>
        <row r="7555">
          <cell r="Z7555" t="str">
            <v>328324</v>
          </cell>
        </row>
        <row r="7556">
          <cell r="Z7556" t="str">
            <v>328329</v>
          </cell>
        </row>
        <row r="7557">
          <cell r="Z7557" t="str">
            <v>328400</v>
          </cell>
        </row>
        <row r="7558">
          <cell r="Z7558" t="str">
            <v>328410</v>
          </cell>
        </row>
        <row r="7559">
          <cell r="Z7559" t="str">
            <v>328411</v>
          </cell>
        </row>
        <row r="7560">
          <cell r="Z7560" t="str">
            <v>328412</v>
          </cell>
        </row>
        <row r="7561">
          <cell r="Z7561" t="str">
            <v>328413</v>
          </cell>
        </row>
        <row r="7562">
          <cell r="Z7562" t="str">
            <v>328414</v>
          </cell>
        </row>
        <row r="7563">
          <cell r="Z7563" t="str">
            <v>328419</v>
          </cell>
        </row>
        <row r="7564">
          <cell r="Z7564" t="str">
            <v>328420</v>
          </cell>
        </row>
        <row r="7565">
          <cell r="Z7565" t="str">
            <v>328421</v>
          </cell>
        </row>
        <row r="7566">
          <cell r="Z7566" t="str">
            <v>328422</v>
          </cell>
        </row>
        <row r="7567">
          <cell r="Z7567" t="str">
            <v>328423</v>
          </cell>
        </row>
        <row r="7568">
          <cell r="Z7568" t="str">
            <v>328424</v>
          </cell>
        </row>
        <row r="7569">
          <cell r="Z7569" t="str">
            <v>328429</v>
          </cell>
        </row>
        <row r="7570">
          <cell r="Z7570" t="str">
            <v>328500</v>
          </cell>
        </row>
        <row r="7571">
          <cell r="Z7571" t="str">
            <v>328510</v>
          </cell>
        </row>
        <row r="7572">
          <cell r="Z7572" t="str">
            <v>328511</v>
          </cell>
        </row>
        <row r="7573">
          <cell r="Z7573" t="str">
            <v>328512</v>
          </cell>
        </row>
        <row r="7574">
          <cell r="Z7574" t="str">
            <v>328513</v>
          </cell>
        </row>
        <row r="7575">
          <cell r="Z7575" t="str">
            <v>328514</v>
          </cell>
        </row>
        <row r="7576">
          <cell r="Z7576" t="str">
            <v>328519</v>
          </cell>
        </row>
        <row r="7577">
          <cell r="Z7577" t="str">
            <v>328520</v>
          </cell>
        </row>
        <row r="7578">
          <cell r="Z7578" t="str">
            <v>328521</v>
          </cell>
        </row>
        <row r="7579">
          <cell r="Z7579" t="str">
            <v>328522</v>
          </cell>
        </row>
        <row r="7580">
          <cell r="Z7580" t="str">
            <v>328523</v>
          </cell>
        </row>
        <row r="7581">
          <cell r="Z7581" t="str">
            <v>328524</v>
          </cell>
        </row>
        <row r="7582">
          <cell r="Z7582" t="str">
            <v>328529</v>
          </cell>
        </row>
        <row r="7583">
          <cell r="Z7583" t="str">
            <v>330000</v>
          </cell>
        </row>
        <row r="7584">
          <cell r="Z7584" t="str">
            <v>331000</v>
          </cell>
        </row>
        <row r="7585">
          <cell r="Z7585" t="str">
            <v>331100</v>
          </cell>
        </row>
        <row r="7586">
          <cell r="Z7586" t="str">
            <v>331110</v>
          </cell>
        </row>
        <row r="7587">
          <cell r="Z7587" t="str">
            <v>331111</v>
          </cell>
        </row>
        <row r="7588">
          <cell r="Z7588" t="str">
            <v>331112</v>
          </cell>
        </row>
        <row r="7589">
          <cell r="Z7589" t="str">
            <v>331113</v>
          </cell>
        </row>
        <row r="7590">
          <cell r="Z7590" t="str">
            <v>331114</v>
          </cell>
        </row>
        <row r="7591">
          <cell r="Z7591" t="str">
            <v>331119</v>
          </cell>
        </row>
        <row r="7592">
          <cell r="Z7592" t="str">
            <v>331120</v>
          </cell>
        </row>
        <row r="7593">
          <cell r="Z7593" t="str">
            <v>331121</v>
          </cell>
        </row>
        <row r="7594">
          <cell r="Z7594" t="str">
            <v>331122</v>
          </cell>
        </row>
        <row r="7595">
          <cell r="Z7595" t="str">
            <v>331123</v>
          </cell>
        </row>
        <row r="7596">
          <cell r="Z7596" t="str">
            <v>331124</v>
          </cell>
        </row>
        <row r="7597">
          <cell r="Z7597" t="str">
            <v>331129</v>
          </cell>
        </row>
        <row r="7598">
          <cell r="Z7598" t="str">
            <v>331130</v>
          </cell>
        </row>
        <row r="7599">
          <cell r="Z7599" t="str">
            <v>331131</v>
          </cell>
        </row>
        <row r="7600">
          <cell r="Z7600" t="str">
            <v>331132</v>
          </cell>
        </row>
        <row r="7601">
          <cell r="Z7601" t="str">
            <v>331133</v>
          </cell>
        </row>
        <row r="7602">
          <cell r="Z7602" t="str">
            <v>331134</v>
          </cell>
        </row>
        <row r="7603">
          <cell r="Z7603" t="str">
            <v>331139</v>
          </cell>
        </row>
        <row r="7604">
          <cell r="Z7604" t="str">
            <v>331140</v>
          </cell>
        </row>
        <row r="7605">
          <cell r="Z7605" t="str">
            <v>331141</v>
          </cell>
        </row>
        <row r="7606">
          <cell r="Z7606" t="str">
            <v>331142</v>
          </cell>
        </row>
        <row r="7607">
          <cell r="Z7607" t="str">
            <v>331143</v>
          </cell>
        </row>
        <row r="7608">
          <cell r="Z7608" t="str">
            <v>331144</v>
          </cell>
        </row>
        <row r="7609">
          <cell r="Z7609" t="str">
            <v>331149</v>
          </cell>
        </row>
        <row r="7610">
          <cell r="Z7610" t="str">
            <v>331200</v>
          </cell>
        </row>
        <row r="7611">
          <cell r="Z7611" t="str">
            <v>331210</v>
          </cell>
        </row>
        <row r="7612">
          <cell r="Z7612" t="str">
            <v>331211</v>
          </cell>
        </row>
        <row r="7613">
          <cell r="Z7613" t="str">
            <v>331212</v>
          </cell>
        </row>
        <row r="7614">
          <cell r="Z7614" t="str">
            <v>331213</v>
          </cell>
        </row>
        <row r="7615">
          <cell r="Z7615" t="str">
            <v>331214</v>
          </cell>
        </row>
        <row r="7616">
          <cell r="Z7616" t="str">
            <v>331219</v>
          </cell>
        </row>
        <row r="7617">
          <cell r="Z7617" t="str">
            <v>331220</v>
          </cell>
        </row>
        <row r="7618">
          <cell r="Z7618" t="str">
            <v>331221</v>
          </cell>
        </row>
        <row r="7619">
          <cell r="Z7619" t="str">
            <v>331222</v>
          </cell>
        </row>
        <row r="7620">
          <cell r="Z7620" t="str">
            <v>331223</v>
          </cell>
        </row>
        <row r="7621">
          <cell r="Z7621" t="str">
            <v>331224</v>
          </cell>
        </row>
        <row r="7622">
          <cell r="Z7622" t="str">
            <v>331229</v>
          </cell>
        </row>
        <row r="7623">
          <cell r="Z7623" t="str">
            <v>331230</v>
          </cell>
        </row>
        <row r="7624">
          <cell r="Z7624" t="str">
            <v>331231</v>
          </cell>
        </row>
        <row r="7625">
          <cell r="Z7625" t="str">
            <v>331232</v>
          </cell>
        </row>
        <row r="7626">
          <cell r="Z7626" t="str">
            <v>331233</v>
          </cell>
        </row>
        <row r="7627">
          <cell r="Z7627" t="str">
            <v>331234</v>
          </cell>
        </row>
        <row r="7628">
          <cell r="Z7628" t="str">
            <v>331239</v>
          </cell>
        </row>
        <row r="7629">
          <cell r="Z7629" t="str">
            <v>331240</v>
          </cell>
        </row>
        <row r="7630">
          <cell r="Z7630" t="str">
            <v>331241</v>
          </cell>
        </row>
        <row r="7631">
          <cell r="Z7631" t="str">
            <v>331242</v>
          </cell>
        </row>
        <row r="7632">
          <cell r="Z7632" t="str">
            <v>331243</v>
          </cell>
        </row>
        <row r="7633">
          <cell r="Z7633" t="str">
            <v>331244</v>
          </cell>
        </row>
        <row r="7634">
          <cell r="Z7634" t="str">
            <v>331249</v>
          </cell>
        </row>
        <row r="7635">
          <cell r="Z7635" t="str">
            <v>332000</v>
          </cell>
        </row>
        <row r="7636">
          <cell r="Z7636" t="str">
            <v>332100</v>
          </cell>
        </row>
        <row r="7637">
          <cell r="Z7637" t="str">
            <v>332110</v>
          </cell>
        </row>
        <row r="7638">
          <cell r="Z7638" t="str">
            <v>332111</v>
          </cell>
        </row>
        <row r="7639">
          <cell r="Z7639" t="str">
            <v>332112</v>
          </cell>
        </row>
        <row r="7640">
          <cell r="Z7640" t="str">
            <v>332113</v>
          </cell>
        </row>
        <row r="7641">
          <cell r="Z7641" t="str">
            <v>332114</v>
          </cell>
        </row>
        <row r="7642">
          <cell r="Z7642" t="str">
            <v>332119</v>
          </cell>
        </row>
        <row r="7643">
          <cell r="Z7643" t="str">
            <v>332120</v>
          </cell>
        </row>
        <row r="7644">
          <cell r="Z7644" t="str">
            <v>332121</v>
          </cell>
        </row>
        <row r="7645">
          <cell r="Z7645" t="str">
            <v>332122</v>
          </cell>
        </row>
        <row r="7646">
          <cell r="Z7646" t="str">
            <v>332123</v>
          </cell>
        </row>
        <row r="7647">
          <cell r="Z7647" t="str">
            <v>332124</v>
          </cell>
        </row>
        <row r="7648">
          <cell r="Z7648" t="str">
            <v>332129</v>
          </cell>
        </row>
        <row r="7649">
          <cell r="Z7649" t="str">
            <v>332200</v>
          </cell>
        </row>
        <row r="7650">
          <cell r="Z7650" t="str">
            <v>332210</v>
          </cell>
        </row>
        <row r="7651">
          <cell r="Z7651" t="str">
            <v>332211</v>
          </cell>
        </row>
        <row r="7652">
          <cell r="Z7652" t="str">
            <v>332212</v>
          </cell>
        </row>
        <row r="7653">
          <cell r="Z7653" t="str">
            <v>332213</v>
          </cell>
        </row>
        <row r="7654">
          <cell r="Z7654" t="str">
            <v>332214</v>
          </cell>
        </row>
        <row r="7655">
          <cell r="Z7655" t="str">
            <v>332219</v>
          </cell>
        </row>
        <row r="7656">
          <cell r="Z7656" t="str">
            <v>332220</v>
          </cell>
        </row>
        <row r="7657">
          <cell r="Z7657" t="str">
            <v>332220</v>
          </cell>
        </row>
        <row r="7658">
          <cell r="Z7658" t="str">
            <v>332222</v>
          </cell>
        </row>
        <row r="7659">
          <cell r="Z7659" t="str">
            <v>332223</v>
          </cell>
        </row>
        <row r="7660">
          <cell r="Z7660" t="str">
            <v>332224</v>
          </cell>
        </row>
        <row r="7661">
          <cell r="Z7661" t="str">
            <v>332229</v>
          </cell>
        </row>
        <row r="7662">
          <cell r="Z7662" t="str">
            <v>332300</v>
          </cell>
        </row>
        <row r="7663">
          <cell r="Z7663" t="str">
            <v>332310</v>
          </cell>
        </row>
        <row r="7664">
          <cell r="Z7664" t="str">
            <v>332311</v>
          </cell>
        </row>
        <row r="7665">
          <cell r="Z7665" t="str">
            <v>332312</v>
          </cell>
        </row>
        <row r="7666">
          <cell r="Z7666" t="str">
            <v>332313</v>
          </cell>
        </row>
        <row r="7667">
          <cell r="Z7667" t="str">
            <v>332314</v>
          </cell>
        </row>
        <row r="7668">
          <cell r="Z7668" t="str">
            <v>332319</v>
          </cell>
        </row>
        <row r="7669">
          <cell r="Z7669" t="str">
            <v>332320</v>
          </cell>
        </row>
        <row r="7670">
          <cell r="Z7670" t="str">
            <v>332321</v>
          </cell>
        </row>
        <row r="7671">
          <cell r="Z7671" t="str">
            <v>332322</v>
          </cell>
        </row>
        <row r="7672">
          <cell r="Z7672" t="str">
            <v>332323</v>
          </cell>
        </row>
        <row r="7673">
          <cell r="Z7673" t="str">
            <v>332324</v>
          </cell>
        </row>
        <row r="7674">
          <cell r="Z7674" t="str">
            <v>332329</v>
          </cell>
        </row>
        <row r="7675">
          <cell r="Z7675" t="str">
            <v>332400</v>
          </cell>
        </row>
        <row r="7676">
          <cell r="Z7676" t="str">
            <v>332410</v>
          </cell>
        </row>
        <row r="7677">
          <cell r="Z7677" t="str">
            <v>332411</v>
          </cell>
        </row>
        <row r="7678">
          <cell r="Z7678" t="str">
            <v>332412</v>
          </cell>
        </row>
        <row r="7679">
          <cell r="Z7679" t="str">
            <v>332413</v>
          </cell>
        </row>
        <row r="7680">
          <cell r="Z7680" t="str">
            <v>332414</v>
          </cell>
        </row>
        <row r="7681">
          <cell r="Z7681" t="str">
            <v>332419</v>
          </cell>
        </row>
        <row r="7682">
          <cell r="Z7682" t="str">
            <v>332420</v>
          </cell>
        </row>
        <row r="7683">
          <cell r="Z7683" t="str">
            <v>332421</v>
          </cell>
        </row>
        <row r="7684">
          <cell r="Z7684" t="str">
            <v>332422</v>
          </cell>
        </row>
        <row r="7685">
          <cell r="Z7685" t="str">
            <v>332423</v>
          </cell>
        </row>
        <row r="7686">
          <cell r="Z7686" t="str">
            <v>332424</v>
          </cell>
        </row>
        <row r="7687">
          <cell r="Z7687" t="str">
            <v>332429</v>
          </cell>
        </row>
        <row r="7688">
          <cell r="Z7688" t="str">
            <v>332500</v>
          </cell>
        </row>
        <row r="7689">
          <cell r="Z7689" t="str">
            <v>332510</v>
          </cell>
        </row>
        <row r="7690">
          <cell r="Z7690" t="str">
            <v>332511</v>
          </cell>
        </row>
        <row r="7691">
          <cell r="Z7691" t="str">
            <v>332512</v>
          </cell>
        </row>
        <row r="7692">
          <cell r="Z7692" t="str">
            <v>332513</v>
          </cell>
        </row>
        <row r="7693">
          <cell r="Z7693" t="str">
            <v>332514</v>
          </cell>
        </row>
        <row r="7694">
          <cell r="Z7694" t="str">
            <v>332519</v>
          </cell>
        </row>
        <row r="7695">
          <cell r="Z7695" t="str">
            <v>332520</v>
          </cell>
        </row>
        <row r="7696">
          <cell r="Z7696" t="str">
            <v>332521</v>
          </cell>
        </row>
        <row r="7697">
          <cell r="Z7697" t="str">
            <v>332522</v>
          </cell>
        </row>
        <row r="7698">
          <cell r="Z7698" t="str">
            <v>332523</v>
          </cell>
        </row>
        <row r="7699">
          <cell r="Z7699" t="str">
            <v>332524</v>
          </cell>
        </row>
        <row r="7700">
          <cell r="Z7700" t="str">
            <v>332529</v>
          </cell>
        </row>
        <row r="7701">
          <cell r="Z7701" t="str">
            <v>332530</v>
          </cell>
        </row>
        <row r="7702">
          <cell r="Z7702" t="str">
            <v>332531</v>
          </cell>
        </row>
        <row r="7703">
          <cell r="Z7703" t="str">
            <v>332532</v>
          </cell>
        </row>
        <row r="7704">
          <cell r="Z7704" t="str">
            <v>332533</v>
          </cell>
        </row>
        <row r="7705">
          <cell r="Z7705" t="str">
            <v>332534</v>
          </cell>
        </row>
        <row r="7706">
          <cell r="Z7706" t="str">
            <v>332539</v>
          </cell>
        </row>
        <row r="7707">
          <cell r="Z7707" t="str">
            <v>332540</v>
          </cell>
        </row>
        <row r="7708">
          <cell r="Z7708" t="str">
            <v>332541</v>
          </cell>
        </row>
        <row r="7709">
          <cell r="Z7709" t="str">
            <v>332542</v>
          </cell>
        </row>
        <row r="7710">
          <cell r="Z7710" t="str">
            <v>332543</v>
          </cell>
        </row>
        <row r="7711">
          <cell r="Z7711" t="str">
            <v>332544</v>
          </cell>
        </row>
        <row r="7712">
          <cell r="Z7712" t="str">
            <v>332549</v>
          </cell>
        </row>
        <row r="7713">
          <cell r="Z7713" t="str">
            <v>332600</v>
          </cell>
        </row>
        <row r="7714">
          <cell r="Z7714" t="str">
            <v>332610</v>
          </cell>
        </row>
        <row r="7715">
          <cell r="Z7715" t="str">
            <v>332611</v>
          </cell>
        </row>
        <row r="7716">
          <cell r="Z7716" t="str">
            <v>332612</v>
          </cell>
        </row>
        <row r="7717">
          <cell r="Z7717" t="str">
            <v>332613</v>
          </cell>
        </row>
        <row r="7718">
          <cell r="Z7718" t="str">
            <v>332614</v>
          </cell>
        </row>
        <row r="7719">
          <cell r="Z7719" t="str">
            <v>332619</v>
          </cell>
        </row>
        <row r="7720">
          <cell r="Z7720" t="str">
            <v>332620</v>
          </cell>
        </row>
        <row r="7721">
          <cell r="Z7721" t="str">
            <v>332621</v>
          </cell>
        </row>
        <row r="7722">
          <cell r="Z7722" t="str">
            <v>332622</v>
          </cell>
        </row>
        <row r="7723">
          <cell r="Z7723" t="str">
            <v>332623</v>
          </cell>
        </row>
        <row r="7724">
          <cell r="Z7724" t="str">
            <v>332624</v>
          </cell>
        </row>
        <row r="7725">
          <cell r="Z7725" t="str">
            <v>332629</v>
          </cell>
        </row>
        <row r="7726">
          <cell r="Z7726" t="str">
            <v>332700</v>
          </cell>
        </row>
        <row r="7727">
          <cell r="Z7727" t="str">
            <v>332710</v>
          </cell>
        </row>
        <row r="7728">
          <cell r="Z7728" t="str">
            <v>332711</v>
          </cell>
        </row>
        <row r="7729">
          <cell r="Z7729" t="str">
            <v>332712</v>
          </cell>
        </row>
        <row r="7730">
          <cell r="Z7730" t="str">
            <v>332713</v>
          </cell>
        </row>
        <row r="7731">
          <cell r="Z7731" t="str">
            <v>332714</v>
          </cell>
        </row>
        <row r="7732">
          <cell r="Z7732" t="str">
            <v>332719</v>
          </cell>
        </row>
        <row r="7733">
          <cell r="Z7733" t="str">
            <v>332720</v>
          </cell>
        </row>
        <row r="7734">
          <cell r="Z7734" t="str">
            <v>332721</v>
          </cell>
        </row>
        <row r="7735">
          <cell r="Z7735" t="str">
            <v>332722</v>
          </cell>
        </row>
        <row r="7736">
          <cell r="Z7736" t="str">
            <v>332723</v>
          </cell>
        </row>
        <row r="7737">
          <cell r="Z7737" t="str">
            <v>332724</v>
          </cell>
        </row>
        <row r="7738">
          <cell r="Z7738" t="str">
            <v>332729</v>
          </cell>
        </row>
        <row r="7739">
          <cell r="Z7739" t="str">
            <v>332730</v>
          </cell>
        </row>
        <row r="7740">
          <cell r="Z7740" t="str">
            <v>332731</v>
          </cell>
        </row>
        <row r="7741">
          <cell r="Z7741" t="str">
            <v>332732</v>
          </cell>
        </row>
        <row r="7742">
          <cell r="Z7742" t="str">
            <v>332733</v>
          </cell>
        </row>
        <row r="7743">
          <cell r="Z7743" t="str">
            <v>332734</v>
          </cell>
        </row>
        <row r="7744">
          <cell r="Z7744" t="str">
            <v>332739</v>
          </cell>
        </row>
        <row r="7745">
          <cell r="Z7745" t="str">
            <v>332740</v>
          </cell>
        </row>
        <row r="7746">
          <cell r="Z7746" t="str">
            <v>332741</v>
          </cell>
        </row>
        <row r="7747">
          <cell r="Z7747" t="str">
            <v>332742</v>
          </cell>
        </row>
        <row r="7748">
          <cell r="Z7748" t="str">
            <v>332743</v>
          </cell>
        </row>
        <row r="7749">
          <cell r="Z7749" t="str">
            <v>332744</v>
          </cell>
        </row>
        <row r="7750">
          <cell r="Z7750" t="str">
            <v>332749</v>
          </cell>
        </row>
        <row r="7751">
          <cell r="Z7751" t="str">
            <v>332800</v>
          </cell>
        </row>
        <row r="7752">
          <cell r="Z7752" t="str">
            <v>332801</v>
          </cell>
        </row>
        <row r="7753">
          <cell r="Z7753" t="str">
            <v>332802</v>
          </cell>
        </row>
        <row r="7754">
          <cell r="Z7754" t="str">
            <v>332803</v>
          </cell>
        </row>
        <row r="7755">
          <cell r="Z7755" t="str">
            <v>332804</v>
          </cell>
        </row>
        <row r="7756">
          <cell r="Z7756" t="str">
            <v>332809</v>
          </cell>
        </row>
        <row r="7757">
          <cell r="Z7757" t="str">
            <v>333000</v>
          </cell>
        </row>
        <row r="7758">
          <cell r="Z7758" t="str">
            <v>333100</v>
          </cell>
        </row>
        <row r="7759">
          <cell r="Z7759" t="str">
            <v>333110</v>
          </cell>
        </row>
        <row r="7760">
          <cell r="Z7760" t="str">
            <v>333111</v>
          </cell>
        </row>
        <row r="7761">
          <cell r="Z7761" t="str">
            <v>333112</v>
          </cell>
        </row>
        <row r="7762">
          <cell r="Z7762" t="str">
            <v>333113</v>
          </cell>
        </row>
        <row r="7763">
          <cell r="Z7763" t="str">
            <v>333114</v>
          </cell>
        </row>
        <row r="7764">
          <cell r="Z7764" t="str">
            <v>333119</v>
          </cell>
        </row>
        <row r="7765">
          <cell r="Z7765" t="str">
            <v>333120</v>
          </cell>
        </row>
        <row r="7766">
          <cell r="Z7766" t="str">
            <v>333121</v>
          </cell>
        </row>
        <row r="7767">
          <cell r="Z7767" t="str">
            <v>333122</v>
          </cell>
        </row>
        <row r="7768">
          <cell r="Z7768" t="str">
            <v>333123</v>
          </cell>
        </row>
        <row r="7769">
          <cell r="Z7769" t="str">
            <v>333124</v>
          </cell>
        </row>
        <row r="7770">
          <cell r="Z7770" t="str">
            <v>333129</v>
          </cell>
        </row>
        <row r="7771">
          <cell r="Z7771" t="str">
            <v>333200</v>
          </cell>
        </row>
        <row r="7772">
          <cell r="Z7772" t="str">
            <v>333210</v>
          </cell>
        </row>
        <row r="7773">
          <cell r="Z7773" t="str">
            <v>333211</v>
          </cell>
        </row>
        <row r="7774">
          <cell r="Z7774" t="str">
            <v>333212</v>
          </cell>
        </row>
        <row r="7775">
          <cell r="Z7775" t="str">
            <v>333213</v>
          </cell>
        </row>
        <row r="7776">
          <cell r="Z7776" t="str">
            <v>333214</v>
          </cell>
        </row>
        <row r="7777">
          <cell r="Z7777" t="str">
            <v>333219</v>
          </cell>
        </row>
        <row r="7778">
          <cell r="Z7778" t="str">
            <v>333220</v>
          </cell>
        </row>
        <row r="7779">
          <cell r="Z7779" t="str">
            <v>333221</v>
          </cell>
        </row>
        <row r="7780">
          <cell r="Z7780" t="str">
            <v>333222</v>
          </cell>
        </row>
        <row r="7781">
          <cell r="Z7781" t="str">
            <v>333223</v>
          </cell>
        </row>
        <row r="7782">
          <cell r="Z7782" t="str">
            <v>333224</v>
          </cell>
        </row>
        <row r="7783">
          <cell r="Z7783" t="str">
            <v>333229</v>
          </cell>
        </row>
        <row r="7784">
          <cell r="Z7784" t="str">
            <v>333300</v>
          </cell>
        </row>
        <row r="7785">
          <cell r="Z7785" t="str">
            <v>333310</v>
          </cell>
        </row>
        <row r="7786">
          <cell r="Z7786" t="str">
            <v>333311</v>
          </cell>
        </row>
        <row r="7787">
          <cell r="Z7787" t="str">
            <v>333312</v>
          </cell>
        </row>
        <row r="7788">
          <cell r="Z7788" t="str">
            <v>333313</v>
          </cell>
        </row>
        <row r="7789">
          <cell r="Z7789" t="str">
            <v>333314</v>
          </cell>
        </row>
        <row r="7790">
          <cell r="Z7790" t="str">
            <v>333319</v>
          </cell>
        </row>
        <row r="7791">
          <cell r="Z7791" t="str">
            <v>333320</v>
          </cell>
        </row>
        <row r="7792">
          <cell r="Z7792" t="str">
            <v>333321</v>
          </cell>
        </row>
        <row r="7793">
          <cell r="Z7793" t="str">
            <v>333322</v>
          </cell>
        </row>
        <row r="7794">
          <cell r="Z7794" t="str">
            <v>333323</v>
          </cell>
        </row>
        <row r="7795">
          <cell r="Z7795" t="str">
            <v>333324</v>
          </cell>
        </row>
        <row r="7796">
          <cell r="Z7796" t="str">
            <v>333329</v>
          </cell>
        </row>
        <row r="7797">
          <cell r="Z7797" t="str">
            <v>333400</v>
          </cell>
        </row>
        <row r="7798">
          <cell r="Z7798" t="str">
            <v>333401</v>
          </cell>
        </row>
        <row r="7799">
          <cell r="Z7799" t="str">
            <v>333402</v>
          </cell>
        </row>
        <row r="7800">
          <cell r="Z7800" t="str">
            <v>333403</v>
          </cell>
        </row>
        <row r="7801">
          <cell r="Z7801" t="str">
            <v>333404</v>
          </cell>
        </row>
        <row r="7802">
          <cell r="Z7802" t="str">
            <v>333409</v>
          </cell>
        </row>
        <row r="7803">
          <cell r="Z7803" t="str">
            <v>340000</v>
          </cell>
        </row>
        <row r="7804">
          <cell r="Z7804" t="str">
            <v>341000</v>
          </cell>
        </row>
        <row r="7805">
          <cell r="Z7805" t="str">
            <v>341100</v>
          </cell>
        </row>
        <row r="7806">
          <cell r="Z7806" t="str">
            <v>341101</v>
          </cell>
        </row>
        <row r="7807">
          <cell r="Z7807" t="str">
            <v>341102</v>
          </cell>
        </row>
        <row r="7808">
          <cell r="Z7808" t="str">
            <v>341103</v>
          </cell>
        </row>
        <row r="7809">
          <cell r="Z7809" t="str">
            <v>341104</v>
          </cell>
        </row>
        <row r="7810">
          <cell r="Z7810" t="str">
            <v>341109</v>
          </cell>
        </row>
        <row r="7811">
          <cell r="Z7811" t="str">
            <v>341200</v>
          </cell>
        </row>
        <row r="7812">
          <cell r="Z7812" t="str">
            <v>341210</v>
          </cell>
        </row>
        <row r="7813">
          <cell r="Z7813" t="str">
            <v>341211</v>
          </cell>
        </row>
        <row r="7814">
          <cell r="Z7814" t="str">
            <v>341212</v>
          </cell>
        </row>
        <row r="7815">
          <cell r="Z7815" t="str">
            <v>341213</v>
          </cell>
        </row>
        <row r="7816">
          <cell r="Z7816" t="str">
            <v>341214</v>
          </cell>
        </row>
        <row r="7817">
          <cell r="Z7817" t="str">
            <v>341219</v>
          </cell>
        </row>
        <row r="7818">
          <cell r="Z7818" t="str">
            <v>341220</v>
          </cell>
        </row>
        <row r="7819">
          <cell r="Z7819" t="str">
            <v>341221</v>
          </cell>
        </row>
        <row r="7820">
          <cell r="Z7820" t="str">
            <v>341222</v>
          </cell>
        </row>
        <row r="7821">
          <cell r="Z7821" t="str">
            <v>341223</v>
          </cell>
        </row>
        <row r="7822">
          <cell r="Z7822" t="str">
            <v>341224</v>
          </cell>
        </row>
        <row r="7823">
          <cell r="Z7823" t="str">
            <v>341229</v>
          </cell>
        </row>
        <row r="7824">
          <cell r="Z7824" t="str">
            <v>341300</v>
          </cell>
        </row>
        <row r="7825">
          <cell r="Z7825" t="str">
            <v>341310</v>
          </cell>
        </row>
        <row r="7826">
          <cell r="Z7826" t="str">
            <v>341311</v>
          </cell>
        </row>
        <row r="7827">
          <cell r="Z7827" t="str">
            <v>341312</v>
          </cell>
        </row>
        <row r="7828">
          <cell r="Z7828" t="str">
            <v>341313</v>
          </cell>
        </row>
        <row r="7829">
          <cell r="Z7829" t="str">
            <v>341314</v>
          </cell>
        </row>
        <row r="7830">
          <cell r="Z7830" t="str">
            <v>341319</v>
          </cell>
        </row>
        <row r="7831">
          <cell r="Z7831" t="str">
            <v>341320</v>
          </cell>
        </row>
        <row r="7832">
          <cell r="Z7832" t="str">
            <v>341321</v>
          </cell>
        </row>
        <row r="7833">
          <cell r="Z7833" t="str">
            <v>341322</v>
          </cell>
        </row>
        <row r="7834">
          <cell r="Z7834" t="str">
            <v>341323</v>
          </cell>
        </row>
        <row r="7835">
          <cell r="Z7835" t="str">
            <v>341324</v>
          </cell>
        </row>
        <row r="7836">
          <cell r="Z7836" t="str">
            <v>341329</v>
          </cell>
        </row>
        <row r="7837">
          <cell r="Z7837" t="str">
            <v>342000</v>
          </cell>
        </row>
        <row r="7838">
          <cell r="Z7838" t="str">
            <v>342100</v>
          </cell>
        </row>
        <row r="7839">
          <cell r="Z7839" t="str">
            <v>342110</v>
          </cell>
        </row>
        <row r="7840">
          <cell r="Z7840" t="str">
            <v>342111</v>
          </cell>
        </row>
        <row r="7841">
          <cell r="Z7841" t="str">
            <v>342112</v>
          </cell>
        </row>
        <row r="7842">
          <cell r="Z7842" t="str">
            <v>342113</v>
          </cell>
        </row>
        <row r="7843">
          <cell r="Z7843" t="str">
            <v>342114</v>
          </cell>
        </row>
        <row r="7844">
          <cell r="Z7844" t="str">
            <v>342119</v>
          </cell>
        </row>
        <row r="7845">
          <cell r="Z7845" t="str">
            <v>342120</v>
          </cell>
        </row>
        <row r="7846">
          <cell r="Z7846" t="str">
            <v>342121</v>
          </cell>
        </row>
        <row r="7847">
          <cell r="Z7847" t="str">
            <v>342122</v>
          </cell>
        </row>
        <row r="7848">
          <cell r="Z7848" t="str">
            <v>342123</v>
          </cell>
        </row>
        <row r="7849">
          <cell r="Z7849" t="str">
            <v>342124</v>
          </cell>
        </row>
        <row r="7850">
          <cell r="Z7850" t="str">
            <v>342129</v>
          </cell>
        </row>
        <row r="7851">
          <cell r="Z7851" t="str">
            <v>342200</v>
          </cell>
        </row>
        <row r="7852">
          <cell r="Z7852" t="str">
            <v>342210</v>
          </cell>
        </row>
        <row r="7853">
          <cell r="Z7853" t="str">
            <v>342211</v>
          </cell>
        </row>
        <row r="7854">
          <cell r="Z7854" t="str">
            <v>342212</v>
          </cell>
        </row>
        <row r="7855">
          <cell r="Z7855" t="str">
            <v>342213</v>
          </cell>
        </row>
        <row r="7856">
          <cell r="Z7856" t="str">
            <v>342214</v>
          </cell>
        </row>
        <row r="7857">
          <cell r="Z7857" t="str">
            <v>342219</v>
          </cell>
        </row>
        <row r="7858">
          <cell r="Z7858" t="str">
            <v>342220</v>
          </cell>
        </row>
        <row r="7859">
          <cell r="Z7859" t="str">
            <v>342221</v>
          </cell>
        </row>
        <row r="7860">
          <cell r="Z7860" t="str">
            <v>342222</v>
          </cell>
        </row>
        <row r="7861">
          <cell r="Z7861" t="str">
            <v>342223</v>
          </cell>
        </row>
        <row r="7862">
          <cell r="Z7862" t="str">
            <v>342224</v>
          </cell>
        </row>
        <row r="7863">
          <cell r="Z7863" t="str">
            <v>342230</v>
          </cell>
        </row>
        <row r="7864">
          <cell r="Z7864" t="str">
            <v>342231</v>
          </cell>
        </row>
        <row r="7865">
          <cell r="Z7865" t="str">
            <v>342232</v>
          </cell>
        </row>
        <row r="7866">
          <cell r="Z7866" t="str">
            <v>342233</v>
          </cell>
        </row>
        <row r="7867">
          <cell r="Z7867" t="str">
            <v>342234</v>
          </cell>
        </row>
        <row r="7868">
          <cell r="Z7868" t="str">
            <v>342239</v>
          </cell>
        </row>
        <row r="7869">
          <cell r="Z7869" t="str">
            <v>342240</v>
          </cell>
        </row>
        <row r="7870">
          <cell r="Z7870" t="str">
            <v>342241</v>
          </cell>
        </row>
        <row r="7871">
          <cell r="Z7871" t="str">
            <v>342242</v>
          </cell>
        </row>
        <row r="7872">
          <cell r="Z7872" t="str">
            <v>342243</v>
          </cell>
        </row>
        <row r="7873">
          <cell r="Z7873" t="str">
            <v>342244</v>
          </cell>
        </row>
        <row r="7874">
          <cell r="Z7874" t="str">
            <v>342249</v>
          </cell>
        </row>
        <row r="7875">
          <cell r="Z7875" t="str">
            <v>342300</v>
          </cell>
        </row>
        <row r="7876">
          <cell r="Z7876" t="str">
            <v>342310</v>
          </cell>
        </row>
        <row r="7877">
          <cell r="Z7877" t="str">
            <v>342311</v>
          </cell>
        </row>
        <row r="7878">
          <cell r="Z7878" t="str">
            <v>342312</v>
          </cell>
        </row>
        <row r="7879">
          <cell r="Z7879" t="str">
            <v>342313</v>
          </cell>
        </row>
        <row r="7880">
          <cell r="Z7880" t="str">
            <v>342314</v>
          </cell>
        </row>
        <row r="7881">
          <cell r="Z7881" t="str">
            <v>342319</v>
          </cell>
        </row>
        <row r="7882">
          <cell r="Z7882" t="str">
            <v>342320</v>
          </cell>
        </row>
        <row r="7883">
          <cell r="Z7883" t="str">
            <v>342321</v>
          </cell>
        </row>
        <row r="7884">
          <cell r="Z7884" t="str">
            <v>342322</v>
          </cell>
        </row>
        <row r="7885">
          <cell r="Z7885" t="str">
            <v>342323</v>
          </cell>
        </row>
        <row r="7886">
          <cell r="Z7886" t="str">
            <v>342324</v>
          </cell>
        </row>
        <row r="7887">
          <cell r="Z7887" t="str">
            <v>342329</v>
          </cell>
        </row>
        <row r="7888">
          <cell r="Z7888" t="str">
            <v>342400</v>
          </cell>
        </row>
        <row r="7889">
          <cell r="Z7889" t="str">
            <v>342410</v>
          </cell>
        </row>
        <row r="7890">
          <cell r="Z7890" t="str">
            <v>342411</v>
          </cell>
        </row>
        <row r="7891">
          <cell r="Z7891" t="str">
            <v>342412</v>
          </cell>
        </row>
        <row r="7892">
          <cell r="Z7892" t="str">
            <v>342413</v>
          </cell>
        </row>
        <row r="7893">
          <cell r="Z7893" t="str">
            <v>342414</v>
          </cell>
        </row>
        <row r="7894">
          <cell r="Z7894" t="str">
            <v>342419</v>
          </cell>
        </row>
        <row r="7895">
          <cell r="Z7895" t="str">
            <v>342420</v>
          </cell>
        </row>
        <row r="7896">
          <cell r="Z7896" t="str">
            <v>342421</v>
          </cell>
        </row>
        <row r="7897">
          <cell r="Z7897" t="str">
            <v>342422</v>
          </cell>
        </row>
        <row r="7898">
          <cell r="Z7898" t="str">
            <v>342423</v>
          </cell>
        </row>
        <row r="7899">
          <cell r="Z7899" t="str">
            <v>342424</v>
          </cell>
        </row>
        <row r="7900">
          <cell r="Z7900" t="str">
            <v>342429</v>
          </cell>
        </row>
        <row r="7901">
          <cell r="Z7901" t="str">
            <v>342500</v>
          </cell>
        </row>
        <row r="7902">
          <cell r="Z7902" t="str">
            <v>342510</v>
          </cell>
        </row>
        <row r="7903">
          <cell r="Z7903" t="str">
            <v>342511</v>
          </cell>
        </row>
        <row r="7904">
          <cell r="Z7904" t="str">
            <v>342512</v>
          </cell>
        </row>
        <row r="7905">
          <cell r="Z7905" t="str">
            <v>342513</v>
          </cell>
        </row>
        <row r="7906">
          <cell r="Z7906" t="str">
            <v>342514</v>
          </cell>
        </row>
        <row r="7907">
          <cell r="Z7907" t="str">
            <v>342519</v>
          </cell>
        </row>
        <row r="7908">
          <cell r="Z7908" t="str">
            <v>342520</v>
          </cell>
        </row>
        <row r="7909">
          <cell r="Z7909" t="str">
            <v>342521</v>
          </cell>
        </row>
        <row r="7910">
          <cell r="Z7910" t="str">
            <v>342522</v>
          </cell>
        </row>
        <row r="7911">
          <cell r="Z7911" t="str">
            <v>342523</v>
          </cell>
        </row>
        <row r="7912">
          <cell r="Z7912" t="str">
            <v>342524</v>
          </cell>
        </row>
        <row r="7913">
          <cell r="Z7913" t="str">
            <v>342529</v>
          </cell>
        </row>
        <row r="7914">
          <cell r="Z7914" t="str">
            <v>342600</v>
          </cell>
        </row>
        <row r="7915">
          <cell r="Z7915" t="str">
            <v>342610</v>
          </cell>
        </row>
        <row r="7916">
          <cell r="Z7916" t="str">
            <v>342611</v>
          </cell>
        </row>
        <row r="7917">
          <cell r="Z7917" t="str">
            <v>342612</v>
          </cell>
        </row>
        <row r="7918">
          <cell r="Z7918" t="str">
            <v>342613</v>
          </cell>
        </row>
        <row r="7919">
          <cell r="Z7919" t="str">
            <v>342614</v>
          </cell>
        </row>
        <row r="7920">
          <cell r="Z7920" t="str">
            <v>342619</v>
          </cell>
        </row>
        <row r="7921">
          <cell r="Z7921" t="str">
            <v>342620</v>
          </cell>
        </row>
        <row r="7922">
          <cell r="Z7922" t="str">
            <v>342621</v>
          </cell>
        </row>
        <row r="7923">
          <cell r="Z7923" t="str">
            <v>342622</v>
          </cell>
        </row>
        <row r="7924">
          <cell r="Z7924" t="str">
            <v>342623</v>
          </cell>
        </row>
        <row r="7925">
          <cell r="Z7925" t="str">
            <v>342624</v>
          </cell>
        </row>
        <row r="7926">
          <cell r="Z7926" t="str">
            <v>342629</v>
          </cell>
        </row>
        <row r="7927">
          <cell r="Z7927" t="str">
            <v>342700</v>
          </cell>
        </row>
        <row r="7928">
          <cell r="Z7928" t="str">
            <v>342710</v>
          </cell>
        </row>
        <row r="7929">
          <cell r="Z7929" t="str">
            <v>342711</v>
          </cell>
        </row>
        <row r="7930">
          <cell r="Z7930" t="str">
            <v>342712</v>
          </cell>
        </row>
        <row r="7931">
          <cell r="Z7931" t="str">
            <v>342713</v>
          </cell>
        </row>
        <row r="7932">
          <cell r="Z7932" t="str">
            <v>342714</v>
          </cell>
        </row>
        <row r="7933">
          <cell r="Z7933" t="str">
            <v>342719</v>
          </cell>
        </row>
        <row r="7934">
          <cell r="Z7934" t="str">
            <v>342720</v>
          </cell>
        </row>
        <row r="7935">
          <cell r="Z7935" t="str">
            <v>342721</v>
          </cell>
        </row>
        <row r="7936">
          <cell r="Z7936" t="str">
            <v>342722</v>
          </cell>
        </row>
        <row r="7937">
          <cell r="Z7937" t="str">
            <v>342723</v>
          </cell>
        </row>
        <row r="7938">
          <cell r="Z7938" t="str">
            <v>342724</v>
          </cell>
        </row>
        <row r="7939">
          <cell r="Z7939" t="str">
            <v>342729</v>
          </cell>
        </row>
        <row r="7940">
          <cell r="Z7940" t="str">
            <v>342800</v>
          </cell>
        </row>
        <row r="7941">
          <cell r="Z7941" t="str">
            <v>342810</v>
          </cell>
        </row>
        <row r="7942">
          <cell r="Z7942" t="str">
            <v>342811</v>
          </cell>
        </row>
        <row r="7943">
          <cell r="Z7943" t="str">
            <v>342812</v>
          </cell>
        </row>
        <row r="7944">
          <cell r="Z7944" t="str">
            <v>342813</v>
          </cell>
        </row>
        <row r="7945">
          <cell r="Z7945" t="str">
            <v>342814</v>
          </cell>
        </row>
        <row r="7946">
          <cell r="Z7946" t="str">
            <v>342819</v>
          </cell>
        </row>
        <row r="7947">
          <cell r="Z7947" t="str">
            <v>342820</v>
          </cell>
        </row>
        <row r="7948">
          <cell r="Z7948" t="str">
            <v>342821</v>
          </cell>
        </row>
        <row r="7949">
          <cell r="Z7949" t="str">
            <v>342822</v>
          </cell>
        </row>
        <row r="7950">
          <cell r="Z7950" t="str">
            <v>342823</v>
          </cell>
        </row>
        <row r="7951">
          <cell r="Z7951" t="str">
            <v>342824</v>
          </cell>
        </row>
        <row r="7952">
          <cell r="Z7952" t="str">
            <v>342829</v>
          </cell>
        </row>
        <row r="7953">
          <cell r="Z7953" t="str">
            <v>342900</v>
          </cell>
        </row>
        <row r="7954">
          <cell r="Z7954" t="str">
            <v>342910</v>
          </cell>
        </row>
        <row r="7955">
          <cell r="Z7955" t="str">
            <v>342911</v>
          </cell>
        </row>
        <row r="7956">
          <cell r="Z7956" t="str">
            <v>342912</v>
          </cell>
        </row>
        <row r="7957">
          <cell r="Z7957" t="str">
            <v>342913</v>
          </cell>
        </row>
        <row r="7958">
          <cell r="Z7958" t="str">
            <v>342914</v>
          </cell>
        </row>
        <row r="7959">
          <cell r="Z7959" t="str">
            <v>342919</v>
          </cell>
        </row>
        <row r="7960">
          <cell r="Z7960" t="str">
            <v>342920</v>
          </cell>
        </row>
        <row r="7961">
          <cell r="Z7961" t="str">
            <v>342921</v>
          </cell>
        </row>
        <row r="7962">
          <cell r="Z7962" t="str">
            <v>342922</v>
          </cell>
        </row>
        <row r="7963">
          <cell r="Z7963" t="str">
            <v>342923</v>
          </cell>
        </row>
        <row r="7964">
          <cell r="Z7964" t="str">
            <v>342924</v>
          </cell>
        </row>
        <row r="7965">
          <cell r="Z7965" t="str">
            <v>342929</v>
          </cell>
        </row>
        <row r="7966">
          <cell r="Z7966" t="str">
            <v>342930</v>
          </cell>
        </row>
        <row r="7967">
          <cell r="Z7967" t="str">
            <v>342931</v>
          </cell>
        </row>
        <row r="7968">
          <cell r="Z7968" t="str">
            <v>342932</v>
          </cell>
        </row>
        <row r="7969">
          <cell r="Z7969" t="str">
            <v>342933</v>
          </cell>
        </row>
        <row r="7970">
          <cell r="Z7970" t="str">
            <v>342934</v>
          </cell>
        </row>
        <row r="7971">
          <cell r="Z7971" t="str">
            <v>342939</v>
          </cell>
        </row>
        <row r="7972">
          <cell r="Z7972" t="str">
            <v>342940</v>
          </cell>
        </row>
        <row r="7973">
          <cell r="Z7973" t="str">
            <v>342941</v>
          </cell>
        </row>
        <row r="7974">
          <cell r="Z7974" t="str">
            <v>342942</v>
          </cell>
        </row>
        <row r="7975">
          <cell r="Z7975" t="str">
            <v>342943</v>
          </cell>
        </row>
        <row r="7976">
          <cell r="Z7976" t="str">
            <v>342944</v>
          </cell>
        </row>
        <row r="7977">
          <cell r="Z7977" t="str">
            <v>342949</v>
          </cell>
        </row>
        <row r="7978">
          <cell r="Z7978" t="str">
            <v>342950</v>
          </cell>
        </row>
        <row r="7979">
          <cell r="Z7979" t="str">
            <v>342951</v>
          </cell>
        </row>
        <row r="7980">
          <cell r="Z7980" t="str">
            <v>342952</v>
          </cell>
        </row>
        <row r="7981">
          <cell r="Z7981" t="str">
            <v>342953</v>
          </cell>
        </row>
        <row r="7982">
          <cell r="Z7982" t="str">
            <v>342954</v>
          </cell>
        </row>
        <row r="7983">
          <cell r="Z7983" t="str">
            <v>342959</v>
          </cell>
        </row>
        <row r="7984">
          <cell r="Z7984" t="str">
            <v>342960</v>
          </cell>
        </row>
        <row r="7985">
          <cell r="Z7985" t="str">
            <v>342961</v>
          </cell>
        </row>
        <row r="7986">
          <cell r="Z7986" t="str">
            <v>342962</v>
          </cell>
        </row>
        <row r="7987">
          <cell r="Z7987" t="str">
            <v>342963</v>
          </cell>
        </row>
        <row r="7988">
          <cell r="Z7988" t="str">
            <v>342964</v>
          </cell>
        </row>
        <row r="7989">
          <cell r="Z7989" t="str">
            <v>342969</v>
          </cell>
        </row>
        <row r="7990">
          <cell r="Z7990" t="str">
            <v>343000</v>
          </cell>
        </row>
        <row r="7991">
          <cell r="Z7991" t="str">
            <v>343100</v>
          </cell>
        </row>
        <row r="7992">
          <cell r="Z7992" t="str">
            <v>343110</v>
          </cell>
        </row>
        <row r="7993">
          <cell r="Z7993" t="str">
            <v>343111</v>
          </cell>
        </row>
        <row r="7994">
          <cell r="Z7994" t="str">
            <v>343112</v>
          </cell>
        </row>
        <row r="7995">
          <cell r="Z7995" t="str">
            <v>343113</v>
          </cell>
        </row>
        <row r="7996">
          <cell r="Z7996" t="str">
            <v>343114</v>
          </cell>
        </row>
        <row r="7997">
          <cell r="Z7997" t="str">
            <v>343119</v>
          </cell>
        </row>
        <row r="7998">
          <cell r="Z7998" t="str">
            <v>343120</v>
          </cell>
        </row>
        <row r="7999">
          <cell r="Z7999" t="str">
            <v>343121</v>
          </cell>
        </row>
        <row r="8000">
          <cell r="Z8000" t="str">
            <v>343122</v>
          </cell>
        </row>
        <row r="8001">
          <cell r="Z8001" t="str">
            <v>343123</v>
          </cell>
        </row>
        <row r="8002">
          <cell r="Z8002" t="str">
            <v>343124</v>
          </cell>
        </row>
        <row r="8003">
          <cell r="Z8003" t="str">
            <v>343129</v>
          </cell>
        </row>
        <row r="8004">
          <cell r="Z8004" t="str">
            <v>343130</v>
          </cell>
        </row>
        <row r="8005">
          <cell r="Z8005" t="str">
            <v>343131</v>
          </cell>
        </row>
        <row r="8006">
          <cell r="Z8006" t="str">
            <v>343132</v>
          </cell>
        </row>
        <row r="8007">
          <cell r="Z8007" t="str">
            <v>343133</v>
          </cell>
        </row>
        <row r="8008">
          <cell r="Z8008" t="str">
            <v>343134</v>
          </cell>
        </row>
        <row r="8009">
          <cell r="Z8009" t="str">
            <v>343139</v>
          </cell>
        </row>
        <row r="8010">
          <cell r="Z8010" t="str">
            <v>343200</v>
          </cell>
        </row>
        <row r="8011">
          <cell r="Z8011" t="str">
            <v>343210</v>
          </cell>
        </row>
        <row r="8012">
          <cell r="Z8012" t="str">
            <v>343211</v>
          </cell>
        </row>
        <row r="8013">
          <cell r="Z8013" t="str">
            <v>343212</v>
          </cell>
        </row>
        <row r="8014">
          <cell r="Z8014" t="str">
            <v>343213</v>
          </cell>
        </row>
        <row r="8015">
          <cell r="Z8015" t="str">
            <v>343214</v>
          </cell>
        </row>
        <row r="8016">
          <cell r="Z8016" t="str">
            <v>343219</v>
          </cell>
        </row>
        <row r="8017">
          <cell r="Z8017" t="str">
            <v>343220</v>
          </cell>
        </row>
        <row r="8018">
          <cell r="Z8018" t="str">
            <v>343221</v>
          </cell>
        </row>
        <row r="8019">
          <cell r="Z8019" t="str">
            <v>343222</v>
          </cell>
        </row>
        <row r="8020">
          <cell r="Z8020" t="str">
            <v>343223</v>
          </cell>
        </row>
        <row r="8021">
          <cell r="Z8021" t="str">
            <v>343224</v>
          </cell>
        </row>
        <row r="8022">
          <cell r="Z8022" t="str">
            <v>343229</v>
          </cell>
        </row>
        <row r="8023">
          <cell r="Z8023" t="str">
            <v>343230</v>
          </cell>
        </row>
        <row r="8024">
          <cell r="Z8024" t="str">
            <v>343231</v>
          </cell>
        </row>
        <row r="8025">
          <cell r="Z8025" t="str">
            <v>343232</v>
          </cell>
        </row>
        <row r="8026">
          <cell r="Z8026" t="str">
            <v>343233</v>
          </cell>
        </row>
        <row r="8027">
          <cell r="Z8027" t="str">
            <v>343234</v>
          </cell>
        </row>
        <row r="8028">
          <cell r="Z8028" t="str">
            <v>343239</v>
          </cell>
        </row>
        <row r="8029">
          <cell r="Z8029" t="str">
            <v>343240</v>
          </cell>
        </row>
        <row r="8030">
          <cell r="Z8030" t="str">
            <v>343241</v>
          </cell>
        </row>
        <row r="8031">
          <cell r="Z8031" t="str">
            <v>343242</v>
          </cell>
        </row>
        <row r="8032">
          <cell r="Z8032" t="str">
            <v>343243</v>
          </cell>
        </row>
        <row r="8033">
          <cell r="Z8033" t="str">
            <v>343244</v>
          </cell>
        </row>
        <row r="8034">
          <cell r="Z8034" t="str">
            <v>343249</v>
          </cell>
        </row>
        <row r="8035">
          <cell r="Z8035" t="str">
            <v>343250</v>
          </cell>
        </row>
        <row r="8036">
          <cell r="Z8036" t="str">
            <v>343251</v>
          </cell>
        </row>
        <row r="8037">
          <cell r="Z8037" t="str">
            <v>343252</v>
          </cell>
        </row>
        <row r="8038">
          <cell r="Z8038" t="str">
            <v>343253</v>
          </cell>
        </row>
        <row r="8039">
          <cell r="Z8039" t="str">
            <v>343254</v>
          </cell>
        </row>
        <row r="8040">
          <cell r="Z8040" t="str">
            <v>343259</v>
          </cell>
        </row>
        <row r="8041">
          <cell r="Z8041" t="str">
            <v>343260</v>
          </cell>
        </row>
        <row r="8042">
          <cell r="Z8042" t="str">
            <v>343261</v>
          </cell>
        </row>
        <row r="8043">
          <cell r="Z8043" t="str">
            <v>343262</v>
          </cell>
        </row>
        <row r="8044">
          <cell r="Z8044" t="str">
            <v>343263</v>
          </cell>
        </row>
        <row r="8045">
          <cell r="Z8045" t="str">
            <v>343264</v>
          </cell>
        </row>
        <row r="8046">
          <cell r="Z8046" t="str">
            <v>343269</v>
          </cell>
        </row>
        <row r="8047">
          <cell r="Z8047" t="str">
            <v>343300</v>
          </cell>
        </row>
        <row r="8048">
          <cell r="Z8048" t="str">
            <v>343310</v>
          </cell>
        </row>
        <row r="8049">
          <cell r="Z8049" t="str">
            <v>343311</v>
          </cell>
        </row>
        <row r="8050">
          <cell r="Z8050" t="str">
            <v>343312</v>
          </cell>
        </row>
        <row r="8051">
          <cell r="Z8051" t="str">
            <v>343313</v>
          </cell>
        </row>
        <row r="8052">
          <cell r="Z8052" t="str">
            <v>343314</v>
          </cell>
        </row>
        <row r="8053">
          <cell r="Z8053" t="str">
            <v>343319</v>
          </cell>
        </row>
        <row r="8054">
          <cell r="Z8054" t="str">
            <v>343320</v>
          </cell>
        </row>
        <row r="8055">
          <cell r="Z8055" t="str">
            <v>343321</v>
          </cell>
        </row>
        <row r="8056">
          <cell r="Z8056" t="str">
            <v>343322</v>
          </cell>
        </row>
        <row r="8057">
          <cell r="Z8057" t="str">
            <v>343323</v>
          </cell>
        </row>
        <row r="8058">
          <cell r="Z8058" t="str">
            <v>343324</v>
          </cell>
        </row>
        <row r="8059">
          <cell r="Z8059" t="str">
            <v>343329</v>
          </cell>
        </row>
        <row r="8060">
          <cell r="Z8060" t="str">
            <v>343400</v>
          </cell>
        </row>
        <row r="8061">
          <cell r="Z8061" t="str">
            <v>343410</v>
          </cell>
        </row>
        <row r="8062">
          <cell r="Z8062" t="str">
            <v>343411</v>
          </cell>
        </row>
        <row r="8063">
          <cell r="Z8063" t="str">
            <v>343412</v>
          </cell>
        </row>
        <row r="8064">
          <cell r="Z8064" t="str">
            <v>343413</v>
          </cell>
        </row>
        <row r="8065">
          <cell r="Z8065" t="str">
            <v>343414</v>
          </cell>
        </row>
        <row r="8066">
          <cell r="Z8066" t="str">
            <v>343419</v>
          </cell>
        </row>
        <row r="8067">
          <cell r="Z8067" t="str">
            <v>343420</v>
          </cell>
        </row>
        <row r="8068">
          <cell r="Z8068" t="str">
            <v>343421</v>
          </cell>
        </row>
        <row r="8069">
          <cell r="Z8069" t="str">
            <v>343422</v>
          </cell>
        </row>
        <row r="8070">
          <cell r="Z8070" t="str">
            <v>343423</v>
          </cell>
        </row>
        <row r="8071">
          <cell r="Z8071" t="str">
            <v>343424</v>
          </cell>
        </row>
        <row r="8072">
          <cell r="Z8072" t="str">
            <v>343429</v>
          </cell>
        </row>
        <row r="8073">
          <cell r="Z8073" t="str">
            <v>343500</v>
          </cell>
        </row>
        <row r="8074">
          <cell r="Z8074" t="str">
            <v>343510</v>
          </cell>
        </row>
        <row r="8075">
          <cell r="Z8075" t="str">
            <v>343511</v>
          </cell>
        </row>
        <row r="8076">
          <cell r="Z8076" t="str">
            <v>343512</v>
          </cell>
        </row>
        <row r="8077">
          <cell r="Z8077" t="str">
            <v>343513</v>
          </cell>
        </row>
        <row r="8078">
          <cell r="Z8078" t="str">
            <v>343514</v>
          </cell>
        </row>
        <row r="8079">
          <cell r="Z8079" t="str">
            <v>343519</v>
          </cell>
        </row>
        <row r="8080">
          <cell r="Z8080" t="str">
            <v>343520</v>
          </cell>
        </row>
        <row r="8081">
          <cell r="Z8081" t="str">
            <v>343521</v>
          </cell>
        </row>
        <row r="8082">
          <cell r="Z8082" t="str">
            <v>343522</v>
          </cell>
        </row>
        <row r="8083">
          <cell r="Z8083" t="str">
            <v>343523</v>
          </cell>
        </row>
        <row r="8084">
          <cell r="Z8084" t="str">
            <v>343524</v>
          </cell>
        </row>
        <row r="8085">
          <cell r="Z8085" t="str">
            <v>343529</v>
          </cell>
        </row>
        <row r="8086">
          <cell r="Z8086" t="str">
            <v>343600</v>
          </cell>
        </row>
        <row r="8087">
          <cell r="Z8087" t="str">
            <v>343610</v>
          </cell>
        </row>
        <row r="8088">
          <cell r="Z8088" t="str">
            <v>343611</v>
          </cell>
        </row>
        <row r="8089">
          <cell r="Z8089" t="str">
            <v>343612</v>
          </cell>
        </row>
        <row r="8090">
          <cell r="Z8090" t="str">
            <v>343613</v>
          </cell>
        </row>
        <row r="8091">
          <cell r="Z8091" t="str">
            <v>343614</v>
          </cell>
        </row>
        <row r="8092">
          <cell r="Z8092" t="str">
            <v>343619</v>
          </cell>
        </row>
        <row r="8093">
          <cell r="Z8093" t="str">
            <v>343620</v>
          </cell>
        </row>
        <row r="8094">
          <cell r="Z8094" t="str">
            <v>343621</v>
          </cell>
        </row>
        <row r="8095">
          <cell r="Z8095" t="str">
            <v>343622</v>
          </cell>
        </row>
        <row r="8096">
          <cell r="Z8096" t="str">
            <v>343623</v>
          </cell>
        </row>
        <row r="8097">
          <cell r="Z8097" t="str">
            <v>343624</v>
          </cell>
        </row>
        <row r="8098">
          <cell r="Z8098" t="str">
            <v>343629</v>
          </cell>
        </row>
        <row r="8099">
          <cell r="Z8099" t="str">
            <v>343700</v>
          </cell>
        </row>
        <row r="8100">
          <cell r="Z8100" t="str">
            <v>343710</v>
          </cell>
        </row>
        <row r="8101">
          <cell r="Z8101" t="str">
            <v>343711</v>
          </cell>
        </row>
        <row r="8102">
          <cell r="Z8102" t="str">
            <v>343712</v>
          </cell>
        </row>
        <row r="8103">
          <cell r="Z8103" t="str">
            <v>343713</v>
          </cell>
        </row>
        <row r="8104">
          <cell r="Z8104" t="str">
            <v>343714</v>
          </cell>
        </row>
        <row r="8105">
          <cell r="Z8105" t="str">
            <v>343719</v>
          </cell>
        </row>
        <row r="8106">
          <cell r="Z8106" t="str">
            <v>343720</v>
          </cell>
        </row>
        <row r="8107">
          <cell r="Z8107" t="str">
            <v>343721</v>
          </cell>
        </row>
        <row r="8108">
          <cell r="Z8108" t="str">
            <v>343722</v>
          </cell>
        </row>
        <row r="8109">
          <cell r="Z8109" t="str">
            <v>343723</v>
          </cell>
        </row>
        <row r="8110">
          <cell r="Z8110" t="str">
            <v>343724</v>
          </cell>
        </row>
        <row r="8111">
          <cell r="Z8111" t="str">
            <v>343729</v>
          </cell>
        </row>
        <row r="8112">
          <cell r="Z8112" t="str">
            <v>343800</v>
          </cell>
        </row>
        <row r="8113">
          <cell r="Z8113" t="str">
            <v>343810</v>
          </cell>
        </row>
        <row r="8114">
          <cell r="Z8114" t="str">
            <v>343811</v>
          </cell>
        </row>
        <row r="8115">
          <cell r="Z8115" t="str">
            <v>343812</v>
          </cell>
        </row>
        <row r="8116">
          <cell r="Z8116" t="str">
            <v>343813</v>
          </cell>
        </row>
        <row r="8117">
          <cell r="Z8117" t="str">
            <v>343814</v>
          </cell>
        </row>
        <row r="8118">
          <cell r="Z8118" t="str">
            <v>343819</v>
          </cell>
        </row>
        <row r="8119">
          <cell r="Z8119" t="str">
            <v>343820</v>
          </cell>
        </row>
        <row r="8120">
          <cell r="Z8120" t="str">
            <v>343821</v>
          </cell>
        </row>
        <row r="8121">
          <cell r="Z8121" t="str">
            <v>343822</v>
          </cell>
        </row>
        <row r="8122">
          <cell r="Z8122" t="str">
            <v>343823</v>
          </cell>
        </row>
        <row r="8123">
          <cell r="Z8123" t="str">
            <v>343824</v>
          </cell>
        </row>
        <row r="8124">
          <cell r="Z8124" t="str">
            <v>343829</v>
          </cell>
        </row>
        <row r="8125">
          <cell r="Z8125" t="str">
            <v>343900</v>
          </cell>
        </row>
        <row r="8126">
          <cell r="Z8126" t="str">
            <v>343910</v>
          </cell>
        </row>
        <row r="8127">
          <cell r="Z8127" t="str">
            <v>343911</v>
          </cell>
        </row>
        <row r="8128">
          <cell r="Z8128" t="str">
            <v>343912</v>
          </cell>
        </row>
        <row r="8129">
          <cell r="Z8129" t="str">
            <v>343913</v>
          </cell>
        </row>
        <row r="8130">
          <cell r="Z8130" t="str">
            <v>343914</v>
          </cell>
        </row>
        <row r="8131">
          <cell r="Z8131" t="str">
            <v>343919</v>
          </cell>
        </row>
        <row r="8132">
          <cell r="Z8132" t="str">
            <v>343920</v>
          </cell>
        </row>
        <row r="8133">
          <cell r="Z8133" t="str">
            <v>343921</v>
          </cell>
        </row>
        <row r="8134">
          <cell r="Z8134" t="str">
            <v>343922</v>
          </cell>
        </row>
        <row r="8135">
          <cell r="Z8135" t="str">
            <v>343923</v>
          </cell>
        </row>
        <row r="8136">
          <cell r="Z8136" t="str">
            <v>343924</v>
          </cell>
        </row>
        <row r="8137">
          <cell r="Z8137" t="str">
            <v>343929</v>
          </cell>
        </row>
        <row r="8138">
          <cell r="Z8138" t="str">
            <v>343930</v>
          </cell>
        </row>
        <row r="8139">
          <cell r="Z8139" t="str">
            <v>343931</v>
          </cell>
        </row>
        <row r="8140">
          <cell r="Z8140" t="str">
            <v>343932</v>
          </cell>
        </row>
        <row r="8141">
          <cell r="Z8141" t="str">
            <v>343933</v>
          </cell>
        </row>
        <row r="8142">
          <cell r="Z8142" t="str">
            <v>343934</v>
          </cell>
        </row>
        <row r="8143">
          <cell r="Z8143" t="str">
            <v>343939</v>
          </cell>
        </row>
        <row r="8144">
          <cell r="Z8144" t="str">
            <v>343940</v>
          </cell>
        </row>
        <row r="8145">
          <cell r="Z8145" t="str">
            <v>343941</v>
          </cell>
        </row>
        <row r="8146">
          <cell r="Z8146" t="str">
            <v>343942</v>
          </cell>
        </row>
        <row r="8147">
          <cell r="Z8147" t="str">
            <v>343943</v>
          </cell>
        </row>
        <row r="8148">
          <cell r="Z8148" t="str">
            <v>343944</v>
          </cell>
        </row>
        <row r="8149">
          <cell r="Z8149" t="str">
            <v>343949</v>
          </cell>
        </row>
        <row r="8150">
          <cell r="Z8150" t="str">
            <v>343950</v>
          </cell>
        </row>
        <row r="8151">
          <cell r="Z8151" t="str">
            <v>343951</v>
          </cell>
        </row>
        <row r="8152">
          <cell r="Z8152" t="str">
            <v>343952</v>
          </cell>
        </row>
        <row r="8153">
          <cell r="Z8153" t="str">
            <v>343953</v>
          </cell>
        </row>
        <row r="8154">
          <cell r="Z8154" t="str">
            <v>343954</v>
          </cell>
        </row>
        <row r="8155">
          <cell r="Z8155" t="str">
            <v>343959</v>
          </cell>
        </row>
        <row r="8156">
          <cell r="Z8156" t="str">
            <v>343960</v>
          </cell>
        </row>
        <row r="8157">
          <cell r="Z8157" t="str">
            <v>343961</v>
          </cell>
        </row>
        <row r="8158">
          <cell r="Z8158" t="str">
            <v>343962</v>
          </cell>
        </row>
        <row r="8159">
          <cell r="Z8159" t="str">
            <v>343963</v>
          </cell>
        </row>
        <row r="8160">
          <cell r="Z8160" t="str">
            <v>343964</v>
          </cell>
        </row>
        <row r="8161">
          <cell r="Z8161" t="str">
            <v>343969</v>
          </cell>
        </row>
        <row r="8162">
          <cell r="Z8162" t="str">
            <v>343970</v>
          </cell>
        </row>
        <row r="8163">
          <cell r="Z8163" t="str">
            <v>343971</v>
          </cell>
        </row>
        <row r="8164">
          <cell r="Z8164" t="str">
            <v>343972</v>
          </cell>
        </row>
        <row r="8165">
          <cell r="Z8165" t="str">
            <v>343973</v>
          </cell>
        </row>
        <row r="8166">
          <cell r="Z8166" t="str">
            <v>343974</v>
          </cell>
        </row>
        <row r="8167">
          <cell r="Z8167" t="str">
            <v>343979</v>
          </cell>
        </row>
        <row r="8168">
          <cell r="Z8168" t="str">
            <v>344000</v>
          </cell>
        </row>
        <row r="8169">
          <cell r="Z8169" t="str">
            <v>344100</v>
          </cell>
        </row>
        <row r="8170">
          <cell r="Z8170" t="str">
            <v>344110</v>
          </cell>
        </row>
        <row r="8171">
          <cell r="Z8171" t="str">
            <v>344111</v>
          </cell>
        </row>
        <row r="8172">
          <cell r="Z8172" t="str">
            <v>344112</v>
          </cell>
        </row>
        <row r="8173">
          <cell r="Z8173" t="str">
            <v>344113</v>
          </cell>
        </row>
        <row r="8174">
          <cell r="Z8174" t="str">
            <v>344114</v>
          </cell>
        </row>
        <row r="8175">
          <cell r="Z8175" t="str">
            <v>344119</v>
          </cell>
        </row>
        <row r="8176">
          <cell r="Z8176" t="str">
            <v>344120</v>
          </cell>
        </row>
        <row r="8177">
          <cell r="Z8177" t="str">
            <v>344121</v>
          </cell>
        </row>
        <row r="8178">
          <cell r="Z8178" t="str">
            <v>344122</v>
          </cell>
        </row>
        <row r="8179">
          <cell r="Z8179" t="str">
            <v>344123</v>
          </cell>
        </row>
        <row r="8180">
          <cell r="Z8180" t="str">
            <v>344124</v>
          </cell>
        </row>
        <row r="8181">
          <cell r="Z8181" t="str">
            <v>344129</v>
          </cell>
        </row>
        <row r="8182">
          <cell r="Z8182" t="str">
            <v>344200</v>
          </cell>
        </row>
        <row r="8183">
          <cell r="Z8183" t="str">
            <v>344210</v>
          </cell>
        </row>
        <row r="8184">
          <cell r="Z8184" t="str">
            <v>344211</v>
          </cell>
        </row>
        <row r="8185">
          <cell r="Z8185" t="str">
            <v>344212</v>
          </cell>
        </row>
        <row r="8186">
          <cell r="Z8186" t="str">
            <v>344213</v>
          </cell>
        </row>
        <row r="8187">
          <cell r="Z8187" t="str">
            <v>344214</v>
          </cell>
        </row>
        <row r="8188">
          <cell r="Z8188" t="str">
            <v>344219</v>
          </cell>
        </row>
        <row r="8189">
          <cell r="Z8189" t="str">
            <v>344220</v>
          </cell>
        </row>
        <row r="8190">
          <cell r="Z8190" t="str">
            <v>344221</v>
          </cell>
        </row>
        <row r="8191">
          <cell r="Z8191" t="str">
            <v>344222</v>
          </cell>
        </row>
        <row r="8192">
          <cell r="Z8192" t="str">
            <v>344223</v>
          </cell>
        </row>
        <row r="8193">
          <cell r="Z8193" t="str">
            <v>344224</v>
          </cell>
        </row>
        <row r="8194">
          <cell r="Z8194" t="str">
            <v>344229</v>
          </cell>
        </row>
        <row r="8195">
          <cell r="Z8195" t="str">
            <v>344300</v>
          </cell>
        </row>
        <row r="8196">
          <cell r="Z8196" t="str">
            <v>344310</v>
          </cell>
        </row>
        <row r="8197">
          <cell r="Z8197" t="str">
            <v>344311</v>
          </cell>
        </row>
        <row r="8198">
          <cell r="Z8198" t="str">
            <v>344312</v>
          </cell>
        </row>
        <row r="8199">
          <cell r="Z8199" t="str">
            <v>344313</v>
          </cell>
        </row>
        <row r="8200">
          <cell r="Z8200" t="str">
            <v>344314</v>
          </cell>
        </row>
        <row r="8201">
          <cell r="Z8201" t="str">
            <v>344319</v>
          </cell>
        </row>
        <row r="8202">
          <cell r="Z8202" t="str">
            <v>344320</v>
          </cell>
        </row>
        <row r="8203">
          <cell r="Z8203" t="str">
            <v>344321</v>
          </cell>
        </row>
        <row r="8204">
          <cell r="Z8204" t="str">
            <v>344322</v>
          </cell>
        </row>
        <row r="8205">
          <cell r="Z8205" t="str">
            <v>344323</v>
          </cell>
        </row>
        <row r="8206">
          <cell r="Z8206" t="str">
            <v>344324</v>
          </cell>
        </row>
        <row r="8207">
          <cell r="Z8207" t="str">
            <v>344329</v>
          </cell>
        </row>
        <row r="8208">
          <cell r="Z8208" t="str">
            <v>344330</v>
          </cell>
        </row>
        <row r="8209">
          <cell r="Z8209" t="str">
            <v>344331</v>
          </cell>
        </row>
        <row r="8210">
          <cell r="Z8210" t="str">
            <v>344332</v>
          </cell>
        </row>
        <row r="8211">
          <cell r="Z8211" t="str">
            <v>344333</v>
          </cell>
        </row>
        <row r="8212">
          <cell r="Z8212" t="str">
            <v>344334</v>
          </cell>
        </row>
        <row r="8213">
          <cell r="Z8213" t="str">
            <v>344339</v>
          </cell>
        </row>
        <row r="8214">
          <cell r="Z8214" t="str">
            <v>344340</v>
          </cell>
        </row>
        <row r="8215">
          <cell r="Z8215" t="str">
            <v>344341</v>
          </cell>
        </row>
        <row r="8216">
          <cell r="Z8216" t="str">
            <v>344342</v>
          </cell>
        </row>
        <row r="8217">
          <cell r="Z8217" t="str">
            <v>344343</v>
          </cell>
        </row>
        <row r="8218">
          <cell r="Z8218" t="str">
            <v>344344</v>
          </cell>
        </row>
        <row r="8219">
          <cell r="Z8219" t="str">
            <v>344349</v>
          </cell>
        </row>
        <row r="8220">
          <cell r="Z8220" t="str">
            <v>344400</v>
          </cell>
        </row>
        <row r="8221">
          <cell r="Z8221" t="str">
            <v>344410</v>
          </cell>
        </row>
        <row r="8222">
          <cell r="Z8222" t="str">
            <v>344411</v>
          </cell>
        </row>
        <row r="8223">
          <cell r="Z8223" t="str">
            <v>344412</v>
          </cell>
        </row>
        <row r="8224">
          <cell r="Z8224" t="str">
            <v>344413</v>
          </cell>
        </row>
        <row r="8225">
          <cell r="Z8225" t="str">
            <v>344414</v>
          </cell>
        </row>
        <row r="8226">
          <cell r="Z8226" t="str">
            <v>344419</v>
          </cell>
        </row>
        <row r="8227">
          <cell r="Z8227" t="str">
            <v>344420</v>
          </cell>
        </row>
        <row r="8228">
          <cell r="Z8228" t="str">
            <v>344421</v>
          </cell>
        </row>
        <row r="8229">
          <cell r="Z8229" t="str">
            <v>344422</v>
          </cell>
        </row>
        <row r="8230">
          <cell r="Z8230" t="str">
            <v>344423</v>
          </cell>
        </row>
        <row r="8231">
          <cell r="Z8231" t="str">
            <v>344424</v>
          </cell>
        </row>
        <row r="8232">
          <cell r="Z8232" t="str">
            <v>344429</v>
          </cell>
        </row>
        <row r="8233">
          <cell r="Z8233" t="str">
            <v>344500</v>
          </cell>
        </row>
        <row r="8234">
          <cell r="Z8234" t="str">
            <v>344510</v>
          </cell>
        </row>
        <row r="8235">
          <cell r="Z8235" t="str">
            <v>344511</v>
          </cell>
        </row>
        <row r="8236">
          <cell r="Z8236" t="str">
            <v>344512</v>
          </cell>
        </row>
        <row r="8237">
          <cell r="Z8237" t="str">
            <v>344513</v>
          </cell>
        </row>
        <row r="8238">
          <cell r="Z8238" t="str">
            <v>344514</v>
          </cell>
        </row>
        <row r="8239">
          <cell r="Z8239" t="str">
            <v>344519</v>
          </cell>
        </row>
        <row r="8240">
          <cell r="Z8240" t="str">
            <v>344520</v>
          </cell>
        </row>
        <row r="8241">
          <cell r="Z8241" t="str">
            <v>344521</v>
          </cell>
        </row>
        <row r="8242">
          <cell r="Z8242" t="str">
            <v>344522</v>
          </cell>
        </row>
        <row r="8243">
          <cell r="Z8243" t="str">
            <v>344523</v>
          </cell>
        </row>
        <row r="8244">
          <cell r="Z8244" t="str">
            <v>344524</v>
          </cell>
        </row>
        <row r="8245">
          <cell r="Z8245" t="str">
            <v>344529</v>
          </cell>
        </row>
        <row r="8246">
          <cell r="Z8246" t="str">
            <v>344600</v>
          </cell>
        </row>
        <row r="8247">
          <cell r="Z8247" t="str">
            <v>344610</v>
          </cell>
        </row>
        <row r="8248">
          <cell r="Z8248" t="str">
            <v>344611</v>
          </cell>
        </row>
        <row r="8249">
          <cell r="Z8249" t="str">
            <v>344612</v>
          </cell>
        </row>
        <row r="8250">
          <cell r="Z8250" t="str">
            <v>344613</v>
          </cell>
        </row>
        <row r="8251">
          <cell r="Z8251" t="str">
            <v>344614</v>
          </cell>
        </row>
        <row r="8252">
          <cell r="Z8252" t="str">
            <v>344619</v>
          </cell>
        </row>
        <row r="8253">
          <cell r="Z8253" t="str">
            <v>344620</v>
          </cell>
        </row>
        <row r="8254">
          <cell r="Z8254" t="str">
            <v>344621</v>
          </cell>
        </row>
        <row r="8255">
          <cell r="Z8255" t="str">
            <v>344622</v>
          </cell>
        </row>
        <row r="8256">
          <cell r="Z8256" t="str">
            <v>344623</v>
          </cell>
        </row>
        <row r="8257">
          <cell r="Z8257" t="str">
            <v>344624</v>
          </cell>
        </row>
        <row r="8258">
          <cell r="Z8258" t="str">
            <v>344629</v>
          </cell>
        </row>
        <row r="8259">
          <cell r="Z8259" t="str">
            <v>344700</v>
          </cell>
        </row>
        <row r="8260">
          <cell r="Z8260" t="str">
            <v>344710</v>
          </cell>
        </row>
        <row r="8261">
          <cell r="Z8261" t="str">
            <v>344711</v>
          </cell>
        </row>
        <row r="8262">
          <cell r="Z8262" t="str">
            <v>344712</v>
          </cell>
        </row>
        <row r="8263">
          <cell r="Z8263" t="str">
            <v>344713</v>
          </cell>
        </row>
        <row r="8264">
          <cell r="Z8264" t="str">
            <v>344714</v>
          </cell>
        </row>
        <row r="8265">
          <cell r="Z8265" t="str">
            <v>344719</v>
          </cell>
        </row>
        <row r="8266">
          <cell r="Z8266" t="str">
            <v>344720</v>
          </cell>
        </row>
        <row r="8267">
          <cell r="Z8267" t="str">
            <v>344721</v>
          </cell>
        </row>
        <row r="8268">
          <cell r="Z8268" t="str">
            <v>344722</v>
          </cell>
        </row>
        <row r="8269">
          <cell r="Z8269" t="str">
            <v>344723</v>
          </cell>
        </row>
        <row r="8270">
          <cell r="Z8270" t="str">
            <v>344724</v>
          </cell>
        </row>
        <row r="8271">
          <cell r="Z8271" t="str">
            <v>344729</v>
          </cell>
        </row>
        <row r="8272">
          <cell r="Z8272" t="str">
            <v>344800</v>
          </cell>
        </row>
        <row r="8273">
          <cell r="Z8273" t="str">
            <v>344810</v>
          </cell>
        </row>
        <row r="8274">
          <cell r="Z8274" t="str">
            <v>344811</v>
          </cell>
        </row>
        <row r="8275">
          <cell r="Z8275" t="str">
            <v>344812</v>
          </cell>
        </row>
        <row r="8276">
          <cell r="Z8276" t="str">
            <v>344813</v>
          </cell>
        </row>
        <row r="8277">
          <cell r="Z8277" t="str">
            <v>344814</v>
          </cell>
        </row>
        <row r="8278">
          <cell r="Z8278" t="str">
            <v>344819</v>
          </cell>
        </row>
        <row r="8279">
          <cell r="Z8279" t="str">
            <v>344820</v>
          </cell>
        </row>
        <row r="8280">
          <cell r="Z8280" t="str">
            <v>344821</v>
          </cell>
        </row>
        <row r="8281">
          <cell r="Z8281" t="str">
            <v>344822</v>
          </cell>
        </row>
        <row r="8282">
          <cell r="Z8282" t="str">
            <v>344823</v>
          </cell>
        </row>
        <row r="8283">
          <cell r="Z8283" t="str">
            <v>344824</v>
          </cell>
        </row>
        <row r="8284">
          <cell r="Z8284" t="str">
            <v>344829</v>
          </cell>
        </row>
        <row r="8285">
          <cell r="Z8285" t="str">
            <v>344830</v>
          </cell>
        </row>
        <row r="8286">
          <cell r="Z8286" t="str">
            <v>344831</v>
          </cell>
        </row>
        <row r="8287">
          <cell r="Z8287" t="str">
            <v>344832</v>
          </cell>
        </row>
        <row r="8288">
          <cell r="Z8288" t="str">
            <v>344833</v>
          </cell>
        </row>
        <row r="8289">
          <cell r="Z8289" t="str">
            <v>344834</v>
          </cell>
        </row>
        <row r="8290">
          <cell r="Z8290" t="str">
            <v>344839</v>
          </cell>
        </row>
        <row r="8291">
          <cell r="Z8291" t="str">
            <v>344840</v>
          </cell>
        </row>
        <row r="8292">
          <cell r="Z8292" t="str">
            <v>344841</v>
          </cell>
        </row>
        <row r="8293">
          <cell r="Z8293" t="str">
            <v>344842</v>
          </cell>
        </row>
        <row r="8294">
          <cell r="Z8294" t="str">
            <v>344843</v>
          </cell>
        </row>
        <row r="8295">
          <cell r="Z8295" t="str">
            <v>344844</v>
          </cell>
        </row>
        <row r="8296">
          <cell r="Z8296" t="str">
            <v>344849</v>
          </cell>
        </row>
        <row r="8297">
          <cell r="Z8297" t="str">
            <v>345000</v>
          </cell>
        </row>
        <row r="8298">
          <cell r="Z8298" t="str">
            <v>345100</v>
          </cell>
        </row>
        <row r="8299">
          <cell r="Z8299" t="str">
            <v>345110</v>
          </cell>
        </row>
        <row r="8300">
          <cell r="Z8300" t="str">
            <v>345111</v>
          </cell>
        </row>
        <row r="8301">
          <cell r="Z8301" t="str">
            <v>345112</v>
          </cell>
        </row>
        <row r="8302">
          <cell r="Z8302" t="str">
            <v>345113</v>
          </cell>
        </row>
        <row r="8303">
          <cell r="Z8303" t="str">
            <v>345114</v>
          </cell>
        </row>
        <row r="8304">
          <cell r="Z8304" t="str">
            <v>345119</v>
          </cell>
        </row>
        <row r="8305">
          <cell r="Z8305" t="str">
            <v>345120</v>
          </cell>
        </row>
        <row r="8306">
          <cell r="Z8306" t="str">
            <v>345121</v>
          </cell>
        </row>
        <row r="8307">
          <cell r="Z8307" t="str">
            <v>345122</v>
          </cell>
        </row>
        <row r="8308">
          <cell r="Z8308" t="str">
            <v>345123</v>
          </cell>
        </row>
        <row r="8309">
          <cell r="Z8309" t="str">
            <v>345124</v>
          </cell>
        </row>
        <row r="8310">
          <cell r="Z8310" t="str">
            <v>345129</v>
          </cell>
        </row>
        <row r="8311">
          <cell r="Z8311" t="str">
            <v>345200</v>
          </cell>
        </row>
        <row r="8312">
          <cell r="Z8312" t="str">
            <v>345210</v>
          </cell>
        </row>
        <row r="8313">
          <cell r="Z8313" t="str">
            <v>345211</v>
          </cell>
        </row>
        <row r="8314">
          <cell r="Z8314" t="str">
            <v>345212</v>
          </cell>
        </row>
        <row r="8315">
          <cell r="Z8315" t="str">
            <v>345213</v>
          </cell>
        </row>
        <row r="8316">
          <cell r="Z8316" t="str">
            <v>345214</v>
          </cell>
        </row>
        <row r="8317">
          <cell r="Z8317" t="str">
            <v>345219</v>
          </cell>
        </row>
        <row r="8318">
          <cell r="Z8318" t="str">
            <v>345220</v>
          </cell>
        </row>
        <row r="8319">
          <cell r="Z8319" t="str">
            <v>345221</v>
          </cell>
        </row>
        <row r="8320">
          <cell r="Z8320" t="str">
            <v>345222</v>
          </cell>
        </row>
        <row r="8321">
          <cell r="Z8321" t="str">
            <v>345223</v>
          </cell>
        </row>
        <row r="8322">
          <cell r="Z8322" t="str">
            <v>345224</v>
          </cell>
        </row>
        <row r="8323">
          <cell r="Z8323" t="str">
            <v>345229</v>
          </cell>
        </row>
        <row r="8324">
          <cell r="Z8324" t="str">
            <v>345300</v>
          </cell>
        </row>
        <row r="8325">
          <cell r="Z8325" t="str">
            <v>345310</v>
          </cell>
        </row>
        <row r="8326">
          <cell r="Z8326" t="str">
            <v>345311</v>
          </cell>
        </row>
        <row r="8327">
          <cell r="Z8327" t="str">
            <v>345312</v>
          </cell>
        </row>
        <row r="8328">
          <cell r="Z8328" t="str">
            <v>345313</v>
          </cell>
        </row>
        <row r="8329">
          <cell r="Z8329" t="str">
            <v>345314</v>
          </cell>
        </row>
        <row r="8330">
          <cell r="Z8330" t="str">
            <v>345319</v>
          </cell>
        </row>
        <row r="8331">
          <cell r="Z8331" t="str">
            <v>345320</v>
          </cell>
        </row>
        <row r="8332">
          <cell r="Z8332" t="str">
            <v>345321</v>
          </cell>
        </row>
        <row r="8333">
          <cell r="Z8333" t="str">
            <v>345322</v>
          </cell>
        </row>
        <row r="8334">
          <cell r="Z8334" t="str">
            <v>345323</v>
          </cell>
        </row>
        <row r="8335">
          <cell r="Z8335" t="str">
            <v>345324</v>
          </cell>
        </row>
        <row r="8336">
          <cell r="Z8336" t="str">
            <v>345329</v>
          </cell>
        </row>
        <row r="8337">
          <cell r="Z8337" t="str">
            <v>345330</v>
          </cell>
        </row>
        <row r="8338">
          <cell r="Z8338" t="str">
            <v>345331</v>
          </cell>
        </row>
        <row r="8339">
          <cell r="Z8339" t="str">
            <v>345332</v>
          </cell>
        </row>
        <row r="8340">
          <cell r="Z8340" t="str">
            <v>345333</v>
          </cell>
        </row>
        <row r="8341">
          <cell r="Z8341" t="str">
            <v>345334</v>
          </cell>
        </row>
        <row r="8342">
          <cell r="Z8342" t="str">
            <v>345339</v>
          </cell>
        </row>
        <row r="8343">
          <cell r="Z8343" t="str">
            <v>345340</v>
          </cell>
        </row>
        <row r="8344">
          <cell r="Z8344" t="str">
            <v>345341</v>
          </cell>
        </row>
        <row r="8345">
          <cell r="Z8345" t="str">
            <v>345342</v>
          </cell>
        </row>
        <row r="8346">
          <cell r="Z8346" t="str">
            <v>345343</v>
          </cell>
        </row>
        <row r="8347">
          <cell r="Z8347" t="str">
            <v>345344</v>
          </cell>
        </row>
        <row r="8348">
          <cell r="Z8348" t="str">
            <v>345349</v>
          </cell>
        </row>
        <row r="8349">
          <cell r="Z8349" t="str">
            <v>345400</v>
          </cell>
        </row>
        <row r="8350">
          <cell r="Z8350" t="str">
            <v>345410</v>
          </cell>
        </row>
        <row r="8351">
          <cell r="Z8351" t="str">
            <v>345411</v>
          </cell>
        </row>
        <row r="8352">
          <cell r="Z8352" t="str">
            <v>345412</v>
          </cell>
        </row>
        <row r="8353">
          <cell r="Z8353" t="str">
            <v>345413</v>
          </cell>
        </row>
        <row r="8354">
          <cell r="Z8354" t="str">
            <v>345414</v>
          </cell>
        </row>
        <row r="8355">
          <cell r="Z8355" t="str">
            <v>345419</v>
          </cell>
        </row>
        <row r="8356">
          <cell r="Z8356" t="str">
            <v>345420</v>
          </cell>
        </row>
        <row r="8357">
          <cell r="Z8357" t="str">
            <v>345421</v>
          </cell>
        </row>
        <row r="8358">
          <cell r="Z8358" t="str">
            <v>345422</v>
          </cell>
        </row>
        <row r="8359">
          <cell r="Z8359" t="str">
            <v>345423</v>
          </cell>
        </row>
        <row r="8360">
          <cell r="Z8360" t="str">
            <v>345424</v>
          </cell>
        </row>
        <row r="8361">
          <cell r="Z8361" t="str">
            <v>345429</v>
          </cell>
        </row>
        <row r="8362">
          <cell r="Z8362" t="str">
            <v>345500</v>
          </cell>
        </row>
        <row r="8363">
          <cell r="Z8363" t="str">
            <v>345510</v>
          </cell>
        </row>
        <row r="8364">
          <cell r="Z8364" t="str">
            <v>345511</v>
          </cell>
        </row>
        <row r="8365">
          <cell r="Z8365" t="str">
            <v>345512</v>
          </cell>
        </row>
        <row r="8366">
          <cell r="Z8366" t="str">
            <v>345513</v>
          </cell>
        </row>
        <row r="8367">
          <cell r="Z8367" t="str">
            <v>345514</v>
          </cell>
        </row>
        <row r="8368">
          <cell r="Z8368" t="str">
            <v>345519</v>
          </cell>
        </row>
        <row r="8369">
          <cell r="Z8369" t="str">
            <v>345520</v>
          </cell>
        </row>
        <row r="8370">
          <cell r="Z8370" t="str">
            <v>345521</v>
          </cell>
        </row>
        <row r="8371">
          <cell r="Z8371" t="str">
            <v>345522</v>
          </cell>
        </row>
        <row r="8372">
          <cell r="Z8372" t="str">
            <v>345523</v>
          </cell>
        </row>
        <row r="8373">
          <cell r="Z8373" t="str">
            <v>345524</v>
          </cell>
        </row>
        <row r="8374">
          <cell r="Z8374" t="str">
            <v>345529</v>
          </cell>
        </row>
        <row r="8375">
          <cell r="Z8375" t="str">
            <v>345600</v>
          </cell>
        </row>
        <row r="8376">
          <cell r="Z8376" t="str">
            <v>345610</v>
          </cell>
        </row>
        <row r="8377">
          <cell r="Z8377" t="str">
            <v>345611</v>
          </cell>
        </row>
        <row r="8378">
          <cell r="Z8378" t="str">
            <v>345612</v>
          </cell>
        </row>
        <row r="8379">
          <cell r="Z8379" t="str">
            <v>345613</v>
          </cell>
        </row>
        <row r="8380">
          <cell r="Z8380" t="str">
            <v>345614</v>
          </cell>
        </row>
        <row r="8381">
          <cell r="Z8381" t="str">
            <v>345619</v>
          </cell>
        </row>
        <row r="8382">
          <cell r="Z8382" t="str">
            <v>345620</v>
          </cell>
        </row>
        <row r="8383">
          <cell r="Z8383" t="str">
            <v>345621</v>
          </cell>
        </row>
        <row r="8384">
          <cell r="Z8384" t="str">
            <v>345622</v>
          </cell>
        </row>
        <row r="8385">
          <cell r="Z8385" t="str">
            <v>345623</v>
          </cell>
        </row>
        <row r="8386">
          <cell r="Z8386" t="str">
            <v>345624</v>
          </cell>
        </row>
        <row r="8387">
          <cell r="Z8387" t="str">
            <v>345629</v>
          </cell>
        </row>
        <row r="8388">
          <cell r="Z8388" t="str">
            <v>345700</v>
          </cell>
        </row>
        <row r="8389">
          <cell r="Z8389" t="str">
            <v>345710</v>
          </cell>
        </row>
        <row r="8390">
          <cell r="Z8390" t="str">
            <v>345711</v>
          </cell>
        </row>
        <row r="8391">
          <cell r="Z8391" t="str">
            <v>345712</v>
          </cell>
        </row>
        <row r="8392">
          <cell r="Z8392" t="str">
            <v>345713</v>
          </cell>
        </row>
        <row r="8393">
          <cell r="Z8393" t="str">
            <v>345714</v>
          </cell>
        </row>
        <row r="8394">
          <cell r="Z8394" t="str">
            <v>345719</v>
          </cell>
        </row>
        <row r="8395">
          <cell r="Z8395" t="str">
            <v>345720</v>
          </cell>
        </row>
        <row r="8396">
          <cell r="Z8396" t="str">
            <v>345721</v>
          </cell>
        </row>
        <row r="8397">
          <cell r="Z8397" t="str">
            <v>345722</v>
          </cell>
        </row>
        <row r="8398">
          <cell r="Z8398" t="str">
            <v>345723</v>
          </cell>
        </row>
        <row r="8399">
          <cell r="Z8399" t="str">
            <v>345724</v>
          </cell>
        </row>
        <row r="8400">
          <cell r="Z8400" t="str">
            <v>345729</v>
          </cell>
        </row>
        <row r="8401">
          <cell r="Z8401" t="str">
            <v>345800</v>
          </cell>
        </row>
        <row r="8402">
          <cell r="Z8402" t="str">
            <v>345810</v>
          </cell>
        </row>
        <row r="8403">
          <cell r="Z8403" t="str">
            <v>345811</v>
          </cell>
        </row>
        <row r="8404">
          <cell r="Z8404" t="str">
            <v>345812</v>
          </cell>
        </row>
        <row r="8405">
          <cell r="Z8405" t="str">
            <v>345813</v>
          </cell>
        </row>
        <row r="8406">
          <cell r="Z8406" t="str">
            <v>345814</v>
          </cell>
        </row>
        <row r="8407">
          <cell r="Z8407" t="str">
            <v>345819</v>
          </cell>
        </row>
        <row r="8408">
          <cell r="Z8408" t="str">
            <v>345820</v>
          </cell>
        </row>
        <row r="8409">
          <cell r="Z8409" t="str">
            <v>345821</v>
          </cell>
        </row>
        <row r="8410">
          <cell r="Z8410" t="str">
            <v>345822</v>
          </cell>
        </row>
        <row r="8411">
          <cell r="Z8411" t="str">
            <v>345823</v>
          </cell>
        </row>
        <row r="8412">
          <cell r="Z8412" t="str">
            <v>345824</v>
          </cell>
        </row>
        <row r="8413">
          <cell r="Z8413" t="str">
            <v>345829</v>
          </cell>
        </row>
        <row r="8414">
          <cell r="Z8414" t="str">
            <v>345830</v>
          </cell>
        </row>
        <row r="8415">
          <cell r="Z8415" t="str">
            <v>345831</v>
          </cell>
        </row>
        <row r="8416">
          <cell r="Z8416" t="str">
            <v>345832</v>
          </cell>
        </row>
        <row r="8417">
          <cell r="Z8417" t="str">
            <v>345833</v>
          </cell>
        </row>
        <row r="8418">
          <cell r="Z8418" t="str">
            <v>345834</v>
          </cell>
        </row>
        <row r="8419">
          <cell r="Z8419" t="str">
            <v>345839</v>
          </cell>
        </row>
        <row r="8420">
          <cell r="Z8420" t="str">
            <v>345840</v>
          </cell>
        </row>
        <row r="8421">
          <cell r="Z8421" t="str">
            <v>345841</v>
          </cell>
        </row>
        <row r="8422">
          <cell r="Z8422" t="str">
            <v>345842</v>
          </cell>
        </row>
        <row r="8423">
          <cell r="Z8423" t="str">
            <v>345843</v>
          </cell>
        </row>
        <row r="8424">
          <cell r="Z8424" t="str">
            <v>345844</v>
          </cell>
        </row>
        <row r="8425">
          <cell r="Z8425" t="str">
            <v>345849</v>
          </cell>
        </row>
        <row r="8426">
          <cell r="Z8426" t="str">
            <v>346000</v>
          </cell>
        </row>
        <row r="8427">
          <cell r="Z8427" t="str">
            <v>346100</v>
          </cell>
        </row>
        <row r="8428">
          <cell r="Z8428" t="str">
            <v>346101</v>
          </cell>
        </row>
        <row r="8429">
          <cell r="Z8429" t="str">
            <v>346102</v>
          </cell>
        </row>
        <row r="8430">
          <cell r="Z8430" t="str">
            <v>346103</v>
          </cell>
        </row>
        <row r="8431">
          <cell r="Z8431" t="str">
            <v>346104</v>
          </cell>
        </row>
        <row r="8432">
          <cell r="Z8432" t="str">
            <v>346109</v>
          </cell>
        </row>
        <row r="8433">
          <cell r="Z8433" t="str">
            <v>346200</v>
          </cell>
        </row>
        <row r="8434">
          <cell r="Z8434" t="str">
            <v>346211</v>
          </cell>
        </row>
        <row r="8435">
          <cell r="Z8435" t="str">
            <v>346212</v>
          </cell>
        </row>
        <row r="8436">
          <cell r="Z8436" t="str">
            <v>346213</v>
          </cell>
        </row>
        <row r="8437">
          <cell r="Z8437" t="str">
            <v>346214</v>
          </cell>
        </row>
        <row r="8438">
          <cell r="Z8438" t="str">
            <v>346219</v>
          </cell>
        </row>
        <row r="8439">
          <cell r="Z8439" t="str">
            <v>346300</v>
          </cell>
        </row>
        <row r="8440">
          <cell r="Z8440" t="str">
            <v>346310</v>
          </cell>
        </row>
        <row r="8441">
          <cell r="Z8441" t="str">
            <v>346311</v>
          </cell>
        </row>
        <row r="8442">
          <cell r="Z8442" t="str">
            <v>346312</v>
          </cell>
        </row>
        <row r="8443">
          <cell r="Z8443" t="str">
            <v>346313</v>
          </cell>
        </row>
        <row r="8444">
          <cell r="Z8444" t="str">
            <v>346314</v>
          </cell>
        </row>
        <row r="8445">
          <cell r="Z8445" t="str">
            <v>346319</v>
          </cell>
        </row>
        <row r="8446">
          <cell r="Z8446" t="str">
            <v>346320</v>
          </cell>
        </row>
        <row r="8447">
          <cell r="Z8447" t="str">
            <v>346321</v>
          </cell>
        </row>
        <row r="8448">
          <cell r="Z8448" t="str">
            <v>346322</v>
          </cell>
        </row>
        <row r="8449">
          <cell r="Z8449" t="str">
            <v>346323</v>
          </cell>
        </row>
        <row r="8450">
          <cell r="Z8450" t="str">
            <v>346324</v>
          </cell>
        </row>
        <row r="8451">
          <cell r="Z8451" t="str">
            <v>346329</v>
          </cell>
        </row>
        <row r="8452">
          <cell r="Z8452" t="str">
            <v>346400</v>
          </cell>
        </row>
        <row r="8453">
          <cell r="Z8453" t="str">
            <v>346401</v>
          </cell>
        </row>
        <row r="8454">
          <cell r="Z8454" t="str">
            <v>346402</v>
          </cell>
        </row>
        <row r="8455">
          <cell r="Z8455" t="str">
            <v>346403</v>
          </cell>
        </row>
        <row r="8456">
          <cell r="Z8456" t="str">
            <v>346404</v>
          </cell>
        </row>
        <row r="8457">
          <cell r="Z8457" t="str">
            <v>346409</v>
          </cell>
        </row>
        <row r="8458">
          <cell r="Z8458" t="str">
            <v>346500</v>
          </cell>
        </row>
        <row r="8459">
          <cell r="Z8459" t="str">
            <v>346501</v>
          </cell>
        </row>
        <row r="8460">
          <cell r="Z8460" t="str">
            <v>346502</v>
          </cell>
        </row>
        <row r="8461">
          <cell r="Z8461" t="str">
            <v>346503</v>
          </cell>
        </row>
        <row r="8462">
          <cell r="Z8462" t="str">
            <v>346504</v>
          </cell>
        </row>
        <row r="8463">
          <cell r="Z8463" t="str">
            <v>346509</v>
          </cell>
        </row>
        <row r="8464">
          <cell r="Z8464" t="str">
            <v>346600</v>
          </cell>
        </row>
        <row r="8465">
          <cell r="Z8465" t="str">
            <v>346601</v>
          </cell>
        </row>
        <row r="8466">
          <cell r="Z8466" t="str">
            <v>346602</v>
          </cell>
        </row>
        <row r="8467">
          <cell r="Z8467" t="str">
            <v>346603</v>
          </cell>
        </row>
        <row r="8468">
          <cell r="Z8468" t="str">
            <v>346604</v>
          </cell>
        </row>
        <row r="8469">
          <cell r="Z8469" t="str">
            <v>346609</v>
          </cell>
        </row>
        <row r="8470">
          <cell r="Z8470" t="str">
            <v>346700</v>
          </cell>
        </row>
        <row r="8471">
          <cell r="Z8471" t="str">
            <v>346701</v>
          </cell>
        </row>
        <row r="8472">
          <cell r="Z8472" t="str">
            <v>346702</v>
          </cell>
        </row>
        <row r="8473">
          <cell r="Z8473" t="str">
            <v>346703</v>
          </cell>
        </row>
        <row r="8474">
          <cell r="Z8474" t="str">
            <v>346704</v>
          </cell>
        </row>
        <row r="8475">
          <cell r="Z8475" t="str">
            <v>346709</v>
          </cell>
        </row>
        <row r="8476">
          <cell r="Z8476" t="str">
            <v>346800</v>
          </cell>
        </row>
        <row r="8477">
          <cell r="Z8477" t="str">
            <v>346810</v>
          </cell>
        </row>
        <row r="8478">
          <cell r="Z8478" t="str">
            <v>346811</v>
          </cell>
        </row>
        <row r="8479">
          <cell r="Z8479" t="str">
            <v>346812</v>
          </cell>
        </row>
        <row r="8480">
          <cell r="Z8480" t="str">
            <v>346813</v>
          </cell>
        </row>
        <row r="8481">
          <cell r="Z8481" t="str">
            <v>346814</v>
          </cell>
        </row>
        <row r="8482">
          <cell r="Z8482" t="str">
            <v>346819</v>
          </cell>
        </row>
        <row r="8483">
          <cell r="Z8483" t="str">
            <v>346820</v>
          </cell>
        </row>
        <row r="8484">
          <cell r="Z8484" t="str">
            <v>346821</v>
          </cell>
        </row>
        <row r="8485">
          <cell r="Z8485" t="str">
            <v>346822</v>
          </cell>
        </row>
        <row r="8486">
          <cell r="Z8486" t="str">
            <v>346823</v>
          </cell>
        </row>
        <row r="8487">
          <cell r="Z8487" t="str">
            <v>346824</v>
          </cell>
        </row>
        <row r="8488">
          <cell r="Z8488" t="str">
            <v>346829</v>
          </cell>
        </row>
        <row r="8489">
          <cell r="Z8489" t="str">
            <v>347000</v>
          </cell>
        </row>
        <row r="8490">
          <cell r="Z8490" t="str">
            <v>347100</v>
          </cell>
        </row>
        <row r="8491">
          <cell r="Z8491" t="str">
            <v>347101</v>
          </cell>
        </row>
        <row r="8492">
          <cell r="Z8492" t="str">
            <v>347102</v>
          </cell>
        </row>
        <row r="8493">
          <cell r="Z8493" t="str">
            <v>347103</v>
          </cell>
        </row>
        <row r="8494">
          <cell r="Z8494" t="str">
            <v>347104</v>
          </cell>
        </row>
        <row r="8495">
          <cell r="Z8495" t="str">
            <v>347109</v>
          </cell>
        </row>
        <row r="8496">
          <cell r="Z8496" t="str">
            <v>347200</v>
          </cell>
        </row>
        <row r="8497">
          <cell r="Z8497" t="str">
            <v>347211</v>
          </cell>
        </row>
        <row r="8498">
          <cell r="Z8498" t="str">
            <v>347212</v>
          </cell>
        </row>
        <row r="8499">
          <cell r="Z8499" t="str">
            <v>347213</v>
          </cell>
        </row>
        <row r="8500">
          <cell r="Z8500" t="str">
            <v>347214</v>
          </cell>
        </row>
        <row r="8501">
          <cell r="Z8501" t="str">
            <v>347219</v>
          </cell>
        </row>
        <row r="8502">
          <cell r="Z8502" t="str">
            <v>347300</v>
          </cell>
        </row>
        <row r="8503">
          <cell r="Z8503" t="str">
            <v>347310</v>
          </cell>
        </row>
        <row r="8504">
          <cell r="Z8504" t="str">
            <v>347311</v>
          </cell>
        </row>
        <row r="8505">
          <cell r="Z8505" t="str">
            <v>347312</v>
          </cell>
        </row>
        <row r="8506">
          <cell r="Z8506" t="str">
            <v>347313</v>
          </cell>
        </row>
        <row r="8507">
          <cell r="Z8507" t="str">
            <v>347314</v>
          </cell>
        </row>
        <row r="8508">
          <cell r="Z8508" t="str">
            <v>347319</v>
          </cell>
        </row>
        <row r="8509">
          <cell r="Z8509" t="str">
            <v>347320</v>
          </cell>
        </row>
        <row r="8510">
          <cell r="Z8510" t="str">
            <v>347321</v>
          </cell>
        </row>
        <row r="8511">
          <cell r="Z8511" t="str">
            <v>347322</v>
          </cell>
        </row>
        <row r="8512">
          <cell r="Z8512" t="str">
            <v>347323</v>
          </cell>
        </row>
        <row r="8513">
          <cell r="Z8513" t="str">
            <v>347324</v>
          </cell>
        </row>
        <row r="8514">
          <cell r="Z8514" t="str">
            <v>347329</v>
          </cell>
        </row>
        <row r="8515">
          <cell r="Z8515" t="str">
            <v>347400</v>
          </cell>
        </row>
        <row r="8516">
          <cell r="Z8516" t="str">
            <v>347401</v>
          </cell>
        </row>
        <row r="8517">
          <cell r="Z8517" t="str">
            <v>347402</v>
          </cell>
        </row>
        <row r="8518">
          <cell r="Z8518" t="str">
            <v>347403</v>
          </cell>
        </row>
        <row r="8519">
          <cell r="Z8519" t="str">
            <v>347404</v>
          </cell>
        </row>
        <row r="8520">
          <cell r="Z8520" t="str">
            <v>347409</v>
          </cell>
        </row>
        <row r="8521">
          <cell r="Z8521" t="str">
            <v>347500</v>
          </cell>
        </row>
        <row r="8522">
          <cell r="Z8522" t="str">
            <v>347501</v>
          </cell>
        </row>
        <row r="8523">
          <cell r="Z8523" t="str">
            <v>347502</v>
          </cell>
        </row>
        <row r="8524">
          <cell r="Z8524" t="str">
            <v>347503</v>
          </cell>
        </row>
        <row r="8525">
          <cell r="Z8525" t="str">
            <v>347504</v>
          </cell>
        </row>
        <row r="8526">
          <cell r="Z8526" t="str">
            <v>347509</v>
          </cell>
        </row>
        <row r="8527">
          <cell r="Z8527" t="str">
            <v>347600</v>
          </cell>
        </row>
        <row r="8528">
          <cell r="Z8528" t="str">
            <v>347601</v>
          </cell>
        </row>
        <row r="8529">
          <cell r="Z8529" t="str">
            <v>347602</v>
          </cell>
        </row>
        <row r="8530">
          <cell r="Z8530" t="str">
            <v>347603</v>
          </cell>
        </row>
        <row r="8531">
          <cell r="Z8531" t="str">
            <v>347604</v>
          </cell>
        </row>
        <row r="8532">
          <cell r="Z8532" t="str">
            <v>347609</v>
          </cell>
        </row>
        <row r="8533">
          <cell r="Z8533" t="str">
            <v>347700</v>
          </cell>
        </row>
        <row r="8534">
          <cell r="Z8534" t="str">
            <v>347701</v>
          </cell>
        </row>
        <row r="8535">
          <cell r="Z8535" t="str">
            <v>347702</v>
          </cell>
        </row>
        <row r="8536">
          <cell r="Z8536" t="str">
            <v>347703</v>
          </cell>
        </row>
        <row r="8537">
          <cell r="Z8537" t="str">
            <v>347704</v>
          </cell>
        </row>
        <row r="8538">
          <cell r="Z8538" t="str">
            <v>347709</v>
          </cell>
        </row>
        <row r="8539">
          <cell r="Z8539" t="str">
            <v>347800</v>
          </cell>
        </row>
        <row r="8540">
          <cell r="Z8540" t="str">
            <v>347810</v>
          </cell>
        </row>
        <row r="8541">
          <cell r="Z8541" t="str">
            <v>347811</v>
          </cell>
        </row>
        <row r="8542">
          <cell r="Z8542" t="str">
            <v>347812</v>
          </cell>
        </row>
        <row r="8543">
          <cell r="Z8543" t="str">
            <v>347813</v>
          </cell>
        </row>
        <row r="8544">
          <cell r="Z8544" t="str">
            <v>347814</v>
          </cell>
        </row>
        <row r="8545">
          <cell r="Z8545" t="str">
            <v>347819</v>
          </cell>
        </row>
        <row r="8546">
          <cell r="Z8546" t="str">
            <v>347820</v>
          </cell>
        </row>
        <row r="8547">
          <cell r="Z8547" t="str">
            <v>347821</v>
          </cell>
        </row>
        <row r="8548">
          <cell r="Z8548" t="str">
            <v>347822</v>
          </cell>
        </row>
        <row r="8549">
          <cell r="Z8549" t="str">
            <v>347823</v>
          </cell>
        </row>
        <row r="8550">
          <cell r="Z8550" t="str">
            <v>347824</v>
          </cell>
        </row>
        <row r="8551">
          <cell r="Z8551" t="str">
            <v>347829</v>
          </cell>
        </row>
        <row r="8552">
          <cell r="Z8552" t="str">
            <v>348000</v>
          </cell>
        </row>
        <row r="8553">
          <cell r="Z8553" t="str">
            <v>348100</v>
          </cell>
        </row>
        <row r="8554">
          <cell r="Z8554" t="str">
            <v>348101</v>
          </cell>
        </row>
        <row r="8555">
          <cell r="Z8555" t="str">
            <v>348102</v>
          </cell>
        </row>
        <row r="8556">
          <cell r="Z8556" t="str">
            <v>348103</v>
          </cell>
        </row>
        <row r="8557">
          <cell r="Z8557" t="str">
            <v>348104</v>
          </cell>
        </row>
        <row r="8558">
          <cell r="Z8558" t="str">
            <v>348109</v>
          </cell>
        </row>
        <row r="8559">
          <cell r="Z8559" t="str">
            <v>348200</v>
          </cell>
        </row>
        <row r="8560">
          <cell r="Z8560" t="str">
            <v>348211</v>
          </cell>
        </row>
        <row r="8561">
          <cell r="Z8561" t="str">
            <v>348212</v>
          </cell>
        </row>
        <row r="8562">
          <cell r="Z8562" t="str">
            <v>348213</v>
          </cell>
        </row>
        <row r="8563">
          <cell r="Z8563" t="str">
            <v>348214</v>
          </cell>
        </row>
        <row r="8564">
          <cell r="Z8564" t="str">
            <v>348219</v>
          </cell>
        </row>
        <row r="8565">
          <cell r="Z8565" t="str">
            <v>348300</v>
          </cell>
        </row>
        <row r="8566">
          <cell r="Z8566" t="str">
            <v>348310</v>
          </cell>
        </row>
        <row r="8567">
          <cell r="Z8567" t="str">
            <v>348311</v>
          </cell>
        </row>
        <row r="8568">
          <cell r="Z8568" t="str">
            <v>348312</v>
          </cell>
        </row>
        <row r="8569">
          <cell r="Z8569" t="str">
            <v>348313</v>
          </cell>
        </row>
        <row r="8570">
          <cell r="Z8570" t="str">
            <v>348314</v>
          </cell>
        </row>
        <row r="8571">
          <cell r="Z8571" t="str">
            <v>348319</v>
          </cell>
        </row>
        <row r="8572">
          <cell r="Z8572" t="str">
            <v>348320</v>
          </cell>
        </row>
        <row r="8573">
          <cell r="Z8573" t="str">
            <v>348321</v>
          </cell>
        </row>
        <row r="8574">
          <cell r="Z8574" t="str">
            <v>348322</v>
          </cell>
        </row>
        <row r="8575">
          <cell r="Z8575" t="str">
            <v>348323</v>
          </cell>
        </row>
        <row r="8576">
          <cell r="Z8576" t="str">
            <v>348324</v>
          </cell>
        </row>
        <row r="8577">
          <cell r="Z8577" t="str">
            <v>348329</v>
          </cell>
        </row>
        <row r="8578">
          <cell r="Z8578" t="str">
            <v>348400</v>
          </cell>
        </row>
        <row r="8579">
          <cell r="Z8579" t="str">
            <v>348401</v>
          </cell>
        </row>
        <row r="8580">
          <cell r="Z8580" t="str">
            <v>348402</v>
          </cell>
        </row>
        <row r="8581">
          <cell r="Z8581" t="str">
            <v>348403</v>
          </cell>
        </row>
        <row r="8582">
          <cell r="Z8582" t="str">
            <v>348404</v>
          </cell>
        </row>
        <row r="8583">
          <cell r="Z8583" t="str">
            <v>348409</v>
          </cell>
        </row>
        <row r="8584">
          <cell r="Z8584" t="str">
            <v>348500</v>
          </cell>
        </row>
        <row r="8585">
          <cell r="Z8585" t="str">
            <v>348501</v>
          </cell>
        </row>
        <row r="8586">
          <cell r="Z8586" t="str">
            <v>348502</v>
          </cell>
        </row>
        <row r="8587">
          <cell r="Z8587" t="str">
            <v>348503</v>
          </cell>
        </row>
        <row r="8588">
          <cell r="Z8588" t="str">
            <v>348504</v>
          </cell>
        </row>
        <row r="8589">
          <cell r="Z8589" t="str">
            <v>348509</v>
          </cell>
        </row>
        <row r="8590">
          <cell r="Z8590" t="str">
            <v>348600</v>
          </cell>
        </row>
        <row r="8591">
          <cell r="Z8591" t="str">
            <v>348601</v>
          </cell>
        </row>
        <row r="8592">
          <cell r="Z8592" t="str">
            <v>348602</v>
          </cell>
        </row>
        <row r="8593">
          <cell r="Z8593" t="str">
            <v>348603</v>
          </cell>
        </row>
        <row r="8594">
          <cell r="Z8594" t="str">
            <v>348604</v>
          </cell>
        </row>
        <row r="8595">
          <cell r="Z8595" t="str">
            <v>348609</v>
          </cell>
        </row>
        <row r="8596">
          <cell r="Z8596" t="str">
            <v>348700</v>
          </cell>
        </row>
        <row r="8597">
          <cell r="Z8597" t="str">
            <v>348701</v>
          </cell>
        </row>
        <row r="8598">
          <cell r="Z8598" t="str">
            <v>348702</v>
          </cell>
        </row>
        <row r="8599">
          <cell r="Z8599" t="str">
            <v>348703</v>
          </cell>
        </row>
        <row r="8600">
          <cell r="Z8600" t="str">
            <v>348704</v>
          </cell>
        </row>
        <row r="8601">
          <cell r="Z8601" t="str">
            <v>348709</v>
          </cell>
        </row>
        <row r="8602">
          <cell r="Z8602" t="str">
            <v>348800</v>
          </cell>
        </row>
        <row r="8603">
          <cell r="Z8603" t="str">
            <v>348810</v>
          </cell>
        </row>
        <row r="8604">
          <cell r="Z8604" t="str">
            <v>348811</v>
          </cell>
        </row>
        <row r="8605">
          <cell r="Z8605" t="str">
            <v>348812</v>
          </cell>
        </row>
        <row r="8606">
          <cell r="Z8606" t="str">
            <v>348813</v>
          </cell>
        </row>
        <row r="8607">
          <cell r="Z8607" t="str">
            <v>348814</v>
          </cell>
        </row>
        <row r="8608">
          <cell r="Z8608" t="str">
            <v>348819</v>
          </cell>
        </row>
        <row r="8609">
          <cell r="Z8609" t="str">
            <v>348820</v>
          </cell>
        </row>
        <row r="8610">
          <cell r="Z8610" t="str">
            <v>348821</v>
          </cell>
        </row>
        <row r="8611">
          <cell r="Z8611" t="str">
            <v>348822</v>
          </cell>
        </row>
        <row r="8612">
          <cell r="Z8612" t="str">
            <v>348823</v>
          </cell>
        </row>
        <row r="8613">
          <cell r="Z8613" t="str">
            <v>348824</v>
          </cell>
        </row>
        <row r="8614">
          <cell r="Z8614" t="str">
            <v>348829</v>
          </cell>
        </row>
        <row r="8615">
          <cell r="Z8615" t="str">
            <v>350000</v>
          </cell>
        </row>
        <row r="8616">
          <cell r="Z8616" t="str">
            <v>351000</v>
          </cell>
        </row>
        <row r="8617">
          <cell r="Z8617" t="str">
            <v>351100</v>
          </cell>
        </row>
        <row r="8618">
          <cell r="Z8618" t="str">
            <v>351110</v>
          </cell>
        </row>
        <row r="8619">
          <cell r="Z8619" t="str">
            <v>351111</v>
          </cell>
        </row>
        <row r="8620">
          <cell r="Z8620" t="str">
            <v>351112</v>
          </cell>
        </row>
        <row r="8621">
          <cell r="Z8621" t="str">
            <v>351113</v>
          </cell>
        </row>
        <row r="8622">
          <cell r="Z8622" t="str">
            <v>351114</v>
          </cell>
        </row>
        <row r="8623">
          <cell r="Z8623" t="str">
            <v>351119</v>
          </cell>
        </row>
        <row r="8624">
          <cell r="Z8624" t="str">
            <v>351120</v>
          </cell>
        </row>
        <row r="8625">
          <cell r="Z8625" t="str">
            <v>351121</v>
          </cell>
        </row>
        <row r="8626">
          <cell r="Z8626" t="str">
            <v>351122</v>
          </cell>
        </row>
        <row r="8627">
          <cell r="Z8627" t="str">
            <v>351123</v>
          </cell>
        </row>
        <row r="8628">
          <cell r="Z8628" t="str">
            <v>351124</v>
          </cell>
        </row>
        <row r="8629">
          <cell r="Z8629" t="str">
            <v>351129</v>
          </cell>
        </row>
        <row r="8630">
          <cell r="Z8630" t="str">
            <v>351130</v>
          </cell>
        </row>
        <row r="8631">
          <cell r="Z8631" t="str">
            <v>351131</v>
          </cell>
        </row>
        <row r="8632">
          <cell r="Z8632" t="str">
            <v>351132</v>
          </cell>
        </row>
        <row r="8633">
          <cell r="Z8633" t="str">
            <v>351133</v>
          </cell>
        </row>
        <row r="8634">
          <cell r="Z8634" t="str">
            <v>351134</v>
          </cell>
        </row>
        <row r="8635">
          <cell r="Z8635" t="str">
            <v>351139</v>
          </cell>
        </row>
        <row r="8636">
          <cell r="Z8636" t="str">
            <v>351140</v>
          </cell>
        </row>
        <row r="8637">
          <cell r="Z8637" t="str">
            <v>351141</v>
          </cell>
        </row>
        <row r="8638">
          <cell r="Z8638" t="str">
            <v>351142</v>
          </cell>
        </row>
        <row r="8639">
          <cell r="Z8639" t="str">
            <v>351143</v>
          </cell>
        </row>
        <row r="8640">
          <cell r="Z8640" t="str">
            <v>351144</v>
          </cell>
        </row>
        <row r="8641">
          <cell r="Z8641" t="str">
            <v>351149</v>
          </cell>
        </row>
        <row r="8642">
          <cell r="Z8642" t="str">
            <v>351200</v>
          </cell>
        </row>
        <row r="8643">
          <cell r="Z8643" t="str">
            <v>351210</v>
          </cell>
        </row>
        <row r="8644">
          <cell r="Z8644" t="str">
            <v>351211</v>
          </cell>
        </row>
        <row r="8645">
          <cell r="Z8645" t="str">
            <v>351212</v>
          </cell>
        </row>
        <row r="8646">
          <cell r="Z8646" t="str">
            <v>351213</v>
          </cell>
        </row>
        <row r="8647">
          <cell r="Z8647" t="str">
            <v>351214</v>
          </cell>
        </row>
        <row r="8648">
          <cell r="Z8648" t="str">
            <v>351219</v>
          </cell>
        </row>
        <row r="8649">
          <cell r="Z8649" t="str">
            <v>351220</v>
          </cell>
        </row>
        <row r="8650">
          <cell r="Z8650" t="str">
            <v>351221</v>
          </cell>
        </row>
        <row r="8651">
          <cell r="Z8651" t="str">
            <v>351222</v>
          </cell>
        </row>
        <row r="8652">
          <cell r="Z8652" t="str">
            <v>351223</v>
          </cell>
        </row>
        <row r="8653">
          <cell r="Z8653" t="str">
            <v>351224</v>
          </cell>
        </row>
        <row r="8654">
          <cell r="Z8654" t="str">
            <v>351229</v>
          </cell>
        </row>
        <row r="8655">
          <cell r="Z8655" t="str">
            <v>351230</v>
          </cell>
        </row>
        <row r="8656">
          <cell r="Z8656" t="str">
            <v>351231</v>
          </cell>
        </row>
        <row r="8657">
          <cell r="Z8657" t="str">
            <v>351232</v>
          </cell>
        </row>
        <row r="8658">
          <cell r="Z8658" t="str">
            <v>351233</v>
          </cell>
        </row>
        <row r="8659">
          <cell r="Z8659" t="str">
            <v>351234</v>
          </cell>
        </row>
        <row r="8660">
          <cell r="Z8660" t="str">
            <v>351239</v>
          </cell>
        </row>
        <row r="8661">
          <cell r="Z8661" t="str">
            <v>351240</v>
          </cell>
        </row>
        <row r="8662">
          <cell r="Z8662" t="str">
            <v>351241</v>
          </cell>
        </row>
        <row r="8663">
          <cell r="Z8663" t="str">
            <v>351242</v>
          </cell>
        </row>
        <row r="8664">
          <cell r="Z8664" t="str">
            <v>351243</v>
          </cell>
        </row>
        <row r="8665">
          <cell r="Z8665" t="str">
            <v>351244</v>
          </cell>
        </row>
        <row r="8666">
          <cell r="Z8666" t="str">
            <v>351249</v>
          </cell>
        </row>
        <row r="8667">
          <cell r="Z8667" t="str">
            <v>352000</v>
          </cell>
        </row>
        <row r="8668">
          <cell r="Z8668" t="str">
            <v>352100</v>
          </cell>
        </row>
        <row r="8669">
          <cell r="Z8669" t="str">
            <v>352110</v>
          </cell>
        </row>
        <row r="8670">
          <cell r="Z8670" t="str">
            <v>352111</v>
          </cell>
        </row>
        <row r="8671">
          <cell r="Z8671" t="str">
            <v>352112</v>
          </cell>
        </row>
        <row r="8672">
          <cell r="Z8672" t="str">
            <v>352113</v>
          </cell>
        </row>
        <row r="8673">
          <cell r="Z8673" t="str">
            <v>352114</v>
          </cell>
        </row>
        <row r="8674">
          <cell r="Z8674" t="str">
            <v>352119</v>
          </cell>
        </row>
        <row r="8675">
          <cell r="Z8675" t="str">
            <v>352120</v>
          </cell>
        </row>
        <row r="8676">
          <cell r="Z8676" t="str">
            <v>352121</v>
          </cell>
        </row>
        <row r="8677">
          <cell r="Z8677" t="str">
            <v>352122</v>
          </cell>
        </row>
        <row r="8678">
          <cell r="Z8678" t="str">
            <v>352123</v>
          </cell>
        </row>
        <row r="8679">
          <cell r="Z8679" t="str">
            <v>352124</v>
          </cell>
        </row>
        <row r="8680">
          <cell r="Z8680" t="str">
            <v>352129</v>
          </cell>
        </row>
        <row r="8681">
          <cell r="Z8681" t="str">
            <v>352200</v>
          </cell>
        </row>
        <row r="8682">
          <cell r="Z8682" t="str">
            <v>352210</v>
          </cell>
        </row>
        <row r="8683">
          <cell r="Z8683" t="str">
            <v>352211</v>
          </cell>
        </row>
        <row r="8684">
          <cell r="Z8684" t="str">
            <v>352212</v>
          </cell>
        </row>
        <row r="8685">
          <cell r="Z8685" t="str">
            <v>352213</v>
          </cell>
        </row>
        <row r="8686">
          <cell r="Z8686" t="str">
            <v>352214</v>
          </cell>
        </row>
        <row r="8687">
          <cell r="Z8687" t="str">
            <v>352219</v>
          </cell>
        </row>
        <row r="8688">
          <cell r="Z8688" t="str">
            <v>352220</v>
          </cell>
        </row>
        <row r="8689">
          <cell r="Z8689" t="str">
            <v>352220</v>
          </cell>
        </row>
        <row r="8690">
          <cell r="Z8690" t="str">
            <v>352222</v>
          </cell>
        </row>
        <row r="8691">
          <cell r="Z8691" t="str">
            <v>352223</v>
          </cell>
        </row>
        <row r="8692">
          <cell r="Z8692" t="str">
            <v>352224</v>
          </cell>
        </row>
        <row r="8693">
          <cell r="Z8693" t="str">
            <v>352229</v>
          </cell>
        </row>
        <row r="8694">
          <cell r="Z8694" t="str">
            <v>352300</v>
          </cell>
        </row>
        <row r="8695">
          <cell r="Z8695" t="str">
            <v>352310</v>
          </cell>
        </row>
        <row r="8696">
          <cell r="Z8696" t="str">
            <v>352311</v>
          </cell>
        </row>
        <row r="8697">
          <cell r="Z8697" t="str">
            <v>352312</v>
          </cell>
        </row>
        <row r="8698">
          <cell r="Z8698" t="str">
            <v>352313</v>
          </cell>
        </row>
        <row r="8699">
          <cell r="Z8699" t="str">
            <v>352314</v>
          </cell>
        </row>
        <row r="8700">
          <cell r="Z8700" t="str">
            <v>352319</v>
          </cell>
        </row>
        <row r="8701">
          <cell r="Z8701" t="str">
            <v>352320</v>
          </cell>
        </row>
        <row r="8702">
          <cell r="Z8702" t="str">
            <v>352321</v>
          </cell>
        </row>
        <row r="8703">
          <cell r="Z8703" t="str">
            <v>352322</v>
          </cell>
        </row>
        <row r="8704">
          <cell r="Z8704" t="str">
            <v>352323</v>
          </cell>
        </row>
        <row r="8705">
          <cell r="Z8705" t="str">
            <v>352324</v>
          </cell>
        </row>
        <row r="8706">
          <cell r="Z8706" t="str">
            <v>352329</v>
          </cell>
        </row>
        <row r="8707">
          <cell r="Z8707" t="str">
            <v>352400</v>
          </cell>
        </row>
        <row r="8708">
          <cell r="Z8708" t="str">
            <v>352410</v>
          </cell>
        </row>
        <row r="8709">
          <cell r="Z8709" t="str">
            <v>352411</v>
          </cell>
        </row>
        <row r="8710">
          <cell r="Z8710" t="str">
            <v>352412</v>
          </cell>
        </row>
        <row r="8711">
          <cell r="Z8711" t="str">
            <v>352413</v>
          </cell>
        </row>
        <row r="8712">
          <cell r="Z8712" t="str">
            <v>352414</v>
          </cell>
        </row>
        <row r="8713">
          <cell r="Z8713" t="str">
            <v>352419</v>
          </cell>
        </row>
        <row r="8714">
          <cell r="Z8714" t="str">
            <v>352420</v>
          </cell>
        </row>
        <row r="8715">
          <cell r="Z8715" t="str">
            <v>352421</v>
          </cell>
        </row>
        <row r="8716">
          <cell r="Z8716" t="str">
            <v>352422</v>
          </cell>
        </row>
        <row r="8717">
          <cell r="Z8717" t="str">
            <v>352423</v>
          </cell>
        </row>
        <row r="8718">
          <cell r="Z8718" t="str">
            <v>352424</v>
          </cell>
        </row>
        <row r="8719">
          <cell r="Z8719" t="str">
            <v>352429</v>
          </cell>
        </row>
        <row r="8720">
          <cell r="Z8720" t="str">
            <v>352500</v>
          </cell>
        </row>
        <row r="8721">
          <cell r="Z8721" t="str">
            <v>352510</v>
          </cell>
        </row>
        <row r="8722">
          <cell r="Z8722" t="str">
            <v>352511</v>
          </cell>
        </row>
        <row r="8723">
          <cell r="Z8723" t="str">
            <v>352512</v>
          </cell>
        </row>
        <row r="8724">
          <cell r="Z8724" t="str">
            <v>352513</v>
          </cell>
        </row>
        <row r="8725">
          <cell r="Z8725" t="str">
            <v>352514</v>
          </cell>
        </row>
        <row r="8726">
          <cell r="Z8726" t="str">
            <v>352519</v>
          </cell>
        </row>
        <row r="8727">
          <cell r="Z8727" t="str">
            <v>352520</v>
          </cell>
        </row>
        <row r="8728">
          <cell r="Z8728" t="str">
            <v>352521</v>
          </cell>
        </row>
        <row r="8729">
          <cell r="Z8729" t="str">
            <v>352522</v>
          </cell>
        </row>
        <row r="8730">
          <cell r="Z8730" t="str">
            <v>352523</v>
          </cell>
        </row>
        <row r="8731">
          <cell r="Z8731" t="str">
            <v>352524</v>
          </cell>
        </row>
        <row r="8732">
          <cell r="Z8732" t="str">
            <v>352529</v>
          </cell>
        </row>
        <row r="8733">
          <cell r="Z8733" t="str">
            <v>352530</v>
          </cell>
        </row>
        <row r="8734">
          <cell r="Z8734" t="str">
            <v>352531</v>
          </cell>
        </row>
        <row r="8735">
          <cell r="Z8735" t="str">
            <v>352532</v>
          </cell>
        </row>
        <row r="8736">
          <cell r="Z8736" t="str">
            <v>352533</v>
          </cell>
        </row>
        <row r="8737">
          <cell r="Z8737" t="str">
            <v>352534</v>
          </cell>
        </row>
        <row r="8738">
          <cell r="Z8738" t="str">
            <v>352539</v>
          </cell>
        </row>
        <row r="8739">
          <cell r="Z8739" t="str">
            <v>352540</v>
          </cell>
        </row>
        <row r="8740">
          <cell r="Z8740" t="str">
            <v>352541</v>
          </cell>
        </row>
        <row r="8741">
          <cell r="Z8741" t="str">
            <v>352542</v>
          </cell>
        </row>
        <row r="8742">
          <cell r="Z8742" t="str">
            <v>352543</v>
          </cell>
        </row>
        <row r="8743">
          <cell r="Z8743" t="str">
            <v>352544</v>
          </cell>
        </row>
        <row r="8744">
          <cell r="Z8744" t="str">
            <v>352549</v>
          </cell>
        </row>
        <row r="8745">
          <cell r="Z8745" t="str">
            <v>352600</v>
          </cell>
        </row>
        <row r="8746">
          <cell r="Z8746" t="str">
            <v>352610</v>
          </cell>
        </row>
        <row r="8747">
          <cell r="Z8747" t="str">
            <v>352611</v>
          </cell>
        </row>
        <row r="8748">
          <cell r="Z8748" t="str">
            <v>352612</v>
          </cell>
        </row>
        <row r="8749">
          <cell r="Z8749" t="str">
            <v>352613</v>
          </cell>
        </row>
        <row r="8750">
          <cell r="Z8750" t="str">
            <v>352614</v>
          </cell>
        </row>
        <row r="8751">
          <cell r="Z8751" t="str">
            <v>352619</v>
          </cell>
        </row>
        <row r="8752">
          <cell r="Z8752" t="str">
            <v>352620</v>
          </cell>
        </row>
        <row r="8753">
          <cell r="Z8753" t="str">
            <v>352621</v>
          </cell>
        </row>
        <row r="8754">
          <cell r="Z8754" t="str">
            <v>352622</v>
          </cell>
        </row>
        <row r="8755">
          <cell r="Z8755" t="str">
            <v>352623</v>
          </cell>
        </row>
        <row r="8756">
          <cell r="Z8756" t="str">
            <v>352624</v>
          </cell>
        </row>
        <row r="8757">
          <cell r="Z8757" t="str">
            <v>352629</v>
          </cell>
        </row>
        <row r="8758">
          <cell r="Z8758" t="str">
            <v>352700</v>
          </cell>
        </row>
        <row r="8759">
          <cell r="Z8759" t="str">
            <v>352710</v>
          </cell>
        </row>
        <row r="8760">
          <cell r="Z8760" t="str">
            <v>352711</v>
          </cell>
        </row>
        <row r="8761">
          <cell r="Z8761" t="str">
            <v>352712</v>
          </cell>
        </row>
        <row r="8762">
          <cell r="Z8762" t="str">
            <v>352713</v>
          </cell>
        </row>
        <row r="8763">
          <cell r="Z8763" t="str">
            <v>352714</v>
          </cell>
        </row>
        <row r="8764">
          <cell r="Z8764" t="str">
            <v>352719</v>
          </cell>
        </row>
        <row r="8765">
          <cell r="Z8765" t="str">
            <v>352720</v>
          </cell>
        </row>
        <row r="8766">
          <cell r="Z8766" t="str">
            <v>352721</v>
          </cell>
        </row>
        <row r="8767">
          <cell r="Z8767" t="str">
            <v>352722</v>
          </cell>
        </row>
        <row r="8768">
          <cell r="Z8768" t="str">
            <v>352723</v>
          </cell>
        </row>
        <row r="8769">
          <cell r="Z8769" t="str">
            <v>352724</v>
          </cell>
        </row>
        <row r="8770">
          <cell r="Z8770" t="str">
            <v>352729</v>
          </cell>
        </row>
        <row r="8771">
          <cell r="Z8771" t="str">
            <v>352730</v>
          </cell>
        </row>
        <row r="8772">
          <cell r="Z8772" t="str">
            <v>352731</v>
          </cell>
        </row>
        <row r="8773">
          <cell r="Z8773" t="str">
            <v>352732</v>
          </cell>
        </row>
        <row r="8774">
          <cell r="Z8774" t="str">
            <v>352733</v>
          </cell>
        </row>
        <row r="8775">
          <cell r="Z8775" t="str">
            <v>352734</v>
          </cell>
        </row>
        <row r="8776">
          <cell r="Z8776" t="str">
            <v>352739</v>
          </cell>
        </row>
        <row r="8777">
          <cell r="Z8777" t="str">
            <v>352740</v>
          </cell>
        </row>
        <row r="8778">
          <cell r="Z8778" t="str">
            <v>352741</v>
          </cell>
        </row>
        <row r="8779">
          <cell r="Z8779" t="str">
            <v>352742</v>
          </cell>
        </row>
        <row r="8780">
          <cell r="Z8780" t="str">
            <v>352743</v>
          </cell>
        </row>
        <row r="8781">
          <cell r="Z8781" t="str">
            <v>352744</v>
          </cell>
        </row>
        <row r="8782">
          <cell r="Z8782" t="str">
            <v>352749</v>
          </cell>
        </row>
        <row r="8783">
          <cell r="Z8783" t="str">
            <v>352800</v>
          </cell>
        </row>
        <row r="8784">
          <cell r="Z8784" t="str">
            <v>352801</v>
          </cell>
        </row>
        <row r="8785">
          <cell r="Z8785" t="str">
            <v>352802</v>
          </cell>
        </row>
        <row r="8786">
          <cell r="Z8786" t="str">
            <v>352803</v>
          </cell>
        </row>
        <row r="8787">
          <cell r="Z8787" t="str">
            <v>352804</v>
          </cell>
        </row>
        <row r="8788">
          <cell r="Z8788" t="str">
            <v>352809</v>
          </cell>
        </row>
        <row r="8789">
          <cell r="Z8789" t="str">
            <v>353000</v>
          </cell>
        </row>
        <row r="8790">
          <cell r="Z8790" t="str">
            <v>353100</v>
          </cell>
        </row>
        <row r="8791">
          <cell r="Z8791" t="str">
            <v>353110</v>
          </cell>
        </row>
        <row r="8792">
          <cell r="Z8792" t="str">
            <v>353111</v>
          </cell>
        </row>
        <row r="8793">
          <cell r="Z8793" t="str">
            <v>353112</v>
          </cell>
        </row>
        <row r="8794">
          <cell r="Z8794" t="str">
            <v>353113</v>
          </cell>
        </row>
        <row r="8795">
          <cell r="Z8795" t="str">
            <v>353114</v>
          </cell>
        </row>
        <row r="8796">
          <cell r="Z8796" t="str">
            <v>353119</v>
          </cell>
        </row>
        <row r="8797">
          <cell r="Z8797" t="str">
            <v>353120</v>
          </cell>
        </row>
        <row r="8798">
          <cell r="Z8798" t="str">
            <v>353121</v>
          </cell>
        </row>
        <row r="8799">
          <cell r="Z8799" t="str">
            <v>353122</v>
          </cell>
        </row>
        <row r="8800">
          <cell r="Z8800" t="str">
            <v>353123</v>
          </cell>
        </row>
        <row r="8801">
          <cell r="Z8801" t="str">
            <v>353124</v>
          </cell>
        </row>
        <row r="8802">
          <cell r="Z8802" t="str">
            <v>353129</v>
          </cell>
        </row>
        <row r="8803">
          <cell r="Z8803" t="str">
            <v>353200</v>
          </cell>
        </row>
        <row r="8804">
          <cell r="Z8804" t="str">
            <v>353210</v>
          </cell>
        </row>
        <row r="8805">
          <cell r="Z8805" t="str">
            <v>353211</v>
          </cell>
        </row>
        <row r="8806">
          <cell r="Z8806" t="str">
            <v>353212</v>
          </cell>
        </row>
        <row r="8807">
          <cell r="Z8807" t="str">
            <v>353213</v>
          </cell>
        </row>
        <row r="8808">
          <cell r="Z8808" t="str">
            <v>353214</v>
          </cell>
        </row>
        <row r="8809">
          <cell r="Z8809" t="str">
            <v>353219</v>
          </cell>
        </row>
        <row r="8810">
          <cell r="Z8810" t="str">
            <v>353220</v>
          </cell>
        </row>
        <row r="8811">
          <cell r="Z8811" t="str">
            <v>353221</v>
          </cell>
        </row>
        <row r="8812">
          <cell r="Z8812" t="str">
            <v>353222</v>
          </cell>
        </row>
        <row r="8813">
          <cell r="Z8813" t="str">
            <v>353223</v>
          </cell>
        </row>
        <row r="8814">
          <cell r="Z8814" t="str">
            <v>353224</v>
          </cell>
        </row>
        <row r="8815">
          <cell r="Z8815" t="str">
            <v>353229</v>
          </cell>
        </row>
        <row r="8816">
          <cell r="Z8816" t="str">
            <v>353300</v>
          </cell>
        </row>
        <row r="8817">
          <cell r="Z8817" t="str">
            <v>353301</v>
          </cell>
        </row>
        <row r="8818">
          <cell r="Z8818" t="str">
            <v>353302</v>
          </cell>
        </row>
        <row r="8819">
          <cell r="Z8819" t="str">
            <v>353303</v>
          </cell>
        </row>
        <row r="8820">
          <cell r="Z8820" t="str">
            <v>353304</v>
          </cell>
        </row>
        <row r="8821">
          <cell r="Z8821" t="str">
            <v>353309</v>
          </cell>
        </row>
        <row r="8822">
          <cell r="Z8822" t="str">
            <v>353400</v>
          </cell>
        </row>
        <row r="8823">
          <cell r="Z8823" t="str">
            <v>353410</v>
          </cell>
        </row>
        <row r="8824">
          <cell r="Z8824" t="str">
            <v>353411</v>
          </cell>
        </row>
        <row r="8825">
          <cell r="Z8825" t="str">
            <v>353412</v>
          </cell>
        </row>
        <row r="8826">
          <cell r="Z8826" t="str">
            <v>353413</v>
          </cell>
        </row>
        <row r="8827">
          <cell r="Z8827" t="str">
            <v>353414</v>
          </cell>
        </row>
        <row r="8828">
          <cell r="Z8828" t="str">
            <v>353419</v>
          </cell>
        </row>
        <row r="8829">
          <cell r="Z8829" t="str">
            <v>353420</v>
          </cell>
        </row>
        <row r="8830">
          <cell r="Z8830" t="str">
            <v>353421</v>
          </cell>
        </row>
        <row r="8831">
          <cell r="Z8831" t="str">
            <v>353422</v>
          </cell>
        </row>
        <row r="8832">
          <cell r="Z8832" t="str">
            <v>353423</v>
          </cell>
        </row>
        <row r="8833">
          <cell r="Z8833" t="str">
            <v>353424</v>
          </cell>
        </row>
        <row r="8834">
          <cell r="Z8834" t="str">
            <v>353429</v>
          </cell>
        </row>
        <row r="8835">
          <cell r="Z8835" t="str">
            <v>360000</v>
          </cell>
        </row>
        <row r="8836">
          <cell r="Z8836" t="str">
            <v>361000</v>
          </cell>
        </row>
        <row r="8837">
          <cell r="Z8837" t="str">
            <v>361100</v>
          </cell>
        </row>
        <row r="8838">
          <cell r="Z8838" t="str">
            <v>361101</v>
          </cell>
        </row>
        <row r="8839">
          <cell r="Z8839" t="str">
            <v>361102</v>
          </cell>
        </row>
        <row r="8840">
          <cell r="Z8840" t="str">
            <v>361103</v>
          </cell>
        </row>
        <row r="8841">
          <cell r="Z8841" t="str">
            <v>361104</v>
          </cell>
        </row>
        <row r="8842">
          <cell r="Z8842" t="str">
            <v>361109</v>
          </cell>
        </row>
        <row r="8843">
          <cell r="Z8843" t="str">
            <v>361200</v>
          </cell>
        </row>
        <row r="8844">
          <cell r="Z8844" t="str">
            <v>361201</v>
          </cell>
        </row>
        <row r="8845">
          <cell r="Z8845" t="str">
            <v>361202</v>
          </cell>
        </row>
        <row r="8846">
          <cell r="Z8846" t="str">
            <v>361203</v>
          </cell>
        </row>
        <row r="8847">
          <cell r="Z8847" t="str">
            <v>361204</v>
          </cell>
        </row>
        <row r="8848">
          <cell r="Z8848" t="str">
            <v>361209</v>
          </cell>
        </row>
        <row r="8849">
          <cell r="Z8849" t="str">
            <v>361300</v>
          </cell>
        </row>
        <row r="8850">
          <cell r="Z8850" t="str">
            <v>361301</v>
          </cell>
        </row>
        <row r="8851">
          <cell r="Z8851" t="str">
            <v>361302</v>
          </cell>
        </row>
        <row r="8852">
          <cell r="Z8852" t="str">
            <v>361303</v>
          </cell>
        </row>
        <row r="8853">
          <cell r="Z8853" t="str">
            <v>361304</v>
          </cell>
        </row>
        <row r="8854">
          <cell r="Z8854" t="str">
            <v>361309</v>
          </cell>
        </row>
        <row r="8855">
          <cell r="Z8855" t="str">
            <v>361400</v>
          </cell>
        </row>
        <row r="8856">
          <cell r="Z8856" t="str">
            <v>361401</v>
          </cell>
        </row>
        <row r="8857">
          <cell r="Z8857" t="str">
            <v>361402</v>
          </cell>
        </row>
        <row r="8858">
          <cell r="Z8858" t="str">
            <v>361403</v>
          </cell>
        </row>
        <row r="8859">
          <cell r="Z8859" t="str">
            <v>361404</v>
          </cell>
        </row>
        <row r="8860">
          <cell r="Z8860" t="str">
            <v>361409</v>
          </cell>
        </row>
        <row r="8861">
          <cell r="Z8861" t="str">
            <v>361500</v>
          </cell>
        </row>
        <row r="8862">
          <cell r="Z8862" t="str">
            <v>361501</v>
          </cell>
        </row>
        <row r="8863">
          <cell r="Z8863" t="str">
            <v>361502</v>
          </cell>
        </row>
        <row r="8864">
          <cell r="Z8864" t="str">
            <v>361503</v>
          </cell>
        </row>
        <row r="8865">
          <cell r="Z8865" t="str">
            <v>361504</v>
          </cell>
        </row>
        <row r="8866">
          <cell r="Z8866" t="str">
            <v>361509</v>
          </cell>
        </row>
        <row r="8867">
          <cell r="Z8867" t="str">
            <v>361600</v>
          </cell>
        </row>
        <row r="8868">
          <cell r="Z8868" t="str">
            <v>361601</v>
          </cell>
        </row>
        <row r="8869">
          <cell r="Z8869" t="str">
            <v>361602</v>
          </cell>
        </row>
        <row r="8870">
          <cell r="Z8870" t="str">
            <v>361603</v>
          </cell>
        </row>
        <row r="8871">
          <cell r="Z8871" t="str">
            <v>361604</v>
          </cell>
        </row>
        <row r="8872">
          <cell r="Z8872" t="str">
            <v>361609</v>
          </cell>
        </row>
        <row r="8873">
          <cell r="Z8873" t="str">
            <v>361700</v>
          </cell>
        </row>
        <row r="8874">
          <cell r="Z8874" t="str">
            <v>361701</v>
          </cell>
        </row>
        <row r="8875">
          <cell r="Z8875" t="str">
            <v>361702</v>
          </cell>
        </row>
        <row r="8876">
          <cell r="Z8876" t="str">
            <v>361703</v>
          </cell>
        </row>
        <row r="8877">
          <cell r="Z8877" t="str">
            <v>361704</v>
          </cell>
        </row>
        <row r="8878">
          <cell r="Z8878" t="str">
            <v>361709</v>
          </cell>
        </row>
        <row r="8879">
          <cell r="Z8879" t="str">
            <v>362000</v>
          </cell>
        </row>
        <row r="8880">
          <cell r="Z8880" t="str">
            <v>362001</v>
          </cell>
        </row>
        <row r="8881">
          <cell r="Z8881" t="str">
            <v>362002</v>
          </cell>
        </row>
        <row r="8882">
          <cell r="Z8882" t="str">
            <v>362003</v>
          </cell>
        </row>
        <row r="8883">
          <cell r="Z8883" t="str">
            <v>362004</v>
          </cell>
        </row>
        <row r="8884">
          <cell r="Z8884" t="str">
            <v>362009</v>
          </cell>
        </row>
        <row r="8885">
          <cell r="Z8885" t="str">
            <v>370000</v>
          </cell>
        </row>
        <row r="8886">
          <cell r="Z8886" t="str">
            <v>371000</v>
          </cell>
        </row>
        <row r="8887">
          <cell r="Z8887" t="str">
            <v>371100</v>
          </cell>
        </row>
        <row r="8888">
          <cell r="Z8888" t="str">
            <v>371101</v>
          </cell>
        </row>
        <row r="8889">
          <cell r="Z8889" t="str">
            <v>371102</v>
          </cell>
        </row>
        <row r="8890">
          <cell r="Z8890" t="str">
            <v>371103</v>
          </cell>
        </row>
        <row r="8891">
          <cell r="Z8891" t="str">
            <v>371104</v>
          </cell>
        </row>
        <row r="8892">
          <cell r="Z8892" t="str">
            <v>371109</v>
          </cell>
        </row>
        <row r="8893">
          <cell r="Z8893" t="str">
            <v>371200</v>
          </cell>
        </row>
        <row r="8894">
          <cell r="Z8894" t="str">
            <v>371201</v>
          </cell>
        </row>
        <row r="8895">
          <cell r="Z8895" t="str">
            <v>371202</v>
          </cell>
        </row>
        <row r="8896">
          <cell r="Z8896" t="str">
            <v>371203</v>
          </cell>
        </row>
        <row r="8897">
          <cell r="Z8897" t="str">
            <v>371204</v>
          </cell>
        </row>
        <row r="8898">
          <cell r="Z8898" t="str">
            <v>371209</v>
          </cell>
        </row>
        <row r="8899">
          <cell r="Z8899" t="str">
            <v>371300</v>
          </cell>
        </row>
        <row r="8900">
          <cell r="Z8900" t="str">
            <v>371310</v>
          </cell>
        </row>
        <row r="8901">
          <cell r="Z8901" t="str">
            <v>371311</v>
          </cell>
        </row>
        <row r="8902">
          <cell r="Z8902" t="str">
            <v>371312</v>
          </cell>
        </row>
        <row r="8903">
          <cell r="Z8903" t="str">
            <v>371313</v>
          </cell>
        </row>
        <row r="8904">
          <cell r="Z8904" t="str">
            <v>371314</v>
          </cell>
        </row>
        <row r="8905">
          <cell r="Z8905" t="str">
            <v>371319</v>
          </cell>
        </row>
        <row r="8906">
          <cell r="Z8906" t="str">
            <v>371320</v>
          </cell>
        </row>
        <row r="8907">
          <cell r="Z8907" t="str">
            <v>371321</v>
          </cell>
        </row>
        <row r="8908">
          <cell r="Z8908" t="str">
            <v>371322</v>
          </cell>
        </row>
        <row r="8909">
          <cell r="Z8909" t="str">
            <v>371323</v>
          </cell>
        </row>
        <row r="8910">
          <cell r="Z8910" t="str">
            <v>371324</v>
          </cell>
        </row>
        <row r="8911">
          <cell r="Z8911" t="str">
            <v>371329</v>
          </cell>
        </row>
        <row r="8912">
          <cell r="Z8912" t="str">
            <v>372000</v>
          </cell>
        </row>
        <row r="8913">
          <cell r="Z8913" t="str">
            <v>372100</v>
          </cell>
        </row>
        <row r="8914">
          <cell r="Z8914" t="str">
            <v>372101</v>
          </cell>
        </row>
        <row r="8915">
          <cell r="Z8915" t="str">
            <v>372102</v>
          </cell>
        </row>
        <row r="8916">
          <cell r="Z8916" t="str">
            <v>372103</v>
          </cell>
        </row>
        <row r="8917">
          <cell r="Z8917" t="str">
            <v>372104</v>
          </cell>
        </row>
        <row r="8918">
          <cell r="Z8918" t="str">
            <v>372109</v>
          </cell>
        </row>
        <row r="8919">
          <cell r="Z8919" t="str">
            <v>372200</v>
          </cell>
        </row>
        <row r="8920">
          <cell r="Z8920" t="str">
            <v>372201</v>
          </cell>
        </row>
        <row r="8921">
          <cell r="Z8921" t="str">
            <v>372202</v>
          </cell>
        </row>
        <row r="8922">
          <cell r="Z8922" t="str">
            <v>372203</v>
          </cell>
        </row>
        <row r="8923">
          <cell r="Z8923" t="str">
            <v>372204</v>
          </cell>
        </row>
        <row r="8924">
          <cell r="Z8924" t="str">
            <v>372209</v>
          </cell>
        </row>
        <row r="8925">
          <cell r="Z8925" t="str">
            <v>372300</v>
          </cell>
        </row>
        <row r="8926">
          <cell r="Z8926" t="str">
            <v>372301</v>
          </cell>
        </row>
        <row r="8927">
          <cell r="Z8927" t="str">
            <v>372302</v>
          </cell>
        </row>
        <row r="8928">
          <cell r="Z8928" t="str">
            <v>372303</v>
          </cell>
        </row>
        <row r="8929">
          <cell r="Z8929" t="str">
            <v>372304</v>
          </cell>
        </row>
        <row r="8930">
          <cell r="Z8930" t="str">
            <v>372309</v>
          </cell>
        </row>
        <row r="8931">
          <cell r="Z8931" t="str">
            <v>372400</v>
          </cell>
        </row>
        <row r="8932">
          <cell r="Z8932" t="str">
            <v>372401</v>
          </cell>
        </row>
        <row r="8933">
          <cell r="Z8933" t="str">
            <v>372402</v>
          </cell>
        </row>
        <row r="8934">
          <cell r="Z8934" t="str">
            <v>372403</v>
          </cell>
        </row>
        <row r="8935">
          <cell r="Z8935" t="str">
            <v>372404</v>
          </cell>
        </row>
        <row r="8936">
          <cell r="Z8936" t="str">
            <v>372409</v>
          </cell>
        </row>
        <row r="8937">
          <cell r="Z8937" t="str">
            <v>372500</v>
          </cell>
        </row>
        <row r="8938">
          <cell r="Z8938" t="str">
            <v>372501</v>
          </cell>
        </row>
        <row r="8939">
          <cell r="Z8939" t="str">
            <v>372502</v>
          </cell>
        </row>
        <row r="8940">
          <cell r="Z8940" t="str">
            <v>372503</v>
          </cell>
        </row>
        <row r="8941">
          <cell r="Z8941" t="str">
            <v>372504</v>
          </cell>
        </row>
        <row r="8942">
          <cell r="Z8942" t="str">
            <v>372509</v>
          </cell>
        </row>
        <row r="8943">
          <cell r="Z8943" t="str">
            <v>372600</v>
          </cell>
        </row>
        <row r="8944">
          <cell r="Z8944" t="str">
            <v>372601</v>
          </cell>
        </row>
        <row r="8945">
          <cell r="Z8945" t="str">
            <v>372602</v>
          </cell>
        </row>
        <row r="8946">
          <cell r="Z8946" t="str">
            <v>372603</v>
          </cell>
        </row>
        <row r="8947">
          <cell r="Z8947" t="str">
            <v>372604</v>
          </cell>
        </row>
        <row r="8948">
          <cell r="Z8948" t="str">
            <v>372609</v>
          </cell>
        </row>
        <row r="8949">
          <cell r="Z8949" t="str">
            <v>372700</v>
          </cell>
        </row>
        <row r="8950">
          <cell r="Z8950" t="str">
            <v>372701</v>
          </cell>
        </row>
        <row r="8951">
          <cell r="Z8951" t="str">
            <v>372702</v>
          </cell>
        </row>
        <row r="8952">
          <cell r="Z8952" t="str">
            <v>372703</v>
          </cell>
        </row>
        <row r="8953">
          <cell r="Z8953" t="str">
            <v>372704</v>
          </cell>
        </row>
        <row r="8954">
          <cell r="Z8954" t="str">
            <v>372709</v>
          </cell>
        </row>
        <row r="8955">
          <cell r="Z8955" t="str">
            <v>372800</v>
          </cell>
        </row>
        <row r="8956">
          <cell r="Z8956" t="str">
            <v>372801</v>
          </cell>
        </row>
        <row r="8957">
          <cell r="Z8957" t="str">
            <v>372802</v>
          </cell>
        </row>
        <row r="8958">
          <cell r="Z8958" t="str">
            <v>372803</v>
          </cell>
        </row>
        <row r="8959">
          <cell r="Z8959" t="str">
            <v>372804</v>
          </cell>
        </row>
        <row r="8960">
          <cell r="Z8960" t="str">
            <v>372809</v>
          </cell>
        </row>
        <row r="8961">
          <cell r="Z8961" t="str">
            <v>373000</v>
          </cell>
        </row>
        <row r="8962">
          <cell r="Z8962" t="str">
            <v>373001</v>
          </cell>
        </row>
        <row r="8963">
          <cell r="Z8963" t="str">
            <v>373002</v>
          </cell>
        </row>
        <row r="8964">
          <cell r="Z8964" t="str">
            <v>373003</v>
          </cell>
        </row>
        <row r="8965">
          <cell r="Z8965" t="str">
            <v>373004</v>
          </cell>
        </row>
        <row r="8966">
          <cell r="Z8966" t="str">
            <v>373009</v>
          </cell>
        </row>
        <row r="8967">
          <cell r="Z8967" t="str">
            <v>380000</v>
          </cell>
        </row>
        <row r="8968">
          <cell r="Z8968" t="str">
            <v>381000</v>
          </cell>
        </row>
        <row r="8969">
          <cell r="Z8969" t="str">
            <v>381001</v>
          </cell>
        </row>
        <row r="8970">
          <cell r="Z8970" t="str">
            <v>381002</v>
          </cell>
        </row>
        <row r="8971">
          <cell r="Z8971" t="str">
            <v>381003</v>
          </cell>
        </row>
        <row r="8972">
          <cell r="Z8972" t="str">
            <v>381004</v>
          </cell>
        </row>
        <row r="8973">
          <cell r="Z8973" t="str">
            <v>381009</v>
          </cell>
        </row>
        <row r="8974">
          <cell r="Z8974" t="str">
            <v>382000</v>
          </cell>
        </row>
        <row r="8975">
          <cell r="Z8975" t="str">
            <v>382001</v>
          </cell>
        </row>
        <row r="8976">
          <cell r="Z8976" t="str">
            <v>382002</v>
          </cell>
        </row>
        <row r="8977">
          <cell r="Z8977" t="str">
            <v>382003</v>
          </cell>
        </row>
        <row r="8978">
          <cell r="Z8978" t="str">
            <v>382004</v>
          </cell>
        </row>
        <row r="8979">
          <cell r="Z8979" t="str">
            <v>382009</v>
          </cell>
        </row>
        <row r="8980">
          <cell r="Z8980" t="str">
            <v>383000</v>
          </cell>
        </row>
        <row r="8981">
          <cell r="Z8981" t="str">
            <v>383001</v>
          </cell>
        </row>
        <row r="8982">
          <cell r="Z8982" t="str">
            <v>383002</v>
          </cell>
        </row>
        <row r="8983">
          <cell r="Z8983" t="str">
            <v>383003</v>
          </cell>
        </row>
        <row r="8984">
          <cell r="Z8984" t="str">
            <v>383004</v>
          </cell>
        </row>
        <row r="8985">
          <cell r="Z8985" t="str">
            <v>383009</v>
          </cell>
        </row>
        <row r="8986">
          <cell r="Z8986" t="str">
            <v>384000</v>
          </cell>
        </row>
        <row r="8987">
          <cell r="Z8987" t="str">
            <v>384001</v>
          </cell>
        </row>
        <row r="8988">
          <cell r="Z8988" t="str">
            <v>384002</v>
          </cell>
        </row>
        <row r="8989">
          <cell r="Z8989" t="str">
            <v>384003</v>
          </cell>
        </row>
        <row r="8990">
          <cell r="Z8990" t="str">
            <v>384004</v>
          </cell>
        </row>
        <row r="8991">
          <cell r="Z8991" t="str">
            <v>384009</v>
          </cell>
        </row>
        <row r="8992">
          <cell r="Z8992" t="str">
            <v>385000</v>
          </cell>
        </row>
        <row r="8993">
          <cell r="Z8993" t="str">
            <v>385001</v>
          </cell>
        </row>
        <row r="8994">
          <cell r="Z8994" t="str">
            <v>385002</v>
          </cell>
        </row>
        <row r="8995">
          <cell r="Z8995" t="str">
            <v>385003</v>
          </cell>
        </row>
        <row r="8996">
          <cell r="Z8996" t="str">
            <v>385004</v>
          </cell>
        </row>
        <row r="8997">
          <cell r="Z8997" t="str">
            <v>385009</v>
          </cell>
        </row>
        <row r="8998">
          <cell r="Z8998" t="str">
            <v>386000</v>
          </cell>
        </row>
        <row r="8999">
          <cell r="Z8999" t="str">
            <v>386002</v>
          </cell>
        </row>
        <row r="9000">
          <cell r="Z9000" t="str">
            <v>386003</v>
          </cell>
        </row>
        <row r="9001">
          <cell r="Z9001" t="str">
            <v>386004</v>
          </cell>
        </row>
        <row r="9002">
          <cell r="Z9002" t="str">
            <v>386009</v>
          </cell>
        </row>
        <row r="9003">
          <cell r="Z9003" t="str">
            <v>387000</v>
          </cell>
        </row>
        <row r="9004">
          <cell r="Z9004" t="str">
            <v>387001</v>
          </cell>
        </row>
        <row r="9005">
          <cell r="Z9005" t="str">
            <v>387002</v>
          </cell>
        </row>
        <row r="9006">
          <cell r="Z9006" t="str">
            <v>387003</v>
          </cell>
        </row>
        <row r="9007">
          <cell r="Z9007" t="str">
            <v>387004</v>
          </cell>
        </row>
        <row r="9008">
          <cell r="Z9008" t="str">
            <v>387009</v>
          </cell>
        </row>
        <row r="9009">
          <cell r="Z9009" t="str">
            <v>388000</v>
          </cell>
        </row>
        <row r="9010">
          <cell r="Z9010" t="str">
            <v>388001</v>
          </cell>
        </row>
        <row r="9011">
          <cell r="Z9011" t="str">
            <v>388002</v>
          </cell>
        </row>
        <row r="9012">
          <cell r="Z9012" t="str">
            <v>388003</v>
          </cell>
        </row>
        <row r="9013">
          <cell r="Z9013" t="str">
            <v>388004</v>
          </cell>
        </row>
        <row r="9014">
          <cell r="Z9014" t="str">
            <v>388009</v>
          </cell>
        </row>
        <row r="9015">
          <cell r="Z9015" t="str">
            <v>389000</v>
          </cell>
        </row>
        <row r="9016">
          <cell r="Z9016" t="str">
            <v>389100</v>
          </cell>
        </row>
        <row r="9017">
          <cell r="Z9017" t="str">
            <v>389101</v>
          </cell>
        </row>
        <row r="9018">
          <cell r="Z9018" t="str">
            <v>389102</v>
          </cell>
        </row>
        <row r="9019">
          <cell r="Z9019" t="str">
            <v>389103</v>
          </cell>
        </row>
        <row r="9020">
          <cell r="Z9020" t="str">
            <v>389104</v>
          </cell>
        </row>
        <row r="9021">
          <cell r="Z9021" t="str">
            <v>389109</v>
          </cell>
        </row>
        <row r="9022">
          <cell r="Z9022" t="str">
            <v>389200</v>
          </cell>
        </row>
        <row r="9023">
          <cell r="Z9023" t="str">
            <v>389210</v>
          </cell>
        </row>
        <row r="9024">
          <cell r="Z9024" t="str">
            <v>389201</v>
          </cell>
        </row>
        <row r="9025">
          <cell r="Z9025" t="str">
            <v>389202</v>
          </cell>
        </row>
        <row r="9026">
          <cell r="Z9026" t="str">
            <v>389203</v>
          </cell>
        </row>
        <row r="9027">
          <cell r="Z9027" t="str">
            <v>389204</v>
          </cell>
        </row>
        <row r="9028">
          <cell r="Z9028" t="str">
            <v>389209</v>
          </cell>
        </row>
        <row r="9029">
          <cell r="Z9029" t="str">
            <v>389220</v>
          </cell>
        </row>
        <row r="9030">
          <cell r="Z9030" t="str">
            <v>389221</v>
          </cell>
        </row>
        <row r="9031">
          <cell r="Z9031" t="str">
            <v>389222</v>
          </cell>
        </row>
        <row r="9032">
          <cell r="Z9032" t="str">
            <v>389223</v>
          </cell>
        </row>
        <row r="9033">
          <cell r="Z9033" t="str">
            <v>389224</v>
          </cell>
        </row>
        <row r="9034">
          <cell r="Z9034" t="str">
            <v>389229</v>
          </cell>
        </row>
        <row r="9035">
          <cell r="Z9035" t="str">
            <v>389300</v>
          </cell>
        </row>
        <row r="9036">
          <cell r="Z9036" t="str">
            <v>389301</v>
          </cell>
        </row>
        <row r="9037">
          <cell r="Z9037" t="str">
            <v>389302</v>
          </cell>
        </row>
        <row r="9038">
          <cell r="Z9038" t="str">
            <v>389303</v>
          </cell>
        </row>
        <row r="9039">
          <cell r="Z9039" t="str">
            <v>389304</v>
          </cell>
        </row>
        <row r="9040">
          <cell r="Z9040" t="str">
            <v>389309</v>
          </cell>
        </row>
        <row r="9041">
          <cell r="Z9041" t="str">
            <v/>
          </cell>
        </row>
        <row r="9042">
          <cell r="Z9042" t="str">
            <v/>
          </cell>
        </row>
        <row r="9043">
          <cell r="Z9043" t="str">
            <v>400000</v>
          </cell>
        </row>
        <row r="9044">
          <cell r="Z9044" t="str">
            <v>401000</v>
          </cell>
        </row>
        <row r="9045">
          <cell r="Z9045" t="str">
            <v>401100</v>
          </cell>
        </row>
        <row r="9046">
          <cell r="Z9046" t="str">
            <v>401101</v>
          </cell>
        </row>
        <row r="9047">
          <cell r="Z9047" t="str">
            <v>401102</v>
          </cell>
        </row>
        <row r="9048">
          <cell r="Z9048" t="str">
            <v>401103</v>
          </cell>
        </row>
        <row r="9049">
          <cell r="Z9049" t="str">
            <v>401104</v>
          </cell>
        </row>
        <row r="9050">
          <cell r="Z9050" t="str">
            <v>401109</v>
          </cell>
        </row>
        <row r="9051">
          <cell r="Z9051" t="str">
            <v>401200</v>
          </cell>
        </row>
        <row r="9052">
          <cell r="Z9052" t="str">
            <v>401201</v>
          </cell>
        </row>
        <row r="9053">
          <cell r="Z9053" t="str">
            <v>401202</v>
          </cell>
        </row>
        <row r="9054">
          <cell r="Z9054" t="str">
            <v>401203</v>
          </cell>
        </row>
        <row r="9055">
          <cell r="Z9055" t="str">
            <v>401204</v>
          </cell>
        </row>
        <row r="9056">
          <cell r="Z9056" t="str">
            <v>401209</v>
          </cell>
        </row>
        <row r="9057">
          <cell r="Z9057" t="str">
            <v>402000</v>
          </cell>
        </row>
        <row r="9058">
          <cell r="Z9058" t="str">
            <v>402001</v>
          </cell>
        </row>
        <row r="9059">
          <cell r="Z9059" t="str">
            <v>402002</v>
          </cell>
        </row>
        <row r="9060">
          <cell r="Z9060" t="str">
            <v>402003</v>
          </cell>
        </row>
        <row r="9061">
          <cell r="Z9061" t="str">
            <v>402004</v>
          </cell>
        </row>
        <row r="9062">
          <cell r="Z9062" t="str">
            <v>402009</v>
          </cell>
        </row>
        <row r="9063">
          <cell r="Z9063" t="str">
            <v>403000</v>
          </cell>
        </row>
        <row r="9064">
          <cell r="Z9064" t="str">
            <v>403001</v>
          </cell>
        </row>
        <row r="9065">
          <cell r="Z9065" t="str">
            <v>403002</v>
          </cell>
        </row>
        <row r="9066">
          <cell r="Z9066" t="str">
            <v>403003</v>
          </cell>
        </row>
        <row r="9067">
          <cell r="Z9067" t="str">
            <v>403004</v>
          </cell>
        </row>
        <row r="9068">
          <cell r="Z9068" t="str">
            <v>403009</v>
          </cell>
        </row>
        <row r="9069">
          <cell r="Z9069" t="str">
            <v>404000</v>
          </cell>
        </row>
        <row r="9070">
          <cell r="Z9070" t="str">
            <v>404100</v>
          </cell>
        </row>
        <row r="9071">
          <cell r="Z9071" t="str">
            <v>404101</v>
          </cell>
        </row>
        <row r="9072">
          <cell r="Z9072" t="str">
            <v>404102</v>
          </cell>
        </row>
        <row r="9073">
          <cell r="Z9073" t="str">
            <v>404103</v>
          </cell>
        </row>
        <row r="9074">
          <cell r="Z9074" t="str">
            <v>404104</v>
          </cell>
        </row>
        <row r="9075">
          <cell r="Z9075" t="str">
            <v>404109</v>
          </cell>
        </row>
        <row r="9076">
          <cell r="Z9076" t="str">
            <v>404200</v>
          </cell>
        </row>
        <row r="9077">
          <cell r="Z9077" t="str">
            <v>404201</v>
          </cell>
        </row>
        <row r="9078">
          <cell r="Z9078" t="str">
            <v>404202</v>
          </cell>
        </row>
        <row r="9079">
          <cell r="Z9079" t="str">
            <v>404203</v>
          </cell>
        </row>
        <row r="9080">
          <cell r="Z9080" t="str">
            <v>404204</v>
          </cell>
        </row>
        <row r="9081">
          <cell r="Z9081" t="str">
            <v>404209</v>
          </cell>
        </row>
        <row r="9082">
          <cell r="Z9082" t="str">
            <v>405000</v>
          </cell>
        </row>
        <row r="9083">
          <cell r="Z9083" t="str">
            <v>405100</v>
          </cell>
        </row>
        <row r="9084">
          <cell r="Z9084" t="str">
            <v>405001</v>
          </cell>
        </row>
        <row r="9085">
          <cell r="Z9085" t="str">
            <v>405002</v>
          </cell>
        </row>
        <row r="9086">
          <cell r="Z9086" t="str">
            <v>405003</v>
          </cell>
        </row>
        <row r="9087">
          <cell r="Z9087" t="str">
            <v>405004</v>
          </cell>
        </row>
        <row r="9088">
          <cell r="Z9088" t="str">
            <v>405009</v>
          </cell>
        </row>
        <row r="9089">
          <cell r="Z9089" t="str">
            <v>405200</v>
          </cell>
        </row>
        <row r="9090">
          <cell r="Z9090" t="str">
            <v>405201</v>
          </cell>
        </row>
        <row r="9091">
          <cell r="Z9091" t="str">
            <v>405202</v>
          </cell>
        </row>
        <row r="9092">
          <cell r="Z9092" t="str">
            <v>405203</v>
          </cell>
        </row>
        <row r="9093">
          <cell r="Z9093" t="str">
            <v>405204</v>
          </cell>
        </row>
        <row r="9094">
          <cell r="Z9094" t="str">
            <v>405209</v>
          </cell>
        </row>
        <row r="9095">
          <cell r="Z9095" t="str">
            <v>406000</v>
          </cell>
        </row>
        <row r="9096">
          <cell r="Z9096" t="str">
            <v>406001</v>
          </cell>
        </row>
        <row r="9097">
          <cell r="Z9097" t="str">
            <v>406002</v>
          </cell>
        </row>
        <row r="9098">
          <cell r="Z9098" t="str">
            <v>406003</v>
          </cell>
        </row>
        <row r="9099">
          <cell r="Z9099" t="str">
            <v>406004</v>
          </cell>
        </row>
        <row r="9100">
          <cell r="Z9100" t="str">
            <v>406009</v>
          </cell>
        </row>
        <row r="9101">
          <cell r="Z9101" t="str">
            <v>407000</v>
          </cell>
        </row>
        <row r="9102">
          <cell r="Z9102" t="str">
            <v>407001</v>
          </cell>
        </row>
        <row r="9103">
          <cell r="Z9103" t="str">
            <v>407002</v>
          </cell>
        </row>
        <row r="9104">
          <cell r="Z9104" t="str">
            <v>407003</v>
          </cell>
        </row>
        <row r="9105">
          <cell r="Z9105" t="str">
            <v>407004</v>
          </cell>
        </row>
        <row r="9106">
          <cell r="Z9106" t="str">
            <v>407009</v>
          </cell>
        </row>
        <row r="9107">
          <cell r="Z9107" t="str">
            <v>408000</v>
          </cell>
        </row>
        <row r="9108">
          <cell r="Z9108" t="str">
            <v>408001</v>
          </cell>
        </row>
        <row r="9109">
          <cell r="Z9109" t="str">
            <v>408002</v>
          </cell>
        </row>
        <row r="9110">
          <cell r="Z9110" t="str">
            <v>408003</v>
          </cell>
        </row>
        <row r="9111">
          <cell r="Z9111" t="str">
            <v>408004</v>
          </cell>
        </row>
        <row r="9112">
          <cell r="Z9112" t="str">
            <v>408009</v>
          </cell>
        </row>
        <row r="9113">
          <cell r="Z9113" t="str">
            <v/>
          </cell>
        </row>
        <row r="9114">
          <cell r="Z9114" t="str">
            <v/>
          </cell>
        </row>
        <row r="9115">
          <cell r="Z9115" t="str">
            <v/>
          </cell>
        </row>
        <row r="9116">
          <cell r="Z9116" t="str">
            <v/>
          </cell>
        </row>
        <row r="9117">
          <cell r="Z9117" t="str">
            <v/>
          </cell>
        </row>
        <row r="9118">
          <cell r="Z9118" t="str">
            <v/>
          </cell>
        </row>
        <row r="9119">
          <cell r="Z9119" t="str">
            <v/>
          </cell>
        </row>
        <row r="9120">
          <cell r="Z9120" t="str">
            <v/>
          </cell>
        </row>
        <row r="9121">
          <cell r="Z9121" t="str">
            <v/>
          </cell>
        </row>
        <row r="9122">
          <cell r="Z9122" t="str">
            <v/>
          </cell>
        </row>
        <row r="9123">
          <cell r="Z9123" t="str">
            <v/>
          </cell>
        </row>
        <row r="9124">
          <cell r="Z9124" t="str">
            <v/>
          </cell>
        </row>
        <row r="9125">
          <cell r="Z9125" t="str">
            <v/>
          </cell>
        </row>
      </sheetData>
      <sheetData sheetId="4">
        <row r="2">
          <cell r="F2">
            <v>1997316.82</v>
          </cell>
        </row>
        <row r="3200">
          <cell r="F3200">
            <v>1679228.299259</v>
          </cell>
        </row>
      </sheetData>
      <sheetData sheetId="5">
        <row r="2">
          <cell r="F2">
            <v>-531469.76999999979</v>
          </cell>
        </row>
        <row r="226">
          <cell r="F226">
            <v>-531469.76999999979</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ACBS"/>
      <sheetName val="ACIS"/>
      <sheetName val="ACIS.Cum"/>
      <sheetName val="BS nbc.1"/>
      <sheetName val="IS nbc.1"/>
      <sheetName val="IS nbc.Cum"/>
      <sheetName val="AL nbc"/>
      <sheetName val="AL nbc.1"/>
      <sheetName val="AL nbc.2"/>
      <sheetName val="BS nbc"/>
      <sheetName val="IS nbc"/>
    </sheetNames>
    <sheetDataSet>
      <sheetData sheetId="0"/>
      <sheetData sheetId="1"/>
      <sheetData sheetId="2">
        <row r="848">
          <cell r="U848">
            <v>379589353239.08002</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nks COA"/>
      <sheetName val="ODC "/>
      <sheetName val="PMP"/>
      <sheetName val="SRM"/>
      <sheetName val="tblconso2"/>
      <sheetName val="tblconso2 29082008"/>
    </sheetNames>
    <sheetDataSet>
      <sheetData sheetId="0" refreshError="1"/>
      <sheetData sheetId="1" refreshError="1"/>
      <sheetData sheetId="2">
        <row r="1">
          <cell r="E1" t="str">
            <v>acct</v>
          </cell>
          <cell r="F1" t="str">
            <v>acct_name</v>
          </cell>
          <cell r="G1" t="str">
            <v>acct_nature</v>
          </cell>
          <cell r="H1" t="str">
            <v>acct_post</v>
          </cell>
          <cell r="I1" t="str">
            <v>acct_sort</v>
          </cell>
          <cell r="J1" t="str">
            <v>cf_local_amt</v>
          </cell>
          <cell r="K1" t="str">
            <v>ent_date</v>
          </cell>
        </row>
        <row r="2">
          <cell r="E2" t="str">
            <v>100000</v>
          </cell>
          <cell r="F2" t="str">
            <v>Cash Due Banks and Customers</v>
          </cell>
          <cell r="G2" t="str">
            <v>D</v>
          </cell>
          <cell r="H2" t="str">
            <v>B</v>
          </cell>
          <cell r="I2" t="str">
            <v>1000</v>
          </cell>
          <cell r="J2">
            <v>89108807.540000007</v>
          </cell>
          <cell r="K2" t="str">
            <v>30/01/2009 00:00:00</v>
          </cell>
        </row>
        <row r="3">
          <cell r="E3" t="str">
            <v>110000</v>
          </cell>
          <cell r="F3" t="str">
            <v>Cash on Hand and Due Banks</v>
          </cell>
          <cell r="G3" t="str">
            <v>D</v>
          </cell>
          <cell r="H3" t="str">
            <v>B</v>
          </cell>
          <cell r="I3" t="str">
            <v>2000</v>
          </cell>
          <cell r="J3">
            <v>66049009.469999999</v>
          </cell>
          <cell r="K3" t="str">
            <v>30/01/2009 00:00:00</v>
          </cell>
        </row>
        <row r="4">
          <cell r="E4" t="str">
            <v>111000</v>
          </cell>
          <cell r="F4" t="str">
            <v>Cash in vault and on Hand</v>
          </cell>
          <cell r="G4" t="str">
            <v>D</v>
          </cell>
          <cell r="H4" t="str">
            <v>B</v>
          </cell>
          <cell r="I4" t="str">
            <v>3000</v>
          </cell>
          <cell r="J4">
            <v>1478951.98</v>
          </cell>
          <cell r="K4" t="str">
            <v>30/01/2009 00:00:00</v>
          </cell>
        </row>
        <row r="5">
          <cell r="E5" t="str">
            <v>111100</v>
          </cell>
          <cell r="F5" t="str">
            <v>Cash in vault and on Hand</v>
          </cell>
          <cell r="G5" t="str">
            <v>D</v>
          </cell>
          <cell r="H5" t="str">
            <v>B</v>
          </cell>
          <cell r="I5" t="str">
            <v>4000</v>
          </cell>
          <cell r="J5">
            <v>1478951.98</v>
          </cell>
          <cell r="K5" t="str">
            <v>30/01/2009 00:00:00</v>
          </cell>
        </row>
        <row r="6">
          <cell r="E6" t="str">
            <v>111101</v>
          </cell>
          <cell r="F6" t="str">
            <v>Cash in vault and on Hand - KHR</v>
          </cell>
          <cell r="G6" t="str">
            <v>D</v>
          </cell>
          <cell r="H6" t="str">
            <v>0</v>
          </cell>
          <cell r="I6" t="str">
            <v>5000</v>
          </cell>
          <cell r="J6">
            <v>4859.09</v>
          </cell>
          <cell r="K6" t="str">
            <v>30/01/2009 00:00:00</v>
          </cell>
        </row>
        <row r="7">
          <cell r="E7" t="str">
            <v>111102</v>
          </cell>
          <cell r="F7" t="str">
            <v>Cash in vault and on Hand - USD</v>
          </cell>
          <cell r="G7" t="str">
            <v>D</v>
          </cell>
          <cell r="H7" t="str">
            <v>0</v>
          </cell>
          <cell r="I7" t="str">
            <v>6000</v>
          </cell>
          <cell r="J7">
            <v>869620.66</v>
          </cell>
          <cell r="K7" t="str">
            <v>30/01/2009 00:00:00</v>
          </cell>
        </row>
        <row r="8">
          <cell r="E8" t="str">
            <v>111105</v>
          </cell>
          <cell r="F8" t="str">
            <v>Cash in vault and on Hand - THB</v>
          </cell>
          <cell r="G8" t="str">
            <v>D</v>
          </cell>
          <cell r="H8" t="str">
            <v>0</v>
          </cell>
          <cell r="I8" t="str">
            <v>7000</v>
          </cell>
          <cell r="J8">
            <v>604472.23</v>
          </cell>
          <cell r="K8" t="str">
            <v>30/01/2009 00:00:00</v>
          </cell>
        </row>
        <row r="9">
          <cell r="E9" t="str">
            <v>113000</v>
          </cell>
          <cell r="F9" t="str">
            <v>Gold and precious metal</v>
          </cell>
          <cell r="G9" t="str">
            <v>D</v>
          </cell>
          <cell r="H9" t="str">
            <v>B</v>
          </cell>
          <cell r="I9" t="str">
            <v>8000</v>
          </cell>
          <cell r="J9">
            <v>6862.97</v>
          </cell>
          <cell r="K9" t="str">
            <v>30/01/2009 00:00:00</v>
          </cell>
        </row>
        <row r="10">
          <cell r="E10" t="str">
            <v>113101</v>
          </cell>
          <cell r="F10" t="str">
            <v>Gold -KHR</v>
          </cell>
          <cell r="G10" t="str">
            <v>D</v>
          </cell>
          <cell r="H10" t="str">
            <v>0</v>
          </cell>
          <cell r="I10" t="str">
            <v>9000</v>
          </cell>
          <cell r="J10">
            <v>6862.97</v>
          </cell>
          <cell r="K10" t="str">
            <v>30/01/2009 00:00:00</v>
          </cell>
        </row>
        <row r="11">
          <cell r="E11" t="str">
            <v>114000</v>
          </cell>
          <cell r="F11" t="str">
            <v>Due NBC</v>
          </cell>
          <cell r="G11" t="str">
            <v>D</v>
          </cell>
          <cell r="H11" t="str">
            <v>B</v>
          </cell>
          <cell r="I11" t="str">
            <v>10000</v>
          </cell>
          <cell r="J11">
            <v>64563194.520000003</v>
          </cell>
          <cell r="K11" t="str">
            <v>30/01/2009 00:00:00</v>
          </cell>
        </row>
        <row r="12">
          <cell r="E12" t="str">
            <v>114100</v>
          </cell>
          <cell r="F12" t="str">
            <v>C/A (Nostro) with NBC</v>
          </cell>
          <cell r="G12" t="str">
            <v>D</v>
          </cell>
          <cell r="H12" t="str">
            <v>B</v>
          </cell>
          <cell r="I12" t="str">
            <v>11000</v>
          </cell>
          <cell r="J12">
            <v>2620194.52</v>
          </cell>
          <cell r="K12" t="str">
            <v>30/01/2009 00:00:00</v>
          </cell>
        </row>
        <row r="13">
          <cell r="E13" t="str">
            <v>114101</v>
          </cell>
          <cell r="F13" t="str">
            <v>C/A (Nostro) with NBC -KHR</v>
          </cell>
          <cell r="G13" t="str">
            <v>D</v>
          </cell>
          <cell r="H13" t="str">
            <v>0</v>
          </cell>
          <cell r="I13" t="str">
            <v>12000</v>
          </cell>
          <cell r="J13">
            <v>61103.74</v>
          </cell>
          <cell r="K13" t="str">
            <v>30/01/2009 00:00:00</v>
          </cell>
        </row>
        <row r="14">
          <cell r="E14" t="str">
            <v>114102</v>
          </cell>
          <cell r="F14" t="str">
            <v>C/A (Nostro) with NBC -USD</v>
          </cell>
          <cell r="G14" t="str">
            <v>D</v>
          </cell>
          <cell r="H14" t="str">
            <v>0</v>
          </cell>
          <cell r="I14" t="str">
            <v>13000</v>
          </cell>
          <cell r="J14">
            <v>2559090.7799999998</v>
          </cell>
          <cell r="K14" t="str">
            <v>30/01/2009 00:00:00</v>
          </cell>
        </row>
        <row r="15">
          <cell r="E15" t="str">
            <v>114200</v>
          </cell>
          <cell r="F15" t="str">
            <v>Capital Guarantee Deposit with NBC</v>
          </cell>
          <cell r="G15" t="str">
            <v>D</v>
          </cell>
          <cell r="H15" t="str">
            <v>B</v>
          </cell>
          <cell r="I15" t="str">
            <v>13100</v>
          </cell>
          <cell r="J15">
            <v>1300000</v>
          </cell>
          <cell r="K15" t="str">
            <v>30/01/2009 00:00:00</v>
          </cell>
        </row>
        <row r="16">
          <cell r="E16" t="str">
            <v>114202</v>
          </cell>
          <cell r="F16" t="str">
            <v>Capital Guarantee Deposit with NBC -USD</v>
          </cell>
          <cell r="G16" t="str">
            <v>D</v>
          </cell>
          <cell r="H16" t="str">
            <v>0</v>
          </cell>
          <cell r="I16" t="str">
            <v>13200</v>
          </cell>
          <cell r="J16">
            <v>1300000</v>
          </cell>
          <cell r="K16" t="str">
            <v>30/01/2009 00:00:00</v>
          </cell>
        </row>
        <row r="17">
          <cell r="E17" t="str">
            <v>114300</v>
          </cell>
          <cell r="F17" t="str">
            <v>Reserve Requirement with NBC</v>
          </cell>
          <cell r="G17" t="str">
            <v>D</v>
          </cell>
          <cell r="H17" t="str">
            <v>B</v>
          </cell>
          <cell r="I17" t="str">
            <v>13300</v>
          </cell>
          <cell r="J17">
            <v>13643000</v>
          </cell>
          <cell r="K17" t="str">
            <v>30/01/2009 00:00:00</v>
          </cell>
        </row>
        <row r="18">
          <cell r="E18" t="str">
            <v>114302</v>
          </cell>
          <cell r="F18" t="str">
            <v>Reserve Requirement with NBC -USD</v>
          </cell>
          <cell r="G18" t="str">
            <v>D</v>
          </cell>
          <cell r="H18" t="str">
            <v>0</v>
          </cell>
          <cell r="I18" t="str">
            <v>14000</v>
          </cell>
          <cell r="J18">
            <v>13643000</v>
          </cell>
          <cell r="K18" t="str">
            <v>30/01/2009 00:00:00</v>
          </cell>
        </row>
        <row r="19">
          <cell r="E19" t="str">
            <v>114400</v>
          </cell>
          <cell r="F19" t="str">
            <v>Other Deposit with NBC</v>
          </cell>
          <cell r="G19" t="str">
            <v>D</v>
          </cell>
          <cell r="H19" t="str">
            <v>B</v>
          </cell>
          <cell r="I19" t="str">
            <v>15000</v>
          </cell>
          <cell r="J19">
            <v>0</v>
          </cell>
          <cell r="K19" t="str">
            <v>30/01/2009 00:00:00</v>
          </cell>
        </row>
        <row r="20">
          <cell r="E20" t="str">
            <v>114402</v>
          </cell>
          <cell r="F20" t="str">
            <v>Other Deposit with NBC -USD</v>
          </cell>
          <cell r="G20" t="str">
            <v>D</v>
          </cell>
          <cell r="H20" t="str">
            <v>0</v>
          </cell>
          <cell r="I20" t="str">
            <v>16000</v>
          </cell>
          <cell r="J20">
            <v>0</v>
          </cell>
          <cell r="K20" t="str">
            <v>30/01/2009 00:00:00</v>
          </cell>
        </row>
        <row r="21">
          <cell r="E21" t="str">
            <v>114600</v>
          </cell>
          <cell r="F21" t="str">
            <v>Short Term Time Deposit with NBC</v>
          </cell>
          <cell r="G21" t="str">
            <v>D</v>
          </cell>
          <cell r="H21" t="str">
            <v>B</v>
          </cell>
          <cell r="I21" t="str">
            <v>16100</v>
          </cell>
          <cell r="J21">
            <v>47000000</v>
          </cell>
          <cell r="K21" t="str">
            <v>30/01/2009 00:00:00</v>
          </cell>
        </row>
        <row r="22">
          <cell r="E22" t="str">
            <v>114602</v>
          </cell>
          <cell r="F22" t="str">
            <v>Short Term Time Deposit with NBC-USD</v>
          </cell>
          <cell r="G22" t="str">
            <v>D</v>
          </cell>
          <cell r="H22" t="str">
            <v>0</v>
          </cell>
          <cell r="I22" t="str">
            <v>16200</v>
          </cell>
          <cell r="J22">
            <v>47000000</v>
          </cell>
          <cell r="K22" t="str">
            <v>30/01/2009 00:00:00</v>
          </cell>
        </row>
        <row r="23">
          <cell r="E23" t="str">
            <v>120000</v>
          </cell>
          <cell r="F23" t="str">
            <v>Loans and Placements with Banks</v>
          </cell>
          <cell r="G23" t="str">
            <v>D</v>
          </cell>
          <cell r="H23" t="str">
            <v>B</v>
          </cell>
          <cell r="I23" t="str">
            <v>16300</v>
          </cell>
          <cell r="J23">
            <v>5063888.8899999997</v>
          </cell>
          <cell r="K23" t="str">
            <v>30/01/2009 00:00:00</v>
          </cell>
        </row>
        <row r="24">
          <cell r="E24" t="str">
            <v>121000</v>
          </cell>
          <cell r="F24" t="str">
            <v>Standard Loans and Placements with Banks</v>
          </cell>
          <cell r="G24" t="str">
            <v>D</v>
          </cell>
          <cell r="H24" t="str">
            <v>B</v>
          </cell>
          <cell r="I24" t="str">
            <v>16400</v>
          </cell>
          <cell r="J24">
            <v>5063888.8899999997</v>
          </cell>
          <cell r="K24" t="str">
            <v>30/01/2009 00:00:00</v>
          </cell>
        </row>
        <row r="25">
          <cell r="E25" t="str">
            <v>121300</v>
          </cell>
          <cell r="F25" t="str">
            <v>Standard Deposits-Shor term Time Deposit in Other Banks</v>
          </cell>
          <cell r="G25" t="str">
            <v>D</v>
          </cell>
          <cell r="H25" t="str">
            <v>B</v>
          </cell>
          <cell r="I25" t="str">
            <v>16500</v>
          </cell>
          <cell r="J25">
            <v>5063888.8899999997</v>
          </cell>
          <cell r="K25" t="str">
            <v>30/01/2009 00:00:00</v>
          </cell>
        </row>
        <row r="26">
          <cell r="E26" t="str">
            <v>121340</v>
          </cell>
          <cell r="F26" t="str">
            <v>Standard Deposits-Shor term Time Deposit with HO/Branches-Non Resident</v>
          </cell>
          <cell r="G26" t="str">
            <v>D</v>
          </cell>
          <cell r="H26" t="str">
            <v>B</v>
          </cell>
          <cell r="I26" t="str">
            <v>16600</v>
          </cell>
          <cell r="J26">
            <v>5063888.8899999997</v>
          </cell>
          <cell r="K26" t="str">
            <v>30/01/2009 00:00:00</v>
          </cell>
        </row>
        <row r="27">
          <cell r="E27" t="str">
            <v>121342</v>
          </cell>
          <cell r="F27" t="str">
            <v>Standard Deposits-Shor term Time Deposit with HO/Branches-Non Resident-USD</v>
          </cell>
          <cell r="G27" t="str">
            <v>D</v>
          </cell>
          <cell r="H27" t="str">
            <v>0</v>
          </cell>
          <cell r="I27" t="str">
            <v>16700</v>
          </cell>
          <cell r="J27">
            <v>5063888.8899999997</v>
          </cell>
          <cell r="K27" t="str">
            <v>30/01/2009 00:00:00</v>
          </cell>
        </row>
        <row r="28">
          <cell r="E28" t="str">
            <v>130000</v>
          </cell>
          <cell r="F28" t="str">
            <v>Standard Loans and Lease Financing</v>
          </cell>
          <cell r="G28" t="str">
            <v>D</v>
          </cell>
          <cell r="H28" t="str">
            <v>B</v>
          </cell>
          <cell r="I28" t="str">
            <v>17000</v>
          </cell>
          <cell r="J28">
            <v>18169866.27</v>
          </cell>
          <cell r="K28" t="str">
            <v>30/01/2009 00:00:00</v>
          </cell>
        </row>
        <row r="29">
          <cell r="E29" t="str">
            <v>132000</v>
          </cell>
          <cell r="F29" t="str">
            <v>Standard Loans - Commercial Loans</v>
          </cell>
          <cell r="G29" t="str">
            <v>D</v>
          </cell>
          <cell r="H29" t="str">
            <v>B</v>
          </cell>
          <cell r="I29" t="str">
            <v>18000</v>
          </cell>
          <cell r="J29">
            <v>18159964.170000002</v>
          </cell>
          <cell r="K29" t="str">
            <v>30/01/2009 00:00:00</v>
          </cell>
        </row>
        <row r="30">
          <cell r="E30" t="str">
            <v>132100</v>
          </cell>
          <cell r="F30" t="str">
            <v>Standard Loans - Overdraft (Permanent Line of Credit)</v>
          </cell>
          <cell r="G30" t="str">
            <v>D</v>
          </cell>
          <cell r="H30" t="str">
            <v>B</v>
          </cell>
          <cell r="I30" t="str">
            <v>19000</v>
          </cell>
          <cell r="J30">
            <v>869829.92</v>
          </cell>
          <cell r="K30" t="str">
            <v>30/01/2009 00:00:00</v>
          </cell>
        </row>
        <row r="31">
          <cell r="E31" t="str">
            <v>132110</v>
          </cell>
          <cell r="F31" t="str">
            <v>Standard Loans - Overdraft (Permanent Line of Credit) - Private Sector - Resident</v>
          </cell>
          <cell r="G31" t="str">
            <v>D</v>
          </cell>
          <cell r="H31" t="str">
            <v>B</v>
          </cell>
          <cell r="I31" t="str">
            <v>20000</v>
          </cell>
          <cell r="J31">
            <v>869829.92</v>
          </cell>
          <cell r="K31" t="str">
            <v>30/01/2009 00:00:00</v>
          </cell>
        </row>
        <row r="32">
          <cell r="E32" t="str">
            <v>132112</v>
          </cell>
          <cell r="F32" t="str">
            <v>STD Loans - O/D (Permanent Line of Credit) - Private Sector - Resident -USD</v>
          </cell>
          <cell r="G32" t="str">
            <v>D</v>
          </cell>
          <cell r="H32" t="str">
            <v>0</v>
          </cell>
          <cell r="I32" t="str">
            <v>22000</v>
          </cell>
          <cell r="J32">
            <v>869829.92</v>
          </cell>
          <cell r="K32" t="str">
            <v>30/01/2009 00:00:00</v>
          </cell>
        </row>
        <row r="33">
          <cell r="E33" t="str">
            <v>132200</v>
          </cell>
          <cell r="F33" t="str">
            <v>Standard Loans-Short term Commercial Loans</v>
          </cell>
          <cell r="G33" t="str">
            <v>D</v>
          </cell>
          <cell r="H33" t="str">
            <v>B</v>
          </cell>
          <cell r="I33" t="str">
            <v>23100</v>
          </cell>
          <cell r="J33">
            <v>1402500</v>
          </cell>
          <cell r="K33" t="str">
            <v>30/01/2009 00:00:00</v>
          </cell>
        </row>
        <row r="34">
          <cell r="E34" t="str">
            <v>132210</v>
          </cell>
          <cell r="F34" t="str">
            <v>Standard Loans-Short term Commercial Loans-Private Sector-Resident</v>
          </cell>
          <cell r="G34" t="str">
            <v>D</v>
          </cell>
          <cell r="H34" t="str">
            <v>B</v>
          </cell>
          <cell r="I34" t="str">
            <v>23200</v>
          </cell>
          <cell r="J34">
            <v>1402500</v>
          </cell>
          <cell r="K34" t="str">
            <v>30/01/2009 00:00:00</v>
          </cell>
        </row>
        <row r="35">
          <cell r="E35" t="str">
            <v>132212</v>
          </cell>
          <cell r="F35" t="str">
            <v>Standard Loans-Short term Commercial Loans-Private Sector-Resident-USD</v>
          </cell>
          <cell r="G35" t="str">
            <v>D</v>
          </cell>
          <cell r="H35" t="str">
            <v>B</v>
          </cell>
          <cell r="I35" t="str">
            <v>23300</v>
          </cell>
          <cell r="J35">
            <v>1402500</v>
          </cell>
          <cell r="K35" t="str">
            <v>30/01/2009 00:00:00</v>
          </cell>
        </row>
        <row r="36">
          <cell r="E36" t="str">
            <v>13221201</v>
          </cell>
          <cell r="F36" t="str">
            <v>Standard Loans-(LBD)-Short term Commercial Loans-Private Sector-Resident-USD</v>
          </cell>
          <cell r="G36" t="str">
            <v>D</v>
          </cell>
          <cell r="H36" t="str">
            <v>0</v>
          </cell>
          <cell r="I36" t="str">
            <v>23400</v>
          </cell>
          <cell r="J36">
            <v>0</v>
          </cell>
          <cell r="K36" t="str">
            <v>30/01/2009 00:00:00</v>
          </cell>
        </row>
        <row r="37">
          <cell r="E37" t="str">
            <v>13221202</v>
          </cell>
          <cell r="F37" t="str">
            <v>Standard Loans-(LBP)-Short term Commercial Loans-Private Sector-Resident-USD</v>
          </cell>
          <cell r="G37" t="str">
            <v>D</v>
          </cell>
          <cell r="H37" t="str">
            <v>0</v>
          </cell>
          <cell r="I37" t="str">
            <v>23500</v>
          </cell>
          <cell r="J37">
            <v>1402500</v>
          </cell>
          <cell r="K37" t="str">
            <v>30/01/2009 00:00:00</v>
          </cell>
        </row>
        <row r="38">
          <cell r="E38" t="str">
            <v>132222</v>
          </cell>
          <cell r="F38" t="str">
            <v>Standard Loans-Short term Commercial Loans-Private Sector-Non Resident-USD</v>
          </cell>
          <cell r="G38" t="str">
            <v>D</v>
          </cell>
          <cell r="H38" t="str">
            <v>B</v>
          </cell>
          <cell r="I38" t="str">
            <v>23700</v>
          </cell>
          <cell r="J38">
            <v>0</v>
          </cell>
          <cell r="K38" t="str">
            <v>30/01/2009 00:00:00</v>
          </cell>
        </row>
        <row r="39">
          <cell r="E39" t="str">
            <v>13222201</v>
          </cell>
          <cell r="F39" t="str">
            <v>Standard Loans-(LBD)-Short term Commercial Loans-Private Sector-Non Resident-USD</v>
          </cell>
          <cell r="G39" t="str">
            <v>D</v>
          </cell>
          <cell r="H39" t="str">
            <v>0</v>
          </cell>
          <cell r="I39" t="str">
            <v>23800</v>
          </cell>
          <cell r="J39">
            <v>0</v>
          </cell>
          <cell r="K39" t="str">
            <v>30/01/2009 00:00:00</v>
          </cell>
        </row>
        <row r="40">
          <cell r="E40" t="str">
            <v>13222202</v>
          </cell>
          <cell r="F40" t="str">
            <v>Standard Loans-(LBP)-Short term Commercial Loans-Private Sector-Non Resident-USD</v>
          </cell>
          <cell r="G40" t="str">
            <v>D</v>
          </cell>
          <cell r="H40" t="str">
            <v>0</v>
          </cell>
          <cell r="I40" t="str">
            <v>23900</v>
          </cell>
          <cell r="J40">
            <v>0</v>
          </cell>
          <cell r="K40" t="str">
            <v>30/01/2009 00:00:00</v>
          </cell>
        </row>
        <row r="41">
          <cell r="E41" t="str">
            <v>132300</v>
          </cell>
          <cell r="F41" t="str">
            <v>Standard Loans - Long term Commercial Loans</v>
          </cell>
          <cell r="G41" t="str">
            <v>D</v>
          </cell>
          <cell r="H41" t="str">
            <v>B</v>
          </cell>
          <cell r="I41" t="str">
            <v>24000</v>
          </cell>
          <cell r="J41">
            <v>12905510</v>
          </cell>
          <cell r="K41" t="str">
            <v>30/01/2009 00:00:00</v>
          </cell>
        </row>
        <row r="42">
          <cell r="E42" t="str">
            <v>132370</v>
          </cell>
          <cell r="F42" t="str">
            <v>Standard Loans - Other Long term Loans</v>
          </cell>
          <cell r="G42" t="str">
            <v>D</v>
          </cell>
          <cell r="H42" t="str">
            <v>B</v>
          </cell>
          <cell r="I42" t="str">
            <v>25000</v>
          </cell>
          <cell r="J42">
            <v>12905510</v>
          </cell>
          <cell r="K42" t="str">
            <v>30/01/2009 00:00:00</v>
          </cell>
        </row>
        <row r="43">
          <cell r="E43" t="str">
            <v>132372</v>
          </cell>
          <cell r="F43" t="str">
            <v>STD Loans - Other Long term Loans - Private Sector - Resident -USD</v>
          </cell>
          <cell r="G43" t="str">
            <v>D</v>
          </cell>
          <cell r="H43" t="str">
            <v>0</v>
          </cell>
          <cell r="I43" t="str">
            <v>27000</v>
          </cell>
          <cell r="J43">
            <v>12905510</v>
          </cell>
          <cell r="K43" t="str">
            <v>30/01/2009 00:00:00</v>
          </cell>
        </row>
        <row r="44">
          <cell r="E44" t="str">
            <v>132700</v>
          </cell>
          <cell r="F44" t="str">
            <v>Standard Loans - Trade and Documentary Credits</v>
          </cell>
          <cell r="G44" t="str">
            <v>D</v>
          </cell>
          <cell r="H44" t="str">
            <v>B</v>
          </cell>
          <cell r="I44" t="str">
            <v>34000</v>
          </cell>
          <cell r="J44">
            <v>2982124.25</v>
          </cell>
          <cell r="K44" t="str">
            <v>30/01/2009 00:00:00</v>
          </cell>
        </row>
        <row r="45">
          <cell r="E45" t="str">
            <v>132740</v>
          </cell>
          <cell r="F45" t="str">
            <v>Standard Loans - Other - Bill of Exchange (BoE)</v>
          </cell>
          <cell r="G45" t="str">
            <v>D</v>
          </cell>
          <cell r="H45" t="str">
            <v>B</v>
          </cell>
          <cell r="I45" t="str">
            <v>35000</v>
          </cell>
          <cell r="J45">
            <v>0</v>
          </cell>
          <cell r="K45" t="str">
            <v>30/01/2009 00:00:00</v>
          </cell>
        </row>
        <row r="46">
          <cell r="E46" t="str">
            <v>132742</v>
          </cell>
          <cell r="F46" t="str">
            <v>STD Loans - Other Bill of Exchange (BoE) - Private Sector - Resident -USD</v>
          </cell>
          <cell r="G46" t="str">
            <v>D</v>
          </cell>
          <cell r="H46" t="str">
            <v>0</v>
          </cell>
          <cell r="I46" t="str">
            <v>37000</v>
          </cell>
          <cell r="J46">
            <v>0</v>
          </cell>
          <cell r="K46" t="str">
            <v>30/01/2009 00:00:00</v>
          </cell>
        </row>
        <row r="47">
          <cell r="E47" t="str">
            <v>13274202</v>
          </cell>
          <cell r="F47" t="str">
            <v>STD Loans - Other Bill of Exchange (P/C-under L/C) - Private Sector - Resident -USD</v>
          </cell>
          <cell r="G47" t="str">
            <v>D</v>
          </cell>
          <cell r="H47" t="str">
            <v>0</v>
          </cell>
          <cell r="I47" t="str">
            <v>37200</v>
          </cell>
          <cell r="J47">
            <v>0</v>
          </cell>
          <cell r="K47" t="str">
            <v>30/01/2009 00:00:00</v>
          </cell>
        </row>
        <row r="48">
          <cell r="E48" t="str">
            <v>13274203</v>
          </cell>
          <cell r="F48" t="str">
            <v>STD Loans - Other Bill of Exchange (FPL) - Private Sector - Resident -USD</v>
          </cell>
          <cell r="G48" t="str">
            <v>D</v>
          </cell>
          <cell r="H48" t="str">
            <v>0</v>
          </cell>
          <cell r="I48" t="str">
            <v>37300</v>
          </cell>
          <cell r="J48">
            <v>0</v>
          </cell>
          <cell r="K48" t="str">
            <v>30/01/2009 00:00:00</v>
          </cell>
        </row>
        <row r="49">
          <cell r="E49" t="str">
            <v>13274204</v>
          </cell>
          <cell r="F49" t="str">
            <v>STD Loans - Other Bill of Exchange (P/C-under Contract/Order) - Private Sector - Resident -USD</v>
          </cell>
          <cell r="G49" t="str">
            <v>D</v>
          </cell>
          <cell r="H49" t="str">
            <v>0</v>
          </cell>
          <cell r="I49" t="str">
            <v>37400</v>
          </cell>
          <cell r="J49">
            <v>0</v>
          </cell>
          <cell r="K49" t="str">
            <v>30/01/2009 00:00:00</v>
          </cell>
        </row>
        <row r="50">
          <cell r="E50" t="str">
            <v>132770</v>
          </cell>
          <cell r="F50" t="str">
            <v>Standard Loans - Trust Receipt</v>
          </cell>
          <cell r="G50" t="str">
            <v>D</v>
          </cell>
          <cell r="H50" t="str">
            <v>B</v>
          </cell>
          <cell r="I50" t="str">
            <v>39000</v>
          </cell>
          <cell r="J50">
            <v>2982124.25</v>
          </cell>
          <cell r="K50" t="str">
            <v>30/01/2009 00:00:00</v>
          </cell>
        </row>
        <row r="51">
          <cell r="E51" t="str">
            <v>132772</v>
          </cell>
          <cell r="F51" t="str">
            <v>STD Loans - T/R - Private Sector - Resident -USD</v>
          </cell>
          <cell r="G51" t="str">
            <v>D</v>
          </cell>
          <cell r="H51" t="str">
            <v>0</v>
          </cell>
          <cell r="I51" t="str">
            <v>41000</v>
          </cell>
          <cell r="J51">
            <v>2325216.29</v>
          </cell>
          <cell r="K51" t="str">
            <v>30/01/2009 00:00:00</v>
          </cell>
        </row>
        <row r="52">
          <cell r="E52" t="str">
            <v>132775</v>
          </cell>
          <cell r="F52" t="str">
            <v>STD Loans - T/R - Private Sector - Resident -THB</v>
          </cell>
          <cell r="G52" t="str">
            <v>D</v>
          </cell>
          <cell r="H52" t="str">
            <v>0</v>
          </cell>
          <cell r="I52" t="str">
            <v>42000</v>
          </cell>
          <cell r="J52">
            <v>656907.96</v>
          </cell>
          <cell r="K52" t="str">
            <v>30/01/2009 00:00:00</v>
          </cell>
        </row>
        <row r="53">
          <cell r="E53" t="str">
            <v>133000</v>
          </cell>
          <cell r="F53" t="str">
            <v>Standard Loans - Consumer Loans</v>
          </cell>
          <cell r="G53" t="str">
            <v>D</v>
          </cell>
          <cell r="H53" t="str">
            <v>B</v>
          </cell>
          <cell r="I53" t="str">
            <v>43000</v>
          </cell>
          <cell r="J53">
            <v>9902.1</v>
          </cell>
          <cell r="K53" t="str">
            <v>30/01/2009 00:00:00</v>
          </cell>
        </row>
        <row r="54">
          <cell r="E54" t="str">
            <v>133120</v>
          </cell>
          <cell r="F54" t="str">
            <v>Standard Loans-Bank Employee- Resident</v>
          </cell>
          <cell r="G54" t="str">
            <v>D</v>
          </cell>
          <cell r="H54" t="str">
            <v>B</v>
          </cell>
          <cell r="I54" t="str">
            <v>43100</v>
          </cell>
          <cell r="J54">
            <v>9902.1</v>
          </cell>
          <cell r="K54" t="str">
            <v>30/01/2009 00:00:00</v>
          </cell>
        </row>
        <row r="55">
          <cell r="E55" t="str">
            <v>133122</v>
          </cell>
          <cell r="F55" t="str">
            <v>Standard Loans-Bank Employee- Resident-USD</v>
          </cell>
          <cell r="G55" t="str">
            <v>D</v>
          </cell>
          <cell r="H55" t="str">
            <v>0</v>
          </cell>
          <cell r="I55" t="str">
            <v>43200</v>
          </cell>
          <cell r="J55">
            <v>9902.1</v>
          </cell>
          <cell r="K55" t="str">
            <v>30/01/2009 00:00:00</v>
          </cell>
        </row>
        <row r="56">
          <cell r="E56" t="str">
            <v>133900</v>
          </cell>
          <cell r="F56" t="str">
            <v>Standard Loans - Other Consumers Loans</v>
          </cell>
          <cell r="G56" t="str">
            <v>D</v>
          </cell>
          <cell r="H56" t="str">
            <v>B</v>
          </cell>
          <cell r="I56" t="str">
            <v>44000</v>
          </cell>
          <cell r="J56">
            <v>0</v>
          </cell>
          <cell r="K56" t="str">
            <v>30/01/2009 00:00:00</v>
          </cell>
        </row>
        <row r="57">
          <cell r="E57" t="str">
            <v>133910</v>
          </cell>
          <cell r="F57" t="str">
            <v>Standard Loans - Other Consumers Loans - Individuals - Resident</v>
          </cell>
          <cell r="G57" t="str">
            <v>D</v>
          </cell>
          <cell r="H57" t="str">
            <v>B</v>
          </cell>
          <cell r="I57" t="str">
            <v>45000</v>
          </cell>
          <cell r="J57">
            <v>0</v>
          </cell>
          <cell r="K57" t="str">
            <v>30/01/2009 00:00:00</v>
          </cell>
        </row>
        <row r="58">
          <cell r="E58" t="str">
            <v>133912</v>
          </cell>
          <cell r="F58" t="str">
            <v>STD Loans - Other Consumers Loans - Individuals - Resident -USD</v>
          </cell>
          <cell r="G58" t="str">
            <v>D</v>
          </cell>
          <cell r="H58" t="str">
            <v>0</v>
          </cell>
          <cell r="I58" t="str">
            <v>47000</v>
          </cell>
          <cell r="J58">
            <v>0</v>
          </cell>
          <cell r="K58" t="str">
            <v>30/01/2009 00:00:00</v>
          </cell>
        </row>
        <row r="59">
          <cell r="E59" t="str">
            <v>140000</v>
          </cell>
          <cell r="F59" t="str">
            <v>Sub Standard Loans - Loans and Lease Financing</v>
          </cell>
          <cell r="G59" t="str">
            <v>D</v>
          </cell>
          <cell r="H59" t="str">
            <v>B</v>
          </cell>
          <cell r="I59" t="str">
            <v>48100</v>
          </cell>
          <cell r="J59">
            <v>0</v>
          </cell>
          <cell r="K59" t="str">
            <v>30/01/2009 00:00:00</v>
          </cell>
        </row>
        <row r="60">
          <cell r="E60" t="str">
            <v>142000</v>
          </cell>
          <cell r="F60" t="str">
            <v xml:space="preserve">Sub Standard Loans - Commercial Loans </v>
          </cell>
          <cell r="G60" t="str">
            <v>D</v>
          </cell>
          <cell r="H60" t="str">
            <v>B</v>
          </cell>
          <cell r="I60" t="str">
            <v>48200</v>
          </cell>
          <cell r="J60">
            <v>0</v>
          </cell>
          <cell r="K60" t="str">
            <v>30/01/2009 00:00:00</v>
          </cell>
        </row>
        <row r="61">
          <cell r="E61" t="str">
            <v>142300</v>
          </cell>
          <cell r="F61" t="str">
            <v>Sub Standard Loans - Long term Commercial Loans</v>
          </cell>
          <cell r="G61" t="str">
            <v>D</v>
          </cell>
          <cell r="H61" t="str">
            <v>B</v>
          </cell>
          <cell r="I61" t="str">
            <v>48300</v>
          </cell>
          <cell r="J61">
            <v>0</v>
          </cell>
          <cell r="K61" t="str">
            <v>30/01/2009 00:00:00</v>
          </cell>
        </row>
        <row r="62">
          <cell r="E62" t="str">
            <v>142370</v>
          </cell>
          <cell r="F62" t="str">
            <v xml:space="preserve">Sub Standard Loans - Other Long term Loans </v>
          </cell>
          <cell r="G62" t="str">
            <v>D</v>
          </cell>
          <cell r="H62" t="str">
            <v>B</v>
          </cell>
          <cell r="I62" t="str">
            <v>48400</v>
          </cell>
          <cell r="J62">
            <v>0</v>
          </cell>
          <cell r="K62" t="str">
            <v>30/01/2009 00:00:00</v>
          </cell>
        </row>
        <row r="63">
          <cell r="E63" t="str">
            <v>142372</v>
          </cell>
          <cell r="F63" t="str">
            <v>Sub Standard Loans - Other Long term Loans - Private Sector-Resident- USD</v>
          </cell>
          <cell r="G63" t="str">
            <v>D</v>
          </cell>
          <cell r="H63" t="str">
            <v>0</v>
          </cell>
          <cell r="I63" t="str">
            <v>48500</v>
          </cell>
          <cell r="J63">
            <v>0</v>
          </cell>
          <cell r="K63" t="str">
            <v>30/01/2009 00:00:00</v>
          </cell>
        </row>
        <row r="64">
          <cell r="E64" t="str">
            <v>150000</v>
          </cell>
          <cell r="F64" t="str">
            <v>Doubtful Loans and Lease Financing</v>
          </cell>
          <cell r="G64" t="str">
            <v>D</v>
          </cell>
          <cell r="H64" t="str">
            <v>B</v>
          </cell>
          <cell r="I64" t="str">
            <v>48600</v>
          </cell>
          <cell r="J64">
            <v>0</v>
          </cell>
          <cell r="K64" t="str">
            <v>30/01/2009 00:00:00</v>
          </cell>
        </row>
        <row r="65">
          <cell r="E65" t="str">
            <v>152000</v>
          </cell>
          <cell r="F65" t="str">
            <v>Doubtful Loans - Commercial Loans</v>
          </cell>
          <cell r="G65" t="str">
            <v>D</v>
          </cell>
          <cell r="H65" t="str">
            <v>B</v>
          </cell>
          <cell r="I65" t="str">
            <v>48700</v>
          </cell>
          <cell r="J65">
            <v>0</v>
          </cell>
          <cell r="K65" t="str">
            <v>30/01/2009 00:00:00</v>
          </cell>
        </row>
        <row r="66">
          <cell r="E66" t="str">
            <v>152300</v>
          </cell>
          <cell r="F66" t="str">
            <v>Doubtful Loans -  Long term Loans</v>
          </cell>
          <cell r="G66" t="str">
            <v>D</v>
          </cell>
          <cell r="H66" t="str">
            <v>B</v>
          </cell>
          <cell r="I66" t="str">
            <v>48800</v>
          </cell>
          <cell r="J66">
            <v>0</v>
          </cell>
          <cell r="K66" t="str">
            <v>30/01/2009 00:00:00</v>
          </cell>
        </row>
        <row r="67">
          <cell r="E67" t="str">
            <v>152370</v>
          </cell>
          <cell r="F67" t="str">
            <v>Doubtful Loans - Other Long term Loans</v>
          </cell>
          <cell r="G67" t="str">
            <v>D</v>
          </cell>
          <cell r="H67" t="str">
            <v>B</v>
          </cell>
          <cell r="I67" t="str">
            <v>48850</v>
          </cell>
          <cell r="J67">
            <v>0</v>
          </cell>
          <cell r="K67" t="str">
            <v>30/01/2009 00:00:00</v>
          </cell>
        </row>
        <row r="68">
          <cell r="E68" t="str">
            <v>152372</v>
          </cell>
          <cell r="F68" t="str">
            <v>Doubtful Loans - Other Long term Loans- Private Sector Resident-USD</v>
          </cell>
          <cell r="G68" t="str">
            <v>D</v>
          </cell>
          <cell r="H68" t="str">
            <v>0</v>
          </cell>
          <cell r="I68" t="str">
            <v>48900</v>
          </cell>
          <cell r="J68">
            <v>0</v>
          </cell>
          <cell r="K68" t="str">
            <v>30/01/2009 00:00:00</v>
          </cell>
        </row>
        <row r="69">
          <cell r="E69" t="str">
            <v>160000</v>
          </cell>
          <cell r="F69" t="str">
            <v>Loss Loans and Lease Financing</v>
          </cell>
          <cell r="G69" t="str">
            <v>D</v>
          </cell>
          <cell r="H69" t="str">
            <v>B</v>
          </cell>
          <cell r="I69" t="str">
            <v>49000</v>
          </cell>
          <cell r="J69">
            <v>0</v>
          </cell>
          <cell r="K69" t="str">
            <v>30/01/2009 00:00:00</v>
          </cell>
        </row>
        <row r="70">
          <cell r="E70" t="str">
            <v>162000</v>
          </cell>
          <cell r="F70" t="str">
            <v>Loss Loans - Commercial Loans</v>
          </cell>
          <cell r="G70" t="str">
            <v>D</v>
          </cell>
          <cell r="H70" t="str">
            <v>B</v>
          </cell>
          <cell r="I70" t="str">
            <v>50000</v>
          </cell>
          <cell r="J70">
            <v>0</v>
          </cell>
          <cell r="K70" t="str">
            <v>30/01/2009 00:00:00</v>
          </cell>
        </row>
        <row r="71">
          <cell r="E71" t="str">
            <v>162600</v>
          </cell>
          <cell r="F71" t="str">
            <v>Loss Loans - Other Commercial Loans</v>
          </cell>
          <cell r="G71" t="str">
            <v>D</v>
          </cell>
          <cell r="H71" t="str">
            <v>B</v>
          </cell>
          <cell r="I71" t="str">
            <v>53000</v>
          </cell>
          <cell r="J71">
            <v>0</v>
          </cell>
          <cell r="K71" t="str">
            <v>30/01/2009 00:00:00</v>
          </cell>
        </row>
        <row r="72">
          <cell r="E72" t="str">
            <v>162610</v>
          </cell>
          <cell r="F72" t="str">
            <v>Loss Loans - Other Commercial Loans - Private Sector - Resident</v>
          </cell>
          <cell r="G72" t="str">
            <v>D</v>
          </cell>
          <cell r="H72" t="str">
            <v>B</v>
          </cell>
          <cell r="I72" t="str">
            <v>54000</v>
          </cell>
          <cell r="J72">
            <v>0</v>
          </cell>
          <cell r="K72" t="str">
            <v>30/01/2009 00:00:00</v>
          </cell>
        </row>
        <row r="73">
          <cell r="E73" t="str">
            <v>162615</v>
          </cell>
          <cell r="F73" t="str">
            <v>Loss Loans - Other Commercial Loans - Private Sector - Resident -THB</v>
          </cell>
          <cell r="G73" t="str">
            <v>D</v>
          </cell>
          <cell r="H73" t="str">
            <v>0</v>
          </cell>
          <cell r="I73" t="str">
            <v>57000</v>
          </cell>
          <cell r="J73">
            <v>0</v>
          </cell>
          <cell r="K73" t="str">
            <v>30/01/2009 00:00:00</v>
          </cell>
        </row>
        <row r="74">
          <cell r="E74" t="str">
            <v>162700</v>
          </cell>
          <cell r="F74" t="str">
            <v>Loss Loans - Trade and Documentary Credits</v>
          </cell>
          <cell r="G74" t="str">
            <v>D</v>
          </cell>
          <cell r="H74" t="str">
            <v>B</v>
          </cell>
          <cell r="I74" t="str">
            <v>58000</v>
          </cell>
          <cell r="J74">
            <v>0</v>
          </cell>
          <cell r="K74" t="str">
            <v>30/01/2009 00:00:00</v>
          </cell>
        </row>
        <row r="75">
          <cell r="E75" t="str">
            <v>162740</v>
          </cell>
          <cell r="F75" t="str">
            <v>Loss Loans - Other Bill of Exchange (BoE)</v>
          </cell>
          <cell r="G75" t="str">
            <v>D</v>
          </cell>
          <cell r="H75" t="str">
            <v>B</v>
          </cell>
          <cell r="I75" t="str">
            <v>59000</v>
          </cell>
          <cell r="J75">
            <v>0</v>
          </cell>
          <cell r="K75" t="str">
            <v>30/01/2009 00:00:00</v>
          </cell>
        </row>
        <row r="76">
          <cell r="E76" t="str">
            <v>162745</v>
          </cell>
          <cell r="F76" t="str">
            <v>Loss Loans - Other BoE - Private Sector - Resident -THB</v>
          </cell>
          <cell r="G76" t="str">
            <v>D</v>
          </cell>
          <cell r="H76" t="str">
            <v>0</v>
          </cell>
          <cell r="I76" t="str">
            <v>62000</v>
          </cell>
          <cell r="J76">
            <v>0</v>
          </cell>
          <cell r="K76" t="str">
            <v>30/01/2009 00:00:00</v>
          </cell>
        </row>
        <row r="77">
          <cell r="E77" t="str">
            <v>170000</v>
          </cell>
          <cell r="F77" t="str">
            <v>(Less) Allowance for Loans and Lease Losses (ALLL)</v>
          </cell>
          <cell r="G77" t="str">
            <v>C</v>
          </cell>
          <cell r="H77" t="str">
            <v>B</v>
          </cell>
          <cell r="I77" t="str">
            <v>66000</v>
          </cell>
          <cell r="J77">
            <v>173957.09</v>
          </cell>
          <cell r="K77" t="str">
            <v>30/01/2009 00:00:00</v>
          </cell>
        </row>
        <row r="78">
          <cell r="E78" t="str">
            <v>172000</v>
          </cell>
          <cell r="F78" t="str">
            <v>(Less) Allowance for Loans and Lease Losses (ALLL) - Commercial Loans</v>
          </cell>
          <cell r="G78" t="str">
            <v>C</v>
          </cell>
          <cell r="H78" t="str">
            <v>B</v>
          </cell>
          <cell r="I78" t="str">
            <v>67000</v>
          </cell>
          <cell r="J78">
            <v>173862.7</v>
          </cell>
          <cell r="K78" t="str">
            <v>30/01/2009 00:00:00</v>
          </cell>
        </row>
        <row r="79">
          <cell r="E79" t="str">
            <v>172100</v>
          </cell>
          <cell r="F79" t="str">
            <v>(Less) Allowance for Loan and Lease Losse (ALLL)-Overdraft</v>
          </cell>
          <cell r="G79" t="str">
            <v>C</v>
          </cell>
          <cell r="H79" t="str">
            <v>B</v>
          </cell>
          <cell r="I79" t="str">
            <v>67100</v>
          </cell>
          <cell r="J79">
            <v>6248.59</v>
          </cell>
          <cell r="K79" t="str">
            <v>30/01/2009 00:00:00</v>
          </cell>
        </row>
        <row r="80">
          <cell r="E80" t="str">
            <v>172102</v>
          </cell>
          <cell r="F80" t="str">
            <v>(Less) Allowance for Loan and Lease Losse (ALLL)-Overdraft-USD</v>
          </cell>
          <cell r="G80" t="str">
            <v>C</v>
          </cell>
          <cell r="H80" t="str">
            <v>0</v>
          </cell>
          <cell r="I80" t="str">
            <v>67200</v>
          </cell>
          <cell r="J80">
            <v>6248.59</v>
          </cell>
          <cell r="K80" t="str">
            <v>30/01/2009 00:00:00</v>
          </cell>
        </row>
        <row r="81">
          <cell r="E81" t="str">
            <v>172200</v>
          </cell>
          <cell r="F81" t="str">
            <v>(Less) Allowance for Loan and Lease Losse (ALLL)-Short Term Commercial Loans</v>
          </cell>
          <cell r="G81" t="str">
            <v>C</v>
          </cell>
          <cell r="H81" t="str">
            <v>B</v>
          </cell>
          <cell r="I81" t="str">
            <v>67210</v>
          </cell>
          <cell r="J81">
            <v>14025</v>
          </cell>
          <cell r="K81" t="str">
            <v>30/01/2009 00:00:00</v>
          </cell>
        </row>
        <row r="82">
          <cell r="E82" t="str">
            <v>172202</v>
          </cell>
          <cell r="F82" t="str">
            <v>(Less) Allowance for Loan and Lease Losse (ALLL)-Short Term Commercial Loans-USD</v>
          </cell>
          <cell r="G82" t="str">
            <v>C</v>
          </cell>
          <cell r="H82" t="str">
            <v>B</v>
          </cell>
          <cell r="I82" t="str">
            <v>67220</v>
          </cell>
          <cell r="J82">
            <v>14025</v>
          </cell>
          <cell r="K82" t="str">
            <v>30/01/2009 00:00:00</v>
          </cell>
        </row>
        <row r="83">
          <cell r="E83" t="str">
            <v>17220201</v>
          </cell>
          <cell r="F83" t="str">
            <v>(Less) Allowance for Loan and Lease Losse (ALLL)-(LBD)-Short Term Commercial Loans-USD</v>
          </cell>
          <cell r="G83" t="str">
            <v>C</v>
          </cell>
          <cell r="H83" t="str">
            <v>0</v>
          </cell>
          <cell r="I83" t="str">
            <v>67230</v>
          </cell>
          <cell r="J83">
            <v>0</v>
          </cell>
          <cell r="K83" t="str">
            <v>30/01/2009 00:00:00</v>
          </cell>
        </row>
        <row r="84">
          <cell r="E84" t="str">
            <v>17220202</v>
          </cell>
          <cell r="F84" t="str">
            <v>(Less) Allowance for Loan and Lease Losse (ALLL)-(LBP)-Short Term Commercial Loans-USD</v>
          </cell>
          <cell r="G84" t="str">
            <v>C</v>
          </cell>
          <cell r="H84" t="str">
            <v>0</v>
          </cell>
          <cell r="I84" t="str">
            <v>67240</v>
          </cell>
          <cell r="J84">
            <v>14025</v>
          </cell>
          <cell r="K84" t="str">
            <v>30/01/2009 00:00:00</v>
          </cell>
        </row>
        <row r="85">
          <cell r="E85" t="str">
            <v>172300</v>
          </cell>
          <cell r="F85" t="str">
            <v>(Less) Allowance for Loans and Lease Losses (ALLL)-Long Term Commercial Loans</v>
          </cell>
          <cell r="G85" t="str">
            <v>C</v>
          </cell>
          <cell r="H85" t="str">
            <v>B</v>
          </cell>
          <cell r="I85" t="str">
            <v>67250</v>
          </cell>
          <cell r="J85">
            <v>125772</v>
          </cell>
          <cell r="K85" t="str">
            <v>30/01/2009 00:00:00</v>
          </cell>
        </row>
        <row r="86">
          <cell r="E86" t="str">
            <v>172330</v>
          </cell>
          <cell r="F86" t="str">
            <v>(Less) Allowance for Loans and Lease Losses (ALLL)-Other Long Term Loans</v>
          </cell>
          <cell r="G86" t="str">
            <v>C</v>
          </cell>
          <cell r="H86" t="str">
            <v>B</v>
          </cell>
          <cell r="I86" t="str">
            <v>67260</v>
          </cell>
          <cell r="J86">
            <v>125772</v>
          </cell>
          <cell r="K86" t="str">
            <v>30/01/2009 00:00:00</v>
          </cell>
        </row>
        <row r="87">
          <cell r="E87" t="str">
            <v>172332</v>
          </cell>
          <cell r="F87" t="str">
            <v>(Less) Allowance for Loans and Lease Losses (ALLL)-Other Long Term Loans-USD</v>
          </cell>
          <cell r="G87" t="str">
            <v>C</v>
          </cell>
          <cell r="H87" t="str">
            <v>0</v>
          </cell>
          <cell r="I87" t="str">
            <v>67270</v>
          </cell>
          <cell r="J87">
            <v>0</v>
          </cell>
          <cell r="K87" t="str">
            <v>30/01/2009 00:00:00</v>
          </cell>
        </row>
        <row r="88">
          <cell r="E88" t="str">
            <v>17233201</v>
          </cell>
          <cell r="F88" t="str">
            <v>(Less) Allowance for Loans and Lease Losses (ALLL)-(Normal)-Other Long Term Loans(Normal)-USD</v>
          </cell>
          <cell r="G88" t="str">
            <v>C</v>
          </cell>
          <cell r="H88" t="str">
            <v>0</v>
          </cell>
          <cell r="I88" t="str">
            <v>67280</v>
          </cell>
          <cell r="J88">
            <v>125772</v>
          </cell>
          <cell r="K88" t="str">
            <v>30/01/2009 00:00:00</v>
          </cell>
        </row>
        <row r="89">
          <cell r="E89" t="str">
            <v>17233202</v>
          </cell>
          <cell r="F89" t="str">
            <v>(Less) Allowance for Loans and Lease Losses (ALLL)-(Special Mention)-Other Long Term Loans(NPL)-USD</v>
          </cell>
          <cell r="G89" t="str">
            <v>C</v>
          </cell>
          <cell r="H89" t="str">
            <v>0</v>
          </cell>
          <cell r="I89" t="str">
            <v>67290</v>
          </cell>
          <cell r="J89">
            <v>0</v>
          </cell>
          <cell r="K89" t="str">
            <v>30/01/2009 00:00:00</v>
          </cell>
        </row>
        <row r="90">
          <cell r="E90" t="str">
            <v>172600</v>
          </cell>
          <cell r="F90" t="str">
            <v>(Less) Allowance for Loans and Lease Losses (ALLL) - Other Commercial Loans</v>
          </cell>
          <cell r="G90" t="str">
            <v>C</v>
          </cell>
          <cell r="H90" t="str">
            <v>B</v>
          </cell>
          <cell r="I90" t="str">
            <v>68000</v>
          </cell>
          <cell r="J90">
            <v>0</v>
          </cell>
          <cell r="K90" t="str">
            <v>30/01/2009 00:00:00</v>
          </cell>
        </row>
        <row r="91">
          <cell r="E91" t="str">
            <v>172605</v>
          </cell>
          <cell r="F91" t="str">
            <v>(Less) Allowance for Loans and Lease Losses (ALLL) - Other Commercial Loans -THB</v>
          </cell>
          <cell r="G91" t="str">
            <v>C</v>
          </cell>
          <cell r="H91" t="str">
            <v>0</v>
          </cell>
          <cell r="I91" t="str">
            <v>71000</v>
          </cell>
          <cell r="J91">
            <v>0</v>
          </cell>
          <cell r="K91" t="str">
            <v>30/01/2009 00:00:00</v>
          </cell>
        </row>
        <row r="92">
          <cell r="E92" t="str">
            <v>172700</v>
          </cell>
          <cell r="F92" t="str">
            <v>(Less) Allowance for Loans and Lease Losses (ALLL) - Trade Credit</v>
          </cell>
          <cell r="G92" t="str">
            <v>C</v>
          </cell>
          <cell r="H92" t="str">
            <v>B</v>
          </cell>
          <cell r="I92" t="str">
            <v>72000</v>
          </cell>
          <cell r="J92">
            <v>27817.11</v>
          </cell>
          <cell r="K92" t="str">
            <v>30/01/2009 00:00:00</v>
          </cell>
        </row>
        <row r="93">
          <cell r="E93" t="str">
            <v>172720</v>
          </cell>
          <cell r="F93" t="str">
            <v>(Less) Allowance for Loans and Lease Losses (ALLL) - Other Bill of Exchange(BoE)</v>
          </cell>
          <cell r="G93" t="str">
            <v>C</v>
          </cell>
          <cell r="H93" t="str">
            <v>B</v>
          </cell>
          <cell r="I93" t="str">
            <v>73000</v>
          </cell>
          <cell r="J93">
            <v>0</v>
          </cell>
          <cell r="K93" t="str">
            <v>30/01/2009 00:00:00</v>
          </cell>
        </row>
        <row r="94">
          <cell r="E94" t="str">
            <v>172725</v>
          </cell>
          <cell r="F94" t="str">
            <v>(Less) Allowance for Loans and Lease Losses (ALLL) - Other Bill of Exchange(BoE) -THB</v>
          </cell>
          <cell r="G94" t="str">
            <v>C</v>
          </cell>
          <cell r="H94" t="str">
            <v>0</v>
          </cell>
          <cell r="I94" t="str">
            <v>74000</v>
          </cell>
          <cell r="J94">
            <v>0</v>
          </cell>
          <cell r="K94" t="str">
            <v>30/01/2009 00:00:00</v>
          </cell>
        </row>
        <row r="95">
          <cell r="E95" t="str">
            <v>172730</v>
          </cell>
          <cell r="F95" t="str">
            <v>(Less) Allowance for Loans and Lease Losse (ALLL)-Trust Receipt</v>
          </cell>
          <cell r="G95" t="str">
            <v>C</v>
          </cell>
          <cell r="H95" t="str">
            <v>B</v>
          </cell>
          <cell r="I95" t="str">
            <v>74010</v>
          </cell>
          <cell r="J95">
            <v>27817.11</v>
          </cell>
          <cell r="K95" t="str">
            <v>30/01/2009 00:00:00</v>
          </cell>
        </row>
        <row r="96">
          <cell r="E96" t="str">
            <v>172732</v>
          </cell>
          <cell r="F96" t="str">
            <v>(Less) Allowance for Loans and Lease Losse (ALLL)-Trust Receipt-USD</v>
          </cell>
          <cell r="G96" t="str">
            <v>D</v>
          </cell>
          <cell r="H96" t="str">
            <v>0</v>
          </cell>
          <cell r="I96" t="str">
            <v>74020</v>
          </cell>
          <cell r="J96">
            <v>-20872.03</v>
          </cell>
          <cell r="K96" t="str">
            <v>30/01/2009 00:00:00</v>
          </cell>
        </row>
        <row r="97">
          <cell r="E97" t="str">
            <v>172735</v>
          </cell>
          <cell r="F97" t="str">
            <v>(Less) Allowance for Loans and Lease Losse (ALLL)-Trust Receipt-THB</v>
          </cell>
          <cell r="G97" t="str">
            <v>C</v>
          </cell>
          <cell r="H97" t="str">
            <v>0</v>
          </cell>
          <cell r="I97" t="str">
            <v>74024</v>
          </cell>
          <cell r="J97">
            <v>6945.08</v>
          </cell>
          <cell r="K97" t="str">
            <v>30/01/2009 00:00:00</v>
          </cell>
        </row>
        <row r="98">
          <cell r="E98" t="str">
            <v>173000</v>
          </cell>
          <cell r="F98" t="str">
            <v>(Less) Allowance for Loans and Leas Losses (ALLL)-Consumer Loans</v>
          </cell>
          <cell r="G98" t="str">
            <v>C</v>
          </cell>
          <cell r="H98" t="str">
            <v>B</v>
          </cell>
          <cell r="I98" t="str">
            <v>74030</v>
          </cell>
          <cell r="J98">
            <v>94.39</v>
          </cell>
          <cell r="K98" t="str">
            <v>30/01/2009 00:00:00</v>
          </cell>
        </row>
        <row r="99">
          <cell r="E99" t="str">
            <v>173900</v>
          </cell>
          <cell r="F99" t="str">
            <v>(Less) Allowance for Loans and Leas Losses (ALLL)-Other Consumer Loans</v>
          </cell>
          <cell r="G99" t="str">
            <v>C</v>
          </cell>
          <cell r="H99" t="str">
            <v>B</v>
          </cell>
          <cell r="I99" t="str">
            <v>74040</v>
          </cell>
          <cell r="J99">
            <v>94.39</v>
          </cell>
          <cell r="K99" t="str">
            <v>30/01/2009 00:00:00</v>
          </cell>
        </row>
        <row r="100">
          <cell r="E100" t="str">
            <v>173902</v>
          </cell>
          <cell r="F100" t="str">
            <v>(Less) Allowance for Loans and Leas Losses (ALLL)-Othe Consumer Loans-USD</v>
          </cell>
          <cell r="G100" t="str">
            <v>C</v>
          </cell>
          <cell r="H100" t="str">
            <v>0</v>
          </cell>
          <cell r="I100" t="str">
            <v>74050</v>
          </cell>
          <cell r="J100">
            <v>94.39</v>
          </cell>
          <cell r="K100" t="str">
            <v>30/01/2009 00:00:00</v>
          </cell>
        </row>
        <row r="101">
          <cell r="E101" t="str">
            <v>200000</v>
          </cell>
          <cell r="F101" t="str">
            <v>Investment, Security and Sundry Assets</v>
          </cell>
          <cell r="G101" t="str">
            <v>D</v>
          </cell>
          <cell r="H101" t="str">
            <v>B</v>
          </cell>
          <cell r="I101" t="str">
            <v>74100</v>
          </cell>
          <cell r="J101">
            <v>5062025.63</v>
          </cell>
          <cell r="K101" t="str">
            <v>30/01/2009 00:00:00</v>
          </cell>
        </row>
        <row r="102">
          <cell r="E102" t="str">
            <v>220000</v>
          </cell>
          <cell r="F102" t="str">
            <v>Prepaid Expenses and Account Receivable</v>
          </cell>
          <cell r="G102" t="str">
            <v>D</v>
          </cell>
          <cell r="H102" t="str">
            <v>B</v>
          </cell>
          <cell r="I102" t="str">
            <v>74101</v>
          </cell>
          <cell r="J102">
            <v>20451.62</v>
          </cell>
          <cell r="K102" t="str">
            <v>30/01/2009 00:00:00</v>
          </cell>
        </row>
        <row r="103">
          <cell r="E103" t="str">
            <v>221000</v>
          </cell>
          <cell r="F103" t="str">
            <v>Prepaid Expense</v>
          </cell>
          <cell r="G103" t="str">
            <v>D</v>
          </cell>
          <cell r="H103" t="str">
            <v>B</v>
          </cell>
          <cell r="I103" t="str">
            <v>74102</v>
          </cell>
          <cell r="J103">
            <v>0</v>
          </cell>
          <cell r="K103" t="str">
            <v>30/01/2009 00:00:00</v>
          </cell>
        </row>
        <row r="104">
          <cell r="E104" t="str">
            <v>221200</v>
          </cell>
          <cell r="F104" t="str">
            <v>Prepaid Insurance</v>
          </cell>
          <cell r="G104" t="str">
            <v>D</v>
          </cell>
          <cell r="H104" t="str">
            <v>B</v>
          </cell>
          <cell r="I104" t="str">
            <v>74103</v>
          </cell>
          <cell r="J104">
            <v>0</v>
          </cell>
          <cell r="K104" t="str">
            <v>30/01/2009 00:00:00</v>
          </cell>
        </row>
        <row r="105">
          <cell r="E105" t="str">
            <v>221202</v>
          </cell>
          <cell r="F105" t="str">
            <v>Prepaid Insurance-USD</v>
          </cell>
          <cell r="G105" t="str">
            <v>D</v>
          </cell>
          <cell r="H105" t="str">
            <v>0</v>
          </cell>
          <cell r="I105" t="str">
            <v>74104</v>
          </cell>
          <cell r="J105">
            <v>0</v>
          </cell>
          <cell r="K105" t="str">
            <v>30/01/2009 00:00:00</v>
          </cell>
        </row>
        <row r="106">
          <cell r="E106" t="str">
            <v>222000</v>
          </cell>
          <cell r="F106" t="str">
            <v>Account Receivable</v>
          </cell>
          <cell r="G106" t="str">
            <v>D</v>
          </cell>
          <cell r="H106" t="str">
            <v>B</v>
          </cell>
          <cell r="I106" t="str">
            <v>74105</v>
          </cell>
          <cell r="J106">
            <v>20451.62</v>
          </cell>
          <cell r="K106" t="str">
            <v>30/01/2009 00:00:00</v>
          </cell>
        </row>
        <row r="107">
          <cell r="E107" t="str">
            <v>222300</v>
          </cell>
          <cell r="F107" t="str">
            <v>Advance Payment or Deposits</v>
          </cell>
          <cell r="G107" t="str">
            <v>D</v>
          </cell>
          <cell r="H107" t="str">
            <v>B</v>
          </cell>
          <cell r="I107" t="str">
            <v>74110</v>
          </cell>
          <cell r="J107">
            <v>4805</v>
          </cell>
          <cell r="K107" t="str">
            <v>30/01/2009 00:00:00</v>
          </cell>
        </row>
        <row r="108">
          <cell r="E108" t="str">
            <v>222302</v>
          </cell>
          <cell r="F108" t="str">
            <v>Advance Payment or Deposits-USD</v>
          </cell>
          <cell r="G108" t="str">
            <v>D</v>
          </cell>
          <cell r="H108" t="str">
            <v>0</v>
          </cell>
          <cell r="I108" t="str">
            <v>74130</v>
          </cell>
          <cell r="J108">
            <v>4805</v>
          </cell>
          <cell r="K108" t="str">
            <v>30/01/2009 00:00:00</v>
          </cell>
        </row>
        <row r="109">
          <cell r="E109" t="str">
            <v>222305</v>
          </cell>
          <cell r="F109" t="str">
            <v>Advance Payment or Deposits-THB</v>
          </cell>
          <cell r="G109" t="str">
            <v>D</v>
          </cell>
          <cell r="H109" t="str">
            <v>0</v>
          </cell>
          <cell r="I109" t="str">
            <v>74140</v>
          </cell>
          <cell r="J109">
            <v>0</v>
          </cell>
          <cell r="K109" t="str">
            <v>30/01/2009 00:00:00</v>
          </cell>
        </row>
        <row r="110">
          <cell r="E110" t="str">
            <v>222600</v>
          </cell>
          <cell r="F110" t="str">
            <v>Other Prepaid Expenses and Deferred Charges</v>
          </cell>
          <cell r="G110" t="str">
            <v>D</v>
          </cell>
          <cell r="H110" t="str">
            <v>B</v>
          </cell>
          <cell r="I110" t="str">
            <v>74200</v>
          </cell>
          <cell r="J110">
            <v>15646.62</v>
          </cell>
          <cell r="K110" t="str">
            <v>30/01/2009 00:00:00</v>
          </cell>
        </row>
        <row r="111">
          <cell r="E111" t="str">
            <v>222602</v>
          </cell>
          <cell r="F111" t="str">
            <v>Other Prepaid Expenses and Deferred Charges-USD</v>
          </cell>
          <cell r="G111" t="str">
            <v>D</v>
          </cell>
          <cell r="H111" t="str">
            <v>B</v>
          </cell>
          <cell r="I111" t="str">
            <v>74400</v>
          </cell>
          <cell r="J111">
            <v>15646.62</v>
          </cell>
          <cell r="K111" t="str">
            <v>30/01/2009 00:00:00</v>
          </cell>
        </row>
        <row r="112">
          <cell r="E112" t="str">
            <v>22260201</v>
          </cell>
          <cell r="F112" t="str">
            <v>Other Prepaid Expenses and Deferred Charges(Prepaid)-USD</v>
          </cell>
          <cell r="G112" t="str">
            <v>D</v>
          </cell>
          <cell r="H112" t="str">
            <v>0</v>
          </cell>
          <cell r="I112" t="str">
            <v>74410</v>
          </cell>
          <cell r="J112">
            <v>15646.62</v>
          </cell>
          <cell r="K112" t="str">
            <v>30/01/2009 00:00:00</v>
          </cell>
        </row>
        <row r="113">
          <cell r="E113" t="str">
            <v>22260202</v>
          </cell>
          <cell r="F113" t="str">
            <v>Other Prepaid Expenses and Deferred Charges(Deferred)-USD</v>
          </cell>
          <cell r="G113" t="str">
            <v>D</v>
          </cell>
          <cell r="H113" t="str">
            <v>0</v>
          </cell>
          <cell r="I113" t="str">
            <v>74420</v>
          </cell>
          <cell r="J113">
            <v>0</v>
          </cell>
          <cell r="K113" t="str">
            <v>30/01/2009 00:00:00</v>
          </cell>
        </row>
        <row r="114">
          <cell r="E114" t="str">
            <v>230000</v>
          </cell>
          <cell r="F114" t="str">
            <v>AIR - Loans and Placements with Banks</v>
          </cell>
          <cell r="G114" t="str">
            <v>D</v>
          </cell>
          <cell r="H114" t="str">
            <v>B</v>
          </cell>
          <cell r="I114" t="str">
            <v>75000</v>
          </cell>
          <cell r="J114">
            <v>85704.45</v>
          </cell>
          <cell r="K114" t="str">
            <v>30/01/2009 00:00:00</v>
          </cell>
        </row>
        <row r="115">
          <cell r="E115" t="str">
            <v>231000</v>
          </cell>
          <cell r="F115" t="str">
            <v>AIR - Due Banks</v>
          </cell>
          <cell r="G115" t="str">
            <v>D</v>
          </cell>
          <cell r="H115" t="str">
            <v>B</v>
          </cell>
          <cell r="I115" t="str">
            <v>76000</v>
          </cell>
          <cell r="J115">
            <v>20607.099999999999</v>
          </cell>
          <cell r="K115" t="str">
            <v>30/01/2009 00:00:00</v>
          </cell>
        </row>
        <row r="116">
          <cell r="E116" t="str">
            <v>231100</v>
          </cell>
          <cell r="F116" t="str">
            <v>AIR - Due NBC</v>
          </cell>
          <cell r="G116" t="str">
            <v>D</v>
          </cell>
          <cell r="H116" t="str">
            <v>B</v>
          </cell>
          <cell r="I116" t="str">
            <v>77000</v>
          </cell>
          <cell r="J116">
            <v>20607.099999999999</v>
          </cell>
          <cell r="K116" t="str">
            <v>30/01/2009 00:00:00</v>
          </cell>
        </row>
        <row r="117">
          <cell r="E117" t="str">
            <v>231120</v>
          </cell>
          <cell r="F117" t="str">
            <v>AIR - Account with NBC</v>
          </cell>
          <cell r="G117" t="str">
            <v>D</v>
          </cell>
          <cell r="H117" t="str">
            <v>B</v>
          </cell>
          <cell r="I117" t="str">
            <v>82000</v>
          </cell>
          <cell r="J117">
            <v>0</v>
          </cell>
          <cell r="K117" t="str">
            <v>30/01/2009 00:00:00</v>
          </cell>
        </row>
        <row r="118">
          <cell r="E118" t="str">
            <v>231122</v>
          </cell>
          <cell r="F118" t="str">
            <v>AIR - Account with NBC -USD</v>
          </cell>
          <cell r="G118" t="str">
            <v>D</v>
          </cell>
          <cell r="H118" t="str">
            <v>0</v>
          </cell>
          <cell r="I118" t="str">
            <v>84000</v>
          </cell>
          <cell r="J118">
            <v>0</v>
          </cell>
          <cell r="K118" t="str">
            <v>30/01/2009 00:00:00</v>
          </cell>
        </row>
        <row r="119">
          <cell r="E119" t="str">
            <v>231140</v>
          </cell>
          <cell r="F119" t="str">
            <v>AIR Short Term Time Deposit with NBC-USD</v>
          </cell>
          <cell r="G119" t="str">
            <v>D</v>
          </cell>
          <cell r="H119" t="str">
            <v>B</v>
          </cell>
          <cell r="I119" t="str">
            <v>85010</v>
          </cell>
          <cell r="J119">
            <v>20607.099999999999</v>
          </cell>
          <cell r="K119" t="str">
            <v>30/01/2009 00:00:00</v>
          </cell>
        </row>
        <row r="120">
          <cell r="E120" t="str">
            <v>231142</v>
          </cell>
          <cell r="F120" t="str">
            <v>AIR Short Term Time Deposit with NBC - USD</v>
          </cell>
          <cell r="G120" t="str">
            <v>D</v>
          </cell>
          <cell r="H120" t="str">
            <v>0</v>
          </cell>
          <cell r="I120" t="str">
            <v>85020</v>
          </cell>
          <cell r="J120">
            <v>20607.099999999999</v>
          </cell>
          <cell r="K120" t="str">
            <v>30/01/2009 00:00:00</v>
          </cell>
        </row>
        <row r="121">
          <cell r="E121" t="str">
            <v>232000</v>
          </cell>
          <cell r="F121" t="str">
            <v>AIR - Standard Loans and Placements with Banks</v>
          </cell>
          <cell r="G121" t="str">
            <v>D</v>
          </cell>
          <cell r="H121" t="str">
            <v>B</v>
          </cell>
          <cell r="I121" t="str">
            <v>85100</v>
          </cell>
          <cell r="J121">
            <v>65097.35</v>
          </cell>
          <cell r="K121" t="str">
            <v>30/01/2009 00:00:00</v>
          </cell>
        </row>
        <row r="122">
          <cell r="E122" t="str">
            <v>232300</v>
          </cell>
          <cell r="F122" t="str">
            <v>AIR - Standard Loans and Placements in Other Banks</v>
          </cell>
          <cell r="G122" t="str">
            <v>D</v>
          </cell>
          <cell r="H122" t="str">
            <v>B</v>
          </cell>
          <cell r="I122" t="str">
            <v>85200</v>
          </cell>
          <cell r="J122">
            <v>65097.35</v>
          </cell>
          <cell r="K122" t="str">
            <v>30/01/2009 00:00:00</v>
          </cell>
        </row>
        <row r="123">
          <cell r="E123" t="str">
            <v>232340</v>
          </cell>
          <cell r="F123" t="str">
            <v>AIR - Standard Deposit Short Term Time Deposit  with HO/Branches-Non Resident</v>
          </cell>
          <cell r="G123" t="str">
            <v>D</v>
          </cell>
          <cell r="H123" t="str">
            <v>B</v>
          </cell>
          <cell r="I123" t="str">
            <v>85300</v>
          </cell>
          <cell r="J123">
            <v>65097.35</v>
          </cell>
          <cell r="K123" t="str">
            <v>30/01/2009 00:00:00</v>
          </cell>
        </row>
        <row r="124">
          <cell r="E124" t="str">
            <v>232342</v>
          </cell>
          <cell r="F124" t="str">
            <v>AIR - Standard Deposit Short Term Time Deposit  with HO/Branches-Non Resident-USD</v>
          </cell>
          <cell r="G124" t="str">
            <v>D</v>
          </cell>
          <cell r="H124" t="str">
            <v>0</v>
          </cell>
          <cell r="I124" t="str">
            <v>85400</v>
          </cell>
          <cell r="J124">
            <v>65097.35</v>
          </cell>
          <cell r="K124" t="str">
            <v>30/01/2009 00:00:00</v>
          </cell>
        </row>
        <row r="125">
          <cell r="E125" t="str">
            <v>250000</v>
          </cell>
          <cell r="F125" t="str">
            <v>AIR - Standard Loans and Lease Financing</v>
          </cell>
          <cell r="G125" t="str">
            <v>D</v>
          </cell>
          <cell r="H125" t="str">
            <v>B</v>
          </cell>
          <cell r="I125" t="str">
            <v>86000</v>
          </cell>
          <cell r="J125">
            <v>7515.9</v>
          </cell>
          <cell r="K125" t="str">
            <v>30/01/2009 00:00:00</v>
          </cell>
        </row>
        <row r="126">
          <cell r="E126" t="str">
            <v>252000</v>
          </cell>
          <cell r="F126" t="str">
            <v>AIR - Standard Loans - Commercial Loans</v>
          </cell>
          <cell r="G126" t="str">
            <v>D</v>
          </cell>
          <cell r="H126" t="str">
            <v>B</v>
          </cell>
          <cell r="I126" t="str">
            <v>87000</v>
          </cell>
          <cell r="J126">
            <v>7515.9</v>
          </cell>
          <cell r="K126" t="str">
            <v>30/01/2009 00:00:00</v>
          </cell>
        </row>
        <row r="127">
          <cell r="E127" t="str">
            <v>252100</v>
          </cell>
          <cell r="F127" t="str">
            <v>AIR - Standard Loans - Overdraft (Permanent Line of Credit)</v>
          </cell>
          <cell r="G127" t="str">
            <v>D</v>
          </cell>
          <cell r="H127" t="str">
            <v>B</v>
          </cell>
          <cell r="I127" t="str">
            <v>88000</v>
          </cell>
          <cell r="J127">
            <v>0</v>
          </cell>
          <cell r="K127" t="str">
            <v>30/01/2009 00:00:00</v>
          </cell>
        </row>
        <row r="128">
          <cell r="E128" t="str">
            <v>252110</v>
          </cell>
          <cell r="F128" t="str">
            <v>AIR - Standard Loans - Overdraft (Permanent Line of Credit) - Private Sector - Resident</v>
          </cell>
          <cell r="G128" t="str">
            <v>D</v>
          </cell>
          <cell r="H128" t="str">
            <v>B</v>
          </cell>
          <cell r="I128" t="str">
            <v>89000</v>
          </cell>
          <cell r="J128">
            <v>0</v>
          </cell>
          <cell r="K128" t="str">
            <v>30/01/2009 00:00:00</v>
          </cell>
        </row>
        <row r="129">
          <cell r="E129" t="str">
            <v>252112</v>
          </cell>
          <cell r="F129" t="str">
            <v>AIR - STD Loans - O/D (Permanent Line of Credit) - Private Sector - Resident -USD</v>
          </cell>
          <cell r="G129" t="str">
            <v>D</v>
          </cell>
          <cell r="H129" t="str">
            <v>0</v>
          </cell>
          <cell r="I129" t="str">
            <v>91000</v>
          </cell>
          <cell r="J129">
            <v>0</v>
          </cell>
          <cell r="K129" t="str">
            <v>30/01/2009 00:00:00</v>
          </cell>
        </row>
        <row r="130">
          <cell r="E130" t="str">
            <v>252200</v>
          </cell>
          <cell r="F130" t="str">
            <v>AIR - Standard Loans - Short term Commercial Loans</v>
          </cell>
          <cell r="G130" t="str">
            <v>D</v>
          </cell>
          <cell r="H130" t="str">
            <v>B</v>
          </cell>
          <cell r="I130" t="str">
            <v>92100</v>
          </cell>
          <cell r="J130">
            <v>272.61</v>
          </cell>
          <cell r="K130" t="str">
            <v>30/01/2009 00:00:00</v>
          </cell>
        </row>
        <row r="131">
          <cell r="E131" t="str">
            <v>252210</v>
          </cell>
          <cell r="F131" t="str">
            <v>AIR - Standard Loans - Short term Commercial Loans-Private Sector-Resident</v>
          </cell>
          <cell r="G131" t="str">
            <v>D</v>
          </cell>
          <cell r="H131" t="str">
            <v>B</v>
          </cell>
          <cell r="I131" t="str">
            <v>92200</v>
          </cell>
          <cell r="J131">
            <v>272.61</v>
          </cell>
          <cell r="K131" t="str">
            <v>30/01/2009 00:00:00</v>
          </cell>
        </row>
        <row r="132">
          <cell r="E132" t="str">
            <v>252212</v>
          </cell>
          <cell r="F132" t="str">
            <v>AIR - Standard Loans - Short term Commercial Loans-Private Sector-Resident-USD</v>
          </cell>
          <cell r="G132" t="str">
            <v>D</v>
          </cell>
          <cell r="H132" t="str">
            <v>B</v>
          </cell>
          <cell r="I132" t="str">
            <v>92300</v>
          </cell>
          <cell r="J132">
            <v>272.61</v>
          </cell>
          <cell r="K132" t="str">
            <v>30/01/2009 00:00:00</v>
          </cell>
        </row>
        <row r="133">
          <cell r="E133" t="str">
            <v>25221201</v>
          </cell>
          <cell r="F133" t="str">
            <v>AIR - Standard Loans -(LBD) Short term Commercial Loans-Private Sector-Resident-USD</v>
          </cell>
          <cell r="G133" t="str">
            <v>D</v>
          </cell>
          <cell r="H133" t="str">
            <v>0</v>
          </cell>
          <cell r="I133" t="str">
            <v>92400</v>
          </cell>
          <cell r="J133">
            <v>0</v>
          </cell>
          <cell r="K133" t="str">
            <v>30/01/2009 00:00:00</v>
          </cell>
        </row>
        <row r="134">
          <cell r="E134" t="str">
            <v>25221202</v>
          </cell>
          <cell r="F134" t="str">
            <v>AIR - Standard Loans -(LBP) Short term Commercial Loans-Private Sector-Resident-USD</v>
          </cell>
          <cell r="G134" t="str">
            <v>D</v>
          </cell>
          <cell r="H134" t="str">
            <v>0</v>
          </cell>
          <cell r="I134" t="str">
            <v>92500</v>
          </cell>
          <cell r="J134">
            <v>272.61</v>
          </cell>
          <cell r="K134" t="str">
            <v>30/01/2009 00:00:00</v>
          </cell>
        </row>
        <row r="135">
          <cell r="E135" t="str">
            <v>252300</v>
          </cell>
          <cell r="F135" t="str">
            <v>AIR - Standard Loans - Long term Commercial Loans</v>
          </cell>
          <cell r="G135" t="str">
            <v>D</v>
          </cell>
          <cell r="H135" t="str">
            <v>B</v>
          </cell>
          <cell r="I135" t="str">
            <v>93000</v>
          </cell>
          <cell r="J135">
            <v>6757.03</v>
          </cell>
          <cell r="K135" t="str">
            <v>30/01/2009 00:00:00</v>
          </cell>
        </row>
        <row r="136">
          <cell r="E136" t="str">
            <v>252370</v>
          </cell>
          <cell r="F136" t="str">
            <v>AIR - Standard Loans - Other Long term Loans</v>
          </cell>
          <cell r="G136" t="str">
            <v>D</v>
          </cell>
          <cell r="H136" t="str">
            <v>B</v>
          </cell>
          <cell r="I136" t="str">
            <v>94000</v>
          </cell>
          <cell r="J136">
            <v>6757.03</v>
          </cell>
          <cell r="K136" t="str">
            <v>30/01/2009 00:00:00</v>
          </cell>
        </row>
        <row r="137">
          <cell r="E137" t="str">
            <v>252372</v>
          </cell>
          <cell r="F137" t="str">
            <v>AIR - STD Loans - Other Long term Loans - Private Sector - Resident -USD</v>
          </cell>
          <cell r="G137" t="str">
            <v>D</v>
          </cell>
          <cell r="H137" t="str">
            <v>0</v>
          </cell>
          <cell r="I137" t="str">
            <v>96000</v>
          </cell>
          <cell r="J137">
            <v>6757.03</v>
          </cell>
          <cell r="K137" t="str">
            <v>30/01/2009 00:00:00</v>
          </cell>
        </row>
        <row r="138">
          <cell r="E138" t="str">
            <v>252375</v>
          </cell>
          <cell r="F138" t="str">
            <v>AIR - STD Loans - Other Long term Loans - Private Sector - Resident -THB</v>
          </cell>
          <cell r="G138" t="str">
            <v>D</v>
          </cell>
          <cell r="H138" t="str">
            <v>0</v>
          </cell>
          <cell r="I138" t="str">
            <v>97000</v>
          </cell>
          <cell r="J138">
            <v>0</v>
          </cell>
          <cell r="K138" t="str">
            <v>30/01/2009 00:00:00</v>
          </cell>
        </row>
        <row r="139">
          <cell r="E139" t="str">
            <v>252700</v>
          </cell>
          <cell r="F139" t="str">
            <v>AIR - Standard Loans - Trade and Documentary Credits</v>
          </cell>
          <cell r="G139" t="str">
            <v>D</v>
          </cell>
          <cell r="H139" t="str">
            <v>B</v>
          </cell>
          <cell r="I139" t="str">
            <v>106000</v>
          </cell>
          <cell r="J139">
            <v>486.26</v>
          </cell>
          <cell r="K139" t="str">
            <v>30/01/2009 00:00:00</v>
          </cell>
        </row>
        <row r="140">
          <cell r="E140" t="str">
            <v>252740</v>
          </cell>
          <cell r="F140" t="str">
            <v>AIR - STD Loans - Other Bill of Exchange (BoE) - Private Sector - Resident</v>
          </cell>
          <cell r="G140" t="str">
            <v>D</v>
          </cell>
          <cell r="H140" t="str">
            <v>B</v>
          </cell>
          <cell r="I140" t="str">
            <v>107000</v>
          </cell>
          <cell r="J140">
            <v>0</v>
          </cell>
          <cell r="K140" t="str">
            <v>30/01/2009 00:00:00</v>
          </cell>
        </row>
        <row r="141">
          <cell r="E141" t="str">
            <v>252742</v>
          </cell>
          <cell r="F141" t="str">
            <v>AIR - STD Loans - Other Bill of Exchange (BoE) - Private Sector - Resident -USD</v>
          </cell>
          <cell r="G141" t="str">
            <v>D</v>
          </cell>
          <cell r="H141" t="str">
            <v>0</v>
          </cell>
          <cell r="I141" t="str">
            <v>108000</v>
          </cell>
          <cell r="J141">
            <v>0</v>
          </cell>
          <cell r="K141" t="str">
            <v>30/01/2009 00:00:00</v>
          </cell>
        </row>
        <row r="142">
          <cell r="E142" t="str">
            <v>25274202</v>
          </cell>
          <cell r="F142" t="str">
            <v>AIR - STD Loans - Other Bill of Exchange (P/C-under L/C) - Private Sector - Resident -USD</v>
          </cell>
          <cell r="G142" t="str">
            <v>D</v>
          </cell>
          <cell r="H142" t="str">
            <v>0</v>
          </cell>
          <cell r="I142" t="str">
            <v>108200</v>
          </cell>
          <cell r="J142">
            <v>0</v>
          </cell>
          <cell r="K142" t="str">
            <v>30/01/2009 00:00:00</v>
          </cell>
        </row>
        <row r="143">
          <cell r="E143" t="str">
            <v>25274203</v>
          </cell>
          <cell r="F143" t="str">
            <v>AIR - STD Loans - Other Bill of Exchange (FPL) - Private Sector - Resident -USD</v>
          </cell>
          <cell r="G143" t="str">
            <v>D</v>
          </cell>
          <cell r="H143" t="str">
            <v>0</v>
          </cell>
          <cell r="I143" t="str">
            <v>108300</v>
          </cell>
          <cell r="J143">
            <v>0</v>
          </cell>
          <cell r="K143" t="str">
            <v>30/01/2009 00:00:00</v>
          </cell>
        </row>
        <row r="144">
          <cell r="E144" t="str">
            <v>25274204</v>
          </cell>
          <cell r="F144" t="str">
            <v>AIR - STD Loans - Other Bill of Exchange (P/C-under Contract/Order) - Private Sector - Resident -USD</v>
          </cell>
          <cell r="G144" t="str">
            <v>D</v>
          </cell>
          <cell r="H144" t="str">
            <v>0</v>
          </cell>
          <cell r="I144" t="str">
            <v>108400</v>
          </cell>
          <cell r="J144">
            <v>0</v>
          </cell>
          <cell r="K144" t="str">
            <v>30/01/2009 00:00:00</v>
          </cell>
        </row>
        <row r="145">
          <cell r="E145" t="str">
            <v>252770</v>
          </cell>
          <cell r="F145" t="str">
            <v>AIR - Standard Loans - Trust Receipt</v>
          </cell>
          <cell r="G145" t="str">
            <v>D</v>
          </cell>
          <cell r="H145" t="str">
            <v>B</v>
          </cell>
          <cell r="I145" t="str">
            <v>109000</v>
          </cell>
          <cell r="J145">
            <v>486.26</v>
          </cell>
          <cell r="K145" t="str">
            <v>30/01/2009 00:00:00</v>
          </cell>
        </row>
        <row r="146">
          <cell r="E146" t="str">
            <v>252772</v>
          </cell>
          <cell r="F146" t="str">
            <v>AIR - STD Loans - T/R - Private Sector - Resident -USD</v>
          </cell>
          <cell r="G146" t="str">
            <v>D</v>
          </cell>
          <cell r="H146" t="str">
            <v>0</v>
          </cell>
          <cell r="I146" t="str">
            <v>111000</v>
          </cell>
          <cell r="J146">
            <v>343.55</v>
          </cell>
          <cell r="K146" t="str">
            <v>30/01/2009 00:00:00</v>
          </cell>
        </row>
        <row r="147">
          <cell r="E147" t="str">
            <v>252775</v>
          </cell>
          <cell r="F147" t="str">
            <v>AIR - STD Loans - T/R - Private Sector - Resident -THB</v>
          </cell>
          <cell r="G147" t="str">
            <v>D</v>
          </cell>
          <cell r="H147" t="str">
            <v>0</v>
          </cell>
          <cell r="I147" t="str">
            <v>112000</v>
          </cell>
          <cell r="J147">
            <v>142.71</v>
          </cell>
          <cell r="K147" t="str">
            <v>30/01/2009 00:00:00</v>
          </cell>
        </row>
        <row r="148">
          <cell r="E148" t="str">
            <v>253000</v>
          </cell>
          <cell r="F148" t="str">
            <v>AIR - STD Loans - Consumer Loans</v>
          </cell>
          <cell r="G148" t="str">
            <v>D</v>
          </cell>
          <cell r="H148" t="str">
            <v>B</v>
          </cell>
          <cell r="I148" t="str">
            <v>112100</v>
          </cell>
          <cell r="J148">
            <v>0</v>
          </cell>
          <cell r="K148" t="str">
            <v>30/01/2009 00:00:00</v>
          </cell>
        </row>
        <row r="149">
          <cell r="E149" t="str">
            <v>253120</v>
          </cell>
          <cell r="F149" t="str">
            <v>AIR - STD Loans - Bank Employee-Resident</v>
          </cell>
          <cell r="G149" t="str">
            <v>D</v>
          </cell>
          <cell r="H149" t="str">
            <v>B</v>
          </cell>
          <cell r="I149" t="str">
            <v>112200</v>
          </cell>
          <cell r="J149">
            <v>0</v>
          </cell>
          <cell r="K149" t="str">
            <v>30/01/2009 00:00:00</v>
          </cell>
        </row>
        <row r="150">
          <cell r="E150" t="str">
            <v>253122</v>
          </cell>
          <cell r="F150" t="str">
            <v>AIR - STD Loans - Bank Employee-Resident-USD</v>
          </cell>
          <cell r="G150" t="str">
            <v>D</v>
          </cell>
          <cell r="H150" t="str">
            <v>0</v>
          </cell>
          <cell r="I150" t="str">
            <v>112300</v>
          </cell>
          <cell r="J150">
            <v>0</v>
          </cell>
          <cell r="K150" t="str">
            <v>30/01/2009 00:00:00</v>
          </cell>
        </row>
        <row r="151">
          <cell r="E151" t="str">
            <v>260000</v>
          </cell>
          <cell r="F151" t="str">
            <v>AIR - Sub Standard Loans and Lease Financing</v>
          </cell>
          <cell r="G151" t="str">
            <v>D</v>
          </cell>
          <cell r="H151" t="str">
            <v>B</v>
          </cell>
          <cell r="I151" t="str">
            <v>113000</v>
          </cell>
          <cell r="J151">
            <v>0</v>
          </cell>
          <cell r="K151" t="str">
            <v>30/01/2009 00:00:00</v>
          </cell>
        </row>
        <row r="152">
          <cell r="E152" t="str">
            <v>262000</v>
          </cell>
          <cell r="F152" t="str">
            <v>AIR- Sub Standard Loans - Commerial Loans</v>
          </cell>
          <cell r="G152" t="str">
            <v>D</v>
          </cell>
          <cell r="H152" t="str">
            <v>B</v>
          </cell>
          <cell r="I152" t="str">
            <v>113100</v>
          </cell>
          <cell r="J152">
            <v>0</v>
          </cell>
          <cell r="K152" t="str">
            <v>30/01/2009 00:00:00</v>
          </cell>
        </row>
        <row r="153">
          <cell r="E153" t="str">
            <v>262300</v>
          </cell>
          <cell r="F153" t="str">
            <v>AIR- Sub Standard Loans - Long term Commerial Loans</v>
          </cell>
          <cell r="G153" t="str">
            <v>D</v>
          </cell>
          <cell r="H153" t="str">
            <v>B</v>
          </cell>
          <cell r="I153" t="str">
            <v>113200</v>
          </cell>
          <cell r="J153">
            <v>0</v>
          </cell>
          <cell r="K153" t="str">
            <v>30/01/2009 00:00:00</v>
          </cell>
        </row>
        <row r="154">
          <cell r="E154" t="str">
            <v>262370</v>
          </cell>
          <cell r="F154" t="str">
            <v>AIR- Sub Standard Loans - Other Long term Loans</v>
          </cell>
          <cell r="G154" t="str">
            <v>D</v>
          </cell>
          <cell r="H154" t="str">
            <v>B</v>
          </cell>
          <cell r="I154" t="str">
            <v>113300</v>
          </cell>
          <cell r="J154">
            <v>0</v>
          </cell>
          <cell r="K154" t="str">
            <v>30/01/2009 00:00:00</v>
          </cell>
        </row>
        <row r="155">
          <cell r="E155" t="str">
            <v>262372</v>
          </cell>
          <cell r="F155" t="str">
            <v>AIR- Sub Standard Loans - Other Long term Loans-Private Sector-Resident-USD</v>
          </cell>
          <cell r="G155" t="str">
            <v>D</v>
          </cell>
          <cell r="H155" t="str">
            <v>0</v>
          </cell>
          <cell r="I155" t="str">
            <v>113400</v>
          </cell>
          <cell r="J155">
            <v>0</v>
          </cell>
          <cell r="K155" t="str">
            <v>30/01/2009 00:00:00</v>
          </cell>
        </row>
        <row r="156">
          <cell r="E156" t="str">
            <v>263000</v>
          </cell>
          <cell r="F156" t="str">
            <v>AIR - Sub Standard Loans - Consumer Loans</v>
          </cell>
          <cell r="G156" t="str">
            <v>D</v>
          </cell>
          <cell r="H156" t="str">
            <v>B</v>
          </cell>
          <cell r="I156" t="str">
            <v>114000</v>
          </cell>
          <cell r="J156">
            <v>0</v>
          </cell>
          <cell r="K156" t="str">
            <v>30/01/2009 00:00:00</v>
          </cell>
        </row>
        <row r="157">
          <cell r="E157" t="str">
            <v>263900</v>
          </cell>
          <cell r="F157" t="str">
            <v>AIR - Sub Standard Loans - Other Consumer Loans</v>
          </cell>
          <cell r="G157" t="str">
            <v>D</v>
          </cell>
          <cell r="H157" t="str">
            <v>B</v>
          </cell>
          <cell r="I157" t="str">
            <v>115000</v>
          </cell>
          <cell r="J157">
            <v>0</v>
          </cell>
          <cell r="K157" t="str">
            <v>30/01/2009 00:00:00</v>
          </cell>
        </row>
        <row r="158">
          <cell r="E158" t="str">
            <v>263910</v>
          </cell>
          <cell r="F158" t="str">
            <v>AIR - STD Loans - Other Consumer Loans - Individuals - Resident</v>
          </cell>
          <cell r="G158" t="str">
            <v>D</v>
          </cell>
          <cell r="H158" t="str">
            <v>B</v>
          </cell>
          <cell r="I158" t="str">
            <v>116000</v>
          </cell>
          <cell r="J158">
            <v>0</v>
          </cell>
          <cell r="K158" t="str">
            <v>30/01/2009 00:00:00</v>
          </cell>
        </row>
        <row r="159">
          <cell r="E159" t="str">
            <v>263912</v>
          </cell>
          <cell r="F159" t="str">
            <v>AIR - STD Loans - Other Consumer Loans - Individuals - Resident -USD</v>
          </cell>
          <cell r="G159" t="str">
            <v>D</v>
          </cell>
          <cell r="H159" t="str">
            <v>0</v>
          </cell>
          <cell r="I159" t="str">
            <v>118000</v>
          </cell>
          <cell r="J159">
            <v>0</v>
          </cell>
          <cell r="K159" t="str">
            <v>30/01/2009 00:00:00</v>
          </cell>
        </row>
        <row r="160">
          <cell r="E160" t="str">
            <v>270000</v>
          </cell>
          <cell r="F160" t="str">
            <v>AIR - Doubtful Loans and Lease Financing</v>
          </cell>
          <cell r="G160" t="str">
            <v>D</v>
          </cell>
          <cell r="H160" t="str">
            <v>B</v>
          </cell>
          <cell r="I160" t="str">
            <v>119100</v>
          </cell>
          <cell r="J160">
            <v>0</v>
          </cell>
          <cell r="K160" t="str">
            <v>30/01/2009 00:00:00</v>
          </cell>
        </row>
        <row r="161">
          <cell r="E161" t="str">
            <v>272000</v>
          </cell>
          <cell r="F161" t="str">
            <v>AIR - Doubtful Loans - Commercial Loans</v>
          </cell>
          <cell r="G161" t="str">
            <v>D</v>
          </cell>
          <cell r="H161" t="str">
            <v>B</v>
          </cell>
          <cell r="I161" t="str">
            <v>119200</v>
          </cell>
          <cell r="J161">
            <v>0</v>
          </cell>
          <cell r="K161" t="str">
            <v>30/01/2009 00:00:00</v>
          </cell>
        </row>
        <row r="162">
          <cell r="E162" t="str">
            <v>272300</v>
          </cell>
          <cell r="F162" t="str">
            <v>AIR - Doubtful Loans - Long term Commercial Loans</v>
          </cell>
          <cell r="G162" t="str">
            <v>D</v>
          </cell>
          <cell r="H162" t="str">
            <v>B</v>
          </cell>
          <cell r="I162" t="str">
            <v>119300</v>
          </cell>
          <cell r="J162">
            <v>0</v>
          </cell>
          <cell r="K162" t="str">
            <v>30/01/2009 00:00:00</v>
          </cell>
        </row>
        <row r="163">
          <cell r="E163" t="str">
            <v>272370</v>
          </cell>
          <cell r="F163" t="str">
            <v>AIR - Doubtful Loans -Other Long term Loans</v>
          </cell>
          <cell r="G163" t="str">
            <v>D</v>
          </cell>
          <cell r="H163" t="str">
            <v>B</v>
          </cell>
          <cell r="I163" t="str">
            <v>119400</v>
          </cell>
          <cell r="J163">
            <v>0</v>
          </cell>
          <cell r="K163" t="str">
            <v>30/01/2009 00:00:00</v>
          </cell>
        </row>
        <row r="164">
          <cell r="E164" t="str">
            <v>272372</v>
          </cell>
          <cell r="F164" t="str">
            <v>AIR - Doubtful Loans -Other Long term Loans - Private Sector - Resident - USD</v>
          </cell>
          <cell r="G164" t="str">
            <v>D</v>
          </cell>
          <cell r="H164" t="str">
            <v>0</v>
          </cell>
          <cell r="I164" t="str">
            <v>119500</v>
          </cell>
          <cell r="J164">
            <v>0</v>
          </cell>
          <cell r="K164" t="str">
            <v>30/01/2009 00:00:00</v>
          </cell>
        </row>
        <row r="165">
          <cell r="E165" t="str">
            <v>280000</v>
          </cell>
          <cell r="F165" t="str">
            <v>AIR - Loss Loans and Lease Financing</v>
          </cell>
          <cell r="G165" t="str">
            <v>D</v>
          </cell>
          <cell r="H165" t="str">
            <v>B</v>
          </cell>
          <cell r="I165" t="str">
            <v>120000</v>
          </cell>
          <cell r="J165">
            <v>0</v>
          </cell>
          <cell r="K165" t="str">
            <v>30/01/2009 00:00:00</v>
          </cell>
        </row>
        <row r="166">
          <cell r="E166" t="str">
            <v>282000</v>
          </cell>
          <cell r="F166" t="str">
            <v>AIR - Loss Loans - Commercial Loans</v>
          </cell>
          <cell r="G166" t="str">
            <v>D</v>
          </cell>
          <cell r="H166" t="str">
            <v>B</v>
          </cell>
          <cell r="I166" t="str">
            <v>121000</v>
          </cell>
          <cell r="J166">
            <v>0</v>
          </cell>
          <cell r="K166" t="str">
            <v>30/01/2009 00:00:00</v>
          </cell>
        </row>
        <row r="167">
          <cell r="E167" t="str">
            <v>282600</v>
          </cell>
          <cell r="F167" t="str">
            <v>AIR - Loss Loans - Other Commercial Loans</v>
          </cell>
          <cell r="G167" t="str">
            <v>D</v>
          </cell>
          <cell r="H167" t="str">
            <v>B</v>
          </cell>
          <cell r="I167" t="str">
            <v>122000</v>
          </cell>
          <cell r="J167">
            <v>0</v>
          </cell>
          <cell r="K167" t="str">
            <v>30/01/2009 00:00:00</v>
          </cell>
        </row>
        <row r="168">
          <cell r="E168" t="str">
            <v>282610</v>
          </cell>
          <cell r="F168" t="str">
            <v>AIR - Loss Loans - Other Commercial Loans - Private Sector - Resident</v>
          </cell>
          <cell r="G168" t="str">
            <v>D</v>
          </cell>
          <cell r="H168" t="str">
            <v>B</v>
          </cell>
          <cell r="I168" t="str">
            <v>123000</v>
          </cell>
          <cell r="J168">
            <v>0</v>
          </cell>
          <cell r="K168" t="str">
            <v>30/01/2009 00:00:00</v>
          </cell>
        </row>
        <row r="169">
          <cell r="E169" t="str">
            <v>282615</v>
          </cell>
          <cell r="F169" t="str">
            <v>AIR - Loss Loans - Other Commercial Loans - Private Sector - Resident -THB</v>
          </cell>
          <cell r="G169" t="str">
            <v>D</v>
          </cell>
          <cell r="H169" t="str">
            <v>0</v>
          </cell>
          <cell r="I169" t="str">
            <v>126000</v>
          </cell>
          <cell r="J169">
            <v>0</v>
          </cell>
          <cell r="K169" t="str">
            <v>30/01/2009 00:00:00</v>
          </cell>
        </row>
        <row r="170">
          <cell r="E170" t="str">
            <v>290000</v>
          </cell>
          <cell r="F170" t="str">
            <v>Fixed Assets and Other</v>
          </cell>
          <cell r="G170" t="str">
            <v>D</v>
          </cell>
          <cell r="H170" t="str">
            <v>B</v>
          </cell>
          <cell r="I170" t="str">
            <v>127000</v>
          </cell>
          <cell r="J170">
            <v>4948353.66</v>
          </cell>
          <cell r="K170" t="str">
            <v>30/01/2009 00:00:00</v>
          </cell>
        </row>
        <row r="171">
          <cell r="E171" t="str">
            <v>291000</v>
          </cell>
          <cell r="F171" t="str">
            <v>Land</v>
          </cell>
          <cell r="G171" t="str">
            <v>D</v>
          </cell>
          <cell r="H171" t="str">
            <v>B</v>
          </cell>
          <cell r="I171" t="str">
            <v>128000</v>
          </cell>
          <cell r="J171">
            <v>360000</v>
          </cell>
          <cell r="K171" t="str">
            <v>30/01/2009 00:00:00</v>
          </cell>
        </row>
        <row r="172">
          <cell r="E172" t="str">
            <v>291100</v>
          </cell>
          <cell r="F172" t="str">
            <v>Land</v>
          </cell>
          <cell r="G172" t="str">
            <v>D</v>
          </cell>
          <cell r="H172" t="str">
            <v>B</v>
          </cell>
          <cell r="I172" t="str">
            <v>129000</v>
          </cell>
          <cell r="J172">
            <v>360000</v>
          </cell>
          <cell r="K172" t="str">
            <v>30/01/2009 00:00:00</v>
          </cell>
        </row>
        <row r="173">
          <cell r="E173" t="str">
            <v>291102</v>
          </cell>
          <cell r="F173" t="str">
            <v>Land -USD</v>
          </cell>
          <cell r="G173" t="str">
            <v>D</v>
          </cell>
          <cell r="H173" t="str">
            <v>0</v>
          </cell>
          <cell r="I173" t="str">
            <v>131000</v>
          </cell>
          <cell r="J173">
            <v>360000</v>
          </cell>
          <cell r="K173" t="str">
            <v>30/01/2009 00:00:00</v>
          </cell>
        </row>
        <row r="174">
          <cell r="E174" t="str">
            <v>292000</v>
          </cell>
          <cell r="F174" t="str">
            <v>Building and Leasehold Improvements</v>
          </cell>
          <cell r="G174" t="str">
            <v>D</v>
          </cell>
          <cell r="H174" t="str">
            <v>B</v>
          </cell>
          <cell r="I174" t="str">
            <v>133000</v>
          </cell>
          <cell r="J174">
            <v>160000</v>
          </cell>
          <cell r="K174" t="str">
            <v>30/01/2009 00:00:00</v>
          </cell>
        </row>
        <row r="175">
          <cell r="E175" t="str">
            <v>292100</v>
          </cell>
          <cell r="F175" t="str">
            <v>Building (Bank Premises)</v>
          </cell>
          <cell r="G175" t="str">
            <v>D</v>
          </cell>
          <cell r="H175" t="str">
            <v>B</v>
          </cell>
          <cell r="I175" t="str">
            <v>134000</v>
          </cell>
          <cell r="J175">
            <v>160000</v>
          </cell>
          <cell r="K175" t="str">
            <v>30/01/2009 00:00:00</v>
          </cell>
        </row>
        <row r="176">
          <cell r="E176" t="str">
            <v>292102</v>
          </cell>
          <cell r="F176" t="str">
            <v>Building (Bank Premises) -USD</v>
          </cell>
          <cell r="G176" t="str">
            <v>D</v>
          </cell>
          <cell r="H176" t="str">
            <v>0</v>
          </cell>
          <cell r="I176" t="str">
            <v>136000</v>
          </cell>
          <cell r="J176">
            <v>160000</v>
          </cell>
          <cell r="K176" t="str">
            <v>30/01/2009 00:00:00</v>
          </cell>
        </row>
        <row r="177">
          <cell r="E177" t="str">
            <v>29210202</v>
          </cell>
          <cell r="F177" t="str">
            <v>Building (Bank Premises)-Rennovation -USD</v>
          </cell>
          <cell r="G177" t="str">
            <v>D</v>
          </cell>
          <cell r="H177" t="str">
            <v>0</v>
          </cell>
          <cell r="I177" t="str">
            <v>136100</v>
          </cell>
          <cell r="J177">
            <v>0</v>
          </cell>
          <cell r="K177" t="str">
            <v>30/01/2009 00:00:00</v>
          </cell>
        </row>
        <row r="178">
          <cell r="E178" t="str">
            <v>293000</v>
          </cell>
          <cell r="F178" t="str">
            <v>Furniture, Fixtures, Equipment</v>
          </cell>
          <cell r="G178" t="str">
            <v>D</v>
          </cell>
          <cell r="H178" t="str">
            <v>B</v>
          </cell>
          <cell r="I178" t="str">
            <v>138000</v>
          </cell>
          <cell r="J178">
            <v>199018.83</v>
          </cell>
          <cell r="K178" t="str">
            <v>30/01/2009 00:00:00</v>
          </cell>
        </row>
        <row r="179">
          <cell r="E179" t="str">
            <v>293100</v>
          </cell>
          <cell r="F179" t="str">
            <v>Furniture and Fixtures</v>
          </cell>
          <cell r="G179" t="str">
            <v>D</v>
          </cell>
          <cell r="H179" t="str">
            <v>B</v>
          </cell>
          <cell r="I179" t="str">
            <v>139000</v>
          </cell>
          <cell r="J179">
            <v>10370.43</v>
          </cell>
          <cell r="K179" t="str">
            <v>30/01/2009 00:00:00</v>
          </cell>
        </row>
        <row r="180">
          <cell r="E180" t="str">
            <v>293101</v>
          </cell>
          <cell r="F180" t="str">
            <v>Furniture and Fixtures -KHR</v>
          </cell>
          <cell r="G180" t="str">
            <v>D</v>
          </cell>
          <cell r="H180" t="str">
            <v>0</v>
          </cell>
          <cell r="I180" t="str">
            <v>140000</v>
          </cell>
          <cell r="J180">
            <v>0</v>
          </cell>
          <cell r="K180" t="str">
            <v>30/01/2009 00:00:00</v>
          </cell>
        </row>
        <row r="181">
          <cell r="E181" t="str">
            <v>293102</v>
          </cell>
          <cell r="F181" t="str">
            <v>Furniture and Fixtures -USD</v>
          </cell>
          <cell r="G181" t="str">
            <v>D</v>
          </cell>
          <cell r="H181" t="str">
            <v>0</v>
          </cell>
          <cell r="I181" t="str">
            <v>141000</v>
          </cell>
          <cell r="J181">
            <v>8111.55</v>
          </cell>
          <cell r="K181" t="str">
            <v>30/01/2009 00:00:00</v>
          </cell>
        </row>
        <row r="182">
          <cell r="E182" t="str">
            <v>293105</v>
          </cell>
          <cell r="F182" t="str">
            <v>Furniture and Fixtures -THB</v>
          </cell>
          <cell r="G182" t="str">
            <v>D</v>
          </cell>
          <cell r="H182" t="str">
            <v>0</v>
          </cell>
          <cell r="I182" t="str">
            <v>142000</v>
          </cell>
          <cell r="J182">
            <v>2258.88</v>
          </cell>
          <cell r="K182" t="str">
            <v>30/01/2009 00:00:00</v>
          </cell>
        </row>
        <row r="183">
          <cell r="E183" t="str">
            <v>293200</v>
          </cell>
          <cell r="F183" t="str">
            <v>Equipments</v>
          </cell>
          <cell r="G183" t="str">
            <v>D</v>
          </cell>
          <cell r="H183" t="str">
            <v>B</v>
          </cell>
          <cell r="I183" t="str">
            <v>143000</v>
          </cell>
          <cell r="J183">
            <v>42575.01</v>
          </cell>
          <cell r="K183" t="str">
            <v>30/01/2009 00:00:00</v>
          </cell>
        </row>
        <row r="184">
          <cell r="E184" t="str">
            <v>293202</v>
          </cell>
          <cell r="F184" t="str">
            <v>Equipments -USD</v>
          </cell>
          <cell r="G184" t="str">
            <v>D</v>
          </cell>
          <cell r="H184" t="str">
            <v>0</v>
          </cell>
          <cell r="I184" t="str">
            <v>145000</v>
          </cell>
          <cell r="J184">
            <v>0</v>
          </cell>
          <cell r="K184" t="str">
            <v>30/01/2009 00:00:00</v>
          </cell>
        </row>
        <row r="185">
          <cell r="E185" t="str">
            <v>29320201</v>
          </cell>
          <cell r="F185" t="str">
            <v>Equipments (SP)-USD</v>
          </cell>
          <cell r="G185" t="str">
            <v>D</v>
          </cell>
          <cell r="H185" t="str">
            <v>0</v>
          </cell>
          <cell r="I185" t="str">
            <v>145010</v>
          </cell>
          <cell r="J185">
            <v>17986.13</v>
          </cell>
          <cell r="K185" t="str">
            <v>30/01/2009 00:00:00</v>
          </cell>
        </row>
        <row r="186">
          <cell r="E186" t="str">
            <v>29320202</v>
          </cell>
          <cell r="F186" t="str">
            <v>Equipments(F&amp;E) -USD</v>
          </cell>
          <cell r="G186" t="str">
            <v>D</v>
          </cell>
          <cell r="H186" t="str">
            <v>0</v>
          </cell>
          <cell r="I186" t="str">
            <v>145100</v>
          </cell>
          <cell r="J186">
            <v>18948.18</v>
          </cell>
          <cell r="K186" t="str">
            <v>30/01/2009 00:00:00</v>
          </cell>
        </row>
        <row r="187">
          <cell r="E187" t="str">
            <v>29320503</v>
          </cell>
          <cell r="F187" t="str">
            <v>Equipments(SP) -THB</v>
          </cell>
          <cell r="G187" t="str">
            <v>D</v>
          </cell>
          <cell r="H187" t="str">
            <v>0</v>
          </cell>
          <cell r="I187" t="str">
            <v>146010</v>
          </cell>
          <cell r="J187">
            <v>0</v>
          </cell>
          <cell r="K187" t="str">
            <v>30/01/2009 00:00:00</v>
          </cell>
        </row>
        <row r="188">
          <cell r="E188" t="str">
            <v>29320505</v>
          </cell>
          <cell r="F188" t="str">
            <v>Equipments (F&amp;E)-THB</v>
          </cell>
          <cell r="G188" t="str">
            <v>D</v>
          </cell>
          <cell r="H188" t="str">
            <v>0</v>
          </cell>
          <cell r="I188" t="str">
            <v>146100</v>
          </cell>
          <cell r="J188">
            <v>5640.7</v>
          </cell>
          <cell r="K188" t="str">
            <v>30/01/2009 00:00:00</v>
          </cell>
        </row>
        <row r="189">
          <cell r="E189" t="str">
            <v>293300</v>
          </cell>
          <cell r="F189" t="str">
            <v>Computer Equipment</v>
          </cell>
          <cell r="G189" t="str">
            <v>D</v>
          </cell>
          <cell r="H189" t="str">
            <v>B</v>
          </cell>
          <cell r="I189" t="str">
            <v>147000</v>
          </cell>
          <cell r="J189">
            <v>51096.51</v>
          </cell>
          <cell r="K189" t="str">
            <v>30/01/2009 00:00:00</v>
          </cell>
        </row>
        <row r="190">
          <cell r="E190" t="str">
            <v>293302</v>
          </cell>
          <cell r="F190" t="str">
            <v>Computer Equipment -USD</v>
          </cell>
          <cell r="G190" t="str">
            <v>D</v>
          </cell>
          <cell r="H190" t="str">
            <v>0</v>
          </cell>
          <cell r="I190" t="str">
            <v>149000</v>
          </cell>
          <cell r="J190">
            <v>50116.51</v>
          </cell>
          <cell r="K190" t="str">
            <v>30/01/2009 00:00:00</v>
          </cell>
        </row>
        <row r="191">
          <cell r="E191" t="str">
            <v>29330201</v>
          </cell>
          <cell r="F191" t="str">
            <v>Computer Equipment (SP)-USD</v>
          </cell>
          <cell r="G191" t="str">
            <v>D</v>
          </cell>
          <cell r="H191" t="str">
            <v>0</v>
          </cell>
          <cell r="I191" t="str">
            <v>149010</v>
          </cell>
          <cell r="J191">
            <v>0</v>
          </cell>
          <cell r="K191" t="str">
            <v>30/01/2009 00:00:00</v>
          </cell>
        </row>
        <row r="192">
          <cell r="E192" t="str">
            <v>29330202</v>
          </cell>
          <cell r="F192" t="str">
            <v>Computer Equipment (F&amp;E) -USD</v>
          </cell>
          <cell r="G192" t="str">
            <v>D</v>
          </cell>
          <cell r="H192" t="str">
            <v>0</v>
          </cell>
          <cell r="I192" t="str">
            <v>149100</v>
          </cell>
          <cell r="J192">
            <v>980</v>
          </cell>
          <cell r="K192" t="str">
            <v>30/01/2009 00:00:00</v>
          </cell>
        </row>
        <row r="193">
          <cell r="E193" t="str">
            <v>293305</v>
          </cell>
          <cell r="F193" t="str">
            <v>Computer Equipment -THB</v>
          </cell>
          <cell r="G193" t="str">
            <v>D</v>
          </cell>
          <cell r="H193" t="str">
            <v>0</v>
          </cell>
          <cell r="I193" t="str">
            <v>150000</v>
          </cell>
          <cell r="J193">
            <v>0</v>
          </cell>
          <cell r="K193" t="str">
            <v>30/01/2009 00:00:00</v>
          </cell>
        </row>
        <row r="194">
          <cell r="E194" t="str">
            <v>29330505</v>
          </cell>
          <cell r="F194" t="str">
            <v>Computer Equipment (SP)-THB</v>
          </cell>
          <cell r="G194" t="str">
            <v>D</v>
          </cell>
          <cell r="H194" t="str">
            <v>0</v>
          </cell>
          <cell r="I194" t="str">
            <v>150100</v>
          </cell>
          <cell r="J194">
            <v>0</v>
          </cell>
          <cell r="K194" t="str">
            <v>30/01/2009 00:00:00</v>
          </cell>
        </row>
        <row r="195">
          <cell r="E195" t="str">
            <v>293400</v>
          </cell>
          <cell r="F195" t="str">
            <v>Motor Vehicles</v>
          </cell>
          <cell r="G195" t="str">
            <v>D</v>
          </cell>
          <cell r="H195" t="str">
            <v>B</v>
          </cell>
          <cell r="I195" t="str">
            <v>151000</v>
          </cell>
          <cell r="J195">
            <v>77555</v>
          </cell>
          <cell r="K195" t="str">
            <v>30/01/2009 00:00:00</v>
          </cell>
        </row>
        <row r="196">
          <cell r="E196" t="str">
            <v>293402</v>
          </cell>
          <cell r="F196" t="str">
            <v>Motor Vehicles -USD</v>
          </cell>
          <cell r="G196" t="str">
            <v>D</v>
          </cell>
          <cell r="H196" t="str">
            <v>0</v>
          </cell>
          <cell r="I196" t="str">
            <v>153000</v>
          </cell>
          <cell r="J196">
            <v>77555</v>
          </cell>
          <cell r="K196" t="str">
            <v>30/01/2009 00:00:00</v>
          </cell>
        </row>
        <row r="197">
          <cell r="E197" t="str">
            <v>293600</v>
          </cell>
          <cell r="F197" t="str">
            <v>Other Fixed Assets</v>
          </cell>
          <cell r="G197" t="str">
            <v>D</v>
          </cell>
          <cell r="H197" t="str">
            <v>B</v>
          </cell>
          <cell r="I197" t="str">
            <v>155000</v>
          </cell>
          <cell r="J197">
            <v>17421.88</v>
          </cell>
          <cell r="K197" t="str">
            <v>30/01/2009 00:00:00</v>
          </cell>
        </row>
        <row r="198">
          <cell r="E198" t="str">
            <v>293602</v>
          </cell>
          <cell r="F198" t="str">
            <v>Other Fixed Assets -USD</v>
          </cell>
          <cell r="G198" t="str">
            <v>D</v>
          </cell>
          <cell r="H198" t="str">
            <v>0</v>
          </cell>
          <cell r="I198" t="str">
            <v>157000</v>
          </cell>
          <cell r="J198">
            <v>16467</v>
          </cell>
          <cell r="K198" t="str">
            <v>30/01/2009 00:00:00</v>
          </cell>
        </row>
        <row r="199">
          <cell r="E199" t="str">
            <v>29360201</v>
          </cell>
          <cell r="F199" t="str">
            <v>Other Fixed Assets (F&amp;E)-USD</v>
          </cell>
          <cell r="G199" t="str">
            <v>D</v>
          </cell>
          <cell r="H199" t="str">
            <v>0</v>
          </cell>
          <cell r="I199" t="str">
            <v>157010</v>
          </cell>
          <cell r="J199">
            <v>325.88</v>
          </cell>
          <cell r="K199" t="str">
            <v>30/01/2009 00:00:00</v>
          </cell>
        </row>
        <row r="200">
          <cell r="E200" t="str">
            <v>29360202</v>
          </cell>
          <cell r="F200" t="str">
            <v>Other Fixed Assets (FA)-USD</v>
          </cell>
          <cell r="G200" t="str">
            <v>D</v>
          </cell>
          <cell r="H200" t="str">
            <v>0</v>
          </cell>
          <cell r="I200" t="str">
            <v>157100</v>
          </cell>
          <cell r="J200">
            <v>629</v>
          </cell>
          <cell r="K200" t="str">
            <v>30/01/2009 00:00:00</v>
          </cell>
        </row>
        <row r="201">
          <cell r="E201" t="str">
            <v>293605</v>
          </cell>
          <cell r="F201" t="str">
            <v>Other Fixed Assets -THB</v>
          </cell>
          <cell r="G201" t="str">
            <v>D</v>
          </cell>
          <cell r="H201" t="str">
            <v>0</v>
          </cell>
          <cell r="I201" t="str">
            <v>158000</v>
          </cell>
          <cell r="J201">
            <v>0</v>
          </cell>
          <cell r="K201" t="str">
            <v>30/01/2009 00:00:00</v>
          </cell>
        </row>
        <row r="202">
          <cell r="E202" t="str">
            <v>294000</v>
          </cell>
          <cell r="F202" t="str">
            <v>Allowance for Accumulated Depreciation</v>
          </cell>
          <cell r="G202" t="str">
            <v>C</v>
          </cell>
          <cell r="H202" t="str">
            <v>B</v>
          </cell>
          <cell r="I202" t="str">
            <v>159000</v>
          </cell>
          <cell r="J202">
            <v>293304.67</v>
          </cell>
          <cell r="K202" t="str">
            <v>30/01/2009 00:00:00</v>
          </cell>
        </row>
        <row r="203">
          <cell r="E203" t="str">
            <v>294200</v>
          </cell>
          <cell r="F203" t="str">
            <v>Allowance for Depreciation - Buildings and Leasehold Improvements</v>
          </cell>
          <cell r="G203" t="str">
            <v>C</v>
          </cell>
          <cell r="H203" t="str">
            <v>B</v>
          </cell>
          <cell r="I203" t="str">
            <v>160000</v>
          </cell>
          <cell r="J203">
            <v>121333.84</v>
          </cell>
          <cell r="K203" t="str">
            <v>30/01/2009 00:00:00</v>
          </cell>
        </row>
        <row r="204">
          <cell r="E204" t="str">
            <v>294210</v>
          </cell>
          <cell r="F204" t="str">
            <v>Allowance for Accumulated Depreciation - Buildings</v>
          </cell>
          <cell r="G204" t="str">
            <v>C</v>
          </cell>
          <cell r="H204" t="str">
            <v>B</v>
          </cell>
          <cell r="I204" t="str">
            <v>161000</v>
          </cell>
          <cell r="J204">
            <v>121333.84</v>
          </cell>
          <cell r="K204" t="str">
            <v>30/01/2009 00:00:00</v>
          </cell>
        </row>
        <row r="205">
          <cell r="E205" t="str">
            <v>294212</v>
          </cell>
          <cell r="F205" t="str">
            <v>Allowance for Accum Depre - Buildings -USD</v>
          </cell>
          <cell r="G205" t="str">
            <v>C</v>
          </cell>
          <cell r="H205" t="str">
            <v>0</v>
          </cell>
          <cell r="I205" t="str">
            <v>163000</v>
          </cell>
          <cell r="J205">
            <v>121333.84</v>
          </cell>
          <cell r="K205" t="str">
            <v>30/01/2009 00:00:00</v>
          </cell>
        </row>
        <row r="206">
          <cell r="E206" t="str">
            <v>294300</v>
          </cell>
          <cell r="F206" t="str">
            <v>Allowance for Depreciation - Furniture, Fixtures, Equipment</v>
          </cell>
          <cell r="G206" t="str">
            <v>C</v>
          </cell>
          <cell r="H206" t="str">
            <v>B</v>
          </cell>
          <cell r="I206" t="str">
            <v>165000</v>
          </cell>
          <cell r="J206">
            <v>171970.83</v>
          </cell>
          <cell r="K206" t="str">
            <v>30/01/2009 00:00:00</v>
          </cell>
        </row>
        <row r="207">
          <cell r="E207" t="str">
            <v>294310</v>
          </cell>
          <cell r="F207" t="str">
            <v>Allowance for Accumulated Depreciation - Furniture and Fixtures</v>
          </cell>
          <cell r="G207" t="str">
            <v>C</v>
          </cell>
          <cell r="H207" t="str">
            <v>B</v>
          </cell>
          <cell r="I207" t="str">
            <v>166000</v>
          </cell>
          <cell r="J207">
            <v>9612.1200000000008</v>
          </cell>
          <cell r="K207" t="str">
            <v>30/01/2009 00:00:00</v>
          </cell>
        </row>
        <row r="208">
          <cell r="E208" t="str">
            <v>294311</v>
          </cell>
          <cell r="F208" t="str">
            <v>Allowance for Accum Depre - Furniture and Fixtures -KHR</v>
          </cell>
          <cell r="G208" t="str">
            <v>C</v>
          </cell>
          <cell r="H208" t="str">
            <v>0</v>
          </cell>
          <cell r="I208" t="str">
            <v>167000</v>
          </cell>
          <cell r="J208">
            <v>0</v>
          </cell>
          <cell r="K208" t="str">
            <v>30/01/2009 00:00:00</v>
          </cell>
        </row>
        <row r="209">
          <cell r="E209" t="str">
            <v>294312</v>
          </cell>
          <cell r="F209" t="str">
            <v>Allowance for Accum Depre - Furniture and Fixtures -USD</v>
          </cell>
          <cell r="G209" t="str">
            <v>C</v>
          </cell>
          <cell r="H209" t="str">
            <v>0</v>
          </cell>
          <cell r="I209" t="str">
            <v>168000</v>
          </cell>
          <cell r="J209">
            <v>7353.33</v>
          </cell>
          <cell r="K209" t="str">
            <v>30/01/2009 00:00:00</v>
          </cell>
        </row>
        <row r="210">
          <cell r="E210" t="str">
            <v>294315</v>
          </cell>
          <cell r="F210" t="str">
            <v>Allowance for Accum Depre - Furniture and Fixtures -THB</v>
          </cell>
          <cell r="G210" t="str">
            <v>C</v>
          </cell>
          <cell r="H210" t="str">
            <v>0</v>
          </cell>
          <cell r="I210" t="str">
            <v>169000</v>
          </cell>
          <cell r="J210">
            <v>2258.79</v>
          </cell>
          <cell r="K210" t="str">
            <v>30/01/2009 00:00:00</v>
          </cell>
        </row>
        <row r="211">
          <cell r="E211" t="str">
            <v>294320</v>
          </cell>
          <cell r="F211" t="str">
            <v>Allowance for Accumulated Depreciation - Equipment</v>
          </cell>
          <cell r="G211" t="str">
            <v>C</v>
          </cell>
          <cell r="H211" t="str">
            <v>B</v>
          </cell>
          <cell r="I211" t="str">
            <v>170000</v>
          </cell>
          <cell r="J211">
            <v>33829.019999999997</v>
          </cell>
          <cell r="K211" t="str">
            <v>30/01/2009 00:00:00</v>
          </cell>
        </row>
        <row r="212">
          <cell r="E212" t="str">
            <v>294322</v>
          </cell>
          <cell r="F212" t="str">
            <v>Allowance for Accum Depre - Equipment -USD</v>
          </cell>
          <cell r="G212" t="str">
            <v>C</v>
          </cell>
          <cell r="H212" t="str">
            <v>0</v>
          </cell>
          <cell r="I212" t="str">
            <v>172000</v>
          </cell>
          <cell r="J212">
            <v>0</v>
          </cell>
          <cell r="K212" t="str">
            <v>30/01/2009 00:00:00</v>
          </cell>
        </row>
        <row r="213">
          <cell r="E213" t="str">
            <v>29432201</v>
          </cell>
          <cell r="F213" t="str">
            <v>Allowance for Accum Depre - Equipment(SP) -USD</v>
          </cell>
          <cell r="G213" t="str">
            <v>C</v>
          </cell>
          <cell r="H213" t="str">
            <v>0</v>
          </cell>
          <cell r="I213" t="str">
            <v>172010</v>
          </cell>
          <cell r="J213">
            <v>15488.79</v>
          </cell>
          <cell r="K213" t="str">
            <v>30/01/2009 00:00:00</v>
          </cell>
        </row>
        <row r="214">
          <cell r="E214" t="str">
            <v>29432202</v>
          </cell>
          <cell r="F214" t="str">
            <v>Allowance for Accum Depre - Equipment ( F&amp;E) -USD</v>
          </cell>
          <cell r="G214" t="str">
            <v>C</v>
          </cell>
          <cell r="H214" t="str">
            <v>0</v>
          </cell>
          <cell r="I214" t="str">
            <v>172100</v>
          </cell>
          <cell r="J214">
            <v>12699.76</v>
          </cell>
          <cell r="K214" t="str">
            <v>30/01/2009 00:00:00</v>
          </cell>
        </row>
        <row r="215">
          <cell r="E215" t="str">
            <v>29432503</v>
          </cell>
          <cell r="F215" t="str">
            <v>Allowance for Accum Depre - Equipment(SP) -THB</v>
          </cell>
          <cell r="G215" t="str">
            <v>C</v>
          </cell>
          <cell r="H215" t="str">
            <v>0</v>
          </cell>
          <cell r="I215" t="str">
            <v>173010</v>
          </cell>
          <cell r="J215">
            <v>0</v>
          </cell>
          <cell r="K215" t="str">
            <v>30/01/2009 00:00:00</v>
          </cell>
        </row>
        <row r="216">
          <cell r="E216" t="str">
            <v>29432505</v>
          </cell>
          <cell r="F216" t="str">
            <v>Allowance for Accum Depre - Equipment (E)-THB</v>
          </cell>
          <cell r="G216" t="str">
            <v>C</v>
          </cell>
          <cell r="H216" t="str">
            <v>0</v>
          </cell>
          <cell r="I216" t="str">
            <v>173100</v>
          </cell>
          <cell r="J216">
            <v>5640.47</v>
          </cell>
          <cell r="K216" t="str">
            <v>30/01/2009 00:00:00</v>
          </cell>
        </row>
        <row r="217">
          <cell r="E217" t="str">
            <v>294330</v>
          </cell>
          <cell r="F217" t="str">
            <v>Allowance for Accumulated Depreciation - Computer Equipment</v>
          </cell>
          <cell r="G217" t="str">
            <v>C</v>
          </cell>
          <cell r="H217" t="str">
            <v>B</v>
          </cell>
          <cell r="I217" t="str">
            <v>174000</v>
          </cell>
          <cell r="J217">
            <v>33682.69</v>
          </cell>
          <cell r="K217" t="str">
            <v>30/01/2009 00:00:00</v>
          </cell>
        </row>
        <row r="218">
          <cell r="E218" t="str">
            <v>294332</v>
          </cell>
          <cell r="F218" t="str">
            <v>Allowance for Accum Depre - Computer Equipment -USD</v>
          </cell>
          <cell r="G218" t="str">
            <v>C</v>
          </cell>
          <cell r="H218" t="str">
            <v>0</v>
          </cell>
          <cell r="I218" t="str">
            <v>176000</v>
          </cell>
          <cell r="J218">
            <v>32705.69</v>
          </cell>
          <cell r="K218" t="str">
            <v>30/01/2009 00:00:00</v>
          </cell>
        </row>
        <row r="219">
          <cell r="E219" t="str">
            <v>29433201</v>
          </cell>
          <cell r="F219" t="str">
            <v>Allowance for Accum Depre - Computer Equipment (SP)-USD</v>
          </cell>
          <cell r="G219" t="str">
            <v>C</v>
          </cell>
          <cell r="H219" t="str">
            <v>0</v>
          </cell>
          <cell r="I219" t="str">
            <v>176010</v>
          </cell>
          <cell r="J219">
            <v>0</v>
          </cell>
          <cell r="K219" t="str">
            <v>30/01/2009 00:00:00</v>
          </cell>
        </row>
        <row r="220">
          <cell r="E220" t="str">
            <v>29433202</v>
          </cell>
          <cell r="F220" t="str">
            <v>Allowance for Accum Depre - Computer Equipment (F&amp;E)-USD</v>
          </cell>
          <cell r="G220" t="str">
            <v>C</v>
          </cell>
          <cell r="H220" t="str">
            <v>0</v>
          </cell>
          <cell r="I220" t="str">
            <v>176100</v>
          </cell>
          <cell r="J220">
            <v>977</v>
          </cell>
          <cell r="K220" t="str">
            <v>30/01/2009 00:00:00</v>
          </cell>
        </row>
        <row r="221">
          <cell r="E221" t="str">
            <v>294335</v>
          </cell>
          <cell r="F221" t="str">
            <v>Allowance for Accum Depre - Computer Equipment -THB</v>
          </cell>
          <cell r="G221" t="str">
            <v>C</v>
          </cell>
          <cell r="H221" t="str">
            <v>0</v>
          </cell>
          <cell r="I221" t="str">
            <v>177000</v>
          </cell>
          <cell r="J221">
            <v>0</v>
          </cell>
          <cell r="K221" t="str">
            <v>30/01/2009 00:00:00</v>
          </cell>
        </row>
        <row r="222">
          <cell r="E222" t="str">
            <v>29433505</v>
          </cell>
          <cell r="F222" t="str">
            <v>Allowance for Accum Depre - Computer Equipment (SP)-THB</v>
          </cell>
          <cell r="G222" t="str">
            <v>C</v>
          </cell>
          <cell r="H222" t="str">
            <v>0</v>
          </cell>
          <cell r="I222" t="str">
            <v>177100</v>
          </cell>
          <cell r="J222">
            <v>0</v>
          </cell>
          <cell r="K222" t="str">
            <v>30/01/2009 00:00:00</v>
          </cell>
        </row>
        <row r="223">
          <cell r="E223" t="str">
            <v>294340</v>
          </cell>
          <cell r="F223" t="str">
            <v>Allowance for Accumulated Depreciation - Motor Vehicles</v>
          </cell>
          <cell r="G223" t="str">
            <v>C</v>
          </cell>
          <cell r="H223" t="str">
            <v>B</v>
          </cell>
          <cell r="I223" t="str">
            <v>178000</v>
          </cell>
          <cell r="J223">
            <v>77431.320000000007</v>
          </cell>
          <cell r="K223" t="str">
            <v>30/01/2009 00:00:00</v>
          </cell>
        </row>
        <row r="224">
          <cell r="E224" t="str">
            <v>294342</v>
          </cell>
          <cell r="F224" t="str">
            <v>Allowance for Accum Depre - Motor Vehicles -USD</v>
          </cell>
          <cell r="G224" t="str">
            <v>C</v>
          </cell>
          <cell r="H224" t="str">
            <v>0</v>
          </cell>
          <cell r="I224" t="str">
            <v>180000</v>
          </cell>
          <cell r="J224">
            <v>77431.320000000007</v>
          </cell>
          <cell r="K224" t="str">
            <v>30/01/2009 00:00:00</v>
          </cell>
        </row>
        <row r="225">
          <cell r="E225" t="str">
            <v>294360</v>
          </cell>
          <cell r="F225" t="str">
            <v>Allowance for Accumulated Depreciation - Other Fixed Assets</v>
          </cell>
          <cell r="G225" t="str">
            <v>C</v>
          </cell>
          <cell r="H225" t="str">
            <v>B</v>
          </cell>
          <cell r="I225" t="str">
            <v>182000</v>
          </cell>
          <cell r="J225">
            <v>17415.68</v>
          </cell>
          <cell r="K225" t="str">
            <v>30/01/2009 00:00:00</v>
          </cell>
        </row>
        <row r="226">
          <cell r="E226" t="str">
            <v>294362</v>
          </cell>
          <cell r="F226" t="str">
            <v>Allowance for Accum Depre - Other Fixed Assets -USD</v>
          </cell>
          <cell r="G226" t="str">
            <v>C</v>
          </cell>
          <cell r="H226" t="str">
            <v>0</v>
          </cell>
          <cell r="I226" t="str">
            <v>184000</v>
          </cell>
          <cell r="J226">
            <v>16465.97</v>
          </cell>
          <cell r="K226" t="str">
            <v>30/01/2009 00:00:00</v>
          </cell>
        </row>
        <row r="227">
          <cell r="E227" t="str">
            <v>29436201</v>
          </cell>
          <cell r="F227" t="str">
            <v>Allowance for Accum Depre - Other Fixed Assets (F&amp;E)-USD</v>
          </cell>
          <cell r="G227" t="str">
            <v>C</v>
          </cell>
          <cell r="H227" t="str">
            <v>0</v>
          </cell>
          <cell r="I227" t="str">
            <v>184010</v>
          </cell>
          <cell r="J227">
            <v>322.70999999999998</v>
          </cell>
          <cell r="K227" t="str">
            <v>30/01/2009 00:00:00</v>
          </cell>
        </row>
        <row r="228">
          <cell r="E228" t="str">
            <v>29436202</v>
          </cell>
          <cell r="F228" t="str">
            <v>Allowance for Accum Depre - Other Fixed Assets (FA)-USD</v>
          </cell>
          <cell r="G228" t="str">
            <v>C</v>
          </cell>
          <cell r="H228" t="str">
            <v>0</v>
          </cell>
          <cell r="I228" t="str">
            <v>184100</v>
          </cell>
          <cell r="J228">
            <v>627</v>
          </cell>
          <cell r="K228" t="str">
            <v>30/01/2009 00:00:00</v>
          </cell>
        </row>
        <row r="229">
          <cell r="E229" t="str">
            <v>294365</v>
          </cell>
          <cell r="F229" t="str">
            <v>Allowance for Accum Depre - Other Fixed Assets -THB</v>
          </cell>
          <cell r="G229" t="str">
            <v>C</v>
          </cell>
          <cell r="H229" t="str">
            <v>0</v>
          </cell>
          <cell r="I229" t="str">
            <v>185000</v>
          </cell>
          <cell r="J229">
            <v>0</v>
          </cell>
          <cell r="K229" t="str">
            <v>30/01/2009 00:00:00</v>
          </cell>
        </row>
        <row r="230">
          <cell r="E230" t="str">
            <v>295000</v>
          </cell>
          <cell r="F230" t="str">
            <v>Intangible Assets</v>
          </cell>
          <cell r="G230" t="str">
            <v>D</v>
          </cell>
          <cell r="H230" t="str">
            <v>B</v>
          </cell>
          <cell r="I230" t="str">
            <v>186000</v>
          </cell>
          <cell r="J230">
            <v>0</v>
          </cell>
          <cell r="K230" t="str">
            <v>30/01/2009 00:00:00</v>
          </cell>
        </row>
        <row r="231">
          <cell r="E231" t="str">
            <v>295300</v>
          </cell>
          <cell r="F231" t="str">
            <v>Other Intengible Assets</v>
          </cell>
          <cell r="G231" t="str">
            <v>D</v>
          </cell>
          <cell r="H231" t="str">
            <v>B</v>
          </cell>
          <cell r="I231" t="str">
            <v>187000</v>
          </cell>
          <cell r="J231">
            <v>30813.5</v>
          </cell>
          <cell r="K231" t="str">
            <v>30/01/2009 00:00:00</v>
          </cell>
        </row>
        <row r="232">
          <cell r="E232" t="str">
            <v>295302</v>
          </cell>
          <cell r="F232" t="str">
            <v>Other Intangible Assets -USD</v>
          </cell>
          <cell r="G232" t="str">
            <v>D</v>
          </cell>
          <cell r="H232" t="str">
            <v>0</v>
          </cell>
          <cell r="I232" t="str">
            <v>189000</v>
          </cell>
          <cell r="J232">
            <v>30813.5</v>
          </cell>
          <cell r="K232" t="str">
            <v>30/01/2009 00:00:00</v>
          </cell>
        </row>
        <row r="233">
          <cell r="E233" t="str">
            <v>295400</v>
          </cell>
          <cell r="F233" t="str">
            <v>Allowance for Amortization-Intangible Assets</v>
          </cell>
          <cell r="G233" t="str">
            <v>C</v>
          </cell>
          <cell r="H233" t="str">
            <v>B</v>
          </cell>
          <cell r="I233" t="str">
            <v>191000</v>
          </cell>
          <cell r="J233">
            <v>30813.5</v>
          </cell>
          <cell r="K233" t="str">
            <v>30/01/2009 00:00:00</v>
          </cell>
        </row>
        <row r="234">
          <cell r="E234" t="str">
            <v>295402</v>
          </cell>
          <cell r="F234" t="str">
            <v>Allowance for Amortization - Intangible Assets (Contra Account) -USD</v>
          </cell>
          <cell r="G234" t="str">
            <v>C</v>
          </cell>
          <cell r="H234" t="str">
            <v>0</v>
          </cell>
          <cell r="I234" t="str">
            <v>192000</v>
          </cell>
          <cell r="J234">
            <v>30813.5</v>
          </cell>
          <cell r="K234" t="str">
            <v>30/01/2009 00:00:00</v>
          </cell>
        </row>
        <row r="235">
          <cell r="E235" t="str">
            <v>296000</v>
          </cell>
          <cell r="F235" t="str">
            <v xml:space="preserve">Other Assets </v>
          </cell>
          <cell r="G235" t="str">
            <v>D</v>
          </cell>
          <cell r="H235" t="str">
            <v>B</v>
          </cell>
          <cell r="I235" t="str">
            <v>193000</v>
          </cell>
          <cell r="J235">
            <v>4522639.5</v>
          </cell>
          <cell r="K235" t="str">
            <v>30/01/2009 00:00:00</v>
          </cell>
        </row>
        <row r="236">
          <cell r="E236" t="str">
            <v>296500</v>
          </cell>
          <cell r="F236" t="str">
            <v>Inter-Branches Clearings</v>
          </cell>
          <cell r="G236" t="str">
            <v>D</v>
          </cell>
          <cell r="H236" t="str">
            <v>B</v>
          </cell>
          <cell r="I236" t="str">
            <v>193100</v>
          </cell>
          <cell r="J236">
            <v>4729439.7</v>
          </cell>
          <cell r="K236" t="str">
            <v>30/01/2009 00:00:00</v>
          </cell>
        </row>
        <row r="237">
          <cell r="E237" t="str">
            <v>296502</v>
          </cell>
          <cell r="F237" t="str">
            <v>Inter-Branches Clearings-USD</v>
          </cell>
          <cell r="G237" t="str">
            <v>D</v>
          </cell>
          <cell r="H237" t="str">
            <v>0</v>
          </cell>
          <cell r="I237" t="str">
            <v>193300</v>
          </cell>
          <cell r="J237">
            <v>4649781.8899999997</v>
          </cell>
          <cell r="K237" t="str">
            <v>30/01/2009 00:00:00</v>
          </cell>
        </row>
        <row r="238">
          <cell r="E238" t="str">
            <v>296505</v>
          </cell>
          <cell r="F238" t="str">
            <v>Inter-Branches Clearings-THB</v>
          </cell>
          <cell r="G238" t="str">
            <v>D</v>
          </cell>
          <cell r="H238" t="str">
            <v>0</v>
          </cell>
          <cell r="I238" t="str">
            <v>193400</v>
          </cell>
          <cell r="J238">
            <v>79657.81</v>
          </cell>
          <cell r="K238" t="str">
            <v>30/01/2009 00:00:00</v>
          </cell>
        </row>
        <row r="239">
          <cell r="E239" t="str">
            <v>296800</v>
          </cell>
          <cell r="F239" t="str">
            <v>GEC - Equivalence Foreign Exchange Position Account</v>
          </cell>
          <cell r="G239" t="str">
            <v>D</v>
          </cell>
          <cell r="H239" t="str">
            <v>B</v>
          </cell>
          <cell r="I239" t="str">
            <v>194000</v>
          </cell>
          <cell r="J239">
            <v>-207220.14</v>
          </cell>
          <cell r="K239" t="str">
            <v>30/01/2009 00:00:00</v>
          </cell>
        </row>
        <row r="240">
          <cell r="E240" t="str">
            <v>296802</v>
          </cell>
          <cell r="F240" t="str">
            <v>GEC - Equivalence FX Position A/C -USD</v>
          </cell>
          <cell r="G240" t="str">
            <v>D</v>
          </cell>
          <cell r="H240" t="str">
            <v>B</v>
          </cell>
          <cell r="I240" t="str">
            <v>195000</v>
          </cell>
          <cell r="J240">
            <v>-207220.14</v>
          </cell>
          <cell r="K240" t="str">
            <v>30/01/2009 00:00:00</v>
          </cell>
        </row>
        <row r="241">
          <cell r="E241" t="str">
            <v>29680201</v>
          </cell>
          <cell r="F241" t="str">
            <v>GEC -KHR - Equivalence FX Position A/C -USD</v>
          </cell>
          <cell r="G241" t="str">
            <v>D</v>
          </cell>
          <cell r="H241" t="str">
            <v>0</v>
          </cell>
          <cell r="I241" t="str">
            <v>196000</v>
          </cell>
          <cell r="J241">
            <v>-134806.47</v>
          </cell>
          <cell r="K241" t="str">
            <v>30/01/2009 00:00:00</v>
          </cell>
        </row>
        <row r="242">
          <cell r="E242" t="str">
            <v>29680202</v>
          </cell>
          <cell r="F242" t="str">
            <v>GEC -USD - Equivalence FX Position A/C -USD</v>
          </cell>
          <cell r="G242" t="str">
            <v>D</v>
          </cell>
          <cell r="H242" t="str">
            <v>0</v>
          </cell>
          <cell r="I242" t="str">
            <v>197000</v>
          </cell>
          <cell r="J242">
            <v>-1501158.15</v>
          </cell>
          <cell r="K242" t="str">
            <v>30/01/2009 00:00:00</v>
          </cell>
        </row>
        <row r="243">
          <cell r="E243" t="str">
            <v>29680203</v>
          </cell>
          <cell r="F243" t="str">
            <v>GEC -THB - Equivalence FX Position A/C -USD</v>
          </cell>
          <cell r="G243" t="str">
            <v>D</v>
          </cell>
          <cell r="H243" t="str">
            <v>0</v>
          </cell>
          <cell r="I243" t="str">
            <v>198000</v>
          </cell>
          <cell r="J243">
            <v>1428744.48</v>
          </cell>
          <cell r="K243" t="str">
            <v>30/01/2009 00:00:00</v>
          </cell>
        </row>
        <row r="244">
          <cell r="E244" t="str">
            <v>296900</v>
          </cell>
          <cell r="F244" t="str">
            <v>Suspense Account and Other Sundry Assets</v>
          </cell>
          <cell r="G244" t="str">
            <v>D</v>
          </cell>
          <cell r="H244" t="str">
            <v>B</v>
          </cell>
          <cell r="I244" t="str">
            <v>199000</v>
          </cell>
          <cell r="J244">
            <v>419.94</v>
          </cell>
          <cell r="K244" t="str">
            <v>30/01/2009 00:00:00</v>
          </cell>
        </row>
        <row r="245">
          <cell r="E245" t="str">
            <v>296910</v>
          </cell>
          <cell r="F245" t="str">
            <v>Suspense Account</v>
          </cell>
          <cell r="G245" t="str">
            <v>D</v>
          </cell>
          <cell r="H245" t="str">
            <v>B</v>
          </cell>
          <cell r="I245" t="str">
            <v>200000</v>
          </cell>
          <cell r="J245">
            <v>0</v>
          </cell>
          <cell r="K245" t="str">
            <v>30/01/2009 00:00:00</v>
          </cell>
        </row>
        <row r="246">
          <cell r="E246" t="str">
            <v>296912</v>
          </cell>
          <cell r="F246" t="str">
            <v>Suspense A/C Debitor -USD</v>
          </cell>
          <cell r="G246" t="str">
            <v>D</v>
          </cell>
          <cell r="H246" t="str">
            <v>0</v>
          </cell>
          <cell r="I246" t="str">
            <v>202000</v>
          </cell>
          <cell r="J246">
            <v>0</v>
          </cell>
          <cell r="K246" t="str">
            <v>30/01/2009 00:00:00</v>
          </cell>
        </row>
        <row r="247">
          <cell r="E247" t="str">
            <v>296920</v>
          </cell>
          <cell r="F247" t="str">
            <v>Other Sundry Assets</v>
          </cell>
          <cell r="G247" t="str">
            <v>D</v>
          </cell>
          <cell r="H247" t="str">
            <v>B</v>
          </cell>
          <cell r="I247" t="str">
            <v>204000</v>
          </cell>
          <cell r="J247">
            <v>419.94</v>
          </cell>
          <cell r="K247" t="str">
            <v>30/01/2009 00:00:00</v>
          </cell>
        </row>
        <row r="248">
          <cell r="E248" t="str">
            <v>296922</v>
          </cell>
          <cell r="F248" t="str">
            <v>Other Sundry Assets -USD</v>
          </cell>
          <cell r="G248" t="str">
            <v>D</v>
          </cell>
          <cell r="H248" t="str">
            <v>0</v>
          </cell>
          <cell r="I248" t="str">
            <v>206000</v>
          </cell>
          <cell r="J248">
            <v>0</v>
          </cell>
          <cell r="K248" t="str">
            <v>30/01/2009 00:00:00</v>
          </cell>
        </row>
        <row r="249">
          <cell r="E249" t="str">
            <v>29692201</v>
          </cell>
          <cell r="F249" t="str">
            <v>Other Sundry Assets (Sundry Deposit) -USD</v>
          </cell>
          <cell r="G249" t="str">
            <v>D</v>
          </cell>
          <cell r="H249" t="str">
            <v>0</v>
          </cell>
          <cell r="I249" t="str">
            <v>206100</v>
          </cell>
          <cell r="J249">
            <v>420</v>
          </cell>
          <cell r="K249" t="str">
            <v>30/01/2009 00:00:00</v>
          </cell>
        </row>
        <row r="250">
          <cell r="E250" t="str">
            <v>29692202</v>
          </cell>
          <cell r="F250" t="str">
            <v>Other Sundry Assets(Variance curency convertion) -USD</v>
          </cell>
          <cell r="G250" t="str">
            <v>D</v>
          </cell>
          <cell r="H250" t="str">
            <v>0</v>
          </cell>
          <cell r="I250" t="str">
            <v>206200</v>
          </cell>
          <cell r="J250">
            <v>-0.06</v>
          </cell>
          <cell r="K250" t="str">
            <v>30/01/2009 00:00:00</v>
          </cell>
        </row>
        <row r="251">
          <cell r="E251" t="str">
            <v>29692203</v>
          </cell>
          <cell r="F251" t="str">
            <v>Other Sundry Assets (Sundries Debtor-L/G) -USD</v>
          </cell>
          <cell r="G251" t="str">
            <v>D</v>
          </cell>
          <cell r="H251" t="str">
            <v>0</v>
          </cell>
          <cell r="I251" t="str">
            <v>206300</v>
          </cell>
          <cell r="J251">
            <v>0</v>
          </cell>
          <cell r="K251" t="str">
            <v>30/01/2009 00:00:00</v>
          </cell>
        </row>
        <row r="252">
          <cell r="E252" t="str">
            <v>300000</v>
          </cell>
          <cell r="F252" t="str">
            <v>LIABILITIES</v>
          </cell>
          <cell r="G252" t="str">
            <v>C</v>
          </cell>
          <cell r="H252" t="str">
            <v>B</v>
          </cell>
          <cell r="I252" t="str">
            <v>208000</v>
          </cell>
          <cell r="J252">
            <v>72298428.930000007</v>
          </cell>
          <cell r="K252" t="str">
            <v>30/01/2009 00:00:00</v>
          </cell>
        </row>
        <row r="253">
          <cell r="E253" t="str">
            <v>310000</v>
          </cell>
          <cell r="F253" t="str">
            <v>Demand and Time Deposit NBC, Banks and OFIs</v>
          </cell>
          <cell r="G253" t="str">
            <v>D</v>
          </cell>
          <cell r="H253" t="str">
            <v>B</v>
          </cell>
          <cell r="I253" t="str">
            <v>209000</v>
          </cell>
          <cell r="J253">
            <v>-32266566.199999999</v>
          </cell>
          <cell r="K253" t="str">
            <v>30/01/2009 00:00:00</v>
          </cell>
        </row>
        <row r="254">
          <cell r="E254" t="str">
            <v>311000</v>
          </cell>
          <cell r="F254" t="str">
            <v>Demand Deposit NBC, Banks and OFIs</v>
          </cell>
          <cell r="G254" t="str">
            <v>D</v>
          </cell>
          <cell r="H254" t="str">
            <v>B</v>
          </cell>
          <cell r="I254" t="str">
            <v>210000</v>
          </cell>
          <cell r="J254">
            <v>-32266566.199999999</v>
          </cell>
          <cell r="K254" t="str">
            <v>30/01/2009 00:00:00</v>
          </cell>
        </row>
        <row r="255">
          <cell r="E255" t="str">
            <v>311200</v>
          </cell>
          <cell r="F255" t="str">
            <v>Demand Deposit Banks</v>
          </cell>
          <cell r="G255" t="str">
            <v>D</v>
          </cell>
          <cell r="H255" t="str">
            <v>B</v>
          </cell>
          <cell r="I255" t="str">
            <v>211000</v>
          </cell>
          <cell r="J255">
            <v>-32266566.199999999</v>
          </cell>
          <cell r="K255" t="str">
            <v>30/01/2009 00:00:00</v>
          </cell>
        </row>
        <row r="256">
          <cell r="E256" t="str">
            <v>311240</v>
          </cell>
          <cell r="F256" t="str">
            <v>Demand Deposit - Non Interest Bearing Banks - Non Resident</v>
          </cell>
          <cell r="G256" t="str">
            <v>D</v>
          </cell>
          <cell r="H256" t="str">
            <v>B</v>
          </cell>
          <cell r="I256" t="str">
            <v>212000</v>
          </cell>
          <cell r="J256">
            <v>-32266566.199999999</v>
          </cell>
          <cell r="K256" t="str">
            <v>30/01/2009 00:00:00</v>
          </cell>
        </row>
        <row r="257">
          <cell r="E257" t="str">
            <v>311242</v>
          </cell>
          <cell r="F257" t="str">
            <v>Demand Deposit - Non Int Bearing BKs - Non Resident -USD</v>
          </cell>
          <cell r="G257" t="str">
            <v>D</v>
          </cell>
          <cell r="H257" t="str">
            <v>0</v>
          </cell>
          <cell r="I257" t="str">
            <v>214000</v>
          </cell>
          <cell r="J257">
            <v>-33110368.539999999</v>
          </cell>
          <cell r="K257" t="str">
            <v>30/01/2009 00:00:00</v>
          </cell>
        </row>
        <row r="258">
          <cell r="E258" t="str">
            <v>31124202</v>
          </cell>
          <cell r="F258" t="str">
            <v>Demand Deposit - Non Int Bearing BKs - Non Resident (remittance) -USD</v>
          </cell>
          <cell r="G258" t="str">
            <v>D</v>
          </cell>
          <cell r="H258" t="str">
            <v>0</v>
          </cell>
          <cell r="I258" t="str">
            <v>216000</v>
          </cell>
          <cell r="J258">
            <v>0</v>
          </cell>
          <cell r="K258" t="str">
            <v>30/01/2009 00:00:00</v>
          </cell>
        </row>
        <row r="259">
          <cell r="E259" t="str">
            <v>311245</v>
          </cell>
          <cell r="F259" t="str">
            <v>Demand Deposit - Non Int Bearing BKs - Non Resident -THB</v>
          </cell>
          <cell r="G259" t="str">
            <v>D</v>
          </cell>
          <cell r="H259" t="str">
            <v>0</v>
          </cell>
          <cell r="I259" t="str">
            <v>218000</v>
          </cell>
          <cell r="J259">
            <v>0</v>
          </cell>
          <cell r="K259" t="str">
            <v>30/01/2009 00:00:00</v>
          </cell>
        </row>
        <row r="260">
          <cell r="E260" t="str">
            <v>31124502</v>
          </cell>
          <cell r="F260" t="str">
            <v>Demand Deposit - Non Int Bearing BKs - Non Resident (Remittance) -THB</v>
          </cell>
          <cell r="G260" t="str">
            <v>D</v>
          </cell>
          <cell r="H260" t="str">
            <v>0</v>
          </cell>
          <cell r="I260" t="str">
            <v>219100</v>
          </cell>
          <cell r="J260">
            <v>843802.34</v>
          </cell>
          <cell r="K260" t="str">
            <v>30/01/2009 00:00:00</v>
          </cell>
        </row>
        <row r="261">
          <cell r="E261" t="str">
            <v>320000</v>
          </cell>
          <cell r="F261" t="str">
            <v>Demand, Saving and Time Deposit Customers</v>
          </cell>
          <cell r="G261" t="str">
            <v>C</v>
          </cell>
          <cell r="H261" t="str">
            <v>B</v>
          </cell>
          <cell r="I261" t="str">
            <v>219200</v>
          </cell>
          <cell r="J261">
            <v>31093128.43</v>
          </cell>
          <cell r="K261" t="str">
            <v>30/01/2009 00:00:00</v>
          </cell>
        </row>
        <row r="262">
          <cell r="E262" t="str">
            <v>321000</v>
          </cell>
          <cell r="F262" t="str">
            <v>Demand Deposit</v>
          </cell>
          <cell r="G262" t="str">
            <v>C</v>
          </cell>
          <cell r="H262" t="str">
            <v>B</v>
          </cell>
          <cell r="I262" t="str">
            <v>219300</v>
          </cell>
          <cell r="J262">
            <v>1508962.45</v>
          </cell>
          <cell r="K262" t="str">
            <v>30/01/2009 00:00:00</v>
          </cell>
        </row>
        <row r="263">
          <cell r="E263" t="str">
            <v>321100</v>
          </cell>
          <cell r="F263" t="str">
            <v>Demand Deposit Individuals</v>
          </cell>
          <cell r="G263" t="str">
            <v>C</v>
          </cell>
          <cell r="H263" t="str">
            <v>B</v>
          </cell>
          <cell r="I263" t="str">
            <v>219400</v>
          </cell>
          <cell r="J263">
            <v>122248.09</v>
          </cell>
          <cell r="K263" t="str">
            <v>30/01/2009 00:00:00</v>
          </cell>
        </row>
        <row r="264">
          <cell r="E264" t="str">
            <v>321130</v>
          </cell>
          <cell r="F264" t="str">
            <v>Demand Deposit - Non Interest Bearing - Individuals - Resident</v>
          </cell>
          <cell r="G264" t="str">
            <v>C</v>
          </cell>
          <cell r="H264" t="str">
            <v>B</v>
          </cell>
          <cell r="I264" t="str">
            <v>219500</v>
          </cell>
          <cell r="J264">
            <v>61748.09</v>
          </cell>
          <cell r="K264" t="str">
            <v>30/01/2009 00:00:00</v>
          </cell>
        </row>
        <row r="265">
          <cell r="E265" t="str">
            <v>321132</v>
          </cell>
          <cell r="F265" t="str">
            <v>Demand Deposit - Non Int Bearing - Individuals - Resident -USD</v>
          </cell>
          <cell r="G265" t="str">
            <v>C</v>
          </cell>
          <cell r="H265" t="str">
            <v>0</v>
          </cell>
          <cell r="I265" t="str">
            <v>221000</v>
          </cell>
          <cell r="J265">
            <v>61748.09</v>
          </cell>
          <cell r="K265" t="str">
            <v>30/01/2009 00:00:00</v>
          </cell>
        </row>
        <row r="266">
          <cell r="E266" t="str">
            <v>321140</v>
          </cell>
          <cell r="F266" t="str">
            <v>Demand Deposit - Non Interest Bearing - Individuals - Non Resident</v>
          </cell>
          <cell r="G266" t="str">
            <v>C</v>
          </cell>
          <cell r="H266" t="str">
            <v>B</v>
          </cell>
          <cell r="I266" t="str">
            <v>223000</v>
          </cell>
          <cell r="J266">
            <v>0</v>
          </cell>
          <cell r="K266" t="str">
            <v>30/01/2009 00:00:00</v>
          </cell>
        </row>
        <row r="267">
          <cell r="E267" t="str">
            <v>321142</v>
          </cell>
          <cell r="F267" t="str">
            <v>Demand Deposit - Non Int Bearing - Individuals - Non Resident -USD</v>
          </cell>
          <cell r="G267" t="str">
            <v>C</v>
          </cell>
          <cell r="H267" t="str">
            <v>0</v>
          </cell>
          <cell r="I267" t="str">
            <v>225000</v>
          </cell>
          <cell r="J267">
            <v>0</v>
          </cell>
          <cell r="K267" t="str">
            <v>30/01/2009 00:00:00</v>
          </cell>
        </row>
        <row r="268">
          <cell r="E268" t="str">
            <v>321150</v>
          </cell>
          <cell r="F268" t="str">
            <v>Certified Checks Outstanding and Bank Checks Issued Outstanding - Individuals - Resident</v>
          </cell>
          <cell r="G268" t="str">
            <v>C</v>
          </cell>
          <cell r="H268" t="str">
            <v>B</v>
          </cell>
          <cell r="I268" t="str">
            <v>227000</v>
          </cell>
          <cell r="J268">
            <v>60500</v>
          </cell>
          <cell r="K268" t="str">
            <v>30/01/2009 00:00:00</v>
          </cell>
        </row>
        <row r="269">
          <cell r="E269" t="str">
            <v>321152</v>
          </cell>
          <cell r="F269" t="str">
            <v>Certified Checks Outstanding and BK Checks Issued Outstanding - Individuals - Resident -USD</v>
          </cell>
          <cell r="G269" t="str">
            <v>C</v>
          </cell>
          <cell r="H269" t="str">
            <v>0</v>
          </cell>
          <cell r="I269" t="str">
            <v>229000</v>
          </cell>
          <cell r="J269">
            <v>60500</v>
          </cell>
          <cell r="K269" t="str">
            <v>30/01/2009 00:00:00</v>
          </cell>
        </row>
        <row r="270">
          <cell r="E270" t="str">
            <v>321155</v>
          </cell>
          <cell r="F270" t="str">
            <v>Certified Checks Outstanding and BK Checks Issued Outstanding - Individuals - Resident -THB</v>
          </cell>
          <cell r="G270" t="str">
            <v>C</v>
          </cell>
          <cell r="H270" t="str">
            <v>0</v>
          </cell>
          <cell r="I270" t="str">
            <v>230000</v>
          </cell>
          <cell r="J270">
            <v>0</v>
          </cell>
          <cell r="K270" t="str">
            <v>30/01/2009 00:00:00</v>
          </cell>
        </row>
        <row r="271">
          <cell r="E271" t="str">
            <v>321200</v>
          </cell>
          <cell r="F271" t="str">
            <v>Demand Deposit Private Sector</v>
          </cell>
          <cell r="G271" t="str">
            <v>C</v>
          </cell>
          <cell r="H271" t="str">
            <v>B</v>
          </cell>
          <cell r="I271" t="str">
            <v>235000</v>
          </cell>
          <cell r="J271">
            <v>1386714.36</v>
          </cell>
          <cell r="K271" t="str">
            <v>30/01/2009 00:00:00</v>
          </cell>
        </row>
        <row r="272">
          <cell r="E272" t="str">
            <v>321230</v>
          </cell>
          <cell r="F272" t="str">
            <v>Demand Deposit - Non Interest Bearing - Private Sector - Resident</v>
          </cell>
          <cell r="G272" t="str">
            <v>C</v>
          </cell>
          <cell r="H272" t="str">
            <v>B</v>
          </cell>
          <cell r="I272" t="str">
            <v>236000</v>
          </cell>
          <cell r="J272">
            <v>1384974.36</v>
          </cell>
          <cell r="K272" t="str">
            <v>30/01/2009 00:00:00</v>
          </cell>
        </row>
        <row r="273">
          <cell r="E273" t="str">
            <v>321231</v>
          </cell>
          <cell r="F273" t="str">
            <v>Demand Deposit - Non Int Bearing - Private Sector - Resident -KHR</v>
          </cell>
          <cell r="G273" t="str">
            <v>C</v>
          </cell>
          <cell r="H273" t="str">
            <v>0</v>
          </cell>
          <cell r="I273" t="str">
            <v>237000</v>
          </cell>
          <cell r="J273">
            <v>5901.05</v>
          </cell>
          <cell r="K273" t="str">
            <v>30/01/2009 00:00:00</v>
          </cell>
        </row>
        <row r="274">
          <cell r="E274" t="str">
            <v>321232</v>
          </cell>
          <cell r="F274" t="str">
            <v>Demand Deposit - Non Int Bearing - Private Sector - Resident -USD</v>
          </cell>
          <cell r="G274" t="str">
            <v>C</v>
          </cell>
          <cell r="H274" t="str">
            <v>0</v>
          </cell>
          <cell r="I274" t="str">
            <v>238000</v>
          </cell>
          <cell r="J274">
            <v>1376137.68</v>
          </cell>
          <cell r="K274" t="str">
            <v>30/01/2009 00:00:00</v>
          </cell>
        </row>
        <row r="275">
          <cell r="E275" t="str">
            <v>321235</v>
          </cell>
          <cell r="F275" t="str">
            <v>Demand Deposit - Non Int Bearing - Private Sector - Resident -THB</v>
          </cell>
          <cell r="G275" t="str">
            <v>C</v>
          </cell>
          <cell r="H275" t="str">
            <v>0</v>
          </cell>
          <cell r="I275" t="str">
            <v>239000</v>
          </cell>
          <cell r="J275">
            <v>2935.63</v>
          </cell>
          <cell r="K275" t="str">
            <v>30/01/2009 00:00:00</v>
          </cell>
        </row>
        <row r="276">
          <cell r="E276" t="str">
            <v>321240</v>
          </cell>
          <cell r="F276" t="str">
            <v>Demand Deposit - Non Interest Bearing - Private Sector - Non Resident</v>
          </cell>
          <cell r="G276" t="str">
            <v>C</v>
          </cell>
          <cell r="H276" t="str">
            <v>B</v>
          </cell>
          <cell r="I276" t="str">
            <v>240000</v>
          </cell>
          <cell r="J276">
            <v>1740</v>
          </cell>
          <cell r="K276" t="str">
            <v>30/01/2009 00:00:00</v>
          </cell>
        </row>
        <row r="277">
          <cell r="E277" t="str">
            <v>321242</v>
          </cell>
          <cell r="F277" t="str">
            <v>Demand Deposit - Non Int Bearing - Private Sector - Non Resident -USD</v>
          </cell>
          <cell r="G277" t="str">
            <v>C</v>
          </cell>
          <cell r="H277" t="str">
            <v>0</v>
          </cell>
          <cell r="I277" t="str">
            <v>242000</v>
          </cell>
          <cell r="J277">
            <v>1740</v>
          </cell>
          <cell r="K277" t="str">
            <v>30/01/2009 00:00:00</v>
          </cell>
        </row>
        <row r="278">
          <cell r="E278" t="str">
            <v>321260</v>
          </cell>
          <cell r="F278" t="str">
            <v>Certified Checks Outstanding and Bank Issued Foreign Draft Outstanding - Private Sector - Non Resident</v>
          </cell>
          <cell r="G278" t="str">
            <v>C</v>
          </cell>
          <cell r="H278" t="str">
            <v>B</v>
          </cell>
          <cell r="I278" t="str">
            <v>248000</v>
          </cell>
          <cell r="J278">
            <v>0</v>
          </cell>
          <cell r="K278" t="str">
            <v>30/01/2009 00:00:00</v>
          </cell>
        </row>
        <row r="279">
          <cell r="E279" t="str">
            <v>321265</v>
          </cell>
          <cell r="F279" t="str">
            <v>Certified Checks Outstanding and BK Issued F Draft Outstanding - Private Sector - Non Resident -THB</v>
          </cell>
          <cell r="G279" t="str">
            <v>C</v>
          </cell>
          <cell r="H279" t="str">
            <v>0</v>
          </cell>
          <cell r="I279" t="str">
            <v>251000</v>
          </cell>
          <cell r="J279">
            <v>0</v>
          </cell>
          <cell r="K279" t="str">
            <v>30/01/2009 00:00:00</v>
          </cell>
        </row>
        <row r="280">
          <cell r="E280" t="str">
            <v>322000</v>
          </cell>
          <cell r="F280" t="str">
            <v>Saving Deposit</v>
          </cell>
          <cell r="G280" t="str">
            <v>C</v>
          </cell>
          <cell r="H280" t="str">
            <v>B</v>
          </cell>
          <cell r="I280" t="str">
            <v>252000</v>
          </cell>
          <cell r="J280">
            <v>18221837.920000002</v>
          </cell>
          <cell r="K280" t="str">
            <v>30/01/2009 00:00:00</v>
          </cell>
        </row>
        <row r="281">
          <cell r="E281" t="str">
            <v>322100</v>
          </cell>
          <cell r="F281" t="str">
            <v>Saving Deposit Individuals</v>
          </cell>
          <cell r="G281" t="str">
            <v>C</v>
          </cell>
          <cell r="H281" t="str">
            <v>B</v>
          </cell>
          <cell r="I281" t="str">
            <v>253000</v>
          </cell>
          <cell r="J281">
            <v>5951272.1299999999</v>
          </cell>
          <cell r="K281" t="str">
            <v>30/01/2009 00:00:00</v>
          </cell>
        </row>
        <row r="282">
          <cell r="E282" t="str">
            <v>322110</v>
          </cell>
          <cell r="F282" t="str">
            <v>Short Term - Saving Deposit - Individuals - Resident</v>
          </cell>
          <cell r="G282" t="str">
            <v>C</v>
          </cell>
          <cell r="H282" t="str">
            <v>B</v>
          </cell>
          <cell r="I282" t="str">
            <v>254000</v>
          </cell>
          <cell r="J282">
            <v>5686671.25</v>
          </cell>
          <cell r="K282" t="str">
            <v>30/01/2009 00:00:00</v>
          </cell>
        </row>
        <row r="283">
          <cell r="E283" t="str">
            <v>322111</v>
          </cell>
          <cell r="F283" t="str">
            <v>Short Term - S/A - Individuals - Resident -KHR</v>
          </cell>
          <cell r="G283" t="str">
            <v>C</v>
          </cell>
          <cell r="H283" t="str">
            <v>0</v>
          </cell>
          <cell r="I283" t="str">
            <v>255000</v>
          </cell>
          <cell r="J283">
            <v>0</v>
          </cell>
          <cell r="K283" t="str">
            <v>30/01/2009 00:00:00</v>
          </cell>
        </row>
        <row r="284">
          <cell r="E284" t="str">
            <v>322112</v>
          </cell>
          <cell r="F284" t="str">
            <v>Short Term - S/A - Individuals - Resident -USD</v>
          </cell>
          <cell r="G284" t="str">
            <v>C</v>
          </cell>
          <cell r="H284" t="str">
            <v>0</v>
          </cell>
          <cell r="I284" t="str">
            <v>256000</v>
          </cell>
          <cell r="J284">
            <v>5677246.7199999997</v>
          </cell>
          <cell r="K284" t="str">
            <v>30/01/2009 00:00:00</v>
          </cell>
        </row>
        <row r="285">
          <cell r="E285" t="str">
            <v>322115</v>
          </cell>
          <cell r="F285" t="str">
            <v>Short Term - S/A - Individuals - Resident -THB</v>
          </cell>
          <cell r="G285" t="str">
            <v>C</v>
          </cell>
          <cell r="H285" t="str">
            <v>0</v>
          </cell>
          <cell r="I285" t="str">
            <v>257000</v>
          </cell>
          <cell r="J285">
            <v>9424.5300000000007</v>
          </cell>
          <cell r="K285" t="str">
            <v>30/01/2009 00:00:00</v>
          </cell>
        </row>
        <row r="286">
          <cell r="E286" t="str">
            <v>322120</v>
          </cell>
          <cell r="F286" t="str">
            <v>Short Term - Saving Deposit - Individuals - Non Resident</v>
          </cell>
          <cell r="G286" t="str">
            <v>C</v>
          </cell>
          <cell r="H286" t="str">
            <v>B</v>
          </cell>
          <cell r="I286" t="str">
            <v>258000</v>
          </cell>
          <cell r="J286">
            <v>264600.88</v>
          </cell>
          <cell r="K286" t="str">
            <v>30/01/2009 00:00:00</v>
          </cell>
        </row>
        <row r="287">
          <cell r="E287" t="str">
            <v>322122</v>
          </cell>
          <cell r="F287" t="str">
            <v>Short Term - S/A - Individuals - Non Resident -USD</v>
          </cell>
          <cell r="G287" t="str">
            <v>C</v>
          </cell>
          <cell r="H287" t="str">
            <v>0</v>
          </cell>
          <cell r="I287" t="str">
            <v>260000</v>
          </cell>
          <cell r="J287">
            <v>260757.49</v>
          </cell>
          <cell r="K287" t="str">
            <v>30/01/2009 00:00:00</v>
          </cell>
        </row>
        <row r="288">
          <cell r="E288" t="str">
            <v>322125</v>
          </cell>
          <cell r="F288" t="str">
            <v>Short Term - S/A - Individuals - Non Resident -THB</v>
          </cell>
          <cell r="G288" t="str">
            <v>C</v>
          </cell>
          <cell r="H288" t="str">
            <v>0</v>
          </cell>
          <cell r="I288" t="str">
            <v>261000</v>
          </cell>
          <cell r="J288">
            <v>3843.39</v>
          </cell>
          <cell r="K288" t="str">
            <v>30/01/2009 00:00:00</v>
          </cell>
        </row>
        <row r="289">
          <cell r="E289" t="str">
            <v>322200</v>
          </cell>
          <cell r="F289" t="str">
            <v>Saving Deposit Private Sector</v>
          </cell>
          <cell r="G289" t="str">
            <v>C</v>
          </cell>
          <cell r="H289" t="str">
            <v>B</v>
          </cell>
          <cell r="I289" t="str">
            <v>262000</v>
          </cell>
          <cell r="J289">
            <v>12270565.789999999</v>
          </cell>
          <cell r="K289" t="str">
            <v>30/01/2009 00:00:00</v>
          </cell>
        </row>
        <row r="290">
          <cell r="E290" t="str">
            <v>322210</v>
          </cell>
          <cell r="F290" t="str">
            <v>Short Term - Saving Deposit - Private Sector - Resident</v>
          </cell>
          <cell r="G290" t="str">
            <v>C</v>
          </cell>
          <cell r="H290" t="str">
            <v>B</v>
          </cell>
          <cell r="I290" t="str">
            <v>263000</v>
          </cell>
          <cell r="J290">
            <v>9357571.3499999996</v>
          </cell>
          <cell r="K290" t="str">
            <v>30/01/2009 00:00:00</v>
          </cell>
        </row>
        <row r="291">
          <cell r="E291" t="str">
            <v>322211</v>
          </cell>
          <cell r="F291" t="str">
            <v>Short Term - S/A - Private Sector - Resident -KHR</v>
          </cell>
          <cell r="G291" t="str">
            <v>C</v>
          </cell>
          <cell r="H291" t="str">
            <v>0</v>
          </cell>
          <cell r="I291" t="str">
            <v>264000</v>
          </cell>
          <cell r="J291">
            <v>201731.22</v>
          </cell>
          <cell r="K291" t="str">
            <v>30/01/2009 00:00:00</v>
          </cell>
        </row>
        <row r="292">
          <cell r="E292" t="str">
            <v>322212</v>
          </cell>
          <cell r="F292" t="str">
            <v>Short Term - S/A - Private Sector - Resident -USD</v>
          </cell>
          <cell r="G292" t="str">
            <v>C</v>
          </cell>
          <cell r="H292" t="str">
            <v>0</v>
          </cell>
          <cell r="I292" t="str">
            <v>265000</v>
          </cell>
          <cell r="J292">
            <v>9143115.6500000004</v>
          </cell>
          <cell r="K292" t="str">
            <v>30/01/2009 00:00:00</v>
          </cell>
        </row>
        <row r="293">
          <cell r="E293" t="str">
            <v>322215</v>
          </cell>
          <cell r="F293" t="str">
            <v>Short Term - S/A - Private Sector - Resident -THB</v>
          </cell>
          <cell r="G293" t="str">
            <v>C</v>
          </cell>
          <cell r="H293" t="str">
            <v>0</v>
          </cell>
          <cell r="I293" t="str">
            <v>266000</v>
          </cell>
          <cell r="J293">
            <v>12724.48</v>
          </cell>
          <cell r="K293" t="str">
            <v>30/01/2009 00:00:00</v>
          </cell>
        </row>
        <row r="294">
          <cell r="E294" t="str">
            <v>322220</v>
          </cell>
          <cell r="F294" t="str">
            <v>Short Term - Saving Deposit - Private Sector - Non Resident</v>
          </cell>
          <cell r="G294" t="str">
            <v>C</v>
          </cell>
          <cell r="H294" t="str">
            <v>B</v>
          </cell>
          <cell r="I294" t="str">
            <v>267000</v>
          </cell>
          <cell r="J294">
            <v>2912994.44</v>
          </cell>
          <cell r="K294" t="str">
            <v>30/01/2009 00:00:00</v>
          </cell>
        </row>
        <row r="295">
          <cell r="E295" t="str">
            <v>322222</v>
          </cell>
          <cell r="F295" t="str">
            <v>Short Term - S/A - Private Sector - Non Resident -USD</v>
          </cell>
          <cell r="G295" t="str">
            <v>C</v>
          </cell>
          <cell r="H295" t="str">
            <v>0</v>
          </cell>
          <cell r="I295" t="str">
            <v>269000</v>
          </cell>
          <cell r="J295">
            <v>2675041.2000000002</v>
          </cell>
          <cell r="K295" t="str">
            <v>30/01/2009 00:00:00</v>
          </cell>
        </row>
        <row r="296">
          <cell r="E296" t="str">
            <v>322225</v>
          </cell>
          <cell r="F296" t="str">
            <v>Short Term - S/A - Private Sector - Non Resident -THB</v>
          </cell>
          <cell r="G296" t="str">
            <v>C</v>
          </cell>
          <cell r="H296" t="str">
            <v>0</v>
          </cell>
          <cell r="I296" t="str">
            <v>270000</v>
          </cell>
          <cell r="J296">
            <v>237953.24</v>
          </cell>
          <cell r="K296" t="str">
            <v>30/01/2009 00:00:00</v>
          </cell>
        </row>
        <row r="297">
          <cell r="E297" t="str">
            <v>323000</v>
          </cell>
          <cell r="F297" t="str">
            <v>Time Deposit</v>
          </cell>
          <cell r="G297" t="str">
            <v>C</v>
          </cell>
          <cell r="H297" t="str">
            <v>B</v>
          </cell>
          <cell r="I297" t="str">
            <v>271000</v>
          </cell>
          <cell r="J297">
            <v>11362328.060000001</v>
          </cell>
          <cell r="K297" t="str">
            <v>30/01/2009 00:00:00</v>
          </cell>
        </row>
        <row r="298">
          <cell r="E298" t="str">
            <v>323100</v>
          </cell>
          <cell r="F298" t="str">
            <v>Time Deposit Individual</v>
          </cell>
          <cell r="G298" t="str">
            <v>C</v>
          </cell>
          <cell r="H298" t="str">
            <v>B</v>
          </cell>
          <cell r="I298" t="str">
            <v>272000</v>
          </cell>
          <cell r="J298">
            <v>9592569.6099999994</v>
          </cell>
          <cell r="K298" t="str">
            <v>30/01/2009 00:00:00</v>
          </cell>
        </row>
        <row r="299">
          <cell r="E299" t="str">
            <v>323110</v>
          </cell>
          <cell r="F299" t="str">
            <v>Short Term - Time Deposit - Individuals - Resident</v>
          </cell>
          <cell r="G299" t="str">
            <v>C</v>
          </cell>
          <cell r="H299" t="str">
            <v>B</v>
          </cell>
          <cell r="I299" t="str">
            <v>273000</v>
          </cell>
          <cell r="J299">
            <v>9490184.4800000004</v>
          </cell>
          <cell r="K299" t="str">
            <v>30/01/2009 00:00:00</v>
          </cell>
        </row>
        <row r="300">
          <cell r="E300" t="str">
            <v>323112</v>
          </cell>
          <cell r="F300" t="str">
            <v>Short Term - F/D - Individuals - Resident -USD</v>
          </cell>
          <cell r="G300" t="str">
            <v>C</v>
          </cell>
          <cell r="H300" t="str">
            <v>0</v>
          </cell>
          <cell r="I300" t="str">
            <v>275000</v>
          </cell>
          <cell r="J300">
            <v>9015111.4100000001</v>
          </cell>
          <cell r="K300" t="str">
            <v>30/01/2009 00:00:00</v>
          </cell>
        </row>
        <row r="301">
          <cell r="E301" t="str">
            <v>323115</v>
          </cell>
          <cell r="F301" t="str">
            <v>Short Term - F/D - Individuals - Resident -THB</v>
          </cell>
          <cell r="G301" t="str">
            <v>C</v>
          </cell>
          <cell r="H301" t="str">
            <v>0</v>
          </cell>
          <cell r="I301" t="str">
            <v>276000</v>
          </cell>
          <cell r="J301">
            <v>475073.07</v>
          </cell>
          <cell r="K301" t="str">
            <v>30/01/2009 00:00:00</v>
          </cell>
        </row>
        <row r="302">
          <cell r="E302" t="str">
            <v>323120</v>
          </cell>
          <cell r="F302" t="str">
            <v>Short Term - Time Deposit - Individuals - Non Resident</v>
          </cell>
          <cell r="G302" t="str">
            <v>C</v>
          </cell>
          <cell r="H302" t="str">
            <v>B</v>
          </cell>
          <cell r="I302" t="str">
            <v>277000</v>
          </cell>
          <cell r="J302">
            <v>102385.13</v>
          </cell>
          <cell r="K302" t="str">
            <v>30/01/2009 00:00:00</v>
          </cell>
        </row>
        <row r="303">
          <cell r="E303" t="str">
            <v>323122</v>
          </cell>
          <cell r="F303" t="str">
            <v>Short Term - F/D - Individuals - Non Resident -USD</v>
          </cell>
          <cell r="G303" t="str">
            <v>C</v>
          </cell>
          <cell r="H303" t="str">
            <v>0</v>
          </cell>
          <cell r="I303" t="str">
            <v>279000</v>
          </cell>
          <cell r="J303">
            <v>102385.13</v>
          </cell>
          <cell r="K303" t="str">
            <v>30/01/2009 00:00:00</v>
          </cell>
        </row>
        <row r="304">
          <cell r="E304" t="str">
            <v>323200</v>
          </cell>
          <cell r="F304" t="str">
            <v>Time Deposit Private Sector</v>
          </cell>
          <cell r="G304" t="str">
            <v>C</v>
          </cell>
          <cell r="H304" t="str">
            <v>B</v>
          </cell>
          <cell r="I304" t="str">
            <v>289000</v>
          </cell>
          <cell r="J304">
            <v>1769758.45</v>
          </cell>
          <cell r="K304" t="str">
            <v>30/01/2009 00:00:00</v>
          </cell>
        </row>
        <row r="305">
          <cell r="E305" t="str">
            <v>323210</v>
          </cell>
          <cell r="F305" t="str">
            <v>Short Term - Time Deposit - Private Sector - Resident</v>
          </cell>
          <cell r="G305" t="str">
            <v>C</v>
          </cell>
          <cell r="H305" t="str">
            <v>B</v>
          </cell>
          <cell r="I305" t="str">
            <v>290000</v>
          </cell>
          <cell r="J305">
            <v>1769705.43</v>
          </cell>
          <cell r="K305" t="str">
            <v>30/01/2009 00:00:00</v>
          </cell>
        </row>
        <row r="306">
          <cell r="E306" t="str">
            <v>323212</v>
          </cell>
          <cell r="F306" t="str">
            <v>Short Term - F/D - Private Sector - Resident -USD</v>
          </cell>
          <cell r="G306" t="str">
            <v>C</v>
          </cell>
          <cell r="H306" t="str">
            <v>0</v>
          </cell>
          <cell r="I306" t="str">
            <v>292000</v>
          </cell>
          <cell r="J306">
            <v>1769705.43</v>
          </cell>
          <cell r="K306" t="str">
            <v>30/01/2009 00:00:00</v>
          </cell>
        </row>
        <row r="307">
          <cell r="E307" t="str">
            <v>323215</v>
          </cell>
          <cell r="F307" t="str">
            <v>Short Term - F/D - Private Sector - Resident -THB</v>
          </cell>
          <cell r="G307" t="str">
            <v>C</v>
          </cell>
          <cell r="H307" t="str">
            <v>0</v>
          </cell>
          <cell r="I307" t="str">
            <v>293000</v>
          </cell>
          <cell r="J307">
            <v>0</v>
          </cell>
          <cell r="K307" t="str">
            <v>30/01/2009 00:00:00</v>
          </cell>
        </row>
        <row r="308">
          <cell r="E308" t="str">
            <v>323220</v>
          </cell>
          <cell r="F308" t="str">
            <v>Short Term - Time Deposit - Private Sector - Non Resident</v>
          </cell>
          <cell r="G308" t="str">
            <v>C</v>
          </cell>
          <cell r="H308" t="str">
            <v>B</v>
          </cell>
          <cell r="I308" t="str">
            <v>294000</v>
          </cell>
          <cell r="J308">
            <v>53.02</v>
          </cell>
          <cell r="K308" t="str">
            <v>30/01/2009 00:00:00</v>
          </cell>
        </row>
        <row r="309">
          <cell r="E309" t="str">
            <v>323222</v>
          </cell>
          <cell r="F309" t="str">
            <v>Short Term - F/D - Private Sector - Non Resident -USD</v>
          </cell>
          <cell r="G309" t="str">
            <v>C</v>
          </cell>
          <cell r="H309" t="str">
            <v>0</v>
          </cell>
          <cell r="I309" t="str">
            <v>296000</v>
          </cell>
          <cell r="J309">
            <v>53.02</v>
          </cell>
          <cell r="K309" t="str">
            <v>30/01/2009 00:00:00</v>
          </cell>
        </row>
        <row r="310">
          <cell r="E310" t="str">
            <v>330000</v>
          </cell>
          <cell r="F310" t="str">
            <v>Borrowed Funds</v>
          </cell>
          <cell r="G310" t="str">
            <v>C</v>
          </cell>
          <cell r="H310" t="str">
            <v>B</v>
          </cell>
          <cell r="I310" t="str">
            <v>305100</v>
          </cell>
          <cell r="J310">
            <v>8650000</v>
          </cell>
          <cell r="K310" t="str">
            <v>30/01/2009 00:00:00</v>
          </cell>
        </row>
        <row r="311">
          <cell r="E311" t="str">
            <v>332600</v>
          </cell>
          <cell r="F311" t="str">
            <v>Borrowed Funds-Shareholders</v>
          </cell>
          <cell r="G311" t="str">
            <v>C</v>
          </cell>
          <cell r="H311" t="str">
            <v>B</v>
          </cell>
          <cell r="I311" t="str">
            <v>305200</v>
          </cell>
          <cell r="J311">
            <v>8650000</v>
          </cell>
          <cell r="K311" t="str">
            <v>30/01/2009 00:00:00</v>
          </cell>
        </row>
        <row r="312">
          <cell r="E312" t="str">
            <v>332620</v>
          </cell>
          <cell r="F312" t="str">
            <v>Borrowed Funds-Shareholders-Non Resident</v>
          </cell>
          <cell r="G312" t="str">
            <v>C</v>
          </cell>
          <cell r="H312" t="str">
            <v>B</v>
          </cell>
          <cell r="I312" t="str">
            <v>305300</v>
          </cell>
          <cell r="J312">
            <v>8650000</v>
          </cell>
          <cell r="K312" t="str">
            <v>30/01/2009 00:00:00</v>
          </cell>
        </row>
        <row r="313">
          <cell r="E313" t="str">
            <v>332622</v>
          </cell>
          <cell r="F313" t="str">
            <v>Borrowed Funds-Shareholders-Non Resident-USD</v>
          </cell>
          <cell r="G313" t="str">
            <v>C</v>
          </cell>
          <cell r="H313" t="str">
            <v>0</v>
          </cell>
          <cell r="I313" t="str">
            <v>305400</v>
          </cell>
          <cell r="J313">
            <v>8650000</v>
          </cell>
          <cell r="K313" t="str">
            <v>30/01/2009 00:00:00</v>
          </cell>
        </row>
        <row r="314">
          <cell r="E314" t="str">
            <v>33262202</v>
          </cell>
          <cell r="F314" t="str">
            <v>Borrowed Funds-Shareholders-Non Resident-USD (Remittance)</v>
          </cell>
          <cell r="G314" t="str">
            <v>C</v>
          </cell>
          <cell r="H314" t="str">
            <v>0</v>
          </cell>
          <cell r="I314" t="str">
            <v>305420</v>
          </cell>
          <cell r="J314">
            <v>0</v>
          </cell>
          <cell r="K314" t="str">
            <v>30/01/2009 00:00:00</v>
          </cell>
        </row>
        <row r="315">
          <cell r="E315" t="str">
            <v>332625</v>
          </cell>
          <cell r="F315" t="str">
            <v>Borrowed Funds-Shareholders-Non Resident-THB</v>
          </cell>
          <cell r="G315" t="str">
            <v>C</v>
          </cell>
          <cell r="H315" t="str">
            <v>0</v>
          </cell>
          <cell r="I315" t="str">
            <v>305500</v>
          </cell>
          <cell r="J315">
            <v>0</v>
          </cell>
          <cell r="K315" t="str">
            <v>30/01/2009 00:00:00</v>
          </cell>
        </row>
        <row r="316">
          <cell r="E316" t="str">
            <v>33262502</v>
          </cell>
          <cell r="F316" t="str">
            <v>Borrowed Funds-Shareholders-Non Resident-THB ( Remittance)</v>
          </cell>
          <cell r="G316" t="str">
            <v>C</v>
          </cell>
          <cell r="H316" t="str">
            <v>0</v>
          </cell>
          <cell r="I316" t="str">
            <v>305700</v>
          </cell>
          <cell r="J316">
            <v>0</v>
          </cell>
          <cell r="K316" t="str">
            <v>30/01/2009 00:00:00</v>
          </cell>
        </row>
        <row r="317">
          <cell r="E317" t="str">
            <v>340000</v>
          </cell>
          <cell r="F317" t="str">
            <v>Accrued Interest Payable</v>
          </cell>
          <cell r="G317" t="str">
            <v>C</v>
          </cell>
          <cell r="H317" t="str">
            <v>B</v>
          </cell>
          <cell r="I317" t="str">
            <v>306000</v>
          </cell>
          <cell r="J317">
            <v>48127.38</v>
          </cell>
          <cell r="K317" t="str">
            <v>30/01/2009 00:00:00</v>
          </cell>
        </row>
        <row r="318">
          <cell r="E318" t="str">
            <v>344000</v>
          </cell>
          <cell r="F318" t="str">
            <v>Accrued Interest Payable - Individuals</v>
          </cell>
          <cell r="G318" t="str">
            <v>C</v>
          </cell>
          <cell r="H318" t="str">
            <v>B</v>
          </cell>
          <cell r="I318" t="str">
            <v>307000</v>
          </cell>
          <cell r="J318">
            <v>42640.73</v>
          </cell>
          <cell r="K318" t="str">
            <v>30/01/2009 00:00:00</v>
          </cell>
        </row>
        <row r="319">
          <cell r="E319" t="str">
            <v>344200</v>
          </cell>
          <cell r="F319" t="str">
            <v>AIP - Saving Deposit Individuals</v>
          </cell>
          <cell r="G319" t="str">
            <v>C</v>
          </cell>
          <cell r="H319" t="str">
            <v>B</v>
          </cell>
          <cell r="I319" t="str">
            <v>308000</v>
          </cell>
          <cell r="J319">
            <v>2268.83</v>
          </cell>
          <cell r="K319" t="str">
            <v>30/01/2009 00:00:00</v>
          </cell>
        </row>
        <row r="320">
          <cell r="E320" t="str">
            <v>344210</v>
          </cell>
          <cell r="F320" t="str">
            <v>AIP - Short Term - Saving Deposit Individuals - Resident</v>
          </cell>
          <cell r="G320" t="str">
            <v>C</v>
          </cell>
          <cell r="H320" t="str">
            <v>B</v>
          </cell>
          <cell r="I320" t="str">
            <v>309000</v>
          </cell>
          <cell r="J320">
            <v>2203.11</v>
          </cell>
          <cell r="K320" t="str">
            <v>30/01/2009 00:00:00</v>
          </cell>
        </row>
        <row r="321">
          <cell r="E321" t="str">
            <v>344212</v>
          </cell>
          <cell r="F321" t="str">
            <v>AIP - Short Term - S/A - Individuals - Resident -USD</v>
          </cell>
          <cell r="G321" t="str">
            <v>C</v>
          </cell>
          <cell r="H321" t="str">
            <v>0</v>
          </cell>
          <cell r="I321" t="str">
            <v>311000</v>
          </cell>
          <cell r="J321">
            <v>2203.11</v>
          </cell>
          <cell r="K321" t="str">
            <v>30/01/2009 00:00:00</v>
          </cell>
        </row>
        <row r="322">
          <cell r="E322" t="str">
            <v>344220</v>
          </cell>
          <cell r="F322" t="str">
            <v>A/P - Short Term - Saving Deposit Individuals - Non Resident</v>
          </cell>
          <cell r="G322" t="str">
            <v>C</v>
          </cell>
          <cell r="H322" t="str">
            <v>B</v>
          </cell>
          <cell r="I322" t="str">
            <v>313000</v>
          </cell>
          <cell r="J322">
            <v>65.72</v>
          </cell>
          <cell r="K322" t="str">
            <v>30/01/2009 00:00:00</v>
          </cell>
        </row>
        <row r="323">
          <cell r="E323" t="str">
            <v>344222</v>
          </cell>
          <cell r="F323" t="str">
            <v>AIP - Short Term - S/A - Individuals - Non Resident -USD</v>
          </cell>
          <cell r="G323" t="str">
            <v>C</v>
          </cell>
          <cell r="H323" t="str">
            <v>0</v>
          </cell>
          <cell r="I323" t="str">
            <v>315000</v>
          </cell>
          <cell r="J323">
            <v>65.72</v>
          </cell>
          <cell r="K323" t="str">
            <v>30/01/2009 00:00:00</v>
          </cell>
        </row>
        <row r="324">
          <cell r="E324" t="str">
            <v>344300</v>
          </cell>
          <cell r="F324" t="str">
            <v>AIP - Time Deposit Individuals</v>
          </cell>
          <cell r="G324" t="str">
            <v>C</v>
          </cell>
          <cell r="H324" t="str">
            <v>B</v>
          </cell>
          <cell r="I324" t="str">
            <v>317000</v>
          </cell>
          <cell r="J324">
            <v>40371.9</v>
          </cell>
          <cell r="K324" t="str">
            <v>30/01/2009 00:00:00</v>
          </cell>
        </row>
        <row r="325">
          <cell r="E325" t="str">
            <v>344310</v>
          </cell>
          <cell r="F325" t="str">
            <v>AIP - Short Term - Time Deposit Individuals - Resident</v>
          </cell>
          <cell r="G325" t="str">
            <v>C</v>
          </cell>
          <cell r="H325" t="str">
            <v>B</v>
          </cell>
          <cell r="I325" t="str">
            <v>318000</v>
          </cell>
          <cell r="J325">
            <v>40281.599999999999</v>
          </cell>
          <cell r="K325" t="str">
            <v>30/01/2009 00:00:00</v>
          </cell>
        </row>
        <row r="326">
          <cell r="E326" t="str">
            <v>344312</v>
          </cell>
          <cell r="F326" t="str">
            <v>AIP - Short Term - F/D - Individuals - Resident -USD</v>
          </cell>
          <cell r="G326" t="str">
            <v>C</v>
          </cell>
          <cell r="H326" t="str">
            <v>0</v>
          </cell>
          <cell r="I326" t="str">
            <v>320000</v>
          </cell>
          <cell r="J326">
            <v>40281.599999999999</v>
          </cell>
          <cell r="K326" t="str">
            <v>30/01/2009 00:00:00</v>
          </cell>
        </row>
        <row r="327">
          <cell r="E327" t="str">
            <v>344315</v>
          </cell>
          <cell r="F327" t="str">
            <v>AIP - Short Term - F/D - Individuals - Resident -THB</v>
          </cell>
          <cell r="G327" t="str">
            <v>C</v>
          </cell>
          <cell r="H327" t="str">
            <v>0</v>
          </cell>
          <cell r="I327" t="str">
            <v>321000</v>
          </cell>
          <cell r="J327">
            <v>0</v>
          </cell>
          <cell r="K327" t="str">
            <v>30/01/2009 00:00:00</v>
          </cell>
        </row>
        <row r="328">
          <cell r="E328" t="str">
            <v>344320</v>
          </cell>
          <cell r="F328" t="str">
            <v>AIP - Short Term - Time Deposit Individuals - Non Resident</v>
          </cell>
          <cell r="G328" t="str">
            <v>C</v>
          </cell>
          <cell r="H328" t="str">
            <v>B</v>
          </cell>
          <cell r="I328" t="str">
            <v>322000</v>
          </cell>
          <cell r="J328">
            <v>90.3</v>
          </cell>
          <cell r="K328" t="str">
            <v>30/01/2009 00:00:00</v>
          </cell>
        </row>
        <row r="329">
          <cell r="E329" t="str">
            <v>344322</v>
          </cell>
          <cell r="F329" t="str">
            <v>AIP - Short Term - F/D - Individuals - Non Resident -USD</v>
          </cell>
          <cell r="G329" t="str">
            <v>C</v>
          </cell>
          <cell r="H329" t="str">
            <v>0</v>
          </cell>
          <cell r="I329" t="str">
            <v>324000</v>
          </cell>
          <cell r="J329">
            <v>90.3</v>
          </cell>
          <cell r="K329" t="str">
            <v>30/01/2009 00:00:00</v>
          </cell>
        </row>
        <row r="330">
          <cell r="E330" t="str">
            <v>345000</v>
          </cell>
          <cell r="F330" t="str">
            <v>Accrued Interest Payable - Private Sector</v>
          </cell>
          <cell r="G330" t="str">
            <v>C</v>
          </cell>
          <cell r="H330" t="str">
            <v>B</v>
          </cell>
          <cell r="I330" t="str">
            <v>334000</v>
          </cell>
          <cell r="J330">
            <v>5486.65</v>
          </cell>
          <cell r="K330" t="str">
            <v>30/01/2009 00:00:00</v>
          </cell>
        </row>
        <row r="331">
          <cell r="E331" t="str">
            <v>345200</v>
          </cell>
          <cell r="F331" t="str">
            <v>AIP - Saving Deposit Private Sector</v>
          </cell>
          <cell r="G331" t="str">
            <v>C</v>
          </cell>
          <cell r="H331" t="str">
            <v>B</v>
          </cell>
          <cell r="I331" t="str">
            <v>335000</v>
          </cell>
          <cell r="J331">
            <v>5217.78</v>
          </cell>
          <cell r="K331" t="str">
            <v>30/01/2009 00:00:00</v>
          </cell>
        </row>
        <row r="332">
          <cell r="E332" t="str">
            <v>345210</v>
          </cell>
          <cell r="F332" t="str">
            <v>AIP - Short Term - Saving Deposit Private Sector - Resident</v>
          </cell>
          <cell r="G332" t="str">
            <v>C</v>
          </cell>
          <cell r="H332" t="str">
            <v>B</v>
          </cell>
          <cell r="I332" t="str">
            <v>336000</v>
          </cell>
          <cell r="J332">
            <v>4529.3900000000003</v>
          </cell>
          <cell r="K332" t="str">
            <v>30/01/2009 00:00:00</v>
          </cell>
        </row>
        <row r="333">
          <cell r="E333" t="str">
            <v>345212</v>
          </cell>
          <cell r="F333" t="str">
            <v>AIP - Short Term - S/A - Private Sector - Resident -USD</v>
          </cell>
          <cell r="G333" t="str">
            <v>C</v>
          </cell>
          <cell r="H333" t="str">
            <v>0</v>
          </cell>
          <cell r="I333" t="str">
            <v>338000</v>
          </cell>
          <cell r="J333">
            <v>4529.3900000000003</v>
          </cell>
          <cell r="K333" t="str">
            <v>30/01/2009 00:00:00</v>
          </cell>
        </row>
        <row r="334">
          <cell r="E334" t="str">
            <v>345220</v>
          </cell>
          <cell r="F334" t="str">
            <v>AIP - Short Term - Saving Deposit Private Sector - Non Resident</v>
          </cell>
          <cell r="G334" t="str">
            <v>C</v>
          </cell>
          <cell r="H334" t="str">
            <v>B</v>
          </cell>
          <cell r="I334" t="str">
            <v>340000</v>
          </cell>
          <cell r="J334">
            <v>688.39</v>
          </cell>
          <cell r="K334" t="str">
            <v>30/01/2009 00:00:00</v>
          </cell>
        </row>
        <row r="335">
          <cell r="E335" t="str">
            <v>345222</v>
          </cell>
          <cell r="F335" t="str">
            <v>AIP - Short Term - S/A - Private Sector - Non Resident -USD</v>
          </cell>
          <cell r="G335" t="str">
            <v>C</v>
          </cell>
          <cell r="H335" t="str">
            <v>0</v>
          </cell>
          <cell r="I335" t="str">
            <v>342000</v>
          </cell>
          <cell r="J335">
            <v>688.39</v>
          </cell>
          <cell r="K335" t="str">
            <v>30/01/2009 00:00:00</v>
          </cell>
        </row>
        <row r="336">
          <cell r="E336" t="str">
            <v>345300</v>
          </cell>
          <cell r="F336" t="str">
            <v>AIP - Time Deposit Private Sector</v>
          </cell>
          <cell r="G336" t="str">
            <v>C</v>
          </cell>
          <cell r="H336" t="str">
            <v>B</v>
          </cell>
          <cell r="I336" t="str">
            <v>344000</v>
          </cell>
          <cell r="J336">
            <v>268.87</v>
          </cell>
          <cell r="K336" t="str">
            <v>30/01/2009 00:00:00</v>
          </cell>
        </row>
        <row r="337">
          <cell r="E337" t="str">
            <v>345310</v>
          </cell>
          <cell r="F337" t="str">
            <v>AIP - Short Term - Time Deposit Private Sector - Resident</v>
          </cell>
          <cell r="G337" t="str">
            <v>C</v>
          </cell>
          <cell r="H337" t="str">
            <v>B</v>
          </cell>
          <cell r="I337" t="str">
            <v>345000</v>
          </cell>
          <cell r="J337">
            <v>268.81</v>
          </cell>
          <cell r="K337" t="str">
            <v>30/01/2009 00:00:00</v>
          </cell>
        </row>
        <row r="338">
          <cell r="E338" t="str">
            <v>345312</v>
          </cell>
          <cell r="F338" t="str">
            <v>AIP - Short Term - F/D - Private Sector - Resident -USD</v>
          </cell>
          <cell r="G338" t="str">
            <v>C</v>
          </cell>
          <cell r="H338" t="str">
            <v>0</v>
          </cell>
          <cell r="I338" t="str">
            <v>347000</v>
          </cell>
          <cell r="J338">
            <v>268.81</v>
          </cell>
          <cell r="K338" t="str">
            <v>30/01/2009 00:00:00</v>
          </cell>
        </row>
        <row r="339">
          <cell r="E339" t="str">
            <v>345315</v>
          </cell>
          <cell r="F339" t="str">
            <v>AIP - Short Term - F/D - Private Sector - Resident -THB</v>
          </cell>
          <cell r="G339" t="str">
            <v>C</v>
          </cell>
          <cell r="H339" t="str">
            <v>0</v>
          </cell>
          <cell r="I339" t="str">
            <v>348000</v>
          </cell>
          <cell r="J339">
            <v>0</v>
          </cell>
          <cell r="K339" t="str">
            <v>30/01/2009 00:00:00</v>
          </cell>
        </row>
        <row r="340">
          <cell r="E340" t="str">
            <v>345320</v>
          </cell>
          <cell r="F340" t="str">
            <v>AIP - Short Term - Time Deposit Private Sector - Non Resident</v>
          </cell>
          <cell r="G340" t="str">
            <v>C</v>
          </cell>
          <cell r="H340" t="str">
            <v>B</v>
          </cell>
          <cell r="I340" t="str">
            <v>349000</v>
          </cell>
          <cell r="J340">
            <v>0.06</v>
          </cell>
          <cell r="K340" t="str">
            <v>30/01/2009 00:00:00</v>
          </cell>
        </row>
        <row r="341">
          <cell r="E341" t="str">
            <v>345322</v>
          </cell>
          <cell r="F341" t="str">
            <v>AIP - Short Term - F/D - Private Sector - Non Resident -USD</v>
          </cell>
          <cell r="G341" t="str">
            <v>C</v>
          </cell>
          <cell r="H341" t="str">
            <v>0</v>
          </cell>
          <cell r="I341" t="str">
            <v>351000</v>
          </cell>
          <cell r="J341">
            <v>0.06</v>
          </cell>
          <cell r="K341" t="str">
            <v>30/01/2009 00:00:00</v>
          </cell>
        </row>
        <row r="342">
          <cell r="E342" t="str">
            <v>360000</v>
          </cell>
          <cell r="F342" t="str">
            <v>Accrued Payable Expenses</v>
          </cell>
          <cell r="G342" t="str">
            <v>C</v>
          </cell>
          <cell r="H342" t="str">
            <v>B</v>
          </cell>
          <cell r="I342" t="str">
            <v>361000</v>
          </cell>
          <cell r="J342">
            <v>27565</v>
          </cell>
          <cell r="K342" t="str">
            <v>30/01/2009 00:00:00</v>
          </cell>
        </row>
        <row r="343">
          <cell r="E343" t="str">
            <v>362000</v>
          </cell>
          <cell r="F343" t="str">
            <v>Other Accrued Expenses</v>
          </cell>
          <cell r="G343" t="str">
            <v>C</v>
          </cell>
          <cell r="H343" t="str">
            <v>B</v>
          </cell>
          <cell r="I343" t="str">
            <v>367000</v>
          </cell>
          <cell r="J343">
            <v>27565</v>
          </cell>
          <cell r="K343" t="str">
            <v>30/01/2009 00:00:00</v>
          </cell>
        </row>
        <row r="344">
          <cell r="E344" t="str">
            <v>362002</v>
          </cell>
          <cell r="F344" t="str">
            <v>Other Accrued Expenses -USD</v>
          </cell>
          <cell r="G344" t="str">
            <v>C</v>
          </cell>
          <cell r="H344" t="str">
            <v>0</v>
          </cell>
          <cell r="I344" t="str">
            <v>369000</v>
          </cell>
          <cell r="J344">
            <v>27565</v>
          </cell>
          <cell r="K344" t="str">
            <v>30/01/2009 00:00:00</v>
          </cell>
        </row>
        <row r="345">
          <cell r="E345" t="str">
            <v>370000</v>
          </cell>
          <cell r="F345" t="str">
            <v>Accrued Taxes Payable, Unearned, and Deferred Income</v>
          </cell>
          <cell r="G345" t="str">
            <v>C</v>
          </cell>
          <cell r="H345" t="str">
            <v>B</v>
          </cell>
          <cell r="I345" t="str">
            <v>371000</v>
          </cell>
          <cell r="J345">
            <v>418092.65</v>
          </cell>
          <cell r="K345" t="str">
            <v>30/01/2009 00:00:00</v>
          </cell>
        </row>
        <row r="346">
          <cell r="E346" t="str">
            <v>371000</v>
          </cell>
          <cell r="F346" t="str">
            <v>Accrued Taxes Payable</v>
          </cell>
          <cell r="G346" t="str">
            <v>C</v>
          </cell>
          <cell r="H346" t="str">
            <v>B</v>
          </cell>
          <cell r="I346" t="str">
            <v>372000</v>
          </cell>
          <cell r="J346">
            <v>418092.65</v>
          </cell>
          <cell r="K346" t="str">
            <v>30/01/2009 00:00:00</v>
          </cell>
        </row>
        <row r="347">
          <cell r="E347" t="str">
            <v>371100</v>
          </cell>
          <cell r="F347" t="str">
            <v>Accrued Income Taxes Payble - Current Year</v>
          </cell>
          <cell r="G347" t="str">
            <v>C</v>
          </cell>
          <cell r="H347" t="str">
            <v>B</v>
          </cell>
          <cell r="I347" t="str">
            <v>372100</v>
          </cell>
          <cell r="J347">
            <v>417570</v>
          </cell>
          <cell r="K347" t="str">
            <v>30/01/2009 00:00:00</v>
          </cell>
        </row>
        <row r="348">
          <cell r="E348" t="str">
            <v>371102</v>
          </cell>
          <cell r="F348" t="str">
            <v>Accrued Income Taxes Payble - Current Year-USD</v>
          </cell>
          <cell r="G348" t="str">
            <v>C</v>
          </cell>
          <cell r="H348" t="str">
            <v>0</v>
          </cell>
          <cell r="I348" t="str">
            <v>372200</v>
          </cell>
          <cell r="J348">
            <v>417570</v>
          </cell>
          <cell r="K348" t="str">
            <v>30/01/2009 00:00:00</v>
          </cell>
        </row>
        <row r="349">
          <cell r="E349" t="str">
            <v>371200</v>
          </cell>
          <cell r="F349" t="str">
            <v>Accrued Taxes Payable - Other Than Income Taxes</v>
          </cell>
          <cell r="G349" t="str">
            <v>C</v>
          </cell>
          <cell r="H349" t="str">
            <v>B</v>
          </cell>
          <cell r="I349" t="str">
            <v>373000</v>
          </cell>
          <cell r="J349">
            <v>522.65</v>
          </cell>
          <cell r="K349" t="str">
            <v>30/01/2009 00:00:00</v>
          </cell>
        </row>
        <row r="350">
          <cell r="E350" t="str">
            <v>371202</v>
          </cell>
          <cell r="F350" t="str">
            <v>Accrued Taxes Payable - Other Than Income Taxes -USD</v>
          </cell>
          <cell r="G350" t="str">
            <v>C</v>
          </cell>
          <cell r="H350" t="str">
            <v>0</v>
          </cell>
          <cell r="I350" t="str">
            <v>375000</v>
          </cell>
          <cell r="J350">
            <v>522.65</v>
          </cell>
          <cell r="K350" t="str">
            <v>30/01/2009 00:00:00</v>
          </cell>
        </row>
        <row r="351">
          <cell r="E351" t="str">
            <v>372000</v>
          </cell>
          <cell r="F351" t="str">
            <v>Unearn Income</v>
          </cell>
          <cell r="G351" t="str">
            <v>C</v>
          </cell>
          <cell r="H351" t="str">
            <v>B</v>
          </cell>
          <cell r="I351" t="str">
            <v>376100</v>
          </cell>
          <cell r="J351">
            <v>0</v>
          </cell>
          <cell r="K351" t="str">
            <v>30/01/2009 00:00:00</v>
          </cell>
        </row>
        <row r="352">
          <cell r="E352" t="str">
            <v>372100</v>
          </cell>
          <cell r="F352" t="str">
            <v>Unearn Income-Commercial Loans</v>
          </cell>
          <cell r="G352" t="str">
            <v>C</v>
          </cell>
          <cell r="H352" t="str">
            <v>B</v>
          </cell>
          <cell r="I352" t="str">
            <v>376200</v>
          </cell>
          <cell r="J352">
            <v>0</v>
          </cell>
          <cell r="K352" t="str">
            <v>30/01/2009 00:00:00</v>
          </cell>
        </row>
        <row r="353">
          <cell r="E353" t="str">
            <v>372102</v>
          </cell>
          <cell r="F353" t="str">
            <v>Unearn Income-Commercial Loans-USD</v>
          </cell>
          <cell r="G353" t="str">
            <v>C</v>
          </cell>
          <cell r="H353" t="str">
            <v>0</v>
          </cell>
          <cell r="I353" t="str">
            <v>376300</v>
          </cell>
          <cell r="J353">
            <v>0</v>
          </cell>
          <cell r="K353" t="str">
            <v>30/01/2009 00:00:00</v>
          </cell>
        </row>
        <row r="354">
          <cell r="E354" t="str">
            <v>380000</v>
          </cell>
          <cell r="F354" t="str">
            <v>Other Liabilities</v>
          </cell>
          <cell r="G354" t="str">
            <v>C</v>
          </cell>
          <cell r="H354" t="str">
            <v>B</v>
          </cell>
          <cell r="I354" t="str">
            <v>377000</v>
          </cell>
          <cell r="J354">
            <v>-205050.73</v>
          </cell>
          <cell r="K354" t="str">
            <v>30/01/2009 00:00:00</v>
          </cell>
        </row>
        <row r="355">
          <cell r="E355" t="str">
            <v>381000</v>
          </cell>
          <cell r="F355" t="str">
            <v>Account Payable</v>
          </cell>
          <cell r="G355" t="str">
            <v>C</v>
          </cell>
          <cell r="H355" t="str">
            <v>B</v>
          </cell>
          <cell r="I355" t="str">
            <v>377100</v>
          </cell>
          <cell r="J355">
            <v>0</v>
          </cell>
          <cell r="K355" t="str">
            <v>30/01/2009 00:00:00</v>
          </cell>
        </row>
        <row r="356">
          <cell r="E356" t="str">
            <v>381002</v>
          </cell>
          <cell r="F356" t="str">
            <v xml:space="preserve">Account Payable-USD </v>
          </cell>
          <cell r="G356" t="str">
            <v>C</v>
          </cell>
          <cell r="H356" t="str">
            <v>0</v>
          </cell>
          <cell r="I356" t="str">
            <v>377300</v>
          </cell>
          <cell r="J356">
            <v>0</v>
          </cell>
          <cell r="K356" t="str">
            <v>30/01/2009 00:00:00</v>
          </cell>
        </row>
        <row r="357">
          <cell r="E357" t="str">
            <v>384000</v>
          </cell>
          <cell r="F357" t="str">
            <v>Saving and Time Deposit Interest Withholding Taxes</v>
          </cell>
          <cell r="G357" t="str">
            <v>C</v>
          </cell>
          <cell r="H357" t="str">
            <v>B</v>
          </cell>
          <cell r="I357" t="str">
            <v>379000</v>
          </cell>
          <cell r="J357">
            <v>2169.4</v>
          </cell>
          <cell r="K357" t="str">
            <v>30/01/2009 00:00:00</v>
          </cell>
        </row>
        <row r="358">
          <cell r="E358" t="str">
            <v>384002</v>
          </cell>
          <cell r="F358" t="str">
            <v>S/A and F/D Int Withholding Taxes -USD</v>
          </cell>
          <cell r="G358" t="str">
            <v>C</v>
          </cell>
          <cell r="H358" t="str">
            <v>0</v>
          </cell>
          <cell r="I358" t="str">
            <v>381000</v>
          </cell>
          <cell r="J358">
            <v>2169.4</v>
          </cell>
          <cell r="K358" t="str">
            <v>30/01/2009 00:00:00</v>
          </cell>
        </row>
        <row r="359">
          <cell r="E359" t="str">
            <v>384005</v>
          </cell>
          <cell r="F359" t="str">
            <v>S/A and F/D Int Withholding Taxes -THB</v>
          </cell>
          <cell r="G359" t="str">
            <v>C</v>
          </cell>
          <cell r="H359" t="str">
            <v>0</v>
          </cell>
          <cell r="I359" t="str">
            <v>382000</v>
          </cell>
          <cell r="J359">
            <v>0</v>
          </cell>
          <cell r="K359" t="str">
            <v>30/01/2009 00:00:00</v>
          </cell>
        </row>
        <row r="360">
          <cell r="E360" t="str">
            <v>385000</v>
          </cell>
          <cell r="F360" t="str">
            <v>Interest Income in Suspense</v>
          </cell>
          <cell r="G360" t="str">
            <v>C</v>
          </cell>
          <cell r="H360" t="str">
            <v>B</v>
          </cell>
          <cell r="I360" t="str">
            <v>382010</v>
          </cell>
          <cell r="J360">
            <v>0</v>
          </cell>
          <cell r="K360" t="str">
            <v>30/01/2009 00:00:00</v>
          </cell>
        </row>
        <row r="361">
          <cell r="E361" t="str">
            <v>385002</v>
          </cell>
          <cell r="F361" t="str">
            <v>Interest Income in Suspense-USD</v>
          </cell>
          <cell r="G361" t="str">
            <v>C</v>
          </cell>
          <cell r="H361" t="str">
            <v>0</v>
          </cell>
          <cell r="I361" t="str">
            <v>382020</v>
          </cell>
          <cell r="J361">
            <v>0</v>
          </cell>
          <cell r="K361" t="str">
            <v>30/01/2009 00:00:00</v>
          </cell>
        </row>
        <row r="362">
          <cell r="E362" t="str">
            <v>386000</v>
          </cell>
          <cell r="F362" t="str">
            <v>Position Account Foreign Exchange</v>
          </cell>
          <cell r="G362" t="str">
            <v>C</v>
          </cell>
          <cell r="H362" t="str">
            <v>B</v>
          </cell>
          <cell r="I362" t="str">
            <v>382100</v>
          </cell>
          <cell r="J362">
            <v>-207220.13</v>
          </cell>
          <cell r="K362" t="str">
            <v>30/01/2009 00:00:00</v>
          </cell>
        </row>
        <row r="363">
          <cell r="E363" t="str">
            <v>386001</v>
          </cell>
          <cell r="F363" t="str">
            <v>Position Account Foreign Exchange-KHR</v>
          </cell>
          <cell r="G363" t="str">
            <v>C</v>
          </cell>
          <cell r="H363" t="str">
            <v>0</v>
          </cell>
          <cell r="I363" t="str">
            <v>382200</v>
          </cell>
          <cell r="J363">
            <v>-134806.46</v>
          </cell>
          <cell r="K363" t="str">
            <v>30/01/2009 00:00:00</v>
          </cell>
        </row>
        <row r="364">
          <cell r="E364" t="str">
            <v>386002</v>
          </cell>
          <cell r="F364" t="str">
            <v>Position Account Foreign Exchange-USD</v>
          </cell>
          <cell r="G364" t="str">
            <v>C</v>
          </cell>
          <cell r="H364" t="str">
            <v>0</v>
          </cell>
          <cell r="I364" t="str">
            <v>382300</v>
          </cell>
          <cell r="J364">
            <v>-1501158.15</v>
          </cell>
          <cell r="K364" t="str">
            <v>30/01/2009 00:00:00</v>
          </cell>
        </row>
        <row r="365">
          <cell r="E365" t="str">
            <v>386005</v>
          </cell>
          <cell r="F365" t="str">
            <v>Position Account Foreign Exchange-THB</v>
          </cell>
          <cell r="G365" t="str">
            <v>C</v>
          </cell>
          <cell r="H365" t="str">
            <v>0</v>
          </cell>
          <cell r="I365" t="str">
            <v>382700</v>
          </cell>
          <cell r="J365">
            <v>1428744.48</v>
          </cell>
          <cell r="K365" t="str">
            <v>30/01/2009 00:00:00</v>
          </cell>
        </row>
        <row r="366">
          <cell r="E366" t="str">
            <v>389000</v>
          </cell>
          <cell r="F366" t="str">
            <v>Provision for Potential Losses on Off Balance Sheet Accounts and Other Sundry Liabilities</v>
          </cell>
          <cell r="G366" t="str">
            <v>C</v>
          </cell>
          <cell r="H366" t="str">
            <v>B</v>
          </cell>
          <cell r="I366" t="str">
            <v>383000</v>
          </cell>
          <cell r="J366">
            <v>0</v>
          </cell>
          <cell r="K366" t="str">
            <v>30/01/2009 00:00:00</v>
          </cell>
        </row>
        <row r="367">
          <cell r="E367" t="str">
            <v>389200</v>
          </cell>
          <cell r="F367" t="str">
            <v>Other Sundry Liabilities - Unclaimed S/A and Unclaimed Cashier's Cheques</v>
          </cell>
          <cell r="G367" t="str">
            <v>C</v>
          </cell>
          <cell r="H367" t="str">
            <v>B</v>
          </cell>
          <cell r="I367" t="str">
            <v>384000</v>
          </cell>
          <cell r="J367">
            <v>0</v>
          </cell>
          <cell r="K367" t="str">
            <v>30/01/2009 00:00:00</v>
          </cell>
        </row>
        <row r="368">
          <cell r="E368" t="str">
            <v>389202</v>
          </cell>
          <cell r="F368" t="str">
            <v>Other Sundry Liabilities -USD</v>
          </cell>
          <cell r="G368" t="str">
            <v>C</v>
          </cell>
          <cell r="H368" t="str">
            <v>B</v>
          </cell>
          <cell r="I368" t="str">
            <v>389000</v>
          </cell>
          <cell r="J368">
            <v>0</v>
          </cell>
          <cell r="K368" t="str">
            <v>30/01/2009 00:00:00</v>
          </cell>
        </row>
        <row r="369">
          <cell r="E369" t="str">
            <v>38920201</v>
          </cell>
          <cell r="F369" t="str">
            <v>Other Sundry Liabilities - Unclaimed S/A -USD</v>
          </cell>
          <cell r="G369" t="str">
            <v>C</v>
          </cell>
          <cell r="H369" t="str">
            <v>0</v>
          </cell>
          <cell r="I369" t="str">
            <v>390000</v>
          </cell>
          <cell r="J369">
            <v>0</v>
          </cell>
          <cell r="K369" t="str">
            <v>30/01/2009 00:00:00</v>
          </cell>
        </row>
        <row r="370">
          <cell r="E370" t="str">
            <v>38920202</v>
          </cell>
          <cell r="F370" t="str">
            <v>Other Sundry Liabilities - Unclaimed Cashier Cheques -USD</v>
          </cell>
          <cell r="G370" t="str">
            <v>C</v>
          </cell>
          <cell r="H370" t="str">
            <v>0</v>
          </cell>
          <cell r="I370" t="str">
            <v>391000</v>
          </cell>
          <cell r="J370">
            <v>0</v>
          </cell>
          <cell r="K370" t="str">
            <v>30/01/2009 00:00:00</v>
          </cell>
        </row>
        <row r="371">
          <cell r="E371" t="str">
            <v>38920203</v>
          </cell>
          <cell r="F371" t="str">
            <v>Other Sundry Liablities - (Inward Foreign Remittances)-USD</v>
          </cell>
          <cell r="G371" t="str">
            <v>C</v>
          </cell>
          <cell r="H371" t="str">
            <v>0</v>
          </cell>
          <cell r="I371" t="str">
            <v>391100</v>
          </cell>
          <cell r="J371">
            <v>0</v>
          </cell>
          <cell r="K371" t="str">
            <v>30/01/2009 00:00:00</v>
          </cell>
        </row>
        <row r="372">
          <cell r="E372" t="str">
            <v>389205</v>
          </cell>
          <cell r="F372" t="str">
            <v>Other Sundry Liabilities -THB</v>
          </cell>
          <cell r="G372" t="str">
            <v>C</v>
          </cell>
          <cell r="H372" t="str">
            <v>B</v>
          </cell>
          <cell r="I372" t="str">
            <v>393000</v>
          </cell>
          <cell r="J372">
            <v>0</v>
          </cell>
          <cell r="K372" t="str">
            <v>30/01/2009 00:00:00</v>
          </cell>
        </row>
        <row r="373">
          <cell r="E373" t="str">
            <v>38920503</v>
          </cell>
          <cell r="F373" t="str">
            <v>Other Sundry Liablities - (Inward Foreign Remittances)-THB</v>
          </cell>
          <cell r="G373" t="str">
            <v>C</v>
          </cell>
          <cell r="H373" t="str">
            <v>0</v>
          </cell>
          <cell r="I373" t="str">
            <v>395100</v>
          </cell>
          <cell r="J373">
            <v>0</v>
          </cell>
          <cell r="K373" t="str">
            <v>30/01/2009 00:00:00</v>
          </cell>
        </row>
        <row r="374">
          <cell r="E374" t="str">
            <v>389220</v>
          </cell>
          <cell r="F374" t="str">
            <v>Suspense Account</v>
          </cell>
          <cell r="G374" t="str">
            <v>C</v>
          </cell>
          <cell r="H374" t="str">
            <v>B</v>
          </cell>
          <cell r="I374" t="str">
            <v>396200</v>
          </cell>
          <cell r="J374">
            <v>0</v>
          </cell>
          <cell r="K374" t="str">
            <v>30/01/2009 00:00:00</v>
          </cell>
        </row>
        <row r="375">
          <cell r="E375" t="str">
            <v>389221</v>
          </cell>
          <cell r="F375" t="str">
            <v>Suspense A/C - Creditor-KHR</v>
          </cell>
          <cell r="G375" t="str">
            <v>C</v>
          </cell>
          <cell r="H375" t="str">
            <v>0</v>
          </cell>
          <cell r="I375" t="str">
            <v>396300</v>
          </cell>
          <cell r="J375">
            <v>0</v>
          </cell>
          <cell r="K375" t="str">
            <v>30/01/2009 00:00:00</v>
          </cell>
        </row>
        <row r="376">
          <cell r="E376" t="str">
            <v>389222</v>
          </cell>
          <cell r="F376" t="str">
            <v>Suspense A/C - Creditor-USD</v>
          </cell>
          <cell r="G376" t="str">
            <v>C</v>
          </cell>
          <cell r="H376" t="str">
            <v>0</v>
          </cell>
          <cell r="I376" t="str">
            <v>396400</v>
          </cell>
          <cell r="J376">
            <v>0</v>
          </cell>
          <cell r="K376" t="str">
            <v>30/01/2009 00:00:00</v>
          </cell>
        </row>
        <row r="377">
          <cell r="E377" t="str">
            <v>389225</v>
          </cell>
          <cell r="F377" t="str">
            <v>Suspense A/C -Creditor -THB</v>
          </cell>
          <cell r="G377" t="str">
            <v>C</v>
          </cell>
          <cell r="H377" t="str">
            <v>0</v>
          </cell>
          <cell r="I377" t="str">
            <v>396500</v>
          </cell>
          <cell r="J377">
            <v>0</v>
          </cell>
          <cell r="K377" t="str">
            <v>30/01/2009 00:00:00</v>
          </cell>
        </row>
        <row r="378">
          <cell r="E378" t="str">
            <v>400000</v>
          </cell>
          <cell r="F378" t="str">
            <v>SHAREHOLDER'S EQUITY</v>
          </cell>
          <cell r="G378" t="str">
            <v>C</v>
          </cell>
          <cell r="H378" t="str">
            <v>B</v>
          </cell>
          <cell r="I378" t="str">
            <v>402000</v>
          </cell>
          <cell r="J378">
            <v>21783744.719999999</v>
          </cell>
          <cell r="K378" t="str">
            <v>30/01/2009 00:00:00</v>
          </cell>
        </row>
        <row r="379">
          <cell r="E379" t="str">
            <v>401000</v>
          </cell>
          <cell r="F379" t="str">
            <v>Stock Equity</v>
          </cell>
          <cell r="G379" t="str">
            <v>C</v>
          </cell>
          <cell r="H379" t="str">
            <v>B</v>
          </cell>
          <cell r="I379" t="str">
            <v>403000</v>
          </cell>
          <cell r="J379">
            <v>13000000</v>
          </cell>
          <cell r="K379" t="str">
            <v>30/01/2009 00:00:00</v>
          </cell>
        </row>
        <row r="380">
          <cell r="E380" t="str">
            <v>401200</v>
          </cell>
          <cell r="F380" t="str">
            <v>Common Stock</v>
          </cell>
          <cell r="G380" t="str">
            <v>C</v>
          </cell>
          <cell r="H380" t="str">
            <v>B</v>
          </cell>
          <cell r="I380" t="str">
            <v>404000</v>
          </cell>
          <cell r="J380">
            <v>13000000</v>
          </cell>
          <cell r="K380" t="str">
            <v>30/01/2009 00:00:00</v>
          </cell>
        </row>
        <row r="381">
          <cell r="E381" t="str">
            <v>401202</v>
          </cell>
          <cell r="F381" t="str">
            <v>Common Stock -USD</v>
          </cell>
          <cell r="G381" t="str">
            <v>C</v>
          </cell>
          <cell r="H381" t="str">
            <v>0</v>
          </cell>
          <cell r="I381" t="str">
            <v>406000</v>
          </cell>
          <cell r="J381">
            <v>13000000</v>
          </cell>
          <cell r="K381" t="str">
            <v>30/01/2009 00:00:00</v>
          </cell>
        </row>
        <row r="382">
          <cell r="E382" t="str">
            <v>405000</v>
          </cell>
          <cell r="F382" t="str">
            <v>Banking Reserve</v>
          </cell>
          <cell r="G382" t="str">
            <v>C</v>
          </cell>
          <cell r="H382" t="str">
            <v>B</v>
          </cell>
          <cell r="I382" t="str">
            <v>407100</v>
          </cell>
          <cell r="J382">
            <v>174746.63</v>
          </cell>
          <cell r="K382" t="str">
            <v>30/01/2009 00:00:00</v>
          </cell>
        </row>
        <row r="383">
          <cell r="E383" t="str">
            <v>405200</v>
          </cell>
          <cell r="F383" t="str">
            <v>Reserves</v>
          </cell>
          <cell r="G383" t="str">
            <v>C</v>
          </cell>
          <cell r="H383" t="str">
            <v>B</v>
          </cell>
          <cell r="I383" t="str">
            <v>408000</v>
          </cell>
          <cell r="J383">
            <v>174746.63</v>
          </cell>
          <cell r="K383" t="str">
            <v>30/01/2009 00:00:00</v>
          </cell>
        </row>
        <row r="384">
          <cell r="E384" t="str">
            <v>405202</v>
          </cell>
          <cell r="F384" t="str">
            <v>Reserves -USD</v>
          </cell>
          <cell r="G384" t="str">
            <v>C</v>
          </cell>
          <cell r="H384" t="str">
            <v>0</v>
          </cell>
          <cell r="I384" t="str">
            <v>410000</v>
          </cell>
          <cell r="J384">
            <v>174746.63</v>
          </cell>
          <cell r="K384" t="str">
            <v>30/01/2009 00:00:00</v>
          </cell>
        </row>
        <row r="385">
          <cell r="E385" t="str">
            <v>407000</v>
          </cell>
          <cell r="F385" t="str">
            <v>Retained Earnings</v>
          </cell>
          <cell r="G385" t="str">
            <v>D</v>
          </cell>
          <cell r="H385" t="str">
            <v>B</v>
          </cell>
          <cell r="I385" t="str">
            <v>412000</v>
          </cell>
          <cell r="J385">
            <v>-8608998.0899999999</v>
          </cell>
          <cell r="K385" t="str">
            <v>30/01/2009 00:00:00</v>
          </cell>
        </row>
        <row r="386">
          <cell r="E386" t="str">
            <v>407002</v>
          </cell>
          <cell r="F386" t="str">
            <v>Retained Earnings -USD</v>
          </cell>
          <cell r="G386" t="str">
            <v>D</v>
          </cell>
          <cell r="H386" t="str">
            <v>B</v>
          </cell>
          <cell r="I386" t="str">
            <v>414000</v>
          </cell>
          <cell r="J386">
            <v>-8608998.0899999999</v>
          </cell>
          <cell r="K386" t="str">
            <v>30/01/2009 00:00:00</v>
          </cell>
        </row>
        <row r="387">
          <cell r="E387" t="str">
            <v>40700201</v>
          </cell>
          <cell r="F387" t="str">
            <v>Retained Earnings -USD (HO A/C 2)</v>
          </cell>
          <cell r="G387" t="str">
            <v>D</v>
          </cell>
          <cell r="H387" t="str">
            <v>0</v>
          </cell>
          <cell r="I387" t="str">
            <v>414001</v>
          </cell>
          <cell r="J387">
            <v>-7083344.3399999999</v>
          </cell>
          <cell r="K387" t="str">
            <v>30/01/2009 00:00:00</v>
          </cell>
        </row>
        <row r="388">
          <cell r="E388" t="str">
            <v>40700202</v>
          </cell>
          <cell r="F388" t="str">
            <v>Retained Earnings -USD (Profit &amp; Loss A/C)</v>
          </cell>
          <cell r="G388" t="str">
            <v>C</v>
          </cell>
          <cell r="H388" t="str">
            <v>0</v>
          </cell>
          <cell r="I388" t="str">
            <v>414002</v>
          </cell>
          <cell r="J388">
            <v>1525653.75</v>
          </cell>
          <cell r="K388" t="str">
            <v>30/01/2009 00:00:00</v>
          </cell>
        </row>
        <row r="389">
          <cell r="E389" t="str">
            <v>500000</v>
          </cell>
          <cell r="F389" t="str">
            <v>INCOME</v>
          </cell>
          <cell r="G389" t="str">
            <v>C</v>
          </cell>
          <cell r="H389" t="str">
            <v>B</v>
          </cell>
          <cell r="I389" t="str">
            <v>419000</v>
          </cell>
          <cell r="J389">
            <v>165465.66</v>
          </cell>
          <cell r="K389" t="str">
            <v>30/01/2009 00:00:00</v>
          </cell>
        </row>
        <row r="390">
          <cell r="E390" t="str">
            <v>510000</v>
          </cell>
          <cell r="F390" t="str">
            <v>Interest Income - Loans and Placements with Banks</v>
          </cell>
          <cell r="G390" t="str">
            <v>C</v>
          </cell>
          <cell r="H390" t="str">
            <v>B</v>
          </cell>
          <cell r="I390" t="str">
            <v>420000</v>
          </cell>
          <cell r="J390">
            <v>50833.75</v>
          </cell>
          <cell r="K390" t="str">
            <v>30/01/2009 00:00:00</v>
          </cell>
        </row>
        <row r="391">
          <cell r="E391" t="str">
            <v>511000</v>
          </cell>
          <cell r="F391" t="str">
            <v>Interest Income - Due Banks</v>
          </cell>
          <cell r="G391" t="str">
            <v>C</v>
          </cell>
          <cell r="H391" t="str">
            <v>B</v>
          </cell>
          <cell r="I391" t="str">
            <v>421000</v>
          </cell>
          <cell r="J391">
            <v>35190.199999999997</v>
          </cell>
          <cell r="K391" t="str">
            <v>30/01/2009 00:00:00</v>
          </cell>
        </row>
        <row r="392">
          <cell r="E392" t="str">
            <v>511100</v>
          </cell>
          <cell r="F392" t="str">
            <v>Interest Income - Due NBC</v>
          </cell>
          <cell r="G392" t="str">
            <v>C</v>
          </cell>
          <cell r="H392" t="str">
            <v>B</v>
          </cell>
          <cell r="I392" t="str">
            <v>422000</v>
          </cell>
          <cell r="J392">
            <v>35190.199999999997</v>
          </cell>
          <cell r="K392" t="str">
            <v>30/01/2009 00:00:00</v>
          </cell>
        </row>
        <row r="393">
          <cell r="E393" t="str">
            <v>511120</v>
          </cell>
          <cell r="F393" t="str">
            <v>Interest Income - Other Deposit with NBC</v>
          </cell>
          <cell r="G393" t="str">
            <v>C</v>
          </cell>
          <cell r="H393" t="str">
            <v>B</v>
          </cell>
          <cell r="I393" t="str">
            <v>427000</v>
          </cell>
          <cell r="J393">
            <v>35190.199999999997</v>
          </cell>
          <cell r="K393" t="str">
            <v>30/01/2009 00:00:00</v>
          </cell>
        </row>
        <row r="394">
          <cell r="E394" t="str">
            <v>511122</v>
          </cell>
          <cell r="F394" t="str">
            <v>Int Income - Other Deposit with NBC -USD</v>
          </cell>
          <cell r="G394" t="str">
            <v>C</v>
          </cell>
          <cell r="H394" t="str">
            <v>0</v>
          </cell>
          <cell r="I394" t="str">
            <v>429000</v>
          </cell>
          <cell r="J394">
            <v>35190.199999999997</v>
          </cell>
          <cell r="K394" t="str">
            <v>30/01/2009 00:00:00</v>
          </cell>
        </row>
        <row r="395">
          <cell r="E395" t="str">
            <v>512000</v>
          </cell>
          <cell r="F395" t="str">
            <v>Int Income - Standard Loans and Placements with Banks</v>
          </cell>
          <cell r="G395" t="str">
            <v>C</v>
          </cell>
          <cell r="H395" t="str">
            <v>B</v>
          </cell>
          <cell r="I395" t="str">
            <v>430100</v>
          </cell>
          <cell r="J395">
            <v>15643.55</v>
          </cell>
          <cell r="K395" t="str">
            <v>30/01/2009 00:00:00</v>
          </cell>
        </row>
        <row r="396">
          <cell r="E396" t="str">
            <v>512300</v>
          </cell>
          <cell r="F396" t="str">
            <v>Int Income - Standard Loans and Placements in Other Banks</v>
          </cell>
          <cell r="G396" t="str">
            <v>C</v>
          </cell>
          <cell r="H396" t="str">
            <v>B</v>
          </cell>
          <cell r="I396" t="str">
            <v>430200</v>
          </cell>
          <cell r="J396">
            <v>15643.55</v>
          </cell>
          <cell r="K396" t="str">
            <v>30/01/2009 00:00:00</v>
          </cell>
        </row>
        <row r="397">
          <cell r="E397" t="str">
            <v>512340</v>
          </cell>
          <cell r="F397" t="str">
            <v>Int Income - Standard Deposit Short term Time Deposit with HO/Branches-Non Resident</v>
          </cell>
          <cell r="G397" t="str">
            <v>C</v>
          </cell>
          <cell r="H397" t="str">
            <v>B</v>
          </cell>
          <cell r="I397" t="str">
            <v>430300</v>
          </cell>
          <cell r="J397">
            <v>15643.55</v>
          </cell>
          <cell r="K397" t="str">
            <v>30/01/2009 00:00:00</v>
          </cell>
        </row>
        <row r="398">
          <cell r="E398" t="str">
            <v>512342</v>
          </cell>
          <cell r="F398" t="str">
            <v>Int Income -Standard Depoit Short Term Time Deposit with HO/Branches-Non Resident</v>
          </cell>
          <cell r="G398" t="str">
            <v>C</v>
          </cell>
          <cell r="H398" t="str">
            <v>0</v>
          </cell>
          <cell r="I398" t="str">
            <v>430400</v>
          </cell>
          <cell r="J398">
            <v>15643.55</v>
          </cell>
          <cell r="K398" t="str">
            <v>30/01/2009 00:00:00</v>
          </cell>
        </row>
        <row r="399">
          <cell r="E399" t="str">
            <v>530000</v>
          </cell>
          <cell r="F399" t="str">
            <v>Interest Income - Standard Loans and Lease Financing</v>
          </cell>
          <cell r="G399" t="str">
            <v>C</v>
          </cell>
          <cell r="H399" t="str">
            <v>B</v>
          </cell>
          <cell r="I399" t="str">
            <v>431000</v>
          </cell>
          <cell r="J399">
            <v>76055.56</v>
          </cell>
          <cell r="K399" t="str">
            <v>30/01/2009 00:00:00</v>
          </cell>
        </row>
        <row r="400">
          <cell r="E400" t="str">
            <v>532000</v>
          </cell>
          <cell r="F400" t="str">
            <v>Interest Income - Standard Loans - Commercial Loans</v>
          </cell>
          <cell r="G400" t="str">
            <v>C</v>
          </cell>
          <cell r="H400" t="str">
            <v>B</v>
          </cell>
          <cell r="I400" t="str">
            <v>432000</v>
          </cell>
          <cell r="J400">
            <v>76008.28</v>
          </cell>
          <cell r="K400" t="str">
            <v>30/01/2009 00:00:00</v>
          </cell>
        </row>
        <row r="401">
          <cell r="E401" t="str">
            <v>532100</v>
          </cell>
          <cell r="F401" t="str">
            <v>Interest Income - Standard Loans - Overdraft (Permanent Line of Credit)</v>
          </cell>
          <cell r="G401" t="str">
            <v>C</v>
          </cell>
          <cell r="H401" t="str">
            <v>B</v>
          </cell>
          <cell r="I401" t="str">
            <v>433000</v>
          </cell>
          <cell r="J401">
            <v>3418.56</v>
          </cell>
          <cell r="K401" t="str">
            <v>30/01/2009 00:00:00</v>
          </cell>
        </row>
        <row r="402">
          <cell r="E402" t="str">
            <v>532110</v>
          </cell>
          <cell r="F402" t="str">
            <v>Interest Income - Standard Loans - Overdraft - Private Sector - Resident</v>
          </cell>
          <cell r="G402" t="str">
            <v>C</v>
          </cell>
          <cell r="H402" t="str">
            <v>B</v>
          </cell>
          <cell r="I402" t="str">
            <v>434000</v>
          </cell>
          <cell r="J402">
            <v>3418.56</v>
          </cell>
          <cell r="K402" t="str">
            <v>30/01/2009 00:00:00</v>
          </cell>
        </row>
        <row r="403">
          <cell r="E403" t="str">
            <v>532112</v>
          </cell>
          <cell r="F403" t="str">
            <v>Int Income - STD Loans - O/D - Private Sector - Resident -USD</v>
          </cell>
          <cell r="G403" t="str">
            <v>C</v>
          </cell>
          <cell r="H403" t="str">
            <v>0</v>
          </cell>
          <cell r="I403" t="str">
            <v>436000</v>
          </cell>
          <cell r="J403">
            <v>3418.56</v>
          </cell>
          <cell r="K403" t="str">
            <v>30/01/2009 00:00:00</v>
          </cell>
        </row>
        <row r="404">
          <cell r="E404" t="str">
            <v>532200</v>
          </cell>
          <cell r="F404" t="str">
            <v>Interest Income-Standard Loans-Short term Commercial Loans</v>
          </cell>
          <cell r="G404" t="str">
            <v>C</v>
          </cell>
          <cell r="H404" t="str">
            <v>B</v>
          </cell>
          <cell r="I404" t="str">
            <v>437010</v>
          </cell>
          <cell r="J404">
            <v>8523.81</v>
          </cell>
          <cell r="K404" t="str">
            <v>30/01/2009 00:00:00</v>
          </cell>
        </row>
        <row r="405">
          <cell r="E405" t="str">
            <v>532210</v>
          </cell>
          <cell r="F405" t="str">
            <v>Interest Income-Standard Loans-Short term Commercial Loans-Private Sector-Resident</v>
          </cell>
          <cell r="G405" t="str">
            <v>C</v>
          </cell>
          <cell r="H405" t="str">
            <v>B</v>
          </cell>
          <cell r="I405" t="str">
            <v>437020</v>
          </cell>
          <cell r="J405">
            <v>8523.81</v>
          </cell>
          <cell r="K405" t="str">
            <v>30/01/2009 00:00:00</v>
          </cell>
        </row>
        <row r="406">
          <cell r="E406" t="str">
            <v>532212</v>
          </cell>
          <cell r="F406" t="str">
            <v>Interest Income-Standard Loans-Short term Commercial Loans-Private Sector-Resident-USD</v>
          </cell>
          <cell r="G406" t="str">
            <v>C</v>
          </cell>
          <cell r="H406" t="str">
            <v>B</v>
          </cell>
          <cell r="I406" t="str">
            <v>437030</v>
          </cell>
          <cell r="J406">
            <v>8523.81</v>
          </cell>
          <cell r="K406" t="str">
            <v>30/01/2009 00:00:00</v>
          </cell>
        </row>
        <row r="407">
          <cell r="E407" t="str">
            <v>53221202</v>
          </cell>
          <cell r="F407" t="str">
            <v>Int. Inc.Std Loans-(LBP)- Short term Commercial Loans-Private Sector-Resident-USD</v>
          </cell>
          <cell r="G407" t="str">
            <v>C</v>
          </cell>
          <cell r="H407" t="str">
            <v>0</v>
          </cell>
          <cell r="I407" t="str">
            <v>437050</v>
          </cell>
          <cell r="J407">
            <v>8523.81</v>
          </cell>
          <cell r="K407" t="str">
            <v>30/01/2009 00:00:00</v>
          </cell>
        </row>
        <row r="408">
          <cell r="E408" t="str">
            <v>532300</v>
          </cell>
          <cell r="F408" t="str">
            <v>Interest Income - Standard Loans - Long term Commercial Loans</v>
          </cell>
          <cell r="G408" t="str">
            <v>C</v>
          </cell>
          <cell r="H408" t="str">
            <v>B</v>
          </cell>
          <cell r="I408" t="str">
            <v>438000</v>
          </cell>
          <cell r="J408">
            <v>48269.53</v>
          </cell>
          <cell r="K408" t="str">
            <v>30/01/2009 00:00:00</v>
          </cell>
        </row>
        <row r="409">
          <cell r="E409" t="str">
            <v>532370</v>
          </cell>
          <cell r="F409" t="str">
            <v>Interest Income - Standard Loans - Other Long term Loans</v>
          </cell>
          <cell r="G409" t="str">
            <v>C</v>
          </cell>
          <cell r="H409" t="str">
            <v>B</v>
          </cell>
          <cell r="I409" t="str">
            <v>439000</v>
          </cell>
          <cell r="J409">
            <v>48269.53</v>
          </cell>
          <cell r="K409" t="str">
            <v>30/01/2009 00:00:00</v>
          </cell>
        </row>
        <row r="410">
          <cell r="E410" t="str">
            <v>532372</v>
          </cell>
          <cell r="F410" t="str">
            <v>Int Income - STD Loans - Other Long term Loans - Private Sector - Resident -USD</v>
          </cell>
          <cell r="G410" t="str">
            <v>C</v>
          </cell>
          <cell r="H410" t="str">
            <v>0</v>
          </cell>
          <cell r="I410" t="str">
            <v>441000</v>
          </cell>
          <cell r="J410">
            <v>48269.53</v>
          </cell>
          <cell r="K410" t="str">
            <v>30/01/2009 00:00:00</v>
          </cell>
        </row>
        <row r="411">
          <cell r="E411" t="str">
            <v>532700</v>
          </cell>
          <cell r="F411" t="str">
            <v>Interest Income - Standard Loans - Trade and Documentary Credits</v>
          </cell>
          <cell r="G411" t="str">
            <v>C</v>
          </cell>
          <cell r="H411" t="str">
            <v>B</v>
          </cell>
          <cell r="I411" t="str">
            <v>448000</v>
          </cell>
          <cell r="J411">
            <v>15796.38</v>
          </cell>
          <cell r="K411" t="str">
            <v>30/01/2009 00:00:00</v>
          </cell>
        </row>
        <row r="412">
          <cell r="E412" t="str">
            <v>532770</v>
          </cell>
          <cell r="F412" t="str">
            <v>Interest Income - Standard Loans - Trust Receipt</v>
          </cell>
          <cell r="G412" t="str">
            <v>C</v>
          </cell>
          <cell r="H412" t="str">
            <v>B</v>
          </cell>
          <cell r="I412" t="str">
            <v>453000</v>
          </cell>
          <cell r="J412">
            <v>15796.38</v>
          </cell>
          <cell r="K412" t="str">
            <v>30/01/2009 00:00:00</v>
          </cell>
        </row>
        <row r="413">
          <cell r="E413" t="str">
            <v>532772</v>
          </cell>
          <cell r="F413" t="str">
            <v>Int Income - STD Loans - T/R - Private Sector - Resident -USD</v>
          </cell>
          <cell r="G413" t="str">
            <v>C</v>
          </cell>
          <cell r="H413" t="str">
            <v>0</v>
          </cell>
          <cell r="I413" t="str">
            <v>455000</v>
          </cell>
          <cell r="J413">
            <v>10679.63</v>
          </cell>
          <cell r="K413" t="str">
            <v>30/01/2009 00:00:00</v>
          </cell>
        </row>
        <row r="414">
          <cell r="E414" t="str">
            <v>532775</v>
          </cell>
          <cell r="F414" t="str">
            <v>Int Income - STD Loans - T/R - Private Sector - Resident -THB</v>
          </cell>
          <cell r="G414" t="str">
            <v>C</v>
          </cell>
          <cell r="H414" t="str">
            <v>0</v>
          </cell>
          <cell r="I414" t="str">
            <v>456000</v>
          </cell>
          <cell r="J414">
            <v>5116.75</v>
          </cell>
          <cell r="K414" t="str">
            <v>30/01/2009 00:00:00</v>
          </cell>
        </row>
        <row r="415">
          <cell r="E415" t="str">
            <v>533000</v>
          </cell>
          <cell r="F415" t="str">
            <v>Interest Income - Standard Loans - Consumer Loans</v>
          </cell>
          <cell r="G415" t="str">
            <v>C</v>
          </cell>
          <cell r="H415" t="str">
            <v>B</v>
          </cell>
          <cell r="I415" t="str">
            <v>457000</v>
          </cell>
          <cell r="J415">
            <v>47.28</v>
          </cell>
          <cell r="K415" t="str">
            <v>30/01/2009 00:00:00</v>
          </cell>
        </row>
        <row r="416">
          <cell r="E416" t="str">
            <v>533120</v>
          </cell>
          <cell r="F416" t="str">
            <v>Interest Income - Standard Loans - Bank Employee -Resident</v>
          </cell>
          <cell r="G416" t="str">
            <v>C</v>
          </cell>
          <cell r="H416" t="str">
            <v>B</v>
          </cell>
          <cell r="I416" t="str">
            <v>457100</v>
          </cell>
          <cell r="J416">
            <v>47.28</v>
          </cell>
          <cell r="K416" t="str">
            <v>30/01/2009 00:00:00</v>
          </cell>
        </row>
        <row r="417">
          <cell r="E417" t="str">
            <v>533122</v>
          </cell>
          <cell r="F417" t="str">
            <v>Interest Income - Standard Loans - Bank Employee -Resident-USD</v>
          </cell>
          <cell r="G417" t="str">
            <v>C</v>
          </cell>
          <cell r="H417" t="str">
            <v>0</v>
          </cell>
          <cell r="I417" t="str">
            <v>457200</v>
          </cell>
          <cell r="J417">
            <v>47.28</v>
          </cell>
          <cell r="K417" t="str">
            <v>30/01/2009 00:00:00</v>
          </cell>
        </row>
        <row r="418">
          <cell r="E418" t="str">
            <v>570000</v>
          </cell>
          <cell r="F418" t="str">
            <v>Non Interest Income</v>
          </cell>
          <cell r="G418" t="str">
            <v>C</v>
          </cell>
          <cell r="H418" t="str">
            <v>B</v>
          </cell>
          <cell r="I418" t="str">
            <v>519000</v>
          </cell>
          <cell r="J418">
            <v>38576.35</v>
          </cell>
          <cell r="K418" t="str">
            <v>30/01/2009 00:00:00</v>
          </cell>
        </row>
        <row r="419">
          <cell r="E419" t="str">
            <v>571000</v>
          </cell>
          <cell r="F419" t="str">
            <v>Income - Fees and Commissions</v>
          </cell>
          <cell r="G419" t="str">
            <v>C</v>
          </cell>
          <cell r="H419" t="str">
            <v>B</v>
          </cell>
          <cell r="I419" t="str">
            <v>519100</v>
          </cell>
          <cell r="J419">
            <v>9935.66</v>
          </cell>
          <cell r="K419" t="str">
            <v>30/01/2009 00:00:00</v>
          </cell>
        </row>
        <row r="420">
          <cell r="E420" t="str">
            <v>571200</v>
          </cell>
          <cell r="F420" t="str">
            <v>Fees Income Trade and Documentary Credits</v>
          </cell>
          <cell r="G420" t="str">
            <v>C</v>
          </cell>
          <cell r="H420" t="str">
            <v>B</v>
          </cell>
          <cell r="I420" t="str">
            <v>520000</v>
          </cell>
          <cell r="J420">
            <v>9935.66</v>
          </cell>
          <cell r="K420" t="str">
            <v>30/01/2009 00:00:00</v>
          </cell>
        </row>
        <row r="421">
          <cell r="E421" t="str">
            <v>571220</v>
          </cell>
          <cell r="F421" t="str">
            <v>Fees Income - Bills of Exchange (BoE)</v>
          </cell>
          <cell r="G421" t="str">
            <v>C</v>
          </cell>
          <cell r="H421" t="str">
            <v>B</v>
          </cell>
          <cell r="I421" t="str">
            <v>531000</v>
          </cell>
          <cell r="J421">
            <v>4681.7299999999996</v>
          </cell>
          <cell r="K421" t="str">
            <v>30/01/2009 00:00:00</v>
          </cell>
        </row>
        <row r="422">
          <cell r="E422" t="str">
            <v>571222</v>
          </cell>
          <cell r="F422" t="str">
            <v>Fees Income - Bills of Exchange - BoE -USD</v>
          </cell>
          <cell r="G422" t="str">
            <v>C</v>
          </cell>
          <cell r="H422" t="str">
            <v>B</v>
          </cell>
          <cell r="I422" t="str">
            <v>535000</v>
          </cell>
          <cell r="J422">
            <v>4601.45</v>
          </cell>
          <cell r="K422" t="str">
            <v>30/01/2009 00:00:00</v>
          </cell>
        </row>
        <row r="423">
          <cell r="E423" t="str">
            <v>57122201</v>
          </cell>
          <cell r="F423" t="str">
            <v>Fees Income - Bills of Exchange - BoE -USD (Foreign Bill-Trade)</v>
          </cell>
          <cell r="G423" t="str">
            <v>C</v>
          </cell>
          <cell r="H423" t="str">
            <v>0</v>
          </cell>
          <cell r="I423" t="str">
            <v>536000</v>
          </cell>
          <cell r="J423">
            <v>4601.45</v>
          </cell>
          <cell r="K423" t="str">
            <v>30/01/2009 00:00:00</v>
          </cell>
        </row>
        <row r="424">
          <cell r="E424" t="str">
            <v>571225</v>
          </cell>
          <cell r="F424" t="str">
            <v>Fees Income - Bills of Exchange - BoE -THB</v>
          </cell>
          <cell r="G424" t="str">
            <v>C</v>
          </cell>
          <cell r="H424" t="str">
            <v>B</v>
          </cell>
          <cell r="I424" t="str">
            <v>538000</v>
          </cell>
          <cell r="J424">
            <v>80.28</v>
          </cell>
          <cell r="K424" t="str">
            <v>30/01/2009 00:00:00</v>
          </cell>
        </row>
        <row r="425">
          <cell r="E425" t="str">
            <v>57122501</v>
          </cell>
          <cell r="F425" t="str">
            <v>Fees Income - Bills of Exchange - BoE -THB (Foreign Bill-Trade)</v>
          </cell>
          <cell r="G425" t="str">
            <v>C</v>
          </cell>
          <cell r="H425" t="str">
            <v>0</v>
          </cell>
          <cell r="I425" t="str">
            <v>539000</v>
          </cell>
          <cell r="J425">
            <v>80.28</v>
          </cell>
          <cell r="K425" t="str">
            <v>30/01/2009 00:00:00</v>
          </cell>
        </row>
        <row r="426">
          <cell r="E426" t="str">
            <v>571230</v>
          </cell>
          <cell r="F426" t="str">
            <v>Income Letters of Credit</v>
          </cell>
          <cell r="G426" t="str">
            <v>C</v>
          </cell>
          <cell r="H426" t="str">
            <v>B</v>
          </cell>
          <cell r="I426" t="str">
            <v>541000</v>
          </cell>
          <cell r="J426">
            <v>2060.1799999999998</v>
          </cell>
          <cell r="K426" t="str">
            <v>30/01/2009 00:00:00</v>
          </cell>
        </row>
        <row r="427">
          <cell r="E427" t="str">
            <v>571232</v>
          </cell>
          <cell r="F427" t="str">
            <v>Income Letter of Credit -USD</v>
          </cell>
          <cell r="G427" t="str">
            <v>C</v>
          </cell>
          <cell r="H427" t="str">
            <v>B</v>
          </cell>
          <cell r="I427" t="str">
            <v>545000</v>
          </cell>
          <cell r="J427">
            <v>2060.1799999999998</v>
          </cell>
          <cell r="K427" t="str">
            <v>30/01/2009 00:00:00</v>
          </cell>
        </row>
        <row r="428">
          <cell r="E428" t="str">
            <v>57123201</v>
          </cell>
          <cell r="F428" t="str">
            <v>Income Letter of Credit -USD (Foreign L/C)</v>
          </cell>
          <cell r="G428" t="str">
            <v>C</v>
          </cell>
          <cell r="H428" t="str">
            <v>0</v>
          </cell>
          <cell r="I428" t="str">
            <v>546000</v>
          </cell>
          <cell r="J428">
            <v>2060.1799999999998</v>
          </cell>
          <cell r="K428" t="str">
            <v>30/01/2009 00:00:00</v>
          </cell>
        </row>
        <row r="429">
          <cell r="E429" t="str">
            <v>571250</v>
          </cell>
          <cell r="F429" t="str">
            <v>Fees Income Performance Guarantees</v>
          </cell>
          <cell r="G429" t="str">
            <v>C</v>
          </cell>
          <cell r="H429" t="str">
            <v>B</v>
          </cell>
          <cell r="I429" t="str">
            <v>561000</v>
          </cell>
          <cell r="J429">
            <v>3193.75</v>
          </cell>
          <cell r="K429" t="str">
            <v>30/01/2009 00:00:00</v>
          </cell>
        </row>
        <row r="430">
          <cell r="E430" t="str">
            <v>571252</v>
          </cell>
          <cell r="F430" t="str">
            <v>Fees Income Performance Guarantees -USD</v>
          </cell>
          <cell r="G430" t="str">
            <v>C</v>
          </cell>
          <cell r="H430" t="str">
            <v>0</v>
          </cell>
          <cell r="I430" t="str">
            <v>563000</v>
          </cell>
          <cell r="J430">
            <v>3193.75</v>
          </cell>
          <cell r="K430" t="str">
            <v>30/01/2009 00:00:00</v>
          </cell>
        </row>
        <row r="431">
          <cell r="E431" t="str">
            <v>572000</v>
          </cell>
          <cell r="F431" t="str">
            <v>Service Charges and Fees on Deposit Accounts</v>
          </cell>
          <cell r="G431" t="str">
            <v>C</v>
          </cell>
          <cell r="H431" t="str">
            <v>B</v>
          </cell>
          <cell r="I431" t="str">
            <v>571000</v>
          </cell>
          <cell r="J431">
            <v>214</v>
          </cell>
          <cell r="K431" t="str">
            <v>30/01/2009 00:00:00</v>
          </cell>
        </row>
        <row r="432">
          <cell r="E432" t="str">
            <v>572100</v>
          </cell>
          <cell r="F432" t="str">
            <v>Service Charges on Demand Deposit Accounts</v>
          </cell>
          <cell r="G432" t="str">
            <v>C</v>
          </cell>
          <cell r="H432" t="str">
            <v>B</v>
          </cell>
          <cell r="I432" t="str">
            <v>572000</v>
          </cell>
          <cell r="J432">
            <v>214</v>
          </cell>
          <cell r="K432" t="str">
            <v>30/01/2009 00:00:00</v>
          </cell>
        </row>
        <row r="433">
          <cell r="E433" t="str">
            <v>572130</v>
          </cell>
          <cell r="F433" t="str">
            <v>Fees for Certified Checks and Bank Checks Issued</v>
          </cell>
          <cell r="G433" t="str">
            <v>C</v>
          </cell>
          <cell r="H433" t="str">
            <v>B</v>
          </cell>
          <cell r="I433" t="str">
            <v>577000</v>
          </cell>
          <cell r="J433">
            <v>124</v>
          </cell>
          <cell r="K433" t="str">
            <v>30/01/2009 00:00:00</v>
          </cell>
        </row>
        <row r="434">
          <cell r="E434" t="str">
            <v>572132</v>
          </cell>
          <cell r="F434" t="str">
            <v>Fees for Certified Checks and BK Checks Issued -USD</v>
          </cell>
          <cell r="G434" t="str">
            <v>C</v>
          </cell>
          <cell r="H434" t="str">
            <v>0</v>
          </cell>
          <cell r="I434" t="str">
            <v>579000</v>
          </cell>
          <cell r="J434">
            <v>124</v>
          </cell>
          <cell r="K434" t="str">
            <v>30/01/2009 00:00:00</v>
          </cell>
        </row>
        <row r="435">
          <cell r="E435" t="str">
            <v>572150</v>
          </cell>
          <cell r="F435" t="str">
            <v>Fees for Sale of Customer Checkbooks</v>
          </cell>
          <cell r="G435" t="str">
            <v>C</v>
          </cell>
          <cell r="H435" t="str">
            <v>B</v>
          </cell>
          <cell r="I435" t="str">
            <v>585000</v>
          </cell>
          <cell r="J435">
            <v>85</v>
          </cell>
          <cell r="K435" t="str">
            <v>30/01/2009 00:00:00</v>
          </cell>
        </row>
        <row r="436">
          <cell r="E436" t="str">
            <v>572152</v>
          </cell>
          <cell r="F436" t="str">
            <v>Fees for Sale of Customer Checkbooks -USD</v>
          </cell>
          <cell r="G436" t="str">
            <v>C</v>
          </cell>
          <cell r="H436" t="str">
            <v>0</v>
          </cell>
          <cell r="I436" t="str">
            <v>587000</v>
          </cell>
          <cell r="J436">
            <v>85</v>
          </cell>
          <cell r="K436" t="str">
            <v>30/01/2009 00:00:00</v>
          </cell>
        </row>
        <row r="437">
          <cell r="E437" t="str">
            <v>572160</v>
          </cell>
          <cell r="F437" t="str">
            <v>Fees for Overdraft, Returned Checks and Stop Payments</v>
          </cell>
          <cell r="G437" t="str">
            <v>C</v>
          </cell>
          <cell r="H437" t="str">
            <v>B</v>
          </cell>
          <cell r="I437" t="str">
            <v>589000</v>
          </cell>
          <cell r="J437">
            <v>5</v>
          </cell>
          <cell r="K437" t="str">
            <v>30/01/2009 00:00:00</v>
          </cell>
        </row>
        <row r="438">
          <cell r="E438" t="str">
            <v>572162</v>
          </cell>
          <cell r="F438" t="str">
            <v>Fees for O/D, Returned Checks and Stop Payments -USD</v>
          </cell>
          <cell r="G438" t="str">
            <v>C</v>
          </cell>
          <cell r="H438" t="str">
            <v>0</v>
          </cell>
          <cell r="I438" t="str">
            <v>591000</v>
          </cell>
          <cell r="J438">
            <v>5</v>
          </cell>
          <cell r="K438" t="str">
            <v>30/01/2009 00:00:00</v>
          </cell>
        </row>
        <row r="439">
          <cell r="E439" t="str">
            <v>573000</v>
          </cell>
          <cell r="F439" t="str">
            <v>Income - Other Commissions and Fees</v>
          </cell>
          <cell r="G439" t="str">
            <v>C</v>
          </cell>
          <cell r="H439" t="str">
            <v>B</v>
          </cell>
          <cell r="I439" t="str">
            <v>610000</v>
          </cell>
          <cell r="J439">
            <v>25698.34</v>
          </cell>
          <cell r="K439" t="str">
            <v>30/01/2009 00:00:00</v>
          </cell>
        </row>
        <row r="440">
          <cell r="E440" t="str">
            <v>573100</v>
          </cell>
          <cell r="F440" t="str">
            <v>Income - Other Commissions and Fees</v>
          </cell>
          <cell r="G440" t="str">
            <v>C</v>
          </cell>
          <cell r="H440" t="str">
            <v>B</v>
          </cell>
          <cell r="I440" t="str">
            <v>611000</v>
          </cell>
          <cell r="J440">
            <v>25698.34</v>
          </cell>
          <cell r="K440" t="str">
            <v>30/01/2009 00:00:00</v>
          </cell>
        </row>
        <row r="441">
          <cell r="E441" t="str">
            <v>573130</v>
          </cell>
          <cell r="F441" t="str">
            <v>Fees for Telex, Fax and Phone</v>
          </cell>
          <cell r="G441" t="str">
            <v>C</v>
          </cell>
          <cell r="H441" t="str">
            <v>B</v>
          </cell>
          <cell r="I441" t="str">
            <v>612000</v>
          </cell>
          <cell r="J441">
            <v>4361.9399999999996</v>
          </cell>
          <cell r="K441" t="str">
            <v>30/01/2009 00:00:00</v>
          </cell>
        </row>
        <row r="442">
          <cell r="E442" t="str">
            <v>573132</v>
          </cell>
          <cell r="F442" t="str">
            <v>Fees for Telex, Fax and Phone -USD</v>
          </cell>
          <cell r="G442" t="str">
            <v>C</v>
          </cell>
          <cell r="H442" t="str">
            <v>0</v>
          </cell>
          <cell r="I442" t="str">
            <v>614000</v>
          </cell>
          <cell r="J442">
            <v>4138.32</v>
          </cell>
          <cell r="K442" t="str">
            <v>30/01/2009 00:00:00</v>
          </cell>
        </row>
        <row r="443">
          <cell r="E443" t="str">
            <v>573135</v>
          </cell>
          <cell r="F443" t="str">
            <v>Fees for Telex, Fax and Phone -THB</v>
          </cell>
          <cell r="G443" t="str">
            <v>C</v>
          </cell>
          <cell r="H443" t="str">
            <v>0</v>
          </cell>
          <cell r="I443" t="str">
            <v>615000</v>
          </cell>
          <cell r="J443">
            <v>223.62</v>
          </cell>
          <cell r="K443" t="str">
            <v>30/01/2009 00:00:00</v>
          </cell>
        </row>
        <row r="444">
          <cell r="E444" t="str">
            <v>573160</v>
          </cell>
          <cell r="F444" t="str">
            <v>Fees for Wire Transfer</v>
          </cell>
          <cell r="G444" t="str">
            <v>C</v>
          </cell>
          <cell r="H444" t="str">
            <v>B</v>
          </cell>
          <cell r="I444" t="str">
            <v>624000</v>
          </cell>
          <cell r="J444">
            <v>21112.400000000001</v>
          </cell>
          <cell r="K444" t="str">
            <v>30/01/2009 00:00:00</v>
          </cell>
        </row>
        <row r="445">
          <cell r="E445" t="str">
            <v>573162</v>
          </cell>
          <cell r="F445" t="str">
            <v>Fees for Wire Transfer -USD</v>
          </cell>
          <cell r="G445" t="str">
            <v>C</v>
          </cell>
          <cell r="H445" t="str">
            <v>0</v>
          </cell>
          <cell r="I445" t="str">
            <v>626000</v>
          </cell>
          <cell r="J445">
            <v>19561.98</v>
          </cell>
          <cell r="K445" t="str">
            <v>30/01/2009 00:00:00</v>
          </cell>
        </row>
        <row r="446">
          <cell r="E446" t="str">
            <v>573165</v>
          </cell>
          <cell r="F446" t="str">
            <v>Fees for Wire Transfer -THB</v>
          </cell>
          <cell r="G446" t="str">
            <v>C</v>
          </cell>
          <cell r="H446" t="str">
            <v>0</v>
          </cell>
          <cell r="I446" t="str">
            <v>627000</v>
          </cell>
          <cell r="J446">
            <v>1550.42</v>
          </cell>
          <cell r="K446" t="str">
            <v>30/01/2009 00:00:00</v>
          </cell>
        </row>
        <row r="447">
          <cell r="E447" t="str">
            <v>573170</v>
          </cell>
          <cell r="F447" t="str">
            <v>Other Commissions and Fees Income</v>
          </cell>
          <cell r="G447" t="str">
            <v>C</v>
          </cell>
          <cell r="H447" t="str">
            <v>B</v>
          </cell>
          <cell r="I447" t="str">
            <v>628000</v>
          </cell>
          <cell r="J447">
            <v>224</v>
          </cell>
          <cell r="K447" t="str">
            <v>30/01/2009 00:00:00</v>
          </cell>
        </row>
        <row r="448">
          <cell r="E448" t="str">
            <v>573172</v>
          </cell>
          <cell r="F448" t="str">
            <v>Other Commissions and Fees Income -USD</v>
          </cell>
          <cell r="G448" t="str">
            <v>C</v>
          </cell>
          <cell r="H448" t="str">
            <v>0</v>
          </cell>
          <cell r="I448" t="str">
            <v>630000</v>
          </cell>
          <cell r="J448">
            <v>224</v>
          </cell>
          <cell r="K448" t="str">
            <v>30/01/2009 00:00:00</v>
          </cell>
        </row>
        <row r="449">
          <cell r="E449" t="str">
            <v>574000</v>
          </cell>
          <cell r="F449" t="str">
            <v>Others Income</v>
          </cell>
          <cell r="G449" t="str">
            <v>C</v>
          </cell>
          <cell r="H449" t="str">
            <v>B</v>
          </cell>
          <cell r="I449" t="str">
            <v>632000</v>
          </cell>
          <cell r="J449">
            <v>2728.35</v>
          </cell>
          <cell r="K449" t="str">
            <v>30/01/2009 00:00:00</v>
          </cell>
        </row>
        <row r="450">
          <cell r="E450" t="str">
            <v>574400</v>
          </cell>
          <cell r="F450" t="str">
            <v>Foeign Exchange Gains</v>
          </cell>
          <cell r="G450" t="str">
            <v>C</v>
          </cell>
          <cell r="H450" t="str">
            <v>B</v>
          </cell>
          <cell r="I450" t="str">
            <v>633000</v>
          </cell>
          <cell r="J450">
            <v>2728.35</v>
          </cell>
          <cell r="K450" t="str">
            <v>30/01/2009 00:00:00</v>
          </cell>
        </row>
        <row r="451">
          <cell r="E451" t="str">
            <v>574410</v>
          </cell>
          <cell r="F451" t="str">
            <v>Foreign Exchange Currency Gains</v>
          </cell>
          <cell r="G451" t="str">
            <v>C</v>
          </cell>
          <cell r="H451" t="str">
            <v>B</v>
          </cell>
          <cell r="I451" t="str">
            <v>634000</v>
          </cell>
          <cell r="J451">
            <v>2728.35</v>
          </cell>
          <cell r="K451" t="str">
            <v>30/01/2009 00:00:00</v>
          </cell>
        </row>
        <row r="452">
          <cell r="E452" t="str">
            <v>574412</v>
          </cell>
          <cell r="F452" t="str">
            <v>FX CCY Gains -USD</v>
          </cell>
          <cell r="G452" t="str">
            <v>C</v>
          </cell>
          <cell r="H452" t="str">
            <v>0</v>
          </cell>
          <cell r="I452" t="str">
            <v>636000</v>
          </cell>
          <cell r="J452">
            <v>2728.35</v>
          </cell>
          <cell r="K452" t="str">
            <v>30/01/2009 00:00:00</v>
          </cell>
        </row>
        <row r="453">
          <cell r="E453" t="str">
            <v>600000</v>
          </cell>
          <cell r="F453" t="str">
            <v>Expenses</v>
          </cell>
          <cell r="G453" t="str">
            <v>D</v>
          </cell>
          <cell r="H453" t="str">
            <v>B</v>
          </cell>
          <cell r="I453" t="str">
            <v>647000</v>
          </cell>
          <cell r="J453">
            <v>76806.080000000002</v>
          </cell>
          <cell r="K453" t="str">
            <v>30/01/2009 00:00:00</v>
          </cell>
        </row>
        <row r="454">
          <cell r="E454" t="str">
            <v>620000</v>
          </cell>
          <cell r="F454" t="str">
            <v>Interest Expenses</v>
          </cell>
          <cell r="G454" t="str">
            <v>D</v>
          </cell>
          <cell r="H454" t="str">
            <v>B</v>
          </cell>
          <cell r="I454" t="str">
            <v>648000</v>
          </cell>
          <cell r="J454">
            <v>12541.42</v>
          </cell>
          <cell r="K454" t="str">
            <v>30/01/2009 00:00:00</v>
          </cell>
        </row>
        <row r="455">
          <cell r="E455" t="str">
            <v>622000</v>
          </cell>
          <cell r="F455" t="str">
            <v>Interest Expenses - Saving Deposit Customers</v>
          </cell>
          <cell r="G455" t="str">
            <v>D</v>
          </cell>
          <cell r="H455" t="str">
            <v>B</v>
          </cell>
          <cell r="I455" t="str">
            <v>649000</v>
          </cell>
          <cell r="J455">
            <v>7486.68</v>
          </cell>
          <cell r="K455" t="str">
            <v>30/01/2009 00:00:00</v>
          </cell>
        </row>
        <row r="456">
          <cell r="E456" t="str">
            <v>622100</v>
          </cell>
          <cell r="F456" t="str">
            <v>Interest Expenses - Saving Deposit Individuals</v>
          </cell>
          <cell r="G456" t="str">
            <v>D</v>
          </cell>
          <cell r="H456" t="str">
            <v>B</v>
          </cell>
          <cell r="I456" t="str">
            <v>650000</v>
          </cell>
          <cell r="J456">
            <v>2268.9</v>
          </cell>
          <cell r="K456" t="str">
            <v>30/01/2009 00:00:00</v>
          </cell>
        </row>
        <row r="457">
          <cell r="E457" t="str">
            <v>622110</v>
          </cell>
          <cell r="F457" t="str">
            <v>Int Expenses - Short Term - S/A - Individuals - Resident</v>
          </cell>
          <cell r="G457" t="str">
            <v>D</v>
          </cell>
          <cell r="H457" t="str">
            <v>B</v>
          </cell>
          <cell r="I457" t="str">
            <v>650100</v>
          </cell>
          <cell r="J457">
            <v>2203.1799999999998</v>
          </cell>
          <cell r="K457" t="str">
            <v>30/01/2009 00:00:00</v>
          </cell>
        </row>
        <row r="458">
          <cell r="E458" t="str">
            <v>622112</v>
          </cell>
          <cell r="F458" t="str">
            <v>Int Expenses - Short Term - S/A - Individuals - Resident -USD</v>
          </cell>
          <cell r="G458" t="str">
            <v>D</v>
          </cell>
          <cell r="H458" t="str">
            <v>0</v>
          </cell>
          <cell r="I458" t="str">
            <v>651000</v>
          </cell>
          <cell r="J458">
            <v>2203.1799999999998</v>
          </cell>
          <cell r="K458" t="str">
            <v>30/01/2009 00:00:00</v>
          </cell>
        </row>
        <row r="459">
          <cell r="E459" t="str">
            <v>622120</v>
          </cell>
          <cell r="F459" t="str">
            <v xml:space="preserve">Int Expenses - Short Term - S/A - Individuals - Non Resident </v>
          </cell>
          <cell r="G459" t="str">
            <v>D</v>
          </cell>
          <cell r="H459" t="str">
            <v>B</v>
          </cell>
          <cell r="I459" t="str">
            <v>652100</v>
          </cell>
          <cell r="J459">
            <v>65.72</v>
          </cell>
          <cell r="K459" t="str">
            <v>30/01/2009 00:00:00</v>
          </cell>
        </row>
        <row r="460">
          <cell r="E460" t="str">
            <v>622122</v>
          </cell>
          <cell r="F460" t="str">
            <v>Int Expenses - Short Term - S/A - Individuals - Non Resident -USD</v>
          </cell>
          <cell r="G460" t="str">
            <v>D</v>
          </cell>
          <cell r="H460" t="str">
            <v>0</v>
          </cell>
          <cell r="I460" t="str">
            <v>653000</v>
          </cell>
          <cell r="J460">
            <v>65.72</v>
          </cell>
          <cell r="K460" t="str">
            <v>30/01/2009 00:00:00</v>
          </cell>
        </row>
        <row r="461">
          <cell r="E461" t="str">
            <v>622200</v>
          </cell>
          <cell r="F461" t="str">
            <v>Interest Expenses - Saving Deposit Private Sector</v>
          </cell>
          <cell r="G461" t="str">
            <v>D</v>
          </cell>
          <cell r="H461" t="str">
            <v>B</v>
          </cell>
          <cell r="I461" t="str">
            <v>654000</v>
          </cell>
          <cell r="J461">
            <v>5217.78</v>
          </cell>
          <cell r="K461" t="str">
            <v>30/01/2009 00:00:00</v>
          </cell>
        </row>
        <row r="462">
          <cell r="E462" t="str">
            <v>622210</v>
          </cell>
          <cell r="F462" t="str">
            <v xml:space="preserve">Int Expenses - Short Term - S/A - Private Sector - Resident </v>
          </cell>
          <cell r="G462" t="str">
            <v>D</v>
          </cell>
          <cell r="H462" t="str">
            <v>B</v>
          </cell>
          <cell r="I462" t="str">
            <v>654100</v>
          </cell>
          <cell r="J462">
            <v>4529.3900000000003</v>
          </cell>
          <cell r="K462" t="str">
            <v>30/01/2009 00:00:00</v>
          </cell>
        </row>
        <row r="463">
          <cell r="E463" t="str">
            <v>622212</v>
          </cell>
          <cell r="F463" t="str">
            <v>Int Expenses - Short Term - S/A - Private Sector - Resident -USD</v>
          </cell>
          <cell r="G463" t="str">
            <v>D</v>
          </cell>
          <cell r="H463" t="str">
            <v>0</v>
          </cell>
          <cell r="I463" t="str">
            <v>655000</v>
          </cell>
          <cell r="J463">
            <v>4529.3900000000003</v>
          </cell>
          <cell r="K463" t="str">
            <v>30/01/2009 00:00:00</v>
          </cell>
        </row>
        <row r="464">
          <cell r="E464" t="str">
            <v>622220</v>
          </cell>
          <cell r="F464" t="str">
            <v xml:space="preserve">Int Expenses - Short Term - S/A - Private Sector - Non Resident </v>
          </cell>
          <cell r="G464" t="str">
            <v>D</v>
          </cell>
          <cell r="H464" t="str">
            <v>B</v>
          </cell>
          <cell r="I464" t="str">
            <v>655100</v>
          </cell>
          <cell r="J464">
            <v>688.39</v>
          </cell>
          <cell r="K464" t="str">
            <v>30/01/2009 00:00:00</v>
          </cell>
        </row>
        <row r="465">
          <cell r="E465" t="str">
            <v>622222</v>
          </cell>
          <cell r="F465" t="str">
            <v>Int Expenses - Short Term - S/A - Private Sector - Non Resident -USD</v>
          </cell>
          <cell r="G465" t="str">
            <v>D</v>
          </cell>
          <cell r="H465" t="str">
            <v>0</v>
          </cell>
          <cell r="I465" t="str">
            <v>656000</v>
          </cell>
          <cell r="J465">
            <v>688.39</v>
          </cell>
          <cell r="K465" t="str">
            <v>30/01/2009 00:00:00</v>
          </cell>
        </row>
        <row r="466">
          <cell r="E466" t="str">
            <v>623000</v>
          </cell>
          <cell r="F466" t="str">
            <v>Interest Expenses - Time Deposit Customers</v>
          </cell>
          <cell r="G466" t="str">
            <v>D</v>
          </cell>
          <cell r="H466" t="str">
            <v>B</v>
          </cell>
          <cell r="I466" t="str">
            <v>657000</v>
          </cell>
          <cell r="J466">
            <v>5054.74</v>
          </cell>
          <cell r="K466" t="str">
            <v>30/01/2009 00:00:00</v>
          </cell>
        </row>
        <row r="467">
          <cell r="E467" t="str">
            <v>623100</v>
          </cell>
          <cell r="F467" t="str">
            <v>Interest Expenses - Time Deposit Individuals</v>
          </cell>
          <cell r="G467" t="str">
            <v>D</v>
          </cell>
          <cell r="H467" t="str">
            <v>B</v>
          </cell>
          <cell r="I467" t="str">
            <v>658000</v>
          </cell>
          <cell r="J467">
            <v>23004.89</v>
          </cell>
          <cell r="K467" t="str">
            <v>30/01/2009 00:00:00</v>
          </cell>
        </row>
        <row r="468">
          <cell r="E468" t="str">
            <v>623110</v>
          </cell>
          <cell r="F468" t="str">
            <v xml:space="preserve">Int Expenses - Short Term - F/D - Individuals - Resident </v>
          </cell>
          <cell r="G468" t="str">
            <v>D</v>
          </cell>
          <cell r="H468" t="str">
            <v>B</v>
          </cell>
          <cell r="I468" t="str">
            <v>658100</v>
          </cell>
          <cell r="J468">
            <v>21755.89</v>
          </cell>
          <cell r="K468" t="str">
            <v>30/01/2009 00:00:00</v>
          </cell>
        </row>
        <row r="469">
          <cell r="E469" t="str">
            <v>623112</v>
          </cell>
          <cell r="F469" t="str">
            <v>Int Expenses - Short Term - F/D - Individuals - Resident -USD</v>
          </cell>
          <cell r="G469" t="str">
            <v>D</v>
          </cell>
          <cell r="H469" t="str">
            <v>0</v>
          </cell>
          <cell r="I469" t="str">
            <v>659000</v>
          </cell>
          <cell r="J469">
            <v>22124.34</v>
          </cell>
          <cell r="K469" t="str">
            <v>30/01/2009 00:00:00</v>
          </cell>
        </row>
        <row r="470">
          <cell r="E470" t="str">
            <v>623115</v>
          </cell>
          <cell r="F470" t="str">
            <v>Int Expenses - Short Term - F/D - Individuals - Resident -THB</v>
          </cell>
          <cell r="G470" t="str">
            <v>D</v>
          </cell>
          <cell r="H470" t="str">
            <v>0</v>
          </cell>
          <cell r="I470" t="str">
            <v>659100</v>
          </cell>
          <cell r="J470">
            <v>-368.45</v>
          </cell>
          <cell r="K470" t="str">
            <v>30/01/2009 00:00:00</v>
          </cell>
        </row>
        <row r="471">
          <cell r="E471" t="str">
            <v>623120</v>
          </cell>
          <cell r="F471" t="str">
            <v xml:space="preserve">Int Expenses - Short Term - F/D - Individuals - Non Resident </v>
          </cell>
          <cell r="G471" t="str">
            <v>D</v>
          </cell>
          <cell r="H471" t="str">
            <v>B</v>
          </cell>
          <cell r="I471" t="str">
            <v>659200</v>
          </cell>
          <cell r="J471">
            <v>1249</v>
          </cell>
          <cell r="K471" t="str">
            <v>30/01/2009 00:00:00</v>
          </cell>
        </row>
        <row r="472">
          <cell r="E472" t="str">
            <v>623122</v>
          </cell>
          <cell r="F472" t="str">
            <v>Int Expenses - Short Term - F/D - Individuals - Non Resident -USD</v>
          </cell>
          <cell r="G472" t="str">
            <v>D</v>
          </cell>
          <cell r="H472" t="str">
            <v>0</v>
          </cell>
          <cell r="I472" t="str">
            <v>660000</v>
          </cell>
          <cell r="J472">
            <v>1249</v>
          </cell>
          <cell r="K472" t="str">
            <v>30/01/2009 00:00:00</v>
          </cell>
        </row>
        <row r="473">
          <cell r="E473" t="str">
            <v>623200</v>
          </cell>
          <cell r="F473" t="str">
            <v>Interest Expenses - Time Deposit Private Sector</v>
          </cell>
          <cell r="G473" t="str">
            <v>D</v>
          </cell>
          <cell r="H473" t="str">
            <v>B</v>
          </cell>
          <cell r="I473" t="str">
            <v>663000</v>
          </cell>
          <cell r="J473">
            <v>-17950.150000000001</v>
          </cell>
          <cell r="K473" t="str">
            <v>30/01/2009 00:00:00</v>
          </cell>
        </row>
        <row r="474">
          <cell r="E474" t="str">
            <v>623210</v>
          </cell>
          <cell r="F474" t="str">
            <v xml:space="preserve">Int Expenses - Short Term - F/D - Private Sector - Resident </v>
          </cell>
          <cell r="G474" t="str">
            <v>D</v>
          </cell>
          <cell r="H474" t="str">
            <v>B</v>
          </cell>
          <cell r="I474" t="str">
            <v>663100</v>
          </cell>
          <cell r="J474">
            <v>-17950.23</v>
          </cell>
          <cell r="K474" t="str">
            <v>30/01/2009 00:00:00</v>
          </cell>
        </row>
        <row r="475">
          <cell r="E475" t="str">
            <v>623212</v>
          </cell>
          <cell r="F475" t="str">
            <v>Int Expenses - Short Term - F/D - Private Sector - Resident -USD</v>
          </cell>
          <cell r="G475" t="str">
            <v>D</v>
          </cell>
          <cell r="H475" t="str">
            <v>0</v>
          </cell>
          <cell r="I475" t="str">
            <v>664000</v>
          </cell>
          <cell r="J475">
            <v>-17950.23</v>
          </cell>
          <cell r="K475" t="str">
            <v>30/01/2009 00:00:00</v>
          </cell>
        </row>
        <row r="476">
          <cell r="E476" t="str">
            <v>623220</v>
          </cell>
          <cell r="F476" t="str">
            <v xml:space="preserve">Int Expenses - Short Term - F/D - Private Sector - Non Resident </v>
          </cell>
          <cell r="G476" t="str">
            <v>D</v>
          </cell>
          <cell r="H476" t="str">
            <v>B</v>
          </cell>
          <cell r="I476" t="str">
            <v>664100</v>
          </cell>
          <cell r="J476">
            <v>0.08</v>
          </cell>
          <cell r="K476" t="str">
            <v>30/01/2009 00:00:00</v>
          </cell>
        </row>
        <row r="477">
          <cell r="E477" t="str">
            <v>623222</v>
          </cell>
          <cell r="F477" t="str">
            <v>Int Expenses - Short Term - F/D - Private Sector - Non Resident -USD</v>
          </cell>
          <cell r="G477" t="str">
            <v>D</v>
          </cell>
          <cell r="H477" t="str">
            <v>0</v>
          </cell>
          <cell r="I477" t="str">
            <v>665000</v>
          </cell>
          <cell r="J477">
            <v>0.08</v>
          </cell>
          <cell r="K477" t="str">
            <v>30/01/2009 00:00:00</v>
          </cell>
        </row>
        <row r="478">
          <cell r="E478" t="str">
            <v>640000</v>
          </cell>
          <cell r="F478" t="str">
            <v>Non Interest Expense - General Expenses</v>
          </cell>
          <cell r="G478" t="str">
            <v>D</v>
          </cell>
          <cell r="H478" t="str">
            <v>B</v>
          </cell>
          <cell r="I478" t="str">
            <v>668000</v>
          </cell>
          <cell r="J478">
            <v>23735.82</v>
          </cell>
          <cell r="K478" t="str">
            <v>30/01/2009 00:00:00</v>
          </cell>
        </row>
        <row r="479">
          <cell r="E479" t="str">
            <v>641000</v>
          </cell>
          <cell r="F479" t="str">
            <v>Salaries, Wages and Other Personel Expenses</v>
          </cell>
          <cell r="G479" t="str">
            <v>D</v>
          </cell>
          <cell r="H479" t="str">
            <v>B</v>
          </cell>
          <cell r="I479" t="str">
            <v>669000</v>
          </cell>
          <cell r="J479">
            <v>8724.27</v>
          </cell>
          <cell r="K479" t="str">
            <v>30/01/2009 00:00:00</v>
          </cell>
        </row>
        <row r="480">
          <cell r="E480" t="str">
            <v>641100</v>
          </cell>
          <cell r="F480" t="str">
            <v>Salaries, Wages and Incentive Expenses</v>
          </cell>
          <cell r="G480" t="str">
            <v>D</v>
          </cell>
          <cell r="H480" t="str">
            <v>B</v>
          </cell>
          <cell r="I480" t="str">
            <v>670000</v>
          </cell>
          <cell r="J480">
            <v>7804.69</v>
          </cell>
          <cell r="K480" t="str">
            <v>30/01/2009 00:00:00</v>
          </cell>
        </row>
        <row r="481">
          <cell r="E481" t="str">
            <v>641110</v>
          </cell>
          <cell r="F481" t="str">
            <v>Salaries and Wages Expense</v>
          </cell>
          <cell r="G481" t="str">
            <v>D</v>
          </cell>
          <cell r="H481" t="str">
            <v>B</v>
          </cell>
          <cell r="I481" t="str">
            <v>671000</v>
          </cell>
          <cell r="J481">
            <v>7804.69</v>
          </cell>
          <cell r="K481" t="str">
            <v>30/01/2009 00:00:00</v>
          </cell>
        </row>
        <row r="482">
          <cell r="E482" t="str">
            <v>641112</v>
          </cell>
          <cell r="F482" t="str">
            <v>PE - Salaries and Wages Expense -USD</v>
          </cell>
          <cell r="G482" t="str">
            <v>D</v>
          </cell>
          <cell r="H482" t="str">
            <v>B</v>
          </cell>
          <cell r="I482" t="str">
            <v>672000</v>
          </cell>
          <cell r="J482">
            <v>7804.69</v>
          </cell>
          <cell r="K482" t="str">
            <v>30/01/2009 00:00:00</v>
          </cell>
        </row>
        <row r="483">
          <cell r="E483" t="str">
            <v>64111201</v>
          </cell>
          <cell r="F483" t="str">
            <v xml:space="preserve">PE - Salaries and Wages Expense -(Salaries)-USD </v>
          </cell>
          <cell r="G483" t="str">
            <v>D</v>
          </cell>
          <cell r="H483" t="str">
            <v>0</v>
          </cell>
          <cell r="I483" t="str">
            <v>673000</v>
          </cell>
          <cell r="J483">
            <v>2604.69</v>
          </cell>
          <cell r="K483" t="str">
            <v>30/01/2009 00:00:00</v>
          </cell>
        </row>
        <row r="484">
          <cell r="E484" t="str">
            <v>64111202</v>
          </cell>
          <cell r="F484" t="str">
            <v xml:space="preserve">PE - Salaries and Wages Expense -(Cost of Living)-USD </v>
          </cell>
          <cell r="G484" t="str">
            <v>D</v>
          </cell>
          <cell r="H484" t="str">
            <v>0</v>
          </cell>
          <cell r="I484" t="str">
            <v>674000</v>
          </cell>
          <cell r="J484">
            <v>5200</v>
          </cell>
          <cell r="K484" t="str">
            <v>30/01/2009 00:00:00</v>
          </cell>
        </row>
        <row r="485">
          <cell r="E485" t="str">
            <v>641200</v>
          </cell>
          <cell r="F485" t="str">
            <v>Other Personnel Expense</v>
          </cell>
          <cell r="G485" t="str">
            <v>D</v>
          </cell>
          <cell r="H485" t="str">
            <v>B</v>
          </cell>
          <cell r="I485" t="str">
            <v>682000</v>
          </cell>
          <cell r="J485">
            <v>919.58</v>
          </cell>
          <cell r="K485" t="str">
            <v>30/01/2009 00:00:00</v>
          </cell>
        </row>
        <row r="486">
          <cell r="E486" t="str">
            <v>641290</v>
          </cell>
          <cell r="F486" t="str">
            <v>Other Employee Expense</v>
          </cell>
          <cell r="G486" t="str">
            <v>D</v>
          </cell>
          <cell r="H486" t="str">
            <v>B</v>
          </cell>
          <cell r="I486" t="str">
            <v>688000</v>
          </cell>
          <cell r="J486">
            <v>919.58</v>
          </cell>
          <cell r="K486" t="str">
            <v>30/01/2009 00:00:00</v>
          </cell>
        </row>
        <row r="487">
          <cell r="E487" t="str">
            <v>641292</v>
          </cell>
          <cell r="F487" t="str">
            <v>Other Employee Expense -USD</v>
          </cell>
          <cell r="G487" t="str">
            <v>D</v>
          </cell>
          <cell r="H487" t="str">
            <v>B</v>
          </cell>
          <cell r="I487" t="str">
            <v>689000</v>
          </cell>
          <cell r="J487">
            <v>919.58</v>
          </cell>
          <cell r="K487" t="str">
            <v>30/01/2009 00:00:00</v>
          </cell>
        </row>
        <row r="488">
          <cell r="E488" t="str">
            <v>64129201</v>
          </cell>
          <cell r="F488" t="str">
            <v xml:space="preserve">Other Employee Expense -(Children School Fee)-USD </v>
          </cell>
          <cell r="G488" t="str">
            <v>D</v>
          </cell>
          <cell r="H488" t="str">
            <v>0</v>
          </cell>
          <cell r="I488" t="str">
            <v>690000</v>
          </cell>
          <cell r="J488">
            <v>480</v>
          </cell>
          <cell r="K488" t="str">
            <v>30/01/2009 00:00:00</v>
          </cell>
        </row>
        <row r="489">
          <cell r="E489" t="str">
            <v>64129202</v>
          </cell>
          <cell r="F489" t="str">
            <v>Other Employee Expense -(Sundries)-USD</v>
          </cell>
          <cell r="G489" t="str">
            <v>D</v>
          </cell>
          <cell r="H489" t="str">
            <v>0</v>
          </cell>
          <cell r="I489" t="str">
            <v>691000</v>
          </cell>
          <cell r="J489">
            <v>104.58</v>
          </cell>
          <cell r="K489" t="str">
            <v>30/01/2009 00:00:00</v>
          </cell>
        </row>
        <row r="490">
          <cell r="E490" t="str">
            <v>64129203</v>
          </cell>
          <cell r="F490" t="str">
            <v>Other Employee Expense -(PE. Sundries-Exp)-USD</v>
          </cell>
          <cell r="G490" t="str">
            <v>D</v>
          </cell>
          <cell r="H490" t="str">
            <v>0</v>
          </cell>
          <cell r="I490" t="str">
            <v>691100</v>
          </cell>
          <cell r="J490">
            <v>285</v>
          </cell>
          <cell r="K490" t="str">
            <v>30/01/2009 00:00:00</v>
          </cell>
        </row>
        <row r="491">
          <cell r="E491" t="str">
            <v>64129204</v>
          </cell>
          <cell r="F491" t="str">
            <v>Other Employee Expense -(Welfare-Others)-USD</v>
          </cell>
          <cell r="G491" t="str">
            <v>D</v>
          </cell>
          <cell r="H491" t="str">
            <v>0</v>
          </cell>
          <cell r="I491" t="str">
            <v>691200</v>
          </cell>
          <cell r="J491">
            <v>50</v>
          </cell>
          <cell r="K491" t="str">
            <v>30/01/2009 00:00:00</v>
          </cell>
        </row>
        <row r="492">
          <cell r="E492" t="str">
            <v>642000</v>
          </cell>
          <cell r="F492" t="str">
            <v>Depreciation and Amortization Expense</v>
          </cell>
          <cell r="G492" t="str">
            <v>D</v>
          </cell>
          <cell r="H492" t="str">
            <v>B</v>
          </cell>
          <cell r="I492" t="str">
            <v>695000</v>
          </cell>
          <cell r="J492">
            <v>1624.32</v>
          </cell>
          <cell r="K492" t="str">
            <v>30/01/2009 00:00:00</v>
          </cell>
        </row>
        <row r="493">
          <cell r="E493" t="str">
            <v>642100</v>
          </cell>
          <cell r="F493" t="str">
            <v>Depreciation Expense</v>
          </cell>
          <cell r="G493" t="str">
            <v>D</v>
          </cell>
          <cell r="H493" t="str">
            <v>B</v>
          </cell>
          <cell r="I493" t="str">
            <v>696000</v>
          </cell>
          <cell r="J493">
            <v>1624.32</v>
          </cell>
          <cell r="K493" t="str">
            <v>30/01/2009 00:00:00</v>
          </cell>
        </row>
        <row r="494">
          <cell r="E494" t="str">
            <v>642110</v>
          </cell>
          <cell r="F494" t="str">
            <v>Depreciation Expense - Building</v>
          </cell>
          <cell r="G494" t="str">
            <v>D</v>
          </cell>
          <cell r="H494" t="str">
            <v>B</v>
          </cell>
          <cell r="I494" t="str">
            <v>697000</v>
          </cell>
          <cell r="J494">
            <v>666.67</v>
          </cell>
          <cell r="K494" t="str">
            <v>30/01/2009 00:00:00</v>
          </cell>
        </row>
        <row r="495">
          <cell r="E495" t="str">
            <v>642112</v>
          </cell>
          <cell r="F495" t="str">
            <v>Depre Expense - Building -USD</v>
          </cell>
          <cell r="G495" t="str">
            <v>D</v>
          </cell>
          <cell r="H495" t="str">
            <v>0</v>
          </cell>
          <cell r="I495" t="str">
            <v>698000</v>
          </cell>
          <cell r="J495">
            <v>666.67</v>
          </cell>
          <cell r="K495" t="str">
            <v>30/01/2009 00:00:00</v>
          </cell>
        </row>
        <row r="496">
          <cell r="E496" t="str">
            <v>642120</v>
          </cell>
          <cell r="F496" t="str">
            <v>Depreciation Expense - Furniture and Fixtures</v>
          </cell>
          <cell r="G496" t="str">
            <v>D</v>
          </cell>
          <cell r="H496" t="str">
            <v>B</v>
          </cell>
          <cell r="I496" t="str">
            <v>699000</v>
          </cell>
          <cell r="J496">
            <v>45.7</v>
          </cell>
          <cell r="K496" t="str">
            <v>30/01/2009 00:00:00</v>
          </cell>
        </row>
        <row r="497">
          <cell r="E497" t="str">
            <v>642122</v>
          </cell>
          <cell r="F497" t="str">
            <v>Depre Expense - Furniture and Fixtures -USD</v>
          </cell>
          <cell r="G497" t="str">
            <v>D</v>
          </cell>
          <cell r="H497" t="str">
            <v>0</v>
          </cell>
          <cell r="I497" t="str">
            <v>700000</v>
          </cell>
          <cell r="J497">
            <v>45.7</v>
          </cell>
          <cell r="K497" t="str">
            <v>30/01/2009 00:00:00</v>
          </cell>
        </row>
        <row r="498">
          <cell r="E498" t="str">
            <v>642130</v>
          </cell>
          <cell r="F498" t="str">
            <v>Depreciation Expense - Equipment</v>
          </cell>
          <cell r="G498" t="str">
            <v>D</v>
          </cell>
          <cell r="H498" t="str">
            <v>B</v>
          </cell>
          <cell r="I498" t="str">
            <v>701000</v>
          </cell>
          <cell r="J498">
            <v>443.41</v>
          </cell>
          <cell r="K498" t="str">
            <v>30/01/2009 00:00:00</v>
          </cell>
        </row>
        <row r="499">
          <cell r="E499" t="str">
            <v>64213201</v>
          </cell>
          <cell r="F499" t="str">
            <v>Depre Expense - Equipment (SP)-USD</v>
          </cell>
          <cell r="G499" t="str">
            <v>D</v>
          </cell>
          <cell r="H499" t="str">
            <v>0</v>
          </cell>
          <cell r="I499" t="str">
            <v>702005</v>
          </cell>
          <cell r="J499">
            <v>191.11</v>
          </cell>
          <cell r="K499" t="str">
            <v>30/01/2009 00:00:00</v>
          </cell>
        </row>
        <row r="500">
          <cell r="E500" t="str">
            <v>64213202</v>
          </cell>
          <cell r="F500" t="str">
            <v>Depre Expense - Equipment (F&amp;E)-USD</v>
          </cell>
          <cell r="G500" t="str">
            <v>D</v>
          </cell>
          <cell r="H500" t="str">
            <v>0</v>
          </cell>
          <cell r="I500" t="str">
            <v>702010</v>
          </cell>
          <cell r="J500">
            <v>252.3</v>
          </cell>
          <cell r="K500" t="str">
            <v>30/01/2009 00:00:00</v>
          </cell>
        </row>
        <row r="501">
          <cell r="E501" t="str">
            <v>642140</v>
          </cell>
          <cell r="F501" t="str">
            <v>Depreciation Expense - IT and Related Equipment</v>
          </cell>
          <cell r="G501" t="str">
            <v>D</v>
          </cell>
          <cell r="H501" t="str">
            <v>B</v>
          </cell>
          <cell r="I501" t="str">
            <v>703000</v>
          </cell>
          <cell r="J501">
            <v>448.46</v>
          </cell>
          <cell r="K501" t="str">
            <v>30/01/2009 00:00:00</v>
          </cell>
        </row>
        <row r="502">
          <cell r="E502" t="str">
            <v>642142</v>
          </cell>
          <cell r="F502" t="str">
            <v>Depre Expense - IT and Related Equipment -USD</v>
          </cell>
          <cell r="G502" t="str">
            <v>D</v>
          </cell>
          <cell r="H502" t="str">
            <v>0</v>
          </cell>
          <cell r="I502" t="str">
            <v>704000</v>
          </cell>
          <cell r="J502">
            <v>448.46</v>
          </cell>
          <cell r="K502" t="str">
            <v>30/01/2009 00:00:00</v>
          </cell>
        </row>
        <row r="503">
          <cell r="E503" t="str">
            <v>642150</v>
          </cell>
          <cell r="F503" t="str">
            <v>Depreciation Expense - Motor Vehicles</v>
          </cell>
          <cell r="G503" t="str">
            <v>D</v>
          </cell>
          <cell r="H503" t="str">
            <v>B</v>
          </cell>
          <cell r="I503" t="str">
            <v>705000</v>
          </cell>
          <cell r="J503">
            <v>20.079999999999998</v>
          </cell>
          <cell r="K503" t="str">
            <v>30/01/2009 00:00:00</v>
          </cell>
        </row>
        <row r="504">
          <cell r="E504" t="str">
            <v>642152</v>
          </cell>
          <cell r="F504" t="str">
            <v>Depre Expense - Motor Vehicles -USD</v>
          </cell>
          <cell r="G504" t="str">
            <v>D</v>
          </cell>
          <cell r="H504" t="str">
            <v>0</v>
          </cell>
          <cell r="I504" t="str">
            <v>706000</v>
          </cell>
          <cell r="J504">
            <v>20.079999999999998</v>
          </cell>
          <cell r="K504" t="str">
            <v>30/01/2009 00:00:00</v>
          </cell>
        </row>
        <row r="505">
          <cell r="E505" t="str">
            <v>643000</v>
          </cell>
          <cell r="F505" t="str">
            <v>Repair and Maintenance, Rental , Utilities and Other Expenses on Tangible Fixed Assets</v>
          </cell>
          <cell r="G505" t="str">
            <v>D</v>
          </cell>
          <cell r="H505" t="str">
            <v>B</v>
          </cell>
          <cell r="I505" t="str">
            <v>712000</v>
          </cell>
          <cell r="J505">
            <v>1553.51</v>
          </cell>
          <cell r="K505" t="str">
            <v>30/01/2009 00:00:00</v>
          </cell>
        </row>
        <row r="506">
          <cell r="E506" t="str">
            <v>643100</v>
          </cell>
          <cell r="F506" t="str">
            <v>Repair and Maintenance Expenses</v>
          </cell>
          <cell r="G506" t="str">
            <v>D</v>
          </cell>
          <cell r="H506" t="str">
            <v>B</v>
          </cell>
          <cell r="I506" t="str">
            <v>713000</v>
          </cell>
          <cell r="J506">
            <v>760.79</v>
          </cell>
          <cell r="K506" t="str">
            <v>30/01/2009 00:00:00</v>
          </cell>
        </row>
        <row r="507">
          <cell r="E507" t="str">
            <v>643110</v>
          </cell>
          <cell r="F507" t="str">
            <v>Repairs and Maintenance-Building Expenses</v>
          </cell>
          <cell r="G507" t="str">
            <v>D</v>
          </cell>
          <cell r="H507" t="str">
            <v>B</v>
          </cell>
          <cell r="I507" t="str">
            <v>713100</v>
          </cell>
          <cell r="J507">
            <v>760.79</v>
          </cell>
          <cell r="K507" t="str">
            <v>30/01/2009 00:00:00</v>
          </cell>
        </row>
        <row r="508">
          <cell r="E508" t="str">
            <v>64311201</v>
          </cell>
          <cell r="F508" t="str">
            <v>Repairs and Maintenance-Building Expenses- USD(Deferred Charged)</v>
          </cell>
          <cell r="G508" t="str">
            <v>D</v>
          </cell>
          <cell r="H508" t="str">
            <v>0</v>
          </cell>
          <cell r="I508" t="str">
            <v>713210</v>
          </cell>
          <cell r="J508">
            <v>760.79</v>
          </cell>
          <cell r="K508" t="str">
            <v>30/01/2009 00:00:00</v>
          </cell>
        </row>
        <row r="509">
          <cell r="E509" t="str">
            <v>643300</v>
          </cell>
          <cell r="F509" t="str">
            <v>Utility Expenses</v>
          </cell>
          <cell r="G509" t="str">
            <v>D</v>
          </cell>
          <cell r="H509" t="str">
            <v>B</v>
          </cell>
          <cell r="I509" t="str">
            <v>724000</v>
          </cell>
          <cell r="J509">
            <v>792.72</v>
          </cell>
          <cell r="K509" t="str">
            <v>30/01/2009 00:00:00</v>
          </cell>
        </row>
        <row r="510">
          <cell r="E510" t="str">
            <v>643302</v>
          </cell>
          <cell r="F510" t="str">
            <v>Utility Expenses - Heat,Lignt, Power,and water Expense -USD</v>
          </cell>
          <cell r="G510" t="str">
            <v>D</v>
          </cell>
          <cell r="H510" t="str">
            <v>B</v>
          </cell>
          <cell r="I510" t="str">
            <v>725000</v>
          </cell>
          <cell r="J510">
            <v>792.72</v>
          </cell>
          <cell r="K510" t="str">
            <v>30/01/2009 00:00:00</v>
          </cell>
        </row>
        <row r="511">
          <cell r="E511" t="str">
            <v>64330202</v>
          </cell>
          <cell r="F511" t="str">
            <v xml:space="preserve">Utility Expenses - Pre.Exp-Electricity - Expense -USD </v>
          </cell>
          <cell r="G511" t="str">
            <v>D</v>
          </cell>
          <cell r="H511" t="str">
            <v>0</v>
          </cell>
          <cell r="I511" t="str">
            <v>727000</v>
          </cell>
          <cell r="J511">
            <v>792.72</v>
          </cell>
          <cell r="K511" t="str">
            <v>30/01/2009 00:00:00</v>
          </cell>
        </row>
        <row r="512">
          <cell r="E512" t="str">
            <v>645000</v>
          </cell>
          <cell r="F512" t="str">
            <v>Travel and Entertainment and Communication Expenses</v>
          </cell>
          <cell r="G512" t="str">
            <v>D</v>
          </cell>
          <cell r="H512" t="str">
            <v>B</v>
          </cell>
          <cell r="I512" t="str">
            <v>744000</v>
          </cell>
          <cell r="J512">
            <v>11660.02</v>
          </cell>
          <cell r="K512" t="str">
            <v>30/01/2009 00:00:00</v>
          </cell>
        </row>
        <row r="513">
          <cell r="E513" t="str">
            <v>645100</v>
          </cell>
          <cell r="F513" t="str">
            <v>Travel and Entertainment Expenses</v>
          </cell>
          <cell r="G513" t="str">
            <v>D</v>
          </cell>
          <cell r="H513" t="str">
            <v>B</v>
          </cell>
          <cell r="I513" t="str">
            <v>745000</v>
          </cell>
          <cell r="J513">
            <v>1038.31</v>
          </cell>
          <cell r="K513" t="str">
            <v>30/01/2009 00:00:00</v>
          </cell>
        </row>
        <row r="514">
          <cell r="E514" t="str">
            <v>645110</v>
          </cell>
          <cell r="F514" t="str">
            <v>Travel Expense</v>
          </cell>
          <cell r="G514" t="str">
            <v>D</v>
          </cell>
          <cell r="H514" t="str">
            <v>B</v>
          </cell>
          <cell r="I514" t="str">
            <v>746000</v>
          </cell>
          <cell r="J514">
            <v>906.81</v>
          </cell>
          <cell r="K514" t="str">
            <v>30/01/2009 00:00:00</v>
          </cell>
        </row>
        <row r="515">
          <cell r="E515" t="str">
            <v>645112</v>
          </cell>
          <cell r="F515" t="str">
            <v>Travel Expense -USD</v>
          </cell>
          <cell r="G515" t="str">
            <v>D</v>
          </cell>
          <cell r="H515" t="str">
            <v>0</v>
          </cell>
          <cell r="I515" t="str">
            <v>747000</v>
          </cell>
          <cell r="J515">
            <v>906.81</v>
          </cell>
          <cell r="K515" t="str">
            <v>30/01/2009 00:00:00</v>
          </cell>
        </row>
        <row r="516">
          <cell r="E516" t="str">
            <v>645130</v>
          </cell>
          <cell r="F516" t="str">
            <v>Business Meal and Entertainment Expense</v>
          </cell>
          <cell r="G516" t="str">
            <v>D</v>
          </cell>
          <cell r="H516" t="str">
            <v>B</v>
          </cell>
          <cell r="I516" t="str">
            <v>749000</v>
          </cell>
          <cell r="J516">
            <v>131.5</v>
          </cell>
          <cell r="K516" t="str">
            <v>30/01/2009 00:00:00</v>
          </cell>
        </row>
        <row r="517">
          <cell r="E517" t="str">
            <v>645132</v>
          </cell>
          <cell r="F517" t="str">
            <v>Business Meal and Entertainment Expense -USD</v>
          </cell>
          <cell r="G517" t="str">
            <v>D</v>
          </cell>
          <cell r="H517" t="str">
            <v>0</v>
          </cell>
          <cell r="I517" t="str">
            <v>750000</v>
          </cell>
          <cell r="J517">
            <v>131.5</v>
          </cell>
          <cell r="K517" t="str">
            <v>30/01/2009 00:00:00</v>
          </cell>
        </row>
        <row r="518">
          <cell r="E518" t="str">
            <v>645200</v>
          </cell>
          <cell r="F518" t="str">
            <v>Communication Expenses</v>
          </cell>
          <cell r="G518" t="str">
            <v>D</v>
          </cell>
          <cell r="H518" t="str">
            <v>B</v>
          </cell>
          <cell r="I518" t="str">
            <v>752000</v>
          </cell>
          <cell r="J518">
            <v>10621.71</v>
          </cell>
          <cell r="K518" t="str">
            <v>30/01/2009 00:00:00</v>
          </cell>
        </row>
        <row r="519">
          <cell r="E519" t="str">
            <v>645210</v>
          </cell>
          <cell r="F519" t="str">
            <v>Telephone Expense</v>
          </cell>
          <cell r="G519" t="str">
            <v>D</v>
          </cell>
          <cell r="H519" t="str">
            <v>B</v>
          </cell>
          <cell r="I519" t="str">
            <v>753000</v>
          </cell>
          <cell r="J519">
            <v>436.57</v>
          </cell>
          <cell r="K519" t="str">
            <v>30/01/2009 00:00:00</v>
          </cell>
        </row>
        <row r="520">
          <cell r="E520" t="str">
            <v>645212</v>
          </cell>
          <cell r="F520" t="str">
            <v>Telephone Expense -USD</v>
          </cell>
          <cell r="G520" t="str">
            <v>D</v>
          </cell>
          <cell r="H520" t="str">
            <v>0</v>
          </cell>
          <cell r="I520" t="str">
            <v>754000</v>
          </cell>
          <cell r="J520">
            <v>436.57</v>
          </cell>
          <cell r="K520" t="str">
            <v>30/01/2009 00:00:00</v>
          </cell>
        </row>
        <row r="521">
          <cell r="E521" t="str">
            <v>645230</v>
          </cell>
          <cell r="F521" t="str">
            <v>Swift Expense</v>
          </cell>
          <cell r="G521" t="str">
            <v>D</v>
          </cell>
          <cell r="H521" t="str">
            <v>B</v>
          </cell>
          <cell r="I521" t="str">
            <v>757000</v>
          </cell>
          <cell r="J521">
            <v>1125.1400000000001</v>
          </cell>
          <cell r="K521" t="str">
            <v>30/01/2009 00:00:00</v>
          </cell>
        </row>
        <row r="522">
          <cell r="E522" t="str">
            <v>645232</v>
          </cell>
          <cell r="F522" t="str">
            <v>Swift Expense -USD</v>
          </cell>
          <cell r="G522" t="str">
            <v>D</v>
          </cell>
          <cell r="H522" t="str">
            <v>0</v>
          </cell>
          <cell r="I522" t="str">
            <v>758000</v>
          </cell>
          <cell r="J522">
            <v>1125.1400000000001</v>
          </cell>
          <cell r="K522" t="str">
            <v>30/01/2009 00:00:00</v>
          </cell>
        </row>
        <row r="523">
          <cell r="E523" t="str">
            <v>645240</v>
          </cell>
          <cell r="F523" t="str">
            <v>Postage Expense</v>
          </cell>
          <cell r="G523" t="str">
            <v>D</v>
          </cell>
          <cell r="H523" t="str">
            <v>B</v>
          </cell>
          <cell r="I523" t="str">
            <v>760000</v>
          </cell>
          <cell r="J523">
            <v>60</v>
          </cell>
          <cell r="K523" t="str">
            <v>30/01/2009 00:00:00</v>
          </cell>
        </row>
        <row r="524">
          <cell r="E524" t="str">
            <v>645242</v>
          </cell>
          <cell r="F524" t="str">
            <v>Postage Expense -USD</v>
          </cell>
          <cell r="G524" t="str">
            <v>D</v>
          </cell>
          <cell r="H524" t="str">
            <v>0</v>
          </cell>
          <cell r="I524" t="str">
            <v>761000</v>
          </cell>
          <cell r="J524">
            <v>60</v>
          </cell>
          <cell r="K524" t="str">
            <v>30/01/2009 00:00:00</v>
          </cell>
        </row>
        <row r="525">
          <cell r="E525" t="str">
            <v>645270</v>
          </cell>
          <cell r="F525" t="str">
            <v>Wire Transfer Expense</v>
          </cell>
          <cell r="G525" t="str">
            <v>D</v>
          </cell>
          <cell r="H525" t="str">
            <v>B</v>
          </cell>
          <cell r="I525" t="str">
            <v>762100</v>
          </cell>
          <cell r="J525">
            <v>9000</v>
          </cell>
          <cell r="K525" t="str">
            <v>30/01/2009 00:00:00</v>
          </cell>
        </row>
        <row r="526">
          <cell r="E526" t="str">
            <v>645272</v>
          </cell>
          <cell r="F526" t="str">
            <v>Wire Transfer Expense-USD</v>
          </cell>
          <cell r="G526" t="str">
            <v>D</v>
          </cell>
          <cell r="H526" t="str">
            <v>0</v>
          </cell>
          <cell r="I526" t="str">
            <v>762200</v>
          </cell>
          <cell r="J526">
            <v>9000</v>
          </cell>
          <cell r="K526" t="str">
            <v>30/01/2009 00:00:00</v>
          </cell>
        </row>
        <row r="527">
          <cell r="E527" t="str">
            <v>647000</v>
          </cell>
          <cell r="F527" t="str">
            <v>Office Supplies Expenses</v>
          </cell>
          <cell r="G527" t="str">
            <v>D</v>
          </cell>
          <cell r="H527" t="str">
            <v>B</v>
          </cell>
          <cell r="I527" t="str">
            <v>763000</v>
          </cell>
          <cell r="J527">
            <v>173.7</v>
          </cell>
          <cell r="K527" t="str">
            <v>30/01/2009 00:00:00</v>
          </cell>
        </row>
        <row r="528">
          <cell r="E528" t="str">
            <v>647100</v>
          </cell>
          <cell r="F528" t="str">
            <v>Stationery and Supplies Expenses</v>
          </cell>
          <cell r="G528" t="str">
            <v>D</v>
          </cell>
          <cell r="H528" t="str">
            <v>B</v>
          </cell>
          <cell r="I528" t="str">
            <v>764000</v>
          </cell>
          <cell r="J528">
            <v>173.7</v>
          </cell>
          <cell r="K528" t="str">
            <v>30/01/2009 00:00:00</v>
          </cell>
        </row>
        <row r="529">
          <cell r="E529" t="str">
            <v>647102</v>
          </cell>
          <cell r="F529" t="str">
            <v>Stationery and Supplies Expenses -USD</v>
          </cell>
          <cell r="G529" t="str">
            <v>D</v>
          </cell>
          <cell r="H529" t="str">
            <v>0</v>
          </cell>
          <cell r="I529" t="str">
            <v>765000</v>
          </cell>
          <cell r="J529">
            <v>173.7</v>
          </cell>
          <cell r="K529" t="str">
            <v>30/01/2009 00:00:00</v>
          </cell>
        </row>
        <row r="530">
          <cell r="E530" t="str">
            <v>650000</v>
          </cell>
          <cell r="F530" t="str">
            <v>Non interest Expenses - Other Expense</v>
          </cell>
          <cell r="G530" t="str">
            <v>D</v>
          </cell>
          <cell r="H530" t="str">
            <v>B</v>
          </cell>
          <cell r="I530" t="str">
            <v>779000</v>
          </cell>
          <cell r="J530">
            <v>25665.64</v>
          </cell>
          <cell r="K530" t="str">
            <v>30/01/2009 00:00:00</v>
          </cell>
        </row>
        <row r="531">
          <cell r="E531" t="str">
            <v>651000</v>
          </cell>
          <cell r="F531" t="str">
            <v>Bank Security Expense</v>
          </cell>
          <cell r="G531" t="str">
            <v>D</v>
          </cell>
          <cell r="H531" t="str">
            <v>B</v>
          </cell>
          <cell r="I531" t="str">
            <v>780000</v>
          </cell>
          <cell r="J531">
            <v>220</v>
          </cell>
          <cell r="K531" t="str">
            <v>30/01/2009 00:00:00</v>
          </cell>
        </row>
        <row r="532">
          <cell r="E532" t="str">
            <v>651002</v>
          </cell>
          <cell r="F532" t="str">
            <v>Bank Security Expense -USD</v>
          </cell>
          <cell r="G532" t="str">
            <v>D</v>
          </cell>
          <cell r="H532" t="str">
            <v>B</v>
          </cell>
          <cell r="I532" t="str">
            <v>781000</v>
          </cell>
          <cell r="J532">
            <v>220</v>
          </cell>
          <cell r="K532" t="str">
            <v>30/01/2009 00:00:00</v>
          </cell>
        </row>
        <row r="533">
          <cell r="E533" t="str">
            <v>65100201</v>
          </cell>
          <cell r="F533" t="str">
            <v>Bank Security Expense -USD (On Guard)</v>
          </cell>
          <cell r="G533" t="str">
            <v>D</v>
          </cell>
          <cell r="H533" t="str">
            <v>0</v>
          </cell>
          <cell r="I533" t="str">
            <v>781100</v>
          </cell>
          <cell r="J533">
            <v>220</v>
          </cell>
          <cell r="K533" t="str">
            <v>30/01/2009 00:00:00</v>
          </cell>
        </row>
        <row r="534">
          <cell r="E534" t="str">
            <v>654000</v>
          </cell>
          <cell r="F534" t="str">
            <v>Dues and Memberships, Stamp and Registration, and Clearinghouse Expense</v>
          </cell>
          <cell r="G534" t="str">
            <v>D</v>
          </cell>
          <cell r="H534" t="str">
            <v>B</v>
          </cell>
          <cell r="I534" t="str">
            <v>785000</v>
          </cell>
          <cell r="J534">
            <v>2000</v>
          </cell>
          <cell r="K534" t="str">
            <v>30/01/2009 00:00:00</v>
          </cell>
        </row>
        <row r="535">
          <cell r="E535" t="str">
            <v>654100</v>
          </cell>
          <cell r="F535" t="str">
            <v>Dues and Memberships Expenses</v>
          </cell>
          <cell r="G535" t="str">
            <v>D</v>
          </cell>
          <cell r="H535" t="str">
            <v>B</v>
          </cell>
          <cell r="I535" t="str">
            <v>785100</v>
          </cell>
          <cell r="J535">
            <v>1500</v>
          </cell>
          <cell r="K535" t="str">
            <v>30/01/2009 00:00:00</v>
          </cell>
        </row>
        <row r="536">
          <cell r="E536" t="str">
            <v>65410201</v>
          </cell>
          <cell r="F536" t="str">
            <v>Dues and Memberships Expenses( Business Allowance)-USD</v>
          </cell>
          <cell r="G536" t="str">
            <v>D</v>
          </cell>
          <cell r="H536" t="str">
            <v>0</v>
          </cell>
          <cell r="I536" t="str">
            <v>785210</v>
          </cell>
          <cell r="J536">
            <v>1500</v>
          </cell>
          <cell r="K536" t="str">
            <v>30/01/2009 00:00:00</v>
          </cell>
        </row>
        <row r="537">
          <cell r="E537" t="str">
            <v>654300</v>
          </cell>
          <cell r="F537" t="str">
            <v>Clearinghouse Expense</v>
          </cell>
          <cell r="G537" t="str">
            <v>D</v>
          </cell>
          <cell r="H537" t="str">
            <v>B</v>
          </cell>
          <cell r="I537" t="str">
            <v>786000</v>
          </cell>
          <cell r="J537">
            <v>500</v>
          </cell>
          <cell r="K537" t="str">
            <v>30/01/2009 00:00:00</v>
          </cell>
        </row>
        <row r="538">
          <cell r="E538" t="str">
            <v>654302</v>
          </cell>
          <cell r="F538" t="str">
            <v>Clearinghouse Expense -USD</v>
          </cell>
          <cell r="G538" t="str">
            <v>D</v>
          </cell>
          <cell r="H538" t="str">
            <v>0</v>
          </cell>
          <cell r="I538" t="str">
            <v>787000</v>
          </cell>
          <cell r="J538">
            <v>500</v>
          </cell>
          <cell r="K538" t="str">
            <v>30/01/2009 00:00:00</v>
          </cell>
        </row>
        <row r="539">
          <cell r="E539" t="str">
            <v>655000</v>
          </cell>
          <cell r="F539" t="str">
            <v>Publications and Subscription, ATM/Credit Card, and Internet E Commerce Expense</v>
          </cell>
          <cell r="G539" t="str">
            <v>D</v>
          </cell>
          <cell r="H539" t="str">
            <v>B</v>
          </cell>
          <cell r="I539" t="str">
            <v>788000</v>
          </cell>
          <cell r="J539">
            <v>1134.04</v>
          </cell>
          <cell r="K539" t="str">
            <v>30/01/2009 00:00:00</v>
          </cell>
        </row>
        <row r="540">
          <cell r="E540" t="str">
            <v>655100</v>
          </cell>
          <cell r="F540" t="str">
            <v>Publications and Subscription Expense</v>
          </cell>
          <cell r="G540" t="str">
            <v>D</v>
          </cell>
          <cell r="H540" t="str">
            <v>B</v>
          </cell>
          <cell r="I540" t="str">
            <v>789000</v>
          </cell>
          <cell r="J540">
            <v>17.5</v>
          </cell>
          <cell r="K540" t="str">
            <v>30/01/2009 00:00:00</v>
          </cell>
        </row>
        <row r="541">
          <cell r="E541" t="str">
            <v>655102</v>
          </cell>
          <cell r="F541" t="str">
            <v>Publications and Subscription Expense -USD</v>
          </cell>
          <cell r="G541" t="str">
            <v>D</v>
          </cell>
          <cell r="H541" t="str">
            <v>0</v>
          </cell>
          <cell r="I541" t="str">
            <v>790000</v>
          </cell>
          <cell r="J541">
            <v>17.5</v>
          </cell>
          <cell r="K541" t="str">
            <v>30/01/2009 00:00:00</v>
          </cell>
        </row>
        <row r="542">
          <cell r="E542" t="str">
            <v>655300</v>
          </cell>
          <cell r="F542" t="str">
            <v>Internet E Commerce Expense</v>
          </cell>
          <cell r="G542" t="str">
            <v>D</v>
          </cell>
          <cell r="H542" t="str">
            <v>B</v>
          </cell>
          <cell r="I542" t="str">
            <v>791000</v>
          </cell>
          <cell r="J542">
            <v>1116.54</v>
          </cell>
          <cell r="K542" t="str">
            <v>30/01/2009 00:00:00</v>
          </cell>
        </row>
        <row r="543">
          <cell r="E543" t="str">
            <v>655302</v>
          </cell>
          <cell r="F543" t="str">
            <v>Internet E Commerce Expense -USD</v>
          </cell>
          <cell r="G543" t="str">
            <v>D</v>
          </cell>
          <cell r="H543" t="str">
            <v>0</v>
          </cell>
          <cell r="I543" t="str">
            <v>792000</v>
          </cell>
          <cell r="J543">
            <v>1116.54</v>
          </cell>
          <cell r="K543" t="str">
            <v>30/01/2009 00:00:00</v>
          </cell>
        </row>
        <row r="544">
          <cell r="E544" t="str">
            <v>657000</v>
          </cell>
          <cell r="F544" t="str">
            <v>Patent Tax, Custom Duties, License Fee, Tax on Unused Land, and Non Recoverable VAT Expense</v>
          </cell>
          <cell r="G544" t="str">
            <v>D</v>
          </cell>
          <cell r="H544" t="str">
            <v>B</v>
          </cell>
          <cell r="I544" t="str">
            <v>799000</v>
          </cell>
          <cell r="J544">
            <v>2318.4499999999998</v>
          </cell>
          <cell r="K544" t="str">
            <v>30/01/2009 00:00:00</v>
          </cell>
        </row>
        <row r="545">
          <cell r="E545" t="str">
            <v>657100</v>
          </cell>
          <cell r="F545" t="str">
            <v>Patent Tax Expense</v>
          </cell>
          <cell r="G545" t="str">
            <v>D</v>
          </cell>
          <cell r="H545" t="str">
            <v>B</v>
          </cell>
          <cell r="I545" t="str">
            <v>800000</v>
          </cell>
          <cell r="J545">
            <v>276.97000000000003</v>
          </cell>
          <cell r="K545" t="str">
            <v>30/01/2009 00:00:00</v>
          </cell>
        </row>
        <row r="546">
          <cell r="E546" t="str">
            <v>657102</v>
          </cell>
          <cell r="F546" t="str">
            <v>Patent Tax Expense -USD</v>
          </cell>
          <cell r="G546" t="str">
            <v>D</v>
          </cell>
          <cell r="H546" t="str">
            <v>0</v>
          </cell>
          <cell r="I546" t="str">
            <v>801000</v>
          </cell>
          <cell r="J546">
            <v>276.97000000000003</v>
          </cell>
          <cell r="K546" t="str">
            <v>30/01/2009 00:00:00</v>
          </cell>
        </row>
        <row r="547">
          <cell r="E547" t="str">
            <v>657300</v>
          </cell>
          <cell r="F547" t="str">
            <v>License Fees Expense</v>
          </cell>
          <cell r="G547" t="str">
            <v>D</v>
          </cell>
          <cell r="H547" t="str">
            <v>B</v>
          </cell>
          <cell r="I547" t="str">
            <v>802000</v>
          </cell>
          <cell r="J547">
            <v>1422.39</v>
          </cell>
          <cell r="K547" t="str">
            <v>30/01/2009 00:00:00</v>
          </cell>
        </row>
        <row r="548">
          <cell r="E548" t="str">
            <v>657302</v>
          </cell>
          <cell r="F548" t="str">
            <v>License Fees Expense -USD</v>
          </cell>
          <cell r="G548" t="str">
            <v>D</v>
          </cell>
          <cell r="H548" t="str">
            <v>0</v>
          </cell>
          <cell r="I548" t="str">
            <v>803000</v>
          </cell>
          <cell r="J548">
            <v>1422.39</v>
          </cell>
          <cell r="K548" t="str">
            <v>30/01/2009 00:00:00</v>
          </cell>
        </row>
        <row r="549">
          <cell r="E549" t="str">
            <v>657900</v>
          </cell>
          <cell r="F549" t="str">
            <v>Other Tax Expenses</v>
          </cell>
          <cell r="G549" t="str">
            <v>D</v>
          </cell>
          <cell r="H549" t="str">
            <v>B</v>
          </cell>
          <cell r="I549" t="str">
            <v>803100</v>
          </cell>
          <cell r="J549">
            <v>619.09</v>
          </cell>
          <cell r="K549" t="str">
            <v>30/01/2009 00:00:00</v>
          </cell>
        </row>
        <row r="550">
          <cell r="E550" t="str">
            <v>657902</v>
          </cell>
          <cell r="F550" t="str">
            <v>Other Tax Expenses-USD</v>
          </cell>
          <cell r="G550" t="str">
            <v>D</v>
          </cell>
          <cell r="H550" t="str">
            <v>0</v>
          </cell>
          <cell r="I550" t="str">
            <v>803300</v>
          </cell>
          <cell r="J550">
            <v>619.09</v>
          </cell>
          <cell r="K550" t="str">
            <v>30/01/2009 00:00:00</v>
          </cell>
        </row>
        <row r="551">
          <cell r="E551" t="str">
            <v>658000</v>
          </cell>
          <cell r="F551" t="str">
            <v>Tax on Transportation Vehicles, Mortor Vehicle Operating, and Freight and Delivery Expense</v>
          </cell>
          <cell r="G551" t="str">
            <v>D</v>
          </cell>
          <cell r="H551" t="str">
            <v>B</v>
          </cell>
          <cell r="I551" t="str">
            <v>804000</v>
          </cell>
          <cell r="J551">
            <v>235.94</v>
          </cell>
          <cell r="K551" t="str">
            <v>30/01/2009 00:00:00</v>
          </cell>
        </row>
        <row r="552">
          <cell r="E552" t="str">
            <v>658200</v>
          </cell>
          <cell r="F552" t="str">
            <v>Mortor Vehicle Operating Expense</v>
          </cell>
          <cell r="G552" t="str">
            <v>D</v>
          </cell>
          <cell r="H552" t="str">
            <v>B</v>
          </cell>
          <cell r="I552" t="str">
            <v>805000</v>
          </cell>
          <cell r="J552">
            <v>213.56</v>
          </cell>
          <cell r="K552" t="str">
            <v>30/01/2009 00:00:00</v>
          </cell>
        </row>
        <row r="553">
          <cell r="E553" t="str">
            <v>658202</v>
          </cell>
          <cell r="F553" t="str">
            <v>Mortor Vehicle Operating Expense - USD</v>
          </cell>
          <cell r="G553" t="str">
            <v>D</v>
          </cell>
          <cell r="H553" t="str">
            <v>B</v>
          </cell>
          <cell r="I553" t="str">
            <v>806000</v>
          </cell>
          <cell r="J553">
            <v>213.56</v>
          </cell>
          <cell r="K553" t="str">
            <v>30/01/2009 00:00:00</v>
          </cell>
        </row>
        <row r="554">
          <cell r="E554" t="str">
            <v>65820201</v>
          </cell>
          <cell r="F554" t="str">
            <v>Mortor Vehicle Operating Expense - USD (Gasonline)</v>
          </cell>
          <cell r="G554" t="str">
            <v>D</v>
          </cell>
          <cell r="H554" t="str">
            <v>0</v>
          </cell>
          <cell r="I554" t="str">
            <v>807000</v>
          </cell>
          <cell r="J554">
            <v>77.56</v>
          </cell>
          <cell r="K554" t="str">
            <v>30/01/2009 00:00:00</v>
          </cell>
        </row>
        <row r="555">
          <cell r="E555" t="str">
            <v>65820202</v>
          </cell>
          <cell r="F555" t="str">
            <v>Mortor Vehicle Operating Expense - USD (Repair and Maintenance)</v>
          </cell>
          <cell r="G555" t="str">
            <v>D</v>
          </cell>
          <cell r="H555" t="str">
            <v>0</v>
          </cell>
          <cell r="I555" t="str">
            <v>808000</v>
          </cell>
          <cell r="J555">
            <v>136</v>
          </cell>
          <cell r="K555" t="str">
            <v>30/01/2009 00:00:00</v>
          </cell>
        </row>
        <row r="556">
          <cell r="E556" t="str">
            <v>658300</v>
          </cell>
          <cell r="F556" t="str">
            <v>Freight and Delivery Expenses</v>
          </cell>
          <cell r="G556" t="str">
            <v>D</v>
          </cell>
          <cell r="H556" t="str">
            <v>B</v>
          </cell>
          <cell r="I556" t="str">
            <v>812100</v>
          </cell>
          <cell r="J556">
            <v>22.38</v>
          </cell>
          <cell r="K556" t="str">
            <v>30/01/2009 00:00:00</v>
          </cell>
        </row>
        <row r="557">
          <cell r="E557" t="str">
            <v>658302</v>
          </cell>
          <cell r="F557" t="str">
            <v>Freight and Delivery Expenses-USD</v>
          </cell>
          <cell r="G557" t="str">
            <v>D</v>
          </cell>
          <cell r="H557" t="str">
            <v>0</v>
          </cell>
          <cell r="I557" t="str">
            <v>812300</v>
          </cell>
          <cell r="J557">
            <v>22.38</v>
          </cell>
          <cell r="K557" t="str">
            <v>30/01/2009 00:00:00</v>
          </cell>
        </row>
        <row r="558">
          <cell r="E558" t="str">
            <v>659000</v>
          </cell>
          <cell r="F558" t="str">
            <v>Income Tax, Tellers Shortages, Extraordinary, and Other Miscellaneous Expenses</v>
          </cell>
          <cell r="G558" t="str">
            <v>D</v>
          </cell>
          <cell r="H558" t="str">
            <v>B</v>
          </cell>
          <cell r="I558" t="str">
            <v>813000</v>
          </cell>
          <cell r="J558">
            <v>19757.21</v>
          </cell>
          <cell r="K558" t="str">
            <v>30/01/2009 00:00:00</v>
          </cell>
        </row>
        <row r="559">
          <cell r="E559" t="str">
            <v>659100</v>
          </cell>
          <cell r="F559" t="str">
            <v>Income Tax Expense</v>
          </cell>
          <cell r="G559" t="str">
            <v>D</v>
          </cell>
          <cell r="H559" t="str">
            <v>B</v>
          </cell>
          <cell r="I559" t="str">
            <v>814000</v>
          </cell>
          <cell r="J559">
            <v>19218.580000000002</v>
          </cell>
          <cell r="K559" t="str">
            <v>30/01/2009 00:00:00</v>
          </cell>
        </row>
        <row r="560">
          <cell r="E560" t="str">
            <v>659102</v>
          </cell>
          <cell r="F560" t="str">
            <v>Income Tax Expense -USD</v>
          </cell>
          <cell r="G560" t="str">
            <v>D</v>
          </cell>
          <cell r="H560" t="str">
            <v>0</v>
          </cell>
          <cell r="I560" t="str">
            <v>815000</v>
          </cell>
          <cell r="J560">
            <v>19218.580000000002</v>
          </cell>
          <cell r="K560" t="str">
            <v>30/01/2009 00:00:00</v>
          </cell>
        </row>
        <row r="561">
          <cell r="E561" t="str">
            <v>659400</v>
          </cell>
          <cell r="F561" t="str">
            <v>Other Miscellaneous Expense</v>
          </cell>
          <cell r="G561" t="str">
            <v>D</v>
          </cell>
          <cell r="H561" t="str">
            <v>B</v>
          </cell>
          <cell r="I561" t="str">
            <v>816000</v>
          </cell>
          <cell r="J561">
            <v>538.63</v>
          </cell>
          <cell r="K561" t="str">
            <v>30/01/2009 00:00:00</v>
          </cell>
        </row>
        <row r="562">
          <cell r="E562" t="str">
            <v>659402</v>
          </cell>
          <cell r="F562" t="str">
            <v>Other Miscellaneous Expense -USD</v>
          </cell>
          <cell r="G562" t="str">
            <v>D</v>
          </cell>
          <cell r="H562" t="str">
            <v>B</v>
          </cell>
          <cell r="I562" t="str">
            <v>817000</v>
          </cell>
          <cell r="J562">
            <v>538.63</v>
          </cell>
          <cell r="K562" t="str">
            <v>30/01/2009 00:00:00</v>
          </cell>
        </row>
        <row r="563">
          <cell r="E563" t="str">
            <v>65940202</v>
          </cell>
          <cell r="F563" t="str">
            <v>Other Miscellaneous Expense -USD(Business Allowance)</v>
          </cell>
          <cell r="G563" t="str">
            <v>D</v>
          </cell>
          <cell r="H563" t="str">
            <v>0</v>
          </cell>
          <cell r="I563" t="str">
            <v>817200</v>
          </cell>
          <cell r="J563">
            <v>-14.4</v>
          </cell>
          <cell r="K563" t="str">
            <v>30/01/2009 00:00:00</v>
          </cell>
        </row>
        <row r="564">
          <cell r="E564" t="str">
            <v>65940203</v>
          </cell>
          <cell r="F564" t="str">
            <v>Other Miscellaneous Expense -USD(Business Sundries)</v>
          </cell>
          <cell r="G564" t="str">
            <v>D</v>
          </cell>
          <cell r="H564" t="str">
            <v>0</v>
          </cell>
          <cell r="I564" t="str">
            <v>817300</v>
          </cell>
          <cell r="J564">
            <v>553.03</v>
          </cell>
          <cell r="K564" t="str">
            <v>30/01/2009 00:00:00</v>
          </cell>
        </row>
        <row r="565">
          <cell r="E565" t="str">
            <v>660000</v>
          </cell>
          <cell r="F565" t="str">
            <v>Non Interest Expense - Provision and Losses on Disposal</v>
          </cell>
          <cell r="G565" t="str">
            <v>D</v>
          </cell>
          <cell r="H565" t="str">
            <v>B</v>
          </cell>
          <cell r="I565" t="str">
            <v>818000</v>
          </cell>
          <cell r="J565">
            <v>14786.2</v>
          </cell>
          <cell r="K565" t="str">
            <v>30/01/2009 00:00:00</v>
          </cell>
        </row>
        <row r="566">
          <cell r="E566" t="str">
            <v>662000</v>
          </cell>
          <cell r="F566" t="str">
            <v>Losses</v>
          </cell>
          <cell r="G566" t="str">
            <v>D</v>
          </cell>
          <cell r="H566" t="str">
            <v>B</v>
          </cell>
          <cell r="I566" t="str">
            <v>819000</v>
          </cell>
          <cell r="J566">
            <v>14786.2</v>
          </cell>
          <cell r="K566" t="str">
            <v>30/01/2009 00:00:00</v>
          </cell>
        </row>
        <row r="567">
          <cell r="E567" t="str">
            <v>662100</v>
          </cell>
          <cell r="F567" t="str">
            <v>Loss on Foreign Exchange Currency Transaction and Foreign ExchangeTranslation Expense</v>
          </cell>
          <cell r="G567" t="str">
            <v>D</v>
          </cell>
          <cell r="H567" t="str">
            <v>B</v>
          </cell>
          <cell r="I567" t="str">
            <v>820000</v>
          </cell>
          <cell r="J567">
            <v>14786.2</v>
          </cell>
          <cell r="K567" t="str">
            <v>30/01/2009 00:00:00</v>
          </cell>
        </row>
        <row r="568">
          <cell r="E568" t="str">
            <v>662110</v>
          </cell>
          <cell r="F568" t="str">
            <v>Loss on Foreign Exchange Currency Transaction Expense</v>
          </cell>
          <cell r="G568" t="str">
            <v>D</v>
          </cell>
          <cell r="H568" t="str">
            <v>B</v>
          </cell>
          <cell r="I568" t="str">
            <v>821000</v>
          </cell>
          <cell r="J568">
            <v>877.83</v>
          </cell>
          <cell r="K568" t="str">
            <v>30/01/2009 00:00:00</v>
          </cell>
        </row>
        <row r="569">
          <cell r="E569" t="str">
            <v>662112</v>
          </cell>
          <cell r="F569" t="str">
            <v>Loss on FX CCY Transaction Expense -USD</v>
          </cell>
          <cell r="G569" t="str">
            <v>D</v>
          </cell>
          <cell r="H569" t="str">
            <v>0</v>
          </cell>
          <cell r="I569" t="str">
            <v>823000</v>
          </cell>
          <cell r="J569">
            <v>877.83</v>
          </cell>
          <cell r="K569" t="str">
            <v>30/01/2009 00:00:00</v>
          </cell>
        </row>
        <row r="570">
          <cell r="E570" t="str">
            <v>662120</v>
          </cell>
          <cell r="F570" t="str">
            <v>Loss on Foreign Exchange Translation Expense</v>
          </cell>
          <cell r="G570" t="str">
            <v>D</v>
          </cell>
          <cell r="H570" t="str">
            <v>B</v>
          </cell>
          <cell r="I570" t="str">
            <v>825000</v>
          </cell>
          <cell r="J570">
            <v>13908.37</v>
          </cell>
          <cell r="K570" t="str">
            <v>30/01/2009 00:00:00</v>
          </cell>
        </row>
        <row r="571">
          <cell r="E571" t="str">
            <v>662122</v>
          </cell>
          <cell r="F571" t="str">
            <v>Loss on FX Translation Expense -USD</v>
          </cell>
          <cell r="G571" t="str">
            <v>D</v>
          </cell>
          <cell r="H571" t="str">
            <v>0</v>
          </cell>
          <cell r="I571" t="str">
            <v>827000</v>
          </cell>
          <cell r="J571">
            <v>13908.37</v>
          </cell>
          <cell r="K571" t="str">
            <v>30/01/2009 00:00:00</v>
          </cell>
        </row>
        <row r="572">
          <cell r="E572" t="str">
            <v>670000</v>
          </cell>
          <cell r="F572" t="str">
            <v>Fee and Commissions Paid to Banks and OFIs</v>
          </cell>
          <cell r="G572" t="str">
            <v>D</v>
          </cell>
          <cell r="H572" t="str">
            <v>B</v>
          </cell>
          <cell r="I572" t="str">
            <v>828100</v>
          </cell>
          <cell r="J572">
            <v>77</v>
          </cell>
          <cell r="K572" t="str">
            <v>30/01/2009 00:00:00</v>
          </cell>
        </row>
        <row r="573">
          <cell r="E573" t="str">
            <v>670002</v>
          </cell>
          <cell r="F573" t="str">
            <v>Fee and Commissions Paid to Banks and OFIs-USD</v>
          </cell>
          <cell r="G573" t="str">
            <v>D</v>
          </cell>
          <cell r="H573" t="str">
            <v>0</v>
          </cell>
          <cell r="I573" t="str">
            <v>828200</v>
          </cell>
          <cell r="J573">
            <v>77</v>
          </cell>
          <cell r="K573" t="str">
            <v>30/01/2009 00:00:00</v>
          </cell>
        </row>
        <row r="574">
          <cell r="E574" t="str">
            <v>900000</v>
          </cell>
          <cell r="F574" t="str">
            <v>OFF BALANCE SHEET</v>
          </cell>
          <cell r="G574" t="str">
            <v>D</v>
          </cell>
          <cell r="H574" t="str">
            <v>B</v>
          </cell>
          <cell r="I574" t="str">
            <v>829000</v>
          </cell>
          <cell r="J574">
            <v>3122548.96</v>
          </cell>
          <cell r="K574" t="str">
            <v>30/01/2009 00:00:00</v>
          </cell>
        </row>
        <row r="575">
          <cell r="E575" t="str">
            <v>916000</v>
          </cell>
          <cell r="F575" t="str">
            <v>Unused Portion of Overdraft Loans in Favor of Customers</v>
          </cell>
          <cell r="G575" t="str">
            <v>D</v>
          </cell>
          <cell r="H575" t="str">
            <v>B</v>
          </cell>
          <cell r="I575" t="str">
            <v>829100</v>
          </cell>
          <cell r="J575">
            <v>1136170.0900000001</v>
          </cell>
          <cell r="K575" t="str">
            <v>30/01/2009 00:00:00</v>
          </cell>
        </row>
        <row r="576">
          <cell r="E576" t="str">
            <v>916002</v>
          </cell>
          <cell r="F576" t="str">
            <v>Unused Portion of Overdraft Loans in Favor of Customers-USD</v>
          </cell>
          <cell r="G576" t="str">
            <v>D</v>
          </cell>
          <cell r="H576" t="str">
            <v>0</v>
          </cell>
          <cell r="I576" t="str">
            <v>829200</v>
          </cell>
          <cell r="J576">
            <v>1136170.0900000001</v>
          </cell>
          <cell r="K576" t="str">
            <v>30/01/2009 00:00:00</v>
          </cell>
        </row>
        <row r="577">
          <cell r="E577" t="str">
            <v>920000</v>
          </cell>
          <cell r="F577" t="str">
            <v>Guarantees</v>
          </cell>
          <cell r="G577" t="str">
            <v>D</v>
          </cell>
          <cell r="H577" t="str">
            <v>B</v>
          </cell>
          <cell r="I577" t="str">
            <v>830000</v>
          </cell>
          <cell r="J577">
            <v>1986378.87</v>
          </cell>
          <cell r="K577" t="str">
            <v>30/01/2009 00:00:00</v>
          </cell>
        </row>
        <row r="578">
          <cell r="E578" t="str">
            <v>922000</v>
          </cell>
          <cell r="F578" t="str">
            <v>Guarantees Issued</v>
          </cell>
          <cell r="G578" t="str">
            <v>D</v>
          </cell>
          <cell r="H578" t="str">
            <v>B</v>
          </cell>
          <cell r="I578" t="str">
            <v>831000</v>
          </cell>
          <cell r="J578">
            <v>180000</v>
          </cell>
          <cell r="K578" t="str">
            <v>30/01/2009 00:00:00</v>
          </cell>
        </row>
        <row r="579">
          <cell r="E579" t="str">
            <v>922100</v>
          </cell>
          <cell r="F579" t="str">
            <v>Guarantees Issued on Account of Banks</v>
          </cell>
          <cell r="G579" t="str">
            <v>D</v>
          </cell>
          <cell r="H579" t="str">
            <v>B</v>
          </cell>
          <cell r="I579" t="str">
            <v>832000</v>
          </cell>
          <cell r="J579">
            <v>180000</v>
          </cell>
          <cell r="K579" t="str">
            <v>30/01/2009 00:00:00</v>
          </cell>
        </row>
        <row r="580">
          <cell r="E580" t="str">
            <v>922102</v>
          </cell>
          <cell r="F580" t="str">
            <v>Guarantees Issued on A/C of BKs -USD</v>
          </cell>
          <cell r="G580" t="str">
            <v>D</v>
          </cell>
          <cell r="H580" t="str">
            <v>0</v>
          </cell>
          <cell r="I580" t="str">
            <v>834000</v>
          </cell>
          <cell r="J580">
            <v>180000</v>
          </cell>
          <cell r="K580" t="str">
            <v>30/01/2009 00:00:00</v>
          </cell>
        </row>
        <row r="581">
          <cell r="E581" t="str">
            <v>922105</v>
          </cell>
          <cell r="F581" t="str">
            <v>Guarantees Issued on A/C of BKs -THB</v>
          </cell>
          <cell r="G581" t="str">
            <v>D</v>
          </cell>
          <cell r="H581" t="str">
            <v>0</v>
          </cell>
          <cell r="I581" t="str">
            <v>835000</v>
          </cell>
          <cell r="J581">
            <v>0</v>
          </cell>
          <cell r="K581" t="str">
            <v>30/01/2009 00:00:00</v>
          </cell>
        </row>
        <row r="582">
          <cell r="E582" t="str">
            <v>923000</v>
          </cell>
          <cell r="F582" t="str">
            <v>Acceptances</v>
          </cell>
          <cell r="G582" t="str">
            <v>D</v>
          </cell>
          <cell r="H582" t="str">
            <v>B</v>
          </cell>
          <cell r="I582" t="str">
            <v>836000</v>
          </cell>
          <cell r="J582">
            <v>683379.29</v>
          </cell>
          <cell r="K582" t="str">
            <v>30/01/2009 00:00:00</v>
          </cell>
        </row>
        <row r="583">
          <cell r="E583" t="str">
            <v>923002</v>
          </cell>
          <cell r="F583" t="str">
            <v>Acceptances - CUST LIAB U/D ACCEPT - Accepted -USD</v>
          </cell>
          <cell r="G583" t="str">
            <v>D</v>
          </cell>
          <cell r="H583" t="str">
            <v>0</v>
          </cell>
          <cell r="I583" t="str">
            <v>838000</v>
          </cell>
          <cell r="J583">
            <v>21616.97</v>
          </cell>
          <cell r="K583" t="str">
            <v>30/01/2009 00:00:00</v>
          </cell>
        </row>
        <row r="584">
          <cell r="E584" t="str">
            <v>923005</v>
          </cell>
          <cell r="F584" t="str">
            <v>Acceptances - CUST LIAB U/D ACCEPT - Accepted -THB</v>
          </cell>
          <cell r="G584" t="str">
            <v>D</v>
          </cell>
          <cell r="H584" t="str">
            <v>0</v>
          </cell>
          <cell r="I584" t="str">
            <v>839000</v>
          </cell>
          <cell r="J584">
            <v>661762.31999999995</v>
          </cell>
          <cell r="K584" t="str">
            <v>30/01/2009 00:00:00</v>
          </cell>
        </row>
        <row r="585">
          <cell r="E585" t="str">
            <v>924000</v>
          </cell>
          <cell r="F585" t="str">
            <v>Letters of Credit</v>
          </cell>
          <cell r="G585" t="str">
            <v>D</v>
          </cell>
          <cell r="H585" t="str">
            <v>B</v>
          </cell>
          <cell r="I585" t="str">
            <v>840000</v>
          </cell>
          <cell r="J585">
            <v>1112999.58</v>
          </cell>
          <cell r="K585" t="str">
            <v>30/01/2009 00:00:00</v>
          </cell>
        </row>
        <row r="586">
          <cell r="E586" t="str">
            <v>924100</v>
          </cell>
          <cell r="F586" t="str">
            <v>Standby Letters of Credit</v>
          </cell>
          <cell r="G586" t="str">
            <v>D</v>
          </cell>
          <cell r="H586" t="str">
            <v>B</v>
          </cell>
          <cell r="I586" t="str">
            <v>841000</v>
          </cell>
          <cell r="J586">
            <v>0</v>
          </cell>
          <cell r="K586" t="str">
            <v>30/01/2009 00:00:00</v>
          </cell>
        </row>
        <row r="587">
          <cell r="E587" t="str">
            <v>924102</v>
          </cell>
          <cell r="F587" t="str">
            <v>Standby L/C -USD</v>
          </cell>
          <cell r="G587" t="str">
            <v>D</v>
          </cell>
          <cell r="H587" t="str">
            <v>0</v>
          </cell>
          <cell r="I587" t="str">
            <v>843000</v>
          </cell>
          <cell r="J587">
            <v>0</v>
          </cell>
          <cell r="K587" t="str">
            <v>30/01/2009 00:00:00</v>
          </cell>
        </row>
        <row r="588">
          <cell r="E588" t="str">
            <v>924200</v>
          </cell>
          <cell r="F588" t="str">
            <v>Documentary Letters of Credit</v>
          </cell>
          <cell r="G588" t="str">
            <v>D</v>
          </cell>
          <cell r="H588" t="str">
            <v>B</v>
          </cell>
          <cell r="I588" t="str">
            <v>845000</v>
          </cell>
          <cell r="J588">
            <v>1112999.58</v>
          </cell>
          <cell r="K588" t="str">
            <v>30/01/2009 00:00:00</v>
          </cell>
        </row>
        <row r="589">
          <cell r="E589" t="str">
            <v>924202</v>
          </cell>
          <cell r="F589" t="str">
            <v>CUST LIAB U/D F L/C -Documentary L/C -USD</v>
          </cell>
          <cell r="G589" t="str">
            <v>D</v>
          </cell>
          <cell r="H589" t="str">
            <v>0</v>
          </cell>
          <cell r="I589" t="str">
            <v>847000</v>
          </cell>
          <cell r="J589">
            <v>0</v>
          </cell>
          <cell r="K589" t="str">
            <v>30/01/2009 00:00:00</v>
          </cell>
        </row>
        <row r="590">
          <cell r="E590" t="str">
            <v>92420202</v>
          </cell>
          <cell r="F590" t="str">
            <v>CUST LIAB U/D DELIVERY ORDER -USD</v>
          </cell>
          <cell r="G590" t="str">
            <v>D</v>
          </cell>
          <cell r="H590" t="str">
            <v>0</v>
          </cell>
          <cell r="I590" t="str">
            <v>847200</v>
          </cell>
          <cell r="J590">
            <v>0</v>
          </cell>
          <cell r="K590" t="str">
            <v>30/01/2009 00:00:00</v>
          </cell>
        </row>
        <row r="591">
          <cell r="E591" t="str">
            <v>92420203</v>
          </cell>
          <cell r="F591" t="str">
            <v>CUST LIAB U/D FOREIGN L/C -USD</v>
          </cell>
          <cell r="G591" t="str">
            <v>D</v>
          </cell>
          <cell r="H591" t="str">
            <v>0</v>
          </cell>
          <cell r="I591" t="str">
            <v>847300</v>
          </cell>
          <cell r="J591">
            <v>438495.14</v>
          </cell>
          <cell r="K591" t="str">
            <v>30/01/2009 00:00:00</v>
          </cell>
        </row>
        <row r="592">
          <cell r="E592" t="str">
            <v>924205</v>
          </cell>
          <cell r="F592" t="str">
            <v>CUST LIAB U/D F L/C -Documentary L/C -THB</v>
          </cell>
          <cell r="G592" t="str">
            <v>D</v>
          </cell>
          <cell r="H592" t="str">
            <v>0</v>
          </cell>
          <cell r="I592" t="str">
            <v>848000</v>
          </cell>
          <cell r="J592">
            <v>0</v>
          </cell>
          <cell r="K592" t="str">
            <v>30/01/2009 00:00:00</v>
          </cell>
        </row>
        <row r="593">
          <cell r="E593" t="str">
            <v>92420502</v>
          </cell>
          <cell r="F593" t="str">
            <v>CUST LIAB U/D DELIVERY ORDER -THB</v>
          </cell>
          <cell r="G593" t="str">
            <v>D</v>
          </cell>
          <cell r="H593" t="str">
            <v>0</v>
          </cell>
          <cell r="I593" t="str">
            <v>848200</v>
          </cell>
          <cell r="J593">
            <v>0</v>
          </cell>
          <cell r="K593" t="str">
            <v>30/01/2009 00:00:00</v>
          </cell>
        </row>
        <row r="594">
          <cell r="E594" t="str">
            <v>92420503</v>
          </cell>
          <cell r="F594" t="str">
            <v>CUST LIAB U/D FOREIGN L/C -THB</v>
          </cell>
          <cell r="G594" t="str">
            <v>D</v>
          </cell>
          <cell r="H594" t="str">
            <v>0</v>
          </cell>
          <cell r="I594" t="str">
            <v>848300</v>
          </cell>
          <cell r="J594">
            <v>674504.44</v>
          </cell>
          <cell r="K594" t="str">
            <v>30/01/2009 00:00:00</v>
          </cell>
        </row>
        <row r="595">
          <cell r="E595" t="str">
            <v>925000</v>
          </cell>
          <cell r="F595" t="str">
            <v>Bid Bonds</v>
          </cell>
          <cell r="G595" t="str">
            <v>D</v>
          </cell>
          <cell r="H595" t="str">
            <v>B</v>
          </cell>
          <cell r="I595" t="str">
            <v>849000</v>
          </cell>
          <cell r="J595">
            <v>0</v>
          </cell>
          <cell r="K595" t="str">
            <v>30/01/2009 00:00:00</v>
          </cell>
        </row>
        <row r="596">
          <cell r="E596" t="str">
            <v>925002</v>
          </cell>
          <cell r="F596" t="str">
            <v>Bid Bonds -USD</v>
          </cell>
          <cell r="G596" t="str">
            <v>D</v>
          </cell>
          <cell r="H596" t="str">
            <v>0</v>
          </cell>
          <cell r="I596" t="str">
            <v>851000</v>
          </cell>
          <cell r="J596">
            <v>0</v>
          </cell>
          <cell r="K596" t="str">
            <v>30/01/2009 00:00:00</v>
          </cell>
        </row>
        <row r="597">
          <cell r="E597" t="str">
            <v>925005</v>
          </cell>
          <cell r="F597" t="str">
            <v>Bid Bonds -THB</v>
          </cell>
          <cell r="G597" t="str">
            <v>D</v>
          </cell>
          <cell r="H597" t="str">
            <v>0</v>
          </cell>
          <cell r="I597" t="str">
            <v>852000</v>
          </cell>
          <cell r="J597">
            <v>0</v>
          </cell>
          <cell r="K597" t="str">
            <v>30/01/2009 00:00:00</v>
          </cell>
        </row>
        <row r="598">
          <cell r="E598" t="str">
            <v>926000</v>
          </cell>
          <cell r="F598" t="str">
            <v>Performance Bonds</v>
          </cell>
          <cell r="G598" t="str">
            <v>D</v>
          </cell>
          <cell r="H598" t="str">
            <v>B</v>
          </cell>
          <cell r="I598" t="str">
            <v>853000</v>
          </cell>
          <cell r="J598">
            <v>10000</v>
          </cell>
          <cell r="K598" t="str">
            <v>30/01/2009 00:00:00</v>
          </cell>
        </row>
        <row r="599">
          <cell r="E599" t="str">
            <v>926002</v>
          </cell>
          <cell r="F599" t="str">
            <v>Performance Bonds -USD</v>
          </cell>
          <cell r="G599" t="str">
            <v>D</v>
          </cell>
          <cell r="H599" t="str">
            <v>0</v>
          </cell>
          <cell r="I599" t="str">
            <v>855000</v>
          </cell>
          <cell r="J599">
            <v>10000</v>
          </cell>
          <cell r="K599" t="str">
            <v>30/01/2009 00:00:00</v>
          </cell>
        </row>
        <row r="600">
          <cell r="E600" t="str">
            <v>950000</v>
          </cell>
          <cell r="F600" t="str">
            <v>Other Commitments</v>
          </cell>
          <cell r="G600" t="str">
            <v>D</v>
          </cell>
          <cell r="H600" t="str">
            <v>B</v>
          </cell>
          <cell r="I600" t="str">
            <v>870000</v>
          </cell>
          <cell r="J600">
            <v>0</v>
          </cell>
          <cell r="K600" t="str">
            <v>30/01/2009 00:00:00</v>
          </cell>
        </row>
        <row r="601">
          <cell r="E601" t="str">
            <v>954000</v>
          </cell>
          <cell r="F601" t="str">
            <v>Assets Held as Custodian</v>
          </cell>
          <cell r="G601" t="str">
            <v>D</v>
          </cell>
          <cell r="H601" t="str">
            <v>B</v>
          </cell>
          <cell r="I601" t="str">
            <v>871000</v>
          </cell>
          <cell r="J601">
            <v>0</v>
          </cell>
          <cell r="K601" t="str">
            <v>30/01/2009 00:00:00</v>
          </cell>
        </row>
        <row r="602">
          <cell r="E602" t="str">
            <v>954100</v>
          </cell>
          <cell r="F602" t="str">
            <v>Bills of Exchange (BoE)</v>
          </cell>
          <cell r="G602" t="str">
            <v>D</v>
          </cell>
          <cell r="H602" t="str">
            <v>B</v>
          </cell>
          <cell r="I602" t="str">
            <v>872000</v>
          </cell>
          <cell r="J602">
            <v>0</v>
          </cell>
          <cell r="K602" t="str">
            <v>30/01/2009 00:00:00</v>
          </cell>
        </row>
        <row r="603">
          <cell r="E603" t="str">
            <v>954102</v>
          </cell>
          <cell r="F603" t="str">
            <v>Bills of Exchange -USD</v>
          </cell>
          <cell r="G603" t="str">
            <v>D</v>
          </cell>
          <cell r="H603" t="str">
            <v>B</v>
          </cell>
          <cell r="I603" t="str">
            <v>874000</v>
          </cell>
          <cell r="J603">
            <v>0</v>
          </cell>
          <cell r="K603" t="str">
            <v>30/01/2009 00:00:00</v>
          </cell>
        </row>
        <row r="604">
          <cell r="E604" t="str">
            <v>95410201</v>
          </cell>
          <cell r="F604" t="str">
            <v>IWD F Usance Bills U/D L/C - Drawn on Us - BoE -USD</v>
          </cell>
          <cell r="G604" t="str">
            <v>D</v>
          </cell>
          <cell r="H604" t="str">
            <v>0</v>
          </cell>
          <cell r="I604" t="str">
            <v>875000</v>
          </cell>
          <cell r="J604">
            <v>0</v>
          </cell>
          <cell r="K604" t="str">
            <v>30/01/2009 00:00:00</v>
          </cell>
        </row>
        <row r="605">
          <cell r="E605" t="str">
            <v>95410203</v>
          </cell>
          <cell r="F605" t="str">
            <v>CUST LIAB U/D FIB Arrivals - BoE -USD</v>
          </cell>
          <cell r="G605" t="str">
            <v>D</v>
          </cell>
          <cell r="H605" t="str">
            <v>0</v>
          </cell>
          <cell r="I605" t="str">
            <v>877000</v>
          </cell>
          <cell r="J605">
            <v>0</v>
          </cell>
          <cell r="K605" t="str">
            <v>30/01/2009 00:00:00</v>
          </cell>
        </row>
        <row r="606">
          <cell r="E606" t="str">
            <v>95410205</v>
          </cell>
          <cell r="F606" t="str">
            <v>Ourward Domestic Bills for Collection - BoE -USD</v>
          </cell>
          <cell r="G606" t="str">
            <v>D</v>
          </cell>
          <cell r="H606" t="str">
            <v>0</v>
          </cell>
          <cell r="I606" t="str">
            <v>879000</v>
          </cell>
          <cell r="J606">
            <v>0</v>
          </cell>
          <cell r="K606" t="str">
            <v>30/01/2009 00:00:00</v>
          </cell>
        </row>
        <row r="607">
          <cell r="E607" t="str">
            <v>95410207</v>
          </cell>
          <cell r="F607" t="str">
            <v>Outward F Bills for Collection - BoE -USD</v>
          </cell>
          <cell r="G607" t="str">
            <v>D</v>
          </cell>
          <cell r="H607" t="str">
            <v>0</v>
          </cell>
          <cell r="I607" t="str">
            <v>881000</v>
          </cell>
          <cell r="J607">
            <v>0</v>
          </cell>
          <cell r="K607" t="str">
            <v>30/01/2009 00:00:00</v>
          </cell>
        </row>
        <row r="608">
          <cell r="E608" t="str">
            <v>954105</v>
          </cell>
          <cell r="F608" t="str">
            <v>IWD F Usance Bills U/D L/C - Drawn on Us - BoE -THB</v>
          </cell>
          <cell r="G608" t="str">
            <v>D</v>
          </cell>
          <cell r="H608" t="str">
            <v>B</v>
          </cell>
          <cell r="I608" t="str">
            <v>882000</v>
          </cell>
          <cell r="J608">
            <v>0</v>
          </cell>
          <cell r="K608" t="str">
            <v>30/01/2009 00:00:00</v>
          </cell>
        </row>
        <row r="609">
          <cell r="E609" t="str">
            <v>95410501</v>
          </cell>
          <cell r="F609" t="str">
            <v>IWD F Usance Bills U/D L/C - Drawn on Us - BoE -THB</v>
          </cell>
          <cell r="G609" t="str">
            <v>D</v>
          </cell>
          <cell r="H609" t="str">
            <v>0</v>
          </cell>
          <cell r="I609" t="str">
            <v>882100</v>
          </cell>
          <cell r="J609">
            <v>0</v>
          </cell>
          <cell r="K609" t="str">
            <v>30/01/2009 00:00:00</v>
          </cell>
        </row>
        <row r="610">
          <cell r="E610" t="str">
            <v>95410503</v>
          </cell>
          <cell r="F610" t="str">
            <v>CUST LIAB U/D FIB Arrivals - BoE -THB</v>
          </cell>
          <cell r="G610" t="str">
            <v>D</v>
          </cell>
          <cell r="H610" t="str">
            <v>0</v>
          </cell>
          <cell r="I610" t="str">
            <v>882110</v>
          </cell>
          <cell r="J610">
            <v>0</v>
          </cell>
          <cell r="K610" t="str">
            <v>30/01/2009 00:00:00</v>
          </cell>
        </row>
        <row r="611">
          <cell r="E611" t="str">
            <v>95410507</v>
          </cell>
          <cell r="F611" t="str">
            <v>Outward F Bills for Collection - BoE -THB</v>
          </cell>
          <cell r="G611" t="str">
            <v>D</v>
          </cell>
          <cell r="H611" t="str">
            <v>0</v>
          </cell>
          <cell r="I611" t="str">
            <v>882120</v>
          </cell>
          <cell r="J611">
            <v>0</v>
          </cell>
          <cell r="K611" t="str">
            <v>30/01/2009 00:00:00</v>
          </cell>
        </row>
        <row r="612">
          <cell r="E612" t="str">
            <v>990000</v>
          </cell>
          <cell r="F612" t="str">
            <v>Contra Account</v>
          </cell>
          <cell r="G612" t="str">
            <v>C</v>
          </cell>
          <cell r="H612" t="str">
            <v>B</v>
          </cell>
          <cell r="I612" t="str">
            <v>883000</v>
          </cell>
          <cell r="J612">
            <v>3122548.96</v>
          </cell>
          <cell r="K612" t="str">
            <v>30/01/2009 00:00:00</v>
          </cell>
        </row>
        <row r="613">
          <cell r="E613" t="str">
            <v>991600</v>
          </cell>
          <cell r="F613" t="str">
            <v>Unused Portion of Overdraft Loans in Favor of Customers</v>
          </cell>
          <cell r="G613" t="str">
            <v>C</v>
          </cell>
          <cell r="H613" t="str">
            <v>B</v>
          </cell>
          <cell r="I613" t="str">
            <v>883100</v>
          </cell>
          <cell r="J613">
            <v>1136170.0900000001</v>
          </cell>
          <cell r="K613" t="str">
            <v>30/01/2009 00:00:00</v>
          </cell>
        </row>
        <row r="614">
          <cell r="E614" t="str">
            <v>991602</v>
          </cell>
          <cell r="F614" t="str">
            <v>Unused Portion of Overdraft Loans in Favor of Customers-USD</v>
          </cell>
          <cell r="G614" t="str">
            <v>C</v>
          </cell>
          <cell r="H614" t="str">
            <v>0</v>
          </cell>
          <cell r="I614" t="str">
            <v>883200</v>
          </cell>
          <cell r="J614">
            <v>1136170.0900000001</v>
          </cell>
          <cell r="K614" t="str">
            <v>30/01/2009 00:00:00</v>
          </cell>
        </row>
        <row r="615">
          <cell r="E615" t="str">
            <v>992000</v>
          </cell>
          <cell r="F615" t="str">
            <v>Guarantees</v>
          </cell>
          <cell r="G615" t="str">
            <v>C</v>
          </cell>
          <cell r="H615" t="str">
            <v>B</v>
          </cell>
          <cell r="I615" t="str">
            <v>884000</v>
          </cell>
          <cell r="J615">
            <v>1986378.87</v>
          </cell>
          <cell r="K615" t="str">
            <v>30/01/2009 00:00:00</v>
          </cell>
        </row>
        <row r="616">
          <cell r="E616" t="str">
            <v>992200</v>
          </cell>
          <cell r="F616" t="str">
            <v>Guarantees Issued</v>
          </cell>
          <cell r="G616" t="str">
            <v>C</v>
          </cell>
          <cell r="H616" t="str">
            <v>B</v>
          </cell>
          <cell r="I616" t="str">
            <v>885000</v>
          </cell>
          <cell r="J616">
            <v>180000</v>
          </cell>
          <cell r="K616" t="str">
            <v>30/01/2009 00:00:00</v>
          </cell>
        </row>
        <row r="617">
          <cell r="E617" t="str">
            <v>992210</v>
          </cell>
          <cell r="F617" t="str">
            <v>Guarantees Issued on Account of Banks</v>
          </cell>
          <cell r="G617" t="str">
            <v>C</v>
          </cell>
          <cell r="H617" t="str">
            <v>B</v>
          </cell>
          <cell r="I617" t="str">
            <v>886000</v>
          </cell>
          <cell r="J617">
            <v>180000</v>
          </cell>
          <cell r="K617" t="str">
            <v>30/01/2009 00:00:00</v>
          </cell>
        </row>
        <row r="618">
          <cell r="E618" t="str">
            <v>992212</v>
          </cell>
          <cell r="F618" t="str">
            <v>Guarantees Issued on Account of Banks -USD</v>
          </cell>
          <cell r="G618" t="str">
            <v>C</v>
          </cell>
          <cell r="H618" t="str">
            <v>0</v>
          </cell>
          <cell r="I618" t="str">
            <v>887000</v>
          </cell>
          <cell r="J618">
            <v>180000</v>
          </cell>
          <cell r="K618" t="str">
            <v>30/01/2009 00:00:00</v>
          </cell>
        </row>
        <row r="619">
          <cell r="E619" t="str">
            <v>992215</v>
          </cell>
          <cell r="F619" t="str">
            <v>Guarantees Issued on Account of Banks -THB</v>
          </cell>
          <cell r="G619" t="str">
            <v>C</v>
          </cell>
          <cell r="H619" t="str">
            <v>0</v>
          </cell>
          <cell r="I619" t="str">
            <v>888000</v>
          </cell>
          <cell r="J619">
            <v>0</v>
          </cell>
          <cell r="K619" t="str">
            <v>30/01/2009 00:00:00</v>
          </cell>
        </row>
        <row r="620">
          <cell r="E620" t="str">
            <v>992300</v>
          </cell>
          <cell r="F620" t="str">
            <v>Acceptances</v>
          </cell>
          <cell r="G620" t="str">
            <v>C</v>
          </cell>
          <cell r="H620" t="str">
            <v>B</v>
          </cell>
          <cell r="I620" t="str">
            <v>893000</v>
          </cell>
          <cell r="J620">
            <v>683379.29</v>
          </cell>
          <cell r="K620" t="str">
            <v>30/01/2009 00:00:00</v>
          </cell>
        </row>
        <row r="621">
          <cell r="E621" t="str">
            <v>992302</v>
          </cell>
          <cell r="F621" t="str">
            <v>Acceptances - Accepted -USD</v>
          </cell>
          <cell r="G621" t="str">
            <v>C</v>
          </cell>
          <cell r="H621" t="str">
            <v>0</v>
          </cell>
          <cell r="I621" t="str">
            <v>895000</v>
          </cell>
          <cell r="J621">
            <v>21616.97</v>
          </cell>
          <cell r="K621" t="str">
            <v>30/01/2009 00:00:00</v>
          </cell>
        </row>
        <row r="622">
          <cell r="E622" t="str">
            <v>992305</v>
          </cell>
          <cell r="F622" t="str">
            <v>Acceptances - Accepted -THB</v>
          </cell>
          <cell r="G622" t="str">
            <v>C</v>
          </cell>
          <cell r="H622" t="str">
            <v>0</v>
          </cell>
          <cell r="I622" t="str">
            <v>896000</v>
          </cell>
          <cell r="J622">
            <v>661762.31999999995</v>
          </cell>
          <cell r="K622" t="str">
            <v>30/01/2009 00:00:00</v>
          </cell>
        </row>
        <row r="623">
          <cell r="E623" t="str">
            <v>992400</v>
          </cell>
          <cell r="F623" t="str">
            <v>Letters of Credit</v>
          </cell>
          <cell r="G623" t="str">
            <v>C</v>
          </cell>
          <cell r="H623" t="str">
            <v>B</v>
          </cell>
          <cell r="I623" t="str">
            <v>897000</v>
          </cell>
          <cell r="J623">
            <v>1112999.58</v>
          </cell>
          <cell r="K623" t="str">
            <v>30/01/2009 00:00:00</v>
          </cell>
        </row>
        <row r="624">
          <cell r="E624" t="str">
            <v>992410</v>
          </cell>
          <cell r="F624" t="str">
            <v>Standby Letters of Credit</v>
          </cell>
          <cell r="G624" t="str">
            <v>C</v>
          </cell>
          <cell r="H624" t="str">
            <v>B</v>
          </cell>
          <cell r="I624" t="str">
            <v>898000</v>
          </cell>
          <cell r="J624">
            <v>0</v>
          </cell>
          <cell r="K624" t="str">
            <v>30/01/2009 00:00:00</v>
          </cell>
        </row>
        <row r="625">
          <cell r="E625" t="str">
            <v>992412</v>
          </cell>
          <cell r="F625" t="str">
            <v>Standby L/C -USD</v>
          </cell>
          <cell r="G625" t="str">
            <v>C</v>
          </cell>
          <cell r="H625" t="str">
            <v>0</v>
          </cell>
          <cell r="I625" t="str">
            <v>900000</v>
          </cell>
          <cell r="J625">
            <v>0</v>
          </cell>
          <cell r="K625" t="str">
            <v>30/01/2009 00:00:00</v>
          </cell>
        </row>
        <row r="626">
          <cell r="E626" t="str">
            <v>992420</v>
          </cell>
          <cell r="F626" t="str">
            <v>Documentary Letters of Credit</v>
          </cell>
          <cell r="G626" t="str">
            <v>C</v>
          </cell>
          <cell r="H626" t="str">
            <v>B</v>
          </cell>
          <cell r="I626" t="str">
            <v>902000</v>
          </cell>
          <cell r="J626">
            <v>1112999.58</v>
          </cell>
          <cell r="K626" t="str">
            <v>30/01/2009 00:00:00</v>
          </cell>
        </row>
        <row r="627">
          <cell r="E627" t="str">
            <v>992422</v>
          </cell>
          <cell r="F627" t="str">
            <v>LIAB U/D F L/C - Documentary L/C -USD</v>
          </cell>
          <cell r="G627" t="str">
            <v>C</v>
          </cell>
          <cell r="H627" t="str">
            <v>0</v>
          </cell>
          <cell r="I627" t="str">
            <v>904000</v>
          </cell>
          <cell r="J627">
            <v>0</v>
          </cell>
          <cell r="K627" t="str">
            <v>30/01/2009 00:00:00</v>
          </cell>
        </row>
        <row r="628">
          <cell r="E628" t="str">
            <v>99242202</v>
          </cell>
          <cell r="F628" t="str">
            <v>LIAB U/D DELIVERY ORDER -USD</v>
          </cell>
          <cell r="G628" t="str">
            <v>C</v>
          </cell>
          <cell r="H628" t="str">
            <v>0</v>
          </cell>
          <cell r="I628" t="str">
            <v>904200</v>
          </cell>
          <cell r="J628">
            <v>0</v>
          </cell>
          <cell r="K628" t="str">
            <v>30/01/2009 00:00:00</v>
          </cell>
        </row>
        <row r="629">
          <cell r="E629" t="str">
            <v>99242203</v>
          </cell>
          <cell r="F629" t="str">
            <v>LIAB U/D FOREIGN L/C -USD</v>
          </cell>
          <cell r="G629" t="str">
            <v>C</v>
          </cell>
          <cell r="H629" t="str">
            <v>0</v>
          </cell>
          <cell r="I629" t="str">
            <v>904300</v>
          </cell>
          <cell r="J629">
            <v>438495.14</v>
          </cell>
          <cell r="K629" t="str">
            <v>30/01/2009 00:00:00</v>
          </cell>
        </row>
        <row r="630">
          <cell r="E630" t="str">
            <v>992425</v>
          </cell>
          <cell r="F630" t="str">
            <v>LIAB U/D F L/C - Documentary L/C -THB</v>
          </cell>
          <cell r="G630" t="str">
            <v>C</v>
          </cell>
          <cell r="H630" t="str">
            <v>0</v>
          </cell>
          <cell r="I630" t="str">
            <v>905000</v>
          </cell>
          <cell r="J630">
            <v>0</v>
          </cell>
          <cell r="K630" t="str">
            <v>30/01/2009 00:00:00</v>
          </cell>
        </row>
        <row r="631">
          <cell r="E631" t="str">
            <v>99242502</v>
          </cell>
          <cell r="F631" t="str">
            <v>LIAB U/D DELIVERY ORDER -THB</v>
          </cell>
          <cell r="G631" t="str">
            <v>C</v>
          </cell>
          <cell r="H631" t="str">
            <v>0</v>
          </cell>
          <cell r="I631" t="str">
            <v>905200</v>
          </cell>
          <cell r="J631">
            <v>0</v>
          </cell>
          <cell r="K631" t="str">
            <v>30/01/2009 00:00:00</v>
          </cell>
        </row>
        <row r="632">
          <cell r="E632" t="str">
            <v>99242503</v>
          </cell>
          <cell r="F632" t="str">
            <v>LIAB U/D FOREIGN L/C -THB</v>
          </cell>
          <cell r="G632" t="str">
            <v>C</v>
          </cell>
          <cell r="H632" t="str">
            <v>0</v>
          </cell>
          <cell r="I632" t="str">
            <v>905300</v>
          </cell>
          <cell r="J632">
            <v>674504.44</v>
          </cell>
          <cell r="K632" t="str">
            <v>30/01/2009 00:00:00</v>
          </cell>
        </row>
        <row r="633">
          <cell r="E633" t="str">
            <v>992500</v>
          </cell>
          <cell r="F633" t="str">
            <v>Bid Bonds</v>
          </cell>
          <cell r="G633" t="str">
            <v>C</v>
          </cell>
          <cell r="H633" t="str">
            <v>B</v>
          </cell>
          <cell r="I633" t="str">
            <v>906000</v>
          </cell>
          <cell r="J633">
            <v>0</v>
          </cell>
          <cell r="K633" t="str">
            <v>30/01/2009 00:00:00</v>
          </cell>
        </row>
        <row r="634">
          <cell r="E634" t="str">
            <v>992502</v>
          </cell>
          <cell r="F634" t="str">
            <v>Bid Bonds -USD</v>
          </cell>
          <cell r="G634" t="str">
            <v>C</v>
          </cell>
          <cell r="H634" t="str">
            <v>0</v>
          </cell>
          <cell r="I634" t="str">
            <v>908000</v>
          </cell>
          <cell r="J634">
            <v>0</v>
          </cell>
          <cell r="K634" t="str">
            <v>30/01/2009 00:00:00</v>
          </cell>
        </row>
        <row r="635">
          <cell r="E635" t="str">
            <v>992505</v>
          </cell>
          <cell r="F635" t="str">
            <v>Bid Bonds -THB</v>
          </cell>
          <cell r="G635" t="str">
            <v>C</v>
          </cell>
          <cell r="H635" t="str">
            <v>0</v>
          </cell>
          <cell r="I635" t="str">
            <v>909000</v>
          </cell>
          <cell r="J635">
            <v>0</v>
          </cell>
          <cell r="K635" t="str">
            <v>30/01/2009 00:00:00</v>
          </cell>
        </row>
        <row r="636">
          <cell r="E636" t="str">
            <v>992600</v>
          </cell>
          <cell r="F636" t="str">
            <v>Performance Bonds</v>
          </cell>
          <cell r="G636" t="str">
            <v>C</v>
          </cell>
          <cell r="H636" t="str">
            <v>B</v>
          </cell>
          <cell r="I636" t="str">
            <v>910000</v>
          </cell>
          <cell r="J636">
            <v>10000</v>
          </cell>
          <cell r="K636" t="str">
            <v>30/01/2009 00:00:00</v>
          </cell>
        </row>
        <row r="637">
          <cell r="E637" t="str">
            <v>992602</v>
          </cell>
          <cell r="F637" t="str">
            <v>Performance Bonds -USD</v>
          </cell>
          <cell r="G637" t="str">
            <v>C</v>
          </cell>
          <cell r="H637" t="str">
            <v>0</v>
          </cell>
          <cell r="I637" t="str">
            <v>912000</v>
          </cell>
          <cell r="J637">
            <v>10000</v>
          </cell>
          <cell r="K637" t="str">
            <v>30/01/2009 00:00:00</v>
          </cell>
        </row>
        <row r="638">
          <cell r="E638" t="str">
            <v>995000</v>
          </cell>
          <cell r="F638" t="str">
            <v>Other Commitments</v>
          </cell>
          <cell r="G638" t="str">
            <v>C</v>
          </cell>
          <cell r="H638" t="str">
            <v>B</v>
          </cell>
          <cell r="I638" t="str">
            <v>931000</v>
          </cell>
          <cell r="J638">
            <v>0</v>
          </cell>
          <cell r="K638" t="str">
            <v>30/01/2009 00:00:00</v>
          </cell>
        </row>
        <row r="639">
          <cell r="E639" t="str">
            <v>995400</v>
          </cell>
          <cell r="F639" t="str">
            <v>Assets Held as Custodian</v>
          </cell>
          <cell r="G639" t="str">
            <v>C</v>
          </cell>
          <cell r="H639" t="str">
            <v>B</v>
          </cell>
          <cell r="I639" t="str">
            <v>932000</v>
          </cell>
          <cell r="J639">
            <v>0</v>
          </cell>
          <cell r="K639" t="str">
            <v>30/01/2009 00:00:00</v>
          </cell>
        </row>
        <row r="640">
          <cell r="E640" t="str">
            <v>995410</v>
          </cell>
          <cell r="F640" t="str">
            <v>Bills of Exchange (BoE)</v>
          </cell>
          <cell r="G640" t="str">
            <v>C</v>
          </cell>
          <cell r="H640" t="str">
            <v>B</v>
          </cell>
          <cell r="I640" t="str">
            <v>934000</v>
          </cell>
          <cell r="J640">
            <v>0</v>
          </cell>
          <cell r="K640" t="str">
            <v>30/01/2009 00:00:00</v>
          </cell>
        </row>
        <row r="641">
          <cell r="E641" t="str">
            <v>995412</v>
          </cell>
          <cell r="F641" t="str">
            <v>Bills of Exchange -USD</v>
          </cell>
          <cell r="G641" t="str">
            <v>C</v>
          </cell>
          <cell r="H641" t="str">
            <v>B</v>
          </cell>
          <cell r="I641" t="str">
            <v>936000</v>
          </cell>
          <cell r="J641">
            <v>0</v>
          </cell>
          <cell r="K641" t="str">
            <v>30/01/2009 00:00:00</v>
          </cell>
        </row>
        <row r="642">
          <cell r="E642" t="str">
            <v>99541201</v>
          </cell>
          <cell r="F642" t="str">
            <v>LIAB IWD F Usance B L/C - Drawn on Us - BoE -USD</v>
          </cell>
          <cell r="G642" t="str">
            <v>C</v>
          </cell>
          <cell r="H642" t="str">
            <v>0</v>
          </cell>
          <cell r="I642" t="str">
            <v>937000</v>
          </cell>
          <cell r="J642">
            <v>0</v>
          </cell>
          <cell r="K642" t="str">
            <v>30/01/2009 00:00:00</v>
          </cell>
        </row>
        <row r="643">
          <cell r="E643" t="str">
            <v>99541203</v>
          </cell>
          <cell r="F643" t="str">
            <v>LIAB U/D FIB Arrival BoE -USD</v>
          </cell>
          <cell r="G643" t="str">
            <v>C</v>
          </cell>
          <cell r="H643" t="str">
            <v>0</v>
          </cell>
          <cell r="I643" t="str">
            <v>939000</v>
          </cell>
          <cell r="J643">
            <v>0</v>
          </cell>
          <cell r="K643" t="str">
            <v>30/01/2009 00:00:00</v>
          </cell>
        </row>
        <row r="644">
          <cell r="E644" t="str">
            <v>99541204</v>
          </cell>
          <cell r="F644" t="str">
            <v>Inward Domestic Bills for Collection - BoE -USD</v>
          </cell>
          <cell r="G644" t="str">
            <v>C</v>
          </cell>
          <cell r="H644" t="str">
            <v>0</v>
          </cell>
          <cell r="I644" t="str">
            <v>940000</v>
          </cell>
          <cell r="J644">
            <v>0</v>
          </cell>
          <cell r="K644" t="str">
            <v>30/01/2009 00:00:00</v>
          </cell>
        </row>
        <row r="645">
          <cell r="E645" t="str">
            <v>99541205</v>
          </cell>
          <cell r="F645" t="str">
            <v>Outward Domestic Bills for Collection - BoE -USD</v>
          </cell>
          <cell r="G645" t="str">
            <v>C</v>
          </cell>
          <cell r="H645" t="str">
            <v>0</v>
          </cell>
          <cell r="I645" t="str">
            <v>941000</v>
          </cell>
          <cell r="J645">
            <v>0</v>
          </cell>
          <cell r="K645" t="str">
            <v>30/01/2009 00:00:00</v>
          </cell>
        </row>
        <row r="646">
          <cell r="E646" t="str">
            <v>99541207</v>
          </cell>
          <cell r="F646" t="str">
            <v>Outward F Bills for Collection - BoE -USD</v>
          </cell>
          <cell r="G646" t="str">
            <v>C</v>
          </cell>
          <cell r="H646" t="str">
            <v>0</v>
          </cell>
          <cell r="I646" t="str">
            <v>943000</v>
          </cell>
          <cell r="J646">
            <v>0</v>
          </cell>
          <cell r="K646" t="str">
            <v>30/01/2009 00:00:00</v>
          </cell>
        </row>
        <row r="647">
          <cell r="E647" t="str">
            <v>995415</v>
          </cell>
          <cell r="F647" t="str">
            <v>LIAB IWD F Usance B L/C - Drawn on Us - BoE -THB</v>
          </cell>
          <cell r="G647" t="str">
            <v>C</v>
          </cell>
          <cell r="H647" t="str">
            <v>B</v>
          </cell>
          <cell r="I647" t="str">
            <v>944000</v>
          </cell>
          <cell r="J647">
            <v>0</v>
          </cell>
          <cell r="K647" t="str">
            <v>30/01/2009 00:00:00</v>
          </cell>
        </row>
        <row r="648">
          <cell r="E648" t="str">
            <v>99541501</v>
          </cell>
          <cell r="F648" t="str">
            <v>LIAB IWD F Usance B L/C - Drawn on Us - BoE -THB</v>
          </cell>
          <cell r="G648" t="str">
            <v>C</v>
          </cell>
          <cell r="H648" t="str">
            <v>0</v>
          </cell>
          <cell r="I648" t="str">
            <v>944100</v>
          </cell>
          <cell r="J648">
            <v>0</v>
          </cell>
          <cell r="K648" t="str">
            <v>30/01/2009 00:00:00</v>
          </cell>
        </row>
        <row r="649">
          <cell r="E649" t="str">
            <v>99541503</v>
          </cell>
          <cell r="F649" t="str">
            <v>LIAB U/D FIB Arrival BoE -THB</v>
          </cell>
          <cell r="G649" t="str">
            <v>C</v>
          </cell>
          <cell r="H649" t="str">
            <v>0</v>
          </cell>
          <cell r="I649" t="str">
            <v>944110</v>
          </cell>
          <cell r="J649">
            <v>0</v>
          </cell>
          <cell r="K649" t="str">
            <v>30/01/2009 00:00:00</v>
          </cell>
        </row>
        <row r="650">
          <cell r="E650" t="str">
            <v>99541507</v>
          </cell>
          <cell r="F650" t="str">
            <v>Outward F Bills for Collection - BoE -THB</v>
          </cell>
          <cell r="G650" t="str">
            <v>C</v>
          </cell>
          <cell r="H650" t="str">
            <v>0</v>
          </cell>
          <cell r="I650" t="str">
            <v>944200</v>
          </cell>
          <cell r="J650">
            <v>0</v>
          </cell>
          <cell r="K650" t="str">
            <v>30/01/2009 00:00:00</v>
          </cell>
        </row>
        <row r="651">
          <cell r="E651" t="str">
            <v>999999</v>
          </cell>
          <cell r="F651" t="str">
            <v>Clearing TFS</v>
          </cell>
          <cell r="G651" t="str">
            <v>D</v>
          </cell>
          <cell r="H651" t="str">
            <v>0</v>
          </cell>
          <cell r="I651" t="str">
            <v>945000</v>
          </cell>
          <cell r="J651">
            <v>0</v>
          </cell>
          <cell r="K651" t="str">
            <v>30/01/2009 00:00:00</v>
          </cell>
        </row>
      </sheetData>
      <sheetData sheetId="3">
        <row r="1">
          <cell r="E1" t="str">
            <v>acct</v>
          </cell>
          <cell r="F1" t="str">
            <v>acct_name</v>
          </cell>
          <cell r="G1" t="str">
            <v>acct_nature</v>
          </cell>
          <cell r="H1" t="str">
            <v>acct_post</v>
          </cell>
          <cell r="I1" t="str">
            <v>acct_sort</v>
          </cell>
          <cell r="J1" t="str">
            <v>cf_local_amt</v>
          </cell>
          <cell r="K1" t="str">
            <v>ent_date</v>
          </cell>
        </row>
        <row r="2">
          <cell r="E2" t="str">
            <v>100000</v>
          </cell>
          <cell r="F2" t="str">
            <v>Cash Due from Banks and Customers</v>
          </cell>
          <cell r="G2" t="str">
            <v>D</v>
          </cell>
          <cell r="H2" t="str">
            <v>B</v>
          </cell>
          <cell r="I2" t="str">
            <v>1000</v>
          </cell>
          <cell r="J2">
            <v>11196309.4</v>
          </cell>
          <cell r="K2" t="str">
            <v>30/01/2009 00:00:00</v>
          </cell>
        </row>
        <row r="3">
          <cell r="E3" t="str">
            <v>110000</v>
          </cell>
          <cell r="F3" t="str">
            <v>Cash on Hand and Due From Banks</v>
          </cell>
          <cell r="G3" t="str">
            <v>D</v>
          </cell>
          <cell r="H3" t="str">
            <v>B</v>
          </cell>
          <cell r="I3" t="str">
            <v>2000</v>
          </cell>
          <cell r="J3">
            <v>10752608.41</v>
          </cell>
          <cell r="K3" t="str">
            <v>30/01/2009 00:00:00</v>
          </cell>
        </row>
        <row r="4">
          <cell r="E4" t="str">
            <v>111000</v>
          </cell>
          <cell r="F4" t="str">
            <v>Cash in vault and on Hand</v>
          </cell>
          <cell r="G4" t="str">
            <v>D</v>
          </cell>
          <cell r="H4" t="str">
            <v>B</v>
          </cell>
          <cell r="I4" t="str">
            <v>3000</v>
          </cell>
          <cell r="J4">
            <v>216885.49</v>
          </cell>
          <cell r="K4" t="str">
            <v>30/01/2009 00:00:00</v>
          </cell>
        </row>
        <row r="5">
          <cell r="E5" t="str">
            <v>111100</v>
          </cell>
          <cell r="F5" t="str">
            <v>Cash in vault and on Hand</v>
          </cell>
          <cell r="G5" t="str">
            <v>D</v>
          </cell>
          <cell r="H5" t="str">
            <v>B</v>
          </cell>
          <cell r="I5" t="str">
            <v>4000</v>
          </cell>
          <cell r="J5">
            <v>216885.49</v>
          </cell>
          <cell r="K5" t="str">
            <v>30/01/2009 00:00:00</v>
          </cell>
        </row>
        <row r="6">
          <cell r="E6" t="str">
            <v>111101</v>
          </cell>
          <cell r="F6" t="str">
            <v>Cash in vault and on Hand –KHR</v>
          </cell>
          <cell r="G6" t="str">
            <v>D</v>
          </cell>
          <cell r="H6" t="str">
            <v>0</v>
          </cell>
          <cell r="I6" t="str">
            <v>5000</v>
          </cell>
          <cell r="J6">
            <v>0</v>
          </cell>
          <cell r="K6" t="str">
            <v>30/01/2009 00:00:00</v>
          </cell>
        </row>
        <row r="7">
          <cell r="E7" t="str">
            <v>111102</v>
          </cell>
          <cell r="F7" t="str">
            <v>Cash in vault and on Hand –USD</v>
          </cell>
          <cell r="G7" t="str">
            <v>D</v>
          </cell>
          <cell r="H7" t="str">
            <v>0</v>
          </cell>
          <cell r="I7" t="str">
            <v>6000</v>
          </cell>
          <cell r="J7">
            <v>70887.67</v>
          </cell>
          <cell r="K7" t="str">
            <v>30/01/2009 00:00:00</v>
          </cell>
        </row>
        <row r="8">
          <cell r="E8" t="str">
            <v>111103</v>
          </cell>
          <cell r="F8" t="str">
            <v>Cash in Vault and on Hand-EUR</v>
          </cell>
          <cell r="G8" t="str">
            <v>D</v>
          </cell>
          <cell r="H8" t="str">
            <v>0</v>
          </cell>
          <cell r="I8" t="str">
            <v>6100</v>
          </cell>
          <cell r="J8">
            <v>0</v>
          </cell>
          <cell r="K8" t="str">
            <v>30/01/2009 00:00:00</v>
          </cell>
        </row>
        <row r="9">
          <cell r="E9" t="str">
            <v>111104</v>
          </cell>
          <cell r="F9" t="str">
            <v>Cash in Vault and on Hand-JPY</v>
          </cell>
          <cell r="G9" t="str">
            <v>D</v>
          </cell>
          <cell r="H9" t="str">
            <v>0</v>
          </cell>
          <cell r="I9" t="str">
            <v>6200</v>
          </cell>
          <cell r="J9">
            <v>0</v>
          </cell>
          <cell r="K9" t="str">
            <v>30/01/2009 00:00:00</v>
          </cell>
        </row>
        <row r="10">
          <cell r="E10" t="str">
            <v>111105</v>
          </cell>
          <cell r="F10" t="str">
            <v>Cash in vault and on Hand –THB</v>
          </cell>
          <cell r="G10" t="str">
            <v>D</v>
          </cell>
          <cell r="H10" t="str">
            <v>0</v>
          </cell>
          <cell r="I10" t="str">
            <v>7000</v>
          </cell>
          <cell r="J10">
            <v>145997.82</v>
          </cell>
          <cell r="K10" t="str">
            <v>30/01/2009 00:00:00</v>
          </cell>
        </row>
        <row r="11">
          <cell r="E11" t="str">
            <v>114000</v>
          </cell>
          <cell r="F11" t="str">
            <v>Due from NBC</v>
          </cell>
          <cell r="G11" t="str">
            <v>D</v>
          </cell>
          <cell r="H11" t="str">
            <v>B</v>
          </cell>
          <cell r="I11" t="str">
            <v>10000</v>
          </cell>
          <cell r="J11">
            <v>10535722.92</v>
          </cell>
          <cell r="K11" t="str">
            <v>30/01/2009 00:00:00</v>
          </cell>
        </row>
        <row r="12">
          <cell r="E12" t="str">
            <v>114101</v>
          </cell>
          <cell r="F12" t="str">
            <v>C/A (Nostro) with NBC (SIEM REAP)–KHR</v>
          </cell>
          <cell r="G12" t="str">
            <v>D</v>
          </cell>
          <cell r="H12" t="str">
            <v>0</v>
          </cell>
          <cell r="I12" t="str">
            <v>11000</v>
          </cell>
          <cell r="J12">
            <v>1794.65</v>
          </cell>
          <cell r="K12" t="str">
            <v>30/01/2009 00:00:00</v>
          </cell>
        </row>
        <row r="13">
          <cell r="E13" t="str">
            <v>114102</v>
          </cell>
          <cell r="F13" t="str">
            <v>C/A (Nostro) with NBC (SIEM REAP)–USD</v>
          </cell>
          <cell r="G13" t="str">
            <v>D</v>
          </cell>
          <cell r="H13" t="str">
            <v>0</v>
          </cell>
          <cell r="I13" t="str">
            <v>12000</v>
          </cell>
          <cell r="J13">
            <v>283928.27</v>
          </cell>
          <cell r="K13" t="str">
            <v>30/01/2009 00:00:00</v>
          </cell>
        </row>
        <row r="14">
          <cell r="E14" t="str">
            <v>114602</v>
          </cell>
          <cell r="F14" t="str">
            <v>Short Term Time Deposit with NBC-USD</v>
          </cell>
          <cell r="G14" t="str">
            <v>D</v>
          </cell>
          <cell r="H14" t="str">
            <v>0</v>
          </cell>
          <cell r="I14" t="str">
            <v>16200</v>
          </cell>
          <cell r="J14">
            <v>10250000</v>
          </cell>
          <cell r="K14" t="str">
            <v>30/01/2009 00:00:00</v>
          </cell>
        </row>
        <row r="15">
          <cell r="E15" t="str">
            <v>130000</v>
          </cell>
          <cell r="F15" t="str">
            <v>Standard Loans and Lease Financing</v>
          </cell>
          <cell r="G15" t="str">
            <v>D</v>
          </cell>
          <cell r="H15" t="str">
            <v>B</v>
          </cell>
          <cell r="I15" t="str">
            <v>17000</v>
          </cell>
          <cell r="J15">
            <v>448042.48</v>
          </cell>
          <cell r="K15" t="str">
            <v>30/01/2009 00:00:00</v>
          </cell>
        </row>
        <row r="16">
          <cell r="E16" t="str">
            <v>132000</v>
          </cell>
          <cell r="F16" t="str">
            <v>Standard Loans – Commercial Loans</v>
          </cell>
          <cell r="G16" t="str">
            <v>D</v>
          </cell>
          <cell r="H16" t="str">
            <v>B</v>
          </cell>
          <cell r="I16" t="str">
            <v>18000</v>
          </cell>
          <cell r="J16">
            <v>448042.48</v>
          </cell>
          <cell r="K16" t="str">
            <v>30/01/2009 00:00:00</v>
          </cell>
        </row>
        <row r="17">
          <cell r="E17" t="str">
            <v>132100</v>
          </cell>
          <cell r="F17" t="str">
            <v>Standard Loans – Overdraft (Permanent Line of Credit)</v>
          </cell>
          <cell r="G17" t="str">
            <v>D</v>
          </cell>
          <cell r="H17" t="str">
            <v>B</v>
          </cell>
          <cell r="I17" t="str">
            <v>19000</v>
          </cell>
          <cell r="J17">
            <v>69042.48</v>
          </cell>
          <cell r="K17" t="str">
            <v>30/01/2009 00:00:00</v>
          </cell>
        </row>
        <row r="18">
          <cell r="E18" t="str">
            <v>132110</v>
          </cell>
          <cell r="F18" t="str">
            <v>Standard Loans – Overdraft (Permanent Line of Credit) – Private Sector – Resident</v>
          </cell>
          <cell r="G18" t="str">
            <v>D</v>
          </cell>
          <cell r="H18" t="str">
            <v>B</v>
          </cell>
          <cell r="I18" t="str">
            <v>20000</v>
          </cell>
          <cell r="J18">
            <v>69042.48</v>
          </cell>
          <cell r="K18" t="str">
            <v>30/01/2009 00:00:00</v>
          </cell>
        </row>
        <row r="19">
          <cell r="E19" t="str">
            <v>132112</v>
          </cell>
          <cell r="F19" t="str">
            <v>STD Loans – O/D (Permanent Line of Credit) – Private Sector – Resident –USD</v>
          </cell>
          <cell r="G19" t="str">
            <v>D</v>
          </cell>
          <cell r="H19" t="str">
            <v>0</v>
          </cell>
          <cell r="I19" t="str">
            <v>22000</v>
          </cell>
          <cell r="J19">
            <v>69042.48</v>
          </cell>
          <cell r="K19" t="str">
            <v>30/01/2009 00:00:00</v>
          </cell>
        </row>
        <row r="20">
          <cell r="E20" t="str">
            <v>132200</v>
          </cell>
          <cell r="F20" t="str">
            <v>Standard Loans-Short term Commercial Loans</v>
          </cell>
          <cell r="G20" t="str">
            <v>D</v>
          </cell>
          <cell r="H20" t="str">
            <v>B</v>
          </cell>
          <cell r="I20" t="str">
            <v>23100</v>
          </cell>
          <cell r="J20">
            <v>200000</v>
          </cell>
          <cell r="K20" t="str">
            <v>30/01/2009 00:00:00</v>
          </cell>
        </row>
        <row r="21">
          <cell r="E21" t="str">
            <v>132210</v>
          </cell>
          <cell r="F21" t="str">
            <v>Standard Loans-Short term Commercial Loans-Private Sector-Resident</v>
          </cell>
          <cell r="G21" t="str">
            <v>D</v>
          </cell>
          <cell r="H21" t="str">
            <v>B</v>
          </cell>
          <cell r="I21" t="str">
            <v>23200</v>
          </cell>
          <cell r="J21">
            <v>200000</v>
          </cell>
          <cell r="K21" t="str">
            <v>30/01/2009 00:00:00</v>
          </cell>
        </row>
        <row r="22">
          <cell r="E22" t="str">
            <v>132212</v>
          </cell>
          <cell r="F22" t="str">
            <v>Standard Loans-Short term Commercial Loans-Private Sector-Resident-USD</v>
          </cell>
          <cell r="G22" t="str">
            <v>D</v>
          </cell>
          <cell r="H22" t="str">
            <v>B</v>
          </cell>
          <cell r="I22" t="str">
            <v>23300</v>
          </cell>
          <cell r="J22">
            <v>200000</v>
          </cell>
          <cell r="K22" t="str">
            <v>30/01/2009 00:00:00</v>
          </cell>
        </row>
        <row r="23">
          <cell r="E23" t="str">
            <v>13221202</v>
          </cell>
          <cell r="F23" t="str">
            <v>Standard Loans-(LBP)-Short term Commercial Loans-Private Sector-Resident-USD</v>
          </cell>
          <cell r="G23" t="str">
            <v>D</v>
          </cell>
          <cell r="H23" t="str">
            <v>0</v>
          </cell>
          <cell r="I23" t="str">
            <v>23500</v>
          </cell>
          <cell r="J23">
            <v>200000</v>
          </cell>
          <cell r="K23" t="str">
            <v>30/01/2009 00:00:00</v>
          </cell>
        </row>
        <row r="24">
          <cell r="E24" t="str">
            <v>132300</v>
          </cell>
          <cell r="F24" t="str">
            <v>Standard Loans – Long term Commercial Loans</v>
          </cell>
          <cell r="G24" t="str">
            <v>D</v>
          </cell>
          <cell r="H24" t="str">
            <v>B</v>
          </cell>
          <cell r="I24" t="str">
            <v>24000</v>
          </cell>
          <cell r="J24">
            <v>179000</v>
          </cell>
          <cell r="K24" t="str">
            <v>30/01/2009 00:00:00</v>
          </cell>
        </row>
        <row r="25">
          <cell r="E25" t="str">
            <v>132370</v>
          </cell>
          <cell r="F25" t="str">
            <v>Standard Loans – Other Long term Loans</v>
          </cell>
          <cell r="G25" t="str">
            <v>D</v>
          </cell>
          <cell r="H25" t="str">
            <v>B</v>
          </cell>
          <cell r="I25" t="str">
            <v>25000</v>
          </cell>
          <cell r="J25">
            <v>179000</v>
          </cell>
          <cell r="K25" t="str">
            <v>30/01/2009 00:00:00</v>
          </cell>
        </row>
        <row r="26">
          <cell r="E26" t="str">
            <v>132372</v>
          </cell>
          <cell r="F26" t="str">
            <v>STD Loans – Other Long term Loans – Private Sector – Resident –USD</v>
          </cell>
          <cell r="G26" t="str">
            <v>D</v>
          </cell>
          <cell r="H26" t="str">
            <v>0</v>
          </cell>
          <cell r="I26" t="str">
            <v>27000</v>
          </cell>
          <cell r="J26">
            <v>179000</v>
          </cell>
          <cell r="K26" t="str">
            <v>30/01/2009 00:00:00</v>
          </cell>
        </row>
        <row r="27">
          <cell r="E27" t="str">
            <v>170000</v>
          </cell>
          <cell r="F27" t="str">
            <v>(Less) Allowance for Loans and Lease Losses (ALLL)</v>
          </cell>
          <cell r="G27" t="str">
            <v>C</v>
          </cell>
          <cell r="H27" t="str">
            <v>B</v>
          </cell>
          <cell r="I27" t="str">
            <v>66000</v>
          </cell>
          <cell r="J27">
            <v>4341.49</v>
          </cell>
          <cell r="K27" t="str">
            <v>30/01/2009 00:00:00</v>
          </cell>
        </row>
        <row r="28">
          <cell r="E28" t="str">
            <v>172000</v>
          </cell>
          <cell r="F28" t="str">
            <v>(Less) Allowance for Loans and Lease Losses (ALLL) – Commercial Loans</v>
          </cell>
          <cell r="G28" t="str">
            <v>C</v>
          </cell>
          <cell r="H28" t="str">
            <v>B</v>
          </cell>
          <cell r="I28" t="str">
            <v>67000</v>
          </cell>
          <cell r="J28">
            <v>4341.49</v>
          </cell>
          <cell r="K28" t="str">
            <v>30/01/2009 00:00:00</v>
          </cell>
        </row>
        <row r="29">
          <cell r="E29" t="str">
            <v>172102</v>
          </cell>
          <cell r="F29" t="str">
            <v>(Less) Allowance for Loans and Lease Losses (ALLL)  Over Draft-USD</v>
          </cell>
          <cell r="G29" t="str">
            <v>C</v>
          </cell>
          <cell r="H29" t="str">
            <v>0</v>
          </cell>
          <cell r="I29" t="str">
            <v>67100</v>
          </cell>
          <cell r="J29">
            <v>481.49</v>
          </cell>
          <cell r="K29" t="str">
            <v>30/01/2009 00:00:00</v>
          </cell>
        </row>
        <row r="30">
          <cell r="E30" t="str">
            <v>17220202</v>
          </cell>
          <cell r="F30" t="str">
            <v>(Less) Allowance for Loans and Lease Losses (ALLL) – LBP-USD</v>
          </cell>
          <cell r="G30" t="str">
            <v>C</v>
          </cell>
          <cell r="H30" t="str">
            <v>0</v>
          </cell>
          <cell r="I30" t="str">
            <v>67400</v>
          </cell>
          <cell r="J30">
            <v>2000</v>
          </cell>
          <cell r="K30" t="str">
            <v>30/01/2009 00:00:00</v>
          </cell>
        </row>
        <row r="31">
          <cell r="E31" t="str">
            <v>172330</v>
          </cell>
          <cell r="F31" t="str">
            <v>(Less) Allowance for Loans and Lease Losses (ALLL) – Other Term Loans</v>
          </cell>
          <cell r="G31" t="str">
            <v>C</v>
          </cell>
          <cell r="H31" t="str">
            <v>B</v>
          </cell>
          <cell r="I31" t="str">
            <v>67500</v>
          </cell>
          <cell r="J31">
            <v>1860</v>
          </cell>
          <cell r="K31" t="str">
            <v>30/01/2009 00:00:00</v>
          </cell>
        </row>
        <row r="32">
          <cell r="E32" t="str">
            <v>17233201</v>
          </cell>
          <cell r="F32" t="str">
            <v>(Less) Allowance for Loans and Lease Losses (ALLL) – Other -USD</v>
          </cell>
          <cell r="G32" t="str">
            <v>C</v>
          </cell>
          <cell r="H32" t="str">
            <v>0</v>
          </cell>
          <cell r="I32" t="str">
            <v>67700</v>
          </cell>
          <cell r="J32">
            <v>1860</v>
          </cell>
          <cell r="K32" t="str">
            <v>30/01/2009 00:00:00</v>
          </cell>
        </row>
        <row r="33">
          <cell r="E33" t="str">
            <v>200000</v>
          </cell>
          <cell r="F33" t="str">
            <v>Investment, Security and Sundry Asset</v>
          </cell>
          <cell r="G33" t="str">
            <v>D</v>
          </cell>
          <cell r="H33" t="str">
            <v>B</v>
          </cell>
          <cell r="I33" t="str">
            <v>74100</v>
          </cell>
          <cell r="J33">
            <v>23711.73</v>
          </cell>
          <cell r="K33" t="str">
            <v>30/01/2009 00:00:00</v>
          </cell>
        </row>
        <row r="34">
          <cell r="E34" t="str">
            <v>220000</v>
          </cell>
          <cell r="F34" t="str">
            <v>Prepaid Expenses and Account Receivable</v>
          </cell>
          <cell r="G34" t="str">
            <v>D</v>
          </cell>
          <cell r="H34" t="str">
            <v>B</v>
          </cell>
          <cell r="I34" t="str">
            <v>74200</v>
          </cell>
          <cell r="J34">
            <v>22397.01</v>
          </cell>
          <cell r="K34" t="str">
            <v>30/01/2009 00:00:00</v>
          </cell>
        </row>
        <row r="35">
          <cell r="E35" t="str">
            <v>222000</v>
          </cell>
          <cell r="F35" t="str">
            <v>Account Receivable</v>
          </cell>
          <cell r="G35" t="str">
            <v>D</v>
          </cell>
          <cell r="H35" t="str">
            <v>B</v>
          </cell>
          <cell r="I35" t="str">
            <v>74300</v>
          </cell>
          <cell r="J35">
            <v>22397.01</v>
          </cell>
          <cell r="K35" t="str">
            <v>30/01/2009 00:00:00</v>
          </cell>
        </row>
        <row r="36">
          <cell r="E36" t="str">
            <v>222300</v>
          </cell>
          <cell r="F36" t="str">
            <v>Advance Payment or Deposits</v>
          </cell>
          <cell r="G36" t="str">
            <v>D</v>
          </cell>
          <cell r="H36" t="str">
            <v>B</v>
          </cell>
          <cell r="I36" t="str">
            <v>74310</v>
          </cell>
          <cell r="J36">
            <v>318</v>
          </cell>
          <cell r="K36" t="str">
            <v>30/01/2009 00:00:00</v>
          </cell>
        </row>
        <row r="37">
          <cell r="E37" t="str">
            <v>222302</v>
          </cell>
          <cell r="F37" t="str">
            <v>Advance Payment or Deposits-USD(Sus. A/C Debtor)</v>
          </cell>
          <cell r="G37" t="str">
            <v>D</v>
          </cell>
          <cell r="H37" t="str">
            <v>0</v>
          </cell>
          <cell r="I37" t="str">
            <v>74330</v>
          </cell>
          <cell r="J37">
            <v>318</v>
          </cell>
          <cell r="K37" t="str">
            <v>30/01/2009 00:00:00</v>
          </cell>
        </row>
        <row r="38">
          <cell r="E38" t="str">
            <v>222600</v>
          </cell>
          <cell r="F38" t="str">
            <v>Other Prepaid Expenses and Defered Charge</v>
          </cell>
          <cell r="G38" t="str">
            <v>D</v>
          </cell>
          <cell r="H38" t="str">
            <v>B</v>
          </cell>
          <cell r="I38" t="str">
            <v>74400</v>
          </cell>
          <cell r="J38">
            <v>22079.01</v>
          </cell>
          <cell r="K38" t="str">
            <v>30/01/2009 00:00:00</v>
          </cell>
        </row>
        <row r="39">
          <cell r="E39" t="str">
            <v>222602</v>
          </cell>
          <cell r="F39" t="str">
            <v>Other Prepaid Expense and Defered Charge-USD</v>
          </cell>
          <cell r="G39" t="str">
            <v>D</v>
          </cell>
          <cell r="H39" t="str">
            <v>B</v>
          </cell>
          <cell r="I39" t="str">
            <v>74600</v>
          </cell>
          <cell r="J39">
            <v>22079.01</v>
          </cell>
          <cell r="K39" t="str">
            <v>30/01/2009 00:00:00</v>
          </cell>
        </row>
        <row r="40">
          <cell r="E40" t="str">
            <v>22260201</v>
          </cell>
          <cell r="F40" t="str">
            <v>Other Prepaid Expense and Defered Charge(Prepaid)-USD</v>
          </cell>
          <cell r="G40" t="str">
            <v>D</v>
          </cell>
          <cell r="H40" t="str">
            <v>0</v>
          </cell>
          <cell r="I40" t="str">
            <v>74610</v>
          </cell>
          <cell r="J40">
            <v>12517.27</v>
          </cell>
          <cell r="K40" t="str">
            <v>30/01/2009 00:00:00</v>
          </cell>
        </row>
        <row r="41">
          <cell r="E41" t="str">
            <v>22260202</v>
          </cell>
          <cell r="F41" t="str">
            <v>Other Prepaid Expense and Defered Charge(Defered)-USD</v>
          </cell>
          <cell r="G41" t="str">
            <v>D</v>
          </cell>
          <cell r="H41" t="str">
            <v>0</v>
          </cell>
          <cell r="I41" t="str">
            <v>74620</v>
          </cell>
          <cell r="J41">
            <v>9561.74</v>
          </cell>
          <cell r="K41" t="str">
            <v>30/01/2009 00:00:00</v>
          </cell>
        </row>
        <row r="42">
          <cell r="E42" t="str">
            <v>22260203</v>
          </cell>
          <cell r="F42" t="str">
            <v>Other Prepaid Expense and Defered Charge(Opening Br.)-USD</v>
          </cell>
          <cell r="G42" t="str">
            <v>D</v>
          </cell>
          <cell r="H42" t="str">
            <v>0</v>
          </cell>
          <cell r="I42" t="str">
            <v>74630</v>
          </cell>
          <cell r="J42">
            <v>0</v>
          </cell>
          <cell r="K42" t="str">
            <v>30/01/2009 00:00:00</v>
          </cell>
        </row>
        <row r="43">
          <cell r="E43" t="str">
            <v>222605</v>
          </cell>
          <cell r="F43" t="str">
            <v>Other Prepaid Expenses and Defered Charge-THB</v>
          </cell>
          <cell r="G43" t="str">
            <v>D</v>
          </cell>
          <cell r="H43" t="str">
            <v>B</v>
          </cell>
          <cell r="I43" t="str">
            <v>74700</v>
          </cell>
          <cell r="J43">
            <v>0</v>
          </cell>
          <cell r="K43" t="str">
            <v>30/01/2009 00:00:00</v>
          </cell>
        </row>
        <row r="44">
          <cell r="E44" t="str">
            <v>22260502</v>
          </cell>
          <cell r="F44" t="str">
            <v>Other Prepaid Expense and Defered Charge(Defered)-THB</v>
          </cell>
          <cell r="G44" t="str">
            <v>D</v>
          </cell>
          <cell r="H44" t="str">
            <v>0</v>
          </cell>
          <cell r="I44" t="str">
            <v>74710</v>
          </cell>
          <cell r="J44">
            <v>0</v>
          </cell>
          <cell r="K44" t="str">
            <v>30/01/2009 00:00:00</v>
          </cell>
        </row>
        <row r="45">
          <cell r="E45" t="str">
            <v>22260503</v>
          </cell>
          <cell r="F45" t="str">
            <v>Other Prepaid Expense and Defered Charge(Opening Br.)-THB</v>
          </cell>
          <cell r="G45" t="str">
            <v>D</v>
          </cell>
          <cell r="H45" t="str">
            <v>0</v>
          </cell>
          <cell r="I45" t="str">
            <v>74720</v>
          </cell>
          <cell r="J45">
            <v>0</v>
          </cell>
          <cell r="K45" t="str">
            <v>30/01/2009 00:00:00</v>
          </cell>
        </row>
        <row r="46">
          <cell r="E46" t="str">
            <v>230000</v>
          </cell>
          <cell r="F46" t="str">
            <v>AIR – Loans and Placements with Banks</v>
          </cell>
          <cell r="G46" t="str">
            <v>D</v>
          </cell>
          <cell r="H46" t="str">
            <v>B</v>
          </cell>
          <cell r="I46" t="str">
            <v>75000</v>
          </cell>
          <cell r="J46">
            <v>1314.72</v>
          </cell>
          <cell r="K46" t="str">
            <v>30/01/2009 00:00:00</v>
          </cell>
        </row>
        <row r="47">
          <cell r="E47" t="str">
            <v>231000</v>
          </cell>
          <cell r="F47" t="str">
            <v>AIR – Due from Banks</v>
          </cell>
          <cell r="G47" t="str">
            <v>D</v>
          </cell>
          <cell r="H47" t="str">
            <v>B</v>
          </cell>
          <cell r="I47" t="str">
            <v>76000</v>
          </cell>
          <cell r="J47">
            <v>1314.72</v>
          </cell>
          <cell r="K47" t="str">
            <v>30/01/2009 00:00:00</v>
          </cell>
        </row>
        <row r="48">
          <cell r="E48" t="str">
            <v>231100</v>
          </cell>
          <cell r="F48" t="str">
            <v>AIR – Due from NBC</v>
          </cell>
          <cell r="G48" t="str">
            <v>D</v>
          </cell>
          <cell r="H48" t="str">
            <v>B</v>
          </cell>
          <cell r="I48" t="str">
            <v>77000</v>
          </cell>
          <cell r="J48">
            <v>1314.72</v>
          </cell>
          <cell r="K48" t="str">
            <v>30/01/2009 00:00:00</v>
          </cell>
        </row>
        <row r="49">
          <cell r="E49" t="str">
            <v>231120</v>
          </cell>
          <cell r="F49" t="str">
            <v>AIR – Account with NBC</v>
          </cell>
          <cell r="G49" t="str">
            <v>D</v>
          </cell>
          <cell r="H49" t="str">
            <v>B</v>
          </cell>
          <cell r="I49" t="str">
            <v>82000</v>
          </cell>
          <cell r="J49">
            <v>0</v>
          </cell>
          <cell r="K49" t="str">
            <v>30/01/2009 00:00:00</v>
          </cell>
        </row>
        <row r="50">
          <cell r="E50" t="str">
            <v>231122</v>
          </cell>
          <cell r="F50" t="str">
            <v>AIR – Account with NBC –USD</v>
          </cell>
          <cell r="G50" t="str">
            <v>D</v>
          </cell>
          <cell r="H50" t="str">
            <v>0</v>
          </cell>
          <cell r="I50" t="str">
            <v>84000</v>
          </cell>
          <cell r="J50">
            <v>0</v>
          </cell>
          <cell r="K50" t="str">
            <v>30/01/2009 00:00:00</v>
          </cell>
        </row>
        <row r="51">
          <cell r="E51" t="str">
            <v>231140</v>
          </cell>
          <cell r="F51" t="str">
            <v>AIR-Short Term Time Depoosit with NBC</v>
          </cell>
          <cell r="G51" t="str">
            <v>D</v>
          </cell>
          <cell r="H51" t="str">
            <v>B</v>
          </cell>
          <cell r="I51" t="str">
            <v>85100</v>
          </cell>
          <cell r="J51">
            <v>1314.72</v>
          </cell>
          <cell r="K51" t="str">
            <v>30/01/2009 00:00:00</v>
          </cell>
        </row>
        <row r="52">
          <cell r="E52" t="str">
            <v>231142</v>
          </cell>
          <cell r="F52" t="str">
            <v>AIR-Short Term Time Depoosit with NBC-USD</v>
          </cell>
          <cell r="G52" t="str">
            <v>D</v>
          </cell>
          <cell r="H52" t="str">
            <v>0</v>
          </cell>
          <cell r="I52" t="str">
            <v>85200</v>
          </cell>
          <cell r="J52">
            <v>1314.72</v>
          </cell>
          <cell r="K52" t="str">
            <v>30/01/2009 00:00:00</v>
          </cell>
        </row>
        <row r="53">
          <cell r="E53" t="str">
            <v>250000</v>
          </cell>
          <cell r="F53" t="str">
            <v>AIR – Standard Loans and Lease Financing</v>
          </cell>
          <cell r="G53" t="str">
            <v>D</v>
          </cell>
          <cell r="H53" t="str">
            <v>B</v>
          </cell>
          <cell r="I53" t="str">
            <v>86000</v>
          </cell>
          <cell r="J53">
            <v>447.43</v>
          </cell>
          <cell r="K53" t="str">
            <v>30/01/2009 00:00:00</v>
          </cell>
        </row>
        <row r="54">
          <cell r="E54" t="str">
            <v>252000</v>
          </cell>
          <cell r="F54" t="str">
            <v>AIR – Standard Loans – Commercial Loans</v>
          </cell>
          <cell r="G54" t="str">
            <v>D</v>
          </cell>
          <cell r="H54" t="str">
            <v>B</v>
          </cell>
          <cell r="I54" t="str">
            <v>87000</v>
          </cell>
          <cell r="J54">
            <v>447.43</v>
          </cell>
          <cell r="K54" t="str">
            <v>30/01/2009 00:00:00</v>
          </cell>
        </row>
        <row r="55">
          <cell r="E55" t="str">
            <v>252100</v>
          </cell>
          <cell r="F55" t="str">
            <v>AIR – Standard Loans – Overdraft (Permanent Line of Credit)</v>
          </cell>
          <cell r="G55" t="str">
            <v>D</v>
          </cell>
          <cell r="H55" t="str">
            <v>B</v>
          </cell>
          <cell r="I55" t="str">
            <v>88000</v>
          </cell>
          <cell r="J55">
            <v>0</v>
          </cell>
          <cell r="K55" t="str">
            <v>30/01/2009 00:00:00</v>
          </cell>
        </row>
        <row r="56">
          <cell r="E56" t="str">
            <v>252110</v>
          </cell>
          <cell r="F56" t="str">
            <v>AIR – Standard Loans – Overdraft (Permanent Line of Credit) – Private Sector – Resident</v>
          </cell>
          <cell r="G56" t="str">
            <v>D</v>
          </cell>
          <cell r="H56" t="str">
            <v>B</v>
          </cell>
          <cell r="I56" t="str">
            <v>89000</v>
          </cell>
          <cell r="J56">
            <v>0</v>
          </cell>
          <cell r="K56" t="str">
            <v>30/01/2009 00:00:00</v>
          </cell>
        </row>
        <row r="57">
          <cell r="E57" t="str">
            <v>252112</v>
          </cell>
          <cell r="F57" t="str">
            <v>AIR – STD Loans – O/D (Permanent Line of Credit) – Private Sector – Resident –USD</v>
          </cell>
          <cell r="G57" t="str">
            <v>D</v>
          </cell>
          <cell r="H57" t="str">
            <v>0</v>
          </cell>
          <cell r="I57" t="str">
            <v>91000</v>
          </cell>
          <cell r="J57">
            <v>0</v>
          </cell>
          <cell r="K57" t="str">
            <v>30/01/2009 00:00:00</v>
          </cell>
        </row>
        <row r="58">
          <cell r="E58" t="str">
            <v>252200</v>
          </cell>
          <cell r="F58" t="str">
            <v>AIR – Standard Loans – Short term Commercial Loans</v>
          </cell>
          <cell r="G58" t="str">
            <v>D</v>
          </cell>
          <cell r="H58" t="str">
            <v>B</v>
          </cell>
          <cell r="I58" t="str">
            <v>92100</v>
          </cell>
          <cell r="J58">
            <v>236.11</v>
          </cell>
          <cell r="K58" t="str">
            <v>30/01/2009 00:00:00</v>
          </cell>
        </row>
        <row r="59">
          <cell r="E59" t="str">
            <v>252210</v>
          </cell>
          <cell r="F59" t="str">
            <v>AIR – Standard Loans – Short term Commercial Loans-Private Sector-Resident</v>
          </cell>
          <cell r="G59" t="str">
            <v>D</v>
          </cell>
          <cell r="H59" t="str">
            <v>B</v>
          </cell>
          <cell r="I59" t="str">
            <v>92200</v>
          </cell>
          <cell r="J59">
            <v>236.11</v>
          </cell>
          <cell r="K59" t="str">
            <v>30/01/2009 00:00:00</v>
          </cell>
        </row>
        <row r="60">
          <cell r="E60" t="str">
            <v>252212</v>
          </cell>
          <cell r="F60" t="str">
            <v>AIR – Standard Loans – Short term Commercial Loans-Private Sector-Resident-USD</v>
          </cell>
          <cell r="G60" t="str">
            <v>D</v>
          </cell>
          <cell r="H60" t="str">
            <v>B</v>
          </cell>
          <cell r="I60" t="str">
            <v>92300</v>
          </cell>
          <cell r="J60">
            <v>236.11</v>
          </cell>
          <cell r="K60" t="str">
            <v>30/01/2009 00:00:00</v>
          </cell>
        </row>
        <row r="61">
          <cell r="E61" t="str">
            <v>25221202</v>
          </cell>
          <cell r="F61" t="str">
            <v>AIR – Standard Loans –(LBP) Short term Commercial Loans-Private Sector-Resident-USD</v>
          </cell>
          <cell r="G61" t="str">
            <v>D</v>
          </cell>
          <cell r="H61" t="str">
            <v>0</v>
          </cell>
          <cell r="I61" t="str">
            <v>92500</v>
          </cell>
          <cell r="J61">
            <v>236.11</v>
          </cell>
          <cell r="K61" t="str">
            <v>30/01/2009 00:00:00</v>
          </cell>
        </row>
        <row r="62">
          <cell r="E62" t="str">
            <v>252300</v>
          </cell>
          <cell r="F62" t="str">
            <v>AIR – Standard Loans – Long term Commercial Loans</v>
          </cell>
          <cell r="G62" t="str">
            <v>D</v>
          </cell>
          <cell r="H62" t="str">
            <v>B</v>
          </cell>
          <cell r="I62" t="str">
            <v>93000</v>
          </cell>
          <cell r="J62">
            <v>211.32</v>
          </cell>
          <cell r="K62" t="str">
            <v>30/01/2009 00:00:00</v>
          </cell>
        </row>
        <row r="63">
          <cell r="E63" t="str">
            <v>252370</v>
          </cell>
          <cell r="F63" t="str">
            <v>AIR – Standard Loans – Other Long term Loans</v>
          </cell>
          <cell r="G63" t="str">
            <v>D</v>
          </cell>
          <cell r="H63" t="str">
            <v>B</v>
          </cell>
          <cell r="I63" t="str">
            <v>94000</v>
          </cell>
          <cell r="J63">
            <v>211.32</v>
          </cell>
          <cell r="K63" t="str">
            <v>30/01/2009 00:00:00</v>
          </cell>
        </row>
        <row r="64">
          <cell r="E64" t="str">
            <v>252372</v>
          </cell>
          <cell r="F64" t="str">
            <v>AIR – STD Loans – Other Long term Loans – Private Sector – Resident –USD</v>
          </cell>
          <cell r="G64" t="str">
            <v>D</v>
          </cell>
          <cell r="H64" t="str">
            <v>0</v>
          </cell>
          <cell r="I64" t="str">
            <v>96000</v>
          </cell>
          <cell r="J64">
            <v>211.32</v>
          </cell>
          <cell r="K64" t="str">
            <v>30/01/2009 00:00:00</v>
          </cell>
        </row>
        <row r="65">
          <cell r="E65" t="str">
            <v>252375</v>
          </cell>
          <cell r="F65" t="str">
            <v>AIR – STD Loans – Other Long term Loans – Private Sector – Resident –THB</v>
          </cell>
          <cell r="G65" t="str">
            <v>D</v>
          </cell>
          <cell r="H65" t="str">
            <v>0</v>
          </cell>
          <cell r="I65" t="str">
            <v>97000</v>
          </cell>
          <cell r="J65">
            <v>0</v>
          </cell>
          <cell r="K65" t="str">
            <v>30/01/2009 00:00:00</v>
          </cell>
        </row>
        <row r="66">
          <cell r="E66" t="str">
            <v>290000</v>
          </cell>
          <cell r="F66" t="str">
            <v>Fixed Assets and Other</v>
          </cell>
          <cell r="G66" t="str">
            <v>D</v>
          </cell>
          <cell r="H66" t="str">
            <v>B</v>
          </cell>
          <cell r="I66" t="str">
            <v>127000</v>
          </cell>
          <cell r="J66">
            <v>-4694119.5599999996</v>
          </cell>
          <cell r="K66" t="str">
            <v>30/01/2009 00:00:00</v>
          </cell>
        </row>
        <row r="67">
          <cell r="E67" t="str">
            <v>293000</v>
          </cell>
          <cell r="F67" t="str">
            <v>Furniture, Fixtures, Equipment</v>
          </cell>
          <cell r="G67" t="str">
            <v>D</v>
          </cell>
          <cell r="H67" t="str">
            <v>B</v>
          </cell>
          <cell r="I67" t="str">
            <v>138000</v>
          </cell>
          <cell r="J67">
            <v>92665.26</v>
          </cell>
          <cell r="K67" t="str">
            <v>30/01/2009 00:00:00</v>
          </cell>
        </row>
        <row r="68">
          <cell r="E68" t="str">
            <v>293100</v>
          </cell>
          <cell r="F68" t="str">
            <v>Furniture and Fixtures</v>
          </cell>
          <cell r="G68" t="str">
            <v>D</v>
          </cell>
          <cell r="H68" t="str">
            <v>B</v>
          </cell>
          <cell r="I68" t="str">
            <v>139000</v>
          </cell>
          <cell r="J68">
            <v>12919.11</v>
          </cell>
          <cell r="K68" t="str">
            <v>30/01/2009 00:00:00</v>
          </cell>
        </row>
        <row r="69">
          <cell r="E69" t="str">
            <v>293102</v>
          </cell>
          <cell r="F69" t="str">
            <v>Furniture and Fixtures –USD</v>
          </cell>
          <cell r="G69" t="str">
            <v>D</v>
          </cell>
          <cell r="H69" t="str">
            <v>0</v>
          </cell>
          <cell r="I69" t="str">
            <v>141000</v>
          </cell>
          <cell r="J69">
            <v>10476.450000000001</v>
          </cell>
          <cell r="K69" t="str">
            <v>30/01/2009 00:00:00</v>
          </cell>
        </row>
        <row r="70">
          <cell r="E70" t="str">
            <v>293105</v>
          </cell>
          <cell r="F70" t="str">
            <v>Furniture and Fixtures –THB</v>
          </cell>
          <cell r="G70" t="str">
            <v>D</v>
          </cell>
          <cell r="H70" t="str">
            <v>0</v>
          </cell>
          <cell r="I70" t="str">
            <v>142000</v>
          </cell>
          <cell r="J70">
            <v>2442.66</v>
          </cell>
          <cell r="K70" t="str">
            <v>30/01/2009 00:00:00</v>
          </cell>
        </row>
        <row r="71">
          <cell r="E71" t="str">
            <v>293300</v>
          </cell>
          <cell r="F71" t="str">
            <v>Computer Equipment</v>
          </cell>
          <cell r="G71" t="str">
            <v>D</v>
          </cell>
          <cell r="H71" t="str">
            <v>B</v>
          </cell>
          <cell r="I71" t="str">
            <v>147000</v>
          </cell>
          <cell r="J71">
            <v>33710.51</v>
          </cell>
          <cell r="K71" t="str">
            <v>30/01/2009 00:00:00</v>
          </cell>
        </row>
        <row r="72">
          <cell r="E72" t="str">
            <v>293302</v>
          </cell>
          <cell r="F72" t="str">
            <v>Computer Equipment –USD</v>
          </cell>
          <cell r="G72" t="str">
            <v>D</v>
          </cell>
          <cell r="H72" t="str">
            <v>0</v>
          </cell>
          <cell r="I72" t="str">
            <v>149000</v>
          </cell>
          <cell r="J72">
            <v>33710.51</v>
          </cell>
          <cell r="K72" t="str">
            <v>30/01/2009 00:00:00</v>
          </cell>
        </row>
        <row r="73">
          <cell r="E73" t="str">
            <v>293400</v>
          </cell>
          <cell r="F73" t="str">
            <v>Motor Vehicles</v>
          </cell>
          <cell r="G73" t="str">
            <v>D</v>
          </cell>
          <cell r="H73" t="str">
            <v>B</v>
          </cell>
          <cell r="I73" t="str">
            <v>151000</v>
          </cell>
          <cell r="J73">
            <v>36110</v>
          </cell>
          <cell r="K73" t="str">
            <v>30/01/2009 00:00:00</v>
          </cell>
        </row>
        <row r="74">
          <cell r="E74" t="str">
            <v>293402</v>
          </cell>
          <cell r="F74" t="str">
            <v>Motor Vehicles –USD</v>
          </cell>
          <cell r="G74" t="str">
            <v>D</v>
          </cell>
          <cell r="H74" t="str">
            <v>0</v>
          </cell>
          <cell r="I74" t="str">
            <v>153000</v>
          </cell>
          <cell r="J74">
            <v>36110</v>
          </cell>
          <cell r="K74" t="str">
            <v>30/01/2009 00:00:00</v>
          </cell>
        </row>
        <row r="75">
          <cell r="E75" t="str">
            <v>293600</v>
          </cell>
          <cell r="F75" t="str">
            <v>Other Fixed Assets</v>
          </cell>
          <cell r="G75" t="str">
            <v>D</v>
          </cell>
          <cell r="H75" t="str">
            <v>B</v>
          </cell>
          <cell r="I75" t="str">
            <v>155000</v>
          </cell>
          <cell r="J75">
            <v>9925.64</v>
          </cell>
          <cell r="K75" t="str">
            <v>30/01/2009 00:00:00</v>
          </cell>
        </row>
        <row r="76">
          <cell r="E76" t="str">
            <v>293602</v>
          </cell>
          <cell r="F76" t="str">
            <v>Other Fixed Assets (Sundry properties)–USD</v>
          </cell>
          <cell r="G76" t="str">
            <v>D</v>
          </cell>
          <cell r="H76" t="str">
            <v>0</v>
          </cell>
          <cell r="I76" t="str">
            <v>157000</v>
          </cell>
          <cell r="J76">
            <v>4765.09</v>
          </cell>
          <cell r="K76" t="str">
            <v>30/01/2009 00:00:00</v>
          </cell>
        </row>
        <row r="77">
          <cell r="E77" t="str">
            <v>293605</v>
          </cell>
          <cell r="F77" t="str">
            <v>Other Fixed Assets (Sundry properties)–THB</v>
          </cell>
          <cell r="G77" t="str">
            <v>D</v>
          </cell>
          <cell r="H77" t="str">
            <v>0</v>
          </cell>
          <cell r="I77" t="str">
            <v>158000</v>
          </cell>
          <cell r="J77">
            <v>5160.55</v>
          </cell>
          <cell r="K77" t="str">
            <v>30/01/2009 00:00:00</v>
          </cell>
        </row>
        <row r="78">
          <cell r="E78" t="str">
            <v>294000</v>
          </cell>
          <cell r="F78" t="str">
            <v>Allowance for Accumulated Depreciation</v>
          </cell>
          <cell r="G78" t="str">
            <v>C</v>
          </cell>
          <cell r="H78" t="str">
            <v>B</v>
          </cell>
          <cell r="I78" t="str">
            <v>159000</v>
          </cell>
          <cell r="J78">
            <v>69193.77</v>
          </cell>
          <cell r="K78" t="str">
            <v>30/01/2009 00:00:00</v>
          </cell>
        </row>
        <row r="79">
          <cell r="E79" t="str">
            <v>294300</v>
          </cell>
          <cell r="F79" t="str">
            <v>Allowance for Depreciation – Furniture, Fixtures, Equipment</v>
          </cell>
          <cell r="G79" t="str">
            <v>C</v>
          </cell>
          <cell r="H79" t="str">
            <v>B</v>
          </cell>
          <cell r="I79" t="str">
            <v>165000</v>
          </cell>
          <cell r="J79">
            <v>69193.77</v>
          </cell>
          <cell r="K79" t="str">
            <v>30/01/2009 00:00:00</v>
          </cell>
        </row>
        <row r="80">
          <cell r="E80" t="str">
            <v>294310</v>
          </cell>
          <cell r="F80" t="str">
            <v>Allowance for Accumulated Depreciation – Furniture and Fixtures</v>
          </cell>
          <cell r="G80" t="str">
            <v>C</v>
          </cell>
          <cell r="H80" t="str">
            <v>B</v>
          </cell>
          <cell r="I80" t="str">
            <v>166000</v>
          </cell>
          <cell r="J80">
            <v>8714.7000000000007</v>
          </cell>
          <cell r="K80" t="str">
            <v>30/01/2009 00:00:00</v>
          </cell>
        </row>
        <row r="81">
          <cell r="E81" t="str">
            <v>294312</v>
          </cell>
          <cell r="F81" t="str">
            <v>Allowance for Accum Depre – Furniture and Fixtures –USD</v>
          </cell>
          <cell r="G81" t="str">
            <v>C</v>
          </cell>
          <cell r="H81" t="str">
            <v>0</v>
          </cell>
          <cell r="I81" t="str">
            <v>168000</v>
          </cell>
          <cell r="J81">
            <v>6460.3</v>
          </cell>
          <cell r="K81" t="str">
            <v>30/01/2009 00:00:00</v>
          </cell>
        </row>
        <row r="82">
          <cell r="E82" t="str">
            <v>294315</v>
          </cell>
          <cell r="F82" t="str">
            <v>Allowance for Accum Depre – Furniture and Fixtures –THB</v>
          </cell>
          <cell r="G82" t="str">
            <v>C</v>
          </cell>
          <cell r="H82" t="str">
            <v>0</v>
          </cell>
          <cell r="I82" t="str">
            <v>169000</v>
          </cell>
          <cell r="J82">
            <v>2254.4</v>
          </cell>
          <cell r="K82" t="str">
            <v>30/01/2009 00:00:00</v>
          </cell>
        </row>
        <row r="83">
          <cell r="E83" t="str">
            <v>294330</v>
          </cell>
          <cell r="F83" t="str">
            <v>Allowance for Accumulated Depreciation – Computer Equipment</v>
          </cell>
          <cell r="G83" t="str">
            <v>C</v>
          </cell>
          <cell r="H83" t="str">
            <v>B</v>
          </cell>
          <cell r="I83" t="str">
            <v>174000</v>
          </cell>
          <cell r="J83">
            <v>20993.51</v>
          </cell>
          <cell r="K83" t="str">
            <v>30/01/2009 00:00:00</v>
          </cell>
        </row>
        <row r="84">
          <cell r="E84" t="str">
            <v>294332</v>
          </cell>
          <cell r="F84" t="str">
            <v>Allowance for Accum Depre – Computer Equipment –USD</v>
          </cell>
          <cell r="G84" t="str">
            <v>C</v>
          </cell>
          <cell r="H84" t="str">
            <v>0</v>
          </cell>
          <cell r="I84" t="str">
            <v>176000</v>
          </cell>
          <cell r="J84">
            <v>20993.51</v>
          </cell>
          <cell r="K84" t="str">
            <v>30/01/2009 00:00:00</v>
          </cell>
        </row>
        <row r="85">
          <cell r="E85" t="str">
            <v>294340</v>
          </cell>
          <cell r="F85" t="str">
            <v>Allowance for Accumulated Depreciation – Motor Vehicles</v>
          </cell>
          <cell r="G85" t="str">
            <v>C</v>
          </cell>
          <cell r="H85" t="str">
            <v>B</v>
          </cell>
          <cell r="I85" t="str">
            <v>178000</v>
          </cell>
          <cell r="J85">
            <v>33045.15</v>
          </cell>
          <cell r="K85" t="str">
            <v>30/01/2009 00:00:00</v>
          </cell>
        </row>
        <row r="86">
          <cell r="E86" t="str">
            <v>294342</v>
          </cell>
          <cell r="F86" t="str">
            <v>Allowance for Accum Depre – Motor Vehicles –USD</v>
          </cell>
          <cell r="G86" t="str">
            <v>C</v>
          </cell>
          <cell r="H86" t="str">
            <v>0</v>
          </cell>
          <cell r="I86" t="str">
            <v>180000</v>
          </cell>
          <cell r="J86">
            <v>33045.15</v>
          </cell>
          <cell r="K86" t="str">
            <v>30/01/2009 00:00:00</v>
          </cell>
        </row>
        <row r="87">
          <cell r="E87" t="str">
            <v>294360</v>
          </cell>
          <cell r="F87" t="str">
            <v>Allowance for Accumulated Depreciation – Other Fixed Assets</v>
          </cell>
          <cell r="G87" t="str">
            <v>C</v>
          </cell>
          <cell r="H87" t="str">
            <v>B</v>
          </cell>
          <cell r="I87" t="str">
            <v>182000</v>
          </cell>
          <cell r="J87">
            <v>6440.41</v>
          </cell>
          <cell r="K87" t="str">
            <v>30/01/2009 00:00:00</v>
          </cell>
        </row>
        <row r="88">
          <cell r="E88" t="str">
            <v>294362</v>
          </cell>
          <cell r="F88" t="str">
            <v>Allowance for Accum Depre – Other Fixed Assets –USD</v>
          </cell>
          <cell r="G88" t="str">
            <v>C</v>
          </cell>
          <cell r="H88" t="str">
            <v>0</v>
          </cell>
          <cell r="I88" t="str">
            <v>184000</v>
          </cell>
          <cell r="J88">
            <v>2311.9699999999998</v>
          </cell>
          <cell r="K88" t="str">
            <v>30/01/2009 00:00:00</v>
          </cell>
        </row>
        <row r="89">
          <cell r="E89" t="str">
            <v>294365</v>
          </cell>
          <cell r="F89" t="str">
            <v>Allowance for Accum Depre – Other Fixed Assets –THB</v>
          </cell>
          <cell r="G89" t="str">
            <v>C</v>
          </cell>
          <cell r="H89" t="str">
            <v>0</v>
          </cell>
          <cell r="I89" t="str">
            <v>185000</v>
          </cell>
          <cell r="J89">
            <v>4128.4399999999996</v>
          </cell>
          <cell r="K89" t="str">
            <v>30/01/2009 00:00:00</v>
          </cell>
        </row>
        <row r="90">
          <cell r="E90" t="str">
            <v>296000</v>
          </cell>
          <cell r="F90" t="str">
            <v xml:space="preserve">Other Assets </v>
          </cell>
          <cell r="G90" t="str">
            <v>D</v>
          </cell>
          <cell r="H90" t="str">
            <v>B</v>
          </cell>
          <cell r="I90" t="str">
            <v>193000</v>
          </cell>
          <cell r="J90">
            <v>-4717591.05</v>
          </cell>
          <cell r="K90" t="str">
            <v>30/01/2009 00:00:00</v>
          </cell>
        </row>
        <row r="91">
          <cell r="E91" t="str">
            <v>296500</v>
          </cell>
          <cell r="F91" t="str">
            <v>Inter-Branches Clearings</v>
          </cell>
          <cell r="G91" t="str">
            <v>D</v>
          </cell>
          <cell r="H91" t="str">
            <v>B</v>
          </cell>
          <cell r="I91" t="str">
            <v>193100</v>
          </cell>
          <cell r="J91">
            <v>-4729439.7</v>
          </cell>
          <cell r="K91" t="str">
            <v>30/01/2009 00:00:00</v>
          </cell>
        </row>
        <row r="92">
          <cell r="E92" t="str">
            <v>296502</v>
          </cell>
          <cell r="F92" t="str">
            <v>Inter-Branches Clearings-USD</v>
          </cell>
          <cell r="G92" t="str">
            <v>D</v>
          </cell>
          <cell r="H92" t="str">
            <v>0</v>
          </cell>
          <cell r="I92" t="str">
            <v>193300</v>
          </cell>
          <cell r="J92">
            <v>-4649781.8899999997</v>
          </cell>
          <cell r="K92" t="str">
            <v>30/01/2009 00:00:00</v>
          </cell>
        </row>
        <row r="93">
          <cell r="E93" t="str">
            <v>296505</v>
          </cell>
          <cell r="F93" t="str">
            <v>Inter-Branches Clearings-THB</v>
          </cell>
          <cell r="G93" t="str">
            <v>D</v>
          </cell>
          <cell r="H93" t="str">
            <v>0</v>
          </cell>
          <cell r="I93" t="str">
            <v>193400</v>
          </cell>
          <cell r="J93">
            <v>-79657.81</v>
          </cell>
          <cell r="K93" t="str">
            <v>30/01/2009 00:00:00</v>
          </cell>
        </row>
        <row r="94">
          <cell r="E94" t="str">
            <v>296600</v>
          </cell>
          <cell r="F94" t="str">
            <v>Traveller's Checks Purchase (Cashed)</v>
          </cell>
          <cell r="G94" t="str">
            <v>D</v>
          </cell>
          <cell r="H94" t="str">
            <v>B</v>
          </cell>
          <cell r="I94" t="str">
            <v>193500</v>
          </cell>
          <cell r="J94">
            <v>0</v>
          </cell>
          <cell r="K94" t="str">
            <v>30/01/2009 00:00:00</v>
          </cell>
        </row>
        <row r="95">
          <cell r="E95" t="str">
            <v>296602</v>
          </cell>
          <cell r="F95" t="str">
            <v>Traveller's Checks Purchased (Cashed)-USD</v>
          </cell>
          <cell r="G95" t="str">
            <v>D</v>
          </cell>
          <cell r="H95" t="str">
            <v>0</v>
          </cell>
          <cell r="I95" t="str">
            <v>193600</v>
          </cell>
          <cell r="J95">
            <v>0</v>
          </cell>
          <cell r="K95" t="str">
            <v>30/01/2009 00:00:00</v>
          </cell>
        </row>
        <row r="96">
          <cell r="E96" t="str">
            <v>296605</v>
          </cell>
          <cell r="F96" t="str">
            <v>Traveller's Checks Purchased (Cashed)-THB</v>
          </cell>
          <cell r="G96" t="str">
            <v>D</v>
          </cell>
          <cell r="H96" t="str">
            <v>0</v>
          </cell>
          <cell r="I96" t="str">
            <v>193610</v>
          </cell>
          <cell r="J96">
            <v>0</v>
          </cell>
          <cell r="K96" t="str">
            <v>30/01/2009 00:00:00</v>
          </cell>
        </row>
        <row r="97">
          <cell r="E97" t="str">
            <v>296800</v>
          </cell>
          <cell r="F97" t="str">
            <v>GEC – Equivalence Foreign Exchange Position Account</v>
          </cell>
          <cell r="G97" t="str">
            <v>D</v>
          </cell>
          <cell r="H97" t="str">
            <v>B</v>
          </cell>
          <cell r="I97" t="str">
            <v>194000</v>
          </cell>
          <cell r="J97">
            <v>-1795.77</v>
          </cell>
          <cell r="K97" t="str">
            <v>30/01/2009 00:00:00</v>
          </cell>
        </row>
        <row r="98">
          <cell r="E98" t="str">
            <v>296802</v>
          </cell>
          <cell r="F98" t="str">
            <v>GEC – Equivalence FX Position A/C –USD</v>
          </cell>
          <cell r="G98" t="str">
            <v>D</v>
          </cell>
          <cell r="H98" t="str">
            <v>B</v>
          </cell>
          <cell r="I98" t="str">
            <v>195000</v>
          </cell>
          <cell r="J98">
            <v>-1795.77</v>
          </cell>
          <cell r="K98" t="str">
            <v>30/01/2009 00:00:00</v>
          </cell>
        </row>
        <row r="99">
          <cell r="E99" t="str">
            <v>29680201</v>
          </cell>
          <cell r="F99" t="str">
            <v>GEC –KHR – Equivalence FX Position A/C –USD</v>
          </cell>
          <cell r="G99" t="str">
            <v>D</v>
          </cell>
          <cell r="H99" t="str">
            <v>0</v>
          </cell>
          <cell r="I99" t="str">
            <v>196000</v>
          </cell>
          <cell r="J99">
            <v>1935.1</v>
          </cell>
          <cell r="K99" t="str">
            <v>30/01/2009 00:00:00</v>
          </cell>
        </row>
        <row r="100">
          <cell r="E100" t="str">
            <v>29680202</v>
          </cell>
          <cell r="F100" t="str">
            <v>GEC –USD – Equivalence FX Position A/C –USD</v>
          </cell>
          <cell r="G100" t="str">
            <v>D</v>
          </cell>
          <cell r="H100" t="str">
            <v>0</v>
          </cell>
          <cell r="I100" t="str">
            <v>197000</v>
          </cell>
          <cell r="J100">
            <v>9785.16</v>
          </cell>
          <cell r="K100" t="str">
            <v>30/01/2009 00:00:00</v>
          </cell>
        </row>
        <row r="101">
          <cell r="E101" t="str">
            <v>29680203</v>
          </cell>
          <cell r="F101" t="str">
            <v>GEC –THB – Equivalence FX Position A/C –USD</v>
          </cell>
          <cell r="G101" t="str">
            <v>D</v>
          </cell>
          <cell r="H101" t="str">
            <v>0</v>
          </cell>
          <cell r="I101" t="str">
            <v>198000</v>
          </cell>
          <cell r="J101">
            <v>-13516.03</v>
          </cell>
          <cell r="K101" t="str">
            <v>30/01/2009 00:00:00</v>
          </cell>
        </row>
        <row r="102">
          <cell r="E102" t="str">
            <v>29680204</v>
          </cell>
          <cell r="F102" t="str">
            <v>GEC - EUR - Equivalence FX Position A/C - USD</v>
          </cell>
          <cell r="G102" t="str">
            <v>D</v>
          </cell>
          <cell r="H102" t="str">
            <v>0</v>
          </cell>
          <cell r="I102" t="str">
            <v>198100</v>
          </cell>
          <cell r="J102">
            <v>0</v>
          </cell>
          <cell r="K102" t="str">
            <v>30/01/2009 00:00:00</v>
          </cell>
        </row>
        <row r="103">
          <cell r="E103" t="str">
            <v>29680205</v>
          </cell>
          <cell r="F103" t="str">
            <v>GEC - JPY - Equivalence FX Position A/C - USD</v>
          </cell>
          <cell r="G103" t="str">
            <v>D</v>
          </cell>
          <cell r="H103" t="str">
            <v>0</v>
          </cell>
          <cell r="I103" t="str">
            <v>198200</v>
          </cell>
          <cell r="J103">
            <v>0</v>
          </cell>
          <cell r="K103" t="str">
            <v>30/01/2009 00:00:00</v>
          </cell>
        </row>
        <row r="104">
          <cell r="E104" t="str">
            <v>296900</v>
          </cell>
          <cell r="F104" t="str">
            <v>Suspense Account and Other Sundry Assets</v>
          </cell>
          <cell r="G104" t="str">
            <v>D</v>
          </cell>
          <cell r="H104" t="str">
            <v>B</v>
          </cell>
          <cell r="I104" t="str">
            <v>199000</v>
          </cell>
          <cell r="J104">
            <v>13644.42</v>
          </cell>
          <cell r="K104" t="str">
            <v>30/01/2009 00:00:00</v>
          </cell>
        </row>
        <row r="105">
          <cell r="E105" t="str">
            <v>296910</v>
          </cell>
          <cell r="F105" t="str">
            <v>Suspense Account</v>
          </cell>
          <cell r="G105" t="str">
            <v>D</v>
          </cell>
          <cell r="H105" t="str">
            <v>B</v>
          </cell>
          <cell r="I105" t="str">
            <v>200000</v>
          </cell>
          <cell r="J105">
            <v>540.45000000000005</v>
          </cell>
          <cell r="K105" t="str">
            <v>30/01/2009 00:00:00</v>
          </cell>
        </row>
        <row r="106">
          <cell r="E106" t="str">
            <v>296911</v>
          </cell>
          <cell r="F106" t="str">
            <v>Suspense A/C Debtor –KHR</v>
          </cell>
          <cell r="G106" t="str">
            <v>D</v>
          </cell>
          <cell r="H106" t="str">
            <v>B</v>
          </cell>
          <cell r="I106" t="str">
            <v>201000</v>
          </cell>
          <cell r="J106">
            <v>140.44999999999999</v>
          </cell>
          <cell r="K106" t="str">
            <v>30/01/2009 00:00:00</v>
          </cell>
        </row>
        <row r="107">
          <cell r="E107" t="str">
            <v>29691101</v>
          </cell>
          <cell r="F107" t="str">
            <v>Suspense A/C Debtor –KHR(OTHER)</v>
          </cell>
          <cell r="G107" t="str">
            <v>D</v>
          </cell>
          <cell r="H107" t="str">
            <v>0</v>
          </cell>
          <cell r="I107" t="str">
            <v>201100</v>
          </cell>
          <cell r="J107">
            <v>0</v>
          </cell>
          <cell r="K107" t="str">
            <v>30/01/2009 00:00:00</v>
          </cell>
        </row>
        <row r="108">
          <cell r="E108" t="str">
            <v>29691102</v>
          </cell>
          <cell r="F108" t="str">
            <v>Suspense A/C Debtors –KHR(EXCH.BOOTH)</v>
          </cell>
          <cell r="G108" t="str">
            <v>D</v>
          </cell>
          <cell r="H108" t="str">
            <v>0</v>
          </cell>
          <cell r="I108" t="str">
            <v>201200</v>
          </cell>
          <cell r="J108">
            <v>140.44999999999999</v>
          </cell>
          <cell r="K108" t="str">
            <v>30/01/2009 00:00:00</v>
          </cell>
        </row>
        <row r="109">
          <cell r="E109" t="str">
            <v>296912</v>
          </cell>
          <cell r="F109" t="str">
            <v>Suspense A/C Debtor –USD</v>
          </cell>
          <cell r="G109" t="str">
            <v>D</v>
          </cell>
          <cell r="H109" t="str">
            <v>B</v>
          </cell>
          <cell r="I109" t="str">
            <v>202000</v>
          </cell>
          <cell r="J109">
            <v>400</v>
          </cell>
          <cell r="K109" t="str">
            <v>30/01/2009 00:00:00</v>
          </cell>
        </row>
        <row r="110">
          <cell r="E110" t="str">
            <v>29691201</v>
          </cell>
          <cell r="F110" t="str">
            <v>Suspense A/C Debtor –USD(OTHER)</v>
          </cell>
          <cell r="G110" t="str">
            <v>D</v>
          </cell>
          <cell r="H110" t="str">
            <v>0</v>
          </cell>
          <cell r="I110" t="str">
            <v>202100</v>
          </cell>
          <cell r="J110">
            <v>0</v>
          </cell>
          <cell r="K110" t="str">
            <v>30/01/2009 00:00:00</v>
          </cell>
        </row>
        <row r="111">
          <cell r="E111" t="str">
            <v>29691202</v>
          </cell>
          <cell r="F111" t="str">
            <v>Suspense A/C Debtor –USD(EXCH.BOOTH)</v>
          </cell>
          <cell r="G111" t="str">
            <v>D</v>
          </cell>
          <cell r="H111" t="str">
            <v>0</v>
          </cell>
          <cell r="I111" t="str">
            <v>202200</v>
          </cell>
          <cell r="J111">
            <v>400</v>
          </cell>
          <cell r="K111" t="str">
            <v>30/01/2009 00:00:00</v>
          </cell>
        </row>
        <row r="112">
          <cell r="E112" t="str">
            <v>296920</v>
          </cell>
          <cell r="F112" t="str">
            <v>Other Sundry Assets</v>
          </cell>
          <cell r="G112" t="str">
            <v>D</v>
          </cell>
          <cell r="H112" t="str">
            <v>B</v>
          </cell>
          <cell r="I112" t="str">
            <v>204000</v>
          </cell>
          <cell r="J112">
            <v>13103.97</v>
          </cell>
          <cell r="K112" t="str">
            <v>30/01/2009 00:00:00</v>
          </cell>
        </row>
        <row r="113">
          <cell r="E113" t="str">
            <v>296922</v>
          </cell>
          <cell r="F113" t="str">
            <v>Other Sundry Assets –USD</v>
          </cell>
          <cell r="G113" t="str">
            <v>D</v>
          </cell>
          <cell r="H113" t="str">
            <v>B</v>
          </cell>
          <cell r="I113" t="str">
            <v>206000</v>
          </cell>
          <cell r="J113">
            <v>13103.97</v>
          </cell>
          <cell r="K113" t="str">
            <v>30/01/2009 00:00:00</v>
          </cell>
        </row>
        <row r="114">
          <cell r="E114" t="str">
            <v>29692201</v>
          </cell>
          <cell r="F114" t="str">
            <v>Other Sundry Assets (Sundry Deposit) -USD</v>
          </cell>
          <cell r="G114" t="str">
            <v>D</v>
          </cell>
          <cell r="H114" t="str">
            <v>0</v>
          </cell>
          <cell r="I114" t="str">
            <v>206100</v>
          </cell>
          <cell r="J114">
            <v>13104</v>
          </cell>
          <cell r="K114" t="str">
            <v>30/01/2009 00:00:00</v>
          </cell>
        </row>
        <row r="115">
          <cell r="E115" t="str">
            <v>29692202</v>
          </cell>
          <cell r="F115" t="str">
            <v>Other Sundry Assets (Variance from Currency Conversion)-USD</v>
          </cell>
          <cell r="G115" t="str">
            <v>D</v>
          </cell>
          <cell r="H115" t="str">
            <v>0</v>
          </cell>
          <cell r="I115" t="str">
            <v>206200</v>
          </cell>
          <cell r="J115">
            <v>-0.03</v>
          </cell>
          <cell r="K115" t="str">
            <v>30/01/2009 00:00:00</v>
          </cell>
        </row>
        <row r="116">
          <cell r="E116" t="str">
            <v>300000</v>
          </cell>
          <cell r="F116" t="str">
            <v>LIABILITIES</v>
          </cell>
          <cell r="G116" t="str">
            <v>C</v>
          </cell>
          <cell r="H116" t="str">
            <v>B</v>
          </cell>
          <cell r="I116" t="str">
            <v>208000</v>
          </cell>
          <cell r="J116">
            <v>6534045.4400000004</v>
          </cell>
          <cell r="K116" t="str">
            <v>30/01/2009 00:00:00</v>
          </cell>
        </row>
        <row r="117">
          <cell r="E117" t="str">
            <v>310000</v>
          </cell>
          <cell r="F117" t="str">
            <v>Demand and Time Deposit from NBC, Banks and OFIs</v>
          </cell>
          <cell r="G117" t="str">
            <v>D</v>
          </cell>
          <cell r="H117" t="str">
            <v>B</v>
          </cell>
          <cell r="I117" t="str">
            <v>209000</v>
          </cell>
          <cell r="J117">
            <v>-6064061.9500000002</v>
          </cell>
          <cell r="K117" t="str">
            <v>30/01/2009 00:00:00</v>
          </cell>
        </row>
        <row r="118">
          <cell r="E118" t="str">
            <v>311000</v>
          </cell>
          <cell r="F118" t="str">
            <v>Demand Deposit from NBC, Banks and OFIs</v>
          </cell>
          <cell r="G118" t="str">
            <v>D</v>
          </cell>
          <cell r="H118" t="str">
            <v>B</v>
          </cell>
          <cell r="I118" t="str">
            <v>210000</v>
          </cell>
          <cell r="J118">
            <v>-6064061.9500000002</v>
          </cell>
          <cell r="K118" t="str">
            <v>30/01/2009 00:00:00</v>
          </cell>
        </row>
        <row r="119">
          <cell r="E119" t="str">
            <v>311200</v>
          </cell>
          <cell r="F119" t="str">
            <v>Demand Deposit from Banks</v>
          </cell>
          <cell r="G119" t="str">
            <v>D</v>
          </cell>
          <cell r="H119" t="str">
            <v>B</v>
          </cell>
          <cell r="I119" t="str">
            <v>211000</v>
          </cell>
          <cell r="J119">
            <v>-6064061.9500000002</v>
          </cell>
          <cell r="K119" t="str">
            <v>30/01/2009 00:00:00</v>
          </cell>
        </row>
        <row r="120">
          <cell r="E120" t="str">
            <v>311240</v>
          </cell>
          <cell r="F120" t="str">
            <v>Demand Deposit – Non Interest Bearing from Banks – Non Resident</v>
          </cell>
          <cell r="G120" t="str">
            <v>D</v>
          </cell>
          <cell r="H120" t="str">
            <v>B</v>
          </cell>
          <cell r="I120" t="str">
            <v>212000</v>
          </cell>
          <cell r="J120">
            <v>-6064061.9500000002</v>
          </cell>
          <cell r="K120" t="str">
            <v>30/01/2009 00:00:00</v>
          </cell>
        </row>
        <row r="121">
          <cell r="E121" t="str">
            <v>311242</v>
          </cell>
          <cell r="F121" t="str">
            <v>Demand Deposit – Non Int Bearing from BKs – Non Resident –USD</v>
          </cell>
          <cell r="G121" t="str">
            <v>D</v>
          </cell>
          <cell r="H121" t="str">
            <v>0</v>
          </cell>
          <cell r="I121" t="str">
            <v>214000</v>
          </cell>
          <cell r="J121">
            <v>-5992500.0899999999</v>
          </cell>
          <cell r="K121" t="str">
            <v>30/01/2009 00:00:00</v>
          </cell>
        </row>
        <row r="122">
          <cell r="E122" t="str">
            <v>311245</v>
          </cell>
          <cell r="F122" t="str">
            <v>Demand Deposit – Non Int Bearing from BKs – Non Resident –THB</v>
          </cell>
          <cell r="G122" t="str">
            <v>D</v>
          </cell>
          <cell r="H122" t="str">
            <v>0</v>
          </cell>
          <cell r="I122" t="str">
            <v>215000</v>
          </cell>
          <cell r="J122">
            <v>-71561.86</v>
          </cell>
          <cell r="K122" t="str">
            <v>30/01/2009 00:00:00</v>
          </cell>
        </row>
        <row r="123">
          <cell r="E123" t="str">
            <v>320000</v>
          </cell>
          <cell r="F123" t="str">
            <v>Demand, Saving and Time Deposit from Customers</v>
          </cell>
          <cell r="G123" t="str">
            <v>C</v>
          </cell>
          <cell r="H123" t="str">
            <v>B</v>
          </cell>
          <cell r="I123" t="str">
            <v>216000</v>
          </cell>
          <cell r="J123">
            <v>442266.3</v>
          </cell>
          <cell r="K123" t="str">
            <v>30/01/2009 00:00:00</v>
          </cell>
        </row>
        <row r="124">
          <cell r="E124" t="str">
            <v>321000</v>
          </cell>
          <cell r="F124" t="str">
            <v>Demand Deposit</v>
          </cell>
          <cell r="G124" t="str">
            <v>C</v>
          </cell>
          <cell r="H124" t="str">
            <v>B</v>
          </cell>
          <cell r="I124" t="str">
            <v>217000</v>
          </cell>
          <cell r="J124">
            <v>49692.73</v>
          </cell>
          <cell r="K124" t="str">
            <v>30/01/2009 00:00:00</v>
          </cell>
        </row>
        <row r="125">
          <cell r="E125" t="str">
            <v>321100</v>
          </cell>
          <cell r="F125" t="str">
            <v>Demand Deposit from Individuals</v>
          </cell>
          <cell r="G125" t="str">
            <v>C</v>
          </cell>
          <cell r="H125" t="str">
            <v>B</v>
          </cell>
          <cell r="I125" t="str">
            <v>218000</v>
          </cell>
          <cell r="J125">
            <v>10055.540000000001</v>
          </cell>
          <cell r="K125" t="str">
            <v>30/01/2009 00:00:00</v>
          </cell>
        </row>
        <row r="126">
          <cell r="E126" t="str">
            <v>321130</v>
          </cell>
          <cell r="F126" t="str">
            <v>Demand Deposit – Non Interest Bearing – Individuals – Resident</v>
          </cell>
          <cell r="G126" t="str">
            <v>C</v>
          </cell>
          <cell r="H126" t="str">
            <v>B</v>
          </cell>
          <cell r="I126" t="str">
            <v>219000</v>
          </cell>
          <cell r="J126">
            <v>10055.540000000001</v>
          </cell>
          <cell r="K126" t="str">
            <v>30/01/2009 00:00:00</v>
          </cell>
        </row>
        <row r="127">
          <cell r="E127" t="str">
            <v>321132</v>
          </cell>
          <cell r="F127" t="str">
            <v>Demand Deposit – Non Int Bearing – Individuals – Resident –USD</v>
          </cell>
          <cell r="G127" t="str">
            <v>C</v>
          </cell>
          <cell r="H127" t="str">
            <v>0</v>
          </cell>
          <cell r="I127" t="str">
            <v>221000</v>
          </cell>
          <cell r="J127">
            <v>10055.540000000001</v>
          </cell>
          <cell r="K127" t="str">
            <v>30/01/2009 00:00:00</v>
          </cell>
        </row>
        <row r="128">
          <cell r="E128" t="str">
            <v>321150</v>
          </cell>
          <cell r="F128" t="str">
            <v>Certified Checks Outstanding and Bank Checks Issued Outstanding – Individuals – Resident</v>
          </cell>
          <cell r="G128" t="str">
            <v>C</v>
          </cell>
          <cell r="H128" t="str">
            <v>B</v>
          </cell>
          <cell r="I128" t="str">
            <v>227000</v>
          </cell>
          <cell r="J128">
            <v>0</v>
          </cell>
          <cell r="K128" t="str">
            <v>30/01/2009 00:00:00</v>
          </cell>
        </row>
        <row r="129">
          <cell r="E129" t="str">
            <v>321152</v>
          </cell>
          <cell r="F129" t="str">
            <v>Certified Checks Outstanding and BK Checks Issued Outstanding – Individuals – Resident –USD</v>
          </cell>
          <cell r="G129" t="str">
            <v>C</v>
          </cell>
          <cell r="H129" t="str">
            <v>0</v>
          </cell>
          <cell r="I129" t="str">
            <v>229000</v>
          </cell>
          <cell r="J129">
            <v>0</v>
          </cell>
          <cell r="K129" t="str">
            <v>30/01/2009 00:00:00</v>
          </cell>
        </row>
        <row r="130">
          <cell r="E130" t="str">
            <v>321160</v>
          </cell>
          <cell r="F130" t="str">
            <v>Certified Checks Outstanding and BK Issued Foreign Draft Outstanding – Individuals – Non Resident</v>
          </cell>
          <cell r="G130" t="str">
            <v>C</v>
          </cell>
          <cell r="H130" t="str">
            <v>B</v>
          </cell>
          <cell r="I130" t="str">
            <v>231000</v>
          </cell>
          <cell r="J130">
            <v>0</v>
          </cell>
          <cell r="K130" t="str">
            <v>30/01/2009 00:00:00</v>
          </cell>
        </row>
        <row r="131">
          <cell r="E131" t="str">
            <v>321162</v>
          </cell>
          <cell r="F131" t="str">
            <v>Certified Checks Outstanding and BK Issued F Draft Outstanding – Individuals – Non Resident –USD</v>
          </cell>
          <cell r="G131" t="str">
            <v>C</v>
          </cell>
          <cell r="H131" t="str">
            <v>0</v>
          </cell>
          <cell r="I131" t="str">
            <v>233000</v>
          </cell>
          <cell r="J131">
            <v>0</v>
          </cell>
          <cell r="K131" t="str">
            <v>30/01/2009 00:00:00</v>
          </cell>
        </row>
        <row r="132">
          <cell r="E132" t="str">
            <v>321200</v>
          </cell>
          <cell r="F132" t="str">
            <v>Demand Deposit from Private Sector</v>
          </cell>
          <cell r="G132" t="str">
            <v>C</v>
          </cell>
          <cell r="H132" t="str">
            <v>B</v>
          </cell>
          <cell r="I132" t="str">
            <v>235000</v>
          </cell>
          <cell r="J132">
            <v>39637.19</v>
          </cell>
          <cell r="K132" t="str">
            <v>30/01/2009 00:00:00</v>
          </cell>
        </row>
        <row r="133">
          <cell r="E133" t="str">
            <v>321230</v>
          </cell>
          <cell r="F133" t="str">
            <v>Demand Deposit – Non Interest Bearing – Private Sector – Resident</v>
          </cell>
          <cell r="G133" t="str">
            <v>C</v>
          </cell>
          <cell r="H133" t="str">
            <v>B</v>
          </cell>
          <cell r="I133" t="str">
            <v>236000</v>
          </cell>
          <cell r="J133">
            <v>39537.19</v>
          </cell>
          <cell r="K133" t="str">
            <v>30/01/2009 00:00:00</v>
          </cell>
        </row>
        <row r="134">
          <cell r="E134" t="str">
            <v>321232</v>
          </cell>
          <cell r="F134" t="str">
            <v>Demand Deposit – Non Int Bearing – Private Sector – Resident –USD</v>
          </cell>
          <cell r="G134" t="str">
            <v>C</v>
          </cell>
          <cell r="H134" t="str">
            <v>0</v>
          </cell>
          <cell r="I134" t="str">
            <v>238000</v>
          </cell>
          <cell r="J134">
            <v>39537.19</v>
          </cell>
          <cell r="K134" t="str">
            <v>30/01/2009 00:00:00</v>
          </cell>
        </row>
        <row r="135">
          <cell r="E135" t="str">
            <v>321240</v>
          </cell>
          <cell r="F135" t="str">
            <v>Demand Deposit – Non Interest Bearing – Private Sector – Non Resident</v>
          </cell>
          <cell r="G135" t="str">
            <v>C</v>
          </cell>
          <cell r="H135" t="str">
            <v>B</v>
          </cell>
          <cell r="I135" t="str">
            <v>240000</v>
          </cell>
          <cell r="J135">
            <v>100</v>
          </cell>
          <cell r="K135" t="str">
            <v>30/01/2009 00:00:00</v>
          </cell>
        </row>
        <row r="136">
          <cell r="E136" t="str">
            <v>321242</v>
          </cell>
          <cell r="F136" t="str">
            <v>Demand Deposit – Non Int Bearing – Private Sector – Non Resident –USD</v>
          </cell>
          <cell r="G136" t="str">
            <v>C</v>
          </cell>
          <cell r="H136" t="str">
            <v>0</v>
          </cell>
          <cell r="I136" t="str">
            <v>242000</v>
          </cell>
          <cell r="J136">
            <v>100</v>
          </cell>
          <cell r="K136" t="str">
            <v>30/01/2009 00:00:00</v>
          </cell>
        </row>
        <row r="137">
          <cell r="E137" t="str">
            <v>321250</v>
          </cell>
          <cell r="F137" t="str">
            <v>Certified Checks Outstanding and Bank Checks Issued Outstanding – Private Sector – Resident</v>
          </cell>
          <cell r="G137" t="str">
            <v>C</v>
          </cell>
          <cell r="H137" t="str">
            <v>B</v>
          </cell>
          <cell r="I137" t="str">
            <v>244000</v>
          </cell>
          <cell r="J137">
            <v>0</v>
          </cell>
          <cell r="K137" t="str">
            <v>30/01/2009 00:00:00</v>
          </cell>
        </row>
        <row r="138">
          <cell r="E138" t="str">
            <v>321252</v>
          </cell>
          <cell r="F138" t="str">
            <v>Certified Checks Outstanding and BK Checks Issued Outstanding – Private Sector – Resident –USD</v>
          </cell>
          <cell r="G138" t="str">
            <v>C</v>
          </cell>
          <cell r="H138" t="str">
            <v>0</v>
          </cell>
          <cell r="I138" t="str">
            <v>246000</v>
          </cell>
          <cell r="J138">
            <v>0</v>
          </cell>
          <cell r="K138" t="str">
            <v>30/01/2009 00:00:00</v>
          </cell>
        </row>
        <row r="139">
          <cell r="E139" t="str">
            <v>321260</v>
          </cell>
          <cell r="F139" t="str">
            <v>Certified Checks Outstanding and Bank Issued Foreign Draft Outstanding – Private Sector – Non Resident</v>
          </cell>
          <cell r="G139" t="str">
            <v>C</v>
          </cell>
          <cell r="H139" t="str">
            <v>B</v>
          </cell>
          <cell r="I139" t="str">
            <v>248000</v>
          </cell>
          <cell r="J139">
            <v>0</v>
          </cell>
          <cell r="K139" t="str">
            <v>30/01/2009 00:00:00</v>
          </cell>
        </row>
        <row r="140">
          <cell r="E140" t="str">
            <v>321262</v>
          </cell>
          <cell r="F140" t="str">
            <v>Certified Checks Outstanding and BK Issued F Draft Outstanding – Private Sector – Non Resident –USD</v>
          </cell>
          <cell r="G140" t="str">
            <v>C</v>
          </cell>
          <cell r="H140" t="str">
            <v>0</v>
          </cell>
          <cell r="I140" t="str">
            <v>250000</v>
          </cell>
          <cell r="J140">
            <v>0</v>
          </cell>
          <cell r="K140" t="str">
            <v>30/01/2009 00:00:00</v>
          </cell>
        </row>
        <row r="141">
          <cell r="E141" t="str">
            <v>322000</v>
          </cell>
          <cell r="F141" t="str">
            <v>Saving Deposit</v>
          </cell>
          <cell r="G141" t="str">
            <v>C</v>
          </cell>
          <cell r="H141" t="str">
            <v>B</v>
          </cell>
          <cell r="I141" t="str">
            <v>252000</v>
          </cell>
          <cell r="J141">
            <v>391622.93</v>
          </cell>
          <cell r="K141" t="str">
            <v>30/01/2009 00:00:00</v>
          </cell>
        </row>
        <row r="142">
          <cell r="E142" t="str">
            <v>322100</v>
          </cell>
          <cell r="F142" t="str">
            <v>Saving Deposit from Individuals</v>
          </cell>
          <cell r="G142" t="str">
            <v>C</v>
          </cell>
          <cell r="H142" t="str">
            <v>B</v>
          </cell>
          <cell r="I142" t="str">
            <v>253000</v>
          </cell>
          <cell r="J142">
            <v>249012.12</v>
          </cell>
          <cell r="K142" t="str">
            <v>30/01/2009 00:00:00</v>
          </cell>
        </row>
        <row r="143">
          <cell r="E143" t="str">
            <v>322110</v>
          </cell>
          <cell r="F143" t="str">
            <v>Short Term – Saving Deposit – Individuals – Resident</v>
          </cell>
          <cell r="G143" t="str">
            <v>C</v>
          </cell>
          <cell r="H143" t="str">
            <v>B</v>
          </cell>
          <cell r="I143" t="str">
            <v>254000</v>
          </cell>
          <cell r="J143">
            <v>209827.5</v>
          </cell>
          <cell r="K143" t="str">
            <v>30/01/2009 00:00:00</v>
          </cell>
        </row>
        <row r="144">
          <cell r="E144" t="str">
            <v>322112</v>
          </cell>
          <cell r="F144" t="str">
            <v>Short Term – S/A – Individuals – Resident –USD</v>
          </cell>
          <cell r="G144" t="str">
            <v>C</v>
          </cell>
          <cell r="H144" t="str">
            <v>0</v>
          </cell>
          <cell r="I144" t="str">
            <v>256000</v>
          </cell>
          <cell r="J144">
            <v>201637.42</v>
          </cell>
          <cell r="K144" t="str">
            <v>30/01/2009 00:00:00</v>
          </cell>
        </row>
        <row r="145">
          <cell r="E145" t="str">
            <v>322115</v>
          </cell>
          <cell r="F145" t="str">
            <v>Short Term – S/A – Individuals – Resident –THB</v>
          </cell>
          <cell r="G145" t="str">
            <v>C</v>
          </cell>
          <cell r="H145" t="str">
            <v>0</v>
          </cell>
          <cell r="I145" t="str">
            <v>257000</v>
          </cell>
          <cell r="J145">
            <v>8190.08</v>
          </cell>
          <cell r="K145" t="str">
            <v>30/01/2009 00:00:00</v>
          </cell>
        </row>
        <row r="146">
          <cell r="E146" t="str">
            <v>322120</v>
          </cell>
          <cell r="F146" t="str">
            <v>Short Term – Saving Deposit – Individuals – Non Resident</v>
          </cell>
          <cell r="G146" t="str">
            <v>C</v>
          </cell>
          <cell r="H146" t="str">
            <v>B</v>
          </cell>
          <cell r="I146" t="str">
            <v>258000</v>
          </cell>
          <cell r="J146">
            <v>39184.620000000003</v>
          </cell>
          <cell r="K146" t="str">
            <v>30/01/2009 00:00:00</v>
          </cell>
        </row>
        <row r="147">
          <cell r="E147" t="str">
            <v>322122</v>
          </cell>
          <cell r="F147" t="str">
            <v>Short Term – S/A – Individuals – Non Resident –USD</v>
          </cell>
          <cell r="G147" t="str">
            <v>C</v>
          </cell>
          <cell r="H147" t="str">
            <v>0</v>
          </cell>
          <cell r="I147" t="str">
            <v>260000</v>
          </cell>
          <cell r="J147">
            <v>37941.43</v>
          </cell>
          <cell r="K147" t="str">
            <v>30/01/2009 00:00:00</v>
          </cell>
        </row>
        <row r="148">
          <cell r="E148" t="str">
            <v>322125</v>
          </cell>
          <cell r="F148" t="str">
            <v>Short Term – S/A – Individuals – Non Resident –THB</v>
          </cell>
          <cell r="G148" t="str">
            <v>C</v>
          </cell>
          <cell r="H148" t="str">
            <v>0</v>
          </cell>
          <cell r="I148" t="str">
            <v>261000</v>
          </cell>
          <cell r="J148">
            <v>1243.19</v>
          </cell>
          <cell r="K148" t="str">
            <v>30/01/2009 00:00:00</v>
          </cell>
        </row>
        <row r="149">
          <cell r="E149" t="str">
            <v>322200</v>
          </cell>
          <cell r="F149" t="str">
            <v>Saving Deposit from Private Sector</v>
          </cell>
          <cell r="G149" t="str">
            <v>C</v>
          </cell>
          <cell r="H149" t="str">
            <v>B</v>
          </cell>
          <cell r="I149" t="str">
            <v>262000</v>
          </cell>
          <cell r="J149">
            <v>142610.81</v>
          </cell>
          <cell r="K149" t="str">
            <v>30/01/2009 00:00:00</v>
          </cell>
        </row>
        <row r="150">
          <cell r="E150" t="str">
            <v>322210</v>
          </cell>
          <cell r="F150" t="str">
            <v>Short Term – Saving Deposit – Private Sector – Resident</v>
          </cell>
          <cell r="G150" t="str">
            <v>C</v>
          </cell>
          <cell r="H150" t="str">
            <v>B</v>
          </cell>
          <cell r="I150" t="str">
            <v>263000</v>
          </cell>
          <cell r="J150">
            <v>141488.32999999999</v>
          </cell>
          <cell r="K150" t="str">
            <v>30/01/2009 00:00:00</v>
          </cell>
        </row>
        <row r="151">
          <cell r="E151" t="str">
            <v>322212</v>
          </cell>
          <cell r="F151" t="str">
            <v>Short Term – S/A – Private Sector – Resident –USD</v>
          </cell>
          <cell r="G151" t="str">
            <v>C</v>
          </cell>
          <cell r="H151" t="str">
            <v>0</v>
          </cell>
          <cell r="I151" t="str">
            <v>265000</v>
          </cell>
          <cell r="J151">
            <v>141454.94</v>
          </cell>
          <cell r="K151" t="str">
            <v>30/01/2009 00:00:00</v>
          </cell>
        </row>
        <row r="152">
          <cell r="E152" t="str">
            <v>322215</v>
          </cell>
          <cell r="F152" t="str">
            <v>Short Term – S/A – Private Sector – Resident –THB</v>
          </cell>
          <cell r="G152" t="str">
            <v>C</v>
          </cell>
          <cell r="H152" t="str">
            <v>0</v>
          </cell>
          <cell r="I152" t="str">
            <v>266000</v>
          </cell>
          <cell r="J152">
            <v>33.39</v>
          </cell>
          <cell r="K152" t="str">
            <v>30/01/2009 00:00:00</v>
          </cell>
        </row>
        <row r="153">
          <cell r="E153" t="str">
            <v>322220</v>
          </cell>
          <cell r="F153" t="str">
            <v>Short Term – Saving Deposit – Private Sector – Non Resident</v>
          </cell>
          <cell r="G153" t="str">
            <v>C</v>
          </cell>
          <cell r="H153" t="str">
            <v>B</v>
          </cell>
          <cell r="I153" t="str">
            <v>267000</v>
          </cell>
          <cell r="J153">
            <v>1122.48</v>
          </cell>
          <cell r="K153" t="str">
            <v>30/01/2009 00:00:00</v>
          </cell>
        </row>
        <row r="154">
          <cell r="E154" t="str">
            <v>322222</v>
          </cell>
          <cell r="F154" t="str">
            <v>Short Term – S/A – Private Sector – Non Resident –USD</v>
          </cell>
          <cell r="G154" t="str">
            <v>C</v>
          </cell>
          <cell r="H154" t="str">
            <v>0</v>
          </cell>
          <cell r="I154" t="str">
            <v>269000</v>
          </cell>
          <cell r="J154">
            <v>1122.48</v>
          </cell>
          <cell r="K154" t="str">
            <v>30/01/2009 00:00:00</v>
          </cell>
        </row>
        <row r="155">
          <cell r="E155" t="str">
            <v>323000</v>
          </cell>
          <cell r="F155" t="str">
            <v>Time Deposit</v>
          </cell>
          <cell r="G155" t="str">
            <v>C</v>
          </cell>
          <cell r="H155" t="str">
            <v>B</v>
          </cell>
          <cell r="I155" t="str">
            <v>271000</v>
          </cell>
          <cell r="J155">
            <v>950.64</v>
          </cell>
          <cell r="K155" t="str">
            <v>30/01/2009 00:00:00</v>
          </cell>
        </row>
        <row r="156">
          <cell r="E156" t="str">
            <v>323100</v>
          </cell>
          <cell r="F156" t="str">
            <v>Time Deposit from Individual</v>
          </cell>
          <cell r="G156" t="str">
            <v>C</v>
          </cell>
          <cell r="H156" t="str">
            <v>B</v>
          </cell>
          <cell r="I156" t="str">
            <v>272000</v>
          </cell>
          <cell r="J156">
            <v>950.64</v>
          </cell>
          <cell r="K156" t="str">
            <v>30/01/2009 00:00:00</v>
          </cell>
        </row>
        <row r="157">
          <cell r="E157" t="str">
            <v>323110</v>
          </cell>
          <cell r="F157" t="str">
            <v>Short Term – Time Deposit – Individuals – Resident</v>
          </cell>
          <cell r="G157" t="str">
            <v>C</v>
          </cell>
          <cell r="H157" t="str">
            <v>B</v>
          </cell>
          <cell r="I157" t="str">
            <v>273000</v>
          </cell>
          <cell r="J157">
            <v>950.64</v>
          </cell>
          <cell r="K157" t="str">
            <v>30/01/2009 00:00:00</v>
          </cell>
        </row>
        <row r="158">
          <cell r="E158" t="str">
            <v>323112</v>
          </cell>
          <cell r="F158" t="str">
            <v>Short Term – F/D – Individuals – Resident –USD</v>
          </cell>
          <cell r="G158" t="str">
            <v>C</v>
          </cell>
          <cell r="H158" t="str">
            <v>0</v>
          </cell>
          <cell r="I158" t="str">
            <v>275000</v>
          </cell>
          <cell r="J158">
            <v>950.64</v>
          </cell>
          <cell r="K158" t="str">
            <v>30/01/2009 00:00:00</v>
          </cell>
        </row>
        <row r="159">
          <cell r="E159" t="str">
            <v>323200</v>
          </cell>
          <cell r="F159" t="str">
            <v>Time Deposit from Private Sector</v>
          </cell>
          <cell r="G159" t="str">
            <v>C</v>
          </cell>
          <cell r="H159" t="str">
            <v>B</v>
          </cell>
          <cell r="I159" t="str">
            <v>289000</v>
          </cell>
          <cell r="J159">
            <v>0</v>
          </cell>
          <cell r="K159" t="str">
            <v>30/01/2009 00:00:00</v>
          </cell>
        </row>
        <row r="160">
          <cell r="E160" t="str">
            <v>323210</v>
          </cell>
          <cell r="F160" t="str">
            <v>Short Term – Time Deposit – Private Sector – Resident</v>
          </cell>
          <cell r="G160" t="str">
            <v>C</v>
          </cell>
          <cell r="H160" t="str">
            <v>B</v>
          </cell>
          <cell r="I160" t="str">
            <v>290000</v>
          </cell>
          <cell r="J160">
            <v>0</v>
          </cell>
          <cell r="K160" t="str">
            <v>30/01/2009 00:00:00</v>
          </cell>
        </row>
        <row r="161">
          <cell r="E161" t="str">
            <v>323212</v>
          </cell>
          <cell r="F161" t="str">
            <v>Short Term – F/D – Private Sector – Resident –USD</v>
          </cell>
          <cell r="G161" t="str">
            <v>C</v>
          </cell>
          <cell r="H161" t="str">
            <v>0</v>
          </cell>
          <cell r="I161" t="str">
            <v>292000</v>
          </cell>
          <cell r="J161">
            <v>0</v>
          </cell>
          <cell r="K161" t="str">
            <v>30/01/2009 00:00:00</v>
          </cell>
        </row>
        <row r="162">
          <cell r="E162" t="str">
            <v>330000</v>
          </cell>
          <cell r="F162" t="str">
            <v>Borrowed Funds</v>
          </cell>
          <cell r="G162" t="str">
            <v>C</v>
          </cell>
          <cell r="H162" t="str">
            <v>B</v>
          </cell>
          <cell r="I162" t="str">
            <v>305100</v>
          </cell>
          <cell r="J162">
            <v>0</v>
          </cell>
          <cell r="K162" t="str">
            <v>30/01/2009 00:00:00</v>
          </cell>
        </row>
        <row r="163">
          <cell r="E163" t="str">
            <v>332000</v>
          </cell>
          <cell r="F163" t="str">
            <v>Long Term Borrowed Funds</v>
          </cell>
          <cell r="G163" t="str">
            <v>C</v>
          </cell>
          <cell r="H163" t="str">
            <v>B</v>
          </cell>
          <cell r="I163" t="str">
            <v>305200</v>
          </cell>
          <cell r="J163">
            <v>0</v>
          </cell>
          <cell r="K163" t="str">
            <v>30/01/2009 00:00:00</v>
          </cell>
        </row>
        <row r="164">
          <cell r="E164" t="str">
            <v>332600</v>
          </cell>
          <cell r="F164" t="str">
            <v>Borrowed Fund-Shareholders</v>
          </cell>
          <cell r="G164" t="str">
            <v>D</v>
          </cell>
          <cell r="H164" t="str">
            <v>B</v>
          </cell>
          <cell r="I164" t="str">
            <v>305300</v>
          </cell>
          <cell r="J164">
            <v>0</v>
          </cell>
          <cell r="K164" t="str">
            <v>30/01/2009 00:00:00</v>
          </cell>
        </row>
        <row r="165">
          <cell r="E165" t="str">
            <v>332620</v>
          </cell>
          <cell r="F165" t="str">
            <v>Borrowed Funds-Shareholders-Non Resident</v>
          </cell>
          <cell r="G165" t="str">
            <v>D</v>
          </cell>
          <cell r="H165" t="str">
            <v>B</v>
          </cell>
          <cell r="I165" t="str">
            <v>305400</v>
          </cell>
          <cell r="J165">
            <v>0</v>
          </cell>
          <cell r="K165" t="str">
            <v>30/01/2009 00:00:00</v>
          </cell>
        </row>
        <row r="166">
          <cell r="E166" t="str">
            <v>332622</v>
          </cell>
          <cell r="F166" t="str">
            <v>Borrowed Funds-Shareholders-Non Resident-USD</v>
          </cell>
          <cell r="G166" t="str">
            <v>D</v>
          </cell>
          <cell r="H166" t="str">
            <v>0</v>
          </cell>
          <cell r="I166" t="str">
            <v>305600</v>
          </cell>
          <cell r="J166">
            <v>0</v>
          </cell>
          <cell r="K166" t="str">
            <v>30/01/2009 00:00:00</v>
          </cell>
        </row>
        <row r="167">
          <cell r="E167" t="str">
            <v>332625</v>
          </cell>
          <cell r="F167" t="str">
            <v>Borrowed Funds-Shareholders-Non Resident-THB</v>
          </cell>
          <cell r="G167" t="str">
            <v>D</v>
          </cell>
          <cell r="H167" t="str">
            <v>0</v>
          </cell>
          <cell r="I167" t="str">
            <v>305700</v>
          </cell>
          <cell r="J167">
            <v>0</v>
          </cell>
          <cell r="K167" t="str">
            <v>30/01/2009 00:00:00</v>
          </cell>
        </row>
        <row r="168">
          <cell r="E168" t="str">
            <v>340000</v>
          </cell>
          <cell r="F168" t="str">
            <v>Accrued Interest Payable</v>
          </cell>
          <cell r="G168" t="str">
            <v>C</v>
          </cell>
          <cell r="H168" t="str">
            <v>B</v>
          </cell>
          <cell r="I168" t="str">
            <v>306000</v>
          </cell>
          <cell r="J168">
            <v>377.88</v>
          </cell>
          <cell r="K168" t="str">
            <v>30/01/2009 00:00:00</v>
          </cell>
        </row>
        <row r="169">
          <cell r="E169" t="str">
            <v>344000</v>
          </cell>
          <cell r="F169" t="str">
            <v>Accrued Interest Payable – Individuals</v>
          </cell>
          <cell r="G169" t="str">
            <v>C</v>
          </cell>
          <cell r="H169" t="str">
            <v>B</v>
          </cell>
          <cell r="I169" t="str">
            <v>307000</v>
          </cell>
          <cell r="J169">
            <v>255.39</v>
          </cell>
          <cell r="K169" t="str">
            <v>30/01/2009 00:00:00</v>
          </cell>
        </row>
        <row r="170">
          <cell r="E170" t="str">
            <v>344200</v>
          </cell>
          <cell r="F170" t="str">
            <v>AIP – Saving Deposit from Individuals</v>
          </cell>
          <cell r="G170" t="str">
            <v>C</v>
          </cell>
          <cell r="H170" t="str">
            <v>B</v>
          </cell>
          <cell r="I170" t="str">
            <v>308000</v>
          </cell>
          <cell r="J170">
            <v>253.13</v>
          </cell>
          <cell r="K170" t="str">
            <v>30/01/2009 00:00:00</v>
          </cell>
        </row>
        <row r="171">
          <cell r="E171" t="str">
            <v>344210</v>
          </cell>
          <cell r="F171" t="str">
            <v>AIP – Short Term – Saving Deposit from Individuals – Resident</v>
          </cell>
          <cell r="G171" t="str">
            <v>C</v>
          </cell>
          <cell r="H171" t="str">
            <v>B</v>
          </cell>
          <cell r="I171" t="str">
            <v>309000</v>
          </cell>
          <cell r="J171">
            <v>220.34</v>
          </cell>
          <cell r="K171" t="str">
            <v>30/01/2009 00:00:00</v>
          </cell>
        </row>
        <row r="172">
          <cell r="E172" t="str">
            <v>344212</v>
          </cell>
          <cell r="F172" t="str">
            <v>AIP – Short Term – S/A – Individuals – Resident –USD</v>
          </cell>
          <cell r="G172" t="str">
            <v>C</v>
          </cell>
          <cell r="H172" t="str">
            <v>0</v>
          </cell>
          <cell r="I172" t="str">
            <v>311000</v>
          </cell>
          <cell r="J172">
            <v>198.32</v>
          </cell>
          <cell r="K172" t="str">
            <v>30/01/2009 00:00:00</v>
          </cell>
        </row>
        <row r="173">
          <cell r="E173" t="str">
            <v>344215</v>
          </cell>
          <cell r="F173" t="str">
            <v>AIP – Short Term – S/A – Individuals – Resident –THB</v>
          </cell>
          <cell r="G173" t="str">
            <v>C</v>
          </cell>
          <cell r="H173" t="str">
            <v>0</v>
          </cell>
          <cell r="I173" t="str">
            <v>312000</v>
          </cell>
          <cell r="J173">
            <v>22.02</v>
          </cell>
          <cell r="K173" t="str">
            <v>30/01/2009 00:00:00</v>
          </cell>
        </row>
        <row r="174">
          <cell r="E174" t="str">
            <v>344220</v>
          </cell>
          <cell r="F174" t="str">
            <v>A/P – Short Term – Saving Deposit from Individuals – Non Resident</v>
          </cell>
          <cell r="G174" t="str">
            <v>C</v>
          </cell>
          <cell r="H174" t="str">
            <v>B</v>
          </cell>
          <cell r="I174" t="str">
            <v>313000</v>
          </cell>
          <cell r="J174">
            <v>32.79</v>
          </cell>
          <cell r="K174" t="str">
            <v>30/01/2009 00:00:00</v>
          </cell>
        </row>
        <row r="175">
          <cell r="E175" t="str">
            <v>344222</v>
          </cell>
          <cell r="F175" t="str">
            <v>AIP – Short Term – S/A – Individuals – Non Resident –USD</v>
          </cell>
          <cell r="G175" t="str">
            <v>C</v>
          </cell>
          <cell r="H175" t="str">
            <v>0</v>
          </cell>
          <cell r="I175" t="str">
            <v>315000</v>
          </cell>
          <cell r="J175">
            <v>31.69</v>
          </cell>
          <cell r="K175" t="str">
            <v>30/01/2009 00:00:00</v>
          </cell>
        </row>
        <row r="176">
          <cell r="E176" t="str">
            <v>344225</v>
          </cell>
          <cell r="F176" t="str">
            <v>AIP – Short Term – S/A – Individuals – Non Resident –THB</v>
          </cell>
          <cell r="G176" t="str">
            <v>C</v>
          </cell>
          <cell r="H176" t="str">
            <v>0</v>
          </cell>
          <cell r="I176" t="str">
            <v>316000</v>
          </cell>
          <cell r="J176">
            <v>1.1000000000000001</v>
          </cell>
          <cell r="K176" t="str">
            <v>30/01/2009 00:00:00</v>
          </cell>
        </row>
        <row r="177">
          <cell r="E177" t="str">
            <v>344300</v>
          </cell>
          <cell r="F177" t="str">
            <v>AIP – Time Deposit from Individuals</v>
          </cell>
          <cell r="G177" t="str">
            <v>C</v>
          </cell>
          <cell r="H177" t="str">
            <v>B</v>
          </cell>
          <cell r="I177" t="str">
            <v>317000</v>
          </cell>
          <cell r="J177">
            <v>2.2599999999999998</v>
          </cell>
          <cell r="K177" t="str">
            <v>30/01/2009 00:00:00</v>
          </cell>
        </row>
        <row r="178">
          <cell r="E178" t="str">
            <v>344310</v>
          </cell>
          <cell r="F178" t="str">
            <v>AIP – Short Term – Time Deposit from Individuals – Resident</v>
          </cell>
          <cell r="G178" t="str">
            <v>C</v>
          </cell>
          <cell r="H178" t="str">
            <v>B</v>
          </cell>
          <cell r="I178" t="str">
            <v>318000</v>
          </cell>
          <cell r="J178">
            <v>2.2599999999999998</v>
          </cell>
          <cell r="K178" t="str">
            <v>30/01/2009 00:00:00</v>
          </cell>
        </row>
        <row r="179">
          <cell r="E179" t="str">
            <v>344312</v>
          </cell>
          <cell r="F179" t="str">
            <v>AIP – Short Term – F/D – Individuals – Resident –USD</v>
          </cell>
          <cell r="G179" t="str">
            <v>C</v>
          </cell>
          <cell r="H179" t="str">
            <v>0</v>
          </cell>
          <cell r="I179" t="str">
            <v>320000</v>
          </cell>
          <cell r="J179">
            <v>2.2599999999999998</v>
          </cell>
          <cell r="K179" t="str">
            <v>30/01/2009 00:00:00</v>
          </cell>
        </row>
        <row r="180">
          <cell r="E180" t="str">
            <v>345000</v>
          </cell>
          <cell r="F180" t="str">
            <v>Accrued Interest Payable – Private Sector</v>
          </cell>
          <cell r="G180" t="str">
            <v>C</v>
          </cell>
          <cell r="H180" t="str">
            <v>B</v>
          </cell>
          <cell r="I180" t="str">
            <v>334000</v>
          </cell>
          <cell r="J180">
            <v>122.49</v>
          </cell>
          <cell r="K180" t="str">
            <v>30/01/2009 00:00:00</v>
          </cell>
        </row>
        <row r="181">
          <cell r="E181" t="str">
            <v>345200</v>
          </cell>
          <cell r="F181" t="str">
            <v>AIP – Saving Deposit from Private Sector</v>
          </cell>
          <cell r="G181" t="str">
            <v>C</v>
          </cell>
          <cell r="H181" t="str">
            <v>B</v>
          </cell>
          <cell r="I181" t="str">
            <v>335000</v>
          </cell>
          <cell r="J181">
            <v>122.49</v>
          </cell>
          <cell r="K181" t="str">
            <v>30/01/2009 00:00:00</v>
          </cell>
        </row>
        <row r="182">
          <cell r="E182" t="str">
            <v>345210</v>
          </cell>
          <cell r="F182" t="str">
            <v>AIP – Short Term – Saving Deposit from Private Sector – Resident</v>
          </cell>
          <cell r="G182" t="str">
            <v>C</v>
          </cell>
          <cell r="H182" t="str">
            <v>B</v>
          </cell>
          <cell r="I182" t="str">
            <v>336000</v>
          </cell>
          <cell r="J182">
            <v>121.49</v>
          </cell>
          <cell r="K182" t="str">
            <v>30/01/2009 00:00:00</v>
          </cell>
        </row>
        <row r="183">
          <cell r="E183" t="str">
            <v>345212</v>
          </cell>
          <cell r="F183" t="str">
            <v>AIP – Short Term – S/A – Private Sector – Resident –USD</v>
          </cell>
          <cell r="G183" t="str">
            <v>C</v>
          </cell>
          <cell r="H183" t="str">
            <v>0</v>
          </cell>
          <cell r="I183" t="str">
            <v>338000</v>
          </cell>
          <cell r="J183">
            <v>121.46</v>
          </cell>
          <cell r="K183" t="str">
            <v>30/01/2009 00:00:00</v>
          </cell>
        </row>
        <row r="184">
          <cell r="E184" t="str">
            <v>345215</v>
          </cell>
          <cell r="F184" t="str">
            <v>AIP – Short Term – S/A – Private Sector – Resident –THB</v>
          </cell>
          <cell r="G184" t="str">
            <v>C</v>
          </cell>
          <cell r="H184" t="str">
            <v>0</v>
          </cell>
          <cell r="I184" t="str">
            <v>339000</v>
          </cell>
          <cell r="J184">
            <v>0.03</v>
          </cell>
          <cell r="K184" t="str">
            <v>30/01/2009 00:00:00</v>
          </cell>
        </row>
        <row r="185">
          <cell r="E185" t="str">
            <v>345220</v>
          </cell>
          <cell r="F185" t="str">
            <v>AIP – Short Term – Saving Deposit from Private Sector – Non Resident</v>
          </cell>
          <cell r="G185" t="str">
            <v>C</v>
          </cell>
          <cell r="H185" t="str">
            <v>B</v>
          </cell>
          <cell r="I185" t="str">
            <v>340000</v>
          </cell>
          <cell r="J185">
            <v>1</v>
          </cell>
          <cell r="K185" t="str">
            <v>30/01/2009 00:00:00</v>
          </cell>
        </row>
        <row r="186">
          <cell r="E186" t="str">
            <v>345222</v>
          </cell>
          <cell r="F186" t="str">
            <v>AIP – Short Term – S/A – Private Sector – Non Resident –USD</v>
          </cell>
          <cell r="G186" t="str">
            <v>C</v>
          </cell>
          <cell r="H186" t="str">
            <v>0</v>
          </cell>
          <cell r="I186" t="str">
            <v>342000</v>
          </cell>
          <cell r="J186">
            <v>1</v>
          </cell>
          <cell r="K186" t="str">
            <v>30/01/2009 00:00:00</v>
          </cell>
        </row>
        <row r="187">
          <cell r="E187" t="str">
            <v>345300</v>
          </cell>
          <cell r="F187" t="str">
            <v>AIP – Time Deposit from Private Sector</v>
          </cell>
          <cell r="G187" t="str">
            <v>C</v>
          </cell>
          <cell r="H187" t="str">
            <v>B</v>
          </cell>
          <cell r="I187" t="str">
            <v>344000</v>
          </cell>
          <cell r="J187">
            <v>0</v>
          </cell>
          <cell r="K187" t="str">
            <v>30/01/2009 00:00:00</v>
          </cell>
        </row>
        <row r="188">
          <cell r="E188" t="str">
            <v>345310</v>
          </cell>
          <cell r="F188" t="str">
            <v>AIP – Short Term – Time Deposit from Private Sector – Resident</v>
          </cell>
          <cell r="G188" t="str">
            <v>C</v>
          </cell>
          <cell r="H188" t="str">
            <v>B</v>
          </cell>
          <cell r="I188" t="str">
            <v>345000</v>
          </cell>
          <cell r="J188">
            <v>0</v>
          </cell>
          <cell r="K188" t="str">
            <v>30/01/2009 00:00:00</v>
          </cell>
        </row>
        <row r="189">
          <cell r="E189" t="str">
            <v>345312</v>
          </cell>
          <cell r="F189" t="str">
            <v>AIP – Short Term – F/D – Private Sector – Resident –USD</v>
          </cell>
          <cell r="G189" t="str">
            <v>C</v>
          </cell>
          <cell r="H189" t="str">
            <v>0</v>
          </cell>
          <cell r="I189" t="str">
            <v>347000</v>
          </cell>
          <cell r="J189">
            <v>0</v>
          </cell>
          <cell r="K189" t="str">
            <v>30/01/2009 00:00:00</v>
          </cell>
        </row>
        <row r="190">
          <cell r="E190" t="str">
            <v>360000</v>
          </cell>
          <cell r="F190" t="str">
            <v>Accrued Payable Expenses</v>
          </cell>
          <cell r="G190" t="str">
            <v>C</v>
          </cell>
          <cell r="H190" t="str">
            <v>B</v>
          </cell>
          <cell r="I190" t="str">
            <v>361000</v>
          </cell>
          <cell r="J190">
            <v>538</v>
          </cell>
          <cell r="K190" t="str">
            <v>30/01/2009 00:00:00</v>
          </cell>
        </row>
        <row r="191">
          <cell r="E191" t="str">
            <v>362000</v>
          </cell>
          <cell r="F191" t="str">
            <v>Other Accrued Expenses</v>
          </cell>
          <cell r="G191" t="str">
            <v>C</v>
          </cell>
          <cell r="H191" t="str">
            <v>B</v>
          </cell>
          <cell r="I191" t="str">
            <v>367000</v>
          </cell>
          <cell r="J191">
            <v>538</v>
          </cell>
          <cell r="K191" t="str">
            <v>30/01/2009 00:00:00</v>
          </cell>
        </row>
        <row r="192">
          <cell r="E192" t="str">
            <v>362002</v>
          </cell>
          <cell r="F192" t="str">
            <v>Other Accrued Expenses –USD</v>
          </cell>
          <cell r="G192" t="str">
            <v>C</v>
          </cell>
          <cell r="H192" t="str">
            <v>0</v>
          </cell>
          <cell r="I192" t="str">
            <v>369000</v>
          </cell>
          <cell r="J192">
            <v>538</v>
          </cell>
          <cell r="K192" t="str">
            <v>30/01/2009 00:00:00</v>
          </cell>
        </row>
        <row r="193">
          <cell r="E193" t="str">
            <v>362005</v>
          </cell>
          <cell r="F193" t="str">
            <v>Other Accrued Expenses –THB</v>
          </cell>
          <cell r="G193" t="str">
            <v>C</v>
          </cell>
          <cell r="H193" t="str">
            <v>0</v>
          </cell>
          <cell r="I193" t="str">
            <v>370000</v>
          </cell>
          <cell r="J193">
            <v>0</v>
          </cell>
          <cell r="K193" t="str">
            <v>30/01/2009 00:00:00</v>
          </cell>
        </row>
        <row r="194">
          <cell r="E194" t="str">
            <v>370000</v>
          </cell>
          <cell r="F194" t="str">
            <v>Accrued Taxes Payable, Unearned, and Deferred Income</v>
          </cell>
          <cell r="G194" t="str">
            <v>C</v>
          </cell>
          <cell r="H194" t="str">
            <v>B</v>
          </cell>
          <cell r="I194" t="str">
            <v>371000</v>
          </cell>
          <cell r="J194">
            <v>28487</v>
          </cell>
          <cell r="K194" t="str">
            <v>30/01/2009 00:00:00</v>
          </cell>
        </row>
        <row r="195">
          <cell r="E195" t="str">
            <v>371000</v>
          </cell>
          <cell r="F195" t="str">
            <v>Accrued Taxes Payable</v>
          </cell>
          <cell r="G195" t="str">
            <v>C</v>
          </cell>
          <cell r="H195" t="str">
            <v>B</v>
          </cell>
          <cell r="I195" t="str">
            <v>372000</v>
          </cell>
          <cell r="J195">
            <v>28487</v>
          </cell>
          <cell r="K195" t="str">
            <v>30/01/2009 00:00:00</v>
          </cell>
        </row>
        <row r="196">
          <cell r="E196" t="str">
            <v>371100</v>
          </cell>
          <cell r="F196" t="str">
            <v>Accrued Income Taxes Payble-Current Year</v>
          </cell>
          <cell r="G196" t="str">
            <v>C</v>
          </cell>
          <cell r="H196" t="str">
            <v>B</v>
          </cell>
          <cell r="I196" t="str">
            <v>372500</v>
          </cell>
          <cell r="J196">
            <v>28377</v>
          </cell>
          <cell r="K196" t="str">
            <v>30/01/2009 00:00:00</v>
          </cell>
        </row>
        <row r="197">
          <cell r="E197" t="str">
            <v>371102</v>
          </cell>
          <cell r="F197" t="str">
            <v>Accrued Income Taxes Payble-Current Year-USD</v>
          </cell>
          <cell r="G197" t="str">
            <v>C</v>
          </cell>
          <cell r="H197" t="str">
            <v>0</v>
          </cell>
          <cell r="I197" t="str">
            <v>372600</v>
          </cell>
          <cell r="J197">
            <v>28377</v>
          </cell>
          <cell r="K197" t="str">
            <v>30/01/2009 00:00:00</v>
          </cell>
        </row>
        <row r="198">
          <cell r="E198" t="str">
            <v>371200</v>
          </cell>
          <cell r="F198" t="str">
            <v>Accrued Taxes Payable – Other Than Income Taxes</v>
          </cell>
          <cell r="G198" t="str">
            <v>C</v>
          </cell>
          <cell r="H198" t="str">
            <v>B</v>
          </cell>
          <cell r="I198" t="str">
            <v>373000</v>
          </cell>
          <cell r="J198">
            <v>110</v>
          </cell>
          <cell r="K198" t="str">
            <v>30/01/2009 00:00:00</v>
          </cell>
        </row>
        <row r="199">
          <cell r="E199" t="str">
            <v>371202</v>
          </cell>
          <cell r="F199" t="str">
            <v>Accrued Taxes Payable – Other Than Income Taxes –USD</v>
          </cell>
          <cell r="G199" t="str">
            <v>C</v>
          </cell>
          <cell r="H199" t="str">
            <v>0</v>
          </cell>
          <cell r="I199" t="str">
            <v>375000</v>
          </cell>
          <cell r="J199">
            <v>110</v>
          </cell>
          <cell r="K199" t="str">
            <v>30/01/2009 00:00:00</v>
          </cell>
        </row>
        <row r="200">
          <cell r="E200" t="str">
            <v>380000</v>
          </cell>
          <cell r="F200" t="str">
            <v>Other Liabilities</v>
          </cell>
          <cell r="G200" t="str">
            <v>C</v>
          </cell>
          <cell r="H200" t="str">
            <v>B</v>
          </cell>
          <cell r="I200" t="str">
            <v>377000</v>
          </cell>
          <cell r="J200">
            <v>-1685.69</v>
          </cell>
          <cell r="K200" t="str">
            <v>30/01/2009 00:00:00</v>
          </cell>
        </row>
        <row r="201">
          <cell r="E201" t="str">
            <v>384000</v>
          </cell>
          <cell r="F201" t="str">
            <v>Saving and Time Deposit Interest Withholding Taxes</v>
          </cell>
          <cell r="G201" t="str">
            <v>C</v>
          </cell>
          <cell r="H201" t="str">
            <v>B</v>
          </cell>
          <cell r="I201" t="str">
            <v>379000</v>
          </cell>
          <cell r="J201">
            <v>0.08</v>
          </cell>
          <cell r="K201" t="str">
            <v>30/01/2009 00:00:00</v>
          </cell>
        </row>
        <row r="202">
          <cell r="E202" t="str">
            <v>384002</v>
          </cell>
          <cell r="F202" t="str">
            <v>S/A and F/D Int Withholding Taxes –USD</v>
          </cell>
          <cell r="G202" t="str">
            <v>C</v>
          </cell>
          <cell r="H202" t="str">
            <v>0</v>
          </cell>
          <cell r="I202" t="str">
            <v>381000</v>
          </cell>
          <cell r="J202">
            <v>0.08</v>
          </cell>
          <cell r="K202" t="str">
            <v>30/01/2009 00:00:00</v>
          </cell>
        </row>
        <row r="203">
          <cell r="E203" t="str">
            <v>384005</v>
          </cell>
          <cell r="F203" t="str">
            <v>S/A and F/D Int Withholding Taxes –THB</v>
          </cell>
          <cell r="G203" t="str">
            <v>C</v>
          </cell>
          <cell r="H203" t="str">
            <v>0</v>
          </cell>
          <cell r="I203" t="str">
            <v>382000</v>
          </cell>
          <cell r="J203">
            <v>0</v>
          </cell>
          <cell r="K203" t="str">
            <v>30/01/2009 00:00:00</v>
          </cell>
        </row>
        <row r="204">
          <cell r="E204" t="str">
            <v>386000</v>
          </cell>
          <cell r="F204" t="str">
            <v>Position Account Foreign Exchange</v>
          </cell>
          <cell r="G204" t="str">
            <v>C</v>
          </cell>
          <cell r="H204" t="str">
            <v>B</v>
          </cell>
          <cell r="I204" t="str">
            <v>382100</v>
          </cell>
          <cell r="J204">
            <v>-1795.77</v>
          </cell>
          <cell r="K204" t="str">
            <v>30/01/2009 00:00:00</v>
          </cell>
        </row>
        <row r="205">
          <cell r="E205" t="str">
            <v>386001</v>
          </cell>
          <cell r="F205" t="str">
            <v>Position Account Foreign Exchange-KHR</v>
          </cell>
          <cell r="G205" t="str">
            <v>C</v>
          </cell>
          <cell r="H205" t="str">
            <v>0</v>
          </cell>
          <cell r="I205" t="str">
            <v>382200</v>
          </cell>
          <cell r="J205">
            <v>1935.1</v>
          </cell>
          <cell r="K205" t="str">
            <v>30/01/2009 00:00:00</v>
          </cell>
        </row>
        <row r="206">
          <cell r="E206" t="str">
            <v>386002</v>
          </cell>
          <cell r="F206" t="str">
            <v>Position Account Foreign Exchange-USD</v>
          </cell>
          <cell r="G206" t="str">
            <v>C</v>
          </cell>
          <cell r="H206" t="str">
            <v>0</v>
          </cell>
          <cell r="I206" t="str">
            <v>382300</v>
          </cell>
          <cell r="J206">
            <v>9785.16</v>
          </cell>
          <cell r="K206" t="str">
            <v>30/01/2009 00:00:00</v>
          </cell>
        </row>
        <row r="207">
          <cell r="E207" t="str">
            <v>386003</v>
          </cell>
          <cell r="F207" t="str">
            <v>Position Account Foreign Exchange-EUR</v>
          </cell>
          <cell r="G207" t="str">
            <v>C</v>
          </cell>
          <cell r="H207" t="str">
            <v>0</v>
          </cell>
          <cell r="I207" t="str">
            <v>382310</v>
          </cell>
          <cell r="J207">
            <v>0</v>
          </cell>
          <cell r="K207" t="str">
            <v>30/01/2009 00:00:00</v>
          </cell>
        </row>
        <row r="208">
          <cell r="E208" t="str">
            <v>386004</v>
          </cell>
          <cell r="F208" t="str">
            <v>Position Account Foreign Exchange-JPY</v>
          </cell>
          <cell r="G208" t="str">
            <v>C</v>
          </cell>
          <cell r="H208" t="str">
            <v>0</v>
          </cell>
          <cell r="I208" t="str">
            <v>382320</v>
          </cell>
          <cell r="J208">
            <v>0</v>
          </cell>
          <cell r="K208" t="str">
            <v>30/01/2009 00:00:00</v>
          </cell>
        </row>
        <row r="209">
          <cell r="E209" t="str">
            <v>386005</v>
          </cell>
          <cell r="F209" t="str">
            <v>Position Account Foreign Exchange-THB</v>
          </cell>
          <cell r="G209" t="str">
            <v>C</v>
          </cell>
          <cell r="H209" t="str">
            <v>0</v>
          </cell>
          <cell r="I209" t="str">
            <v>382400</v>
          </cell>
          <cell r="J209">
            <v>-13516.03</v>
          </cell>
          <cell r="K209" t="str">
            <v>30/01/2009 00:00:00</v>
          </cell>
        </row>
        <row r="210">
          <cell r="E210" t="str">
            <v>389000</v>
          </cell>
          <cell r="F210" t="str">
            <v>Provision for Potential Losses on Off Balance Sheet Accounts and Other Sundry Liabilities</v>
          </cell>
          <cell r="G210" t="str">
            <v>C</v>
          </cell>
          <cell r="H210" t="str">
            <v>B</v>
          </cell>
          <cell r="I210" t="str">
            <v>383000</v>
          </cell>
          <cell r="J210">
            <v>110</v>
          </cell>
          <cell r="K210" t="str">
            <v>30/01/2009 00:00:00</v>
          </cell>
        </row>
        <row r="211">
          <cell r="E211" t="str">
            <v>389200</v>
          </cell>
          <cell r="F211" t="str">
            <v>Other Sundry Liabilities – Unclaimed S/A and Unclaimed Cashier's Cheques</v>
          </cell>
          <cell r="G211" t="str">
            <v>C</v>
          </cell>
          <cell r="H211" t="str">
            <v>B</v>
          </cell>
          <cell r="I211" t="str">
            <v>384000</v>
          </cell>
          <cell r="J211">
            <v>110</v>
          </cell>
          <cell r="K211" t="str">
            <v>30/01/2009 00:00:00</v>
          </cell>
        </row>
        <row r="212">
          <cell r="E212" t="str">
            <v>389220</v>
          </cell>
          <cell r="F212" t="str">
            <v>Suspense Account</v>
          </cell>
          <cell r="G212" t="str">
            <v>C</v>
          </cell>
          <cell r="H212" t="str">
            <v>B</v>
          </cell>
          <cell r="I212" t="str">
            <v>396100</v>
          </cell>
          <cell r="J212">
            <v>110</v>
          </cell>
          <cell r="K212" t="str">
            <v>30/01/2009 00:00:00</v>
          </cell>
        </row>
        <row r="213">
          <cell r="E213" t="str">
            <v>389222</v>
          </cell>
          <cell r="F213" t="str">
            <v>Suspense A/C – Creditor–USD</v>
          </cell>
          <cell r="G213" t="str">
            <v>C</v>
          </cell>
          <cell r="H213" t="str">
            <v>0</v>
          </cell>
          <cell r="I213" t="str">
            <v>396200</v>
          </cell>
          <cell r="J213">
            <v>110</v>
          </cell>
          <cell r="K213" t="str">
            <v>30/01/2009 00:00:00</v>
          </cell>
        </row>
        <row r="214">
          <cell r="E214" t="str">
            <v>389225</v>
          </cell>
          <cell r="F214" t="str">
            <v>Suspense A/C –Creditor –THB</v>
          </cell>
          <cell r="G214" t="str">
            <v>C</v>
          </cell>
          <cell r="H214" t="str">
            <v>0</v>
          </cell>
          <cell r="I214" t="str">
            <v>396300</v>
          </cell>
          <cell r="J214">
            <v>0</v>
          </cell>
          <cell r="K214" t="str">
            <v>30/01/2009 00:00:00</v>
          </cell>
        </row>
        <row r="215">
          <cell r="E215" t="str">
            <v>407000</v>
          </cell>
          <cell r="F215" t="str">
            <v>Retained Earnings</v>
          </cell>
          <cell r="G215" t="str">
            <v>D</v>
          </cell>
          <cell r="H215" t="str">
            <v>B</v>
          </cell>
          <cell r="I215" t="str">
            <v>412000</v>
          </cell>
          <cell r="J215">
            <v>6509.48</v>
          </cell>
          <cell r="K215" t="str">
            <v>30/01/2009 00:00:00</v>
          </cell>
        </row>
        <row r="216">
          <cell r="E216" t="str">
            <v>407002</v>
          </cell>
          <cell r="F216" t="str">
            <v>Retained Earnings –USD</v>
          </cell>
          <cell r="G216" t="str">
            <v>D</v>
          </cell>
          <cell r="H216" t="str">
            <v>B</v>
          </cell>
          <cell r="I216" t="str">
            <v>414000</v>
          </cell>
          <cell r="J216">
            <v>6509.48</v>
          </cell>
          <cell r="K216" t="str">
            <v>30/01/2009 00:00:00</v>
          </cell>
        </row>
        <row r="217">
          <cell r="E217" t="str">
            <v>40700201</v>
          </cell>
          <cell r="F217" t="str">
            <v>Retained Earnings –USD (HO A/C 2)</v>
          </cell>
          <cell r="G217" t="str">
            <v>D</v>
          </cell>
          <cell r="H217" t="str">
            <v>0</v>
          </cell>
          <cell r="I217" t="str">
            <v>414100</v>
          </cell>
          <cell r="J217">
            <v>109810.32</v>
          </cell>
          <cell r="K217" t="str">
            <v>30/01/2009 00:00:00</v>
          </cell>
        </row>
        <row r="218">
          <cell r="E218" t="str">
            <v>40700202</v>
          </cell>
          <cell r="F218" t="str">
            <v>Retained Earnings –USD (Profit &amp; Loss A/C)</v>
          </cell>
          <cell r="G218" t="str">
            <v>C</v>
          </cell>
          <cell r="H218" t="str">
            <v>0</v>
          </cell>
          <cell r="I218" t="str">
            <v>414200</v>
          </cell>
          <cell r="J218">
            <v>103300.84</v>
          </cell>
          <cell r="K218" t="str">
            <v>30/01/2009 00:00:00</v>
          </cell>
        </row>
        <row r="219">
          <cell r="E219" t="str">
            <v>500000</v>
          </cell>
          <cell r="F219" t="str">
            <v>INCOME</v>
          </cell>
          <cell r="G219" t="str">
            <v>C</v>
          </cell>
          <cell r="H219" t="str">
            <v>B</v>
          </cell>
          <cell r="I219" t="str">
            <v>419000</v>
          </cell>
          <cell r="J219">
            <v>9749.19</v>
          </cell>
          <cell r="K219" t="str">
            <v>30/01/2009 00:00:00</v>
          </cell>
        </row>
        <row r="220">
          <cell r="E220" t="str">
            <v>510000</v>
          </cell>
          <cell r="F220" t="str">
            <v>Interest Income – Loans and Placements with Banks</v>
          </cell>
          <cell r="G220" t="str">
            <v>C</v>
          </cell>
          <cell r="H220" t="str">
            <v>B</v>
          </cell>
          <cell r="I220" t="str">
            <v>420000</v>
          </cell>
          <cell r="J220">
            <v>3480.72</v>
          </cell>
          <cell r="K220" t="str">
            <v>30/01/2009 00:00:00</v>
          </cell>
        </row>
        <row r="221">
          <cell r="E221" t="str">
            <v>511000</v>
          </cell>
          <cell r="F221" t="str">
            <v>Interest Income – Due from Banks</v>
          </cell>
          <cell r="G221" t="str">
            <v>C</v>
          </cell>
          <cell r="H221" t="str">
            <v>B</v>
          </cell>
          <cell r="I221" t="str">
            <v>421000</v>
          </cell>
          <cell r="J221">
            <v>3480.72</v>
          </cell>
          <cell r="K221" t="str">
            <v>30/01/2009 00:00:00</v>
          </cell>
        </row>
        <row r="222">
          <cell r="E222" t="str">
            <v>511100</v>
          </cell>
          <cell r="F222" t="str">
            <v>Interest Income – Due from NBC</v>
          </cell>
          <cell r="G222" t="str">
            <v>C</v>
          </cell>
          <cell r="H222" t="str">
            <v>B</v>
          </cell>
          <cell r="I222" t="str">
            <v>422000</v>
          </cell>
          <cell r="J222">
            <v>3480.72</v>
          </cell>
          <cell r="K222" t="str">
            <v>30/01/2009 00:00:00</v>
          </cell>
        </row>
        <row r="223">
          <cell r="E223" t="str">
            <v>511120</v>
          </cell>
          <cell r="F223" t="str">
            <v>Interest Income – Other Deposit with NBC</v>
          </cell>
          <cell r="G223" t="str">
            <v>C</v>
          </cell>
          <cell r="H223" t="str">
            <v>B</v>
          </cell>
          <cell r="I223" t="str">
            <v>427000</v>
          </cell>
          <cell r="J223">
            <v>3480.72</v>
          </cell>
          <cell r="K223" t="str">
            <v>30/01/2009 00:00:00</v>
          </cell>
        </row>
        <row r="224">
          <cell r="E224" t="str">
            <v>511122</v>
          </cell>
          <cell r="F224" t="str">
            <v>Int Income – Other Deposit with NBC –USD</v>
          </cell>
          <cell r="G224" t="str">
            <v>C</v>
          </cell>
          <cell r="H224" t="str">
            <v>0</v>
          </cell>
          <cell r="I224" t="str">
            <v>429000</v>
          </cell>
          <cell r="J224">
            <v>3480.72</v>
          </cell>
          <cell r="K224" t="str">
            <v>30/01/2009 00:00:00</v>
          </cell>
        </row>
        <row r="225">
          <cell r="E225" t="str">
            <v>530000</v>
          </cell>
          <cell r="F225" t="str">
            <v>Interest Income – Standard Loans and Lease Financing</v>
          </cell>
          <cell r="G225" t="str">
            <v>C</v>
          </cell>
          <cell r="H225" t="str">
            <v>B</v>
          </cell>
          <cell r="I225" t="str">
            <v>431000</v>
          </cell>
          <cell r="J225">
            <v>3310.55</v>
          </cell>
          <cell r="K225" t="str">
            <v>30/01/2009 00:00:00</v>
          </cell>
        </row>
        <row r="226">
          <cell r="E226" t="str">
            <v>532000</v>
          </cell>
          <cell r="F226" t="str">
            <v>Interest Income – Standard Loans – Commercial Loans</v>
          </cell>
          <cell r="G226" t="str">
            <v>C</v>
          </cell>
          <cell r="H226" t="str">
            <v>B</v>
          </cell>
          <cell r="I226" t="str">
            <v>432000</v>
          </cell>
          <cell r="J226">
            <v>3310.55</v>
          </cell>
          <cell r="K226" t="str">
            <v>30/01/2009 00:00:00</v>
          </cell>
        </row>
        <row r="227">
          <cell r="E227" t="str">
            <v>532100</v>
          </cell>
          <cell r="F227" t="str">
            <v>Interest Income – Standard Loans – Overdraft (Permanent Line of Credit)</v>
          </cell>
          <cell r="G227" t="str">
            <v>C</v>
          </cell>
          <cell r="H227" t="str">
            <v>B</v>
          </cell>
          <cell r="I227" t="str">
            <v>433000</v>
          </cell>
          <cell r="J227">
            <v>493.52</v>
          </cell>
          <cell r="K227" t="str">
            <v>30/01/2009 00:00:00</v>
          </cell>
        </row>
        <row r="228">
          <cell r="E228" t="str">
            <v>532110</v>
          </cell>
          <cell r="F228" t="str">
            <v>Interest Income – Standard Loans – Overdraft – Private Sector – Resident</v>
          </cell>
          <cell r="G228" t="str">
            <v>C</v>
          </cell>
          <cell r="H228" t="str">
            <v>B</v>
          </cell>
          <cell r="I228" t="str">
            <v>434000</v>
          </cell>
          <cell r="J228">
            <v>493.52</v>
          </cell>
          <cell r="K228" t="str">
            <v>30/01/2009 00:00:00</v>
          </cell>
        </row>
        <row r="229">
          <cell r="E229" t="str">
            <v>532112</v>
          </cell>
          <cell r="F229" t="str">
            <v>Int Income – STD Loans – O/D – Private Sector – Resident –USD</v>
          </cell>
          <cell r="G229" t="str">
            <v>C</v>
          </cell>
          <cell r="H229" t="str">
            <v>0</v>
          </cell>
          <cell r="I229" t="str">
            <v>436000</v>
          </cell>
          <cell r="J229">
            <v>493.52</v>
          </cell>
          <cell r="K229" t="str">
            <v>30/01/2009 00:00:00</v>
          </cell>
        </row>
        <row r="230">
          <cell r="E230" t="str">
            <v>532200</v>
          </cell>
          <cell r="F230" t="str">
            <v>Interest Income-Standard Loans-Short term Commercial Loans</v>
          </cell>
          <cell r="G230" t="str">
            <v>C</v>
          </cell>
          <cell r="H230" t="str">
            <v>B</v>
          </cell>
          <cell r="I230" t="str">
            <v>437010</v>
          </cell>
          <cell r="J230">
            <v>1463.89</v>
          </cell>
          <cell r="K230" t="str">
            <v>30/01/2009 00:00:00</v>
          </cell>
        </row>
        <row r="231">
          <cell r="E231" t="str">
            <v>532210</v>
          </cell>
          <cell r="F231" t="str">
            <v>Interest Income-Standard Loans-Short term Commercial Loans-Private Sector-Resident</v>
          </cell>
          <cell r="G231" t="str">
            <v>C</v>
          </cell>
          <cell r="H231" t="str">
            <v>B</v>
          </cell>
          <cell r="I231" t="str">
            <v>437020</v>
          </cell>
          <cell r="J231">
            <v>1463.89</v>
          </cell>
          <cell r="K231" t="str">
            <v>30/01/2009 00:00:00</v>
          </cell>
        </row>
        <row r="232">
          <cell r="E232" t="str">
            <v>532212</v>
          </cell>
          <cell r="F232" t="str">
            <v>Interest Income-Standard Loans-Short term Commercial Loans-Private Sector-Resident-USD</v>
          </cell>
          <cell r="G232" t="str">
            <v>C</v>
          </cell>
          <cell r="H232" t="str">
            <v>B</v>
          </cell>
          <cell r="I232" t="str">
            <v>437030</v>
          </cell>
          <cell r="J232">
            <v>1463.89</v>
          </cell>
          <cell r="K232" t="str">
            <v>30/01/2009 00:00:00</v>
          </cell>
        </row>
        <row r="233">
          <cell r="E233" t="str">
            <v>53221202</v>
          </cell>
          <cell r="F233" t="str">
            <v>Int. Inc.Std Loans-(LBP)- Short term Commercial Loans-Private Sector-Resident-USD</v>
          </cell>
          <cell r="G233" t="str">
            <v>C</v>
          </cell>
          <cell r="H233" t="str">
            <v>0</v>
          </cell>
          <cell r="I233" t="str">
            <v>437050</v>
          </cell>
          <cell r="J233">
            <v>1463.89</v>
          </cell>
          <cell r="K233" t="str">
            <v>30/01/2009 00:00:00</v>
          </cell>
        </row>
        <row r="234">
          <cell r="E234" t="str">
            <v>532300</v>
          </cell>
          <cell r="F234" t="str">
            <v>Interest Income – Standard Loans – Long term Commercial Loans</v>
          </cell>
          <cell r="G234" t="str">
            <v>C</v>
          </cell>
          <cell r="H234" t="str">
            <v>B</v>
          </cell>
          <cell r="I234" t="str">
            <v>438000</v>
          </cell>
          <cell r="J234">
            <v>1353.14</v>
          </cell>
          <cell r="K234" t="str">
            <v>30/01/2009 00:00:00</v>
          </cell>
        </row>
        <row r="235">
          <cell r="E235" t="str">
            <v>532370</v>
          </cell>
          <cell r="F235" t="str">
            <v>Interest Income – Standard Loans – Other Long term Loans</v>
          </cell>
          <cell r="G235" t="str">
            <v>C</v>
          </cell>
          <cell r="H235" t="str">
            <v>B</v>
          </cell>
          <cell r="I235" t="str">
            <v>439000</v>
          </cell>
          <cell r="J235">
            <v>1353.14</v>
          </cell>
          <cell r="K235" t="str">
            <v>30/01/2009 00:00:00</v>
          </cell>
        </row>
        <row r="236">
          <cell r="E236" t="str">
            <v>532372</v>
          </cell>
          <cell r="F236" t="str">
            <v>Int Income – STD Loans – Other Long term Loans – Private Sector – Resident –USD</v>
          </cell>
          <cell r="G236" t="str">
            <v>C</v>
          </cell>
          <cell r="H236" t="str">
            <v>0</v>
          </cell>
          <cell r="I236" t="str">
            <v>441000</v>
          </cell>
          <cell r="J236">
            <v>1353.14</v>
          </cell>
          <cell r="K236" t="str">
            <v>30/01/2009 00:00:00</v>
          </cell>
        </row>
        <row r="237">
          <cell r="E237" t="str">
            <v>570000</v>
          </cell>
          <cell r="F237" t="str">
            <v>Non Interest Income</v>
          </cell>
          <cell r="G237" t="str">
            <v>C</v>
          </cell>
          <cell r="H237" t="str">
            <v>B</v>
          </cell>
          <cell r="I237" t="str">
            <v>519000</v>
          </cell>
          <cell r="J237">
            <v>2957.92</v>
          </cell>
          <cell r="K237" t="str">
            <v>30/01/2009 00:00:00</v>
          </cell>
        </row>
        <row r="238">
          <cell r="E238" t="str">
            <v>571000</v>
          </cell>
          <cell r="F238" t="str">
            <v>Income – Fees and Commissions</v>
          </cell>
          <cell r="G238" t="str">
            <v>C</v>
          </cell>
          <cell r="H238" t="str">
            <v>B</v>
          </cell>
          <cell r="I238" t="str">
            <v>519100</v>
          </cell>
          <cell r="J238">
            <v>50.7</v>
          </cell>
          <cell r="K238" t="str">
            <v>30/01/2009 00:00:00</v>
          </cell>
        </row>
        <row r="239">
          <cell r="E239" t="str">
            <v>571200</v>
          </cell>
          <cell r="F239" t="str">
            <v>Fees Income Trade and Documentary Credits</v>
          </cell>
          <cell r="G239" t="str">
            <v>C</v>
          </cell>
          <cell r="H239" t="str">
            <v>B</v>
          </cell>
          <cell r="I239" t="str">
            <v>520000</v>
          </cell>
          <cell r="J239">
            <v>50.7</v>
          </cell>
          <cell r="K239" t="str">
            <v>30/01/2009 00:00:00</v>
          </cell>
        </row>
        <row r="240">
          <cell r="E240" t="str">
            <v>571220</v>
          </cell>
          <cell r="F240" t="str">
            <v>Fees Income – Bills of Exchange (BoE)</v>
          </cell>
          <cell r="G240" t="str">
            <v>C</v>
          </cell>
          <cell r="H240" t="str">
            <v>B</v>
          </cell>
          <cell r="I240" t="str">
            <v>531000</v>
          </cell>
          <cell r="J240">
            <v>50.7</v>
          </cell>
          <cell r="K240" t="str">
            <v>30/01/2009 00:00:00</v>
          </cell>
        </row>
        <row r="241">
          <cell r="E241" t="str">
            <v>571222</v>
          </cell>
          <cell r="F241" t="str">
            <v>Fees Income – Bills of Exchange – BoE –USD</v>
          </cell>
          <cell r="G241" t="str">
            <v>C</v>
          </cell>
          <cell r="H241" t="str">
            <v>B</v>
          </cell>
          <cell r="I241" t="str">
            <v>535000</v>
          </cell>
          <cell r="J241">
            <v>50.7</v>
          </cell>
          <cell r="K241" t="str">
            <v>30/01/2009 00:00:00</v>
          </cell>
        </row>
        <row r="242">
          <cell r="E242" t="str">
            <v>57122201</v>
          </cell>
          <cell r="F242" t="str">
            <v>Fees Income – Bills of Exchange – BoE –USD (Foreign Bill)</v>
          </cell>
          <cell r="G242" t="str">
            <v>C</v>
          </cell>
          <cell r="H242" t="str">
            <v>0</v>
          </cell>
          <cell r="I242" t="str">
            <v>536000</v>
          </cell>
          <cell r="J242">
            <v>50.7</v>
          </cell>
          <cell r="K242" t="str">
            <v>30/01/2009 00:00:00</v>
          </cell>
        </row>
        <row r="243">
          <cell r="E243" t="str">
            <v>572000</v>
          </cell>
          <cell r="F243" t="str">
            <v>Service Charges and Fees on Deposit Accounts</v>
          </cell>
          <cell r="G243" t="str">
            <v>C</v>
          </cell>
          <cell r="H243" t="str">
            <v>B</v>
          </cell>
          <cell r="I243" t="str">
            <v>571000</v>
          </cell>
          <cell r="J243">
            <v>30</v>
          </cell>
          <cell r="K243" t="str">
            <v>30/01/2009 00:00:00</v>
          </cell>
        </row>
        <row r="244">
          <cell r="E244" t="str">
            <v>572100</v>
          </cell>
          <cell r="F244" t="str">
            <v>Service Charges on Demand Deposit Accounts</v>
          </cell>
          <cell r="G244" t="str">
            <v>C</v>
          </cell>
          <cell r="H244" t="str">
            <v>B</v>
          </cell>
          <cell r="I244" t="str">
            <v>572000</v>
          </cell>
          <cell r="J244">
            <v>30</v>
          </cell>
          <cell r="K244" t="str">
            <v>30/01/2009 00:00:00</v>
          </cell>
        </row>
        <row r="245">
          <cell r="E245" t="str">
            <v>572150</v>
          </cell>
          <cell r="F245" t="str">
            <v>Fees for Sale of Customer Checkbooks</v>
          </cell>
          <cell r="G245" t="str">
            <v>C</v>
          </cell>
          <cell r="H245" t="str">
            <v>B</v>
          </cell>
          <cell r="I245" t="str">
            <v>585000</v>
          </cell>
          <cell r="J245">
            <v>30</v>
          </cell>
          <cell r="K245" t="str">
            <v>30/01/2009 00:00:00</v>
          </cell>
        </row>
        <row r="246">
          <cell r="E246" t="str">
            <v>572152</v>
          </cell>
          <cell r="F246" t="str">
            <v>Fees for Sale of Customer Checkbooks –USD</v>
          </cell>
          <cell r="G246" t="str">
            <v>C</v>
          </cell>
          <cell r="H246" t="str">
            <v>0</v>
          </cell>
          <cell r="I246" t="str">
            <v>587000</v>
          </cell>
          <cell r="J246">
            <v>30</v>
          </cell>
          <cell r="K246" t="str">
            <v>30/01/2009 00:00:00</v>
          </cell>
        </row>
        <row r="247">
          <cell r="E247" t="str">
            <v>573000</v>
          </cell>
          <cell r="F247" t="str">
            <v>Income – Other Commissions and Fees</v>
          </cell>
          <cell r="G247" t="str">
            <v>C</v>
          </cell>
          <cell r="H247" t="str">
            <v>B</v>
          </cell>
          <cell r="I247" t="str">
            <v>610000</v>
          </cell>
          <cell r="J247">
            <v>2578.5700000000002</v>
          </cell>
          <cell r="K247" t="str">
            <v>30/01/2009 00:00:00</v>
          </cell>
        </row>
        <row r="248">
          <cell r="E248" t="str">
            <v>573100</v>
          </cell>
          <cell r="F248" t="str">
            <v>Income – Other Commissions and Fees</v>
          </cell>
          <cell r="G248" t="str">
            <v>C</v>
          </cell>
          <cell r="H248" t="str">
            <v>B</v>
          </cell>
          <cell r="I248" t="str">
            <v>611000</v>
          </cell>
          <cell r="J248">
            <v>2578.5700000000002</v>
          </cell>
          <cell r="K248" t="str">
            <v>30/01/2009 00:00:00</v>
          </cell>
        </row>
        <row r="249">
          <cell r="E249" t="str">
            <v>573130</v>
          </cell>
          <cell r="F249" t="str">
            <v>Fees for Telex, Fax and Phone</v>
          </cell>
          <cell r="G249" t="str">
            <v>C</v>
          </cell>
          <cell r="H249" t="str">
            <v>B</v>
          </cell>
          <cell r="I249" t="str">
            <v>612000</v>
          </cell>
          <cell r="J249">
            <v>513.44000000000005</v>
          </cell>
          <cell r="K249" t="str">
            <v>30/01/2009 00:00:00</v>
          </cell>
        </row>
        <row r="250">
          <cell r="E250" t="str">
            <v>573132</v>
          </cell>
          <cell r="F250" t="str">
            <v>Fees for Telex, Fax and Phone –USD</v>
          </cell>
          <cell r="G250" t="str">
            <v>C</v>
          </cell>
          <cell r="H250" t="str">
            <v>0</v>
          </cell>
          <cell r="I250" t="str">
            <v>614000</v>
          </cell>
          <cell r="J250">
            <v>467.57</v>
          </cell>
          <cell r="K250" t="str">
            <v>30/01/2009 00:00:00</v>
          </cell>
        </row>
        <row r="251">
          <cell r="E251" t="str">
            <v>573135</v>
          </cell>
          <cell r="F251" t="str">
            <v>Fees for Telex, Fax and Phone –THB</v>
          </cell>
          <cell r="G251" t="str">
            <v>C</v>
          </cell>
          <cell r="H251" t="str">
            <v>0</v>
          </cell>
          <cell r="I251" t="str">
            <v>615000</v>
          </cell>
          <cell r="J251">
            <v>45.87</v>
          </cell>
          <cell r="K251" t="str">
            <v>30/01/2009 00:00:00</v>
          </cell>
        </row>
        <row r="252">
          <cell r="E252" t="str">
            <v>573160</v>
          </cell>
          <cell r="F252" t="str">
            <v>Fees for Wire Transfer</v>
          </cell>
          <cell r="G252" t="str">
            <v>C</v>
          </cell>
          <cell r="H252" t="str">
            <v>B</v>
          </cell>
          <cell r="I252" t="str">
            <v>624000</v>
          </cell>
          <cell r="J252">
            <v>1911.63</v>
          </cell>
          <cell r="K252" t="str">
            <v>30/01/2009 00:00:00</v>
          </cell>
        </row>
        <row r="253">
          <cell r="E253" t="str">
            <v>573162</v>
          </cell>
          <cell r="F253" t="str">
            <v>Fees for Wire Transfer –USD</v>
          </cell>
          <cell r="G253" t="str">
            <v>C</v>
          </cell>
          <cell r="H253" t="str">
            <v>0</v>
          </cell>
          <cell r="I253" t="str">
            <v>626000</v>
          </cell>
          <cell r="J253">
            <v>1782.9</v>
          </cell>
          <cell r="K253" t="str">
            <v>30/01/2009 00:00:00</v>
          </cell>
        </row>
        <row r="254">
          <cell r="E254" t="str">
            <v>573165</v>
          </cell>
          <cell r="F254" t="str">
            <v>Fees for Wire Transfer –THB</v>
          </cell>
          <cell r="G254" t="str">
            <v>C</v>
          </cell>
          <cell r="H254" t="str">
            <v>0</v>
          </cell>
          <cell r="I254" t="str">
            <v>627000</v>
          </cell>
          <cell r="J254">
            <v>128.72999999999999</v>
          </cell>
          <cell r="K254" t="str">
            <v>30/01/2009 00:00:00</v>
          </cell>
        </row>
        <row r="255">
          <cell r="E255" t="str">
            <v>573170</v>
          </cell>
          <cell r="F255" t="str">
            <v>Other Commissions and Fees Income</v>
          </cell>
          <cell r="G255" t="str">
            <v>C</v>
          </cell>
          <cell r="H255" t="str">
            <v>B</v>
          </cell>
          <cell r="I255" t="str">
            <v>628000</v>
          </cell>
          <cell r="J255">
            <v>153.5</v>
          </cell>
          <cell r="K255" t="str">
            <v>30/01/2009 00:00:00</v>
          </cell>
        </row>
        <row r="256">
          <cell r="E256" t="str">
            <v>573172</v>
          </cell>
          <cell r="F256" t="str">
            <v>Other Commissions and Fees Income –USD</v>
          </cell>
          <cell r="G256" t="str">
            <v>C</v>
          </cell>
          <cell r="H256" t="str">
            <v>0</v>
          </cell>
          <cell r="I256" t="str">
            <v>630000</v>
          </cell>
          <cell r="J256">
            <v>153.5</v>
          </cell>
          <cell r="K256" t="str">
            <v>30/01/2009 00:00:00</v>
          </cell>
        </row>
        <row r="257">
          <cell r="E257" t="str">
            <v>574000</v>
          </cell>
          <cell r="F257" t="str">
            <v>Others Income</v>
          </cell>
          <cell r="G257" t="str">
            <v>C</v>
          </cell>
          <cell r="H257" t="str">
            <v>B</v>
          </cell>
          <cell r="I257" t="str">
            <v>632000</v>
          </cell>
          <cell r="J257">
            <v>298.64999999999998</v>
          </cell>
          <cell r="K257" t="str">
            <v>30/01/2009 00:00:00</v>
          </cell>
        </row>
        <row r="258">
          <cell r="E258" t="str">
            <v>574400</v>
          </cell>
          <cell r="F258" t="str">
            <v>Foeign Exchange Gains</v>
          </cell>
          <cell r="G258" t="str">
            <v>C</v>
          </cell>
          <cell r="H258" t="str">
            <v>B</v>
          </cell>
          <cell r="I258" t="str">
            <v>633000</v>
          </cell>
          <cell r="J258">
            <v>298.64999999999998</v>
          </cell>
          <cell r="K258" t="str">
            <v>30/01/2009 00:00:00</v>
          </cell>
        </row>
        <row r="259">
          <cell r="E259" t="str">
            <v>574410</v>
          </cell>
          <cell r="F259" t="str">
            <v>Foreign Exchange Currency Gains</v>
          </cell>
          <cell r="G259" t="str">
            <v>C</v>
          </cell>
          <cell r="H259" t="str">
            <v>B</v>
          </cell>
          <cell r="I259" t="str">
            <v>634000</v>
          </cell>
          <cell r="J259">
            <v>183.07</v>
          </cell>
          <cell r="K259" t="str">
            <v>30/01/2009 00:00:00</v>
          </cell>
        </row>
        <row r="260">
          <cell r="E260" t="str">
            <v>574412</v>
          </cell>
          <cell r="F260" t="str">
            <v>FX CCY Gains –USD</v>
          </cell>
          <cell r="G260" t="str">
            <v>C</v>
          </cell>
          <cell r="H260" t="str">
            <v>0</v>
          </cell>
          <cell r="I260" t="str">
            <v>636000</v>
          </cell>
          <cell r="J260">
            <v>183.07</v>
          </cell>
          <cell r="K260" t="str">
            <v>30/01/2009 00:00:00</v>
          </cell>
        </row>
        <row r="261">
          <cell r="E261" t="str">
            <v>574420</v>
          </cell>
          <cell r="F261" t="str">
            <v>Foreign Exchange Translation Gains</v>
          </cell>
          <cell r="G261" t="str">
            <v>C</v>
          </cell>
          <cell r="H261" t="str">
            <v>B</v>
          </cell>
          <cell r="I261" t="str">
            <v>638000</v>
          </cell>
          <cell r="J261">
            <v>115.58</v>
          </cell>
          <cell r="K261" t="str">
            <v>30/01/2009 00:00:00</v>
          </cell>
        </row>
        <row r="262">
          <cell r="E262" t="str">
            <v>57442201</v>
          </cell>
          <cell r="F262" t="str">
            <v>FX Translation Gains –USD</v>
          </cell>
          <cell r="G262" t="str">
            <v>C</v>
          </cell>
          <cell r="H262" t="str">
            <v>0</v>
          </cell>
          <cell r="I262" t="str">
            <v>640900</v>
          </cell>
          <cell r="J262">
            <v>115.58</v>
          </cell>
          <cell r="K262" t="str">
            <v>30/01/2009 00:00:00</v>
          </cell>
        </row>
        <row r="263">
          <cell r="E263" t="str">
            <v>600000</v>
          </cell>
          <cell r="F263" t="str">
            <v>Expenses</v>
          </cell>
          <cell r="G263" t="str">
            <v>D</v>
          </cell>
          <cell r="H263" t="str">
            <v>B</v>
          </cell>
          <cell r="I263" t="str">
            <v>647000</v>
          </cell>
          <cell r="J263">
            <v>10936.16</v>
          </cell>
          <cell r="K263" t="str">
            <v>30/01/2009 00:00:00</v>
          </cell>
        </row>
        <row r="264">
          <cell r="E264" t="str">
            <v>620000</v>
          </cell>
          <cell r="F264" t="str">
            <v>Interest Expenses</v>
          </cell>
          <cell r="G264" t="str">
            <v>D</v>
          </cell>
          <cell r="H264" t="str">
            <v>B</v>
          </cell>
          <cell r="I264" t="str">
            <v>648000</v>
          </cell>
          <cell r="J264">
            <v>379.26</v>
          </cell>
          <cell r="K264" t="str">
            <v>30/01/2009 00:00:00</v>
          </cell>
        </row>
        <row r="265">
          <cell r="E265" t="str">
            <v>622000</v>
          </cell>
          <cell r="F265" t="str">
            <v>Interest Expenses – Saving Deposit from Customers</v>
          </cell>
          <cell r="G265" t="str">
            <v>D</v>
          </cell>
          <cell r="H265" t="str">
            <v>B</v>
          </cell>
          <cell r="I265" t="str">
            <v>649000</v>
          </cell>
          <cell r="J265">
            <v>378.03</v>
          </cell>
          <cell r="K265" t="str">
            <v>30/01/2009 00:00:00</v>
          </cell>
        </row>
        <row r="266">
          <cell r="E266" t="str">
            <v>622100</v>
          </cell>
          <cell r="F266" t="str">
            <v>Interest Expenses – Saving Deposit from Individuals</v>
          </cell>
          <cell r="G266" t="str">
            <v>D</v>
          </cell>
          <cell r="H266" t="str">
            <v>B</v>
          </cell>
          <cell r="I266" t="str">
            <v>650000</v>
          </cell>
          <cell r="J266">
            <v>255.54</v>
          </cell>
          <cell r="K266" t="str">
            <v>30/01/2009 00:00:00</v>
          </cell>
        </row>
        <row r="267">
          <cell r="E267" t="str">
            <v>622110</v>
          </cell>
          <cell r="F267" t="str">
            <v>Int Expenses – Short Term – S/A – Individuals – Resident</v>
          </cell>
          <cell r="G267" t="str">
            <v>D</v>
          </cell>
          <cell r="H267" t="str">
            <v>B</v>
          </cell>
          <cell r="I267" t="str">
            <v>650100</v>
          </cell>
          <cell r="J267">
            <v>222.75</v>
          </cell>
          <cell r="K267" t="str">
            <v>30/01/2009 00:00:00</v>
          </cell>
        </row>
        <row r="268">
          <cell r="E268" t="str">
            <v>622112</v>
          </cell>
          <cell r="F268" t="str">
            <v>Int Expenses – Short Term – S/A – Individuals – Resident –USD</v>
          </cell>
          <cell r="G268" t="str">
            <v>D</v>
          </cell>
          <cell r="H268" t="str">
            <v>0</v>
          </cell>
          <cell r="I268" t="str">
            <v>651000</v>
          </cell>
          <cell r="J268">
            <v>200.73</v>
          </cell>
          <cell r="K268" t="str">
            <v>30/01/2009 00:00:00</v>
          </cell>
        </row>
        <row r="269">
          <cell r="E269" t="str">
            <v>622115</v>
          </cell>
          <cell r="F269" t="str">
            <v>Int Expenses – Short Term – S/A – Individuals – Resident –THB</v>
          </cell>
          <cell r="G269" t="str">
            <v>D</v>
          </cell>
          <cell r="H269" t="str">
            <v>0</v>
          </cell>
          <cell r="I269" t="str">
            <v>652000</v>
          </cell>
          <cell r="J269">
            <v>22.02</v>
          </cell>
          <cell r="K269" t="str">
            <v>30/01/2009 00:00:00</v>
          </cell>
        </row>
        <row r="270">
          <cell r="E270" t="str">
            <v>622120</v>
          </cell>
          <cell r="F270" t="str">
            <v xml:space="preserve">Int Expenses – Short Term – S/A – Individuals – Non Resident </v>
          </cell>
          <cell r="G270" t="str">
            <v>D</v>
          </cell>
          <cell r="H270" t="str">
            <v>B</v>
          </cell>
          <cell r="I270" t="str">
            <v>652100</v>
          </cell>
          <cell r="J270">
            <v>32.79</v>
          </cell>
          <cell r="K270" t="str">
            <v>30/01/2009 00:00:00</v>
          </cell>
        </row>
        <row r="271">
          <cell r="E271" t="str">
            <v>622122</v>
          </cell>
          <cell r="F271" t="str">
            <v>Int Expenses – Short Term – S/A – Individuals – Non Resident –USD</v>
          </cell>
          <cell r="G271" t="str">
            <v>D</v>
          </cell>
          <cell r="H271" t="str">
            <v>0</v>
          </cell>
          <cell r="I271" t="str">
            <v>653000</v>
          </cell>
          <cell r="J271">
            <v>31.69</v>
          </cell>
          <cell r="K271" t="str">
            <v>30/01/2009 00:00:00</v>
          </cell>
        </row>
        <row r="272">
          <cell r="E272" t="str">
            <v>622125</v>
          </cell>
          <cell r="F272" t="str">
            <v>Int Expenses – Short Term – S/A – Individuals – Non Resident –THB</v>
          </cell>
          <cell r="G272" t="str">
            <v>D</v>
          </cell>
          <cell r="H272" t="str">
            <v>0</v>
          </cell>
          <cell r="I272" t="str">
            <v>653300</v>
          </cell>
          <cell r="J272">
            <v>1.1000000000000001</v>
          </cell>
          <cell r="K272" t="str">
            <v>30/01/2009 00:00:00</v>
          </cell>
        </row>
        <row r="273">
          <cell r="E273" t="str">
            <v>622200</v>
          </cell>
          <cell r="F273" t="str">
            <v>Interest Expenses – Saving Deposit from Private Sector</v>
          </cell>
          <cell r="G273" t="str">
            <v>D</v>
          </cell>
          <cell r="H273" t="str">
            <v>B</v>
          </cell>
          <cell r="I273" t="str">
            <v>654000</v>
          </cell>
          <cell r="J273">
            <v>122.49</v>
          </cell>
          <cell r="K273" t="str">
            <v>30/01/2009 00:00:00</v>
          </cell>
        </row>
        <row r="274">
          <cell r="E274" t="str">
            <v>622210</v>
          </cell>
          <cell r="F274" t="str">
            <v xml:space="preserve">Int Expenses – Short Term – S/A – Private Sector – Resident </v>
          </cell>
          <cell r="G274" t="str">
            <v>D</v>
          </cell>
          <cell r="H274" t="str">
            <v>B</v>
          </cell>
          <cell r="I274" t="str">
            <v>654100</v>
          </cell>
          <cell r="J274">
            <v>121.49</v>
          </cell>
          <cell r="K274" t="str">
            <v>30/01/2009 00:00:00</v>
          </cell>
        </row>
        <row r="275">
          <cell r="E275" t="str">
            <v>622212</v>
          </cell>
          <cell r="F275" t="str">
            <v>Int Expenses – Short Term – S/A – Private Sector – Resident –USD</v>
          </cell>
          <cell r="G275" t="str">
            <v>D</v>
          </cell>
          <cell r="H275" t="str">
            <v>0</v>
          </cell>
          <cell r="I275" t="str">
            <v>655000</v>
          </cell>
          <cell r="J275">
            <v>121.46</v>
          </cell>
          <cell r="K275" t="str">
            <v>30/01/2009 00:00:00</v>
          </cell>
        </row>
        <row r="276">
          <cell r="E276" t="str">
            <v>622215</v>
          </cell>
          <cell r="F276" t="str">
            <v>Int Expenses – Short Term – S/A – Private Sector – Resident –THB</v>
          </cell>
          <cell r="G276" t="str">
            <v>D</v>
          </cell>
          <cell r="H276" t="str">
            <v>0</v>
          </cell>
          <cell r="I276" t="str">
            <v>655100</v>
          </cell>
          <cell r="J276">
            <v>0.03</v>
          </cell>
          <cell r="K276" t="str">
            <v>30/01/2009 00:00:00</v>
          </cell>
        </row>
        <row r="277">
          <cell r="E277" t="str">
            <v>622220</v>
          </cell>
          <cell r="F277" t="str">
            <v xml:space="preserve">Int Expenses – Short Term – S/A – Private Sector – Non Resident </v>
          </cell>
          <cell r="G277" t="str">
            <v>D</v>
          </cell>
          <cell r="H277" t="str">
            <v>B</v>
          </cell>
          <cell r="I277" t="str">
            <v>655200</v>
          </cell>
          <cell r="J277">
            <v>1</v>
          </cell>
          <cell r="K277" t="str">
            <v>30/01/2009 00:00:00</v>
          </cell>
        </row>
        <row r="278">
          <cell r="E278" t="str">
            <v>622222</v>
          </cell>
          <cell r="F278" t="str">
            <v>Int Expenses – Short Term – S/A – Private Sector – Non Resident –USD</v>
          </cell>
          <cell r="G278" t="str">
            <v>D</v>
          </cell>
          <cell r="H278" t="str">
            <v>0</v>
          </cell>
          <cell r="I278" t="str">
            <v>656000</v>
          </cell>
          <cell r="J278">
            <v>1</v>
          </cell>
          <cell r="K278" t="str">
            <v>30/01/2009 00:00:00</v>
          </cell>
        </row>
        <row r="279">
          <cell r="E279" t="str">
            <v>623000</v>
          </cell>
          <cell r="F279" t="str">
            <v>Interest Expenses – Time Deposit from Customers</v>
          </cell>
          <cell r="G279" t="str">
            <v>D</v>
          </cell>
          <cell r="H279" t="str">
            <v>B</v>
          </cell>
          <cell r="I279" t="str">
            <v>657000</v>
          </cell>
          <cell r="J279">
            <v>1.23</v>
          </cell>
          <cell r="K279" t="str">
            <v>30/01/2009 00:00:00</v>
          </cell>
        </row>
        <row r="280">
          <cell r="E280" t="str">
            <v>623100</v>
          </cell>
          <cell r="F280" t="str">
            <v>Interest Expenses – Time Deposit from Individuals</v>
          </cell>
          <cell r="G280" t="str">
            <v>D</v>
          </cell>
          <cell r="H280" t="str">
            <v>B</v>
          </cell>
          <cell r="I280" t="str">
            <v>658000</v>
          </cell>
          <cell r="J280">
            <v>1.23</v>
          </cell>
          <cell r="K280" t="str">
            <v>30/01/2009 00:00:00</v>
          </cell>
        </row>
        <row r="281">
          <cell r="E281" t="str">
            <v>623110</v>
          </cell>
          <cell r="F281" t="str">
            <v xml:space="preserve">Int Expenses – Short Term – F/D – Individuals – Resident </v>
          </cell>
          <cell r="G281" t="str">
            <v>D</v>
          </cell>
          <cell r="H281" t="str">
            <v>B</v>
          </cell>
          <cell r="I281" t="str">
            <v>658100</v>
          </cell>
          <cell r="J281">
            <v>1.23</v>
          </cell>
          <cell r="K281" t="str">
            <v>30/01/2009 00:00:00</v>
          </cell>
        </row>
        <row r="282">
          <cell r="E282" t="str">
            <v>623112</v>
          </cell>
          <cell r="F282" t="str">
            <v>Int Expenses – Short Term – F/D – Individuals – Resident –USD</v>
          </cell>
          <cell r="G282" t="str">
            <v>D</v>
          </cell>
          <cell r="H282" t="str">
            <v>0</v>
          </cell>
          <cell r="I282" t="str">
            <v>659000</v>
          </cell>
          <cell r="J282">
            <v>1.23</v>
          </cell>
          <cell r="K282" t="str">
            <v>30/01/2009 00:00:00</v>
          </cell>
        </row>
        <row r="283">
          <cell r="E283" t="str">
            <v>640000</v>
          </cell>
          <cell r="F283" t="str">
            <v>Non Interest Expense – General Expenses</v>
          </cell>
          <cell r="G283" t="str">
            <v>D</v>
          </cell>
          <cell r="H283" t="str">
            <v>B</v>
          </cell>
          <cell r="I283" t="str">
            <v>668000</v>
          </cell>
          <cell r="J283">
            <v>8397.32</v>
          </cell>
          <cell r="K283" t="str">
            <v>30/01/2009 00:00:00</v>
          </cell>
        </row>
        <row r="284">
          <cell r="E284" t="str">
            <v>641000</v>
          </cell>
          <cell r="F284" t="str">
            <v>Salaries, Wages and Other Personel Expenses</v>
          </cell>
          <cell r="G284" t="str">
            <v>D</v>
          </cell>
          <cell r="H284" t="str">
            <v>B</v>
          </cell>
          <cell r="I284" t="str">
            <v>669000</v>
          </cell>
          <cell r="J284">
            <v>3824.66</v>
          </cell>
          <cell r="K284" t="str">
            <v>30/01/2009 00:00:00</v>
          </cell>
        </row>
        <row r="285">
          <cell r="E285" t="str">
            <v>641100</v>
          </cell>
          <cell r="F285" t="str">
            <v>Salaries, Wages and Incentive Expenses</v>
          </cell>
          <cell r="G285" t="str">
            <v>D</v>
          </cell>
          <cell r="H285" t="str">
            <v>B</v>
          </cell>
          <cell r="I285" t="str">
            <v>670000</v>
          </cell>
          <cell r="J285">
            <v>3697</v>
          </cell>
          <cell r="K285" t="str">
            <v>30/01/2009 00:00:00</v>
          </cell>
        </row>
        <row r="286">
          <cell r="E286" t="str">
            <v>641110</v>
          </cell>
          <cell r="F286" t="str">
            <v>Salaries and Wages Expense</v>
          </cell>
          <cell r="G286" t="str">
            <v>D</v>
          </cell>
          <cell r="H286" t="str">
            <v>B</v>
          </cell>
          <cell r="I286" t="str">
            <v>671000</v>
          </cell>
          <cell r="J286">
            <v>3697</v>
          </cell>
          <cell r="K286" t="str">
            <v>30/01/2009 00:00:00</v>
          </cell>
        </row>
        <row r="287">
          <cell r="E287" t="str">
            <v>641112</v>
          </cell>
          <cell r="F287" t="str">
            <v>PE – Salaries and Wages Expense –USD</v>
          </cell>
          <cell r="G287" t="str">
            <v>D</v>
          </cell>
          <cell r="H287" t="str">
            <v>B</v>
          </cell>
          <cell r="I287" t="str">
            <v>672000</v>
          </cell>
          <cell r="J287">
            <v>3697</v>
          </cell>
          <cell r="K287" t="str">
            <v>30/01/2009 00:00:00</v>
          </cell>
        </row>
        <row r="288">
          <cell r="E288" t="str">
            <v>64111201</v>
          </cell>
          <cell r="F288" t="str">
            <v xml:space="preserve">PE – Salaries and Wages Expense –(Salaries)–USD </v>
          </cell>
          <cell r="G288" t="str">
            <v>D</v>
          </cell>
          <cell r="H288" t="str">
            <v>0</v>
          </cell>
          <cell r="I288" t="str">
            <v>673000</v>
          </cell>
          <cell r="J288">
            <v>547</v>
          </cell>
          <cell r="K288" t="str">
            <v>30/01/2009 00:00:00</v>
          </cell>
        </row>
        <row r="289">
          <cell r="E289" t="str">
            <v>64111202</v>
          </cell>
          <cell r="F289" t="str">
            <v xml:space="preserve">PE – Salaries and Wages Expense –(Cost of Living)–USD </v>
          </cell>
          <cell r="G289" t="str">
            <v>D</v>
          </cell>
          <cell r="H289" t="str">
            <v>0</v>
          </cell>
          <cell r="I289" t="str">
            <v>674000</v>
          </cell>
          <cell r="J289">
            <v>3150</v>
          </cell>
          <cell r="K289" t="str">
            <v>30/01/2009 00:00:00</v>
          </cell>
        </row>
        <row r="290">
          <cell r="E290" t="str">
            <v>641200</v>
          </cell>
          <cell r="F290" t="str">
            <v>Other Personnel Expense</v>
          </cell>
          <cell r="G290" t="str">
            <v>D</v>
          </cell>
          <cell r="H290" t="str">
            <v>B</v>
          </cell>
          <cell r="I290" t="str">
            <v>682000</v>
          </cell>
          <cell r="J290">
            <v>127.66</v>
          </cell>
          <cell r="K290" t="str">
            <v>30/01/2009 00:00:00</v>
          </cell>
        </row>
        <row r="291">
          <cell r="E291" t="str">
            <v>641290</v>
          </cell>
          <cell r="F291" t="str">
            <v>Other Employee Expense</v>
          </cell>
          <cell r="G291" t="str">
            <v>D</v>
          </cell>
          <cell r="H291" t="str">
            <v>B</v>
          </cell>
          <cell r="I291" t="str">
            <v>688000</v>
          </cell>
          <cell r="J291">
            <v>127.66</v>
          </cell>
          <cell r="K291" t="str">
            <v>30/01/2009 00:00:00</v>
          </cell>
        </row>
        <row r="292">
          <cell r="E292" t="str">
            <v>641292</v>
          </cell>
          <cell r="F292" t="str">
            <v>Other Employee Expense –USD</v>
          </cell>
          <cell r="G292" t="str">
            <v>D</v>
          </cell>
          <cell r="H292" t="str">
            <v>B</v>
          </cell>
          <cell r="I292" t="str">
            <v>689000</v>
          </cell>
          <cell r="J292">
            <v>127.66</v>
          </cell>
          <cell r="K292" t="str">
            <v>30/01/2009 00:00:00</v>
          </cell>
        </row>
        <row r="293">
          <cell r="E293" t="str">
            <v>64129202</v>
          </cell>
          <cell r="F293" t="str">
            <v>Other Employee Expense –(Sundries)–USD</v>
          </cell>
          <cell r="G293" t="str">
            <v>D</v>
          </cell>
          <cell r="H293" t="str">
            <v>0</v>
          </cell>
          <cell r="I293" t="str">
            <v>691000</v>
          </cell>
          <cell r="J293">
            <v>7.66</v>
          </cell>
          <cell r="K293" t="str">
            <v>30/01/2009 00:00:00</v>
          </cell>
        </row>
        <row r="294">
          <cell r="E294" t="str">
            <v>64129203</v>
          </cell>
          <cell r="F294" t="str">
            <v>Other Employee Expense PR.-Housekeeper Charges USD</v>
          </cell>
          <cell r="G294" t="str">
            <v>D</v>
          </cell>
          <cell r="H294" t="str">
            <v>0</v>
          </cell>
          <cell r="I294" t="str">
            <v>691100</v>
          </cell>
          <cell r="J294">
            <v>120</v>
          </cell>
          <cell r="K294" t="str">
            <v>30/01/2009 00:00:00</v>
          </cell>
        </row>
        <row r="295">
          <cell r="E295" t="str">
            <v>642000</v>
          </cell>
          <cell r="F295" t="str">
            <v>Depreciation and Amortization Expense</v>
          </cell>
          <cell r="G295" t="str">
            <v>D</v>
          </cell>
          <cell r="H295" t="str">
            <v>B</v>
          </cell>
          <cell r="I295" t="str">
            <v>695000</v>
          </cell>
          <cell r="J295">
            <v>1544.42</v>
          </cell>
          <cell r="K295" t="str">
            <v>30/01/2009 00:00:00</v>
          </cell>
        </row>
        <row r="296">
          <cell r="E296" t="str">
            <v>642100</v>
          </cell>
          <cell r="F296" t="str">
            <v>Depreciation Expense</v>
          </cell>
          <cell r="G296" t="str">
            <v>D</v>
          </cell>
          <cell r="H296" t="str">
            <v>B</v>
          </cell>
          <cell r="I296" t="str">
            <v>696000</v>
          </cell>
          <cell r="J296">
            <v>1544.42</v>
          </cell>
          <cell r="K296" t="str">
            <v>30/01/2009 00:00:00</v>
          </cell>
        </row>
        <row r="297">
          <cell r="E297" t="str">
            <v>642120</v>
          </cell>
          <cell r="F297" t="str">
            <v>Depreciation Expense – Furniture and Fixtures</v>
          </cell>
          <cell r="G297" t="str">
            <v>D</v>
          </cell>
          <cell r="H297" t="str">
            <v>B</v>
          </cell>
          <cell r="I297" t="str">
            <v>699000</v>
          </cell>
          <cell r="J297">
            <v>215.31</v>
          </cell>
          <cell r="K297" t="str">
            <v>30/01/2009 00:00:00</v>
          </cell>
        </row>
        <row r="298">
          <cell r="E298" t="str">
            <v>642122</v>
          </cell>
          <cell r="F298" t="str">
            <v>Depre Expense – Furniture and Fixtures –USD</v>
          </cell>
          <cell r="G298" t="str">
            <v>D</v>
          </cell>
          <cell r="H298" t="str">
            <v>0</v>
          </cell>
          <cell r="I298" t="str">
            <v>700000</v>
          </cell>
          <cell r="J298">
            <v>174.6</v>
          </cell>
          <cell r="K298" t="str">
            <v>30/01/2009 00:00:00</v>
          </cell>
        </row>
        <row r="299">
          <cell r="E299" t="str">
            <v>642125</v>
          </cell>
          <cell r="F299" t="str">
            <v>Depre Expense – Furniture and Fixtures –THB</v>
          </cell>
          <cell r="G299" t="str">
            <v>D</v>
          </cell>
          <cell r="H299" t="str">
            <v>0</v>
          </cell>
          <cell r="I299" t="str">
            <v>700100</v>
          </cell>
          <cell r="J299">
            <v>40.71</v>
          </cell>
          <cell r="K299" t="str">
            <v>30/01/2009 00:00:00</v>
          </cell>
        </row>
        <row r="300">
          <cell r="E300" t="str">
            <v>642140</v>
          </cell>
          <cell r="F300" t="str">
            <v>Depreciation Expense – IT and Related Equipment</v>
          </cell>
          <cell r="G300" t="str">
            <v>D</v>
          </cell>
          <cell r="H300" t="str">
            <v>B</v>
          </cell>
          <cell r="I300" t="str">
            <v>703000</v>
          </cell>
          <cell r="J300">
            <v>561.85</v>
          </cell>
          <cell r="K300" t="str">
            <v>30/01/2009 00:00:00</v>
          </cell>
        </row>
        <row r="301">
          <cell r="E301" t="str">
            <v>642142</v>
          </cell>
          <cell r="F301" t="str">
            <v>Depre Expense – IT and Related Equipment –USD</v>
          </cell>
          <cell r="G301" t="str">
            <v>D</v>
          </cell>
          <cell r="H301" t="str">
            <v>0</v>
          </cell>
          <cell r="I301" t="str">
            <v>704000</v>
          </cell>
          <cell r="J301">
            <v>561.85</v>
          </cell>
          <cell r="K301" t="str">
            <v>30/01/2009 00:00:00</v>
          </cell>
        </row>
        <row r="302">
          <cell r="E302" t="str">
            <v>642150</v>
          </cell>
          <cell r="F302" t="str">
            <v>Depreciation Expense – Motor Vehicles</v>
          </cell>
          <cell r="G302" t="str">
            <v>D</v>
          </cell>
          <cell r="H302" t="str">
            <v>B</v>
          </cell>
          <cell r="I302" t="str">
            <v>705000</v>
          </cell>
          <cell r="J302">
            <v>601.83000000000004</v>
          </cell>
          <cell r="K302" t="str">
            <v>30/01/2009 00:00:00</v>
          </cell>
        </row>
        <row r="303">
          <cell r="E303" t="str">
            <v>642152</v>
          </cell>
          <cell r="F303" t="str">
            <v>Depre Expense – Motor Vehicles –USD</v>
          </cell>
          <cell r="G303" t="str">
            <v>D</v>
          </cell>
          <cell r="H303" t="str">
            <v>0</v>
          </cell>
          <cell r="I303" t="str">
            <v>706000</v>
          </cell>
          <cell r="J303">
            <v>601.83000000000004</v>
          </cell>
          <cell r="K303" t="str">
            <v>30/01/2009 00:00:00</v>
          </cell>
        </row>
        <row r="304">
          <cell r="E304" t="str">
            <v>642160</v>
          </cell>
          <cell r="F304" t="str">
            <v>Depreciation Expense – Other Fixed Assets</v>
          </cell>
          <cell r="G304" t="str">
            <v>D</v>
          </cell>
          <cell r="H304" t="str">
            <v>B</v>
          </cell>
          <cell r="I304" t="str">
            <v>707000</v>
          </cell>
          <cell r="J304">
            <v>165.43</v>
          </cell>
          <cell r="K304" t="str">
            <v>30/01/2009 00:00:00</v>
          </cell>
        </row>
        <row r="305">
          <cell r="E305" t="str">
            <v>642162</v>
          </cell>
          <cell r="F305" t="str">
            <v>Depre Expense – Other Fixed Assets –USD</v>
          </cell>
          <cell r="G305" t="str">
            <v>D</v>
          </cell>
          <cell r="H305" t="str">
            <v>0</v>
          </cell>
          <cell r="I305" t="str">
            <v>708000</v>
          </cell>
          <cell r="J305">
            <v>79.42</v>
          </cell>
          <cell r="K305" t="str">
            <v>30/01/2009 00:00:00</v>
          </cell>
        </row>
        <row r="306">
          <cell r="E306" t="str">
            <v>642165</v>
          </cell>
          <cell r="F306" t="str">
            <v>Depre Expense – Other Fixed Assets –THB</v>
          </cell>
          <cell r="G306" t="str">
            <v>D</v>
          </cell>
          <cell r="H306" t="str">
            <v>0</v>
          </cell>
          <cell r="I306" t="str">
            <v>708300</v>
          </cell>
          <cell r="J306">
            <v>86.01</v>
          </cell>
          <cell r="K306" t="str">
            <v>30/01/2009 00:00:00</v>
          </cell>
        </row>
        <row r="307">
          <cell r="E307" t="str">
            <v>643000</v>
          </cell>
          <cell r="F307" t="str">
            <v>Repair and Maintenance, Rental , Utilities and Other Expenses on Tangible Fixed Assets</v>
          </cell>
          <cell r="G307" t="str">
            <v>D</v>
          </cell>
          <cell r="H307" t="str">
            <v>B</v>
          </cell>
          <cell r="I307" t="str">
            <v>712000</v>
          </cell>
          <cell r="J307">
            <v>2702.43</v>
          </cell>
          <cell r="K307" t="str">
            <v>30/01/2009 00:00:00</v>
          </cell>
        </row>
        <row r="308">
          <cell r="E308" t="str">
            <v>643100</v>
          </cell>
          <cell r="F308" t="str">
            <v>Repair and Maintenance Expenses</v>
          </cell>
          <cell r="G308" t="str">
            <v>D</v>
          </cell>
          <cell r="H308" t="str">
            <v>B</v>
          </cell>
          <cell r="I308" t="str">
            <v>713000</v>
          </cell>
          <cell r="J308">
            <v>180.41</v>
          </cell>
          <cell r="K308" t="str">
            <v>30/01/2009 00:00:00</v>
          </cell>
        </row>
        <row r="309">
          <cell r="E309" t="str">
            <v>643110</v>
          </cell>
          <cell r="F309" t="str">
            <v>Repairs and Maintenance Expenses-Building Expenses</v>
          </cell>
          <cell r="G309" t="str">
            <v>D</v>
          </cell>
          <cell r="H309" t="str">
            <v>B</v>
          </cell>
          <cell r="I309" t="str">
            <v>713100</v>
          </cell>
          <cell r="J309">
            <v>180.41</v>
          </cell>
          <cell r="K309" t="str">
            <v>30/01/2009 00:00:00</v>
          </cell>
        </row>
        <row r="310">
          <cell r="E310" t="str">
            <v>643112</v>
          </cell>
          <cell r="F310" t="str">
            <v>Repairs and Maintenance-Building Expense-USD</v>
          </cell>
          <cell r="G310" t="str">
            <v>D</v>
          </cell>
          <cell r="H310" t="str">
            <v>0</v>
          </cell>
          <cell r="I310" t="str">
            <v>713200</v>
          </cell>
          <cell r="J310">
            <v>180.41</v>
          </cell>
          <cell r="K310" t="str">
            <v>30/01/2009 00:00:00</v>
          </cell>
        </row>
        <row r="311">
          <cell r="E311" t="str">
            <v>643210</v>
          </cell>
          <cell r="F311" t="str">
            <v>Building Rental Expenses</v>
          </cell>
          <cell r="G311" t="str">
            <v>D</v>
          </cell>
          <cell r="H311" t="str">
            <v>B</v>
          </cell>
          <cell r="I311" t="str">
            <v>723100</v>
          </cell>
          <cell r="J311">
            <v>2200</v>
          </cell>
          <cell r="K311" t="str">
            <v>30/01/2009 00:00:00</v>
          </cell>
        </row>
        <row r="312">
          <cell r="E312" t="str">
            <v>643212</v>
          </cell>
          <cell r="F312" t="str">
            <v>Building Rental Expenses-USD(Pre.Exp-Rent)</v>
          </cell>
          <cell r="G312" t="str">
            <v>D</v>
          </cell>
          <cell r="H312" t="str">
            <v>0</v>
          </cell>
          <cell r="I312" t="str">
            <v>723300</v>
          </cell>
          <cell r="J312">
            <v>2200</v>
          </cell>
          <cell r="K312" t="str">
            <v>30/01/2009 00:00:00</v>
          </cell>
        </row>
        <row r="313">
          <cell r="E313" t="str">
            <v>643300</v>
          </cell>
          <cell r="F313" t="str">
            <v>Utility Expenses</v>
          </cell>
          <cell r="G313" t="str">
            <v>D</v>
          </cell>
          <cell r="H313" t="str">
            <v>B</v>
          </cell>
          <cell r="I313" t="str">
            <v>724000</v>
          </cell>
          <cell r="J313">
            <v>316.52</v>
          </cell>
          <cell r="K313" t="str">
            <v>30/01/2009 00:00:00</v>
          </cell>
        </row>
        <row r="314">
          <cell r="E314" t="str">
            <v>643302</v>
          </cell>
          <cell r="F314" t="str">
            <v>Utility Expenses – Heat,Lignt, Power,and water Expense –USD</v>
          </cell>
          <cell r="G314" t="str">
            <v>D</v>
          </cell>
          <cell r="H314" t="str">
            <v>B</v>
          </cell>
          <cell r="I314" t="str">
            <v>725000</v>
          </cell>
          <cell r="J314">
            <v>316.52</v>
          </cell>
          <cell r="K314" t="str">
            <v>30/01/2009 00:00:00</v>
          </cell>
        </row>
        <row r="315">
          <cell r="E315" t="str">
            <v>64330201</v>
          </cell>
          <cell r="F315" t="str">
            <v xml:space="preserve">Utility Expenses – Pre.Exp–Water Expense –USD </v>
          </cell>
          <cell r="G315" t="str">
            <v>D</v>
          </cell>
          <cell r="H315" t="str">
            <v>0</v>
          </cell>
          <cell r="I315" t="str">
            <v>726000</v>
          </cell>
          <cell r="J315">
            <v>8.24</v>
          </cell>
          <cell r="K315" t="str">
            <v>30/01/2009 00:00:00</v>
          </cell>
        </row>
        <row r="316">
          <cell r="E316" t="str">
            <v>64330202</v>
          </cell>
          <cell r="F316" t="str">
            <v xml:space="preserve">Utility Expenses – Pre.Exp–Electricity – Expense –USD </v>
          </cell>
          <cell r="G316" t="str">
            <v>D</v>
          </cell>
          <cell r="H316" t="str">
            <v>0</v>
          </cell>
          <cell r="I316" t="str">
            <v>727000</v>
          </cell>
          <cell r="J316">
            <v>308.27999999999997</v>
          </cell>
          <cell r="K316" t="str">
            <v>30/01/2009 00:00:00</v>
          </cell>
        </row>
        <row r="317">
          <cell r="E317" t="str">
            <v>643400</v>
          </cell>
          <cell r="F317" t="str">
            <v>Other Expenses on Tangible Fixed Assets</v>
          </cell>
          <cell r="G317" t="str">
            <v>D</v>
          </cell>
          <cell r="H317" t="str">
            <v>B</v>
          </cell>
          <cell r="I317" t="str">
            <v>732000</v>
          </cell>
          <cell r="J317">
            <v>5.5</v>
          </cell>
          <cell r="K317" t="str">
            <v>30/01/2009 00:00:00</v>
          </cell>
        </row>
        <row r="318">
          <cell r="E318" t="str">
            <v>643440</v>
          </cell>
          <cell r="F318" t="str">
            <v>Non Capitalized Purchase Expense-Building</v>
          </cell>
          <cell r="G318" t="str">
            <v>D</v>
          </cell>
          <cell r="H318" t="str">
            <v>B</v>
          </cell>
          <cell r="I318" t="str">
            <v>732040</v>
          </cell>
          <cell r="J318">
            <v>5.5</v>
          </cell>
          <cell r="K318" t="str">
            <v>30/01/2009 00:00:00</v>
          </cell>
        </row>
        <row r="319">
          <cell r="E319" t="str">
            <v>643442</v>
          </cell>
          <cell r="F319" t="str">
            <v>Non Capitalized Purchase Exp.Building-USD(Pre..Sundries)</v>
          </cell>
          <cell r="G319" t="str">
            <v>D</v>
          </cell>
          <cell r="H319" t="str">
            <v>0</v>
          </cell>
          <cell r="I319" t="str">
            <v>732050</v>
          </cell>
          <cell r="J319">
            <v>5.5</v>
          </cell>
          <cell r="K319" t="str">
            <v>30/01/2009 00:00:00</v>
          </cell>
        </row>
        <row r="320">
          <cell r="E320" t="str">
            <v>645000</v>
          </cell>
          <cell r="F320" t="str">
            <v>Travel and Entertainment and Communication Expenses</v>
          </cell>
          <cell r="G320" t="str">
            <v>D</v>
          </cell>
          <cell r="H320" t="str">
            <v>B</v>
          </cell>
          <cell r="I320" t="str">
            <v>744000</v>
          </cell>
          <cell r="J320">
            <v>325.81</v>
          </cell>
          <cell r="K320" t="str">
            <v>30/01/2009 00:00:00</v>
          </cell>
        </row>
        <row r="321">
          <cell r="E321" t="str">
            <v>645100</v>
          </cell>
          <cell r="F321" t="str">
            <v>Travel and Entertainment Expenses</v>
          </cell>
          <cell r="G321" t="str">
            <v>D</v>
          </cell>
          <cell r="H321" t="str">
            <v>B</v>
          </cell>
          <cell r="I321" t="str">
            <v>745000</v>
          </cell>
          <cell r="J321">
            <v>210.85</v>
          </cell>
          <cell r="K321" t="str">
            <v>30/01/2009 00:00:00</v>
          </cell>
        </row>
        <row r="322">
          <cell r="E322" t="str">
            <v>645130</v>
          </cell>
          <cell r="F322" t="str">
            <v>Business Meal and Entertainment Expense</v>
          </cell>
          <cell r="G322" t="str">
            <v>D</v>
          </cell>
          <cell r="H322" t="str">
            <v>B</v>
          </cell>
          <cell r="I322" t="str">
            <v>749000</v>
          </cell>
          <cell r="J322">
            <v>210.85</v>
          </cell>
          <cell r="K322" t="str">
            <v>30/01/2009 00:00:00</v>
          </cell>
        </row>
        <row r="323">
          <cell r="E323" t="str">
            <v>645132</v>
          </cell>
          <cell r="F323" t="str">
            <v>Business Meal and Entertainment Expense –USD</v>
          </cell>
          <cell r="G323" t="str">
            <v>D</v>
          </cell>
          <cell r="H323" t="str">
            <v>0</v>
          </cell>
          <cell r="I323" t="str">
            <v>750000</v>
          </cell>
          <cell r="J323">
            <v>210.85</v>
          </cell>
          <cell r="K323" t="str">
            <v>30/01/2009 00:00:00</v>
          </cell>
        </row>
        <row r="324">
          <cell r="E324" t="str">
            <v>645200</v>
          </cell>
          <cell r="F324" t="str">
            <v>Communication Expenses</v>
          </cell>
          <cell r="G324" t="str">
            <v>D</v>
          </cell>
          <cell r="H324" t="str">
            <v>B</v>
          </cell>
          <cell r="I324" t="str">
            <v>752000</v>
          </cell>
          <cell r="J324">
            <v>114.96</v>
          </cell>
          <cell r="K324" t="str">
            <v>30/01/2009 00:00:00</v>
          </cell>
        </row>
        <row r="325">
          <cell r="E325" t="str">
            <v>645210</v>
          </cell>
          <cell r="F325" t="str">
            <v>Telephone Expense</v>
          </cell>
          <cell r="G325" t="str">
            <v>D</v>
          </cell>
          <cell r="H325" t="str">
            <v>B</v>
          </cell>
          <cell r="I325" t="str">
            <v>753000</v>
          </cell>
          <cell r="J325">
            <v>114.96</v>
          </cell>
          <cell r="K325" t="str">
            <v>30/01/2009 00:00:00</v>
          </cell>
        </row>
        <row r="326">
          <cell r="E326" t="str">
            <v>645212</v>
          </cell>
          <cell r="F326" t="str">
            <v>Telephone Expense –USD</v>
          </cell>
          <cell r="G326" t="str">
            <v>D</v>
          </cell>
          <cell r="H326" t="str">
            <v>0</v>
          </cell>
          <cell r="I326" t="str">
            <v>754000</v>
          </cell>
          <cell r="J326">
            <v>114.96</v>
          </cell>
          <cell r="K326" t="str">
            <v>30/01/2009 00:00:00</v>
          </cell>
        </row>
        <row r="327">
          <cell r="E327" t="str">
            <v>650000</v>
          </cell>
          <cell r="F327" t="str">
            <v>Non interest Expenses – Other Expense</v>
          </cell>
          <cell r="G327" t="str">
            <v>D</v>
          </cell>
          <cell r="H327" t="str">
            <v>B</v>
          </cell>
          <cell r="I327" t="str">
            <v>779000</v>
          </cell>
          <cell r="J327">
            <v>2108.16</v>
          </cell>
          <cell r="K327" t="str">
            <v>30/01/2009 00:00:00</v>
          </cell>
        </row>
        <row r="328">
          <cell r="E328" t="str">
            <v>651000</v>
          </cell>
          <cell r="F328" t="str">
            <v>Bank Security Expense</v>
          </cell>
          <cell r="G328" t="str">
            <v>D</v>
          </cell>
          <cell r="H328" t="str">
            <v>B</v>
          </cell>
          <cell r="I328" t="str">
            <v>780000</v>
          </cell>
          <cell r="J328">
            <v>234</v>
          </cell>
          <cell r="K328" t="str">
            <v>30/01/2009 00:00:00</v>
          </cell>
        </row>
        <row r="329">
          <cell r="E329" t="str">
            <v>651002</v>
          </cell>
          <cell r="F329" t="str">
            <v>Bank Security Expense –USD</v>
          </cell>
          <cell r="G329" t="str">
            <v>D</v>
          </cell>
          <cell r="H329" t="str">
            <v>B</v>
          </cell>
          <cell r="I329" t="str">
            <v>781000</v>
          </cell>
          <cell r="J329">
            <v>234</v>
          </cell>
          <cell r="K329" t="str">
            <v>30/01/2009 00:00:00</v>
          </cell>
        </row>
        <row r="330">
          <cell r="E330" t="str">
            <v>65100201</v>
          </cell>
          <cell r="F330" t="str">
            <v>Bank Security Expense-on Guards-USD</v>
          </cell>
          <cell r="G330" t="str">
            <v>D</v>
          </cell>
          <cell r="H330" t="str">
            <v>0</v>
          </cell>
          <cell r="I330" t="str">
            <v>781100</v>
          </cell>
          <cell r="J330">
            <v>200</v>
          </cell>
          <cell r="K330" t="str">
            <v>30/01/2009 00:00:00</v>
          </cell>
        </row>
        <row r="331">
          <cell r="E331" t="str">
            <v>65100202</v>
          </cell>
          <cell r="F331" t="str">
            <v>Bank Security Expense –(Other)-USD</v>
          </cell>
          <cell r="G331" t="str">
            <v>D</v>
          </cell>
          <cell r="H331" t="str">
            <v>0</v>
          </cell>
          <cell r="I331" t="str">
            <v>781200</v>
          </cell>
          <cell r="J331">
            <v>34</v>
          </cell>
          <cell r="K331" t="str">
            <v>30/01/2009 00:00:00</v>
          </cell>
        </row>
        <row r="332">
          <cell r="E332" t="str">
            <v>655000</v>
          </cell>
          <cell r="F332" t="str">
            <v>Publications and Subscription, ATM/Credit Card, and Internet E Commerce Expense</v>
          </cell>
          <cell r="G332" t="str">
            <v>D</v>
          </cell>
          <cell r="H332" t="str">
            <v>B</v>
          </cell>
          <cell r="I332" t="str">
            <v>788000</v>
          </cell>
          <cell r="J332">
            <v>22</v>
          </cell>
          <cell r="K332" t="str">
            <v>30/01/2009 00:00:00</v>
          </cell>
        </row>
        <row r="333">
          <cell r="E333" t="str">
            <v>655300</v>
          </cell>
          <cell r="F333" t="str">
            <v>Internet E Commerce Expense</v>
          </cell>
          <cell r="G333" t="str">
            <v>D</v>
          </cell>
          <cell r="H333" t="str">
            <v>B</v>
          </cell>
          <cell r="I333" t="str">
            <v>791000</v>
          </cell>
          <cell r="J333">
            <v>22</v>
          </cell>
          <cell r="K333" t="str">
            <v>30/01/2009 00:00:00</v>
          </cell>
        </row>
        <row r="334">
          <cell r="E334" t="str">
            <v>655302</v>
          </cell>
          <cell r="F334" t="str">
            <v>Internet E Commerce Expense –USD</v>
          </cell>
          <cell r="G334" t="str">
            <v>D</v>
          </cell>
          <cell r="H334" t="str">
            <v>0</v>
          </cell>
          <cell r="I334" t="str">
            <v>792000</v>
          </cell>
          <cell r="J334">
            <v>22</v>
          </cell>
          <cell r="K334" t="str">
            <v>30/01/2009 00:00:00</v>
          </cell>
        </row>
        <row r="335">
          <cell r="E335" t="str">
            <v>657000</v>
          </cell>
          <cell r="F335" t="str">
            <v>Patent Tax, Custom Duties, License Fee, Tax on Unused Land, and Non Recoverable VAT Expense</v>
          </cell>
          <cell r="G335" t="str">
            <v>D</v>
          </cell>
          <cell r="H335" t="str">
            <v>B</v>
          </cell>
          <cell r="I335" t="str">
            <v>799000</v>
          </cell>
          <cell r="J335">
            <v>1372.93</v>
          </cell>
          <cell r="K335" t="str">
            <v>30/01/2009 00:00:00</v>
          </cell>
        </row>
        <row r="336">
          <cell r="E336" t="str">
            <v>657300</v>
          </cell>
          <cell r="F336" t="str">
            <v>License Fees Expense</v>
          </cell>
          <cell r="G336" t="str">
            <v>D</v>
          </cell>
          <cell r="H336" t="str">
            <v>B</v>
          </cell>
          <cell r="I336" t="str">
            <v>802000</v>
          </cell>
          <cell r="J336">
            <v>1137.93</v>
          </cell>
          <cell r="K336" t="str">
            <v>30/01/2009 00:00:00</v>
          </cell>
        </row>
        <row r="337">
          <cell r="E337" t="str">
            <v>657302</v>
          </cell>
          <cell r="F337" t="str">
            <v>License Fees Expense –USD</v>
          </cell>
          <cell r="G337" t="str">
            <v>D</v>
          </cell>
          <cell r="H337" t="str">
            <v>0</v>
          </cell>
          <cell r="I337" t="str">
            <v>803000</v>
          </cell>
          <cell r="J337">
            <v>1137.93</v>
          </cell>
          <cell r="K337" t="str">
            <v>30/01/2009 00:00:00</v>
          </cell>
        </row>
        <row r="338">
          <cell r="E338" t="str">
            <v>657900</v>
          </cell>
          <cell r="F338" t="str">
            <v>Other Tax Expense</v>
          </cell>
          <cell r="G338" t="str">
            <v>D</v>
          </cell>
          <cell r="H338" t="str">
            <v>B</v>
          </cell>
          <cell r="I338" t="str">
            <v>803100</v>
          </cell>
          <cell r="J338">
            <v>235</v>
          </cell>
          <cell r="K338" t="str">
            <v>30/01/2009 00:00:00</v>
          </cell>
        </row>
        <row r="339">
          <cell r="E339" t="str">
            <v>657902</v>
          </cell>
          <cell r="F339" t="str">
            <v>Other Tax Expense-USD(Pre.Exp.Tax)</v>
          </cell>
          <cell r="G339" t="str">
            <v>D</v>
          </cell>
          <cell r="H339" t="str">
            <v>0</v>
          </cell>
          <cell r="I339" t="str">
            <v>803200</v>
          </cell>
          <cell r="J339">
            <v>235</v>
          </cell>
          <cell r="K339" t="str">
            <v>30/01/2009 00:00:00</v>
          </cell>
        </row>
        <row r="340">
          <cell r="E340" t="str">
            <v>658000</v>
          </cell>
          <cell r="F340" t="str">
            <v>Tax on Transportation Vehicles, Mortor Vehicle Operating, and Freight and Delivery Expense</v>
          </cell>
          <cell r="G340" t="str">
            <v>D</v>
          </cell>
          <cell r="H340" t="str">
            <v>B</v>
          </cell>
          <cell r="I340" t="str">
            <v>804000</v>
          </cell>
          <cell r="J340">
            <v>96</v>
          </cell>
          <cell r="K340" t="str">
            <v>30/01/2009 00:00:00</v>
          </cell>
        </row>
        <row r="341">
          <cell r="E341" t="str">
            <v>658200</v>
          </cell>
          <cell r="F341" t="str">
            <v>Mortor Vehicle Operating Expense</v>
          </cell>
          <cell r="G341" t="str">
            <v>D</v>
          </cell>
          <cell r="H341" t="str">
            <v>B</v>
          </cell>
          <cell r="I341" t="str">
            <v>805000</v>
          </cell>
          <cell r="J341">
            <v>87</v>
          </cell>
          <cell r="K341" t="str">
            <v>30/01/2009 00:00:00</v>
          </cell>
        </row>
        <row r="342">
          <cell r="E342" t="str">
            <v>658202</v>
          </cell>
          <cell r="F342" t="str">
            <v>Mortor Vehicle Operating Expense – USD</v>
          </cell>
          <cell r="G342" t="str">
            <v>D</v>
          </cell>
          <cell r="H342" t="str">
            <v>B</v>
          </cell>
          <cell r="I342" t="str">
            <v>806000</v>
          </cell>
          <cell r="J342">
            <v>87</v>
          </cell>
          <cell r="K342" t="str">
            <v>30/01/2009 00:00:00</v>
          </cell>
        </row>
        <row r="343">
          <cell r="E343" t="str">
            <v>65820201</v>
          </cell>
          <cell r="F343" t="str">
            <v>Mortor Vehicle Operating Expense – USD (Gasonline)</v>
          </cell>
          <cell r="G343" t="str">
            <v>D</v>
          </cell>
          <cell r="H343" t="str">
            <v>0</v>
          </cell>
          <cell r="I343" t="str">
            <v>807000</v>
          </cell>
          <cell r="J343">
            <v>87</v>
          </cell>
          <cell r="K343" t="str">
            <v>30/01/2009 00:00:00</v>
          </cell>
        </row>
        <row r="344">
          <cell r="E344" t="str">
            <v>658300</v>
          </cell>
          <cell r="F344" t="str">
            <v>Freight and Delivery Expenses</v>
          </cell>
          <cell r="G344" t="str">
            <v>D</v>
          </cell>
          <cell r="H344" t="str">
            <v>B</v>
          </cell>
          <cell r="I344" t="str">
            <v>812100</v>
          </cell>
          <cell r="J344">
            <v>9</v>
          </cell>
          <cell r="K344" t="str">
            <v>30/01/2009 00:00:00</v>
          </cell>
        </row>
        <row r="345">
          <cell r="E345" t="str">
            <v>658302</v>
          </cell>
          <cell r="F345" t="str">
            <v>Freight and Delivery Expenses-USD</v>
          </cell>
          <cell r="G345" t="str">
            <v>D</v>
          </cell>
          <cell r="H345" t="str">
            <v>0</v>
          </cell>
          <cell r="I345" t="str">
            <v>812300</v>
          </cell>
          <cell r="J345">
            <v>9</v>
          </cell>
          <cell r="K345" t="str">
            <v>30/01/2009 00:00:00</v>
          </cell>
        </row>
        <row r="346">
          <cell r="E346" t="str">
            <v>659000</v>
          </cell>
          <cell r="F346" t="str">
            <v>Income Tax, Tellers Shortages, Extraordinary, and Other Miscellaneous Expenses</v>
          </cell>
          <cell r="G346" t="str">
            <v>D</v>
          </cell>
          <cell r="H346" t="str">
            <v>B</v>
          </cell>
          <cell r="I346" t="str">
            <v>813000</v>
          </cell>
          <cell r="J346">
            <v>383.23</v>
          </cell>
          <cell r="K346" t="str">
            <v>30/01/2009 00:00:00</v>
          </cell>
        </row>
        <row r="347">
          <cell r="E347" t="str">
            <v>659100</v>
          </cell>
          <cell r="F347" t="str">
            <v>Income Tax Expense</v>
          </cell>
          <cell r="G347" t="str">
            <v>D</v>
          </cell>
          <cell r="H347" t="str">
            <v>B</v>
          </cell>
          <cell r="I347" t="str">
            <v>814000</v>
          </cell>
          <cell r="J347">
            <v>100.03</v>
          </cell>
          <cell r="K347" t="str">
            <v>30/01/2009 00:00:00</v>
          </cell>
        </row>
        <row r="348">
          <cell r="E348" t="str">
            <v>659102</v>
          </cell>
          <cell r="F348" t="str">
            <v>Income Tax Expense –USD</v>
          </cell>
          <cell r="G348" t="str">
            <v>D</v>
          </cell>
          <cell r="H348" t="str">
            <v>0</v>
          </cell>
          <cell r="I348" t="str">
            <v>815500</v>
          </cell>
          <cell r="J348">
            <v>100.03</v>
          </cell>
          <cell r="K348" t="str">
            <v>30/01/2009 00:00:00</v>
          </cell>
        </row>
        <row r="349">
          <cell r="E349" t="str">
            <v>659400</v>
          </cell>
          <cell r="F349" t="str">
            <v>Other Miscellaneous Expense</v>
          </cell>
          <cell r="G349" t="str">
            <v>D</v>
          </cell>
          <cell r="H349" t="str">
            <v>B</v>
          </cell>
          <cell r="I349" t="str">
            <v>816000</v>
          </cell>
          <cell r="J349">
            <v>283.2</v>
          </cell>
          <cell r="K349" t="str">
            <v>30/01/2009 00:00:00</v>
          </cell>
        </row>
        <row r="350">
          <cell r="E350" t="str">
            <v>659402</v>
          </cell>
          <cell r="F350" t="str">
            <v>Other Miscellaneous Expense –USD</v>
          </cell>
          <cell r="G350" t="str">
            <v>D</v>
          </cell>
          <cell r="H350" t="str">
            <v>B</v>
          </cell>
          <cell r="I350" t="str">
            <v>817000</v>
          </cell>
          <cell r="J350">
            <v>283.2</v>
          </cell>
          <cell r="K350" t="str">
            <v>30/01/2009 00:00:00</v>
          </cell>
        </row>
        <row r="351">
          <cell r="E351" t="str">
            <v>65940202</v>
          </cell>
          <cell r="F351" t="str">
            <v>Other Miscellaneous Exp.-USD(BE-Business Allowance)</v>
          </cell>
          <cell r="G351" t="str">
            <v>D</v>
          </cell>
          <cell r="H351" t="str">
            <v>0</v>
          </cell>
          <cell r="I351" t="str">
            <v>817200</v>
          </cell>
          <cell r="J351">
            <v>36.799999999999997</v>
          </cell>
          <cell r="K351" t="str">
            <v>30/01/2009 00:00:00</v>
          </cell>
        </row>
        <row r="352">
          <cell r="E352" t="str">
            <v>65940203</v>
          </cell>
          <cell r="F352" t="str">
            <v>Other Miscellaneous Exp. –USD(BE- Sundries)</v>
          </cell>
          <cell r="G352" t="str">
            <v>D</v>
          </cell>
          <cell r="H352" t="str">
            <v>0</v>
          </cell>
          <cell r="I352" t="str">
            <v>817300</v>
          </cell>
          <cell r="J352">
            <v>6.4</v>
          </cell>
          <cell r="K352" t="str">
            <v>30/01/2009 00:00:00</v>
          </cell>
        </row>
        <row r="353">
          <cell r="E353" t="str">
            <v>65940208</v>
          </cell>
          <cell r="F353" t="str">
            <v>Other Miscellaneous Exp.–USD(EE-Sundries)</v>
          </cell>
          <cell r="G353" t="str">
            <v>D</v>
          </cell>
          <cell r="H353" t="str">
            <v>0</v>
          </cell>
          <cell r="I353" t="str">
            <v>817700</v>
          </cell>
          <cell r="J353">
            <v>240</v>
          </cell>
          <cell r="K353" t="str">
            <v>30/01/2009 00:00:00</v>
          </cell>
        </row>
        <row r="354">
          <cell r="E354" t="str">
            <v>660000</v>
          </cell>
          <cell r="F354" t="str">
            <v>Non Interest Expense – Provision and Losses on Disposal</v>
          </cell>
          <cell r="G354" t="str">
            <v>D</v>
          </cell>
          <cell r="H354" t="str">
            <v>B</v>
          </cell>
          <cell r="I354" t="str">
            <v>818000</v>
          </cell>
          <cell r="J354">
            <v>51.42</v>
          </cell>
          <cell r="K354" t="str">
            <v>30/01/2009 00:00:00</v>
          </cell>
        </row>
        <row r="355">
          <cell r="E355" t="str">
            <v>662000</v>
          </cell>
          <cell r="F355" t="str">
            <v>Losses</v>
          </cell>
          <cell r="G355" t="str">
            <v>D</v>
          </cell>
          <cell r="H355" t="str">
            <v>B</v>
          </cell>
          <cell r="I355" t="str">
            <v>819000</v>
          </cell>
          <cell r="J355">
            <v>51.42</v>
          </cell>
          <cell r="K355" t="str">
            <v>30/01/2009 00:00:00</v>
          </cell>
        </row>
        <row r="356">
          <cell r="E356" t="str">
            <v>662100</v>
          </cell>
          <cell r="F356" t="str">
            <v>Loss on Foreign Exchange Currency Transaction and Foreign ExchangeTranslation Expense</v>
          </cell>
          <cell r="G356" t="str">
            <v>D</v>
          </cell>
          <cell r="H356" t="str">
            <v>B</v>
          </cell>
          <cell r="I356" t="str">
            <v>820000</v>
          </cell>
          <cell r="J356">
            <v>51.42</v>
          </cell>
          <cell r="K356" t="str">
            <v>30/01/2009 00:00:00</v>
          </cell>
        </row>
        <row r="357">
          <cell r="E357" t="str">
            <v>662110</v>
          </cell>
          <cell r="F357" t="str">
            <v>Loss on Foreign Exchange Currency Transaction Expense</v>
          </cell>
          <cell r="G357" t="str">
            <v>D</v>
          </cell>
          <cell r="H357" t="str">
            <v>B</v>
          </cell>
          <cell r="I357" t="str">
            <v>821000</v>
          </cell>
          <cell r="J357">
            <v>36.47</v>
          </cell>
          <cell r="K357" t="str">
            <v>30/01/2009 00:00:00</v>
          </cell>
        </row>
        <row r="358">
          <cell r="E358" t="str">
            <v>662112</v>
          </cell>
          <cell r="F358" t="str">
            <v>Loss on FX CCY Transaction Expense –USD</v>
          </cell>
          <cell r="G358" t="str">
            <v>D</v>
          </cell>
          <cell r="H358" t="str">
            <v>0</v>
          </cell>
          <cell r="I358" t="str">
            <v>823000</v>
          </cell>
          <cell r="J358">
            <v>36.47</v>
          </cell>
          <cell r="K358" t="str">
            <v>30/01/2009 00:00:00</v>
          </cell>
        </row>
        <row r="359">
          <cell r="E359" t="str">
            <v>662120</v>
          </cell>
          <cell r="F359" t="str">
            <v>Loss on Foreign Exchange Translation Expense</v>
          </cell>
          <cell r="G359" t="str">
            <v>D</v>
          </cell>
          <cell r="H359" t="str">
            <v>B</v>
          </cell>
          <cell r="I359" t="str">
            <v>825000</v>
          </cell>
          <cell r="J359">
            <v>14.95</v>
          </cell>
          <cell r="K359" t="str">
            <v>30/01/2009 00:00:00</v>
          </cell>
        </row>
        <row r="360">
          <cell r="E360" t="str">
            <v>662122</v>
          </cell>
          <cell r="F360" t="str">
            <v>Loss on FX Translation Expense –USD</v>
          </cell>
          <cell r="G360" t="str">
            <v>D</v>
          </cell>
          <cell r="H360" t="str">
            <v>0</v>
          </cell>
          <cell r="I360" t="str">
            <v>827000</v>
          </cell>
          <cell r="J360">
            <v>14.95</v>
          </cell>
          <cell r="K360" t="str">
            <v>30/01/2009 00:00:00</v>
          </cell>
        </row>
        <row r="361">
          <cell r="E361" t="str">
            <v>900000</v>
          </cell>
          <cell r="F361" t="str">
            <v>OFF BALANCE SHEET</v>
          </cell>
          <cell r="G361" t="str">
            <v>D</v>
          </cell>
          <cell r="H361" t="str">
            <v>B</v>
          </cell>
          <cell r="I361" t="str">
            <v>829000</v>
          </cell>
          <cell r="J361">
            <v>0</v>
          </cell>
          <cell r="K361" t="str">
            <v>30/01/2009 00:00:00</v>
          </cell>
        </row>
        <row r="362">
          <cell r="E362" t="str">
            <v>920000</v>
          </cell>
          <cell r="F362" t="str">
            <v>Guarantees</v>
          </cell>
          <cell r="G362" t="str">
            <v>D</v>
          </cell>
          <cell r="H362" t="str">
            <v>B</v>
          </cell>
          <cell r="I362" t="str">
            <v>830000</v>
          </cell>
          <cell r="J362">
            <v>0</v>
          </cell>
          <cell r="K362" t="str">
            <v>30/01/2009 00:00:00</v>
          </cell>
        </row>
        <row r="363">
          <cell r="E363" t="str">
            <v>923000</v>
          </cell>
          <cell r="F363" t="str">
            <v>Acceptances</v>
          </cell>
          <cell r="G363" t="str">
            <v>D</v>
          </cell>
          <cell r="H363" t="str">
            <v>B</v>
          </cell>
          <cell r="I363" t="str">
            <v>836000</v>
          </cell>
          <cell r="J363">
            <v>0</v>
          </cell>
          <cell r="K363" t="str">
            <v>30/01/2009 00:00:00</v>
          </cell>
        </row>
        <row r="364">
          <cell r="E364" t="str">
            <v>923002</v>
          </cell>
          <cell r="F364" t="str">
            <v>Acceptances – CUST LIAB U/D ACCEPT – Accepted –USD</v>
          </cell>
          <cell r="G364" t="str">
            <v>D</v>
          </cell>
          <cell r="H364" t="str">
            <v>0</v>
          </cell>
          <cell r="I364" t="str">
            <v>838000</v>
          </cell>
          <cell r="J364">
            <v>0</v>
          </cell>
          <cell r="K364" t="str">
            <v>30/01/2009 00:00:00</v>
          </cell>
        </row>
        <row r="365">
          <cell r="E365" t="str">
            <v>924000</v>
          </cell>
          <cell r="F365" t="str">
            <v>Letters of Credit</v>
          </cell>
          <cell r="G365" t="str">
            <v>D</v>
          </cell>
          <cell r="H365" t="str">
            <v>B</v>
          </cell>
          <cell r="I365" t="str">
            <v>840000</v>
          </cell>
          <cell r="J365">
            <v>0</v>
          </cell>
          <cell r="K365" t="str">
            <v>30/01/2009 00:00:00</v>
          </cell>
        </row>
        <row r="366">
          <cell r="E366" t="str">
            <v>924200</v>
          </cell>
          <cell r="F366" t="str">
            <v>Documentary Letters of Credit</v>
          </cell>
          <cell r="G366" t="str">
            <v>D</v>
          </cell>
          <cell r="H366" t="str">
            <v>B</v>
          </cell>
          <cell r="I366" t="str">
            <v>845000</v>
          </cell>
          <cell r="J366">
            <v>0</v>
          </cell>
          <cell r="K366" t="str">
            <v>30/01/2009 00:00:00</v>
          </cell>
        </row>
        <row r="367">
          <cell r="E367" t="str">
            <v>924202</v>
          </cell>
          <cell r="F367" t="str">
            <v>CUST LIAB U/D F L/C –Documentary L/C –USD</v>
          </cell>
          <cell r="G367" t="str">
            <v>D</v>
          </cell>
          <cell r="H367" t="str">
            <v>0</v>
          </cell>
          <cell r="I367" t="str">
            <v>847000</v>
          </cell>
          <cell r="J367">
            <v>0</v>
          </cell>
          <cell r="K367" t="str">
            <v>30/01/2009 00:00:00</v>
          </cell>
        </row>
        <row r="368">
          <cell r="E368" t="str">
            <v>950000</v>
          </cell>
          <cell r="F368" t="str">
            <v>Other Commitments</v>
          </cell>
          <cell r="G368" t="str">
            <v>D</v>
          </cell>
          <cell r="H368" t="str">
            <v>B</v>
          </cell>
          <cell r="I368" t="str">
            <v>870000</v>
          </cell>
          <cell r="J368">
            <v>0</v>
          </cell>
          <cell r="K368" t="str">
            <v>30/01/2009 00:00:00</v>
          </cell>
        </row>
        <row r="369">
          <cell r="E369" t="str">
            <v>954000</v>
          </cell>
          <cell r="F369" t="str">
            <v>Assets Held as Custodian</v>
          </cell>
          <cell r="G369" t="str">
            <v>D</v>
          </cell>
          <cell r="H369" t="str">
            <v>B</v>
          </cell>
          <cell r="I369" t="str">
            <v>871000</v>
          </cell>
          <cell r="J369">
            <v>0</v>
          </cell>
          <cell r="K369" t="str">
            <v>30/01/2009 00:00:00</v>
          </cell>
        </row>
        <row r="370">
          <cell r="E370" t="str">
            <v>954100</v>
          </cell>
          <cell r="F370" t="str">
            <v>Bills of Exchange (BoE)</v>
          </cell>
          <cell r="G370" t="str">
            <v>D</v>
          </cell>
          <cell r="H370" t="str">
            <v>B</v>
          </cell>
          <cell r="I370" t="str">
            <v>872000</v>
          </cell>
          <cell r="J370">
            <v>0</v>
          </cell>
          <cell r="K370" t="str">
            <v>30/01/2009 00:00:00</v>
          </cell>
        </row>
        <row r="371">
          <cell r="E371" t="str">
            <v>954102</v>
          </cell>
          <cell r="F371" t="str">
            <v>Bills of Exchange –USD</v>
          </cell>
          <cell r="G371" t="str">
            <v>D</v>
          </cell>
          <cell r="H371" t="str">
            <v>B</v>
          </cell>
          <cell r="I371" t="str">
            <v>874000</v>
          </cell>
          <cell r="J371">
            <v>0</v>
          </cell>
          <cell r="K371" t="str">
            <v>30/01/2009 00:00:00</v>
          </cell>
        </row>
        <row r="372">
          <cell r="E372" t="str">
            <v>95410203</v>
          </cell>
          <cell r="F372" t="str">
            <v>CUST LIAB U/D FIB Arrivals – BoE –USD</v>
          </cell>
          <cell r="G372" t="str">
            <v>D</v>
          </cell>
          <cell r="H372" t="str">
            <v>0</v>
          </cell>
          <cell r="I372" t="str">
            <v>877000</v>
          </cell>
          <cell r="J372">
            <v>0</v>
          </cell>
          <cell r="K372" t="str">
            <v>30/01/2009 00:00:00</v>
          </cell>
        </row>
        <row r="373">
          <cell r="E373" t="str">
            <v>990000</v>
          </cell>
          <cell r="F373" t="str">
            <v>Contra Account</v>
          </cell>
          <cell r="G373" t="str">
            <v>C</v>
          </cell>
          <cell r="H373" t="str">
            <v>B</v>
          </cell>
          <cell r="I373" t="str">
            <v>883000</v>
          </cell>
          <cell r="J373">
            <v>0</v>
          </cell>
          <cell r="K373" t="str">
            <v>30/01/2009 00:00:00</v>
          </cell>
        </row>
        <row r="374">
          <cell r="E374" t="str">
            <v>992000</v>
          </cell>
          <cell r="F374" t="str">
            <v>Guarantees</v>
          </cell>
          <cell r="G374" t="str">
            <v>C</v>
          </cell>
          <cell r="H374" t="str">
            <v>B</v>
          </cell>
          <cell r="I374" t="str">
            <v>884000</v>
          </cell>
          <cell r="J374">
            <v>0</v>
          </cell>
          <cell r="K374" t="str">
            <v>30/01/2009 00:00:00</v>
          </cell>
        </row>
        <row r="375">
          <cell r="E375" t="str">
            <v>992300</v>
          </cell>
          <cell r="F375" t="str">
            <v>Acceptances</v>
          </cell>
          <cell r="G375" t="str">
            <v>C</v>
          </cell>
          <cell r="H375" t="str">
            <v>B</v>
          </cell>
          <cell r="I375" t="str">
            <v>893000</v>
          </cell>
          <cell r="J375">
            <v>0</v>
          </cell>
          <cell r="K375" t="str">
            <v>30/01/2009 00:00:00</v>
          </cell>
        </row>
        <row r="376">
          <cell r="E376" t="str">
            <v>992302</v>
          </cell>
          <cell r="F376" t="str">
            <v>Acceptances – Accepted –USD</v>
          </cell>
          <cell r="G376" t="str">
            <v>C</v>
          </cell>
          <cell r="H376" t="str">
            <v>0</v>
          </cell>
          <cell r="I376" t="str">
            <v>895000</v>
          </cell>
          <cell r="J376">
            <v>0</v>
          </cell>
          <cell r="K376" t="str">
            <v>30/01/2009 00:00:00</v>
          </cell>
        </row>
        <row r="377">
          <cell r="E377" t="str">
            <v>992400</v>
          </cell>
          <cell r="F377" t="str">
            <v>Letters of Credit</v>
          </cell>
          <cell r="G377" t="str">
            <v>C</v>
          </cell>
          <cell r="H377" t="str">
            <v>B</v>
          </cell>
          <cell r="I377" t="str">
            <v>897000</v>
          </cell>
          <cell r="J377">
            <v>0</v>
          </cell>
          <cell r="K377" t="str">
            <v>30/01/2009 00:00:00</v>
          </cell>
        </row>
        <row r="378">
          <cell r="E378" t="str">
            <v>992420</v>
          </cell>
          <cell r="F378" t="str">
            <v>Documentary Letters of Credit</v>
          </cell>
          <cell r="G378" t="str">
            <v>C</v>
          </cell>
          <cell r="H378" t="str">
            <v>B</v>
          </cell>
          <cell r="I378" t="str">
            <v>902000</v>
          </cell>
          <cell r="J378">
            <v>0</v>
          </cell>
          <cell r="K378" t="str">
            <v>30/01/2009 00:00:00</v>
          </cell>
        </row>
        <row r="379">
          <cell r="E379" t="str">
            <v>992422</v>
          </cell>
          <cell r="F379" t="str">
            <v>LIAB U/D F L/C – Documentary L/C –USD</v>
          </cell>
          <cell r="G379" t="str">
            <v>C</v>
          </cell>
          <cell r="H379" t="str">
            <v>0</v>
          </cell>
          <cell r="I379" t="str">
            <v>904000</v>
          </cell>
          <cell r="J379">
            <v>0</v>
          </cell>
          <cell r="K379" t="str">
            <v>30/01/2009 00:00:00</v>
          </cell>
        </row>
        <row r="380">
          <cell r="E380" t="str">
            <v>995000</v>
          </cell>
          <cell r="F380" t="str">
            <v>Other Commitments</v>
          </cell>
          <cell r="G380" t="str">
            <v>C</v>
          </cell>
          <cell r="H380" t="str">
            <v>B</v>
          </cell>
          <cell r="I380" t="str">
            <v>931000</v>
          </cell>
          <cell r="J380">
            <v>0</v>
          </cell>
          <cell r="K380" t="str">
            <v>30/01/2009 00:00:00</v>
          </cell>
        </row>
        <row r="381">
          <cell r="E381" t="str">
            <v>995400</v>
          </cell>
          <cell r="F381" t="str">
            <v>Assets Held as Custodian</v>
          </cell>
          <cell r="G381" t="str">
            <v>C</v>
          </cell>
          <cell r="H381" t="str">
            <v>B</v>
          </cell>
          <cell r="I381" t="str">
            <v>932000</v>
          </cell>
          <cell r="J381">
            <v>0</v>
          </cell>
          <cell r="K381" t="str">
            <v>30/01/2009 00:00:00</v>
          </cell>
        </row>
        <row r="382">
          <cell r="E382" t="str">
            <v>995410</v>
          </cell>
          <cell r="F382" t="str">
            <v>Bills of Exchange (BoE)</v>
          </cell>
          <cell r="G382" t="str">
            <v>C</v>
          </cell>
          <cell r="H382" t="str">
            <v>B</v>
          </cell>
          <cell r="I382" t="str">
            <v>934000</v>
          </cell>
          <cell r="J382">
            <v>0</v>
          </cell>
          <cell r="K382" t="str">
            <v>30/01/2009 00:00:00</v>
          </cell>
        </row>
        <row r="383">
          <cell r="E383" t="str">
            <v>995412</v>
          </cell>
          <cell r="F383" t="str">
            <v>Bills of Exchange –USD</v>
          </cell>
          <cell r="G383" t="str">
            <v>C</v>
          </cell>
          <cell r="H383" t="str">
            <v>B</v>
          </cell>
          <cell r="I383" t="str">
            <v>936000</v>
          </cell>
          <cell r="J383">
            <v>0</v>
          </cell>
          <cell r="K383" t="str">
            <v>30/01/2009 00:00:00</v>
          </cell>
        </row>
        <row r="384">
          <cell r="E384" t="str">
            <v>99541203</v>
          </cell>
          <cell r="F384" t="str">
            <v>LIAB U/D FIB Arrival BoE –USD</v>
          </cell>
          <cell r="G384" t="str">
            <v>C</v>
          </cell>
          <cell r="H384" t="str">
            <v>0</v>
          </cell>
          <cell r="I384" t="str">
            <v>939000</v>
          </cell>
          <cell r="J384">
            <v>0</v>
          </cell>
          <cell r="K384" t="str">
            <v>30/01/2009 00:00:00</v>
          </cell>
        </row>
      </sheetData>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Q155"/>
  <sheetViews>
    <sheetView workbookViewId="0">
      <selection activeCell="D58" sqref="D58"/>
    </sheetView>
  </sheetViews>
  <sheetFormatPr defaultRowHeight="12.75"/>
  <cols>
    <col min="1" max="1" width="3.85546875" style="198" customWidth="1"/>
    <col min="2" max="2" width="10.85546875" style="198" customWidth="1"/>
    <col min="3" max="3" width="67" style="198" customWidth="1"/>
    <col min="4" max="4" width="76.5703125" style="198" customWidth="1"/>
    <col min="5" max="5" width="10.85546875" style="200" customWidth="1"/>
    <col min="6" max="6" width="8" style="198" customWidth="1"/>
    <col min="7" max="8" width="7.85546875" style="198" customWidth="1"/>
    <col min="9" max="9" width="10" style="198" customWidth="1"/>
    <col min="10" max="10" width="6.85546875" style="198" customWidth="1"/>
    <col min="11" max="11" width="6.5703125" style="201" customWidth="1"/>
    <col min="12" max="12" width="7.5703125" style="202" customWidth="1"/>
    <col min="13" max="16384" width="9.140625" style="198"/>
  </cols>
  <sheetData>
    <row r="1" spans="1:17" ht="26.25" customHeight="1">
      <c r="B1" s="199" t="s">
        <v>266</v>
      </c>
      <c r="C1" s="199"/>
      <c r="D1" s="199"/>
      <c r="E1" s="199"/>
      <c r="F1" s="199"/>
      <c r="G1" s="199"/>
      <c r="H1" s="199"/>
      <c r="I1" s="199"/>
      <c r="J1" s="199"/>
      <c r="K1" s="199"/>
      <c r="L1" s="199"/>
    </row>
    <row r="2" spans="1:17" ht="5.25" customHeight="1" thickBot="1"/>
    <row r="3" spans="1:17" s="209" customFormat="1" ht="21.75" customHeight="1" thickTop="1">
      <c r="A3" s="203" t="s">
        <v>267</v>
      </c>
      <c r="B3" s="204" t="s">
        <v>268</v>
      </c>
      <c r="C3" s="205" t="s">
        <v>269</v>
      </c>
      <c r="D3" s="205"/>
      <c r="E3" s="206" t="s">
        <v>270</v>
      </c>
      <c r="F3" s="207" t="s">
        <v>271</v>
      </c>
      <c r="G3" s="207"/>
      <c r="H3" s="207"/>
      <c r="I3" s="207"/>
      <c r="J3" s="207"/>
      <c r="K3" s="208" t="s">
        <v>272</v>
      </c>
      <c r="L3" s="208"/>
      <c r="P3" s="210"/>
      <c r="Q3" s="211"/>
    </row>
    <row r="4" spans="1:17" s="217" customFormat="1" ht="14.25" customHeight="1">
      <c r="A4" s="212"/>
      <c r="B4" s="204"/>
      <c r="C4" s="213" t="s">
        <v>273</v>
      </c>
      <c r="D4" s="213" t="s">
        <v>274</v>
      </c>
      <c r="E4" s="206"/>
      <c r="F4" s="214" t="s">
        <v>275</v>
      </c>
      <c r="G4" s="214" t="s">
        <v>276</v>
      </c>
      <c r="H4" s="214" t="s">
        <v>277</v>
      </c>
      <c r="I4" s="214" t="s">
        <v>278</v>
      </c>
      <c r="J4" s="215" t="s">
        <v>279</v>
      </c>
      <c r="K4" s="216" t="s">
        <v>280</v>
      </c>
      <c r="L4" s="216" t="s">
        <v>281</v>
      </c>
    </row>
    <row r="5" spans="1:17" s="228" customFormat="1" ht="19.5" hidden="1" customHeight="1">
      <c r="A5" s="218">
        <v>1</v>
      </c>
      <c r="B5" s="219" t="s">
        <v>282</v>
      </c>
      <c r="C5" s="220" t="s">
        <v>283</v>
      </c>
      <c r="D5" s="221" t="s">
        <v>284</v>
      </c>
      <c r="E5" s="222">
        <v>1</v>
      </c>
      <c r="F5" s="223"/>
      <c r="G5" s="224"/>
      <c r="H5" s="225" t="s">
        <v>285</v>
      </c>
      <c r="I5" s="223"/>
      <c r="J5" s="224"/>
      <c r="K5" s="226" t="s">
        <v>285</v>
      </c>
      <c r="L5" s="226" t="s">
        <v>285</v>
      </c>
      <c r="M5" s="227"/>
    </row>
    <row r="6" spans="1:17" s="218" customFormat="1" ht="19.5" hidden="1" customHeight="1">
      <c r="A6" s="218">
        <v>2</v>
      </c>
      <c r="B6" s="219" t="s">
        <v>286</v>
      </c>
      <c r="C6" s="220" t="s">
        <v>287</v>
      </c>
      <c r="D6" s="221" t="s">
        <v>288</v>
      </c>
      <c r="E6" s="222">
        <v>1</v>
      </c>
      <c r="F6" s="224"/>
      <c r="G6" s="224"/>
      <c r="H6" s="225" t="s">
        <v>285</v>
      </c>
      <c r="I6" s="224"/>
      <c r="J6" s="224"/>
      <c r="K6" s="226" t="s">
        <v>285</v>
      </c>
      <c r="L6" s="226" t="s">
        <v>285</v>
      </c>
      <c r="M6" s="229"/>
    </row>
    <row r="7" spans="1:17" s="218" customFormat="1" ht="19.5" hidden="1" customHeight="1">
      <c r="A7" s="218">
        <v>3</v>
      </c>
      <c r="B7" s="219" t="s">
        <v>289</v>
      </c>
      <c r="C7" s="220" t="s">
        <v>290</v>
      </c>
      <c r="D7" s="221" t="s">
        <v>291</v>
      </c>
      <c r="E7" s="222">
        <v>1</v>
      </c>
      <c r="F7" s="224"/>
      <c r="G7" s="224"/>
      <c r="H7" s="225" t="s">
        <v>285</v>
      </c>
      <c r="I7" s="224"/>
      <c r="J7" s="224"/>
      <c r="K7" s="226" t="s">
        <v>285</v>
      </c>
      <c r="L7" s="226" t="s">
        <v>285</v>
      </c>
      <c r="M7" s="229"/>
    </row>
    <row r="8" spans="1:17" s="218" customFormat="1" ht="19.5" hidden="1" customHeight="1">
      <c r="A8" s="218">
        <v>4</v>
      </c>
      <c r="B8" s="219" t="s">
        <v>292</v>
      </c>
      <c r="C8" s="220" t="s">
        <v>293</v>
      </c>
      <c r="D8" s="221" t="s">
        <v>294</v>
      </c>
      <c r="E8" s="222">
        <v>1</v>
      </c>
      <c r="F8" s="224"/>
      <c r="G8" s="224"/>
      <c r="H8" s="225" t="s">
        <v>285</v>
      </c>
      <c r="I8" s="224"/>
      <c r="J8" s="224"/>
      <c r="K8" s="226" t="s">
        <v>285</v>
      </c>
      <c r="L8" s="230"/>
      <c r="M8" s="229"/>
    </row>
    <row r="9" spans="1:17" s="218" customFormat="1" ht="19.5" hidden="1" customHeight="1">
      <c r="A9" s="218">
        <v>5</v>
      </c>
      <c r="B9" s="231" t="s">
        <v>295</v>
      </c>
      <c r="C9" s="220" t="s">
        <v>296</v>
      </c>
      <c r="D9" s="221" t="s">
        <v>297</v>
      </c>
      <c r="E9" s="222">
        <v>1</v>
      </c>
      <c r="F9" s="232" t="s">
        <v>298</v>
      </c>
      <c r="G9" s="232"/>
      <c r="H9" s="232"/>
      <c r="I9" s="232"/>
      <c r="J9" s="232"/>
      <c r="K9" s="226" t="s">
        <v>285</v>
      </c>
      <c r="L9" s="226" t="s">
        <v>285</v>
      </c>
      <c r="M9" s="229"/>
    </row>
    <row r="10" spans="1:17" s="218" customFormat="1" ht="19.5" hidden="1" customHeight="1">
      <c r="A10" s="218">
        <v>6</v>
      </c>
      <c r="B10" s="231" t="s">
        <v>299</v>
      </c>
      <c r="C10" s="220" t="s">
        <v>300</v>
      </c>
      <c r="D10" s="221" t="s">
        <v>301</v>
      </c>
      <c r="E10" s="222">
        <v>1</v>
      </c>
      <c r="F10" s="224"/>
      <c r="G10" s="224"/>
      <c r="H10" s="225" t="s">
        <v>285</v>
      </c>
      <c r="I10" s="224"/>
      <c r="J10" s="224"/>
      <c r="K10" s="226" t="s">
        <v>285</v>
      </c>
      <c r="L10" s="226" t="s">
        <v>285</v>
      </c>
      <c r="M10" s="229"/>
    </row>
    <row r="11" spans="1:17" s="218" customFormat="1" ht="19.5" hidden="1" customHeight="1">
      <c r="A11" s="218">
        <v>7</v>
      </c>
      <c r="B11" s="231" t="s">
        <v>302</v>
      </c>
      <c r="C11" s="220" t="s">
        <v>303</v>
      </c>
      <c r="D11" s="221" t="s">
        <v>304</v>
      </c>
      <c r="E11" s="222">
        <v>1</v>
      </c>
      <c r="F11" s="224"/>
      <c r="G11" s="224"/>
      <c r="H11" s="225" t="s">
        <v>285</v>
      </c>
      <c r="I11" s="224"/>
      <c r="J11" s="224"/>
      <c r="K11" s="226" t="s">
        <v>285</v>
      </c>
      <c r="L11" s="226" t="s">
        <v>285</v>
      </c>
      <c r="M11" s="229"/>
    </row>
    <row r="12" spans="1:17" s="218" customFormat="1" ht="19.5" hidden="1" customHeight="1">
      <c r="A12" s="218">
        <v>8</v>
      </c>
      <c r="B12" s="231" t="s">
        <v>305</v>
      </c>
      <c r="C12" s="220" t="s">
        <v>306</v>
      </c>
      <c r="D12" s="221" t="s">
        <v>307</v>
      </c>
      <c r="E12" s="222">
        <v>1</v>
      </c>
      <c r="F12" s="224"/>
      <c r="G12" s="224"/>
      <c r="H12" s="225" t="s">
        <v>285</v>
      </c>
      <c r="I12" s="224"/>
      <c r="J12" s="224"/>
      <c r="K12" s="226" t="s">
        <v>285</v>
      </c>
      <c r="L12" s="226" t="s">
        <v>285</v>
      </c>
      <c r="M12" s="229"/>
    </row>
    <row r="13" spans="1:17" s="218" customFormat="1" ht="19.5" hidden="1" customHeight="1">
      <c r="A13" s="218">
        <v>9</v>
      </c>
      <c r="B13" s="233" t="s">
        <v>308</v>
      </c>
      <c r="C13" s="220" t="s">
        <v>309</v>
      </c>
      <c r="D13" s="221" t="s">
        <v>310</v>
      </c>
      <c r="E13" s="222">
        <v>1</v>
      </c>
      <c r="H13" s="225" t="s">
        <v>285</v>
      </c>
      <c r="K13" s="226" t="s">
        <v>285</v>
      </c>
      <c r="L13" s="226" t="s">
        <v>285</v>
      </c>
      <c r="M13" s="229"/>
    </row>
    <row r="14" spans="1:17" s="218" customFormat="1" ht="19.5" hidden="1" customHeight="1">
      <c r="A14" s="218">
        <v>10</v>
      </c>
      <c r="B14" s="233" t="s">
        <v>311</v>
      </c>
      <c r="C14" s="220" t="s">
        <v>312</v>
      </c>
      <c r="D14" s="221" t="s">
        <v>313</v>
      </c>
      <c r="E14" s="222">
        <v>1</v>
      </c>
      <c r="F14" s="224"/>
      <c r="G14" s="224"/>
      <c r="H14" s="225" t="s">
        <v>285</v>
      </c>
      <c r="I14" s="224"/>
      <c r="J14" s="224"/>
      <c r="K14" s="226" t="s">
        <v>285</v>
      </c>
      <c r="L14" s="226" t="s">
        <v>285</v>
      </c>
      <c r="M14" s="229"/>
    </row>
    <row r="15" spans="1:17" s="218" customFormat="1" ht="19.5" hidden="1" customHeight="1">
      <c r="A15" s="218">
        <v>11</v>
      </c>
      <c r="B15" s="234" t="s">
        <v>314</v>
      </c>
      <c r="C15" s="220" t="s">
        <v>315</v>
      </c>
      <c r="D15" s="221" t="s">
        <v>316</v>
      </c>
      <c r="E15" s="222">
        <v>1</v>
      </c>
      <c r="F15" s="224"/>
      <c r="G15" s="224"/>
      <c r="H15" s="225" t="s">
        <v>285</v>
      </c>
      <c r="I15" s="224"/>
      <c r="J15" s="224"/>
      <c r="K15" s="226" t="s">
        <v>285</v>
      </c>
      <c r="L15" s="226" t="s">
        <v>285</v>
      </c>
      <c r="M15" s="229"/>
    </row>
    <row r="16" spans="1:17" s="218" customFormat="1" ht="19.5" hidden="1" customHeight="1">
      <c r="A16" s="218">
        <v>12</v>
      </c>
      <c r="B16" s="231" t="s">
        <v>317</v>
      </c>
      <c r="C16" s="220" t="s">
        <v>318</v>
      </c>
      <c r="D16" s="221" t="s">
        <v>319</v>
      </c>
      <c r="E16" s="222">
        <v>1</v>
      </c>
      <c r="F16" s="224"/>
      <c r="G16" s="224"/>
      <c r="H16" s="225" t="s">
        <v>285</v>
      </c>
      <c r="I16" s="224"/>
      <c r="J16" s="224"/>
      <c r="K16" s="226" t="s">
        <v>285</v>
      </c>
      <c r="L16" s="226" t="s">
        <v>285</v>
      </c>
      <c r="M16" s="229"/>
    </row>
    <row r="17" spans="1:13" s="218" customFormat="1" ht="19.5" hidden="1" customHeight="1">
      <c r="A17" s="218">
        <v>13</v>
      </c>
      <c r="B17" s="231" t="s">
        <v>320</v>
      </c>
      <c r="C17" s="220" t="s">
        <v>321</v>
      </c>
      <c r="D17" s="221" t="s">
        <v>322</v>
      </c>
      <c r="E17" s="222">
        <v>1</v>
      </c>
      <c r="F17" s="232" t="s">
        <v>323</v>
      </c>
      <c r="G17" s="232"/>
      <c r="H17" s="232"/>
      <c r="I17" s="232"/>
      <c r="J17" s="232"/>
      <c r="K17" s="226" t="s">
        <v>285</v>
      </c>
      <c r="L17" s="226" t="s">
        <v>285</v>
      </c>
      <c r="M17" s="229"/>
    </row>
    <row r="18" spans="1:13" s="218" customFormat="1" ht="19.5" hidden="1" customHeight="1">
      <c r="A18" s="218">
        <v>14</v>
      </c>
      <c r="B18" s="235" t="s">
        <v>324</v>
      </c>
      <c r="C18" s="220" t="s">
        <v>325</v>
      </c>
      <c r="D18" s="221" t="s">
        <v>326</v>
      </c>
      <c r="E18" s="222">
        <v>1</v>
      </c>
      <c r="F18" s="224"/>
      <c r="G18" s="224"/>
      <c r="H18" s="225" t="s">
        <v>285</v>
      </c>
      <c r="I18" s="224"/>
      <c r="J18" s="224"/>
      <c r="K18" s="226" t="s">
        <v>285</v>
      </c>
      <c r="L18" s="236"/>
      <c r="M18" s="229"/>
    </row>
    <row r="19" spans="1:13" s="218" customFormat="1" ht="19.5" hidden="1" customHeight="1">
      <c r="A19" s="218">
        <v>15</v>
      </c>
      <c r="B19" s="235" t="s">
        <v>327</v>
      </c>
      <c r="C19" s="220" t="s">
        <v>328</v>
      </c>
      <c r="D19" s="221" t="s">
        <v>329</v>
      </c>
      <c r="E19" s="222">
        <v>1</v>
      </c>
      <c r="F19" s="224"/>
      <c r="G19" s="224"/>
      <c r="H19" s="225" t="s">
        <v>285</v>
      </c>
      <c r="I19" s="224"/>
      <c r="J19" s="224"/>
      <c r="K19" s="226" t="s">
        <v>285</v>
      </c>
      <c r="L19" s="236"/>
      <c r="M19" s="229"/>
    </row>
    <row r="20" spans="1:13" s="218" customFormat="1" ht="19.5" hidden="1" customHeight="1">
      <c r="A20" s="218">
        <v>16</v>
      </c>
      <c r="B20" s="235" t="s">
        <v>330</v>
      </c>
      <c r="C20" s="220" t="s">
        <v>331</v>
      </c>
      <c r="D20" s="221" t="s">
        <v>332</v>
      </c>
      <c r="E20" s="222">
        <v>1</v>
      </c>
      <c r="F20" s="224"/>
      <c r="G20" s="224"/>
      <c r="H20" s="225" t="s">
        <v>285</v>
      </c>
      <c r="I20" s="224"/>
      <c r="J20" s="224"/>
      <c r="K20" s="226" t="s">
        <v>285</v>
      </c>
      <c r="L20" s="236"/>
      <c r="M20" s="229"/>
    </row>
    <row r="21" spans="1:13" s="218" customFormat="1" ht="19.5" hidden="1" customHeight="1">
      <c r="A21" s="218">
        <v>17</v>
      </c>
      <c r="B21" s="235" t="s">
        <v>333</v>
      </c>
      <c r="C21" s="220" t="s">
        <v>334</v>
      </c>
      <c r="D21" s="221" t="s">
        <v>335</v>
      </c>
      <c r="E21" s="222">
        <v>1</v>
      </c>
      <c r="F21" s="224"/>
      <c r="G21" s="224"/>
      <c r="H21" s="225" t="s">
        <v>285</v>
      </c>
      <c r="I21" s="225"/>
      <c r="J21" s="224"/>
      <c r="K21" s="226" t="s">
        <v>285</v>
      </c>
      <c r="L21" s="236"/>
      <c r="M21" s="229"/>
    </row>
    <row r="22" spans="1:13" s="218" customFormat="1" ht="19.5" hidden="1" customHeight="1">
      <c r="A22" s="218">
        <v>18</v>
      </c>
      <c r="B22" s="235" t="s">
        <v>336</v>
      </c>
      <c r="C22" s="220" t="s">
        <v>337</v>
      </c>
      <c r="D22" s="221" t="s">
        <v>338</v>
      </c>
      <c r="E22" s="222">
        <v>1</v>
      </c>
      <c r="F22" s="224"/>
      <c r="G22" s="224"/>
      <c r="H22" s="225" t="s">
        <v>285</v>
      </c>
      <c r="I22" s="225"/>
      <c r="J22" s="224"/>
      <c r="K22" s="226" t="s">
        <v>285</v>
      </c>
      <c r="L22" s="236"/>
      <c r="M22" s="229"/>
    </row>
    <row r="23" spans="1:13" s="218" customFormat="1" ht="19.5" hidden="1" customHeight="1">
      <c r="A23" s="218">
        <v>19</v>
      </c>
      <c r="B23" s="235" t="s">
        <v>339</v>
      </c>
      <c r="C23" s="220" t="s">
        <v>340</v>
      </c>
      <c r="D23" s="221" t="s">
        <v>341</v>
      </c>
      <c r="E23" s="222">
        <v>1</v>
      </c>
      <c r="F23" s="224"/>
      <c r="G23" s="224"/>
      <c r="H23" s="225" t="s">
        <v>285</v>
      </c>
      <c r="I23" s="224"/>
      <c r="J23" s="224"/>
      <c r="K23" s="226" t="s">
        <v>285</v>
      </c>
      <c r="L23" s="226"/>
      <c r="M23" s="229"/>
    </row>
    <row r="24" spans="1:13" s="218" customFormat="1" ht="19.5" hidden="1" customHeight="1">
      <c r="A24" s="218">
        <v>20</v>
      </c>
      <c r="B24" s="235" t="s">
        <v>342</v>
      </c>
      <c r="C24" s="220" t="s">
        <v>343</v>
      </c>
      <c r="D24" s="221" t="s">
        <v>344</v>
      </c>
      <c r="E24" s="222">
        <v>1</v>
      </c>
      <c r="F24" s="224"/>
      <c r="G24" s="224"/>
      <c r="H24" s="224"/>
      <c r="I24" s="225" t="s">
        <v>285</v>
      </c>
      <c r="J24" s="224"/>
      <c r="K24" s="226" t="s">
        <v>285</v>
      </c>
      <c r="L24" s="236"/>
      <c r="M24" s="229"/>
    </row>
    <row r="25" spans="1:13" s="218" customFormat="1" ht="19.5" hidden="1" customHeight="1">
      <c r="A25" s="218">
        <v>21</v>
      </c>
      <c r="B25" s="235" t="s">
        <v>345</v>
      </c>
      <c r="C25" s="220" t="s">
        <v>346</v>
      </c>
      <c r="D25" s="221" t="s">
        <v>347</v>
      </c>
      <c r="E25" s="222">
        <v>1</v>
      </c>
      <c r="F25" s="224"/>
      <c r="G25" s="224"/>
      <c r="H25" s="224"/>
      <c r="I25" s="225" t="s">
        <v>285</v>
      </c>
      <c r="J25" s="224"/>
      <c r="K25" s="226" t="s">
        <v>285</v>
      </c>
      <c r="L25" s="236"/>
      <c r="M25" s="229"/>
    </row>
    <row r="26" spans="1:13" s="218" customFormat="1" ht="19.5" hidden="1" customHeight="1">
      <c r="A26" s="218">
        <v>22</v>
      </c>
      <c r="B26" s="235" t="s">
        <v>348</v>
      </c>
      <c r="C26" s="220" t="s">
        <v>349</v>
      </c>
      <c r="D26" s="221" t="s">
        <v>350</v>
      </c>
      <c r="E26" s="222">
        <v>1</v>
      </c>
      <c r="F26" s="224"/>
      <c r="G26" s="224"/>
      <c r="H26" s="224"/>
      <c r="I26" s="225" t="s">
        <v>285</v>
      </c>
      <c r="J26" s="224"/>
      <c r="K26" s="226" t="s">
        <v>285</v>
      </c>
      <c r="L26" s="236"/>
      <c r="M26" s="229"/>
    </row>
    <row r="27" spans="1:13" s="218" customFormat="1" ht="19.5" hidden="1" customHeight="1">
      <c r="A27" s="218">
        <v>23</v>
      </c>
      <c r="B27" s="237" t="s">
        <v>351</v>
      </c>
      <c r="C27" s="220" t="s">
        <v>352</v>
      </c>
      <c r="D27" s="221" t="s">
        <v>353</v>
      </c>
      <c r="E27" s="222">
        <v>1</v>
      </c>
      <c r="F27" s="224"/>
      <c r="G27" s="224"/>
      <c r="H27" s="225" t="s">
        <v>285</v>
      </c>
      <c r="I27" s="224"/>
      <c r="J27" s="224"/>
      <c r="K27" s="226" t="s">
        <v>285</v>
      </c>
      <c r="L27" s="236"/>
      <c r="M27" s="229"/>
    </row>
    <row r="28" spans="1:13" s="218" customFormat="1" ht="19.5" hidden="1" customHeight="1">
      <c r="A28" s="218">
        <v>24</v>
      </c>
      <c r="B28" s="237" t="s">
        <v>354</v>
      </c>
      <c r="C28" s="220" t="s">
        <v>355</v>
      </c>
      <c r="D28" s="221" t="s">
        <v>356</v>
      </c>
      <c r="E28" s="222">
        <v>1</v>
      </c>
      <c r="F28" s="224"/>
      <c r="G28" s="224"/>
      <c r="H28" s="225" t="s">
        <v>285</v>
      </c>
      <c r="I28" s="224"/>
      <c r="J28" s="224"/>
      <c r="K28" s="226" t="s">
        <v>285</v>
      </c>
      <c r="L28" s="226" t="s">
        <v>285</v>
      </c>
      <c r="M28" s="229"/>
    </row>
    <row r="29" spans="1:13" s="218" customFormat="1" ht="19.5" hidden="1" customHeight="1">
      <c r="A29" s="218">
        <v>25</v>
      </c>
      <c r="B29" s="238" t="s">
        <v>357</v>
      </c>
      <c r="C29" s="220" t="s">
        <v>358</v>
      </c>
      <c r="D29" s="221" t="s">
        <v>359</v>
      </c>
      <c r="E29" s="222">
        <v>1</v>
      </c>
      <c r="F29" s="224"/>
      <c r="G29" s="224"/>
      <c r="H29" s="225" t="s">
        <v>285</v>
      </c>
      <c r="I29" s="224"/>
      <c r="J29" s="224"/>
      <c r="K29" s="226" t="s">
        <v>285</v>
      </c>
      <c r="L29" s="226" t="s">
        <v>285</v>
      </c>
      <c r="M29" s="229"/>
    </row>
    <row r="30" spans="1:13" s="218" customFormat="1" ht="19.5" hidden="1" customHeight="1">
      <c r="A30" s="218">
        <v>26</v>
      </c>
      <c r="B30" s="237" t="s">
        <v>360</v>
      </c>
      <c r="C30" s="220" t="s">
        <v>361</v>
      </c>
      <c r="D30" s="221" t="s">
        <v>362</v>
      </c>
      <c r="E30" s="222">
        <v>1</v>
      </c>
      <c r="F30" s="232" t="s">
        <v>298</v>
      </c>
      <c r="G30" s="232"/>
      <c r="H30" s="232"/>
      <c r="I30" s="232"/>
      <c r="J30" s="232"/>
      <c r="K30" s="226" t="s">
        <v>285</v>
      </c>
      <c r="L30" s="236"/>
      <c r="M30" s="229"/>
    </row>
    <row r="31" spans="1:13" s="218" customFormat="1" ht="19.5" hidden="1" customHeight="1">
      <c r="A31" s="218">
        <v>27</v>
      </c>
      <c r="B31" s="237" t="s">
        <v>363</v>
      </c>
      <c r="C31" s="220" t="s">
        <v>364</v>
      </c>
      <c r="D31" s="221" t="s">
        <v>365</v>
      </c>
      <c r="E31" s="222">
        <v>1</v>
      </c>
      <c r="F31" s="232" t="s">
        <v>298</v>
      </c>
      <c r="G31" s="232"/>
      <c r="H31" s="232"/>
      <c r="I31" s="232"/>
      <c r="J31" s="232"/>
      <c r="K31" s="226" t="s">
        <v>285</v>
      </c>
      <c r="L31" s="236"/>
      <c r="M31" s="229"/>
    </row>
    <row r="32" spans="1:13" s="218" customFormat="1" ht="19.5" hidden="1" customHeight="1">
      <c r="A32" s="218">
        <v>28</v>
      </c>
      <c r="B32" s="239" t="s">
        <v>366</v>
      </c>
      <c r="C32" s="220" t="s">
        <v>367</v>
      </c>
      <c r="D32" s="221" t="s">
        <v>368</v>
      </c>
      <c r="E32" s="222">
        <v>1</v>
      </c>
      <c r="F32" s="225" t="s">
        <v>285</v>
      </c>
      <c r="G32" s="224"/>
      <c r="H32" s="224"/>
      <c r="I32" s="224"/>
      <c r="J32" s="224"/>
      <c r="K32" s="226" t="s">
        <v>285</v>
      </c>
      <c r="L32" s="236"/>
      <c r="M32" s="229"/>
    </row>
    <row r="33" spans="1:13" s="218" customFormat="1" ht="19.5" hidden="1" customHeight="1">
      <c r="A33" s="218">
        <v>29</v>
      </c>
      <c r="B33" s="239" t="s">
        <v>369</v>
      </c>
      <c r="C33" s="220" t="s">
        <v>370</v>
      </c>
      <c r="D33" s="221" t="s">
        <v>371</v>
      </c>
      <c r="E33" s="222">
        <v>1</v>
      </c>
      <c r="F33" s="224"/>
      <c r="G33" s="225" t="s">
        <v>285</v>
      </c>
      <c r="H33" s="224"/>
      <c r="I33" s="224"/>
      <c r="J33" s="224"/>
      <c r="K33" s="226" t="s">
        <v>285</v>
      </c>
      <c r="L33" s="236"/>
      <c r="M33" s="229"/>
    </row>
    <row r="34" spans="1:13" s="218" customFormat="1" ht="19.5" hidden="1" customHeight="1">
      <c r="A34" s="218">
        <v>30</v>
      </c>
      <c r="B34" s="239" t="s">
        <v>372</v>
      </c>
      <c r="C34" s="220" t="s">
        <v>373</v>
      </c>
      <c r="D34" s="221" t="s">
        <v>374</v>
      </c>
      <c r="E34" s="222">
        <v>1</v>
      </c>
      <c r="F34" s="224"/>
      <c r="G34" s="224"/>
      <c r="H34" s="225" t="s">
        <v>285</v>
      </c>
      <c r="I34" s="224"/>
      <c r="J34" s="224"/>
      <c r="K34" s="226" t="s">
        <v>285</v>
      </c>
      <c r="L34" s="226" t="s">
        <v>285</v>
      </c>
      <c r="M34" s="229"/>
    </row>
    <row r="35" spans="1:13" s="218" customFormat="1" ht="19.5" hidden="1" customHeight="1">
      <c r="A35" s="218">
        <v>31</v>
      </c>
      <c r="B35" s="239" t="s">
        <v>375</v>
      </c>
      <c r="C35" s="220" t="s">
        <v>376</v>
      </c>
      <c r="D35" s="221" t="s">
        <v>377</v>
      </c>
      <c r="E35" s="222">
        <v>1</v>
      </c>
      <c r="F35" s="224"/>
      <c r="G35" s="224"/>
      <c r="H35" s="225" t="s">
        <v>285</v>
      </c>
      <c r="I35" s="224"/>
      <c r="J35" s="224"/>
      <c r="K35" s="226" t="s">
        <v>285</v>
      </c>
      <c r="L35" s="226" t="s">
        <v>285</v>
      </c>
      <c r="M35" s="229"/>
    </row>
    <row r="36" spans="1:13" s="218" customFormat="1" ht="19.5" hidden="1" customHeight="1">
      <c r="A36" s="218">
        <v>32</v>
      </c>
      <c r="B36" s="239" t="s">
        <v>378</v>
      </c>
      <c r="C36" s="220" t="s">
        <v>379</v>
      </c>
      <c r="D36" s="221" t="s">
        <v>380</v>
      </c>
      <c r="E36" s="222">
        <v>1</v>
      </c>
      <c r="F36" s="224"/>
      <c r="G36" s="224"/>
      <c r="H36" s="225" t="s">
        <v>285</v>
      </c>
      <c r="I36" s="224"/>
      <c r="J36" s="224"/>
      <c r="K36" s="226" t="s">
        <v>285</v>
      </c>
      <c r="L36" s="226" t="s">
        <v>285</v>
      </c>
      <c r="M36" s="229"/>
    </row>
    <row r="37" spans="1:13" s="218" customFormat="1" ht="19.5" hidden="1" customHeight="1">
      <c r="A37" s="218">
        <v>33</v>
      </c>
      <c r="B37" s="239" t="s">
        <v>381</v>
      </c>
      <c r="C37" s="220" t="s">
        <v>382</v>
      </c>
      <c r="D37" s="221" t="s">
        <v>383</v>
      </c>
      <c r="E37" s="222">
        <v>1</v>
      </c>
      <c r="F37" s="224"/>
      <c r="G37" s="224"/>
      <c r="H37" s="225" t="s">
        <v>285</v>
      </c>
      <c r="I37" s="224"/>
      <c r="J37" s="224"/>
      <c r="K37" s="226" t="s">
        <v>285</v>
      </c>
      <c r="L37" s="226" t="s">
        <v>285</v>
      </c>
      <c r="M37" s="229"/>
    </row>
    <row r="38" spans="1:13" s="218" customFormat="1" ht="19.5" hidden="1" customHeight="1">
      <c r="A38" s="218">
        <v>34</v>
      </c>
      <c r="B38" s="240" t="s">
        <v>384</v>
      </c>
      <c r="C38" s="220" t="s">
        <v>385</v>
      </c>
      <c r="D38" s="221" t="s">
        <v>386</v>
      </c>
      <c r="E38" s="222">
        <v>1</v>
      </c>
      <c r="F38" s="224"/>
      <c r="G38" s="224"/>
      <c r="H38" s="225" t="s">
        <v>285</v>
      </c>
      <c r="I38" s="224"/>
      <c r="J38" s="224"/>
      <c r="K38" s="226" t="s">
        <v>285</v>
      </c>
      <c r="L38" s="226" t="s">
        <v>285</v>
      </c>
      <c r="M38" s="229"/>
    </row>
    <row r="39" spans="1:13" s="218" customFormat="1" ht="19.5" hidden="1" customHeight="1">
      <c r="A39" s="218">
        <v>35</v>
      </c>
      <c r="B39" s="240" t="s">
        <v>387</v>
      </c>
      <c r="C39" s="220" t="s">
        <v>388</v>
      </c>
      <c r="D39" s="221" t="s">
        <v>389</v>
      </c>
      <c r="E39" s="222">
        <v>1</v>
      </c>
      <c r="F39" s="224"/>
      <c r="G39" s="224"/>
      <c r="H39" s="225" t="s">
        <v>285</v>
      </c>
      <c r="I39" s="224"/>
      <c r="J39" s="224"/>
      <c r="K39" s="226" t="s">
        <v>285</v>
      </c>
      <c r="L39" s="226" t="s">
        <v>285</v>
      </c>
      <c r="M39" s="229"/>
    </row>
    <row r="40" spans="1:13" s="218" customFormat="1" ht="19.5" hidden="1" customHeight="1">
      <c r="A40" s="218">
        <v>36</v>
      </c>
      <c r="B40" s="239" t="s">
        <v>390</v>
      </c>
      <c r="C40" s="220" t="s">
        <v>391</v>
      </c>
      <c r="D40" s="221" t="s">
        <v>392</v>
      </c>
      <c r="E40" s="222">
        <v>1</v>
      </c>
      <c r="F40" s="224"/>
      <c r="G40" s="224"/>
      <c r="H40" s="225" t="s">
        <v>285</v>
      </c>
      <c r="I40" s="225"/>
      <c r="J40" s="224"/>
      <c r="K40" s="226" t="s">
        <v>285</v>
      </c>
      <c r="L40" s="226" t="s">
        <v>285</v>
      </c>
      <c r="M40" s="229"/>
    </row>
    <row r="41" spans="1:13" s="242" customFormat="1" ht="19.5" hidden="1" customHeight="1">
      <c r="A41" s="218">
        <v>37</v>
      </c>
      <c r="B41" s="240" t="s">
        <v>393</v>
      </c>
      <c r="C41" s="241" t="s">
        <v>394</v>
      </c>
      <c r="D41" s="221" t="s">
        <v>395</v>
      </c>
      <c r="E41" s="222">
        <v>5</v>
      </c>
      <c r="F41" s="224"/>
      <c r="G41" s="224"/>
      <c r="H41" s="224"/>
      <c r="I41" s="224"/>
      <c r="J41" s="225" t="s">
        <v>285</v>
      </c>
      <c r="K41" s="226" t="s">
        <v>285</v>
      </c>
      <c r="L41" s="226" t="s">
        <v>285</v>
      </c>
    </row>
    <row r="42" spans="1:13" s="244" customFormat="1" ht="19.5" customHeight="1">
      <c r="A42" s="218">
        <v>1</v>
      </c>
      <c r="B42" s="243" t="s">
        <v>396</v>
      </c>
      <c r="C42" s="220" t="s">
        <v>397</v>
      </c>
      <c r="D42" s="221" t="s">
        <v>398</v>
      </c>
      <c r="E42" s="222">
        <v>1</v>
      </c>
      <c r="F42" s="221"/>
      <c r="G42" s="225" t="s">
        <v>285</v>
      </c>
      <c r="H42" s="225"/>
      <c r="I42" s="224"/>
      <c r="J42" s="224"/>
      <c r="K42" s="226" t="s">
        <v>285</v>
      </c>
      <c r="L42" s="226" t="s">
        <v>285</v>
      </c>
    </row>
    <row r="43" spans="1:13" s="244" customFormat="1" ht="19.5" customHeight="1">
      <c r="A43" s="218">
        <v>2</v>
      </c>
      <c r="B43" s="243" t="s">
        <v>399</v>
      </c>
      <c r="C43" s="220" t="s">
        <v>400</v>
      </c>
      <c r="D43" s="221" t="s">
        <v>401</v>
      </c>
      <c r="E43" s="222">
        <v>1</v>
      </c>
      <c r="F43" s="221"/>
      <c r="G43" s="224"/>
      <c r="H43" s="225" t="s">
        <v>285</v>
      </c>
      <c r="I43" s="224"/>
      <c r="J43" s="224"/>
      <c r="K43" s="226" t="s">
        <v>285</v>
      </c>
      <c r="L43" s="226" t="s">
        <v>285</v>
      </c>
    </row>
    <row r="44" spans="1:13" s="244" customFormat="1" ht="19.5" customHeight="1">
      <c r="A44" s="218">
        <v>3</v>
      </c>
      <c r="B44" s="243" t="s">
        <v>402</v>
      </c>
      <c r="C44" s="220" t="s">
        <v>403</v>
      </c>
      <c r="D44" s="221" t="s">
        <v>404</v>
      </c>
      <c r="E44" s="222">
        <v>1</v>
      </c>
      <c r="F44" s="221"/>
      <c r="G44" s="224"/>
      <c r="H44" s="245" t="s">
        <v>405</v>
      </c>
      <c r="I44" s="224"/>
      <c r="J44" s="224"/>
      <c r="K44" s="246" t="s">
        <v>405</v>
      </c>
      <c r="L44" s="226" t="s">
        <v>285</v>
      </c>
    </row>
    <row r="45" spans="1:13" s="244" customFormat="1" ht="19.5" customHeight="1">
      <c r="A45" s="218">
        <v>4</v>
      </c>
      <c r="B45" s="243" t="s">
        <v>406</v>
      </c>
      <c r="C45" s="220" t="s">
        <v>407</v>
      </c>
      <c r="D45" s="221" t="s">
        <v>408</v>
      </c>
      <c r="E45" s="222">
        <v>1</v>
      </c>
      <c r="F45" s="221"/>
      <c r="G45" s="224"/>
      <c r="H45" s="225" t="s">
        <v>285</v>
      </c>
      <c r="I45" s="224"/>
      <c r="J45" s="224"/>
      <c r="K45" s="226" t="s">
        <v>285</v>
      </c>
      <c r="L45" s="226" t="s">
        <v>285</v>
      </c>
    </row>
    <row r="46" spans="1:13" s="244" customFormat="1" ht="19.5" customHeight="1">
      <c r="K46" s="247"/>
      <c r="L46" s="247"/>
    </row>
    <row r="47" spans="1:13" s="244" customFormat="1" ht="10.5" customHeight="1">
      <c r="K47" s="247"/>
      <c r="L47" s="248"/>
    </row>
    <row r="48" spans="1:13" s="244" customFormat="1" ht="10.5" customHeight="1">
      <c r="B48" s="249"/>
      <c r="K48" s="247"/>
      <c r="L48" s="248"/>
    </row>
    <row r="49" spans="2:12" s="244" customFormat="1" ht="23.25" customHeight="1">
      <c r="C49" s="250" t="s">
        <v>409</v>
      </c>
      <c r="D49" s="251" t="s">
        <v>410</v>
      </c>
      <c r="E49" s="252" t="s">
        <v>411</v>
      </c>
      <c r="F49" s="252"/>
      <c r="G49" s="252"/>
      <c r="K49" s="253"/>
      <c r="L49" s="248"/>
    </row>
    <row r="50" spans="2:12" s="244" customFormat="1" ht="10.5" customHeight="1">
      <c r="C50" s="254" t="s">
        <v>412</v>
      </c>
      <c r="D50" s="254" t="s">
        <v>413</v>
      </c>
      <c r="E50" s="255" t="s">
        <v>414</v>
      </c>
      <c r="F50" s="256"/>
      <c r="G50" s="256"/>
      <c r="K50" s="247"/>
      <c r="L50" s="248"/>
    </row>
    <row r="51" spans="2:12" s="244" customFormat="1" ht="10.5" customHeight="1">
      <c r="B51" s="257"/>
      <c r="K51" s="247"/>
      <c r="L51" s="248"/>
    </row>
    <row r="52" spans="2:12" s="244" customFormat="1" ht="21" customHeight="1">
      <c r="B52" s="257"/>
      <c r="K52" s="247"/>
      <c r="L52" s="248"/>
    </row>
    <row r="53" spans="2:12" s="244" customFormat="1" ht="10.5" customHeight="1">
      <c r="B53" s="258"/>
      <c r="K53" s="247"/>
      <c r="L53" s="248"/>
    </row>
    <row r="54" spans="2:12" s="244" customFormat="1" ht="10.5" customHeight="1">
      <c r="B54" s="259"/>
      <c r="D54" s="260"/>
      <c r="E54" s="258"/>
      <c r="K54" s="253"/>
      <c r="L54" s="248"/>
    </row>
    <row r="55" spans="2:12" s="244" customFormat="1" ht="20.25" customHeight="1">
      <c r="E55" s="258"/>
      <c r="K55" s="253"/>
      <c r="L55" s="248"/>
    </row>
    <row r="56" spans="2:12" s="244" customFormat="1" ht="20.25" customHeight="1">
      <c r="E56" s="258"/>
      <c r="K56" s="253"/>
      <c r="L56" s="248"/>
    </row>
    <row r="57" spans="2:12" s="244" customFormat="1" ht="20.25" customHeight="1">
      <c r="K57" s="253"/>
      <c r="L57" s="248"/>
    </row>
    <row r="58" spans="2:12" s="244" customFormat="1" ht="20.25" customHeight="1">
      <c r="K58" s="253"/>
      <c r="L58" s="248"/>
    </row>
    <row r="59" spans="2:12" s="244" customFormat="1" ht="20.25" customHeight="1">
      <c r="E59" s="258"/>
      <c r="K59" s="253"/>
      <c r="L59" s="248"/>
    </row>
    <row r="60" spans="2:12" s="244" customFormat="1" ht="20.25" customHeight="1">
      <c r="E60" s="258"/>
      <c r="K60" s="253"/>
      <c r="L60" s="248"/>
    </row>
    <row r="61" spans="2:12" s="244" customFormat="1" ht="20.25" customHeight="1">
      <c r="E61" s="258"/>
      <c r="K61" s="253"/>
      <c r="L61" s="248"/>
    </row>
    <row r="62" spans="2:12" s="244" customFormat="1" ht="20.25" customHeight="1">
      <c r="E62" s="258"/>
      <c r="K62" s="253"/>
      <c r="L62" s="248"/>
    </row>
    <row r="63" spans="2:12" s="244" customFormat="1" ht="20.25" customHeight="1">
      <c r="E63" s="258"/>
      <c r="K63" s="253"/>
      <c r="L63" s="248"/>
    </row>
    <row r="64" spans="2:12" s="244" customFormat="1" ht="20.25" customHeight="1">
      <c r="E64" s="258"/>
      <c r="K64" s="253"/>
      <c r="L64" s="248"/>
    </row>
    <row r="65" spans="5:12" s="244" customFormat="1" ht="20.25" customHeight="1">
      <c r="E65" s="258"/>
      <c r="K65" s="253"/>
      <c r="L65" s="248"/>
    </row>
    <row r="66" spans="5:12" s="244" customFormat="1" ht="20.25" customHeight="1">
      <c r="E66" s="258"/>
      <c r="K66" s="253"/>
      <c r="L66" s="248"/>
    </row>
    <row r="67" spans="5:12" s="244" customFormat="1" ht="20.25" customHeight="1">
      <c r="E67" s="258"/>
      <c r="K67" s="253"/>
      <c r="L67" s="248"/>
    </row>
    <row r="68" spans="5:12" s="262" customFormat="1">
      <c r="E68" s="261"/>
      <c r="K68" s="263"/>
      <c r="L68" s="264"/>
    </row>
    <row r="69" spans="5:12" s="262" customFormat="1">
      <c r="E69" s="261"/>
      <c r="K69" s="263"/>
      <c r="L69" s="264"/>
    </row>
    <row r="70" spans="5:12" s="262" customFormat="1">
      <c r="E70" s="261"/>
      <c r="K70" s="263"/>
      <c r="L70" s="264"/>
    </row>
    <row r="71" spans="5:12" s="262" customFormat="1">
      <c r="E71" s="261"/>
      <c r="K71" s="263"/>
      <c r="L71" s="264"/>
    </row>
    <row r="72" spans="5:12" s="262" customFormat="1">
      <c r="E72" s="261"/>
      <c r="K72" s="263"/>
      <c r="L72" s="264"/>
    </row>
    <row r="73" spans="5:12" s="262" customFormat="1">
      <c r="E73" s="261"/>
      <c r="K73" s="263"/>
      <c r="L73" s="264"/>
    </row>
    <row r="74" spans="5:12" s="262" customFormat="1">
      <c r="E74" s="261"/>
      <c r="K74" s="263"/>
      <c r="L74" s="264"/>
    </row>
    <row r="75" spans="5:12" s="262" customFormat="1">
      <c r="E75" s="261"/>
      <c r="K75" s="263"/>
      <c r="L75" s="264"/>
    </row>
    <row r="76" spans="5:12" s="262" customFormat="1">
      <c r="E76" s="261"/>
      <c r="K76" s="263"/>
      <c r="L76" s="264"/>
    </row>
    <row r="77" spans="5:12" s="262" customFormat="1">
      <c r="E77" s="261"/>
      <c r="K77" s="263"/>
      <c r="L77" s="264"/>
    </row>
    <row r="78" spans="5:12" s="262" customFormat="1">
      <c r="E78" s="261"/>
      <c r="K78" s="263"/>
      <c r="L78" s="264"/>
    </row>
    <row r="79" spans="5:12" s="262" customFormat="1">
      <c r="E79" s="261"/>
      <c r="K79" s="263"/>
      <c r="L79" s="264"/>
    </row>
    <row r="80" spans="5:12" s="262" customFormat="1">
      <c r="E80" s="261"/>
      <c r="K80" s="263"/>
      <c r="L80" s="264"/>
    </row>
    <row r="81" spans="5:12" s="262" customFormat="1">
      <c r="E81" s="261"/>
      <c r="K81" s="263"/>
      <c r="L81" s="264"/>
    </row>
    <row r="82" spans="5:12" s="262" customFormat="1">
      <c r="E82" s="261"/>
      <c r="K82" s="263"/>
      <c r="L82" s="264"/>
    </row>
    <row r="83" spans="5:12" s="262" customFormat="1">
      <c r="E83" s="261"/>
      <c r="K83" s="263"/>
      <c r="L83" s="264"/>
    </row>
    <row r="84" spans="5:12" s="262" customFormat="1">
      <c r="E84" s="261"/>
      <c r="K84" s="263"/>
      <c r="L84" s="264"/>
    </row>
    <row r="85" spans="5:12" s="262" customFormat="1">
      <c r="E85" s="261"/>
      <c r="K85" s="263"/>
      <c r="L85" s="264"/>
    </row>
    <row r="86" spans="5:12" s="262" customFormat="1">
      <c r="E86" s="261"/>
      <c r="K86" s="263"/>
      <c r="L86" s="264"/>
    </row>
    <row r="87" spans="5:12" s="262" customFormat="1">
      <c r="E87" s="261"/>
      <c r="K87" s="263"/>
      <c r="L87" s="264"/>
    </row>
    <row r="88" spans="5:12" s="262" customFormat="1">
      <c r="E88" s="261"/>
      <c r="K88" s="263"/>
      <c r="L88" s="264"/>
    </row>
    <row r="89" spans="5:12" s="262" customFormat="1">
      <c r="E89" s="261"/>
      <c r="K89" s="263"/>
      <c r="L89" s="264"/>
    </row>
    <row r="90" spans="5:12" s="262" customFormat="1">
      <c r="E90" s="261"/>
      <c r="K90" s="263"/>
      <c r="L90" s="264"/>
    </row>
    <row r="91" spans="5:12" s="262" customFormat="1">
      <c r="E91" s="261"/>
      <c r="K91" s="263"/>
      <c r="L91" s="264"/>
    </row>
    <row r="92" spans="5:12" s="262" customFormat="1">
      <c r="E92" s="261"/>
      <c r="K92" s="263"/>
      <c r="L92" s="264"/>
    </row>
    <row r="93" spans="5:12" s="262" customFormat="1">
      <c r="E93" s="261"/>
      <c r="K93" s="263"/>
      <c r="L93" s="264"/>
    </row>
    <row r="94" spans="5:12" s="262" customFormat="1">
      <c r="E94" s="261"/>
      <c r="K94" s="263"/>
      <c r="L94" s="264"/>
    </row>
    <row r="95" spans="5:12" s="262" customFormat="1">
      <c r="E95" s="261"/>
      <c r="K95" s="263"/>
      <c r="L95" s="264"/>
    </row>
    <row r="96" spans="5:12" s="262" customFormat="1">
      <c r="E96" s="261"/>
      <c r="K96" s="263"/>
      <c r="L96" s="264"/>
    </row>
    <row r="97" spans="5:12" s="262" customFormat="1">
      <c r="E97" s="261"/>
      <c r="K97" s="263"/>
      <c r="L97" s="264"/>
    </row>
    <row r="98" spans="5:12" s="262" customFormat="1">
      <c r="E98" s="261"/>
      <c r="K98" s="263"/>
      <c r="L98" s="264"/>
    </row>
    <row r="99" spans="5:12" s="262" customFormat="1">
      <c r="E99" s="261"/>
      <c r="K99" s="263"/>
      <c r="L99" s="264"/>
    </row>
    <row r="100" spans="5:12" s="262" customFormat="1">
      <c r="E100" s="261"/>
      <c r="K100" s="263"/>
      <c r="L100" s="264"/>
    </row>
    <row r="101" spans="5:12" s="262" customFormat="1">
      <c r="E101" s="261"/>
      <c r="K101" s="263"/>
      <c r="L101" s="264"/>
    </row>
    <row r="102" spans="5:12" s="262" customFormat="1">
      <c r="E102" s="261"/>
      <c r="K102" s="263"/>
      <c r="L102" s="264"/>
    </row>
    <row r="103" spans="5:12" s="262" customFormat="1">
      <c r="E103" s="261"/>
      <c r="K103" s="263"/>
      <c r="L103" s="264"/>
    </row>
    <row r="104" spans="5:12" s="262" customFormat="1">
      <c r="E104" s="261"/>
      <c r="K104" s="263"/>
      <c r="L104" s="264"/>
    </row>
    <row r="105" spans="5:12" s="262" customFormat="1">
      <c r="E105" s="261"/>
      <c r="K105" s="263"/>
      <c r="L105" s="264"/>
    </row>
    <row r="106" spans="5:12" s="262" customFormat="1">
      <c r="E106" s="261"/>
      <c r="K106" s="263"/>
      <c r="L106" s="264"/>
    </row>
    <row r="107" spans="5:12" s="262" customFormat="1">
      <c r="E107" s="261"/>
      <c r="K107" s="263"/>
      <c r="L107" s="264"/>
    </row>
    <row r="108" spans="5:12" s="262" customFormat="1">
      <c r="E108" s="261"/>
      <c r="K108" s="263"/>
      <c r="L108" s="264"/>
    </row>
    <row r="109" spans="5:12" s="262" customFormat="1">
      <c r="E109" s="261"/>
      <c r="K109" s="263"/>
      <c r="L109" s="264"/>
    </row>
    <row r="110" spans="5:12" s="262" customFormat="1">
      <c r="E110" s="261"/>
      <c r="K110" s="263"/>
      <c r="L110" s="264"/>
    </row>
    <row r="111" spans="5:12" s="262" customFormat="1">
      <c r="E111" s="261"/>
      <c r="K111" s="263"/>
      <c r="L111" s="264"/>
    </row>
    <row r="112" spans="5:12" s="262" customFormat="1">
      <c r="E112" s="261"/>
      <c r="K112" s="263"/>
      <c r="L112" s="264"/>
    </row>
    <row r="113" spans="5:12" s="262" customFormat="1">
      <c r="E113" s="261"/>
      <c r="K113" s="263"/>
      <c r="L113" s="264"/>
    </row>
    <row r="114" spans="5:12" s="262" customFormat="1">
      <c r="E114" s="261"/>
      <c r="K114" s="263"/>
      <c r="L114" s="264"/>
    </row>
    <row r="115" spans="5:12" s="262" customFormat="1">
      <c r="E115" s="261"/>
      <c r="K115" s="263"/>
      <c r="L115" s="264"/>
    </row>
    <row r="116" spans="5:12" s="262" customFormat="1">
      <c r="E116" s="261"/>
      <c r="K116" s="263"/>
      <c r="L116" s="264"/>
    </row>
    <row r="117" spans="5:12" s="262" customFormat="1">
      <c r="E117" s="261"/>
      <c r="K117" s="263"/>
      <c r="L117" s="264"/>
    </row>
    <row r="118" spans="5:12" s="262" customFormat="1">
      <c r="E118" s="261"/>
      <c r="K118" s="263"/>
      <c r="L118" s="264"/>
    </row>
    <row r="119" spans="5:12" s="262" customFormat="1">
      <c r="E119" s="261"/>
      <c r="K119" s="263"/>
      <c r="L119" s="264"/>
    </row>
    <row r="120" spans="5:12" s="262" customFormat="1">
      <c r="E120" s="261"/>
      <c r="K120" s="263"/>
      <c r="L120" s="264"/>
    </row>
    <row r="121" spans="5:12" s="262" customFormat="1">
      <c r="E121" s="261"/>
      <c r="K121" s="263"/>
      <c r="L121" s="264"/>
    </row>
    <row r="122" spans="5:12" s="262" customFormat="1">
      <c r="E122" s="261"/>
      <c r="K122" s="263"/>
      <c r="L122" s="264"/>
    </row>
    <row r="123" spans="5:12" s="262" customFormat="1">
      <c r="E123" s="261"/>
      <c r="K123" s="263"/>
      <c r="L123" s="264"/>
    </row>
    <row r="124" spans="5:12" s="262" customFormat="1">
      <c r="E124" s="261"/>
      <c r="K124" s="263"/>
      <c r="L124" s="264"/>
    </row>
    <row r="125" spans="5:12" s="262" customFormat="1">
      <c r="E125" s="261"/>
      <c r="K125" s="263"/>
      <c r="L125" s="264"/>
    </row>
    <row r="126" spans="5:12" s="262" customFormat="1">
      <c r="E126" s="261"/>
      <c r="K126" s="263"/>
      <c r="L126" s="264"/>
    </row>
    <row r="127" spans="5:12" s="262" customFormat="1">
      <c r="E127" s="261"/>
      <c r="K127" s="263"/>
      <c r="L127" s="264"/>
    </row>
    <row r="128" spans="5:12" s="262" customFormat="1">
      <c r="E128" s="261"/>
      <c r="K128" s="263"/>
      <c r="L128" s="264"/>
    </row>
    <row r="129" spans="5:12" s="262" customFormat="1">
      <c r="E129" s="261"/>
      <c r="K129" s="263"/>
      <c r="L129" s="264"/>
    </row>
    <row r="130" spans="5:12" s="262" customFormat="1">
      <c r="E130" s="261"/>
      <c r="K130" s="263"/>
      <c r="L130" s="264"/>
    </row>
    <row r="131" spans="5:12" s="262" customFormat="1">
      <c r="E131" s="261"/>
      <c r="K131" s="263"/>
      <c r="L131" s="264"/>
    </row>
    <row r="132" spans="5:12" s="262" customFormat="1">
      <c r="E132" s="261"/>
      <c r="K132" s="263"/>
      <c r="L132" s="264"/>
    </row>
    <row r="133" spans="5:12" s="262" customFormat="1">
      <c r="E133" s="261"/>
      <c r="K133" s="263"/>
      <c r="L133" s="264"/>
    </row>
    <row r="134" spans="5:12" s="262" customFormat="1">
      <c r="E134" s="261"/>
      <c r="K134" s="263"/>
      <c r="L134" s="264"/>
    </row>
    <row r="135" spans="5:12" s="262" customFormat="1">
      <c r="E135" s="261"/>
      <c r="K135" s="263"/>
      <c r="L135" s="264"/>
    </row>
    <row r="136" spans="5:12" s="262" customFormat="1">
      <c r="E136" s="261"/>
      <c r="K136" s="263"/>
      <c r="L136" s="264"/>
    </row>
    <row r="137" spans="5:12" s="262" customFormat="1">
      <c r="E137" s="261"/>
      <c r="K137" s="263"/>
      <c r="L137" s="264"/>
    </row>
    <row r="138" spans="5:12" s="262" customFormat="1">
      <c r="E138" s="261"/>
      <c r="K138" s="263"/>
      <c r="L138" s="264"/>
    </row>
    <row r="139" spans="5:12" s="262" customFormat="1">
      <c r="E139" s="261"/>
      <c r="K139" s="263"/>
      <c r="L139" s="264"/>
    </row>
    <row r="140" spans="5:12" s="262" customFormat="1">
      <c r="E140" s="261"/>
      <c r="K140" s="263"/>
      <c r="L140" s="264"/>
    </row>
    <row r="141" spans="5:12" s="262" customFormat="1">
      <c r="E141" s="261"/>
      <c r="K141" s="263"/>
      <c r="L141" s="264"/>
    </row>
    <row r="142" spans="5:12" s="262" customFormat="1">
      <c r="E142" s="261"/>
      <c r="K142" s="263"/>
      <c r="L142" s="264"/>
    </row>
    <row r="143" spans="5:12" s="262" customFormat="1">
      <c r="E143" s="261"/>
      <c r="K143" s="263"/>
      <c r="L143" s="264"/>
    </row>
    <row r="144" spans="5:12" s="262" customFormat="1">
      <c r="E144" s="261"/>
      <c r="K144" s="263"/>
      <c r="L144" s="264"/>
    </row>
    <row r="145" spans="5:12" s="262" customFormat="1">
      <c r="E145" s="261"/>
      <c r="K145" s="263"/>
      <c r="L145" s="264"/>
    </row>
    <row r="146" spans="5:12" s="262" customFormat="1">
      <c r="E146" s="261"/>
      <c r="K146" s="263"/>
      <c r="L146" s="264"/>
    </row>
    <row r="147" spans="5:12" s="262" customFormat="1">
      <c r="E147" s="261"/>
      <c r="K147" s="263"/>
      <c r="L147" s="264"/>
    </row>
    <row r="148" spans="5:12" s="262" customFormat="1">
      <c r="E148" s="261"/>
      <c r="K148" s="263"/>
      <c r="L148" s="264"/>
    </row>
    <row r="149" spans="5:12" s="262" customFormat="1">
      <c r="E149" s="261"/>
      <c r="K149" s="263"/>
      <c r="L149" s="264"/>
    </row>
    <row r="150" spans="5:12" s="262" customFormat="1">
      <c r="E150" s="261"/>
      <c r="K150" s="263"/>
      <c r="L150" s="264"/>
    </row>
    <row r="151" spans="5:12" s="262" customFormat="1">
      <c r="E151" s="261"/>
      <c r="K151" s="263"/>
      <c r="L151" s="264"/>
    </row>
    <row r="152" spans="5:12" s="262" customFormat="1">
      <c r="E152" s="261"/>
      <c r="K152" s="263"/>
      <c r="L152" s="264"/>
    </row>
    <row r="153" spans="5:12" s="262" customFormat="1">
      <c r="E153" s="261"/>
      <c r="K153" s="263"/>
      <c r="L153" s="264"/>
    </row>
    <row r="154" spans="5:12" s="262" customFormat="1">
      <c r="E154" s="261"/>
      <c r="K154" s="263"/>
      <c r="L154" s="264"/>
    </row>
    <row r="155" spans="5:12" s="262" customFormat="1">
      <c r="E155" s="261"/>
      <c r="K155" s="263"/>
      <c r="L155" s="264"/>
    </row>
  </sheetData>
  <mergeCells count="14">
    <mergeCell ref="E50:G50"/>
    <mergeCell ref="P3:Q3"/>
    <mergeCell ref="F9:J9"/>
    <mergeCell ref="F17:J17"/>
    <mergeCell ref="F30:J30"/>
    <mergeCell ref="F31:J31"/>
    <mergeCell ref="E49:G49"/>
    <mergeCell ref="B1:L1"/>
    <mergeCell ref="A3:A4"/>
    <mergeCell ref="B3:B4"/>
    <mergeCell ref="C3:D3"/>
    <mergeCell ref="E3:E4"/>
    <mergeCell ref="F3:J3"/>
    <mergeCell ref="K3:L3"/>
  </mergeCells>
  <pageMargins left="0.83" right="0.75" top="1" bottom="1" header="0.5" footer="0.5"/>
  <pageSetup scale="5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IU650"/>
  <sheetViews>
    <sheetView showGridLines="0" topLeftCell="A25" workbookViewId="0">
      <selection activeCell="G47" sqref="G47"/>
    </sheetView>
  </sheetViews>
  <sheetFormatPr defaultColWidth="11.140625" defaultRowHeight="12" customHeight="1" zeroHeight="1"/>
  <cols>
    <col min="1" max="1" width="8.5703125" style="1" customWidth="1"/>
    <col min="2" max="2" width="50.28515625" style="1" customWidth="1"/>
    <col min="3" max="3" width="9.85546875" style="1" customWidth="1"/>
    <col min="4" max="4" width="10.7109375" style="1" customWidth="1"/>
    <col min="5" max="5" width="9" style="1" customWidth="1"/>
    <col min="6" max="6" width="12.7109375" style="1" customWidth="1"/>
    <col min="7" max="7" width="11.140625" style="1" customWidth="1"/>
    <col min="8" max="8" width="13" style="1" customWidth="1"/>
    <col min="9" max="10" width="11.140625" style="1" customWidth="1"/>
    <col min="11" max="11" width="10.42578125" style="1" customWidth="1"/>
    <col min="12" max="12" width="8" style="1" hidden="1" customWidth="1"/>
    <col min="13" max="13" width="10.85546875" style="1" hidden="1" customWidth="1"/>
    <col min="14" max="14" width="0.5703125" style="1" hidden="1" customWidth="1"/>
    <col min="15" max="15" width="11.140625" style="1"/>
    <col min="16" max="253" width="0" style="1" hidden="1" customWidth="1"/>
    <col min="254" max="256" width="11.140625" style="1"/>
    <col min="257" max="257" width="8.5703125" style="1" customWidth="1"/>
    <col min="258" max="258" width="50.28515625" style="1" customWidth="1"/>
    <col min="259" max="259" width="9.85546875" style="1" customWidth="1"/>
    <col min="260" max="260" width="10.7109375" style="1" customWidth="1"/>
    <col min="261" max="261" width="9" style="1" customWidth="1"/>
    <col min="262" max="262" width="12.7109375" style="1" customWidth="1"/>
    <col min="263" max="263" width="11.140625" style="1" customWidth="1"/>
    <col min="264" max="264" width="13" style="1" customWidth="1"/>
    <col min="265" max="266" width="11.140625" style="1" customWidth="1"/>
    <col min="267" max="267" width="10.42578125" style="1" customWidth="1"/>
    <col min="268" max="270" width="0" style="1" hidden="1" customWidth="1"/>
    <col min="271" max="271" width="11.140625" style="1"/>
    <col min="272" max="509" width="0" style="1" hidden="1" customWidth="1"/>
    <col min="510" max="512" width="11.140625" style="1"/>
    <col min="513" max="513" width="8.5703125" style="1" customWidth="1"/>
    <col min="514" max="514" width="50.28515625" style="1" customWidth="1"/>
    <col min="515" max="515" width="9.85546875" style="1" customWidth="1"/>
    <col min="516" max="516" width="10.7109375" style="1" customWidth="1"/>
    <col min="517" max="517" width="9" style="1" customWidth="1"/>
    <col min="518" max="518" width="12.7109375" style="1" customWidth="1"/>
    <col min="519" max="519" width="11.140625" style="1" customWidth="1"/>
    <col min="520" max="520" width="13" style="1" customWidth="1"/>
    <col min="521" max="522" width="11.140625" style="1" customWidth="1"/>
    <col min="523" max="523" width="10.42578125" style="1" customWidth="1"/>
    <col min="524" max="526" width="0" style="1" hidden="1" customWidth="1"/>
    <col min="527" max="527" width="11.140625" style="1"/>
    <col min="528" max="765" width="0" style="1" hidden="1" customWidth="1"/>
    <col min="766" max="768" width="11.140625" style="1"/>
    <col min="769" max="769" width="8.5703125" style="1" customWidth="1"/>
    <col min="770" max="770" width="50.28515625" style="1" customWidth="1"/>
    <col min="771" max="771" width="9.85546875" style="1" customWidth="1"/>
    <col min="772" max="772" width="10.7109375" style="1" customWidth="1"/>
    <col min="773" max="773" width="9" style="1" customWidth="1"/>
    <col min="774" max="774" width="12.7109375" style="1" customWidth="1"/>
    <col min="775" max="775" width="11.140625" style="1" customWidth="1"/>
    <col min="776" max="776" width="13" style="1" customWidth="1"/>
    <col min="777" max="778" width="11.140625" style="1" customWidth="1"/>
    <col min="779" max="779" width="10.42578125" style="1" customWidth="1"/>
    <col min="780" max="782" width="0" style="1" hidden="1" customWidth="1"/>
    <col min="783" max="783" width="11.140625" style="1"/>
    <col min="784" max="1021" width="0" style="1" hidden="1" customWidth="1"/>
    <col min="1022" max="1024" width="11.140625" style="1"/>
    <col min="1025" max="1025" width="8.5703125" style="1" customWidth="1"/>
    <col min="1026" max="1026" width="50.28515625" style="1" customWidth="1"/>
    <col min="1027" max="1027" width="9.85546875" style="1" customWidth="1"/>
    <col min="1028" max="1028" width="10.7109375" style="1" customWidth="1"/>
    <col min="1029" max="1029" width="9" style="1" customWidth="1"/>
    <col min="1030" max="1030" width="12.7109375" style="1" customWidth="1"/>
    <col min="1031" max="1031" width="11.140625" style="1" customWidth="1"/>
    <col min="1032" max="1032" width="13" style="1" customWidth="1"/>
    <col min="1033" max="1034" width="11.140625" style="1" customWidth="1"/>
    <col min="1035" max="1035" width="10.42578125" style="1" customWidth="1"/>
    <col min="1036" max="1038" width="0" style="1" hidden="1" customWidth="1"/>
    <col min="1039" max="1039" width="11.140625" style="1"/>
    <col min="1040" max="1277" width="0" style="1" hidden="1" customWidth="1"/>
    <col min="1278" max="1280" width="11.140625" style="1"/>
    <col min="1281" max="1281" width="8.5703125" style="1" customWidth="1"/>
    <col min="1282" max="1282" width="50.28515625" style="1" customWidth="1"/>
    <col min="1283" max="1283" width="9.85546875" style="1" customWidth="1"/>
    <col min="1284" max="1284" width="10.7109375" style="1" customWidth="1"/>
    <col min="1285" max="1285" width="9" style="1" customWidth="1"/>
    <col min="1286" max="1286" width="12.7109375" style="1" customWidth="1"/>
    <col min="1287" max="1287" width="11.140625" style="1" customWidth="1"/>
    <col min="1288" max="1288" width="13" style="1" customWidth="1"/>
    <col min="1289" max="1290" width="11.140625" style="1" customWidth="1"/>
    <col min="1291" max="1291" width="10.42578125" style="1" customWidth="1"/>
    <col min="1292" max="1294" width="0" style="1" hidden="1" customWidth="1"/>
    <col min="1295" max="1295" width="11.140625" style="1"/>
    <col min="1296" max="1533" width="0" style="1" hidden="1" customWidth="1"/>
    <col min="1534" max="1536" width="11.140625" style="1"/>
    <col min="1537" max="1537" width="8.5703125" style="1" customWidth="1"/>
    <col min="1538" max="1538" width="50.28515625" style="1" customWidth="1"/>
    <col min="1539" max="1539" width="9.85546875" style="1" customWidth="1"/>
    <col min="1540" max="1540" width="10.7109375" style="1" customWidth="1"/>
    <col min="1541" max="1541" width="9" style="1" customWidth="1"/>
    <col min="1542" max="1542" width="12.7109375" style="1" customWidth="1"/>
    <col min="1543" max="1543" width="11.140625" style="1" customWidth="1"/>
    <col min="1544" max="1544" width="13" style="1" customWidth="1"/>
    <col min="1545" max="1546" width="11.140625" style="1" customWidth="1"/>
    <col min="1547" max="1547" width="10.42578125" style="1" customWidth="1"/>
    <col min="1548" max="1550" width="0" style="1" hidden="1" customWidth="1"/>
    <col min="1551" max="1551" width="11.140625" style="1"/>
    <col min="1552" max="1789" width="0" style="1" hidden="1" customWidth="1"/>
    <col min="1790" max="1792" width="11.140625" style="1"/>
    <col min="1793" max="1793" width="8.5703125" style="1" customWidth="1"/>
    <col min="1794" max="1794" width="50.28515625" style="1" customWidth="1"/>
    <col min="1795" max="1795" width="9.85546875" style="1" customWidth="1"/>
    <col min="1796" max="1796" width="10.7109375" style="1" customWidth="1"/>
    <col min="1797" max="1797" width="9" style="1" customWidth="1"/>
    <col min="1798" max="1798" width="12.7109375" style="1" customWidth="1"/>
    <col min="1799" max="1799" width="11.140625" style="1" customWidth="1"/>
    <col min="1800" max="1800" width="13" style="1" customWidth="1"/>
    <col min="1801" max="1802" width="11.140625" style="1" customWidth="1"/>
    <col min="1803" max="1803" width="10.42578125" style="1" customWidth="1"/>
    <col min="1804" max="1806" width="0" style="1" hidden="1" customWidth="1"/>
    <col min="1807" max="1807" width="11.140625" style="1"/>
    <col min="1808" max="2045" width="0" style="1" hidden="1" customWidth="1"/>
    <col min="2046" max="2048" width="11.140625" style="1"/>
    <col min="2049" max="2049" width="8.5703125" style="1" customWidth="1"/>
    <col min="2050" max="2050" width="50.28515625" style="1" customWidth="1"/>
    <col min="2051" max="2051" width="9.85546875" style="1" customWidth="1"/>
    <col min="2052" max="2052" width="10.7109375" style="1" customWidth="1"/>
    <col min="2053" max="2053" width="9" style="1" customWidth="1"/>
    <col min="2054" max="2054" width="12.7109375" style="1" customWidth="1"/>
    <col min="2055" max="2055" width="11.140625" style="1" customWidth="1"/>
    <col min="2056" max="2056" width="13" style="1" customWidth="1"/>
    <col min="2057" max="2058" width="11.140625" style="1" customWidth="1"/>
    <col min="2059" max="2059" width="10.42578125" style="1" customWidth="1"/>
    <col min="2060" max="2062" width="0" style="1" hidden="1" customWidth="1"/>
    <col min="2063" max="2063" width="11.140625" style="1"/>
    <col min="2064" max="2301" width="0" style="1" hidden="1" customWidth="1"/>
    <col min="2302" max="2304" width="11.140625" style="1"/>
    <col min="2305" max="2305" width="8.5703125" style="1" customWidth="1"/>
    <col min="2306" max="2306" width="50.28515625" style="1" customWidth="1"/>
    <col min="2307" max="2307" width="9.85546875" style="1" customWidth="1"/>
    <col min="2308" max="2308" width="10.7109375" style="1" customWidth="1"/>
    <col min="2309" max="2309" width="9" style="1" customWidth="1"/>
    <col min="2310" max="2310" width="12.7109375" style="1" customWidth="1"/>
    <col min="2311" max="2311" width="11.140625" style="1" customWidth="1"/>
    <col min="2312" max="2312" width="13" style="1" customWidth="1"/>
    <col min="2313" max="2314" width="11.140625" style="1" customWidth="1"/>
    <col min="2315" max="2315" width="10.42578125" style="1" customWidth="1"/>
    <col min="2316" max="2318" width="0" style="1" hidden="1" customWidth="1"/>
    <col min="2319" max="2319" width="11.140625" style="1"/>
    <col min="2320" max="2557" width="0" style="1" hidden="1" customWidth="1"/>
    <col min="2558" max="2560" width="11.140625" style="1"/>
    <col min="2561" max="2561" width="8.5703125" style="1" customWidth="1"/>
    <col min="2562" max="2562" width="50.28515625" style="1" customWidth="1"/>
    <col min="2563" max="2563" width="9.85546875" style="1" customWidth="1"/>
    <col min="2564" max="2564" width="10.7109375" style="1" customWidth="1"/>
    <col min="2565" max="2565" width="9" style="1" customWidth="1"/>
    <col min="2566" max="2566" width="12.7109375" style="1" customWidth="1"/>
    <col min="2567" max="2567" width="11.140625" style="1" customWidth="1"/>
    <col min="2568" max="2568" width="13" style="1" customWidth="1"/>
    <col min="2569" max="2570" width="11.140625" style="1" customWidth="1"/>
    <col min="2571" max="2571" width="10.42578125" style="1" customWidth="1"/>
    <col min="2572" max="2574" width="0" style="1" hidden="1" customWidth="1"/>
    <col min="2575" max="2575" width="11.140625" style="1"/>
    <col min="2576" max="2813" width="0" style="1" hidden="1" customWidth="1"/>
    <col min="2814" max="2816" width="11.140625" style="1"/>
    <col min="2817" max="2817" width="8.5703125" style="1" customWidth="1"/>
    <col min="2818" max="2818" width="50.28515625" style="1" customWidth="1"/>
    <col min="2819" max="2819" width="9.85546875" style="1" customWidth="1"/>
    <col min="2820" max="2820" width="10.7109375" style="1" customWidth="1"/>
    <col min="2821" max="2821" width="9" style="1" customWidth="1"/>
    <col min="2822" max="2822" width="12.7109375" style="1" customWidth="1"/>
    <col min="2823" max="2823" width="11.140625" style="1" customWidth="1"/>
    <col min="2824" max="2824" width="13" style="1" customWidth="1"/>
    <col min="2825" max="2826" width="11.140625" style="1" customWidth="1"/>
    <col min="2827" max="2827" width="10.42578125" style="1" customWidth="1"/>
    <col min="2828" max="2830" width="0" style="1" hidden="1" customWidth="1"/>
    <col min="2831" max="2831" width="11.140625" style="1"/>
    <col min="2832" max="3069" width="0" style="1" hidden="1" customWidth="1"/>
    <col min="3070" max="3072" width="11.140625" style="1"/>
    <col min="3073" max="3073" width="8.5703125" style="1" customWidth="1"/>
    <col min="3074" max="3074" width="50.28515625" style="1" customWidth="1"/>
    <col min="3075" max="3075" width="9.85546875" style="1" customWidth="1"/>
    <col min="3076" max="3076" width="10.7109375" style="1" customWidth="1"/>
    <col min="3077" max="3077" width="9" style="1" customWidth="1"/>
    <col min="3078" max="3078" width="12.7109375" style="1" customWidth="1"/>
    <col min="3079" max="3079" width="11.140625" style="1" customWidth="1"/>
    <col min="3080" max="3080" width="13" style="1" customWidth="1"/>
    <col min="3081" max="3082" width="11.140625" style="1" customWidth="1"/>
    <col min="3083" max="3083" width="10.42578125" style="1" customWidth="1"/>
    <col min="3084" max="3086" width="0" style="1" hidden="1" customWidth="1"/>
    <col min="3087" max="3087" width="11.140625" style="1"/>
    <col min="3088" max="3325" width="0" style="1" hidden="1" customWidth="1"/>
    <col min="3326" max="3328" width="11.140625" style="1"/>
    <col min="3329" max="3329" width="8.5703125" style="1" customWidth="1"/>
    <col min="3330" max="3330" width="50.28515625" style="1" customWidth="1"/>
    <col min="3331" max="3331" width="9.85546875" style="1" customWidth="1"/>
    <col min="3332" max="3332" width="10.7109375" style="1" customWidth="1"/>
    <col min="3333" max="3333" width="9" style="1" customWidth="1"/>
    <col min="3334" max="3334" width="12.7109375" style="1" customWidth="1"/>
    <col min="3335" max="3335" width="11.140625" style="1" customWidth="1"/>
    <col min="3336" max="3336" width="13" style="1" customWidth="1"/>
    <col min="3337" max="3338" width="11.140625" style="1" customWidth="1"/>
    <col min="3339" max="3339" width="10.42578125" style="1" customWidth="1"/>
    <col min="3340" max="3342" width="0" style="1" hidden="1" customWidth="1"/>
    <col min="3343" max="3343" width="11.140625" style="1"/>
    <col min="3344" max="3581" width="0" style="1" hidden="1" customWidth="1"/>
    <col min="3582" max="3584" width="11.140625" style="1"/>
    <col min="3585" max="3585" width="8.5703125" style="1" customWidth="1"/>
    <col min="3586" max="3586" width="50.28515625" style="1" customWidth="1"/>
    <col min="3587" max="3587" width="9.85546875" style="1" customWidth="1"/>
    <col min="3588" max="3588" width="10.7109375" style="1" customWidth="1"/>
    <col min="3589" max="3589" width="9" style="1" customWidth="1"/>
    <col min="3590" max="3590" width="12.7109375" style="1" customWidth="1"/>
    <col min="3591" max="3591" width="11.140625" style="1" customWidth="1"/>
    <col min="3592" max="3592" width="13" style="1" customWidth="1"/>
    <col min="3593" max="3594" width="11.140625" style="1" customWidth="1"/>
    <col min="3595" max="3595" width="10.42578125" style="1" customWidth="1"/>
    <col min="3596" max="3598" width="0" style="1" hidden="1" customWidth="1"/>
    <col min="3599" max="3599" width="11.140625" style="1"/>
    <col min="3600" max="3837" width="0" style="1" hidden="1" customWidth="1"/>
    <col min="3838" max="3840" width="11.140625" style="1"/>
    <col min="3841" max="3841" width="8.5703125" style="1" customWidth="1"/>
    <col min="3842" max="3842" width="50.28515625" style="1" customWidth="1"/>
    <col min="3843" max="3843" width="9.85546875" style="1" customWidth="1"/>
    <col min="3844" max="3844" width="10.7109375" style="1" customWidth="1"/>
    <col min="3845" max="3845" width="9" style="1" customWidth="1"/>
    <col min="3846" max="3846" width="12.7109375" style="1" customWidth="1"/>
    <col min="3847" max="3847" width="11.140625" style="1" customWidth="1"/>
    <col min="3848" max="3848" width="13" style="1" customWidth="1"/>
    <col min="3849" max="3850" width="11.140625" style="1" customWidth="1"/>
    <col min="3851" max="3851" width="10.42578125" style="1" customWidth="1"/>
    <col min="3852" max="3854" width="0" style="1" hidden="1" customWidth="1"/>
    <col min="3855" max="3855" width="11.140625" style="1"/>
    <col min="3856" max="4093" width="0" style="1" hidden="1" customWidth="1"/>
    <col min="4094" max="4096" width="11.140625" style="1"/>
    <col min="4097" max="4097" width="8.5703125" style="1" customWidth="1"/>
    <col min="4098" max="4098" width="50.28515625" style="1" customWidth="1"/>
    <col min="4099" max="4099" width="9.85546875" style="1" customWidth="1"/>
    <col min="4100" max="4100" width="10.7109375" style="1" customWidth="1"/>
    <col min="4101" max="4101" width="9" style="1" customWidth="1"/>
    <col min="4102" max="4102" width="12.7109375" style="1" customWidth="1"/>
    <col min="4103" max="4103" width="11.140625" style="1" customWidth="1"/>
    <col min="4104" max="4104" width="13" style="1" customWidth="1"/>
    <col min="4105" max="4106" width="11.140625" style="1" customWidth="1"/>
    <col min="4107" max="4107" width="10.42578125" style="1" customWidth="1"/>
    <col min="4108" max="4110" width="0" style="1" hidden="1" customWidth="1"/>
    <col min="4111" max="4111" width="11.140625" style="1"/>
    <col min="4112" max="4349" width="0" style="1" hidden="1" customWidth="1"/>
    <col min="4350" max="4352" width="11.140625" style="1"/>
    <col min="4353" max="4353" width="8.5703125" style="1" customWidth="1"/>
    <col min="4354" max="4354" width="50.28515625" style="1" customWidth="1"/>
    <col min="4355" max="4355" width="9.85546875" style="1" customWidth="1"/>
    <col min="4356" max="4356" width="10.7109375" style="1" customWidth="1"/>
    <col min="4357" max="4357" width="9" style="1" customWidth="1"/>
    <col min="4358" max="4358" width="12.7109375" style="1" customWidth="1"/>
    <col min="4359" max="4359" width="11.140625" style="1" customWidth="1"/>
    <col min="4360" max="4360" width="13" style="1" customWidth="1"/>
    <col min="4361" max="4362" width="11.140625" style="1" customWidth="1"/>
    <col min="4363" max="4363" width="10.42578125" style="1" customWidth="1"/>
    <col min="4364" max="4366" width="0" style="1" hidden="1" customWidth="1"/>
    <col min="4367" max="4367" width="11.140625" style="1"/>
    <col min="4368" max="4605" width="0" style="1" hidden="1" customWidth="1"/>
    <col min="4606" max="4608" width="11.140625" style="1"/>
    <col min="4609" max="4609" width="8.5703125" style="1" customWidth="1"/>
    <col min="4610" max="4610" width="50.28515625" style="1" customWidth="1"/>
    <col min="4611" max="4611" width="9.85546875" style="1" customWidth="1"/>
    <col min="4612" max="4612" width="10.7109375" style="1" customWidth="1"/>
    <col min="4613" max="4613" width="9" style="1" customWidth="1"/>
    <col min="4614" max="4614" width="12.7109375" style="1" customWidth="1"/>
    <col min="4615" max="4615" width="11.140625" style="1" customWidth="1"/>
    <col min="4616" max="4616" width="13" style="1" customWidth="1"/>
    <col min="4617" max="4618" width="11.140625" style="1" customWidth="1"/>
    <col min="4619" max="4619" width="10.42578125" style="1" customWidth="1"/>
    <col min="4620" max="4622" width="0" style="1" hidden="1" customWidth="1"/>
    <col min="4623" max="4623" width="11.140625" style="1"/>
    <col min="4624" max="4861" width="0" style="1" hidden="1" customWidth="1"/>
    <col min="4862" max="4864" width="11.140625" style="1"/>
    <col min="4865" max="4865" width="8.5703125" style="1" customWidth="1"/>
    <col min="4866" max="4866" width="50.28515625" style="1" customWidth="1"/>
    <col min="4867" max="4867" width="9.85546875" style="1" customWidth="1"/>
    <col min="4868" max="4868" width="10.7109375" style="1" customWidth="1"/>
    <col min="4869" max="4869" width="9" style="1" customWidth="1"/>
    <col min="4870" max="4870" width="12.7109375" style="1" customWidth="1"/>
    <col min="4871" max="4871" width="11.140625" style="1" customWidth="1"/>
    <col min="4872" max="4872" width="13" style="1" customWidth="1"/>
    <col min="4873" max="4874" width="11.140625" style="1" customWidth="1"/>
    <col min="4875" max="4875" width="10.42578125" style="1" customWidth="1"/>
    <col min="4876" max="4878" width="0" style="1" hidden="1" customWidth="1"/>
    <col min="4879" max="4879" width="11.140625" style="1"/>
    <col min="4880" max="5117" width="0" style="1" hidden="1" customWidth="1"/>
    <col min="5118" max="5120" width="11.140625" style="1"/>
    <col min="5121" max="5121" width="8.5703125" style="1" customWidth="1"/>
    <col min="5122" max="5122" width="50.28515625" style="1" customWidth="1"/>
    <col min="5123" max="5123" width="9.85546875" style="1" customWidth="1"/>
    <col min="5124" max="5124" width="10.7109375" style="1" customWidth="1"/>
    <col min="5125" max="5125" width="9" style="1" customWidth="1"/>
    <col min="5126" max="5126" width="12.7109375" style="1" customWidth="1"/>
    <col min="5127" max="5127" width="11.140625" style="1" customWidth="1"/>
    <col min="5128" max="5128" width="13" style="1" customWidth="1"/>
    <col min="5129" max="5130" width="11.140625" style="1" customWidth="1"/>
    <col min="5131" max="5131" width="10.42578125" style="1" customWidth="1"/>
    <col min="5132" max="5134" width="0" style="1" hidden="1" customWidth="1"/>
    <col min="5135" max="5135" width="11.140625" style="1"/>
    <col min="5136" max="5373" width="0" style="1" hidden="1" customWidth="1"/>
    <col min="5374" max="5376" width="11.140625" style="1"/>
    <col min="5377" max="5377" width="8.5703125" style="1" customWidth="1"/>
    <col min="5378" max="5378" width="50.28515625" style="1" customWidth="1"/>
    <col min="5379" max="5379" width="9.85546875" style="1" customWidth="1"/>
    <col min="5380" max="5380" width="10.7109375" style="1" customWidth="1"/>
    <col min="5381" max="5381" width="9" style="1" customWidth="1"/>
    <col min="5382" max="5382" width="12.7109375" style="1" customWidth="1"/>
    <col min="5383" max="5383" width="11.140625" style="1" customWidth="1"/>
    <col min="5384" max="5384" width="13" style="1" customWidth="1"/>
    <col min="5385" max="5386" width="11.140625" style="1" customWidth="1"/>
    <col min="5387" max="5387" width="10.42578125" style="1" customWidth="1"/>
    <col min="5388" max="5390" width="0" style="1" hidden="1" customWidth="1"/>
    <col min="5391" max="5391" width="11.140625" style="1"/>
    <col min="5392" max="5629" width="0" style="1" hidden="1" customWidth="1"/>
    <col min="5630" max="5632" width="11.140625" style="1"/>
    <col min="5633" max="5633" width="8.5703125" style="1" customWidth="1"/>
    <col min="5634" max="5634" width="50.28515625" style="1" customWidth="1"/>
    <col min="5635" max="5635" width="9.85546875" style="1" customWidth="1"/>
    <col min="5636" max="5636" width="10.7109375" style="1" customWidth="1"/>
    <col min="5637" max="5637" width="9" style="1" customWidth="1"/>
    <col min="5638" max="5638" width="12.7109375" style="1" customWidth="1"/>
    <col min="5639" max="5639" width="11.140625" style="1" customWidth="1"/>
    <col min="5640" max="5640" width="13" style="1" customWidth="1"/>
    <col min="5641" max="5642" width="11.140625" style="1" customWidth="1"/>
    <col min="5643" max="5643" width="10.42578125" style="1" customWidth="1"/>
    <col min="5644" max="5646" width="0" style="1" hidden="1" customWidth="1"/>
    <col min="5647" max="5647" width="11.140625" style="1"/>
    <col min="5648" max="5885" width="0" style="1" hidden="1" customWidth="1"/>
    <col min="5886" max="5888" width="11.140625" style="1"/>
    <col min="5889" max="5889" width="8.5703125" style="1" customWidth="1"/>
    <col min="5890" max="5890" width="50.28515625" style="1" customWidth="1"/>
    <col min="5891" max="5891" width="9.85546875" style="1" customWidth="1"/>
    <col min="5892" max="5892" width="10.7109375" style="1" customWidth="1"/>
    <col min="5893" max="5893" width="9" style="1" customWidth="1"/>
    <col min="5894" max="5894" width="12.7109375" style="1" customWidth="1"/>
    <col min="5895" max="5895" width="11.140625" style="1" customWidth="1"/>
    <col min="5896" max="5896" width="13" style="1" customWidth="1"/>
    <col min="5897" max="5898" width="11.140625" style="1" customWidth="1"/>
    <col min="5899" max="5899" width="10.42578125" style="1" customWidth="1"/>
    <col min="5900" max="5902" width="0" style="1" hidden="1" customWidth="1"/>
    <col min="5903" max="5903" width="11.140625" style="1"/>
    <col min="5904" max="6141" width="0" style="1" hidden="1" customWidth="1"/>
    <col min="6142" max="6144" width="11.140625" style="1"/>
    <col min="6145" max="6145" width="8.5703125" style="1" customWidth="1"/>
    <col min="6146" max="6146" width="50.28515625" style="1" customWidth="1"/>
    <col min="6147" max="6147" width="9.85546875" style="1" customWidth="1"/>
    <col min="6148" max="6148" width="10.7109375" style="1" customWidth="1"/>
    <col min="6149" max="6149" width="9" style="1" customWidth="1"/>
    <col min="6150" max="6150" width="12.7109375" style="1" customWidth="1"/>
    <col min="6151" max="6151" width="11.140625" style="1" customWidth="1"/>
    <col min="6152" max="6152" width="13" style="1" customWidth="1"/>
    <col min="6153" max="6154" width="11.140625" style="1" customWidth="1"/>
    <col min="6155" max="6155" width="10.42578125" style="1" customWidth="1"/>
    <col min="6156" max="6158" width="0" style="1" hidden="1" customWidth="1"/>
    <col min="6159" max="6159" width="11.140625" style="1"/>
    <col min="6160" max="6397" width="0" style="1" hidden="1" customWidth="1"/>
    <col min="6398" max="6400" width="11.140625" style="1"/>
    <col min="6401" max="6401" width="8.5703125" style="1" customWidth="1"/>
    <col min="6402" max="6402" width="50.28515625" style="1" customWidth="1"/>
    <col min="6403" max="6403" width="9.85546875" style="1" customWidth="1"/>
    <col min="6404" max="6404" width="10.7109375" style="1" customWidth="1"/>
    <col min="6405" max="6405" width="9" style="1" customWidth="1"/>
    <col min="6406" max="6406" width="12.7109375" style="1" customWidth="1"/>
    <col min="6407" max="6407" width="11.140625" style="1" customWidth="1"/>
    <col min="6408" max="6408" width="13" style="1" customWidth="1"/>
    <col min="6409" max="6410" width="11.140625" style="1" customWidth="1"/>
    <col min="6411" max="6411" width="10.42578125" style="1" customWidth="1"/>
    <col min="6412" max="6414" width="0" style="1" hidden="1" customWidth="1"/>
    <col min="6415" max="6415" width="11.140625" style="1"/>
    <col min="6416" max="6653" width="0" style="1" hidden="1" customWidth="1"/>
    <col min="6654" max="6656" width="11.140625" style="1"/>
    <col min="6657" max="6657" width="8.5703125" style="1" customWidth="1"/>
    <col min="6658" max="6658" width="50.28515625" style="1" customWidth="1"/>
    <col min="6659" max="6659" width="9.85546875" style="1" customWidth="1"/>
    <col min="6660" max="6660" width="10.7109375" style="1" customWidth="1"/>
    <col min="6661" max="6661" width="9" style="1" customWidth="1"/>
    <col min="6662" max="6662" width="12.7109375" style="1" customWidth="1"/>
    <col min="6663" max="6663" width="11.140625" style="1" customWidth="1"/>
    <col min="6664" max="6664" width="13" style="1" customWidth="1"/>
    <col min="6665" max="6666" width="11.140625" style="1" customWidth="1"/>
    <col min="6667" max="6667" width="10.42578125" style="1" customWidth="1"/>
    <col min="6668" max="6670" width="0" style="1" hidden="1" customWidth="1"/>
    <col min="6671" max="6671" width="11.140625" style="1"/>
    <col min="6672" max="6909" width="0" style="1" hidden="1" customWidth="1"/>
    <col min="6910" max="6912" width="11.140625" style="1"/>
    <col min="6913" max="6913" width="8.5703125" style="1" customWidth="1"/>
    <col min="6914" max="6914" width="50.28515625" style="1" customWidth="1"/>
    <col min="6915" max="6915" width="9.85546875" style="1" customWidth="1"/>
    <col min="6916" max="6916" width="10.7109375" style="1" customWidth="1"/>
    <col min="6917" max="6917" width="9" style="1" customWidth="1"/>
    <col min="6918" max="6918" width="12.7109375" style="1" customWidth="1"/>
    <col min="6919" max="6919" width="11.140625" style="1" customWidth="1"/>
    <col min="6920" max="6920" width="13" style="1" customWidth="1"/>
    <col min="6921" max="6922" width="11.140625" style="1" customWidth="1"/>
    <col min="6923" max="6923" width="10.42578125" style="1" customWidth="1"/>
    <col min="6924" max="6926" width="0" style="1" hidden="1" customWidth="1"/>
    <col min="6927" max="6927" width="11.140625" style="1"/>
    <col min="6928" max="7165" width="0" style="1" hidden="1" customWidth="1"/>
    <col min="7166" max="7168" width="11.140625" style="1"/>
    <col min="7169" max="7169" width="8.5703125" style="1" customWidth="1"/>
    <col min="7170" max="7170" width="50.28515625" style="1" customWidth="1"/>
    <col min="7171" max="7171" width="9.85546875" style="1" customWidth="1"/>
    <col min="7172" max="7172" width="10.7109375" style="1" customWidth="1"/>
    <col min="7173" max="7173" width="9" style="1" customWidth="1"/>
    <col min="7174" max="7174" width="12.7109375" style="1" customWidth="1"/>
    <col min="7175" max="7175" width="11.140625" style="1" customWidth="1"/>
    <col min="7176" max="7176" width="13" style="1" customWidth="1"/>
    <col min="7177" max="7178" width="11.140625" style="1" customWidth="1"/>
    <col min="7179" max="7179" width="10.42578125" style="1" customWidth="1"/>
    <col min="7180" max="7182" width="0" style="1" hidden="1" customWidth="1"/>
    <col min="7183" max="7183" width="11.140625" style="1"/>
    <col min="7184" max="7421" width="0" style="1" hidden="1" customWidth="1"/>
    <col min="7422" max="7424" width="11.140625" style="1"/>
    <col min="7425" max="7425" width="8.5703125" style="1" customWidth="1"/>
    <col min="7426" max="7426" width="50.28515625" style="1" customWidth="1"/>
    <col min="7427" max="7427" width="9.85546875" style="1" customWidth="1"/>
    <col min="7428" max="7428" width="10.7109375" style="1" customWidth="1"/>
    <col min="7429" max="7429" width="9" style="1" customWidth="1"/>
    <col min="7430" max="7430" width="12.7109375" style="1" customWidth="1"/>
    <col min="7431" max="7431" width="11.140625" style="1" customWidth="1"/>
    <col min="7432" max="7432" width="13" style="1" customWidth="1"/>
    <col min="7433" max="7434" width="11.140625" style="1" customWidth="1"/>
    <col min="7435" max="7435" width="10.42578125" style="1" customWidth="1"/>
    <col min="7436" max="7438" width="0" style="1" hidden="1" customWidth="1"/>
    <col min="7439" max="7439" width="11.140625" style="1"/>
    <col min="7440" max="7677" width="0" style="1" hidden="1" customWidth="1"/>
    <col min="7678" max="7680" width="11.140625" style="1"/>
    <col min="7681" max="7681" width="8.5703125" style="1" customWidth="1"/>
    <col min="7682" max="7682" width="50.28515625" style="1" customWidth="1"/>
    <col min="7683" max="7683" width="9.85546875" style="1" customWidth="1"/>
    <col min="7684" max="7684" width="10.7109375" style="1" customWidth="1"/>
    <col min="7685" max="7685" width="9" style="1" customWidth="1"/>
    <col min="7686" max="7686" width="12.7109375" style="1" customWidth="1"/>
    <col min="7687" max="7687" width="11.140625" style="1" customWidth="1"/>
    <col min="7688" max="7688" width="13" style="1" customWidth="1"/>
    <col min="7689" max="7690" width="11.140625" style="1" customWidth="1"/>
    <col min="7691" max="7691" width="10.42578125" style="1" customWidth="1"/>
    <col min="7692" max="7694" width="0" style="1" hidden="1" customWidth="1"/>
    <col min="7695" max="7695" width="11.140625" style="1"/>
    <col min="7696" max="7933" width="0" style="1" hidden="1" customWidth="1"/>
    <col min="7934" max="7936" width="11.140625" style="1"/>
    <col min="7937" max="7937" width="8.5703125" style="1" customWidth="1"/>
    <col min="7938" max="7938" width="50.28515625" style="1" customWidth="1"/>
    <col min="7939" max="7939" width="9.85546875" style="1" customWidth="1"/>
    <col min="7940" max="7940" width="10.7109375" style="1" customWidth="1"/>
    <col min="7941" max="7941" width="9" style="1" customWidth="1"/>
    <col min="7942" max="7942" width="12.7109375" style="1" customWidth="1"/>
    <col min="7943" max="7943" width="11.140625" style="1" customWidth="1"/>
    <col min="7944" max="7944" width="13" style="1" customWidth="1"/>
    <col min="7945" max="7946" width="11.140625" style="1" customWidth="1"/>
    <col min="7947" max="7947" width="10.42578125" style="1" customWidth="1"/>
    <col min="7948" max="7950" width="0" style="1" hidden="1" customWidth="1"/>
    <col min="7951" max="7951" width="11.140625" style="1"/>
    <col min="7952" max="8189" width="0" style="1" hidden="1" customWidth="1"/>
    <col min="8190" max="8192" width="11.140625" style="1"/>
    <col min="8193" max="8193" width="8.5703125" style="1" customWidth="1"/>
    <col min="8194" max="8194" width="50.28515625" style="1" customWidth="1"/>
    <col min="8195" max="8195" width="9.85546875" style="1" customWidth="1"/>
    <col min="8196" max="8196" width="10.7109375" style="1" customWidth="1"/>
    <col min="8197" max="8197" width="9" style="1" customWidth="1"/>
    <col min="8198" max="8198" width="12.7109375" style="1" customWidth="1"/>
    <col min="8199" max="8199" width="11.140625" style="1" customWidth="1"/>
    <col min="8200" max="8200" width="13" style="1" customWidth="1"/>
    <col min="8201" max="8202" width="11.140625" style="1" customWidth="1"/>
    <col min="8203" max="8203" width="10.42578125" style="1" customWidth="1"/>
    <col min="8204" max="8206" width="0" style="1" hidden="1" customWidth="1"/>
    <col min="8207" max="8207" width="11.140625" style="1"/>
    <col min="8208" max="8445" width="0" style="1" hidden="1" customWidth="1"/>
    <col min="8446" max="8448" width="11.140625" style="1"/>
    <col min="8449" max="8449" width="8.5703125" style="1" customWidth="1"/>
    <col min="8450" max="8450" width="50.28515625" style="1" customWidth="1"/>
    <col min="8451" max="8451" width="9.85546875" style="1" customWidth="1"/>
    <col min="8452" max="8452" width="10.7109375" style="1" customWidth="1"/>
    <col min="8453" max="8453" width="9" style="1" customWidth="1"/>
    <col min="8454" max="8454" width="12.7109375" style="1" customWidth="1"/>
    <col min="8455" max="8455" width="11.140625" style="1" customWidth="1"/>
    <col min="8456" max="8456" width="13" style="1" customWidth="1"/>
    <col min="8457" max="8458" width="11.140625" style="1" customWidth="1"/>
    <col min="8459" max="8459" width="10.42578125" style="1" customWidth="1"/>
    <col min="8460" max="8462" width="0" style="1" hidden="1" customWidth="1"/>
    <col min="8463" max="8463" width="11.140625" style="1"/>
    <col min="8464" max="8701" width="0" style="1" hidden="1" customWidth="1"/>
    <col min="8702" max="8704" width="11.140625" style="1"/>
    <col min="8705" max="8705" width="8.5703125" style="1" customWidth="1"/>
    <col min="8706" max="8706" width="50.28515625" style="1" customWidth="1"/>
    <col min="8707" max="8707" width="9.85546875" style="1" customWidth="1"/>
    <col min="8708" max="8708" width="10.7109375" style="1" customWidth="1"/>
    <col min="8709" max="8709" width="9" style="1" customWidth="1"/>
    <col min="8710" max="8710" width="12.7109375" style="1" customWidth="1"/>
    <col min="8711" max="8711" width="11.140625" style="1" customWidth="1"/>
    <col min="8712" max="8712" width="13" style="1" customWidth="1"/>
    <col min="8713" max="8714" width="11.140625" style="1" customWidth="1"/>
    <col min="8715" max="8715" width="10.42578125" style="1" customWidth="1"/>
    <col min="8716" max="8718" width="0" style="1" hidden="1" customWidth="1"/>
    <col min="8719" max="8719" width="11.140625" style="1"/>
    <col min="8720" max="8957" width="0" style="1" hidden="1" customWidth="1"/>
    <col min="8958" max="8960" width="11.140625" style="1"/>
    <col min="8961" max="8961" width="8.5703125" style="1" customWidth="1"/>
    <col min="8962" max="8962" width="50.28515625" style="1" customWidth="1"/>
    <col min="8963" max="8963" width="9.85546875" style="1" customWidth="1"/>
    <col min="8964" max="8964" width="10.7109375" style="1" customWidth="1"/>
    <col min="8965" max="8965" width="9" style="1" customWidth="1"/>
    <col min="8966" max="8966" width="12.7109375" style="1" customWidth="1"/>
    <col min="8967" max="8967" width="11.140625" style="1" customWidth="1"/>
    <col min="8968" max="8968" width="13" style="1" customWidth="1"/>
    <col min="8969" max="8970" width="11.140625" style="1" customWidth="1"/>
    <col min="8971" max="8971" width="10.42578125" style="1" customWidth="1"/>
    <col min="8972" max="8974" width="0" style="1" hidden="1" customWidth="1"/>
    <col min="8975" max="8975" width="11.140625" style="1"/>
    <col min="8976" max="9213" width="0" style="1" hidden="1" customWidth="1"/>
    <col min="9214" max="9216" width="11.140625" style="1"/>
    <col min="9217" max="9217" width="8.5703125" style="1" customWidth="1"/>
    <col min="9218" max="9218" width="50.28515625" style="1" customWidth="1"/>
    <col min="9219" max="9219" width="9.85546875" style="1" customWidth="1"/>
    <col min="9220" max="9220" width="10.7109375" style="1" customWidth="1"/>
    <col min="9221" max="9221" width="9" style="1" customWidth="1"/>
    <col min="9222" max="9222" width="12.7109375" style="1" customWidth="1"/>
    <col min="9223" max="9223" width="11.140625" style="1" customWidth="1"/>
    <col min="9224" max="9224" width="13" style="1" customWidth="1"/>
    <col min="9225" max="9226" width="11.140625" style="1" customWidth="1"/>
    <col min="9227" max="9227" width="10.42578125" style="1" customWidth="1"/>
    <col min="9228" max="9230" width="0" style="1" hidden="1" customWidth="1"/>
    <col min="9231" max="9231" width="11.140625" style="1"/>
    <col min="9232" max="9469" width="0" style="1" hidden="1" customWidth="1"/>
    <col min="9470" max="9472" width="11.140625" style="1"/>
    <col min="9473" max="9473" width="8.5703125" style="1" customWidth="1"/>
    <col min="9474" max="9474" width="50.28515625" style="1" customWidth="1"/>
    <col min="9475" max="9475" width="9.85546875" style="1" customWidth="1"/>
    <col min="9476" max="9476" width="10.7109375" style="1" customWidth="1"/>
    <col min="9477" max="9477" width="9" style="1" customWidth="1"/>
    <col min="9478" max="9478" width="12.7109375" style="1" customWidth="1"/>
    <col min="9479" max="9479" width="11.140625" style="1" customWidth="1"/>
    <col min="9480" max="9480" width="13" style="1" customWidth="1"/>
    <col min="9481" max="9482" width="11.140625" style="1" customWidth="1"/>
    <col min="9483" max="9483" width="10.42578125" style="1" customWidth="1"/>
    <col min="9484" max="9486" width="0" style="1" hidden="1" customWidth="1"/>
    <col min="9487" max="9487" width="11.140625" style="1"/>
    <col min="9488" max="9725" width="0" style="1" hidden="1" customWidth="1"/>
    <col min="9726" max="9728" width="11.140625" style="1"/>
    <col min="9729" max="9729" width="8.5703125" style="1" customWidth="1"/>
    <col min="9730" max="9730" width="50.28515625" style="1" customWidth="1"/>
    <col min="9731" max="9731" width="9.85546875" style="1" customWidth="1"/>
    <col min="9732" max="9732" width="10.7109375" style="1" customWidth="1"/>
    <col min="9733" max="9733" width="9" style="1" customWidth="1"/>
    <col min="9734" max="9734" width="12.7109375" style="1" customWidth="1"/>
    <col min="9735" max="9735" width="11.140625" style="1" customWidth="1"/>
    <col min="9736" max="9736" width="13" style="1" customWidth="1"/>
    <col min="9737" max="9738" width="11.140625" style="1" customWidth="1"/>
    <col min="9739" max="9739" width="10.42578125" style="1" customWidth="1"/>
    <col min="9740" max="9742" width="0" style="1" hidden="1" customWidth="1"/>
    <col min="9743" max="9743" width="11.140625" style="1"/>
    <col min="9744" max="9981" width="0" style="1" hidden="1" customWidth="1"/>
    <col min="9982" max="9984" width="11.140625" style="1"/>
    <col min="9985" max="9985" width="8.5703125" style="1" customWidth="1"/>
    <col min="9986" max="9986" width="50.28515625" style="1" customWidth="1"/>
    <col min="9987" max="9987" width="9.85546875" style="1" customWidth="1"/>
    <col min="9988" max="9988" width="10.7109375" style="1" customWidth="1"/>
    <col min="9989" max="9989" width="9" style="1" customWidth="1"/>
    <col min="9990" max="9990" width="12.7109375" style="1" customWidth="1"/>
    <col min="9991" max="9991" width="11.140625" style="1" customWidth="1"/>
    <col min="9992" max="9992" width="13" style="1" customWidth="1"/>
    <col min="9993" max="9994" width="11.140625" style="1" customWidth="1"/>
    <col min="9995" max="9995" width="10.42578125" style="1" customWidth="1"/>
    <col min="9996" max="9998" width="0" style="1" hidden="1" customWidth="1"/>
    <col min="9999" max="9999" width="11.140625" style="1"/>
    <col min="10000" max="10237" width="0" style="1" hidden="1" customWidth="1"/>
    <col min="10238" max="10240" width="11.140625" style="1"/>
    <col min="10241" max="10241" width="8.5703125" style="1" customWidth="1"/>
    <col min="10242" max="10242" width="50.28515625" style="1" customWidth="1"/>
    <col min="10243" max="10243" width="9.85546875" style="1" customWidth="1"/>
    <col min="10244" max="10244" width="10.7109375" style="1" customWidth="1"/>
    <col min="10245" max="10245" width="9" style="1" customWidth="1"/>
    <col min="10246" max="10246" width="12.7109375" style="1" customWidth="1"/>
    <col min="10247" max="10247" width="11.140625" style="1" customWidth="1"/>
    <col min="10248" max="10248" width="13" style="1" customWidth="1"/>
    <col min="10249" max="10250" width="11.140625" style="1" customWidth="1"/>
    <col min="10251" max="10251" width="10.42578125" style="1" customWidth="1"/>
    <col min="10252" max="10254" width="0" style="1" hidden="1" customWidth="1"/>
    <col min="10255" max="10255" width="11.140625" style="1"/>
    <col min="10256" max="10493" width="0" style="1" hidden="1" customWidth="1"/>
    <col min="10494" max="10496" width="11.140625" style="1"/>
    <col min="10497" max="10497" width="8.5703125" style="1" customWidth="1"/>
    <col min="10498" max="10498" width="50.28515625" style="1" customWidth="1"/>
    <col min="10499" max="10499" width="9.85546875" style="1" customWidth="1"/>
    <col min="10500" max="10500" width="10.7109375" style="1" customWidth="1"/>
    <col min="10501" max="10501" width="9" style="1" customWidth="1"/>
    <col min="10502" max="10502" width="12.7109375" style="1" customWidth="1"/>
    <col min="10503" max="10503" width="11.140625" style="1" customWidth="1"/>
    <col min="10504" max="10504" width="13" style="1" customWidth="1"/>
    <col min="10505" max="10506" width="11.140625" style="1" customWidth="1"/>
    <col min="10507" max="10507" width="10.42578125" style="1" customWidth="1"/>
    <col min="10508" max="10510" width="0" style="1" hidden="1" customWidth="1"/>
    <col min="10511" max="10511" width="11.140625" style="1"/>
    <col min="10512" max="10749" width="0" style="1" hidden="1" customWidth="1"/>
    <col min="10750" max="10752" width="11.140625" style="1"/>
    <col min="10753" max="10753" width="8.5703125" style="1" customWidth="1"/>
    <col min="10754" max="10754" width="50.28515625" style="1" customWidth="1"/>
    <col min="10755" max="10755" width="9.85546875" style="1" customWidth="1"/>
    <col min="10756" max="10756" width="10.7109375" style="1" customWidth="1"/>
    <col min="10757" max="10757" width="9" style="1" customWidth="1"/>
    <col min="10758" max="10758" width="12.7109375" style="1" customWidth="1"/>
    <col min="10759" max="10759" width="11.140625" style="1" customWidth="1"/>
    <col min="10760" max="10760" width="13" style="1" customWidth="1"/>
    <col min="10761" max="10762" width="11.140625" style="1" customWidth="1"/>
    <col min="10763" max="10763" width="10.42578125" style="1" customWidth="1"/>
    <col min="10764" max="10766" width="0" style="1" hidden="1" customWidth="1"/>
    <col min="10767" max="10767" width="11.140625" style="1"/>
    <col min="10768" max="11005" width="0" style="1" hidden="1" customWidth="1"/>
    <col min="11006" max="11008" width="11.140625" style="1"/>
    <col min="11009" max="11009" width="8.5703125" style="1" customWidth="1"/>
    <col min="11010" max="11010" width="50.28515625" style="1" customWidth="1"/>
    <col min="11011" max="11011" width="9.85546875" style="1" customWidth="1"/>
    <col min="11012" max="11012" width="10.7109375" style="1" customWidth="1"/>
    <col min="11013" max="11013" width="9" style="1" customWidth="1"/>
    <col min="11014" max="11014" width="12.7109375" style="1" customWidth="1"/>
    <col min="11015" max="11015" width="11.140625" style="1" customWidth="1"/>
    <col min="11016" max="11016" width="13" style="1" customWidth="1"/>
    <col min="11017" max="11018" width="11.140625" style="1" customWidth="1"/>
    <col min="11019" max="11019" width="10.42578125" style="1" customWidth="1"/>
    <col min="11020" max="11022" width="0" style="1" hidden="1" customWidth="1"/>
    <col min="11023" max="11023" width="11.140625" style="1"/>
    <col min="11024" max="11261" width="0" style="1" hidden="1" customWidth="1"/>
    <col min="11262" max="11264" width="11.140625" style="1"/>
    <col min="11265" max="11265" width="8.5703125" style="1" customWidth="1"/>
    <col min="11266" max="11266" width="50.28515625" style="1" customWidth="1"/>
    <col min="11267" max="11267" width="9.85546875" style="1" customWidth="1"/>
    <col min="11268" max="11268" width="10.7109375" style="1" customWidth="1"/>
    <col min="11269" max="11269" width="9" style="1" customWidth="1"/>
    <col min="11270" max="11270" width="12.7109375" style="1" customWidth="1"/>
    <col min="11271" max="11271" width="11.140625" style="1" customWidth="1"/>
    <col min="11272" max="11272" width="13" style="1" customWidth="1"/>
    <col min="11273" max="11274" width="11.140625" style="1" customWidth="1"/>
    <col min="11275" max="11275" width="10.42578125" style="1" customWidth="1"/>
    <col min="11276" max="11278" width="0" style="1" hidden="1" customWidth="1"/>
    <col min="11279" max="11279" width="11.140625" style="1"/>
    <col min="11280" max="11517" width="0" style="1" hidden="1" customWidth="1"/>
    <col min="11518" max="11520" width="11.140625" style="1"/>
    <col min="11521" max="11521" width="8.5703125" style="1" customWidth="1"/>
    <col min="11522" max="11522" width="50.28515625" style="1" customWidth="1"/>
    <col min="11523" max="11523" width="9.85546875" style="1" customWidth="1"/>
    <col min="11524" max="11524" width="10.7109375" style="1" customWidth="1"/>
    <col min="11525" max="11525" width="9" style="1" customWidth="1"/>
    <col min="11526" max="11526" width="12.7109375" style="1" customWidth="1"/>
    <col min="11527" max="11527" width="11.140625" style="1" customWidth="1"/>
    <col min="11528" max="11528" width="13" style="1" customWidth="1"/>
    <col min="11529" max="11530" width="11.140625" style="1" customWidth="1"/>
    <col min="11531" max="11531" width="10.42578125" style="1" customWidth="1"/>
    <col min="11532" max="11534" width="0" style="1" hidden="1" customWidth="1"/>
    <col min="11535" max="11535" width="11.140625" style="1"/>
    <col min="11536" max="11773" width="0" style="1" hidden="1" customWidth="1"/>
    <col min="11774" max="11776" width="11.140625" style="1"/>
    <col min="11777" max="11777" width="8.5703125" style="1" customWidth="1"/>
    <col min="11778" max="11778" width="50.28515625" style="1" customWidth="1"/>
    <col min="11779" max="11779" width="9.85546875" style="1" customWidth="1"/>
    <col min="11780" max="11780" width="10.7109375" style="1" customWidth="1"/>
    <col min="11781" max="11781" width="9" style="1" customWidth="1"/>
    <col min="11782" max="11782" width="12.7109375" style="1" customWidth="1"/>
    <col min="11783" max="11783" width="11.140625" style="1" customWidth="1"/>
    <col min="11784" max="11784" width="13" style="1" customWidth="1"/>
    <col min="11785" max="11786" width="11.140625" style="1" customWidth="1"/>
    <col min="11787" max="11787" width="10.42578125" style="1" customWidth="1"/>
    <col min="11788" max="11790" width="0" style="1" hidden="1" customWidth="1"/>
    <col min="11791" max="11791" width="11.140625" style="1"/>
    <col min="11792" max="12029" width="0" style="1" hidden="1" customWidth="1"/>
    <col min="12030" max="12032" width="11.140625" style="1"/>
    <col min="12033" max="12033" width="8.5703125" style="1" customWidth="1"/>
    <col min="12034" max="12034" width="50.28515625" style="1" customWidth="1"/>
    <col min="12035" max="12035" width="9.85546875" style="1" customWidth="1"/>
    <col min="12036" max="12036" width="10.7109375" style="1" customWidth="1"/>
    <col min="12037" max="12037" width="9" style="1" customWidth="1"/>
    <col min="12038" max="12038" width="12.7109375" style="1" customWidth="1"/>
    <col min="12039" max="12039" width="11.140625" style="1" customWidth="1"/>
    <col min="12040" max="12040" width="13" style="1" customWidth="1"/>
    <col min="12041" max="12042" width="11.140625" style="1" customWidth="1"/>
    <col min="12043" max="12043" width="10.42578125" style="1" customWidth="1"/>
    <col min="12044" max="12046" width="0" style="1" hidden="1" customWidth="1"/>
    <col min="12047" max="12047" width="11.140625" style="1"/>
    <col min="12048" max="12285" width="0" style="1" hidden="1" customWidth="1"/>
    <col min="12286" max="12288" width="11.140625" style="1"/>
    <col min="12289" max="12289" width="8.5703125" style="1" customWidth="1"/>
    <col min="12290" max="12290" width="50.28515625" style="1" customWidth="1"/>
    <col min="12291" max="12291" width="9.85546875" style="1" customWidth="1"/>
    <col min="12292" max="12292" width="10.7109375" style="1" customWidth="1"/>
    <col min="12293" max="12293" width="9" style="1" customWidth="1"/>
    <col min="12294" max="12294" width="12.7109375" style="1" customWidth="1"/>
    <col min="12295" max="12295" width="11.140625" style="1" customWidth="1"/>
    <col min="12296" max="12296" width="13" style="1" customWidth="1"/>
    <col min="12297" max="12298" width="11.140625" style="1" customWidth="1"/>
    <col min="12299" max="12299" width="10.42578125" style="1" customWidth="1"/>
    <col min="12300" max="12302" width="0" style="1" hidden="1" customWidth="1"/>
    <col min="12303" max="12303" width="11.140625" style="1"/>
    <col min="12304" max="12541" width="0" style="1" hidden="1" customWidth="1"/>
    <col min="12542" max="12544" width="11.140625" style="1"/>
    <col min="12545" max="12545" width="8.5703125" style="1" customWidth="1"/>
    <col min="12546" max="12546" width="50.28515625" style="1" customWidth="1"/>
    <col min="12547" max="12547" width="9.85546875" style="1" customWidth="1"/>
    <col min="12548" max="12548" width="10.7109375" style="1" customWidth="1"/>
    <col min="12549" max="12549" width="9" style="1" customWidth="1"/>
    <col min="12550" max="12550" width="12.7109375" style="1" customWidth="1"/>
    <col min="12551" max="12551" width="11.140625" style="1" customWidth="1"/>
    <col min="12552" max="12552" width="13" style="1" customWidth="1"/>
    <col min="12553" max="12554" width="11.140625" style="1" customWidth="1"/>
    <col min="12555" max="12555" width="10.42578125" style="1" customWidth="1"/>
    <col min="12556" max="12558" width="0" style="1" hidden="1" customWidth="1"/>
    <col min="12559" max="12559" width="11.140625" style="1"/>
    <col min="12560" max="12797" width="0" style="1" hidden="1" customWidth="1"/>
    <col min="12798" max="12800" width="11.140625" style="1"/>
    <col min="12801" max="12801" width="8.5703125" style="1" customWidth="1"/>
    <col min="12802" max="12802" width="50.28515625" style="1" customWidth="1"/>
    <col min="12803" max="12803" width="9.85546875" style="1" customWidth="1"/>
    <col min="12804" max="12804" width="10.7109375" style="1" customWidth="1"/>
    <col min="12805" max="12805" width="9" style="1" customWidth="1"/>
    <col min="12806" max="12806" width="12.7109375" style="1" customWidth="1"/>
    <col min="12807" max="12807" width="11.140625" style="1" customWidth="1"/>
    <col min="12808" max="12808" width="13" style="1" customWidth="1"/>
    <col min="12809" max="12810" width="11.140625" style="1" customWidth="1"/>
    <col min="12811" max="12811" width="10.42578125" style="1" customWidth="1"/>
    <col min="12812" max="12814" width="0" style="1" hidden="1" customWidth="1"/>
    <col min="12815" max="12815" width="11.140625" style="1"/>
    <col min="12816" max="13053" width="0" style="1" hidden="1" customWidth="1"/>
    <col min="13054" max="13056" width="11.140625" style="1"/>
    <col min="13057" max="13057" width="8.5703125" style="1" customWidth="1"/>
    <col min="13058" max="13058" width="50.28515625" style="1" customWidth="1"/>
    <col min="13059" max="13059" width="9.85546875" style="1" customWidth="1"/>
    <col min="13060" max="13060" width="10.7109375" style="1" customWidth="1"/>
    <col min="13061" max="13061" width="9" style="1" customWidth="1"/>
    <col min="13062" max="13062" width="12.7109375" style="1" customWidth="1"/>
    <col min="13063" max="13063" width="11.140625" style="1" customWidth="1"/>
    <col min="13064" max="13064" width="13" style="1" customWidth="1"/>
    <col min="13065" max="13066" width="11.140625" style="1" customWidth="1"/>
    <col min="13067" max="13067" width="10.42578125" style="1" customWidth="1"/>
    <col min="13068" max="13070" width="0" style="1" hidden="1" customWidth="1"/>
    <col min="13071" max="13071" width="11.140625" style="1"/>
    <col min="13072" max="13309" width="0" style="1" hidden="1" customWidth="1"/>
    <col min="13310" max="13312" width="11.140625" style="1"/>
    <col min="13313" max="13313" width="8.5703125" style="1" customWidth="1"/>
    <col min="13314" max="13314" width="50.28515625" style="1" customWidth="1"/>
    <col min="13315" max="13315" width="9.85546875" style="1" customWidth="1"/>
    <col min="13316" max="13316" width="10.7109375" style="1" customWidth="1"/>
    <col min="13317" max="13317" width="9" style="1" customWidth="1"/>
    <col min="13318" max="13318" width="12.7109375" style="1" customWidth="1"/>
    <col min="13319" max="13319" width="11.140625" style="1" customWidth="1"/>
    <col min="13320" max="13320" width="13" style="1" customWidth="1"/>
    <col min="13321" max="13322" width="11.140625" style="1" customWidth="1"/>
    <col min="13323" max="13323" width="10.42578125" style="1" customWidth="1"/>
    <col min="13324" max="13326" width="0" style="1" hidden="1" customWidth="1"/>
    <col min="13327" max="13327" width="11.140625" style="1"/>
    <col min="13328" max="13565" width="0" style="1" hidden="1" customWidth="1"/>
    <col min="13566" max="13568" width="11.140625" style="1"/>
    <col min="13569" max="13569" width="8.5703125" style="1" customWidth="1"/>
    <col min="13570" max="13570" width="50.28515625" style="1" customWidth="1"/>
    <col min="13571" max="13571" width="9.85546875" style="1" customWidth="1"/>
    <col min="13572" max="13572" width="10.7109375" style="1" customWidth="1"/>
    <col min="13573" max="13573" width="9" style="1" customWidth="1"/>
    <col min="13574" max="13574" width="12.7109375" style="1" customWidth="1"/>
    <col min="13575" max="13575" width="11.140625" style="1" customWidth="1"/>
    <col min="13576" max="13576" width="13" style="1" customWidth="1"/>
    <col min="13577" max="13578" width="11.140625" style="1" customWidth="1"/>
    <col min="13579" max="13579" width="10.42578125" style="1" customWidth="1"/>
    <col min="13580" max="13582" width="0" style="1" hidden="1" customWidth="1"/>
    <col min="13583" max="13583" width="11.140625" style="1"/>
    <col min="13584" max="13821" width="0" style="1" hidden="1" customWidth="1"/>
    <col min="13822" max="13824" width="11.140625" style="1"/>
    <col min="13825" max="13825" width="8.5703125" style="1" customWidth="1"/>
    <col min="13826" max="13826" width="50.28515625" style="1" customWidth="1"/>
    <col min="13827" max="13827" width="9.85546875" style="1" customWidth="1"/>
    <col min="13828" max="13828" width="10.7109375" style="1" customWidth="1"/>
    <col min="13829" max="13829" width="9" style="1" customWidth="1"/>
    <col min="13830" max="13830" width="12.7109375" style="1" customWidth="1"/>
    <col min="13831" max="13831" width="11.140625" style="1" customWidth="1"/>
    <col min="13832" max="13832" width="13" style="1" customWidth="1"/>
    <col min="13833" max="13834" width="11.140625" style="1" customWidth="1"/>
    <col min="13835" max="13835" width="10.42578125" style="1" customWidth="1"/>
    <col min="13836" max="13838" width="0" style="1" hidden="1" customWidth="1"/>
    <col min="13839" max="13839" width="11.140625" style="1"/>
    <col min="13840" max="14077" width="0" style="1" hidden="1" customWidth="1"/>
    <col min="14078" max="14080" width="11.140625" style="1"/>
    <col min="14081" max="14081" width="8.5703125" style="1" customWidth="1"/>
    <col min="14082" max="14082" width="50.28515625" style="1" customWidth="1"/>
    <col min="14083" max="14083" width="9.85546875" style="1" customWidth="1"/>
    <col min="14084" max="14084" width="10.7109375" style="1" customWidth="1"/>
    <col min="14085" max="14085" width="9" style="1" customWidth="1"/>
    <col min="14086" max="14086" width="12.7109375" style="1" customWidth="1"/>
    <col min="14087" max="14087" width="11.140625" style="1" customWidth="1"/>
    <col min="14088" max="14088" width="13" style="1" customWidth="1"/>
    <col min="14089" max="14090" width="11.140625" style="1" customWidth="1"/>
    <col min="14091" max="14091" width="10.42578125" style="1" customWidth="1"/>
    <col min="14092" max="14094" width="0" style="1" hidden="1" customWidth="1"/>
    <col min="14095" max="14095" width="11.140625" style="1"/>
    <col min="14096" max="14333" width="0" style="1" hidden="1" customWidth="1"/>
    <col min="14334" max="14336" width="11.140625" style="1"/>
    <col min="14337" max="14337" width="8.5703125" style="1" customWidth="1"/>
    <col min="14338" max="14338" width="50.28515625" style="1" customWidth="1"/>
    <col min="14339" max="14339" width="9.85546875" style="1" customWidth="1"/>
    <col min="14340" max="14340" width="10.7109375" style="1" customWidth="1"/>
    <col min="14341" max="14341" width="9" style="1" customWidth="1"/>
    <col min="14342" max="14342" width="12.7109375" style="1" customWidth="1"/>
    <col min="14343" max="14343" width="11.140625" style="1" customWidth="1"/>
    <col min="14344" max="14344" width="13" style="1" customWidth="1"/>
    <col min="14345" max="14346" width="11.140625" style="1" customWidth="1"/>
    <col min="14347" max="14347" width="10.42578125" style="1" customWidth="1"/>
    <col min="14348" max="14350" width="0" style="1" hidden="1" customWidth="1"/>
    <col min="14351" max="14351" width="11.140625" style="1"/>
    <col min="14352" max="14589" width="0" style="1" hidden="1" customWidth="1"/>
    <col min="14590" max="14592" width="11.140625" style="1"/>
    <col min="14593" max="14593" width="8.5703125" style="1" customWidth="1"/>
    <col min="14594" max="14594" width="50.28515625" style="1" customWidth="1"/>
    <col min="14595" max="14595" width="9.85546875" style="1" customWidth="1"/>
    <col min="14596" max="14596" width="10.7109375" style="1" customWidth="1"/>
    <col min="14597" max="14597" width="9" style="1" customWidth="1"/>
    <col min="14598" max="14598" width="12.7109375" style="1" customWidth="1"/>
    <col min="14599" max="14599" width="11.140625" style="1" customWidth="1"/>
    <col min="14600" max="14600" width="13" style="1" customWidth="1"/>
    <col min="14601" max="14602" width="11.140625" style="1" customWidth="1"/>
    <col min="14603" max="14603" width="10.42578125" style="1" customWidth="1"/>
    <col min="14604" max="14606" width="0" style="1" hidden="1" customWidth="1"/>
    <col min="14607" max="14607" width="11.140625" style="1"/>
    <col min="14608" max="14845" width="0" style="1" hidden="1" customWidth="1"/>
    <col min="14846" max="14848" width="11.140625" style="1"/>
    <col min="14849" max="14849" width="8.5703125" style="1" customWidth="1"/>
    <col min="14850" max="14850" width="50.28515625" style="1" customWidth="1"/>
    <col min="14851" max="14851" width="9.85546875" style="1" customWidth="1"/>
    <col min="14852" max="14852" width="10.7109375" style="1" customWidth="1"/>
    <col min="14853" max="14853" width="9" style="1" customWidth="1"/>
    <col min="14854" max="14854" width="12.7109375" style="1" customWidth="1"/>
    <col min="14855" max="14855" width="11.140625" style="1" customWidth="1"/>
    <col min="14856" max="14856" width="13" style="1" customWidth="1"/>
    <col min="14857" max="14858" width="11.140625" style="1" customWidth="1"/>
    <col min="14859" max="14859" width="10.42578125" style="1" customWidth="1"/>
    <col min="14860" max="14862" width="0" style="1" hidden="1" customWidth="1"/>
    <col min="14863" max="14863" width="11.140625" style="1"/>
    <col min="14864" max="15101" width="0" style="1" hidden="1" customWidth="1"/>
    <col min="15102" max="15104" width="11.140625" style="1"/>
    <col min="15105" max="15105" width="8.5703125" style="1" customWidth="1"/>
    <col min="15106" max="15106" width="50.28515625" style="1" customWidth="1"/>
    <col min="15107" max="15107" width="9.85546875" style="1" customWidth="1"/>
    <col min="15108" max="15108" width="10.7109375" style="1" customWidth="1"/>
    <col min="15109" max="15109" width="9" style="1" customWidth="1"/>
    <col min="15110" max="15110" width="12.7109375" style="1" customWidth="1"/>
    <col min="15111" max="15111" width="11.140625" style="1" customWidth="1"/>
    <col min="15112" max="15112" width="13" style="1" customWidth="1"/>
    <col min="15113" max="15114" width="11.140625" style="1" customWidth="1"/>
    <col min="15115" max="15115" width="10.42578125" style="1" customWidth="1"/>
    <col min="15116" max="15118" width="0" style="1" hidden="1" customWidth="1"/>
    <col min="15119" max="15119" width="11.140625" style="1"/>
    <col min="15120" max="15357" width="0" style="1" hidden="1" customWidth="1"/>
    <col min="15358" max="15360" width="11.140625" style="1"/>
    <col min="15361" max="15361" width="8.5703125" style="1" customWidth="1"/>
    <col min="15362" max="15362" width="50.28515625" style="1" customWidth="1"/>
    <col min="15363" max="15363" width="9.85546875" style="1" customWidth="1"/>
    <col min="15364" max="15364" width="10.7109375" style="1" customWidth="1"/>
    <col min="15365" max="15365" width="9" style="1" customWidth="1"/>
    <col min="15366" max="15366" width="12.7109375" style="1" customWidth="1"/>
    <col min="15367" max="15367" width="11.140625" style="1" customWidth="1"/>
    <col min="15368" max="15368" width="13" style="1" customWidth="1"/>
    <col min="15369" max="15370" width="11.140625" style="1" customWidth="1"/>
    <col min="15371" max="15371" width="10.42578125" style="1" customWidth="1"/>
    <col min="15372" max="15374" width="0" style="1" hidden="1" customWidth="1"/>
    <col min="15375" max="15375" width="11.140625" style="1"/>
    <col min="15376" max="15613" width="0" style="1" hidden="1" customWidth="1"/>
    <col min="15614" max="15616" width="11.140625" style="1"/>
    <col min="15617" max="15617" width="8.5703125" style="1" customWidth="1"/>
    <col min="15618" max="15618" width="50.28515625" style="1" customWidth="1"/>
    <col min="15619" max="15619" width="9.85546875" style="1" customWidth="1"/>
    <col min="15620" max="15620" width="10.7109375" style="1" customWidth="1"/>
    <col min="15621" max="15621" width="9" style="1" customWidth="1"/>
    <col min="15622" max="15622" width="12.7109375" style="1" customWidth="1"/>
    <col min="15623" max="15623" width="11.140625" style="1" customWidth="1"/>
    <col min="15624" max="15624" width="13" style="1" customWidth="1"/>
    <col min="15625" max="15626" width="11.140625" style="1" customWidth="1"/>
    <col min="15627" max="15627" width="10.42578125" style="1" customWidth="1"/>
    <col min="15628" max="15630" width="0" style="1" hidden="1" customWidth="1"/>
    <col min="15631" max="15631" width="11.140625" style="1"/>
    <col min="15632" max="15869" width="0" style="1" hidden="1" customWidth="1"/>
    <col min="15870" max="15872" width="11.140625" style="1"/>
    <col min="15873" max="15873" width="8.5703125" style="1" customWidth="1"/>
    <col min="15874" max="15874" width="50.28515625" style="1" customWidth="1"/>
    <col min="15875" max="15875" width="9.85546875" style="1" customWidth="1"/>
    <col min="15876" max="15876" width="10.7109375" style="1" customWidth="1"/>
    <col min="15877" max="15877" width="9" style="1" customWidth="1"/>
    <col min="15878" max="15878" width="12.7109375" style="1" customWidth="1"/>
    <col min="15879" max="15879" width="11.140625" style="1" customWidth="1"/>
    <col min="15880" max="15880" width="13" style="1" customWidth="1"/>
    <col min="15881" max="15882" width="11.140625" style="1" customWidth="1"/>
    <col min="15883" max="15883" width="10.42578125" style="1" customWidth="1"/>
    <col min="15884" max="15886" width="0" style="1" hidden="1" customWidth="1"/>
    <col min="15887" max="15887" width="11.140625" style="1"/>
    <col min="15888" max="16125" width="0" style="1" hidden="1" customWidth="1"/>
    <col min="16126" max="16128" width="11.140625" style="1"/>
    <col min="16129" max="16129" width="8.5703125" style="1" customWidth="1"/>
    <col min="16130" max="16130" width="50.28515625" style="1" customWidth="1"/>
    <col min="16131" max="16131" width="9.85546875" style="1" customWidth="1"/>
    <col min="16132" max="16132" width="10.7109375" style="1" customWidth="1"/>
    <col min="16133" max="16133" width="9" style="1" customWidth="1"/>
    <col min="16134" max="16134" width="12.7109375" style="1" customWidth="1"/>
    <col min="16135" max="16135" width="11.140625" style="1" customWidth="1"/>
    <col min="16136" max="16136" width="13" style="1" customWidth="1"/>
    <col min="16137" max="16138" width="11.140625" style="1" customWidth="1"/>
    <col min="16139" max="16139" width="10.42578125" style="1" customWidth="1"/>
    <col min="16140" max="16142" width="0" style="1" hidden="1" customWidth="1"/>
    <col min="16143" max="16143" width="11.140625" style="1"/>
    <col min="16144" max="16381" width="0" style="1" hidden="1" customWidth="1"/>
    <col min="16382" max="16384" width="11.140625" style="1"/>
  </cols>
  <sheetData>
    <row r="1" spans="1:16" ht="12.75">
      <c r="J1" s="173" t="s">
        <v>0</v>
      </c>
      <c r="K1" s="173"/>
    </row>
    <row r="2" spans="1:16" ht="22.5" customHeight="1">
      <c r="A2" s="174" t="s">
        <v>1</v>
      </c>
      <c r="B2" s="174"/>
      <c r="C2" s="174"/>
      <c r="D2" s="174"/>
      <c r="E2" s="174"/>
      <c r="F2" s="174"/>
      <c r="G2" s="174"/>
      <c r="H2" s="174"/>
      <c r="I2" s="174"/>
      <c r="J2" s="174"/>
      <c r="K2" s="174"/>
      <c r="L2" s="174"/>
      <c r="M2" s="174"/>
      <c r="N2" s="174"/>
      <c r="O2" s="174"/>
      <c r="P2" s="174"/>
    </row>
    <row r="3" spans="1:16"/>
    <row r="4" spans="1:16"/>
    <row r="5" spans="1:16">
      <c r="A5" s="2" t="s">
        <v>2</v>
      </c>
      <c r="B5" s="3"/>
      <c r="C5" s="118" t="s">
        <v>3</v>
      </c>
      <c r="D5" s="118" t="s">
        <v>4</v>
      </c>
      <c r="E5" s="119"/>
      <c r="F5" s="4" t="s">
        <v>5</v>
      </c>
      <c r="G5" s="5" t="s">
        <v>6</v>
      </c>
    </row>
    <row r="6" spans="1:16">
      <c r="A6" s="6" t="s">
        <v>7</v>
      </c>
      <c r="B6" s="7"/>
      <c r="C6" s="8">
        <v>4000</v>
      </c>
      <c r="D6" s="8">
        <v>3999</v>
      </c>
      <c r="E6" s="120"/>
      <c r="G6" s="5" t="s">
        <v>8</v>
      </c>
    </row>
    <row r="7" spans="1:16">
      <c r="A7" s="6" t="s">
        <v>9</v>
      </c>
      <c r="B7" s="10"/>
      <c r="C7" s="175" t="s">
        <v>10</v>
      </c>
      <c r="D7" s="175"/>
      <c r="E7" s="176"/>
      <c r="G7" s="5" t="s">
        <v>11</v>
      </c>
    </row>
    <row r="8" spans="1:16" ht="15" customHeight="1">
      <c r="A8" s="6" t="s">
        <v>12</v>
      </c>
      <c r="B8" s="11"/>
      <c r="C8" s="121" t="s">
        <v>3</v>
      </c>
      <c r="D8" s="121" t="s">
        <v>4</v>
      </c>
      <c r="E8" s="122" t="s">
        <v>13</v>
      </c>
      <c r="G8" s="5" t="s">
        <v>14</v>
      </c>
    </row>
    <row r="9" spans="1:16">
      <c r="A9" s="12"/>
      <c r="B9" s="13"/>
      <c r="C9" s="123" t="str">
        <f>IF(M12&lt;10,"0"&amp;FIXED(M12,0,TRUE)&amp;"/"&amp;FIXED(M11,0,TRUE),FIXED(M12,0,TRUE)&amp;"/"&amp;FIXED(M11,0,TRUE))</f>
        <v>00/0</v>
      </c>
      <c r="D9" s="123" t="str">
        <f>IF(N12&lt;10,"0"&amp;FIXED(N12,0,TRUE)&amp;"/"&amp;FIXED(N11,0,TRUE),FIXED(N12,0,TRUE)&amp;"/"&amp;FIXED(N11,0,TRUE))</f>
        <v>00/0</v>
      </c>
      <c r="E9" s="124" t="s">
        <v>15</v>
      </c>
      <c r="G9" s="5" t="s">
        <v>16</v>
      </c>
    </row>
    <row r="10" spans="1:16">
      <c r="A10" s="125"/>
      <c r="B10" s="126"/>
      <c r="C10" s="127"/>
      <c r="D10" s="127"/>
      <c r="E10" s="127"/>
      <c r="G10" s="16" t="s">
        <v>17</v>
      </c>
      <c r="H10" s="17"/>
      <c r="I10" s="17"/>
      <c r="J10" s="17"/>
      <c r="K10" s="17"/>
      <c r="L10" s="17"/>
    </row>
    <row r="11" spans="1:16">
      <c r="A11" s="125"/>
      <c r="B11" s="126"/>
      <c r="C11" s="128" t="str">
        <f>K13</f>
        <v>VALID</v>
      </c>
      <c r="D11" s="128">
        <f>L13</f>
        <v>0</v>
      </c>
      <c r="E11" s="127"/>
    </row>
    <row r="12" spans="1:16">
      <c r="A12" s="14"/>
      <c r="B12" s="18" t="s">
        <v>18</v>
      </c>
      <c r="C12" s="19"/>
      <c r="D12" s="19"/>
      <c r="E12" s="20"/>
    </row>
    <row r="13" spans="1:16" ht="12.75" thickBot="1">
      <c r="A13" s="21" t="s">
        <v>19</v>
      </c>
      <c r="B13" s="15"/>
      <c r="C13" s="19"/>
      <c r="D13" s="19"/>
      <c r="E13" s="20"/>
      <c r="G13" s="129" t="s">
        <v>20</v>
      </c>
      <c r="H13" s="130"/>
      <c r="I13" s="130"/>
      <c r="J13" s="130"/>
      <c r="K13" s="131" t="str">
        <f>IF(OR(N13&gt;0,N14&lt;0),"INVALID","VALID")</f>
        <v>VALID</v>
      </c>
      <c r="L13" s="46"/>
      <c r="M13" s="132"/>
      <c r="N13" s="46"/>
      <c r="O13" s="46"/>
    </row>
    <row r="14" spans="1:16">
      <c r="A14" s="22" t="s">
        <v>21</v>
      </c>
      <c r="B14" s="23" t="s">
        <v>22</v>
      </c>
      <c r="C14" s="24">
        <f>C15+C16+C18+C21+C22+C23+C24+C25+C38+C41+C42</f>
        <v>0</v>
      </c>
      <c r="D14" s="24">
        <f>D15+D16+D18+D21+D22+D23+D24+D25+D38+D41+D42</f>
        <v>0</v>
      </c>
      <c r="E14" s="25">
        <f t="shared" ref="E14:E49" si="0">C14-D14</f>
        <v>0</v>
      </c>
      <c r="G14" s="46"/>
      <c r="H14" s="46"/>
      <c r="I14" s="46"/>
      <c r="J14" s="46"/>
      <c r="K14" s="133"/>
      <c r="L14" s="46"/>
      <c r="M14" s="46"/>
      <c r="N14" s="46"/>
      <c r="O14" s="46"/>
    </row>
    <row r="15" spans="1:16">
      <c r="A15" s="26" t="s">
        <v>23</v>
      </c>
      <c r="B15" s="27" t="s">
        <v>24</v>
      </c>
      <c r="C15" s="28">
        <v>0</v>
      </c>
      <c r="D15" s="28">
        <v>0</v>
      </c>
      <c r="E15" s="29">
        <f t="shared" si="0"/>
        <v>0</v>
      </c>
      <c r="G15" s="134"/>
      <c r="H15" s="135" t="s">
        <v>25</v>
      </c>
      <c r="I15" s="136"/>
      <c r="J15" s="136"/>
      <c r="K15" s="137"/>
      <c r="L15" s="138"/>
      <c r="M15" s="46"/>
      <c r="N15" s="46"/>
      <c r="O15" s="46"/>
    </row>
    <row r="16" spans="1:16">
      <c r="A16" s="26" t="s">
        <v>26</v>
      </c>
      <c r="B16" s="27" t="s">
        <v>27</v>
      </c>
      <c r="C16" s="28">
        <v>0</v>
      </c>
      <c r="D16" s="28">
        <v>0</v>
      </c>
      <c r="E16" s="29">
        <f t="shared" si="0"/>
        <v>0</v>
      </c>
      <c r="G16" s="139" t="str">
        <f>IF(ROUND(SUM(C15:C16,C18,C21:C25,C38,C41:C42,C44:C48),2)=ROUND(C49,2),"     Yes",SUM(C15:C16,C18,C21:C25,C38,C41:C42,C44:C48)-C49)</f>
        <v xml:space="preserve">     Yes</v>
      </c>
      <c r="H16" s="140" t="s">
        <v>28</v>
      </c>
      <c r="I16" s="138"/>
      <c r="J16" s="138"/>
      <c r="K16" s="141"/>
      <c r="L16" s="138"/>
      <c r="M16" s="46"/>
      <c r="N16" s="46"/>
      <c r="O16" s="46"/>
    </row>
    <row r="17" spans="1:15">
      <c r="A17" s="26" t="s">
        <v>29</v>
      </c>
      <c r="B17" s="27" t="s">
        <v>30</v>
      </c>
      <c r="C17" s="28">
        <v>0</v>
      </c>
      <c r="D17" s="28">
        <v>0</v>
      </c>
      <c r="E17" s="29">
        <f t="shared" si="0"/>
        <v>0</v>
      </c>
      <c r="G17" s="139" t="str">
        <f>IF(ROUND(SUM(C55,C60,C64,C68,C72:C75,C80:C81,C88:C94),2)=ROUND(C95,2),"     Yes",SUM(C55,C60,C64,C68,C72:C75,C80:C81,C88:C94)-C95)</f>
        <v xml:space="preserve">     Yes</v>
      </c>
      <c r="H17" s="140" t="s">
        <v>19</v>
      </c>
      <c r="I17" s="138"/>
      <c r="J17" s="138"/>
      <c r="K17" s="141"/>
      <c r="L17" s="138"/>
      <c r="M17" s="46"/>
      <c r="N17" s="46"/>
      <c r="O17" s="46"/>
    </row>
    <row r="18" spans="1:15">
      <c r="A18" s="26" t="s">
        <v>31</v>
      </c>
      <c r="B18" s="27" t="s">
        <v>32</v>
      </c>
      <c r="C18" s="30">
        <v>0</v>
      </c>
      <c r="D18" s="30">
        <v>0</v>
      </c>
      <c r="E18" s="29">
        <f t="shared" si="0"/>
        <v>0</v>
      </c>
      <c r="G18" s="139" t="str">
        <f>IF(ROUND(C49,2)=ROUND(C95,2),"     Yes",C49-C95)</f>
        <v xml:space="preserve">     Yes</v>
      </c>
      <c r="H18" s="140" t="s">
        <v>33</v>
      </c>
      <c r="I18" s="138"/>
      <c r="J18" s="138"/>
      <c r="K18" s="141"/>
      <c r="L18" s="138"/>
      <c r="M18" s="46"/>
      <c r="N18" s="46"/>
      <c r="O18" s="46"/>
    </row>
    <row r="19" spans="1:15">
      <c r="A19" s="26" t="s">
        <v>34</v>
      </c>
      <c r="B19" s="27" t="s">
        <v>35</v>
      </c>
      <c r="C19" s="30">
        <v>0</v>
      </c>
      <c r="D19" s="30">
        <v>0</v>
      </c>
      <c r="E19" s="29">
        <f t="shared" si="0"/>
        <v>0</v>
      </c>
      <c r="G19" s="139" t="str">
        <f>IF(ROUND(C14,2)=ROUND(SUM(C15,C16,C18,C21,C22,C23,C24,C25,C38,C41,C42),2),"     Yes",C14-SUM(C15,C16,C18,C21,C22,C23,C24,C25,C38,C41,C42))</f>
        <v xml:space="preserve">     Yes</v>
      </c>
      <c r="H19" s="142" t="s">
        <v>36</v>
      </c>
      <c r="I19" s="138"/>
      <c r="J19" s="138"/>
      <c r="K19" s="141"/>
      <c r="L19" s="138"/>
      <c r="M19" s="46"/>
      <c r="N19" s="46"/>
      <c r="O19" s="46"/>
    </row>
    <row r="20" spans="1:15">
      <c r="A20" s="26" t="s">
        <v>37</v>
      </c>
      <c r="B20" s="27" t="s">
        <v>38</v>
      </c>
      <c r="C20" s="30">
        <v>0</v>
      </c>
      <c r="D20" s="30">
        <v>0</v>
      </c>
      <c r="E20" s="29">
        <f t="shared" si="0"/>
        <v>0</v>
      </c>
      <c r="G20" s="139" t="str">
        <f>IF(ROUND(C43,2)=ROUND(SUM(C44:C48),2),"     Yes",C43-SUM(C44:C48))</f>
        <v xml:space="preserve">     Yes</v>
      </c>
      <c r="H20" s="142" t="s">
        <v>39</v>
      </c>
      <c r="I20" s="138"/>
      <c r="J20" s="138"/>
      <c r="K20" s="141"/>
      <c r="L20" s="138"/>
      <c r="M20" s="46"/>
      <c r="N20" s="46"/>
      <c r="O20" s="46"/>
    </row>
    <row r="21" spans="1:15">
      <c r="A21" s="26" t="s">
        <v>40</v>
      </c>
      <c r="B21" s="31" t="s">
        <v>41</v>
      </c>
      <c r="C21" s="30">
        <v>0</v>
      </c>
      <c r="D21" s="30">
        <v>0</v>
      </c>
      <c r="E21" s="29">
        <f t="shared" si="0"/>
        <v>0</v>
      </c>
      <c r="G21" s="139" t="str">
        <f>IF(ROUND(C54,2)=ROUND(SUM(C55,C60,C64,C68,C72,C73,C74,C75,C80,C81),2),"     Yes",C54-SUM(C55,C60,C64,C68,C72,C73,C74,C75,C80,C81))</f>
        <v xml:space="preserve">     Yes</v>
      </c>
      <c r="H21" s="142" t="s">
        <v>42</v>
      </c>
      <c r="I21" s="138"/>
      <c r="J21" s="138"/>
      <c r="K21" s="141"/>
      <c r="L21" s="138"/>
      <c r="M21" s="46"/>
      <c r="N21" s="46"/>
      <c r="O21" s="46"/>
    </row>
    <row r="22" spans="1:15">
      <c r="A22" s="26" t="s">
        <v>43</v>
      </c>
      <c r="B22" s="27" t="s">
        <v>44</v>
      </c>
      <c r="C22" s="30">
        <v>0</v>
      </c>
      <c r="D22" s="30">
        <v>0</v>
      </c>
      <c r="E22" s="29">
        <f t="shared" si="0"/>
        <v>0</v>
      </c>
      <c r="G22" s="139" t="str">
        <f>IF(ROUND(C87,2)=ROUND(SUM(C88:C94),2),"     Yes",C87-SUM(C88:C94))</f>
        <v xml:space="preserve">     Yes</v>
      </c>
      <c r="H22" s="142" t="s">
        <v>45</v>
      </c>
      <c r="I22" s="138"/>
      <c r="J22" s="138"/>
      <c r="K22" s="141"/>
      <c r="L22" s="138"/>
      <c r="M22" s="46"/>
      <c r="N22" s="46"/>
      <c r="O22" s="46"/>
    </row>
    <row r="23" spans="1:15">
      <c r="A23" s="26" t="s">
        <v>46</v>
      </c>
      <c r="B23" s="31" t="s">
        <v>47</v>
      </c>
      <c r="C23" s="30">
        <v>0</v>
      </c>
      <c r="D23" s="30">
        <v>0</v>
      </c>
      <c r="E23" s="29">
        <f t="shared" si="0"/>
        <v>0</v>
      </c>
      <c r="G23" s="143" t="b">
        <f>IF(ROUND($C$81,2)&gt;0,"     Yes",TRUE())</f>
        <v>1</v>
      </c>
      <c r="H23" s="142" t="s">
        <v>48</v>
      </c>
      <c r="I23" s="138"/>
      <c r="J23" s="138"/>
      <c r="K23" s="141"/>
      <c r="L23" s="138"/>
      <c r="M23" s="46"/>
      <c r="N23" s="46"/>
      <c r="O23" s="46"/>
    </row>
    <row r="24" spans="1:15">
      <c r="A24" s="26" t="s">
        <v>49</v>
      </c>
      <c r="B24" s="27" t="s">
        <v>50</v>
      </c>
      <c r="C24" s="30">
        <v>0</v>
      </c>
      <c r="D24" s="30">
        <v>0</v>
      </c>
      <c r="E24" s="29">
        <f t="shared" si="0"/>
        <v>0</v>
      </c>
      <c r="G24" s="139"/>
      <c r="H24" s="142" t="s">
        <v>51</v>
      </c>
      <c r="I24" s="138"/>
      <c r="J24" s="138"/>
      <c r="K24" s="141"/>
      <c r="L24" s="138"/>
      <c r="M24" s="46"/>
      <c r="N24" s="46"/>
      <c r="O24" s="46"/>
    </row>
    <row r="25" spans="1:15">
      <c r="A25" s="26" t="s">
        <v>52</v>
      </c>
      <c r="B25" s="27" t="s">
        <v>53</v>
      </c>
      <c r="C25" s="29">
        <f>C26+C31+C36+C37</f>
        <v>0</v>
      </c>
      <c r="D25" s="29">
        <f>D26+D31+D36+D37</f>
        <v>0</v>
      </c>
      <c r="E25" s="29">
        <f t="shared" si="0"/>
        <v>0</v>
      </c>
      <c r="G25" s="139" t="str">
        <f>IF(ROUND(C16,2)&gt;=ROUND(C17,2),"     Yes",C17-C16)</f>
        <v xml:space="preserve">     Yes</v>
      </c>
      <c r="H25" s="142" t="s">
        <v>54</v>
      </c>
      <c r="I25" s="138"/>
      <c r="J25" s="138"/>
      <c r="K25" s="141"/>
      <c r="L25" s="138"/>
      <c r="M25" s="46"/>
      <c r="N25" s="46"/>
      <c r="O25" s="46"/>
    </row>
    <row r="26" spans="1:15">
      <c r="A26" s="26" t="s">
        <v>55</v>
      </c>
      <c r="B26" s="27" t="s">
        <v>56</v>
      </c>
      <c r="C26" s="29">
        <f>C27+C28+C29</f>
        <v>0</v>
      </c>
      <c r="D26" s="29">
        <f>D27+D28+D29</f>
        <v>0</v>
      </c>
      <c r="E26" s="29">
        <f t="shared" si="0"/>
        <v>0</v>
      </c>
      <c r="G26" s="139" t="str">
        <f>IF(ROUND(C19,2)&gt;=0,"     Yes",C19)</f>
        <v xml:space="preserve">     Yes</v>
      </c>
      <c r="H26" s="142" t="s">
        <v>57</v>
      </c>
      <c r="I26" s="138"/>
      <c r="J26" s="138"/>
      <c r="K26" s="141"/>
      <c r="L26" s="138"/>
      <c r="M26" s="46"/>
      <c r="N26" s="46"/>
      <c r="O26" s="46"/>
    </row>
    <row r="27" spans="1:15">
      <c r="A27" s="32" t="s">
        <v>58</v>
      </c>
      <c r="B27" s="33" t="s">
        <v>59</v>
      </c>
      <c r="C27" s="34">
        <v>0</v>
      </c>
      <c r="D27" s="34">
        <v>0</v>
      </c>
      <c r="E27" s="29">
        <f t="shared" si="0"/>
        <v>0</v>
      </c>
      <c r="G27" s="139" t="b">
        <f>IF(ROUND(C20,2)&gt;0,"     Yes",TRUE())</f>
        <v>1</v>
      </c>
      <c r="H27" s="142" t="s">
        <v>60</v>
      </c>
      <c r="I27" s="138"/>
      <c r="J27" s="138"/>
      <c r="K27" s="141"/>
      <c r="L27" s="138"/>
      <c r="M27" s="46"/>
      <c r="N27" s="46"/>
      <c r="O27" s="46"/>
    </row>
    <row r="28" spans="1:15">
      <c r="A28" s="35" t="s">
        <v>61</v>
      </c>
      <c r="B28" s="27" t="s">
        <v>62</v>
      </c>
      <c r="C28" s="30">
        <v>0</v>
      </c>
      <c r="D28" s="30">
        <v>0</v>
      </c>
      <c r="E28" s="36">
        <f t="shared" si="0"/>
        <v>0</v>
      </c>
      <c r="G28" s="139" t="str">
        <f>IF(ROUND(C18,2)&gt;=ROUND((C19+C20),2),"     Yes",(C19+C20)-C18)</f>
        <v xml:space="preserve">     Yes</v>
      </c>
      <c r="H28" s="142" t="s">
        <v>63</v>
      </c>
      <c r="I28" s="138"/>
      <c r="J28" s="138"/>
      <c r="K28" s="141"/>
      <c r="L28" s="138"/>
      <c r="M28" s="46"/>
      <c r="N28" s="46"/>
      <c r="O28" s="46"/>
    </row>
    <row r="29" spans="1:15">
      <c r="A29" s="26" t="s">
        <v>64</v>
      </c>
      <c r="B29" s="27" t="s">
        <v>65</v>
      </c>
      <c r="C29" s="30">
        <v>0</v>
      </c>
      <c r="D29" s="30">
        <v>0</v>
      </c>
      <c r="E29" s="29">
        <f t="shared" si="0"/>
        <v>0</v>
      </c>
      <c r="G29" s="139" t="str">
        <f>IF(ROUND(C26,2)=ROUND(C27+C28+C29,2),"     Yes",C26-SUM(C27:C29))</f>
        <v xml:space="preserve">     Yes</v>
      </c>
      <c r="H29" s="142" t="s">
        <v>66</v>
      </c>
      <c r="I29" s="138"/>
      <c r="J29" s="138"/>
      <c r="K29" s="141"/>
      <c r="L29" s="138"/>
      <c r="M29" s="46"/>
      <c r="N29" s="46"/>
      <c r="O29" s="46"/>
    </row>
    <row r="30" spans="1:15">
      <c r="A30" s="32" t="s">
        <v>67</v>
      </c>
      <c r="B30" s="33" t="s">
        <v>68</v>
      </c>
      <c r="C30" s="37">
        <f>C27</f>
        <v>0</v>
      </c>
      <c r="D30" s="37">
        <f>D27</f>
        <v>0</v>
      </c>
      <c r="E30" s="38">
        <f t="shared" si="0"/>
        <v>0</v>
      </c>
      <c r="G30" s="139" t="str">
        <f>IF(ROUND(C26,2)&gt;=ROUND(C30,2),"     Yes",C30-C26)</f>
        <v xml:space="preserve">     Yes</v>
      </c>
      <c r="H30" s="142" t="s">
        <v>69</v>
      </c>
      <c r="I30" s="138"/>
      <c r="J30" s="138"/>
      <c r="K30" s="141"/>
      <c r="L30" s="138"/>
      <c r="M30" s="46"/>
      <c r="N30" s="46"/>
      <c r="O30" s="46"/>
    </row>
    <row r="31" spans="1:15">
      <c r="A31" s="39" t="s">
        <v>70</v>
      </c>
      <c r="B31" s="40" t="s">
        <v>71</v>
      </c>
      <c r="C31" s="41">
        <f>C32+C33+C34</f>
        <v>0</v>
      </c>
      <c r="D31" s="41">
        <f>D32+D33+D34</f>
        <v>0</v>
      </c>
      <c r="E31" s="29">
        <f t="shared" si="0"/>
        <v>0</v>
      </c>
      <c r="G31" s="139" t="str">
        <f>IF(ROUND(C31,2)=ROUND(C32+C33+C34,2),"     Yes",C31-SUM(C32:C34))</f>
        <v xml:space="preserve">     Yes</v>
      </c>
      <c r="H31" s="142" t="s">
        <v>72</v>
      </c>
      <c r="I31" s="138"/>
      <c r="J31" s="138"/>
      <c r="K31" s="141"/>
      <c r="L31" s="138"/>
      <c r="M31" s="46"/>
      <c r="N31" s="46"/>
      <c r="O31" s="46"/>
    </row>
    <row r="32" spans="1:15">
      <c r="A32" s="35" t="s">
        <v>73</v>
      </c>
      <c r="B32" s="27" t="s">
        <v>59</v>
      </c>
      <c r="C32" s="30">
        <v>0</v>
      </c>
      <c r="D32" s="30">
        <v>0</v>
      </c>
      <c r="E32" s="36">
        <f t="shared" si="0"/>
        <v>0</v>
      </c>
      <c r="G32" s="139" t="str">
        <f>IF(ROUND(C31,2)&gt;=ROUND(C35,2),"     Yes",C31-C35)</f>
        <v xml:space="preserve">     Yes</v>
      </c>
      <c r="H32" s="142" t="s">
        <v>74</v>
      </c>
      <c r="I32" s="138"/>
      <c r="J32" s="138"/>
      <c r="K32" s="141"/>
      <c r="L32" s="138"/>
      <c r="M32" s="46"/>
      <c r="N32" s="46"/>
      <c r="O32" s="46"/>
    </row>
    <row r="33" spans="1:255">
      <c r="A33" s="26" t="s">
        <v>75</v>
      </c>
      <c r="B33" s="27" t="s">
        <v>76</v>
      </c>
      <c r="C33" s="30">
        <v>0</v>
      </c>
      <c r="D33" s="30">
        <v>0</v>
      </c>
      <c r="E33" s="29">
        <f t="shared" si="0"/>
        <v>0</v>
      </c>
      <c r="G33" s="139" t="str">
        <f>IF(ROUND(C25,2)=ROUND(C26+C31+C36+C37,2),"     Yes",C25-SUM(C26,C31,C36,C37))</f>
        <v xml:space="preserve">     Yes</v>
      </c>
      <c r="H33" s="142" t="s">
        <v>77</v>
      </c>
      <c r="I33" s="138"/>
      <c r="J33" s="138"/>
      <c r="K33" s="141"/>
      <c r="L33" s="138"/>
      <c r="M33" s="46"/>
      <c r="N33" s="46"/>
      <c r="O33" s="46"/>
    </row>
    <row r="34" spans="1:255">
      <c r="A34" s="26" t="s">
        <v>78</v>
      </c>
      <c r="B34" s="27" t="s">
        <v>65</v>
      </c>
      <c r="C34" s="30">
        <v>0</v>
      </c>
      <c r="D34" s="30">
        <v>0</v>
      </c>
      <c r="E34" s="29">
        <f t="shared" si="0"/>
        <v>0</v>
      </c>
      <c r="G34" s="139" t="str">
        <f>IF(ROUND(C38,2)=ROUND(C39+C40,2),"     Yes",C38-SUM(C39:C40))</f>
        <v xml:space="preserve">     Yes</v>
      </c>
      <c r="H34" s="142" t="s">
        <v>79</v>
      </c>
      <c r="I34" s="138"/>
      <c r="J34" s="138"/>
      <c r="K34" s="141"/>
      <c r="L34" s="138"/>
      <c r="M34" s="46"/>
      <c r="N34" s="46"/>
      <c r="O34" s="46"/>
    </row>
    <row r="35" spans="1:255">
      <c r="A35" s="26" t="s">
        <v>80</v>
      </c>
      <c r="B35" s="27" t="s">
        <v>68</v>
      </c>
      <c r="C35" s="30">
        <v>0</v>
      </c>
      <c r="D35" s="30">
        <v>0</v>
      </c>
      <c r="E35" s="29">
        <f t="shared" si="0"/>
        <v>0</v>
      </c>
      <c r="G35" s="139"/>
      <c r="H35" s="144"/>
      <c r="I35" s="138"/>
      <c r="J35" s="138"/>
      <c r="K35" s="141"/>
      <c r="L35" s="138"/>
      <c r="M35" s="46"/>
      <c r="N35" s="46"/>
      <c r="O35" s="46"/>
    </row>
    <row r="36" spans="1:255">
      <c r="A36" s="26" t="s">
        <v>81</v>
      </c>
      <c r="B36" s="27" t="s">
        <v>82</v>
      </c>
      <c r="C36" s="30">
        <v>0</v>
      </c>
      <c r="D36" s="30">
        <v>0</v>
      </c>
      <c r="E36" s="29">
        <f t="shared" si="0"/>
        <v>0</v>
      </c>
      <c r="G36" s="139"/>
      <c r="H36" s="142" t="s">
        <v>83</v>
      </c>
      <c r="I36" s="138"/>
      <c r="J36" s="138"/>
      <c r="K36" s="141"/>
      <c r="L36" s="138"/>
      <c r="M36" s="46"/>
      <c r="N36" s="46"/>
      <c r="O36" s="46"/>
    </row>
    <row r="37" spans="1:255">
      <c r="A37" s="26" t="s">
        <v>84</v>
      </c>
      <c r="B37" s="27" t="s">
        <v>85</v>
      </c>
      <c r="C37" s="30">
        <v>0</v>
      </c>
      <c r="D37" s="30">
        <v>0</v>
      </c>
      <c r="E37" s="29">
        <f>C37-D37</f>
        <v>0</v>
      </c>
      <c r="G37" s="139" t="str">
        <f>IF(ROUND(C55,2)=ROUND(C56+C57+C58+C59,2),"    Yes",C55-SUM(C56:C59))</f>
        <v xml:space="preserve">    Yes</v>
      </c>
      <c r="H37" s="142" t="s">
        <v>86</v>
      </c>
      <c r="I37" s="138"/>
      <c r="J37" s="138"/>
      <c r="K37" s="141"/>
      <c r="L37" s="138"/>
      <c r="M37" s="46"/>
      <c r="N37" s="46"/>
      <c r="O37" s="46"/>
    </row>
    <row r="38" spans="1:255">
      <c r="A38" s="26" t="s">
        <v>87</v>
      </c>
      <c r="B38" s="27" t="s">
        <v>88</v>
      </c>
      <c r="C38" s="41">
        <f>C39+C40</f>
        <v>0</v>
      </c>
      <c r="D38" s="41">
        <f>D39+D40</f>
        <v>0</v>
      </c>
      <c r="E38" s="29">
        <f t="shared" si="0"/>
        <v>0</v>
      </c>
      <c r="G38" s="139" t="str">
        <f>IF(ROUND(C60,2)=ROUND(C61+C62,2),"    Yes",C60-SUM(C61:C62))</f>
        <v xml:space="preserve">    Yes</v>
      </c>
      <c r="H38" s="142" t="s">
        <v>89</v>
      </c>
      <c r="I38" s="138"/>
      <c r="J38" s="138"/>
      <c r="K38" s="141"/>
      <c r="L38" s="138"/>
      <c r="M38" s="46"/>
      <c r="N38" s="46"/>
      <c r="O38" s="46"/>
    </row>
    <row r="39" spans="1:255">
      <c r="A39" s="26" t="s">
        <v>90</v>
      </c>
      <c r="B39" s="27" t="s">
        <v>91</v>
      </c>
      <c r="C39" s="30">
        <v>0</v>
      </c>
      <c r="D39" s="30">
        <v>0</v>
      </c>
      <c r="E39" s="29">
        <f t="shared" si="0"/>
        <v>0</v>
      </c>
      <c r="G39" s="139" t="str">
        <f>IF(ROUND(C64,2)=ROUND(C65+C66,2),"    Yes",C64-SUM(C65:C66))</f>
        <v xml:space="preserve">    Yes</v>
      </c>
      <c r="H39" s="142" t="s">
        <v>92</v>
      </c>
      <c r="I39" s="138"/>
      <c r="J39" s="138"/>
      <c r="K39" s="141"/>
      <c r="L39" s="138"/>
      <c r="M39" s="46"/>
      <c r="N39" s="46"/>
      <c r="O39" s="46"/>
    </row>
    <row r="40" spans="1:255">
      <c r="A40" s="26" t="s">
        <v>93</v>
      </c>
      <c r="B40" s="27" t="s">
        <v>94</v>
      </c>
      <c r="C40" s="30">
        <v>0</v>
      </c>
      <c r="D40" s="30">
        <v>0</v>
      </c>
      <c r="E40" s="29">
        <f>C40-D40</f>
        <v>0</v>
      </c>
      <c r="G40" s="139" t="str">
        <f>IF(ROUND(C68,2)=ROUND(C69+C70+C71,2),"    Yes",C68-SUM(C69:C71))</f>
        <v xml:space="preserve">    Yes</v>
      </c>
      <c r="H40" s="142" t="s">
        <v>95</v>
      </c>
      <c r="I40" s="138"/>
      <c r="J40" s="138"/>
      <c r="K40" s="141"/>
      <c r="L40" s="138"/>
      <c r="M40" s="46"/>
      <c r="N40" s="46"/>
      <c r="O40" s="46"/>
    </row>
    <row r="41" spans="1:255">
      <c r="A41" s="26" t="s">
        <v>96</v>
      </c>
      <c r="B41" s="27" t="s">
        <v>97</v>
      </c>
      <c r="C41" s="30">
        <v>0</v>
      </c>
      <c r="D41" s="30">
        <v>0</v>
      </c>
      <c r="E41" s="29">
        <f t="shared" si="0"/>
        <v>0</v>
      </c>
      <c r="G41" s="139" t="str">
        <f>IF(ROUND(C75,2)=ROUND(C76+C77+C78+C79,2),"    Yes",C75-SUM(C76:C79))</f>
        <v xml:space="preserve">    Yes</v>
      </c>
      <c r="H41" s="142" t="s">
        <v>98</v>
      </c>
      <c r="I41" s="138"/>
      <c r="J41" s="138"/>
      <c r="K41" s="141"/>
      <c r="L41" s="138"/>
      <c r="M41" s="46"/>
      <c r="N41" s="46"/>
      <c r="O41" s="46"/>
    </row>
    <row r="42" spans="1:255" ht="12.75" thickBot="1">
      <c r="A42" s="26" t="s">
        <v>99</v>
      </c>
      <c r="B42" s="27" t="s">
        <v>100</v>
      </c>
      <c r="C42" s="42">
        <v>0</v>
      </c>
      <c r="D42" s="42">
        <v>0</v>
      </c>
      <c r="E42" s="29">
        <f t="shared" si="0"/>
        <v>0</v>
      </c>
      <c r="G42" s="145" t="str">
        <f>IF(ROUND(C81,2)=ROUND(C82+C83+C84+C85+C86,2),"    Yes",C81-SUM(C82:C86))</f>
        <v xml:space="preserve">    Yes</v>
      </c>
      <c r="H42" s="146" t="s">
        <v>101</v>
      </c>
      <c r="I42" s="147"/>
      <c r="J42" s="147"/>
      <c r="K42" s="148"/>
      <c r="L42" s="138"/>
      <c r="M42" s="46"/>
      <c r="N42" s="46"/>
      <c r="O42" s="46"/>
    </row>
    <row r="43" spans="1:255">
      <c r="A43" s="43"/>
      <c r="B43" s="44" t="s">
        <v>102</v>
      </c>
      <c r="C43" s="45">
        <f>C44+C45+C46+C47+C48</f>
        <v>0</v>
      </c>
      <c r="D43" s="45">
        <f>D44+D45+D46+D47+D48</f>
        <v>0</v>
      </c>
      <c r="E43" s="45">
        <f t="shared" si="0"/>
        <v>0</v>
      </c>
    </row>
    <row r="44" spans="1:255">
      <c r="A44" s="26" t="s">
        <v>103</v>
      </c>
      <c r="B44" s="27" t="s">
        <v>104</v>
      </c>
      <c r="C44" s="30">
        <v>0</v>
      </c>
      <c r="D44" s="30">
        <v>0</v>
      </c>
      <c r="E44" s="29">
        <f t="shared" si="0"/>
        <v>0</v>
      </c>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6"/>
      <c r="BO44" s="46"/>
      <c r="BP44" s="46"/>
      <c r="BQ44" s="46"/>
      <c r="BR44" s="46"/>
      <c r="BS44" s="46"/>
      <c r="BT44" s="46"/>
      <c r="BU44" s="46"/>
      <c r="BV44" s="46"/>
      <c r="BW44" s="46"/>
      <c r="BX44" s="46"/>
      <c r="BY44" s="46"/>
      <c r="BZ44" s="46"/>
      <c r="CA44" s="46"/>
      <c r="CB44" s="46"/>
      <c r="CC44" s="46"/>
      <c r="CD44" s="46"/>
      <c r="CE44" s="46"/>
      <c r="CF44" s="46"/>
      <c r="CG44" s="46"/>
      <c r="CH44" s="46"/>
      <c r="CI44" s="46"/>
      <c r="CJ44" s="46"/>
      <c r="CK44" s="46"/>
      <c r="CL44" s="46"/>
      <c r="CM44" s="46"/>
      <c r="CN44" s="46"/>
      <c r="CO44" s="46"/>
      <c r="CP44" s="46"/>
      <c r="CQ44" s="46"/>
      <c r="CR44" s="46"/>
      <c r="CS44" s="46"/>
      <c r="CT44" s="46"/>
      <c r="CU44" s="46"/>
      <c r="CV44" s="46"/>
      <c r="CW44" s="46"/>
      <c r="CX44" s="46"/>
      <c r="CY44" s="46"/>
      <c r="CZ44" s="46"/>
      <c r="DA44" s="46"/>
      <c r="DB44" s="46"/>
      <c r="DC44" s="46"/>
      <c r="DD44" s="46"/>
      <c r="DE44" s="46"/>
      <c r="DF44" s="46"/>
      <c r="DG44" s="46"/>
      <c r="DH44" s="46"/>
      <c r="DI44" s="46"/>
      <c r="DJ44" s="46"/>
      <c r="DK44" s="46"/>
      <c r="DL44" s="46"/>
      <c r="DM44" s="46"/>
      <c r="DN44" s="46"/>
      <c r="DO44" s="46"/>
      <c r="DP44" s="46"/>
      <c r="DQ44" s="46"/>
      <c r="DR44" s="46"/>
      <c r="DS44" s="46"/>
      <c r="DT44" s="46"/>
      <c r="DU44" s="46"/>
      <c r="DV44" s="46"/>
      <c r="DW44" s="46"/>
      <c r="DX44" s="46"/>
      <c r="DY44" s="46"/>
      <c r="DZ44" s="46"/>
      <c r="EA44" s="46"/>
      <c r="EB44" s="46"/>
      <c r="EC44" s="46"/>
      <c r="ED44" s="46"/>
      <c r="EE44" s="46"/>
      <c r="EF44" s="46"/>
      <c r="EG44" s="46"/>
      <c r="EH44" s="46"/>
      <c r="EI44" s="46"/>
      <c r="EJ44" s="46"/>
      <c r="EK44" s="46"/>
      <c r="EL44" s="46"/>
      <c r="EM44" s="46"/>
      <c r="EN44" s="46"/>
      <c r="EO44" s="46"/>
      <c r="EP44" s="46"/>
      <c r="EQ44" s="46"/>
      <c r="ER44" s="46"/>
      <c r="ES44" s="46"/>
      <c r="ET44" s="46"/>
      <c r="EU44" s="46"/>
      <c r="EV44" s="46"/>
      <c r="EW44" s="46"/>
      <c r="EX44" s="46"/>
      <c r="EY44" s="46"/>
      <c r="EZ44" s="46"/>
      <c r="FA44" s="46"/>
      <c r="FB44" s="46"/>
      <c r="FC44" s="46"/>
      <c r="FD44" s="46"/>
      <c r="FE44" s="46"/>
      <c r="FF44" s="46"/>
      <c r="FG44" s="46"/>
      <c r="FH44" s="46"/>
      <c r="FI44" s="46"/>
      <c r="FJ44" s="46"/>
      <c r="FK44" s="46"/>
      <c r="FL44" s="46"/>
      <c r="FM44" s="46"/>
      <c r="FN44" s="46"/>
      <c r="FO44" s="46"/>
      <c r="FP44" s="46"/>
      <c r="FQ44" s="46"/>
      <c r="FR44" s="46"/>
      <c r="FS44" s="46"/>
      <c r="FT44" s="46"/>
      <c r="FU44" s="46"/>
      <c r="FV44" s="46"/>
      <c r="FW44" s="46"/>
      <c r="FX44" s="46"/>
      <c r="FY44" s="46"/>
      <c r="FZ44" s="46"/>
      <c r="GA44" s="46"/>
      <c r="GB44" s="46"/>
      <c r="GC44" s="46"/>
      <c r="GD44" s="46"/>
      <c r="GE44" s="46"/>
      <c r="GF44" s="46"/>
      <c r="GG44" s="46"/>
      <c r="GH44" s="46"/>
      <c r="GI44" s="46"/>
      <c r="GJ44" s="46"/>
      <c r="GK44" s="46"/>
      <c r="GL44" s="46"/>
      <c r="GM44" s="46"/>
      <c r="GN44" s="46"/>
      <c r="GO44" s="46"/>
      <c r="GP44" s="46"/>
      <c r="GQ44" s="46"/>
      <c r="GR44" s="46"/>
      <c r="GS44" s="46"/>
      <c r="GT44" s="46"/>
      <c r="GU44" s="46"/>
      <c r="GV44" s="46"/>
      <c r="GW44" s="46"/>
      <c r="GX44" s="46"/>
      <c r="GY44" s="46"/>
      <c r="GZ44" s="46"/>
      <c r="HA44" s="46"/>
      <c r="HB44" s="46"/>
      <c r="HC44" s="46"/>
      <c r="HD44" s="46"/>
      <c r="HE44" s="46"/>
      <c r="HF44" s="46"/>
      <c r="HG44" s="46"/>
      <c r="HH44" s="46"/>
      <c r="HI44" s="46"/>
      <c r="HJ44" s="46"/>
      <c r="HK44" s="46"/>
      <c r="HL44" s="46"/>
      <c r="HM44" s="46"/>
      <c r="HN44" s="46"/>
      <c r="HO44" s="46"/>
      <c r="HP44" s="46"/>
      <c r="HQ44" s="46"/>
      <c r="HR44" s="46"/>
      <c r="HS44" s="46"/>
      <c r="HT44" s="46"/>
      <c r="HU44" s="46"/>
      <c r="HV44" s="46"/>
      <c r="HW44" s="46"/>
      <c r="HX44" s="46"/>
      <c r="HY44" s="46"/>
      <c r="HZ44" s="46"/>
      <c r="IA44" s="46"/>
      <c r="IB44" s="46"/>
      <c r="IC44" s="46"/>
      <c r="ID44" s="46"/>
      <c r="IE44" s="46"/>
      <c r="IF44" s="46"/>
      <c r="IG44" s="46"/>
      <c r="IH44" s="46"/>
      <c r="II44" s="46"/>
      <c r="IJ44" s="46"/>
      <c r="IK44" s="46"/>
      <c r="IL44" s="46"/>
      <c r="IM44" s="46"/>
      <c r="IN44" s="46"/>
      <c r="IO44" s="46"/>
      <c r="IP44" s="46"/>
      <c r="IQ44" s="46"/>
      <c r="IR44" s="46"/>
      <c r="IS44" s="46"/>
      <c r="IT44" s="46"/>
      <c r="IU44" s="46"/>
    </row>
    <row r="45" spans="1:255" ht="20.25" customHeight="1">
      <c r="A45" s="35" t="s">
        <v>105</v>
      </c>
      <c r="B45" s="27" t="s">
        <v>106</v>
      </c>
      <c r="C45" s="30">
        <v>0</v>
      </c>
      <c r="D45" s="30">
        <v>0</v>
      </c>
      <c r="E45" s="47">
        <f t="shared" si="0"/>
        <v>0</v>
      </c>
      <c r="F45" s="46"/>
      <c r="G45" s="48" t="s">
        <v>107</v>
      </c>
      <c r="H45" s="48"/>
      <c r="I45" s="48"/>
      <c r="J45" s="48"/>
      <c r="K45" s="49" t="s">
        <v>108</v>
      </c>
      <c r="L45" s="46"/>
      <c r="M45" s="50"/>
      <c r="N45" s="50"/>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6"/>
      <c r="GJ45" s="46"/>
      <c r="GK45" s="46"/>
      <c r="GL45" s="46"/>
      <c r="GM45" s="46"/>
      <c r="GN45" s="46"/>
      <c r="GO45" s="46"/>
      <c r="GP45" s="46"/>
      <c r="GQ45" s="46"/>
      <c r="GR45" s="46"/>
      <c r="GS45" s="46"/>
      <c r="GT45" s="46"/>
      <c r="GU45" s="46"/>
      <c r="GV45" s="46"/>
      <c r="GW45" s="46"/>
      <c r="GX45" s="46"/>
      <c r="GY45" s="46"/>
      <c r="GZ45" s="46"/>
      <c r="HA45" s="46"/>
      <c r="HB45" s="46"/>
      <c r="HC45" s="46"/>
      <c r="HD45" s="46"/>
      <c r="HE45" s="46"/>
      <c r="HF45" s="46"/>
      <c r="HG45" s="46"/>
      <c r="HH45" s="46"/>
      <c r="HI45" s="46"/>
      <c r="HJ45" s="46"/>
      <c r="HK45" s="46"/>
      <c r="HL45" s="46"/>
      <c r="HM45" s="46"/>
      <c r="HN45" s="46"/>
      <c r="HO45" s="46"/>
      <c r="HP45" s="46"/>
      <c r="HQ45" s="46"/>
      <c r="HR45" s="46"/>
      <c r="HS45" s="46"/>
      <c r="HT45" s="46"/>
      <c r="HU45" s="46"/>
      <c r="HV45" s="46"/>
      <c r="HW45" s="46"/>
      <c r="HX45" s="46"/>
      <c r="HY45" s="46"/>
      <c r="HZ45" s="46"/>
      <c r="IA45" s="46"/>
      <c r="IB45" s="46"/>
      <c r="IC45" s="46"/>
      <c r="ID45" s="46"/>
      <c r="IE45" s="46"/>
      <c r="IF45" s="46"/>
      <c r="IG45" s="46"/>
      <c r="IH45" s="46"/>
      <c r="II45" s="46"/>
      <c r="IJ45" s="46"/>
      <c r="IK45" s="46"/>
      <c r="IL45" s="46"/>
      <c r="IM45" s="46"/>
      <c r="IN45" s="46"/>
      <c r="IO45" s="46"/>
      <c r="IP45" s="46"/>
      <c r="IQ45" s="46"/>
      <c r="IR45" s="46"/>
      <c r="IS45" s="46"/>
      <c r="IT45" s="46"/>
      <c r="IU45" s="46"/>
    </row>
    <row r="46" spans="1:255">
      <c r="A46" s="26" t="s">
        <v>109</v>
      </c>
      <c r="B46" s="27" t="s">
        <v>110</v>
      </c>
      <c r="C46" s="30">
        <v>0</v>
      </c>
      <c r="D46" s="30">
        <v>0</v>
      </c>
      <c r="E46" s="29">
        <f t="shared" si="0"/>
        <v>0</v>
      </c>
      <c r="F46" s="46"/>
      <c r="G46" s="51" t="s">
        <v>111</v>
      </c>
      <c r="H46" s="51"/>
      <c r="I46" s="51"/>
      <c r="J46" s="51"/>
      <c r="K46" s="52" t="s">
        <v>112</v>
      </c>
      <c r="L46" s="46"/>
      <c r="M46" s="53"/>
      <c r="N46" s="53"/>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c r="CJ46" s="46"/>
      <c r="CK46" s="46"/>
      <c r="CL46" s="46"/>
      <c r="CM46" s="46"/>
      <c r="CN46" s="46"/>
      <c r="CO46" s="46"/>
      <c r="CP46" s="46"/>
      <c r="CQ46" s="46"/>
      <c r="CR46" s="46"/>
      <c r="CS46" s="46"/>
      <c r="CT46" s="46"/>
      <c r="CU46" s="46"/>
      <c r="CV46" s="46"/>
      <c r="CW46" s="46"/>
      <c r="CX46" s="46"/>
      <c r="CY46" s="46"/>
      <c r="CZ46" s="46"/>
      <c r="DA46" s="46"/>
      <c r="DB46" s="46"/>
      <c r="DC46" s="46"/>
      <c r="DD46" s="46"/>
      <c r="DE46" s="46"/>
      <c r="DF46" s="46"/>
      <c r="DG46" s="46"/>
      <c r="DH46" s="46"/>
      <c r="DI46" s="46"/>
      <c r="DJ46" s="46"/>
      <c r="DK46" s="46"/>
      <c r="DL46" s="46"/>
      <c r="DM46" s="46"/>
      <c r="DN46" s="46"/>
      <c r="DO46" s="46"/>
      <c r="DP46" s="46"/>
      <c r="DQ46" s="46"/>
      <c r="DR46" s="46"/>
      <c r="DS46" s="46"/>
      <c r="DT46" s="46"/>
      <c r="DU46" s="46"/>
      <c r="DV46" s="46"/>
      <c r="DW46" s="46"/>
      <c r="DX46" s="46"/>
      <c r="DY46" s="46"/>
      <c r="DZ46" s="46"/>
      <c r="EA46" s="46"/>
      <c r="EB46" s="46"/>
      <c r="EC46" s="46"/>
      <c r="ED46" s="46"/>
      <c r="EE46" s="46"/>
      <c r="EF46" s="46"/>
      <c r="EG46" s="46"/>
      <c r="EH46" s="46"/>
      <c r="EI46" s="46"/>
      <c r="EJ46" s="46"/>
      <c r="EK46" s="46"/>
      <c r="EL46" s="46"/>
      <c r="EM46" s="46"/>
      <c r="EN46" s="46"/>
      <c r="EO46" s="46"/>
      <c r="EP46" s="46"/>
      <c r="EQ46" s="46"/>
      <c r="ER46" s="46"/>
      <c r="ES46" s="46"/>
      <c r="ET46" s="46"/>
      <c r="EU46" s="46"/>
      <c r="EV46" s="46"/>
      <c r="EW46" s="46"/>
      <c r="EX46" s="46"/>
      <c r="EY46" s="46"/>
      <c r="EZ46" s="46"/>
      <c r="FA46" s="46"/>
      <c r="FB46" s="46"/>
      <c r="FC46" s="46"/>
      <c r="FD46" s="46"/>
      <c r="FE46" s="46"/>
      <c r="FF46" s="46"/>
      <c r="FG46" s="46"/>
      <c r="FH46" s="46"/>
      <c r="FI46" s="46"/>
      <c r="FJ46" s="46"/>
      <c r="FK46" s="46"/>
      <c r="FL46" s="46"/>
      <c r="FM46" s="46"/>
      <c r="FN46" s="46"/>
      <c r="FO46" s="46"/>
      <c r="FP46" s="46"/>
      <c r="FQ46" s="46"/>
      <c r="FR46" s="46"/>
      <c r="FS46" s="46"/>
      <c r="FT46" s="46"/>
      <c r="FU46" s="46"/>
      <c r="FV46" s="46"/>
      <c r="FW46" s="46"/>
      <c r="FX46" s="46"/>
      <c r="FY46" s="46"/>
      <c r="FZ46" s="46"/>
      <c r="GA46" s="46"/>
      <c r="GB46" s="46"/>
      <c r="GC46" s="46"/>
      <c r="GD46" s="46"/>
      <c r="GE46" s="46"/>
      <c r="GF46" s="46"/>
      <c r="GG46" s="46"/>
      <c r="GH46" s="46"/>
      <c r="GI46" s="46"/>
      <c r="GJ46" s="46"/>
      <c r="GK46" s="46"/>
      <c r="GL46" s="46"/>
      <c r="GM46" s="46"/>
      <c r="GN46" s="46"/>
      <c r="GO46" s="46"/>
      <c r="GP46" s="46"/>
      <c r="GQ46" s="46"/>
      <c r="GR46" s="46"/>
      <c r="GS46" s="46"/>
      <c r="GT46" s="46"/>
      <c r="GU46" s="46"/>
      <c r="GV46" s="46"/>
      <c r="GW46" s="46"/>
      <c r="GX46" s="46"/>
      <c r="GY46" s="46"/>
      <c r="GZ46" s="46"/>
      <c r="HA46" s="46"/>
      <c r="HB46" s="46"/>
      <c r="HC46" s="46"/>
      <c r="HD46" s="46"/>
      <c r="HE46" s="46"/>
      <c r="HF46" s="46"/>
      <c r="HG46" s="46"/>
      <c r="HH46" s="46"/>
      <c r="HI46" s="46"/>
      <c r="HJ46" s="46"/>
      <c r="HK46" s="46"/>
      <c r="HL46" s="46"/>
      <c r="HM46" s="46"/>
      <c r="HN46" s="46"/>
      <c r="HO46" s="46"/>
      <c r="HP46" s="46"/>
      <c r="HQ46" s="46"/>
      <c r="HR46" s="46"/>
      <c r="HS46" s="46"/>
      <c r="HT46" s="46"/>
      <c r="HU46" s="46"/>
      <c r="HV46" s="46"/>
      <c r="HW46" s="46"/>
      <c r="HX46" s="46"/>
      <c r="HY46" s="46"/>
      <c r="HZ46" s="46"/>
      <c r="IA46" s="46"/>
      <c r="IB46" s="46"/>
      <c r="IC46" s="46"/>
      <c r="ID46" s="46"/>
      <c r="IE46" s="46"/>
      <c r="IF46" s="46"/>
      <c r="IG46" s="46"/>
      <c r="IH46" s="46"/>
      <c r="II46" s="46"/>
      <c r="IJ46" s="46"/>
      <c r="IK46" s="46"/>
      <c r="IL46" s="46"/>
      <c r="IM46" s="46"/>
      <c r="IN46" s="46"/>
      <c r="IO46" s="46"/>
      <c r="IP46" s="46"/>
      <c r="IQ46" s="46"/>
      <c r="IR46" s="46"/>
      <c r="IS46" s="46"/>
      <c r="IT46" s="46"/>
      <c r="IU46" s="46"/>
    </row>
    <row r="47" spans="1:255">
      <c r="A47" s="26" t="s">
        <v>113</v>
      </c>
      <c r="B47" s="27" t="s">
        <v>114</v>
      </c>
      <c r="C47" s="30">
        <v>0</v>
      </c>
      <c r="D47" s="30">
        <v>0</v>
      </c>
      <c r="E47" s="29">
        <f t="shared" si="0"/>
        <v>0</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46"/>
      <c r="BH47" s="46"/>
      <c r="BI47" s="46"/>
      <c r="BJ47" s="46"/>
      <c r="BK47" s="46"/>
      <c r="BL47" s="46"/>
      <c r="BM47" s="46"/>
      <c r="BN47" s="46"/>
      <c r="BO47" s="46"/>
      <c r="BP47" s="46"/>
      <c r="BQ47" s="46"/>
      <c r="BR47" s="46"/>
      <c r="BS47" s="46"/>
      <c r="BT47" s="46"/>
      <c r="BU47" s="46"/>
      <c r="BV47" s="46"/>
      <c r="BW47" s="46"/>
      <c r="BX47" s="46"/>
      <c r="BY47" s="46"/>
      <c r="BZ47" s="46"/>
      <c r="CA47" s="46"/>
      <c r="CB47" s="46"/>
      <c r="CC47" s="46"/>
      <c r="CD47" s="46"/>
      <c r="CE47" s="46"/>
      <c r="CF47" s="46"/>
      <c r="CG47" s="46"/>
      <c r="CH47" s="46"/>
      <c r="CI47" s="46"/>
      <c r="CJ47" s="46"/>
      <c r="CK47" s="46"/>
      <c r="CL47" s="46"/>
      <c r="CM47" s="46"/>
      <c r="CN47" s="46"/>
      <c r="CO47" s="46"/>
      <c r="CP47" s="46"/>
      <c r="CQ47" s="46"/>
      <c r="CR47" s="46"/>
      <c r="CS47" s="46"/>
      <c r="CT47" s="46"/>
      <c r="CU47" s="46"/>
      <c r="CV47" s="46"/>
      <c r="CW47" s="46"/>
      <c r="CX47" s="46"/>
      <c r="CY47" s="46"/>
      <c r="CZ47" s="46"/>
      <c r="DA47" s="46"/>
      <c r="DB47" s="46"/>
      <c r="DC47" s="46"/>
      <c r="DD47" s="46"/>
      <c r="DE47" s="46"/>
      <c r="DF47" s="46"/>
      <c r="DG47" s="46"/>
      <c r="DH47" s="46"/>
      <c r="DI47" s="46"/>
      <c r="DJ47" s="46"/>
      <c r="DK47" s="46"/>
      <c r="DL47" s="46"/>
      <c r="DM47" s="46"/>
      <c r="DN47" s="46"/>
      <c r="DO47" s="46"/>
      <c r="DP47" s="46"/>
      <c r="DQ47" s="46"/>
      <c r="DR47" s="46"/>
      <c r="DS47" s="46"/>
      <c r="DT47" s="46"/>
      <c r="DU47" s="46"/>
      <c r="DV47" s="46"/>
      <c r="DW47" s="46"/>
      <c r="DX47" s="46"/>
      <c r="DY47" s="46"/>
      <c r="DZ47" s="46"/>
      <c r="EA47" s="46"/>
      <c r="EB47" s="46"/>
      <c r="EC47" s="46"/>
      <c r="ED47" s="46"/>
      <c r="EE47" s="46"/>
      <c r="EF47" s="46"/>
      <c r="EG47" s="46"/>
      <c r="EH47" s="46"/>
      <c r="EI47" s="46"/>
      <c r="EJ47" s="46"/>
      <c r="EK47" s="46"/>
      <c r="EL47" s="46"/>
      <c r="EM47" s="46"/>
      <c r="EN47" s="46"/>
      <c r="EO47" s="46"/>
      <c r="EP47" s="46"/>
      <c r="EQ47" s="46"/>
      <c r="ER47" s="46"/>
      <c r="ES47" s="46"/>
      <c r="ET47" s="46"/>
      <c r="EU47" s="46"/>
      <c r="EV47" s="46"/>
      <c r="EW47" s="46"/>
      <c r="EX47" s="46"/>
      <c r="EY47" s="46"/>
      <c r="EZ47" s="46"/>
      <c r="FA47" s="46"/>
      <c r="FB47" s="46"/>
      <c r="FC47" s="46"/>
      <c r="FD47" s="46"/>
      <c r="FE47" s="46"/>
      <c r="FF47" s="46"/>
      <c r="FG47" s="46"/>
      <c r="FH47" s="46"/>
      <c r="FI47" s="46"/>
      <c r="FJ47" s="46"/>
      <c r="FK47" s="46"/>
      <c r="FL47" s="46"/>
      <c r="FM47" s="46"/>
      <c r="FN47" s="46"/>
      <c r="FO47" s="46"/>
      <c r="FP47" s="46"/>
      <c r="FQ47" s="46"/>
      <c r="FR47" s="46"/>
      <c r="FS47" s="46"/>
      <c r="FT47" s="46"/>
      <c r="FU47" s="46"/>
      <c r="FV47" s="46"/>
      <c r="FW47" s="46"/>
      <c r="FX47" s="46"/>
      <c r="FY47" s="46"/>
      <c r="FZ47" s="46"/>
      <c r="GA47" s="46"/>
      <c r="GB47" s="46"/>
      <c r="GC47" s="46"/>
      <c r="GD47" s="46"/>
      <c r="GE47" s="46"/>
      <c r="GF47" s="46"/>
      <c r="GG47" s="46"/>
      <c r="GH47" s="46"/>
      <c r="GI47" s="46"/>
      <c r="GJ47" s="46"/>
      <c r="GK47" s="46"/>
      <c r="GL47" s="46"/>
      <c r="GM47" s="46"/>
      <c r="GN47" s="46"/>
      <c r="GO47" s="46"/>
      <c r="GP47" s="46"/>
      <c r="GQ47" s="46"/>
      <c r="GR47" s="46"/>
      <c r="GS47" s="46"/>
      <c r="GT47" s="46"/>
      <c r="GU47" s="46"/>
      <c r="GV47" s="46"/>
      <c r="GW47" s="46"/>
      <c r="GX47" s="46"/>
      <c r="GY47" s="46"/>
      <c r="GZ47" s="46"/>
      <c r="HA47" s="46"/>
      <c r="HB47" s="46"/>
      <c r="HC47" s="46"/>
      <c r="HD47" s="46"/>
      <c r="HE47" s="46"/>
      <c r="HF47" s="46"/>
      <c r="HG47" s="46"/>
      <c r="HH47" s="46"/>
      <c r="HI47" s="46"/>
      <c r="HJ47" s="46"/>
      <c r="HK47" s="46"/>
      <c r="HL47" s="46"/>
      <c r="HM47" s="46"/>
      <c r="HN47" s="46"/>
      <c r="HO47" s="46"/>
      <c r="HP47" s="46"/>
      <c r="HQ47" s="46"/>
      <c r="HR47" s="46"/>
      <c r="HS47" s="46"/>
      <c r="HT47" s="46"/>
      <c r="HU47" s="46"/>
      <c r="HV47" s="46"/>
      <c r="HW47" s="46"/>
      <c r="HX47" s="46"/>
      <c r="HY47" s="46"/>
      <c r="HZ47" s="46"/>
      <c r="IA47" s="46"/>
      <c r="IB47" s="46"/>
      <c r="IC47" s="46"/>
      <c r="ID47" s="46"/>
      <c r="IE47" s="46"/>
      <c r="IF47" s="46"/>
      <c r="IG47" s="46"/>
      <c r="IH47" s="46"/>
      <c r="II47" s="46"/>
      <c r="IJ47" s="46"/>
      <c r="IK47" s="46"/>
      <c r="IL47" s="46"/>
      <c r="IM47" s="46"/>
      <c r="IN47" s="46"/>
      <c r="IO47" s="46"/>
      <c r="IP47" s="46"/>
      <c r="IQ47" s="46"/>
      <c r="IR47" s="46"/>
      <c r="IS47" s="46"/>
      <c r="IT47" s="46"/>
      <c r="IU47" s="46"/>
    </row>
    <row r="48" spans="1:255">
      <c r="A48" s="26" t="s">
        <v>115</v>
      </c>
      <c r="B48" s="27" t="s">
        <v>116</v>
      </c>
      <c r="C48" s="30">
        <v>0</v>
      </c>
      <c r="D48" s="30">
        <v>0</v>
      </c>
      <c r="E48" s="29">
        <f t="shared" si="0"/>
        <v>0</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c r="BF48" s="46"/>
      <c r="BG48" s="46"/>
      <c r="BH48" s="46"/>
      <c r="BI48" s="46"/>
      <c r="BJ48" s="46"/>
      <c r="BK48" s="46"/>
      <c r="BL48" s="46"/>
      <c r="BM48" s="46"/>
      <c r="BN48" s="46"/>
      <c r="BO48" s="46"/>
      <c r="BP48" s="46"/>
      <c r="BQ48" s="46"/>
      <c r="BR48" s="46"/>
      <c r="BS48" s="46"/>
      <c r="BT48" s="46"/>
      <c r="BU48" s="46"/>
      <c r="BV48" s="46"/>
      <c r="BW48" s="46"/>
      <c r="BX48" s="46"/>
      <c r="BY48" s="46"/>
      <c r="BZ48" s="46"/>
      <c r="CA48" s="46"/>
      <c r="CB48" s="46"/>
      <c r="CC48" s="46"/>
      <c r="CD48" s="46"/>
      <c r="CE48" s="46"/>
      <c r="CF48" s="46"/>
      <c r="CG48" s="46"/>
      <c r="CH48" s="46"/>
      <c r="CI48" s="46"/>
      <c r="CJ48" s="46"/>
      <c r="CK48" s="46"/>
      <c r="CL48" s="46"/>
      <c r="CM48" s="46"/>
      <c r="CN48" s="46"/>
      <c r="CO48" s="46"/>
      <c r="CP48" s="46"/>
      <c r="CQ48" s="46"/>
      <c r="CR48" s="46"/>
      <c r="CS48" s="46"/>
      <c r="CT48" s="46"/>
      <c r="CU48" s="46"/>
      <c r="CV48" s="46"/>
      <c r="CW48" s="46"/>
      <c r="CX48" s="46"/>
      <c r="CY48" s="46"/>
      <c r="CZ48" s="46"/>
      <c r="DA48" s="46"/>
      <c r="DB48" s="46"/>
      <c r="DC48" s="46"/>
      <c r="DD48" s="46"/>
      <c r="DE48" s="46"/>
      <c r="DF48" s="46"/>
      <c r="DG48" s="46"/>
      <c r="DH48" s="46"/>
      <c r="DI48" s="46"/>
      <c r="DJ48" s="46"/>
      <c r="DK48" s="46"/>
      <c r="DL48" s="46"/>
      <c r="DM48" s="46"/>
      <c r="DN48" s="46"/>
      <c r="DO48" s="46"/>
      <c r="DP48" s="46"/>
      <c r="DQ48" s="46"/>
      <c r="DR48" s="46"/>
      <c r="DS48" s="46"/>
      <c r="DT48" s="46"/>
      <c r="DU48" s="46"/>
      <c r="DV48" s="46"/>
      <c r="DW48" s="46"/>
      <c r="DX48" s="46"/>
      <c r="DY48" s="46"/>
      <c r="DZ48" s="46"/>
      <c r="EA48" s="46"/>
      <c r="EB48" s="46"/>
      <c r="EC48" s="46"/>
      <c r="ED48" s="46"/>
      <c r="EE48" s="46"/>
      <c r="EF48" s="46"/>
      <c r="EG48" s="46"/>
      <c r="EH48" s="46"/>
      <c r="EI48" s="46"/>
      <c r="EJ48" s="46"/>
      <c r="EK48" s="46"/>
      <c r="EL48" s="46"/>
      <c r="EM48" s="46"/>
      <c r="EN48" s="46"/>
      <c r="EO48" s="46"/>
      <c r="EP48" s="46"/>
      <c r="EQ48" s="46"/>
      <c r="ER48" s="46"/>
      <c r="ES48" s="46"/>
      <c r="ET48" s="46"/>
      <c r="EU48" s="46"/>
      <c r="EV48" s="46"/>
      <c r="EW48" s="46"/>
      <c r="EX48" s="46"/>
      <c r="EY48" s="46"/>
      <c r="EZ48" s="46"/>
      <c r="FA48" s="46"/>
      <c r="FB48" s="46"/>
      <c r="FC48" s="46"/>
      <c r="FD48" s="46"/>
      <c r="FE48" s="46"/>
      <c r="FF48" s="46"/>
      <c r="FG48" s="46"/>
      <c r="FH48" s="46"/>
      <c r="FI48" s="46"/>
      <c r="FJ48" s="46"/>
      <c r="FK48" s="46"/>
      <c r="FL48" s="46"/>
      <c r="FM48" s="46"/>
      <c r="FN48" s="46"/>
      <c r="FO48" s="46"/>
      <c r="FP48" s="46"/>
      <c r="FQ48" s="46"/>
      <c r="FR48" s="46"/>
      <c r="FS48" s="46"/>
      <c r="FT48" s="46"/>
      <c r="FU48" s="46"/>
      <c r="FV48" s="46"/>
      <c r="FW48" s="46"/>
      <c r="FX48" s="46"/>
      <c r="FY48" s="46"/>
      <c r="FZ48" s="46"/>
      <c r="GA48" s="46"/>
      <c r="GB48" s="46"/>
      <c r="GC48" s="46"/>
      <c r="GD48" s="46"/>
      <c r="GE48" s="46"/>
      <c r="GF48" s="46"/>
      <c r="GG48" s="46"/>
      <c r="GH48" s="46"/>
      <c r="GI48" s="46"/>
      <c r="GJ48" s="46"/>
      <c r="GK48" s="46"/>
      <c r="GL48" s="46"/>
      <c r="GM48" s="46"/>
      <c r="GN48" s="46"/>
      <c r="GO48" s="46"/>
      <c r="GP48" s="46"/>
      <c r="GQ48" s="46"/>
      <c r="GR48" s="46"/>
      <c r="GS48" s="46"/>
      <c r="GT48" s="46"/>
      <c r="GU48" s="46"/>
      <c r="GV48" s="46"/>
      <c r="GW48" s="46"/>
      <c r="GX48" s="46"/>
      <c r="GY48" s="46"/>
      <c r="GZ48" s="46"/>
      <c r="HA48" s="46"/>
      <c r="HB48" s="46"/>
      <c r="HC48" s="46"/>
      <c r="HD48" s="46"/>
      <c r="HE48" s="46"/>
      <c r="HF48" s="46"/>
      <c r="HG48" s="46"/>
      <c r="HH48" s="46"/>
      <c r="HI48" s="46"/>
      <c r="HJ48" s="46"/>
      <c r="HK48" s="46"/>
      <c r="HL48" s="46"/>
      <c r="HM48" s="46"/>
      <c r="HN48" s="46"/>
      <c r="HO48" s="46"/>
      <c r="HP48" s="46"/>
      <c r="HQ48" s="46"/>
      <c r="HR48" s="46"/>
      <c r="HS48" s="46"/>
      <c r="HT48" s="46"/>
      <c r="HU48" s="46"/>
      <c r="HV48" s="46"/>
      <c r="HW48" s="46"/>
      <c r="HX48" s="46"/>
      <c r="HY48" s="46"/>
      <c r="HZ48" s="46"/>
      <c r="IA48" s="46"/>
      <c r="IB48" s="46"/>
      <c r="IC48" s="46"/>
      <c r="ID48" s="46"/>
      <c r="IE48" s="46"/>
      <c r="IF48" s="46"/>
      <c r="IG48" s="46"/>
      <c r="IH48" s="46"/>
      <c r="II48" s="46"/>
      <c r="IJ48" s="46"/>
      <c r="IK48" s="46"/>
      <c r="IL48" s="46"/>
      <c r="IM48" s="46"/>
      <c r="IN48" s="46"/>
      <c r="IO48" s="46"/>
      <c r="IP48" s="46"/>
      <c r="IQ48" s="46"/>
      <c r="IR48" s="46"/>
      <c r="IS48" s="46"/>
      <c r="IT48" s="46"/>
      <c r="IU48" s="46"/>
    </row>
    <row r="49" spans="1:255">
      <c r="A49" s="54" t="s">
        <v>117</v>
      </c>
      <c r="B49" s="55" t="s">
        <v>118</v>
      </c>
      <c r="C49" s="56">
        <f>C43+C14</f>
        <v>0</v>
      </c>
      <c r="D49" s="56">
        <f>D43+D14</f>
        <v>0</v>
      </c>
      <c r="E49" s="57">
        <f t="shared" si="0"/>
        <v>0</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c r="BF49" s="46"/>
      <c r="BG49" s="46"/>
      <c r="BH49" s="46"/>
      <c r="BI49" s="46"/>
      <c r="BJ49" s="46"/>
      <c r="BK49" s="46"/>
      <c r="BL49" s="46"/>
      <c r="BM49" s="46"/>
      <c r="BN49" s="46"/>
      <c r="BO49" s="46"/>
      <c r="BP49" s="46"/>
      <c r="BQ49" s="46"/>
      <c r="BR49" s="46"/>
      <c r="BS49" s="46"/>
      <c r="BT49" s="46"/>
      <c r="BU49" s="46"/>
      <c r="BV49" s="46"/>
      <c r="BW49" s="46"/>
      <c r="BX49" s="46"/>
      <c r="BY49" s="46"/>
      <c r="BZ49" s="46"/>
      <c r="CA49" s="46"/>
      <c r="CB49" s="46"/>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c r="DA49" s="46"/>
      <c r="DB49" s="46"/>
      <c r="DC49" s="46"/>
      <c r="DD49" s="46"/>
      <c r="DE49" s="46"/>
      <c r="DF49" s="46"/>
      <c r="DG49" s="46"/>
      <c r="DH49" s="46"/>
      <c r="DI49" s="46"/>
      <c r="DJ49" s="46"/>
      <c r="DK49" s="46"/>
      <c r="DL49" s="46"/>
      <c r="DM49" s="46"/>
      <c r="DN49" s="46"/>
      <c r="DO49" s="46"/>
      <c r="DP49" s="46"/>
      <c r="DQ49" s="46"/>
      <c r="DR49" s="46"/>
      <c r="DS49" s="46"/>
      <c r="DT49" s="46"/>
      <c r="DU49" s="46"/>
      <c r="DV49" s="46"/>
      <c r="DW49" s="46"/>
      <c r="DX49" s="46"/>
      <c r="DY49" s="46"/>
      <c r="DZ49" s="46"/>
      <c r="EA49" s="46"/>
      <c r="EB49" s="46"/>
      <c r="EC49" s="46"/>
      <c r="ED49" s="46"/>
      <c r="EE49" s="46"/>
      <c r="EF49" s="46"/>
      <c r="EG49" s="46"/>
      <c r="EH49" s="46"/>
      <c r="EI49" s="46"/>
      <c r="EJ49" s="46"/>
      <c r="EK49" s="46"/>
      <c r="EL49" s="46"/>
      <c r="EM49" s="46"/>
      <c r="EN49" s="46"/>
      <c r="EO49" s="46"/>
      <c r="EP49" s="46"/>
      <c r="EQ49" s="46"/>
      <c r="ER49" s="46"/>
      <c r="ES49" s="46"/>
      <c r="ET49" s="46"/>
      <c r="EU49" s="46"/>
      <c r="EV49" s="46"/>
      <c r="EW49" s="46"/>
      <c r="EX49" s="46"/>
      <c r="EY49" s="46"/>
      <c r="EZ49" s="46"/>
      <c r="FA49" s="46"/>
      <c r="FB49" s="46"/>
      <c r="FC49" s="46"/>
      <c r="FD49" s="46"/>
      <c r="FE49" s="46"/>
      <c r="FF49" s="46"/>
      <c r="FG49" s="46"/>
      <c r="FH49" s="46"/>
      <c r="FI49" s="46"/>
      <c r="FJ49" s="46"/>
      <c r="FK49" s="46"/>
      <c r="FL49" s="46"/>
      <c r="FM49" s="46"/>
      <c r="FN49" s="46"/>
      <c r="FO49" s="46"/>
      <c r="FP49" s="46"/>
      <c r="FQ49" s="46"/>
      <c r="FR49" s="46"/>
      <c r="FS49" s="46"/>
      <c r="FT49" s="46"/>
      <c r="FU49" s="46"/>
      <c r="FV49" s="46"/>
      <c r="FW49" s="46"/>
      <c r="FX49" s="46"/>
      <c r="FY49" s="46"/>
      <c r="FZ49" s="46"/>
      <c r="GA49" s="46"/>
      <c r="GB49" s="46"/>
      <c r="GC49" s="46"/>
      <c r="GD49" s="46"/>
      <c r="GE49" s="46"/>
      <c r="GF49" s="46"/>
      <c r="GG49" s="46"/>
      <c r="GH49" s="46"/>
      <c r="GI49" s="46"/>
      <c r="GJ49" s="46"/>
      <c r="GK49" s="46"/>
      <c r="GL49" s="46"/>
      <c r="GM49" s="46"/>
      <c r="GN49" s="46"/>
      <c r="GO49" s="46"/>
      <c r="GP49" s="46"/>
      <c r="GQ49" s="46"/>
      <c r="GR49" s="46"/>
      <c r="GS49" s="46"/>
      <c r="GT49" s="46"/>
      <c r="GU49" s="46"/>
      <c r="GV49" s="46"/>
      <c r="GW49" s="46"/>
      <c r="GX49" s="46"/>
      <c r="GY49" s="46"/>
      <c r="GZ49" s="46"/>
      <c r="HA49" s="46"/>
      <c r="HB49" s="46"/>
      <c r="HC49" s="46"/>
      <c r="HD49" s="46"/>
      <c r="HE49" s="46"/>
      <c r="HF49" s="46"/>
      <c r="HG49" s="46"/>
      <c r="HH49" s="46"/>
      <c r="HI49" s="46"/>
      <c r="HJ49" s="46"/>
      <c r="HK49" s="46"/>
      <c r="HL49" s="46"/>
      <c r="HM49" s="46"/>
      <c r="HN49" s="46"/>
      <c r="HO49" s="46"/>
      <c r="HP49" s="46"/>
      <c r="HQ49" s="46"/>
      <c r="HR49" s="46"/>
      <c r="HS49" s="46"/>
      <c r="HT49" s="46"/>
      <c r="HU49" s="46"/>
      <c r="HV49" s="46"/>
      <c r="HW49" s="46"/>
      <c r="HX49" s="46"/>
      <c r="HY49" s="46"/>
      <c r="HZ49" s="46"/>
      <c r="IA49" s="46"/>
      <c r="IB49" s="46"/>
      <c r="IC49" s="46"/>
      <c r="ID49" s="46"/>
      <c r="IE49" s="46"/>
      <c r="IF49" s="46"/>
      <c r="IG49" s="46"/>
      <c r="IH49" s="46"/>
      <c r="II49" s="46"/>
      <c r="IJ49" s="46"/>
      <c r="IK49" s="46"/>
      <c r="IL49" s="46"/>
      <c r="IM49" s="46"/>
      <c r="IN49" s="46"/>
      <c r="IO49" s="46"/>
      <c r="IP49" s="46"/>
      <c r="IQ49" s="46"/>
      <c r="IR49" s="46"/>
      <c r="IS49" s="46"/>
      <c r="IT49" s="46"/>
      <c r="IU49" s="46"/>
    </row>
    <row r="50" spans="1:255" ht="20.100000000000001" customHeight="1">
      <c r="A50" s="15"/>
      <c r="B50" s="15"/>
      <c r="C50" s="58"/>
      <c r="D50" s="58"/>
      <c r="E50" s="59"/>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6"/>
      <c r="GJ50" s="46"/>
      <c r="GK50" s="46"/>
      <c r="GL50" s="46"/>
      <c r="GM50" s="46"/>
      <c r="GN50" s="46"/>
      <c r="GO50" s="46"/>
      <c r="GP50" s="46"/>
      <c r="GQ50" s="46"/>
      <c r="GR50" s="46"/>
      <c r="GS50" s="46"/>
      <c r="GT50" s="46"/>
      <c r="GU50" s="46"/>
      <c r="GV50" s="46"/>
      <c r="GW50" s="46"/>
      <c r="GX50" s="46"/>
      <c r="GY50" s="46"/>
      <c r="GZ50" s="46"/>
      <c r="HA50" s="46"/>
      <c r="HB50" s="46"/>
      <c r="HC50" s="46"/>
      <c r="HD50" s="46"/>
      <c r="HE50" s="46"/>
      <c r="HF50" s="46"/>
      <c r="HG50" s="46"/>
      <c r="HH50" s="46"/>
      <c r="HI50" s="46"/>
      <c r="HJ50" s="46"/>
      <c r="HK50" s="46"/>
      <c r="HL50" s="46"/>
      <c r="HM50" s="46"/>
      <c r="HN50" s="46"/>
      <c r="HO50" s="46"/>
      <c r="HP50" s="46"/>
      <c r="HQ50" s="46"/>
      <c r="HR50" s="46"/>
      <c r="HS50" s="46"/>
      <c r="HT50" s="46"/>
      <c r="HU50" s="46"/>
      <c r="HV50" s="46"/>
      <c r="HW50" s="46"/>
      <c r="HX50" s="46"/>
      <c r="HY50" s="46"/>
      <c r="HZ50" s="46"/>
      <c r="IA50" s="46"/>
      <c r="IB50" s="46"/>
      <c r="IC50" s="46"/>
      <c r="ID50" s="46"/>
      <c r="IE50" s="46"/>
      <c r="IF50" s="46"/>
      <c r="IG50" s="46"/>
      <c r="IH50" s="46"/>
      <c r="II50" s="46"/>
      <c r="IJ50" s="46"/>
      <c r="IK50" s="46"/>
      <c r="IL50" s="46"/>
      <c r="IM50" s="46"/>
      <c r="IN50" s="46"/>
      <c r="IO50" s="46"/>
      <c r="IP50" s="46"/>
      <c r="IQ50" s="46"/>
      <c r="IR50" s="46"/>
      <c r="IS50" s="46"/>
      <c r="IT50" s="46"/>
      <c r="IU50" s="46"/>
    </row>
    <row r="51" spans="1:255">
      <c r="C51" s="60"/>
      <c r="D51" s="60"/>
      <c r="E51" s="61"/>
      <c r="F51" s="46"/>
      <c r="G51" s="177"/>
      <c r="H51" s="177"/>
      <c r="I51" s="177"/>
      <c r="J51" s="177"/>
      <c r="K51" s="177"/>
      <c r="L51" s="178"/>
      <c r="M51" s="178"/>
      <c r="N51" s="178"/>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c r="BF51" s="46"/>
      <c r="BG51" s="46"/>
      <c r="BH51" s="46"/>
      <c r="BI51" s="46"/>
      <c r="BJ51" s="46"/>
      <c r="BK51" s="46"/>
      <c r="BL51" s="46"/>
      <c r="BM51" s="46"/>
      <c r="BN51" s="46"/>
      <c r="BO51" s="46"/>
      <c r="BP51" s="46"/>
      <c r="BQ51" s="46"/>
      <c r="BR51" s="46"/>
      <c r="BS51" s="46"/>
      <c r="BT51" s="46"/>
      <c r="BU51" s="46"/>
      <c r="BV51" s="46"/>
      <c r="BW51" s="46"/>
      <c r="BX51" s="46"/>
      <c r="BY51" s="46"/>
      <c r="BZ51" s="46"/>
      <c r="CA51" s="46"/>
      <c r="CB51" s="46"/>
      <c r="CC51" s="46"/>
      <c r="CD51" s="46"/>
      <c r="CE51" s="46"/>
      <c r="CF51" s="46"/>
      <c r="CG51" s="46"/>
      <c r="CH51" s="46"/>
      <c r="CI51" s="46"/>
      <c r="CJ51" s="46"/>
      <c r="CK51" s="46"/>
      <c r="CL51" s="46"/>
      <c r="CM51" s="46"/>
      <c r="CN51" s="46"/>
      <c r="CO51" s="46"/>
      <c r="CP51" s="46"/>
      <c r="CQ51" s="46"/>
      <c r="CR51" s="46"/>
      <c r="CS51" s="46"/>
      <c r="CT51" s="46"/>
      <c r="CU51" s="46"/>
      <c r="CV51" s="46"/>
      <c r="CW51" s="46"/>
      <c r="CX51" s="46"/>
      <c r="CY51" s="46"/>
      <c r="CZ51" s="46"/>
      <c r="DA51" s="46"/>
      <c r="DB51" s="46"/>
      <c r="DC51" s="46"/>
      <c r="DD51" s="46"/>
      <c r="DE51" s="46"/>
      <c r="DF51" s="46"/>
      <c r="DG51" s="46"/>
      <c r="DH51" s="46"/>
      <c r="DI51" s="46"/>
      <c r="DJ51" s="46"/>
      <c r="DK51" s="46"/>
      <c r="DL51" s="46"/>
      <c r="DM51" s="46"/>
      <c r="DN51" s="46"/>
      <c r="DO51" s="46"/>
      <c r="DP51" s="46"/>
      <c r="DQ51" s="46"/>
      <c r="DR51" s="46"/>
      <c r="DS51" s="46"/>
      <c r="DT51" s="46"/>
      <c r="DU51" s="46"/>
      <c r="DV51" s="46"/>
      <c r="DW51" s="46"/>
      <c r="DX51" s="46"/>
      <c r="DY51" s="46"/>
      <c r="DZ51" s="46"/>
      <c r="EA51" s="46"/>
      <c r="EB51" s="46"/>
      <c r="EC51" s="46"/>
      <c r="ED51" s="46"/>
      <c r="EE51" s="46"/>
      <c r="EF51" s="46"/>
      <c r="EG51" s="46"/>
      <c r="EH51" s="46"/>
      <c r="EI51" s="46"/>
      <c r="EJ51" s="46"/>
      <c r="EK51" s="46"/>
      <c r="EL51" s="46"/>
      <c r="EM51" s="46"/>
      <c r="EN51" s="46"/>
      <c r="EO51" s="46"/>
      <c r="EP51" s="46"/>
      <c r="EQ51" s="46"/>
      <c r="ER51" s="46"/>
      <c r="ES51" s="46"/>
      <c r="ET51" s="46"/>
      <c r="EU51" s="46"/>
      <c r="EV51" s="46"/>
      <c r="EW51" s="46"/>
      <c r="EX51" s="46"/>
      <c r="EY51" s="46"/>
      <c r="EZ51" s="46"/>
      <c r="FA51" s="46"/>
      <c r="FB51" s="46"/>
      <c r="FC51" s="46"/>
      <c r="FD51" s="46"/>
      <c r="FE51" s="46"/>
      <c r="FF51" s="46"/>
      <c r="FG51" s="46"/>
      <c r="FH51" s="46"/>
      <c r="FI51" s="46"/>
      <c r="FJ51" s="46"/>
      <c r="FK51" s="46"/>
      <c r="FL51" s="46"/>
      <c r="FM51" s="46"/>
      <c r="FN51" s="46"/>
      <c r="FO51" s="46"/>
      <c r="FP51" s="46"/>
      <c r="FQ51" s="46"/>
      <c r="FR51" s="46"/>
      <c r="FS51" s="46"/>
      <c r="FT51" s="46"/>
      <c r="FU51" s="46"/>
      <c r="FV51" s="46"/>
      <c r="FW51" s="46"/>
      <c r="FX51" s="46"/>
      <c r="FY51" s="46"/>
      <c r="FZ51" s="46"/>
      <c r="GA51" s="46"/>
      <c r="GB51" s="46"/>
      <c r="GC51" s="46"/>
      <c r="GD51" s="46"/>
      <c r="GE51" s="46"/>
      <c r="GF51" s="46"/>
      <c r="GG51" s="46"/>
      <c r="GH51" s="46"/>
      <c r="GI51" s="46"/>
      <c r="GJ51" s="46"/>
      <c r="GK51" s="46"/>
      <c r="GL51" s="46"/>
      <c r="GM51" s="46"/>
      <c r="GN51" s="46"/>
      <c r="GO51" s="46"/>
      <c r="GP51" s="46"/>
      <c r="GQ51" s="46"/>
      <c r="GR51" s="46"/>
      <c r="GS51" s="46"/>
      <c r="GT51" s="46"/>
      <c r="GU51" s="46"/>
      <c r="GV51" s="46"/>
      <c r="GW51" s="46"/>
      <c r="GX51" s="46"/>
      <c r="GY51" s="46"/>
      <c r="GZ51" s="46"/>
      <c r="HA51" s="46"/>
      <c r="HB51" s="46"/>
      <c r="HC51" s="46"/>
      <c r="HD51" s="46"/>
      <c r="HE51" s="46"/>
      <c r="HF51" s="46"/>
      <c r="HG51" s="46"/>
      <c r="HH51" s="46"/>
      <c r="HI51" s="46"/>
      <c r="HJ51" s="46"/>
      <c r="HK51" s="46"/>
      <c r="HL51" s="46"/>
      <c r="HM51" s="46"/>
      <c r="HN51" s="46"/>
      <c r="HO51" s="46"/>
      <c r="HP51" s="46"/>
      <c r="HQ51" s="46"/>
      <c r="HR51" s="46"/>
      <c r="HS51" s="46"/>
      <c r="HT51" s="46"/>
      <c r="HU51" s="46"/>
      <c r="HV51" s="46"/>
      <c r="HW51" s="46"/>
      <c r="HX51" s="46"/>
      <c r="HY51" s="46"/>
      <c r="HZ51" s="46"/>
      <c r="IA51" s="46"/>
      <c r="IB51" s="46"/>
      <c r="IC51" s="46"/>
      <c r="ID51" s="46"/>
      <c r="IE51" s="46"/>
      <c r="IF51" s="46"/>
      <c r="IG51" s="46"/>
      <c r="IH51" s="46"/>
      <c r="II51" s="46"/>
      <c r="IJ51" s="46"/>
      <c r="IK51" s="46"/>
      <c r="IL51" s="46"/>
      <c r="IM51" s="46"/>
      <c r="IN51" s="46"/>
      <c r="IO51" s="46"/>
      <c r="IP51" s="46"/>
      <c r="IQ51" s="46"/>
      <c r="IR51" s="46"/>
      <c r="IS51" s="46"/>
      <c r="IT51" s="46"/>
      <c r="IU51" s="46"/>
    </row>
    <row r="52" spans="1:255">
      <c r="B52" s="62" t="s">
        <v>119</v>
      </c>
      <c r="C52" s="60"/>
      <c r="D52" s="60"/>
      <c r="E52" s="61"/>
      <c r="F52" s="46"/>
      <c r="G52" s="46"/>
      <c r="H52" s="46"/>
      <c r="I52" s="46"/>
      <c r="J52" s="172"/>
      <c r="K52" s="172"/>
      <c r="L52" s="53"/>
      <c r="M52" s="53"/>
      <c r="N52" s="53"/>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46"/>
      <c r="BL52" s="46"/>
      <c r="BM52" s="46"/>
      <c r="BN52" s="46"/>
      <c r="BO52" s="46"/>
      <c r="BP52" s="46"/>
      <c r="BQ52" s="46"/>
      <c r="BR52" s="46"/>
      <c r="BS52" s="46"/>
      <c r="BT52" s="46"/>
      <c r="BU52" s="46"/>
      <c r="BV52" s="46"/>
      <c r="BW52" s="46"/>
      <c r="BX52" s="46"/>
      <c r="BY52" s="46"/>
      <c r="BZ52" s="46"/>
      <c r="CA52" s="46"/>
      <c r="CB52" s="46"/>
      <c r="CC52" s="46"/>
      <c r="CD52" s="46"/>
      <c r="CE52" s="46"/>
      <c r="CF52" s="46"/>
      <c r="CG52" s="46"/>
      <c r="CH52" s="46"/>
      <c r="CI52" s="46"/>
      <c r="CJ52" s="46"/>
      <c r="CK52" s="46"/>
      <c r="CL52" s="46"/>
      <c r="CM52" s="46"/>
      <c r="CN52" s="46"/>
      <c r="CO52" s="46"/>
      <c r="CP52" s="46"/>
      <c r="CQ52" s="46"/>
      <c r="CR52" s="46"/>
      <c r="CS52" s="46"/>
      <c r="CT52" s="46"/>
      <c r="CU52" s="46"/>
      <c r="CV52" s="46"/>
      <c r="CW52" s="46"/>
      <c r="CX52" s="46"/>
      <c r="CY52" s="46"/>
      <c r="CZ52" s="46"/>
      <c r="DA52" s="46"/>
      <c r="DB52" s="46"/>
      <c r="DC52" s="46"/>
      <c r="DD52" s="46"/>
      <c r="DE52" s="46"/>
      <c r="DF52" s="46"/>
      <c r="DG52" s="46"/>
      <c r="DH52" s="46"/>
      <c r="DI52" s="46"/>
      <c r="DJ52" s="46"/>
      <c r="DK52" s="46"/>
      <c r="DL52" s="46"/>
      <c r="DM52" s="46"/>
      <c r="DN52" s="46"/>
      <c r="DO52" s="46"/>
      <c r="DP52" s="46"/>
      <c r="DQ52" s="46"/>
      <c r="DR52" s="46"/>
      <c r="DS52" s="46"/>
      <c r="DT52" s="46"/>
      <c r="DU52" s="46"/>
      <c r="DV52" s="46"/>
      <c r="DW52" s="46"/>
      <c r="DX52" s="46"/>
      <c r="DY52" s="46"/>
      <c r="DZ52" s="46"/>
      <c r="EA52" s="46"/>
      <c r="EB52" s="46"/>
      <c r="EC52" s="46"/>
      <c r="ED52" s="46"/>
      <c r="EE52" s="46"/>
      <c r="EF52" s="46"/>
      <c r="EG52" s="46"/>
      <c r="EH52" s="46"/>
      <c r="EI52" s="46"/>
      <c r="EJ52" s="46"/>
      <c r="EK52" s="46"/>
      <c r="EL52" s="46"/>
      <c r="EM52" s="46"/>
      <c r="EN52" s="46"/>
      <c r="EO52" s="46"/>
      <c r="EP52" s="46"/>
      <c r="EQ52" s="46"/>
      <c r="ER52" s="46"/>
      <c r="ES52" s="46"/>
      <c r="ET52" s="46"/>
      <c r="EU52" s="46"/>
      <c r="EV52" s="46"/>
      <c r="EW52" s="46"/>
      <c r="EX52" s="46"/>
      <c r="EY52" s="46"/>
      <c r="EZ52" s="46"/>
      <c r="FA52" s="46"/>
      <c r="FB52" s="46"/>
      <c r="FC52" s="46"/>
      <c r="FD52" s="46"/>
      <c r="FE52" s="46"/>
      <c r="FF52" s="46"/>
      <c r="FG52" s="46"/>
      <c r="FH52" s="46"/>
      <c r="FI52" s="46"/>
      <c r="FJ52" s="46"/>
      <c r="FK52" s="46"/>
      <c r="FL52" s="46"/>
      <c r="FM52" s="46"/>
      <c r="FN52" s="46"/>
      <c r="FO52" s="46"/>
      <c r="FP52" s="46"/>
      <c r="FQ52" s="46"/>
      <c r="FR52" s="46"/>
      <c r="FS52" s="46"/>
      <c r="FT52" s="46"/>
      <c r="FU52" s="46"/>
      <c r="FV52" s="46"/>
      <c r="FW52" s="46"/>
      <c r="FX52" s="46"/>
      <c r="FY52" s="46"/>
      <c r="FZ52" s="46"/>
      <c r="GA52" s="46"/>
      <c r="GB52" s="46"/>
      <c r="GC52" s="46"/>
      <c r="GD52" s="46"/>
      <c r="GE52" s="46"/>
      <c r="GF52" s="46"/>
      <c r="GG52" s="46"/>
      <c r="GH52" s="46"/>
      <c r="GI52" s="46"/>
      <c r="GJ52" s="46"/>
      <c r="GK52" s="46"/>
      <c r="GL52" s="46"/>
      <c r="GM52" s="46"/>
      <c r="GN52" s="46"/>
      <c r="GO52" s="46"/>
      <c r="GP52" s="46"/>
      <c r="GQ52" s="46"/>
      <c r="GR52" s="46"/>
      <c r="GS52" s="46"/>
      <c r="GT52" s="46"/>
      <c r="GU52" s="46"/>
      <c r="GV52" s="46"/>
      <c r="GW52" s="46"/>
      <c r="GX52" s="46"/>
      <c r="GY52" s="46"/>
      <c r="GZ52" s="46"/>
      <c r="HA52" s="46"/>
      <c r="HB52" s="46"/>
      <c r="HC52" s="46"/>
      <c r="HD52" s="46"/>
      <c r="HE52" s="46"/>
      <c r="HF52" s="46"/>
      <c r="HG52" s="46"/>
      <c r="HH52" s="46"/>
      <c r="HI52" s="46"/>
      <c r="HJ52" s="46"/>
      <c r="HK52" s="46"/>
      <c r="HL52" s="46"/>
      <c r="HM52" s="46"/>
      <c r="HN52" s="46"/>
      <c r="HO52" s="46"/>
      <c r="HP52" s="46"/>
      <c r="HQ52" s="46"/>
      <c r="HR52" s="46"/>
      <c r="HS52" s="46"/>
      <c r="HT52" s="46"/>
      <c r="HU52" s="46"/>
      <c r="HV52" s="46"/>
      <c r="HW52" s="46"/>
      <c r="HX52" s="46"/>
      <c r="HY52" s="46"/>
      <c r="HZ52" s="46"/>
      <c r="IA52" s="46"/>
      <c r="IB52" s="46"/>
      <c r="IC52" s="46"/>
      <c r="ID52" s="46"/>
      <c r="IE52" s="46"/>
      <c r="IF52" s="46"/>
      <c r="IG52" s="46"/>
      <c r="IH52" s="46"/>
      <c r="II52" s="46"/>
      <c r="IJ52" s="46"/>
      <c r="IK52" s="46"/>
      <c r="IL52" s="46"/>
      <c r="IM52" s="46"/>
      <c r="IN52" s="46"/>
      <c r="IO52" s="46"/>
      <c r="IP52" s="46"/>
      <c r="IQ52" s="46"/>
      <c r="IR52" s="46"/>
      <c r="IS52" s="46"/>
      <c r="IT52" s="46"/>
      <c r="IU52" s="46"/>
    </row>
    <row r="53" spans="1:255">
      <c r="C53" s="60"/>
      <c r="D53" s="60"/>
      <c r="E53" s="61"/>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c r="BF53" s="46"/>
      <c r="BG53" s="46"/>
      <c r="BH53" s="46"/>
      <c r="BI53" s="46"/>
      <c r="BJ53" s="46"/>
      <c r="BK53" s="46"/>
      <c r="BL53" s="46"/>
      <c r="BM53" s="46"/>
      <c r="BN53" s="46"/>
      <c r="BO53" s="46"/>
      <c r="BP53" s="46"/>
      <c r="BQ53" s="46"/>
      <c r="BR53" s="46"/>
      <c r="BS53" s="46"/>
      <c r="BT53" s="46"/>
      <c r="BU53" s="46"/>
      <c r="BV53" s="46"/>
      <c r="BW53" s="46"/>
      <c r="BX53" s="46"/>
      <c r="BY53" s="46"/>
      <c r="BZ53" s="46"/>
      <c r="CA53" s="46"/>
      <c r="CB53" s="46"/>
      <c r="CC53" s="46"/>
      <c r="CD53" s="46"/>
      <c r="CE53" s="46"/>
      <c r="CF53" s="46"/>
      <c r="CG53" s="46"/>
      <c r="CH53" s="46"/>
      <c r="CI53" s="46"/>
      <c r="CJ53" s="46"/>
      <c r="CK53" s="46"/>
      <c r="CL53" s="46"/>
      <c r="CM53" s="46"/>
      <c r="CN53" s="46"/>
      <c r="CO53" s="46"/>
      <c r="CP53" s="46"/>
      <c r="CQ53" s="46"/>
      <c r="CR53" s="46"/>
      <c r="CS53" s="46"/>
      <c r="CT53" s="46"/>
      <c r="CU53" s="46"/>
      <c r="CV53" s="46"/>
      <c r="CW53" s="46"/>
      <c r="CX53" s="46"/>
      <c r="CY53" s="46"/>
      <c r="CZ53" s="46"/>
      <c r="DA53" s="46"/>
      <c r="DB53" s="46"/>
      <c r="DC53" s="46"/>
      <c r="DD53" s="46"/>
      <c r="DE53" s="46"/>
      <c r="DF53" s="46"/>
      <c r="DG53" s="46"/>
      <c r="DH53" s="46"/>
      <c r="DI53" s="46"/>
      <c r="DJ53" s="46"/>
      <c r="DK53" s="46"/>
      <c r="DL53" s="46"/>
      <c r="DM53" s="46"/>
      <c r="DN53" s="46"/>
      <c r="DO53" s="46"/>
      <c r="DP53" s="46"/>
      <c r="DQ53" s="46"/>
      <c r="DR53" s="46"/>
      <c r="DS53" s="46"/>
      <c r="DT53" s="46"/>
      <c r="DU53" s="46"/>
      <c r="DV53" s="46"/>
      <c r="DW53" s="46"/>
      <c r="DX53" s="46"/>
      <c r="DY53" s="46"/>
      <c r="DZ53" s="46"/>
      <c r="EA53" s="46"/>
      <c r="EB53" s="46"/>
      <c r="EC53" s="46"/>
      <c r="ED53" s="46"/>
      <c r="EE53" s="46"/>
      <c r="EF53" s="46"/>
      <c r="EG53" s="46"/>
      <c r="EH53" s="46"/>
      <c r="EI53" s="46"/>
      <c r="EJ53" s="46"/>
      <c r="EK53" s="46"/>
      <c r="EL53" s="46"/>
      <c r="EM53" s="46"/>
      <c r="EN53" s="46"/>
      <c r="EO53" s="46"/>
      <c r="EP53" s="46"/>
      <c r="EQ53" s="46"/>
      <c r="ER53" s="46"/>
      <c r="ES53" s="46"/>
      <c r="ET53" s="46"/>
      <c r="EU53" s="46"/>
      <c r="EV53" s="46"/>
      <c r="EW53" s="46"/>
      <c r="EX53" s="46"/>
      <c r="EY53" s="46"/>
      <c r="EZ53" s="46"/>
      <c r="FA53" s="46"/>
      <c r="FB53" s="46"/>
      <c r="FC53" s="46"/>
      <c r="FD53" s="46"/>
      <c r="FE53" s="46"/>
      <c r="FF53" s="46"/>
      <c r="FG53" s="46"/>
      <c r="FH53" s="46"/>
      <c r="FI53" s="46"/>
      <c r="FJ53" s="46"/>
      <c r="FK53" s="46"/>
      <c r="FL53" s="46"/>
      <c r="FM53" s="46"/>
      <c r="FN53" s="46"/>
      <c r="FO53" s="46"/>
      <c r="FP53" s="46"/>
      <c r="FQ53" s="46"/>
      <c r="FR53" s="46"/>
      <c r="FS53" s="46"/>
      <c r="FT53" s="46"/>
      <c r="FU53" s="46"/>
      <c r="FV53" s="46"/>
      <c r="FW53" s="46"/>
      <c r="FX53" s="46"/>
      <c r="FY53" s="46"/>
      <c r="FZ53" s="46"/>
      <c r="GA53" s="46"/>
      <c r="GB53" s="46"/>
      <c r="GC53" s="46"/>
      <c r="GD53" s="46"/>
      <c r="GE53" s="46"/>
      <c r="GF53" s="46"/>
      <c r="GG53" s="46"/>
      <c r="GH53" s="46"/>
      <c r="GI53" s="46"/>
      <c r="GJ53" s="46"/>
      <c r="GK53" s="46"/>
      <c r="GL53" s="46"/>
      <c r="GM53" s="46"/>
      <c r="GN53" s="46"/>
      <c r="GO53" s="46"/>
      <c r="GP53" s="46"/>
      <c r="GQ53" s="46"/>
      <c r="GR53" s="46"/>
      <c r="GS53" s="46"/>
      <c r="GT53" s="46"/>
      <c r="GU53" s="46"/>
      <c r="GV53" s="46"/>
      <c r="GW53" s="46"/>
      <c r="GX53" s="46"/>
      <c r="GY53" s="46"/>
      <c r="GZ53" s="46"/>
      <c r="HA53" s="46"/>
      <c r="HB53" s="46"/>
      <c r="HC53" s="46"/>
      <c r="HD53" s="46"/>
      <c r="HE53" s="46"/>
      <c r="HF53" s="46"/>
      <c r="HG53" s="46"/>
      <c r="HH53" s="46"/>
      <c r="HI53" s="46"/>
      <c r="HJ53" s="46"/>
      <c r="HK53" s="46"/>
      <c r="HL53" s="46"/>
      <c r="HM53" s="46"/>
      <c r="HN53" s="46"/>
      <c r="HO53" s="46"/>
      <c r="HP53" s="46"/>
      <c r="HQ53" s="46"/>
      <c r="HR53" s="46"/>
      <c r="HS53" s="46"/>
      <c r="HT53" s="46"/>
      <c r="HU53" s="46"/>
      <c r="HV53" s="46"/>
      <c r="HW53" s="46"/>
      <c r="HX53" s="46"/>
      <c r="HY53" s="46"/>
      <c r="HZ53" s="46"/>
      <c r="IA53" s="46"/>
      <c r="IB53" s="46"/>
      <c r="IC53" s="46"/>
      <c r="ID53" s="46"/>
      <c r="IE53" s="46"/>
      <c r="IF53" s="46"/>
      <c r="IG53" s="46"/>
      <c r="IH53" s="46"/>
      <c r="II53" s="46"/>
      <c r="IJ53" s="46"/>
      <c r="IK53" s="46"/>
      <c r="IL53" s="46"/>
      <c r="IM53" s="46"/>
      <c r="IN53" s="46"/>
      <c r="IO53" s="46"/>
      <c r="IP53" s="46"/>
      <c r="IQ53" s="46"/>
      <c r="IR53" s="46"/>
      <c r="IS53" s="46"/>
      <c r="IT53" s="46"/>
      <c r="IU53" s="46"/>
    </row>
    <row r="54" spans="1:255" ht="22.5" customHeight="1">
      <c r="A54" s="63" t="s">
        <v>21</v>
      </c>
      <c r="B54" s="64" t="s">
        <v>120</v>
      </c>
      <c r="C54" s="65">
        <f>C55+C60+C64+C68+C72+C73+C74+C75+C80+C81</f>
        <v>0</v>
      </c>
      <c r="D54" s="65">
        <f>D55+D60+D64+D68+D72+D73+D74+D75+D80+D81</f>
        <v>0</v>
      </c>
      <c r="E54" s="65">
        <f t="shared" ref="E54:E95" si="1">C54-D54</f>
        <v>0</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c r="BF54" s="46"/>
      <c r="BG54" s="46"/>
      <c r="BH54" s="46"/>
      <c r="BI54" s="46"/>
      <c r="BJ54" s="46"/>
      <c r="BK54" s="46"/>
      <c r="BL54" s="46"/>
      <c r="BM54" s="46"/>
      <c r="BN54" s="46"/>
      <c r="BO54" s="46"/>
      <c r="BP54" s="46"/>
      <c r="BQ54" s="46"/>
      <c r="BR54" s="46"/>
      <c r="BS54" s="46"/>
      <c r="BT54" s="46"/>
      <c r="BU54" s="46"/>
      <c r="BV54" s="46"/>
      <c r="BW54" s="46"/>
      <c r="BX54" s="46"/>
      <c r="BY54" s="46"/>
      <c r="BZ54" s="46"/>
      <c r="CA54" s="46"/>
      <c r="CB54" s="46"/>
      <c r="CC54" s="46"/>
      <c r="CD54" s="46"/>
      <c r="CE54" s="46"/>
      <c r="CF54" s="46"/>
      <c r="CG54" s="46"/>
      <c r="CH54" s="46"/>
      <c r="CI54" s="46"/>
      <c r="CJ54" s="46"/>
      <c r="CK54" s="46"/>
      <c r="CL54" s="46"/>
      <c r="CM54" s="46"/>
      <c r="CN54" s="46"/>
      <c r="CO54" s="46"/>
      <c r="CP54" s="46"/>
      <c r="CQ54" s="46"/>
      <c r="CR54" s="46"/>
      <c r="CS54" s="46"/>
      <c r="CT54" s="46"/>
      <c r="CU54" s="46"/>
      <c r="CV54" s="46"/>
      <c r="CW54" s="46"/>
      <c r="CX54" s="46"/>
      <c r="CY54" s="46"/>
      <c r="CZ54" s="46"/>
      <c r="DA54" s="46"/>
      <c r="DB54" s="46"/>
      <c r="DC54" s="46"/>
      <c r="DD54" s="46"/>
      <c r="DE54" s="46"/>
      <c r="DF54" s="46"/>
      <c r="DG54" s="46"/>
      <c r="DH54" s="46"/>
      <c r="DI54" s="46"/>
      <c r="DJ54" s="46"/>
      <c r="DK54" s="46"/>
      <c r="DL54" s="46"/>
      <c r="DM54" s="46"/>
      <c r="DN54" s="46"/>
      <c r="DO54" s="46"/>
      <c r="DP54" s="46"/>
      <c r="DQ54" s="46"/>
      <c r="DR54" s="46"/>
      <c r="DS54" s="46"/>
      <c r="DT54" s="46"/>
      <c r="DU54" s="46"/>
      <c r="DV54" s="46"/>
      <c r="DW54" s="46"/>
      <c r="DX54" s="46"/>
      <c r="DY54" s="46"/>
      <c r="DZ54" s="46"/>
      <c r="EA54" s="46"/>
      <c r="EB54" s="46"/>
      <c r="EC54" s="46"/>
      <c r="ED54" s="46"/>
      <c r="EE54" s="46"/>
      <c r="EF54" s="46"/>
      <c r="EG54" s="46"/>
      <c r="EH54" s="46"/>
      <c r="EI54" s="46"/>
      <c r="EJ54" s="46"/>
      <c r="EK54" s="46"/>
      <c r="EL54" s="46"/>
      <c r="EM54" s="46"/>
      <c r="EN54" s="46"/>
      <c r="EO54" s="46"/>
      <c r="EP54" s="46"/>
      <c r="EQ54" s="46"/>
      <c r="ER54" s="46"/>
      <c r="ES54" s="46"/>
      <c r="ET54" s="46"/>
      <c r="EU54" s="46"/>
      <c r="EV54" s="46"/>
      <c r="EW54" s="46"/>
      <c r="EX54" s="46"/>
      <c r="EY54" s="46"/>
      <c r="EZ54" s="46"/>
      <c r="FA54" s="46"/>
      <c r="FB54" s="46"/>
      <c r="FC54" s="46"/>
      <c r="FD54" s="46"/>
      <c r="FE54" s="46"/>
      <c r="FF54" s="46"/>
      <c r="FG54" s="46"/>
      <c r="FH54" s="46"/>
      <c r="FI54" s="46"/>
      <c r="FJ54" s="46"/>
      <c r="FK54" s="46"/>
      <c r="FL54" s="46"/>
      <c r="FM54" s="46"/>
      <c r="FN54" s="46"/>
      <c r="FO54" s="46"/>
      <c r="FP54" s="46"/>
      <c r="FQ54" s="46"/>
      <c r="FR54" s="46"/>
      <c r="FS54" s="46"/>
      <c r="FT54" s="46"/>
      <c r="FU54" s="46"/>
      <c r="FV54" s="46"/>
      <c r="FW54" s="46"/>
      <c r="FX54" s="46"/>
      <c r="FY54" s="46"/>
      <c r="FZ54" s="46"/>
      <c r="GA54" s="46"/>
      <c r="GB54" s="46"/>
      <c r="GC54" s="46"/>
      <c r="GD54" s="46"/>
      <c r="GE54" s="46"/>
      <c r="GF54" s="46"/>
      <c r="GG54" s="46"/>
      <c r="GH54" s="46"/>
      <c r="GI54" s="46"/>
      <c r="GJ54" s="46"/>
      <c r="GK54" s="46"/>
      <c r="GL54" s="46"/>
      <c r="GM54" s="46"/>
      <c r="GN54" s="46"/>
      <c r="GO54" s="46"/>
      <c r="GP54" s="46"/>
      <c r="GQ54" s="46"/>
      <c r="GR54" s="46"/>
      <c r="GS54" s="46"/>
      <c r="GT54" s="46"/>
      <c r="GU54" s="46"/>
      <c r="GV54" s="46"/>
      <c r="GW54" s="46"/>
      <c r="GX54" s="46"/>
      <c r="GY54" s="46"/>
      <c r="GZ54" s="46"/>
      <c r="HA54" s="46"/>
      <c r="HB54" s="46"/>
      <c r="HC54" s="46"/>
      <c r="HD54" s="46"/>
      <c r="HE54" s="46"/>
      <c r="HF54" s="46"/>
      <c r="HG54" s="46"/>
      <c r="HH54" s="46"/>
      <c r="HI54" s="46"/>
      <c r="HJ54" s="46"/>
      <c r="HK54" s="46"/>
      <c r="HL54" s="46"/>
      <c r="HM54" s="46"/>
      <c r="HN54" s="46"/>
      <c r="HO54" s="46"/>
      <c r="HP54" s="46"/>
      <c r="HQ54" s="46"/>
      <c r="HR54" s="46"/>
      <c r="HS54" s="46"/>
      <c r="HT54" s="46"/>
      <c r="HU54" s="46"/>
      <c r="HV54" s="46"/>
      <c r="HW54" s="46"/>
      <c r="HX54" s="46"/>
      <c r="HY54" s="46"/>
      <c r="HZ54" s="46"/>
      <c r="IA54" s="46"/>
      <c r="IB54" s="46"/>
      <c r="IC54" s="46"/>
      <c r="ID54" s="46"/>
      <c r="IE54" s="46"/>
      <c r="IF54" s="46"/>
      <c r="IG54" s="46"/>
      <c r="IH54" s="46"/>
      <c r="II54" s="46"/>
      <c r="IJ54" s="46"/>
      <c r="IK54" s="46"/>
      <c r="IL54" s="46"/>
      <c r="IM54" s="46"/>
      <c r="IN54" s="46"/>
      <c r="IO54" s="46"/>
      <c r="IP54" s="46"/>
      <c r="IQ54" s="46"/>
      <c r="IR54" s="46"/>
      <c r="IS54" s="46"/>
      <c r="IT54" s="46"/>
      <c r="IU54" s="46"/>
    </row>
    <row r="55" spans="1:255" ht="21.75" customHeight="1">
      <c r="A55" s="32" t="s">
        <v>121</v>
      </c>
      <c r="B55" s="33" t="s">
        <v>122</v>
      </c>
      <c r="C55" s="36">
        <f>C56+C57+C58+C59</f>
        <v>0</v>
      </c>
      <c r="D55" s="36">
        <f>D56+D57+D58+D59</f>
        <v>0</v>
      </c>
      <c r="E55" s="36">
        <f t="shared" si="1"/>
        <v>0</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6"/>
      <c r="GJ55" s="46"/>
      <c r="GK55" s="46"/>
      <c r="GL55" s="46"/>
      <c r="GM55" s="46"/>
      <c r="GN55" s="46"/>
      <c r="GO55" s="46"/>
      <c r="GP55" s="46"/>
      <c r="GQ55" s="46"/>
      <c r="GR55" s="46"/>
      <c r="GS55" s="46"/>
      <c r="GT55" s="46"/>
      <c r="GU55" s="46"/>
      <c r="GV55" s="46"/>
      <c r="GW55" s="46"/>
      <c r="GX55" s="46"/>
      <c r="GY55" s="46"/>
      <c r="GZ55" s="46"/>
      <c r="HA55" s="46"/>
      <c r="HB55" s="46"/>
      <c r="HC55" s="46"/>
      <c r="HD55" s="46"/>
      <c r="HE55" s="46"/>
      <c r="HF55" s="46"/>
      <c r="HG55" s="46"/>
      <c r="HH55" s="46"/>
      <c r="HI55" s="46"/>
      <c r="HJ55" s="46"/>
      <c r="HK55" s="46"/>
      <c r="HL55" s="46"/>
      <c r="HM55" s="46"/>
      <c r="HN55" s="46"/>
      <c r="HO55" s="46"/>
      <c r="HP55" s="46"/>
      <c r="HQ55" s="46"/>
      <c r="HR55" s="46"/>
      <c r="HS55" s="46"/>
      <c r="HT55" s="46"/>
      <c r="HU55" s="46"/>
      <c r="HV55" s="46"/>
      <c r="HW55" s="46"/>
      <c r="HX55" s="46"/>
      <c r="HY55" s="46"/>
      <c r="HZ55" s="46"/>
      <c r="IA55" s="46"/>
      <c r="IB55" s="46"/>
      <c r="IC55" s="46"/>
      <c r="ID55" s="46"/>
      <c r="IE55" s="46"/>
      <c r="IF55" s="46"/>
      <c r="IG55" s="46"/>
      <c r="IH55" s="46"/>
      <c r="II55" s="46"/>
      <c r="IJ55" s="46"/>
      <c r="IK55" s="46"/>
      <c r="IL55" s="46"/>
      <c r="IM55" s="46"/>
      <c r="IN55" s="46"/>
      <c r="IO55" s="46"/>
      <c r="IP55" s="46"/>
      <c r="IQ55" s="46"/>
      <c r="IR55" s="46"/>
      <c r="IS55" s="46"/>
      <c r="IT55" s="46"/>
      <c r="IU55" s="46"/>
    </row>
    <row r="56" spans="1:255" ht="16.5" customHeight="1">
      <c r="A56" s="66" t="s">
        <v>123</v>
      </c>
      <c r="B56" s="67" t="s">
        <v>124</v>
      </c>
      <c r="C56" s="68">
        <v>0</v>
      </c>
      <c r="D56" s="68">
        <v>0</v>
      </c>
      <c r="E56" s="69">
        <f t="shared" si="1"/>
        <v>0</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c r="BF56" s="46"/>
      <c r="BG56" s="46"/>
      <c r="BH56" s="46"/>
      <c r="BI56" s="46"/>
      <c r="BJ56" s="46"/>
      <c r="BK56" s="46"/>
      <c r="BL56" s="46"/>
      <c r="BM56" s="46"/>
      <c r="BN56" s="46"/>
      <c r="BO56" s="46"/>
      <c r="BP56" s="46"/>
      <c r="BQ56" s="46"/>
      <c r="BR56" s="46"/>
      <c r="BS56" s="46"/>
      <c r="BT56" s="46"/>
      <c r="BU56" s="46"/>
      <c r="BV56" s="46"/>
      <c r="BW56" s="46"/>
      <c r="BX56" s="46"/>
      <c r="BY56" s="46"/>
      <c r="BZ56" s="46"/>
      <c r="CA56" s="46"/>
      <c r="CB56" s="46"/>
      <c r="CC56" s="46"/>
      <c r="CD56" s="46"/>
      <c r="CE56" s="46"/>
      <c r="CF56" s="46"/>
      <c r="CG56" s="46"/>
      <c r="CH56" s="46"/>
      <c r="CI56" s="46"/>
      <c r="CJ56" s="46"/>
      <c r="CK56" s="46"/>
      <c r="CL56" s="46"/>
      <c r="CM56" s="46"/>
      <c r="CN56" s="46"/>
      <c r="CO56" s="46"/>
      <c r="CP56" s="46"/>
      <c r="CQ56" s="46"/>
      <c r="CR56" s="46"/>
      <c r="CS56" s="46"/>
      <c r="CT56" s="46"/>
      <c r="CU56" s="46"/>
      <c r="CV56" s="46"/>
      <c r="CW56" s="46"/>
      <c r="CX56" s="46"/>
      <c r="CY56" s="46"/>
      <c r="CZ56" s="46"/>
      <c r="DA56" s="46"/>
      <c r="DB56" s="46"/>
      <c r="DC56" s="46"/>
      <c r="DD56" s="46"/>
      <c r="DE56" s="46"/>
      <c r="DF56" s="46"/>
      <c r="DG56" s="46"/>
      <c r="DH56" s="46"/>
      <c r="DI56" s="46"/>
      <c r="DJ56" s="46"/>
      <c r="DK56" s="46"/>
      <c r="DL56" s="46"/>
      <c r="DM56" s="46"/>
      <c r="DN56" s="46"/>
      <c r="DO56" s="46"/>
      <c r="DP56" s="46"/>
      <c r="DQ56" s="46"/>
      <c r="DR56" s="46"/>
      <c r="DS56" s="46"/>
      <c r="DT56" s="46"/>
      <c r="DU56" s="46"/>
      <c r="DV56" s="46"/>
      <c r="DW56" s="46"/>
      <c r="DX56" s="46"/>
      <c r="DY56" s="46"/>
      <c r="DZ56" s="46"/>
      <c r="EA56" s="46"/>
      <c r="EB56" s="46"/>
      <c r="EC56" s="46"/>
      <c r="ED56" s="46"/>
      <c r="EE56" s="46"/>
      <c r="EF56" s="46"/>
      <c r="EG56" s="46"/>
      <c r="EH56" s="46"/>
      <c r="EI56" s="46"/>
      <c r="EJ56" s="46"/>
      <c r="EK56" s="46"/>
      <c r="EL56" s="46"/>
      <c r="EM56" s="46"/>
      <c r="EN56" s="46"/>
      <c r="EO56" s="46"/>
      <c r="EP56" s="46"/>
      <c r="EQ56" s="46"/>
      <c r="ER56" s="46"/>
      <c r="ES56" s="46"/>
      <c r="ET56" s="46"/>
      <c r="EU56" s="46"/>
      <c r="EV56" s="46"/>
      <c r="EW56" s="46"/>
      <c r="EX56" s="46"/>
      <c r="EY56" s="46"/>
      <c r="EZ56" s="46"/>
      <c r="FA56" s="46"/>
      <c r="FB56" s="46"/>
      <c r="FC56" s="46"/>
      <c r="FD56" s="46"/>
      <c r="FE56" s="46"/>
      <c r="FF56" s="46"/>
      <c r="FG56" s="46"/>
      <c r="FH56" s="46"/>
      <c r="FI56" s="46"/>
      <c r="FJ56" s="46"/>
      <c r="FK56" s="46"/>
      <c r="FL56" s="46"/>
      <c r="FM56" s="46"/>
      <c r="FN56" s="46"/>
      <c r="FO56" s="46"/>
      <c r="FP56" s="46"/>
      <c r="FQ56" s="46"/>
      <c r="FR56" s="46"/>
      <c r="FS56" s="46"/>
      <c r="FT56" s="46"/>
      <c r="FU56" s="46"/>
      <c r="FV56" s="46"/>
      <c r="FW56" s="46"/>
      <c r="FX56" s="46"/>
      <c r="FY56" s="46"/>
      <c r="FZ56" s="46"/>
      <c r="GA56" s="46"/>
      <c r="GB56" s="46"/>
      <c r="GC56" s="46"/>
      <c r="GD56" s="46"/>
      <c r="GE56" s="46"/>
      <c r="GF56" s="46"/>
      <c r="GG56" s="46"/>
      <c r="GH56" s="46"/>
      <c r="GI56" s="46"/>
      <c r="GJ56" s="46"/>
      <c r="GK56" s="46"/>
      <c r="GL56" s="46"/>
      <c r="GM56" s="46"/>
      <c r="GN56" s="46"/>
      <c r="GO56" s="46"/>
      <c r="GP56" s="46"/>
      <c r="GQ56" s="46"/>
      <c r="GR56" s="46"/>
      <c r="GS56" s="46"/>
      <c r="GT56" s="46"/>
      <c r="GU56" s="46"/>
      <c r="GV56" s="46"/>
      <c r="GW56" s="46"/>
      <c r="GX56" s="46"/>
      <c r="GY56" s="46"/>
      <c r="GZ56" s="46"/>
      <c r="HA56" s="46"/>
      <c r="HB56" s="46"/>
      <c r="HC56" s="46"/>
      <c r="HD56" s="46"/>
      <c r="HE56" s="46"/>
      <c r="HF56" s="46"/>
      <c r="HG56" s="46"/>
      <c r="HH56" s="46"/>
      <c r="HI56" s="46"/>
      <c r="HJ56" s="46"/>
      <c r="HK56" s="46"/>
      <c r="HL56" s="46"/>
      <c r="HM56" s="46"/>
      <c r="HN56" s="46"/>
      <c r="HO56" s="46"/>
      <c r="HP56" s="46"/>
      <c r="HQ56" s="46"/>
      <c r="HR56" s="46"/>
      <c r="HS56" s="46"/>
      <c r="HT56" s="46"/>
      <c r="HU56" s="46"/>
      <c r="HV56" s="46"/>
      <c r="HW56" s="46"/>
      <c r="HX56" s="46"/>
      <c r="HY56" s="46"/>
      <c r="HZ56" s="46"/>
      <c r="IA56" s="46"/>
      <c r="IB56" s="46"/>
      <c r="IC56" s="46"/>
      <c r="ID56" s="46"/>
      <c r="IE56" s="46"/>
      <c r="IF56" s="46"/>
      <c r="IG56" s="46"/>
      <c r="IH56" s="46"/>
      <c r="II56" s="46"/>
      <c r="IJ56" s="46"/>
      <c r="IK56" s="46"/>
      <c r="IL56" s="46"/>
      <c r="IM56" s="46"/>
      <c r="IN56" s="46"/>
      <c r="IO56" s="46"/>
      <c r="IP56" s="46"/>
      <c r="IQ56" s="46"/>
      <c r="IR56" s="46"/>
      <c r="IS56" s="46"/>
      <c r="IT56" s="46"/>
      <c r="IU56" s="46"/>
    </row>
    <row r="57" spans="1:255">
      <c r="A57" s="26" t="s">
        <v>125</v>
      </c>
      <c r="B57" s="27" t="s">
        <v>126</v>
      </c>
      <c r="C57" s="30">
        <v>0</v>
      </c>
      <c r="D57" s="30">
        <v>0</v>
      </c>
      <c r="E57" s="29">
        <f t="shared" si="1"/>
        <v>0</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46"/>
      <c r="BY57" s="46"/>
      <c r="BZ57" s="46"/>
      <c r="CA57" s="46"/>
      <c r="CB57" s="46"/>
      <c r="CC57" s="46"/>
      <c r="CD57" s="46"/>
      <c r="CE57" s="46"/>
      <c r="CF57" s="46"/>
      <c r="CG57" s="46"/>
      <c r="CH57" s="46"/>
      <c r="CI57" s="46"/>
      <c r="CJ57" s="46"/>
      <c r="CK57" s="46"/>
      <c r="CL57" s="46"/>
      <c r="CM57" s="46"/>
      <c r="CN57" s="46"/>
      <c r="CO57" s="46"/>
      <c r="CP57" s="46"/>
      <c r="CQ57" s="46"/>
      <c r="CR57" s="46"/>
      <c r="CS57" s="46"/>
      <c r="CT57" s="46"/>
      <c r="CU57" s="46"/>
      <c r="CV57" s="46"/>
      <c r="CW57" s="46"/>
      <c r="CX57" s="46"/>
      <c r="CY57" s="46"/>
      <c r="CZ57" s="46"/>
      <c r="DA57" s="46"/>
      <c r="DB57" s="46"/>
      <c r="DC57" s="46"/>
      <c r="DD57" s="46"/>
      <c r="DE57" s="46"/>
      <c r="DF57" s="46"/>
      <c r="DG57" s="46"/>
      <c r="DH57" s="46"/>
      <c r="DI57" s="46"/>
      <c r="DJ57" s="46"/>
      <c r="DK57" s="46"/>
      <c r="DL57" s="46"/>
      <c r="DM57" s="46"/>
      <c r="DN57" s="46"/>
      <c r="DO57" s="46"/>
      <c r="DP57" s="46"/>
      <c r="DQ57" s="46"/>
      <c r="DR57" s="46"/>
      <c r="DS57" s="46"/>
      <c r="DT57" s="46"/>
      <c r="DU57" s="46"/>
      <c r="DV57" s="46"/>
      <c r="DW57" s="46"/>
      <c r="DX57" s="46"/>
      <c r="DY57" s="46"/>
      <c r="DZ57" s="46"/>
      <c r="EA57" s="46"/>
      <c r="EB57" s="46"/>
      <c r="EC57" s="46"/>
      <c r="ED57" s="46"/>
      <c r="EE57" s="46"/>
      <c r="EF57" s="46"/>
      <c r="EG57" s="46"/>
      <c r="EH57" s="46"/>
      <c r="EI57" s="46"/>
      <c r="EJ57" s="46"/>
      <c r="EK57" s="46"/>
      <c r="EL57" s="46"/>
      <c r="EM57" s="46"/>
      <c r="EN57" s="46"/>
      <c r="EO57" s="46"/>
      <c r="EP57" s="46"/>
      <c r="EQ57" s="46"/>
      <c r="ER57" s="46"/>
      <c r="ES57" s="46"/>
      <c r="ET57" s="46"/>
      <c r="EU57" s="46"/>
      <c r="EV57" s="46"/>
      <c r="EW57" s="46"/>
      <c r="EX57" s="46"/>
      <c r="EY57" s="46"/>
      <c r="EZ57" s="46"/>
      <c r="FA57" s="46"/>
      <c r="FB57" s="46"/>
      <c r="FC57" s="46"/>
      <c r="FD57" s="46"/>
      <c r="FE57" s="46"/>
      <c r="FF57" s="46"/>
      <c r="FG57" s="46"/>
      <c r="FH57" s="46"/>
      <c r="FI57" s="46"/>
      <c r="FJ57" s="46"/>
      <c r="FK57" s="46"/>
      <c r="FL57" s="46"/>
      <c r="FM57" s="46"/>
      <c r="FN57" s="46"/>
      <c r="FO57" s="46"/>
      <c r="FP57" s="46"/>
      <c r="FQ57" s="46"/>
      <c r="FR57" s="46"/>
      <c r="FS57" s="46"/>
      <c r="FT57" s="46"/>
      <c r="FU57" s="46"/>
      <c r="FV57" s="46"/>
      <c r="FW57" s="46"/>
      <c r="FX57" s="46"/>
      <c r="FY57" s="46"/>
      <c r="FZ57" s="46"/>
      <c r="GA57" s="46"/>
      <c r="GB57" s="46"/>
      <c r="GC57" s="46"/>
      <c r="GD57" s="46"/>
      <c r="GE57" s="46"/>
      <c r="GF57" s="46"/>
      <c r="GG57" s="46"/>
      <c r="GH57" s="46"/>
      <c r="GI57" s="46"/>
      <c r="GJ57" s="46"/>
      <c r="GK57" s="46"/>
      <c r="GL57" s="46"/>
      <c r="GM57" s="46"/>
      <c r="GN57" s="46"/>
      <c r="GO57" s="46"/>
      <c r="GP57" s="46"/>
      <c r="GQ57" s="46"/>
      <c r="GR57" s="46"/>
      <c r="GS57" s="46"/>
      <c r="GT57" s="46"/>
      <c r="GU57" s="46"/>
      <c r="GV57" s="46"/>
      <c r="GW57" s="46"/>
      <c r="GX57" s="46"/>
      <c r="GY57" s="46"/>
      <c r="GZ57" s="46"/>
      <c r="HA57" s="46"/>
      <c r="HB57" s="46"/>
      <c r="HC57" s="46"/>
      <c r="HD57" s="46"/>
      <c r="HE57" s="46"/>
      <c r="HF57" s="46"/>
      <c r="HG57" s="46"/>
      <c r="HH57" s="46"/>
      <c r="HI57" s="46"/>
      <c r="HJ57" s="46"/>
      <c r="HK57" s="46"/>
      <c r="HL57" s="46"/>
      <c r="HM57" s="46"/>
      <c r="HN57" s="46"/>
      <c r="HO57" s="46"/>
      <c r="HP57" s="46"/>
      <c r="HQ57" s="46"/>
      <c r="HR57" s="46"/>
      <c r="HS57" s="46"/>
      <c r="HT57" s="46"/>
      <c r="HU57" s="46"/>
      <c r="HV57" s="46"/>
      <c r="HW57" s="46"/>
      <c r="HX57" s="46"/>
      <c r="HY57" s="46"/>
      <c r="HZ57" s="46"/>
      <c r="IA57" s="46"/>
      <c r="IB57" s="46"/>
      <c r="IC57" s="46"/>
      <c r="ID57" s="46"/>
      <c r="IE57" s="46"/>
      <c r="IF57" s="46"/>
      <c r="IG57" s="46"/>
      <c r="IH57" s="46"/>
      <c r="II57" s="46"/>
      <c r="IJ57" s="46"/>
      <c r="IK57" s="46"/>
      <c r="IL57" s="46"/>
      <c r="IM57" s="46"/>
      <c r="IN57" s="46"/>
      <c r="IO57" s="46"/>
      <c r="IP57" s="46"/>
      <c r="IQ57" s="46"/>
      <c r="IR57" s="46"/>
      <c r="IS57" s="46"/>
      <c r="IT57" s="46"/>
      <c r="IU57" s="46"/>
    </row>
    <row r="58" spans="1:255">
      <c r="A58" s="26" t="s">
        <v>127</v>
      </c>
      <c r="B58" s="27" t="s">
        <v>128</v>
      </c>
      <c r="C58" s="30">
        <v>0</v>
      </c>
      <c r="D58" s="30">
        <v>0</v>
      </c>
      <c r="E58" s="29">
        <f t="shared" si="1"/>
        <v>0</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46"/>
      <c r="BY58" s="46"/>
      <c r="BZ58" s="46"/>
      <c r="CA58" s="46"/>
      <c r="CB58" s="46"/>
      <c r="CC58" s="46"/>
      <c r="CD58" s="46"/>
      <c r="CE58" s="46"/>
      <c r="CF58" s="46"/>
      <c r="CG58" s="46"/>
      <c r="CH58" s="46"/>
      <c r="CI58" s="46"/>
      <c r="CJ58" s="46"/>
      <c r="CK58" s="46"/>
      <c r="CL58" s="46"/>
      <c r="CM58" s="46"/>
      <c r="CN58" s="46"/>
      <c r="CO58" s="46"/>
      <c r="CP58" s="46"/>
      <c r="CQ58" s="46"/>
      <c r="CR58" s="46"/>
      <c r="CS58" s="46"/>
      <c r="CT58" s="46"/>
      <c r="CU58" s="46"/>
      <c r="CV58" s="46"/>
      <c r="CW58" s="46"/>
      <c r="CX58" s="46"/>
      <c r="CY58" s="46"/>
      <c r="CZ58" s="46"/>
      <c r="DA58" s="46"/>
      <c r="DB58" s="46"/>
      <c r="DC58" s="46"/>
      <c r="DD58" s="46"/>
      <c r="DE58" s="46"/>
      <c r="DF58" s="46"/>
      <c r="DG58" s="46"/>
      <c r="DH58" s="46"/>
      <c r="DI58" s="46"/>
      <c r="DJ58" s="46"/>
      <c r="DK58" s="46"/>
      <c r="DL58" s="46"/>
      <c r="DM58" s="46"/>
      <c r="DN58" s="46"/>
      <c r="DO58" s="46"/>
      <c r="DP58" s="46"/>
      <c r="DQ58" s="46"/>
      <c r="DR58" s="46"/>
      <c r="DS58" s="46"/>
      <c r="DT58" s="46"/>
      <c r="DU58" s="46"/>
      <c r="DV58" s="46"/>
      <c r="DW58" s="46"/>
      <c r="DX58" s="46"/>
      <c r="DY58" s="46"/>
      <c r="DZ58" s="46"/>
      <c r="EA58" s="46"/>
      <c r="EB58" s="46"/>
      <c r="EC58" s="46"/>
      <c r="ED58" s="46"/>
      <c r="EE58" s="46"/>
      <c r="EF58" s="46"/>
      <c r="EG58" s="46"/>
      <c r="EH58" s="46"/>
      <c r="EI58" s="46"/>
      <c r="EJ58" s="46"/>
      <c r="EK58" s="46"/>
      <c r="EL58" s="46"/>
      <c r="EM58" s="46"/>
      <c r="EN58" s="46"/>
      <c r="EO58" s="46"/>
      <c r="EP58" s="46"/>
      <c r="EQ58" s="46"/>
      <c r="ER58" s="46"/>
      <c r="ES58" s="46"/>
      <c r="ET58" s="46"/>
      <c r="EU58" s="46"/>
      <c r="EV58" s="46"/>
      <c r="EW58" s="46"/>
      <c r="EX58" s="46"/>
      <c r="EY58" s="46"/>
      <c r="EZ58" s="46"/>
      <c r="FA58" s="46"/>
      <c r="FB58" s="46"/>
      <c r="FC58" s="46"/>
      <c r="FD58" s="46"/>
      <c r="FE58" s="46"/>
      <c r="FF58" s="46"/>
      <c r="FG58" s="46"/>
      <c r="FH58" s="46"/>
      <c r="FI58" s="46"/>
      <c r="FJ58" s="46"/>
      <c r="FK58" s="46"/>
      <c r="FL58" s="46"/>
      <c r="FM58" s="46"/>
      <c r="FN58" s="46"/>
      <c r="FO58" s="46"/>
      <c r="FP58" s="46"/>
      <c r="FQ58" s="46"/>
      <c r="FR58" s="46"/>
      <c r="FS58" s="46"/>
      <c r="FT58" s="46"/>
      <c r="FU58" s="46"/>
      <c r="FV58" s="46"/>
      <c r="FW58" s="46"/>
      <c r="FX58" s="46"/>
      <c r="FY58" s="46"/>
      <c r="FZ58" s="46"/>
      <c r="GA58" s="46"/>
      <c r="GB58" s="46"/>
      <c r="GC58" s="46"/>
      <c r="GD58" s="46"/>
      <c r="GE58" s="46"/>
      <c r="GF58" s="46"/>
      <c r="GG58" s="46"/>
      <c r="GH58" s="46"/>
      <c r="GI58" s="46"/>
      <c r="GJ58" s="46"/>
      <c r="GK58" s="46"/>
      <c r="GL58" s="46"/>
      <c r="GM58" s="46"/>
      <c r="GN58" s="46"/>
      <c r="GO58" s="46"/>
      <c r="GP58" s="46"/>
      <c r="GQ58" s="46"/>
      <c r="GR58" s="46"/>
      <c r="GS58" s="46"/>
      <c r="GT58" s="46"/>
      <c r="GU58" s="46"/>
      <c r="GV58" s="46"/>
      <c r="GW58" s="46"/>
      <c r="GX58" s="46"/>
      <c r="GY58" s="46"/>
      <c r="GZ58" s="46"/>
      <c r="HA58" s="46"/>
      <c r="HB58" s="46"/>
      <c r="HC58" s="46"/>
      <c r="HD58" s="46"/>
      <c r="HE58" s="46"/>
      <c r="HF58" s="46"/>
      <c r="HG58" s="46"/>
      <c r="HH58" s="46"/>
      <c r="HI58" s="46"/>
      <c r="HJ58" s="46"/>
      <c r="HK58" s="46"/>
      <c r="HL58" s="46"/>
      <c r="HM58" s="46"/>
      <c r="HN58" s="46"/>
      <c r="HO58" s="46"/>
      <c r="HP58" s="46"/>
      <c r="HQ58" s="46"/>
      <c r="HR58" s="46"/>
      <c r="HS58" s="46"/>
      <c r="HT58" s="46"/>
      <c r="HU58" s="46"/>
      <c r="HV58" s="46"/>
      <c r="HW58" s="46"/>
      <c r="HX58" s="46"/>
      <c r="HY58" s="46"/>
      <c r="HZ58" s="46"/>
      <c r="IA58" s="46"/>
      <c r="IB58" s="46"/>
      <c r="IC58" s="46"/>
      <c r="ID58" s="46"/>
      <c r="IE58" s="46"/>
      <c r="IF58" s="46"/>
      <c r="IG58" s="46"/>
      <c r="IH58" s="46"/>
      <c r="II58" s="46"/>
      <c r="IJ58" s="46"/>
      <c r="IK58" s="46"/>
      <c r="IL58" s="46"/>
      <c r="IM58" s="46"/>
      <c r="IN58" s="46"/>
      <c r="IO58" s="46"/>
      <c r="IP58" s="46"/>
      <c r="IQ58" s="46"/>
      <c r="IR58" s="46"/>
      <c r="IS58" s="46"/>
      <c r="IT58" s="46"/>
      <c r="IU58" s="46"/>
    </row>
    <row r="59" spans="1:255">
      <c r="A59" s="26" t="s">
        <v>129</v>
      </c>
      <c r="B59" s="27" t="s">
        <v>130</v>
      </c>
      <c r="C59" s="30">
        <v>0</v>
      </c>
      <c r="D59" s="30">
        <v>0</v>
      </c>
      <c r="E59" s="29">
        <f t="shared" si="1"/>
        <v>0</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c r="BF59" s="46"/>
      <c r="BG59" s="46"/>
      <c r="BH59" s="46"/>
      <c r="BI59" s="46"/>
      <c r="BJ59" s="46"/>
      <c r="BK59" s="46"/>
      <c r="BL59" s="46"/>
      <c r="BM59" s="46"/>
      <c r="BN59" s="46"/>
      <c r="BO59" s="46"/>
      <c r="BP59" s="46"/>
      <c r="BQ59" s="46"/>
      <c r="BR59" s="46"/>
      <c r="BS59" s="46"/>
      <c r="BT59" s="46"/>
      <c r="BU59" s="46"/>
      <c r="BV59" s="46"/>
      <c r="BW59" s="46"/>
      <c r="BX59" s="46"/>
      <c r="BY59" s="46"/>
      <c r="BZ59" s="46"/>
      <c r="CA59" s="46"/>
      <c r="CB59" s="46"/>
      <c r="CC59" s="46"/>
      <c r="CD59" s="46"/>
      <c r="CE59" s="46"/>
      <c r="CF59" s="46"/>
      <c r="CG59" s="46"/>
      <c r="CH59" s="46"/>
      <c r="CI59" s="46"/>
      <c r="CJ59" s="46"/>
      <c r="CK59" s="46"/>
      <c r="CL59" s="46"/>
      <c r="CM59" s="46"/>
      <c r="CN59" s="46"/>
      <c r="CO59" s="46"/>
      <c r="CP59" s="46"/>
      <c r="CQ59" s="46"/>
      <c r="CR59" s="46"/>
      <c r="CS59" s="46"/>
      <c r="CT59" s="46"/>
      <c r="CU59" s="46"/>
      <c r="CV59" s="46"/>
      <c r="CW59" s="46"/>
      <c r="CX59" s="46"/>
      <c r="CY59" s="46"/>
      <c r="CZ59" s="46"/>
      <c r="DA59" s="46"/>
      <c r="DB59" s="46"/>
      <c r="DC59" s="46"/>
      <c r="DD59" s="46"/>
      <c r="DE59" s="46"/>
      <c r="DF59" s="46"/>
      <c r="DG59" s="46"/>
      <c r="DH59" s="46"/>
      <c r="DI59" s="46"/>
      <c r="DJ59" s="46"/>
      <c r="DK59" s="46"/>
      <c r="DL59" s="46"/>
      <c r="DM59" s="46"/>
      <c r="DN59" s="46"/>
      <c r="DO59" s="46"/>
      <c r="DP59" s="46"/>
      <c r="DQ59" s="46"/>
      <c r="DR59" s="46"/>
      <c r="DS59" s="46"/>
      <c r="DT59" s="46"/>
      <c r="DU59" s="46"/>
      <c r="DV59" s="46"/>
      <c r="DW59" s="46"/>
      <c r="DX59" s="46"/>
      <c r="DY59" s="46"/>
      <c r="DZ59" s="46"/>
      <c r="EA59" s="46"/>
      <c r="EB59" s="46"/>
      <c r="EC59" s="46"/>
      <c r="ED59" s="46"/>
      <c r="EE59" s="46"/>
      <c r="EF59" s="46"/>
      <c r="EG59" s="46"/>
      <c r="EH59" s="46"/>
      <c r="EI59" s="46"/>
      <c r="EJ59" s="46"/>
      <c r="EK59" s="46"/>
      <c r="EL59" s="46"/>
      <c r="EM59" s="46"/>
      <c r="EN59" s="46"/>
      <c r="EO59" s="46"/>
      <c r="EP59" s="46"/>
      <c r="EQ59" s="46"/>
      <c r="ER59" s="46"/>
      <c r="ES59" s="46"/>
      <c r="ET59" s="46"/>
      <c r="EU59" s="46"/>
      <c r="EV59" s="46"/>
      <c r="EW59" s="46"/>
      <c r="EX59" s="46"/>
      <c r="EY59" s="46"/>
      <c r="EZ59" s="46"/>
      <c r="FA59" s="46"/>
      <c r="FB59" s="46"/>
      <c r="FC59" s="46"/>
      <c r="FD59" s="46"/>
      <c r="FE59" s="46"/>
      <c r="FF59" s="46"/>
      <c r="FG59" s="46"/>
      <c r="FH59" s="46"/>
      <c r="FI59" s="46"/>
      <c r="FJ59" s="46"/>
      <c r="FK59" s="46"/>
      <c r="FL59" s="46"/>
      <c r="FM59" s="46"/>
      <c r="FN59" s="46"/>
      <c r="FO59" s="46"/>
      <c r="FP59" s="46"/>
      <c r="FQ59" s="46"/>
      <c r="FR59" s="46"/>
      <c r="FS59" s="46"/>
      <c r="FT59" s="46"/>
      <c r="FU59" s="46"/>
      <c r="FV59" s="46"/>
      <c r="FW59" s="46"/>
      <c r="FX59" s="46"/>
      <c r="FY59" s="46"/>
      <c r="FZ59" s="46"/>
      <c r="GA59" s="46"/>
      <c r="GB59" s="46"/>
      <c r="GC59" s="46"/>
      <c r="GD59" s="46"/>
      <c r="GE59" s="46"/>
      <c r="GF59" s="46"/>
      <c r="GG59" s="46"/>
      <c r="GH59" s="46"/>
      <c r="GI59" s="46"/>
      <c r="GJ59" s="46"/>
      <c r="GK59" s="46"/>
      <c r="GL59" s="46"/>
      <c r="GM59" s="46"/>
      <c r="GN59" s="46"/>
      <c r="GO59" s="46"/>
      <c r="GP59" s="46"/>
      <c r="GQ59" s="46"/>
      <c r="GR59" s="46"/>
      <c r="GS59" s="46"/>
      <c r="GT59" s="46"/>
      <c r="GU59" s="46"/>
      <c r="GV59" s="46"/>
      <c r="GW59" s="46"/>
      <c r="GX59" s="46"/>
      <c r="GY59" s="46"/>
      <c r="GZ59" s="46"/>
      <c r="HA59" s="46"/>
      <c r="HB59" s="46"/>
      <c r="HC59" s="46"/>
      <c r="HD59" s="46"/>
      <c r="HE59" s="46"/>
      <c r="HF59" s="46"/>
      <c r="HG59" s="46"/>
      <c r="HH59" s="46"/>
      <c r="HI59" s="46"/>
      <c r="HJ59" s="46"/>
      <c r="HK59" s="46"/>
      <c r="HL59" s="46"/>
      <c r="HM59" s="46"/>
      <c r="HN59" s="46"/>
      <c r="HO59" s="46"/>
      <c r="HP59" s="46"/>
      <c r="HQ59" s="46"/>
      <c r="HR59" s="46"/>
      <c r="HS59" s="46"/>
      <c r="HT59" s="46"/>
      <c r="HU59" s="46"/>
      <c r="HV59" s="46"/>
      <c r="HW59" s="46"/>
      <c r="HX59" s="46"/>
      <c r="HY59" s="46"/>
      <c r="HZ59" s="46"/>
      <c r="IA59" s="46"/>
      <c r="IB59" s="46"/>
      <c r="IC59" s="46"/>
      <c r="ID59" s="46"/>
      <c r="IE59" s="46"/>
      <c r="IF59" s="46"/>
      <c r="IG59" s="46"/>
      <c r="IH59" s="46"/>
      <c r="II59" s="46"/>
      <c r="IJ59" s="46"/>
      <c r="IK59" s="46"/>
      <c r="IL59" s="46"/>
      <c r="IM59" s="46"/>
      <c r="IN59" s="46"/>
      <c r="IO59" s="46"/>
      <c r="IP59" s="46"/>
      <c r="IQ59" s="46"/>
      <c r="IR59" s="46"/>
      <c r="IS59" s="46"/>
      <c r="IT59" s="46"/>
      <c r="IU59" s="46"/>
    </row>
    <row r="60" spans="1:255">
      <c r="A60" s="35" t="s">
        <v>131</v>
      </c>
      <c r="B60" s="27" t="s">
        <v>132</v>
      </c>
      <c r="C60" s="45">
        <f>SUM(C61:C63)</f>
        <v>0</v>
      </c>
      <c r="D60" s="45">
        <f>SUM(D61:D63)</f>
        <v>0</v>
      </c>
      <c r="E60" s="29">
        <f t="shared" si="1"/>
        <v>0</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6"/>
      <c r="GJ60" s="46"/>
      <c r="GK60" s="46"/>
      <c r="GL60" s="46"/>
      <c r="GM60" s="46"/>
      <c r="GN60" s="46"/>
      <c r="GO60" s="46"/>
      <c r="GP60" s="46"/>
      <c r="GQ60" s="46"/>
      <c r="GR60" s="46"/>
      <c r="GS60" s="46"/>
      <c r="GT60" s="46"/>
      <c r="GU60" s="46"/>
      <c r="GV60" s="46"/>
      <c r="GW60" s="46"/>
      <c r="GX60" s="46"/>
      <c r="GY60" s="46"/>
      <c r="GZ60" s="46"/>
      <c r="HA60" s="46"/>
      <c r="HB60" s="46"/>
      <c r="HC60" s="46"/>
      <c r="HD60" s="46"/>
      <c r="HE60" s="46"/>
      <c r="HF60" s="46"/>
      <c r="HG60" s="46"/>
      <c r="HH60" s="46"/>
      <c r="HI60" s="46"/>
      <c r="HJ60" s="46"/>
      <c r="HK60" s="46"/>
      <c r="HL60" s="46"/>
      <c r="HM60" s="46"/>
      <c r="HN60" s="46"/>
      <c r="HO60" s="46"/>
      <c r="HP60" s="46"/>
      <c r="HQ60" s="46"/>
      <c r="HR60" s="46"/>
      <c r="HS60" s="46"/>
      <c r="HT60" s="46"/>
      <c r="HU60" s="46"/>
      <c r="HV60" s="46"/>
      <c r="HW60" s="46"/>
      <c r="HX60" s="46"/>
      <c r="HY60" s="46"/>
      <c r="HZ60" s="46"/>
      <c r="IA60" s="46"/>
      <c r="IB60" s="46"/>
      <c r="IC60" s="46"/>
      <c r="ID60" s="46"/>
      <c r="IE60" s="46"/>
      <c r="IF60" s="46"/>
      <c r="IG60" s="46"/>
      <c r="IH60" s="46"/>
      <c r="II60" s="46"/>
      <c r="IJ60" s="46"/>
      <c r="IK60" s="46"/>
      <c r="IL60" s="46"/>
      <c r="IM60" s="46"/>
      <c r="IN60" s="46"/>
      <c r="IO60" s="46"/>
      <c r="IP60" s="46"/>
      <c r="IQ60" s="46"/>
      <c r="IR60" s="46"/>
      <c r="IS60" s="46"/>
      <c r="IT60" s="46"/>
      <c r="IU60" s="46"/>
    </row>
    <row r="61" spans="1:255">
      <c r="A61" s="26" t="s">
        <v>133</v>
      </c>
      <c r="B61" s="27" t="s">
        <v>124</v>
      </c>
      <c r="C61" s="30">
        <v>0</v>
      </c>
      <c r="D61" s="30">
        <v>0</v>
      </c>
      <c r="E61" s="29">
        <f t="shared" si="1"/>
        <v>0</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c r="BF61" s="46"/>
      <c r="BG61" s="46"/>
      <c r="BH61" s="46"/>
      <c r="BI61" s="46"/>
      <c r="BJ61" s="46"/>
      <c r="BK61" s="46"/>
      <c r="BL61" s="46"/>
      <c r="BM61" s="46"/>
      <c r="BN61" s="46"/>
      <c r="BO61" s="46"/>
      <c r="BP61" s="46"/>
      <c r="BQ61" s="46"/>
      <c r="BR61" s="46"/>
      <c r="BS61" s="46"/>
      <c r="BT61" s="46"/>
      <c r="BU61" s="46"/>
      <c r="BV61" s="46"/>
      <c r="BW61" s="46"/>
      <c r="BX61" s="46"/>
      <c r="BY61" s="46"/>
      <c r="BZ61" s="46"/>
      <c r="CA61" s="46"/>
      <c r="CB61" s="46"/>
      <c r="CC61" s="46"/>
      <c r="CD61" s="46"/>
      <c r="CE61" s="46"/>
      <c r="CF61" s="46"/>
      <c r="CG61" s="46"/>
      <c r="CH61" s="46"/>
      <c r="CI61" s="46"/>
      <c r="CJ61" s="46"/>
      <c r="CK61" s="46"/>
      <c r="CL61" s="46"/>
      <c r="CM61" s="46"/>
      <c r="CN61" s="46"/>
      <c r="CO61" s="46"/>
      <c r="CP61" s="46"/>
      <c r="CQ61" s="46"/>
      <c r="CR61" s="46"/>
      <c r="CS61" s="46"/>
      <c r="CT61" s="46"/>
      <c r="CU61" s="46"/>
      <c r="CV61" s="46"/>
      <c r="CW61" s="46"/>
      <c r="CX61" s="46"/>
      <c r="CY61" s="46"/>
      <c r="CZ61" s="46"/>
      <c r="DA61" s="46"/>
      <c r="DB61" s="46"/>
      <c r="DC61" s="46"/>
      <c r="DD61" s="46"/>
      <c r="DE61" s="46"/>
      <c r="DF61" s="46"/>
      <c r="DG61" s="46"/>
      <c r="DH61" s="46"/>
      <c r="DI61" s="46"/>
      <c r="DJ61" s="46"/>
      <c r="DK61" s="46"/>
      <c r="DL61" s="46"/>
      <c r="DM61" s="46"/>
      <c r="DN61" s="46"/>
      <c r="DO61" s="46"/>
      <c r="DP61" s="46"/>
      <c r="DQ61" s="46"/>
      <c r="DR61" s="46"/>
      <c r="DS61" s="46"/>
      <c r="DT61" s="46"/>
      <c r="DU61" s="46"/>
      <c r="DV61" s="46"/>
      <c r="DW61" s="46"/>
      <c r="DX61" s="46"/>
      <c r="DY61" s="46"/>
      <c r="DZ61" s="46"/>
      <c r="EA61" s="46"/>
      <c r="EB61" s="46"/>
      <c r="EC61" s="46"/>
      <c r="ED61" s="46"/>
      <c r="EE61" s="46"/>
      <c r="EF61" s="46"/>
      <c r="EG61" s="46"/>
      <c r="EH61" s="46"/>
      <c r="EI61" s="46"/>
      <c r="EJ61" s="46"/>
      <c r="EK61" s="46"/>
      <c r="EL61" s="46"/>
      <c r="EM61" s="46"/>
      <c r="EN61" s="46"/>
      <c r="EO61" s="46"/>
      <c r="EP61" s="46"/>
      <c r="EQ61" s="46"/>
      <c r="ER61" s="46"/>
      <c r="ES61" s="46"/>
      <c r="ET61" s="46"/>
      <c r="EU61" s="46"/>
      <c r="EV61" s="46"/>
      <c r="EW61" s="46"/>
      <c r="EX61" s="46"/>
      <c r="EY61" s="46"/>
      <c r="EZ61" s="46"/>
      <c r="FA61" s="46"/>
      <c r="FB61" s="46"/>
      <c r="FC61" s="46"/>
      <c r="FD61" s="46"/>
      <c r="FE61" s="46"/>
      <c r="FF61" s="46"/>
      <c r="FG61" s="46"/>
      <c r="FH61" s="46"/>
      <c r="FI61" s="46"/>
      <c r="FJ61" s="46"/>
      <c r="FK61" s="46"/>
      <c r="FL61" s="46"/>
      <c r="FM61" s="46"/>
      <c r="FN61" s="46"/>
      <c r="FO61" s="46"/>
      <c r="FP61" s="46"/>
      <c r="FQ61" s="46"/>
      <c r="FR61" s="46"/>
      <c r="FS61" s="46"/>
      <c r="FT61" s="46"/>
      <c r="FU61" s="46"/>
      <c r="FV61" s="46"/>
      <c r="FW61" s="46"/>
      <c r="FX61" s="46"/>
      <c r="FY61" s="46"/>
      <c r="FZ61" s="46"/>
      <c r="GA61" s="46"/>
      <c r="GB61" s="46"/>
      <c r="GC61" s="46"/>
      <c r="GD61" s="46"/>
      <c r="GE61" s="46"/>
      <c r="GF61" s="46"/>
      <c r="GG61" s="46"/>
      <c r="GH61" s="46"/>
      <c r="GI61" s="46"/>
      <c r="GJ61" s="46"/>
      <c r="GK61" s="46"/>
      <c r="GL61" s="46"/>
      <c r="GM61" s="46"/>
      <c r="GN61" s="46"/>
      <c r="GO61" s="46"/>
      <c r="GP61" s="46"/>
      <c r="GQ61" s="46"/>
      <c r="GR61" s="46"/>
      <c r="GS61" s="46"/>
      <c r="GT61" s="46"/>
      <c r="GU61" s="46"/>
      <c r="GV61" s="46"/>
      <c r="GW61" s="46"/>
      <c r="GX61" s="46"/>
      <c r="GY61" s="46"/>
      <c r="GZ61" s="46"/>
      <c r="HA61" s="46"/>
      <c r="HB61" s="46"/>
      <c r="HC61" s="46"/>
      <c r="HD61" s="46"/>
      <c r="HE61" s="46"/>
      <c r="HF61" s="46"/>
      <c r="HG61" s="46"/>
      <c r="HH61" s="46"/>
      <c r="HI61" s="46"/>
      <c r="HJ61" s="46"/>
      <c r="HK61" s="46"/>
      <c r="HL61" s="46"/>
      <c r="HM61" s="46"/>
      <c r="HN61" s="46"/>
      <c r="HO61" s="46"/>
      <c r="HP61" s="46"/>
      <c r="HQ61" s="46"/>
      <c r="HR61" s="46"/>
      <c r="HS61" s="46"/>
      <c r="HT61" s="46"/>
      <c r="HU61" s="46"/>
      <c r="HV61" s="46"/>
      <c r="HW61" s="46"/>
      <c r="HX61" s="46"/>
      <c r="HY61" s="46"/>
      <c r="HZ61" s="46"/>
      <c r="IA61" s="46"/>
      <c r="IB61" s="46"/>
      <c r="IC61" s="46"/>
      <c r="ID61" s="46"/>
      <c r="IE61" s="46"/>
      <c r="IF61" s="46"/>
      <c r="IG61" s="46"/>
      <c r="IH61" s="46"/>
      <c r="II61" s="46"/>
      <c r="IJ61" s="46"/>
      <c r="IK61" s="46"/>
      <c r="IL61" s="46"/>
      <c r="IM61" s="46"/>
      <c r="IN61" s="46"/>
      <c r="IO61" s="46"/>
      <c r="IP61" s="46"/>
      <c r="IQ61" s="46"/>
      <c r="IR61" s="46"/>
      <c r="IS61" s="46"/>
      <c r="IT61" s="46"/>
      <c r="IU61" s="46"/>
    </row>
    <row r="62" spans="1:255">
      <c r="A62" s="26" t="s">
        <v>134</v>
      </c>
      <c r="B62" s="27" t="s">
        <v>128</v>
      </c>
      <c r="C62" s="30">
        <v>0</v>
      </c>
      <c r="D62" s="30">
        <v>0</v>
      </c>
      <c r="E62" s="29">
        <f t="shared" si="1"/>
        <v>0</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c r="BF62" s="46"/>
      <c r="BG62" s="46"/>
      <c r="BH62" s="46"/>
      <c r="BI62" s="46"/>
      <c r="BJ62" s="46"/>
      <c r="BK62" s="46"/>
      <c r="BL62" s="46"/>
      <c r="BM62" s="46"/>
      <c r="BN62" s="46"/>
      <c r="BO62" s="46"/>
      <c r="BP62" s="46"/>
      <c r="BQ62" s="46"/>
      <c r="BR62" s="46"/>
      <c r="BS62" s="46"/>
      <c r="BT62" s="46"/>
      <c r="BU62" s="46"/>
      <c r="BV62" s="46"/>
      <c r="BW62" s="46"/>
      <c r="BX62" s="46"/>
      <c r="BY62" s="46"/>
      <c r="BZ62" s="46"/>
      <c r="CA62" s="46"/>
      <c r="CB62" s="46"/>
      <c r="CC62" s="46"/>
      <c r="CD62" s="46"/>
      <c r="CE62" s="46"/>
      <c r="CF62" s="46"/>
      <c r="CG62" s="46"/>
      <c r="CH62" s="46"/>
      <c r="CI62" s="46"/>
      <c r="CJ62" s="46"/>
      <c r="CK62" s="46"/>
      <c r="CL62" s="46"/>
      <c r="CM62" s="46"/>
      <c r="CN62" s="46"/>
      <c r="CO62" s="46"/>
      <c r="CP62" s="46"/>
      <c r="CQ62" s="46"/>
      <c r="CR62" s="46"/>
      <c r="CS62" s="46"/>
      <c r="CT62" s="46"/>
      <c r="CU62" s="46"/>
      <c r="CV62" s="46"/>
      <c r="CW62" s="46"/>
      <c r="CX62" s="46"/>
      <c r="CY62" s="46"/>
      <c r="CZ62" s="46"/>
      <c r="DA62" s="46"/>
      <c r="DB62" s="46"/>
      <c r="DC62" s="46"/>
      <c r="DD62" s="46"/>
      <c r="DE62" s="46"/>
      <c r="DF62" s="46"/>
      <c r="DG62" s="46"/>
      <c r="DH62" s="46"/>
      <c r="DI62" s="46"/>
      <c r="DJ62" s="46"/>
      <c r="DK62" s="46"/>
      <c r="DL62" s="46"/>
      <c r="DM62" s="46"/>
      <c r="DN62" s="46"/>
      <c r="DO62" s="46"/>
      <c r="DP62" s="46"/>
      <c r="DQ62" s="46"/>
      <c r="DR62" s="46"/>
      <c r="DS62" s="46"/>
      <c r="DT62" s="46"/>
      <c r="DU62" s="46"/>
      <c r="DV62" s="46"/>
      <c r="DW62" s="46"/>
      <c r="DX62" s="46"/>
      <c r="DY62" s="46"/>
      <c r="DZ62" s="46"/>
      <c r="EA62" s="46"/>
      <c r="EB62" s="46"/>
      <c r="EC62" s="46"/>
      <c r="ED62" s="46"/>
      <c r="EE62" s="46"/>
      <c r="EF62" s="46"/>
      <c r="EG62" s="46"/>
      <c r="EH62" s="46"/>
      <c r="EI62" s="46"/>
      <c r="EJ62" s="46"/>
      <c r="EK62" s="46"/>
      <c r="EL62" s="46"/>
      <c r="EM62" s="46"/>
      <c r="EN62" s="46"/>
      <c r="EO62" s="46"/>
      <c r="EP62" s="46"/>
      <c r="EQ62" s="46"/>
      <c r="ER62" s="46"/>
      <c r="ES62" s="46"/>
      <c r="ET62" s="46"/>
      <c r="EU62" s="46"/>
      <c r="EV62" s="46"/>
      <c r="EW62" s="46"/>
      <c r="EX62" s="46"/>
      <c r="EY62" s="46"/>
      <c r="EZ62" s="46"/>
      <c r="FA62" s="46"/>
      <c r="FB62" s="46"/>
      <c r="FC62" s="46"/>
      <c r="FD62" s="46"/>
      <c r="FE62" s="46"/>
      <c r="FF62" s="46"/>
      <c r="FG62" s="46"/>
      <c r="FH62" s="46"/>
      <c r="FI62" s="46"/>
      <c r="FJ62" s="46"/>
      <c r="FK62" s="46"/>
      <c r="FL62" s="46"/>
      <c r="FM62" s="46"/>
      <c r="FN62" s="46"/>
      <c r="FO62" s="46"/>
      <c r="FP62" s="46"/>
      <c r="FQ62" s="46"/>
      <c r="FR62" s="46"/>
      <c r="FS62" s="46"/>
      <c r="FT62" s="46"/>
      <c r="FU62" s="46"/>
      <c r="FV62" s="46"/>
      <c r="FW62" s="46"/>
      <c r="FX62" s="46"/>
      <c r="FY62" s="46"/>
      <c r="FZ62" s="46"/>
      <c r="GA62" s="46"/>
      <c r="GB62" s="46"/>
      <c r="GC62" s="46"/>
      <c r="GD62" s="46"/>
      <c r="GE62" s="46"/>
      <c r="GF62" s="46"/>
      <c r="GG62" s="46"/>
      <c r="GH62" s="46"/>
      <c r="GI62" s="46"/>
      <c r="GJ62" s="46"/>
      <c r="GK62" s="46"/>
      <c r="GL62" s="46"/>
      <c r="GM62" s="46"/>
      <c r="GN62" s="46"/>
      <c r="GO62" s="46"/>
      <c r="GP62" s="46"/>
      <c r="GQ62" s="46"/>
      <c r="GR62" s="46"/>
      <c r="GS62" s="46"/>
      <c r="GT62" s="46"/>
      <c r="GU62" s="46"/>
      <c r="GV62" s="46"/>
      <c r="GW62" s="46"/>
      <c r="GX62" s="46"/>
      <c r="GY62" s="46"/>
      <c r="GZ62" s="46"/>
      <c r="HA62" s="46"/>
      <c r="HB62" s="46"/>
      <c r="HC62" s="46"/>
      <c r="HD62" s="46"/>
      <c r="HE62" s="46"/>
      <c r="HF62" s="46"/>
      <c r="HG62" s="46"/>
      <c r="HH62" s="46"/>
      <c r="HI62" s="46"/>
      <c r="HJ62" s="46"/>
      <c r="HK62" s="46"/>
      <c r="HL62" s="46"/>
      <c r="HM62" s="46"/>
      <c r="HN62" s="46"/>
      <c r="HO62" s="46"/>
      <c r="HP62" s="46"/>
      <c r="HQ62" s="46"/>
      <c r="HR62" s="46"/>
      <c r="HS62" s="46"/>
      <c r="HT62" s="46"/>
      <c r="HU62" s="46"/>
      <c r="HV62" s="46"/>
      <c r="HW62" s="46"/>
      <c r="HX62" s="46"/>
      <c r="HY62" s="46"/>
      <c r="HZ62" s="46"/>
      <c r="IA62" s="46"/>
      <c r="IB62" s="46"/>
      <c r="IC62" s="46"/>
      <c r="ID62" s="46"/>
      <c r="IE62" s="46"/>
      <c r="IF62" s="46"/>
      <c r="IG62" s="46"/>
      <c r="IH62" s="46"/>
      <c r="II62" s="46"/>
      <c r="IJ62" s="46"/>
      <c r="IK62" s="46"/>
      <c r="IL62" s="46"/>
      <c r="IM62" s="46"/>
      <c r="IN62" s="46"/>
      <c r="IO62" s="46"/>
      <c r="IP62" s="46"/>
      <c r="IQ62" s="46"/>
      <c r="IR62" s="46"/>
      <c r="IS62" s="46"/>
      <c r="IT62" s="46"/>
      <c r="IU62" s="46"/>
    </row>
    <row r="63" spans="1:255">
      <c r="A63" s="26" t="s">
        <v>241</v>
      </c>
      <c r="B63" s="27" t="s">
        <v>130</v>
      </c>
      <c r="C63" s="30">
        <v>0</v>
      </c>
      <c r="D63" s="30">
        <v>0</v>
      </c>
      <c r="E63" s="29"/>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c r="BF63" s="46"/>
      <c r="BG63" s="46"/>
      <c r="BH63" s="46"/>
      <c r="BI63" s="46"/>
      <c r="BJ63" s="46"/>
      <c r="BK63" s="46"/>
      <c r="BL63" s="46"/>
      <c r="BM63" s="46"/>
      <c r="BN63" s="46"/>
      <c r="BO63" s="46"/>
      <c r="BP63" s="46"/>
      <c r="BQ63" s="46"/>
      <c r="BR63" s="46"/>
      <c r="BS63" s="46"/>
      <c r="BT63" s="46"/>
      <c r="BU63" s="46"/>
      <c r="BV63" s="46"/>
      <c r="BW63" s="46"/>
      <c r="BX63" s="46"/>
      <c r="BY63" s="46"/>
      <c r="BZ63" s="46"/>
      <c r="CA63" s="46"/>
      <c r="CB63" s="46"/>
      <c r="CC63" s="46"/>
      <c r="CD63" s="46"/>
      <c r="CE63" s="46"/>
      <c r="CF63" s="46"/>
      <c r="CG63" s="46"/>
      <c r="CH63" s="46"/>
      <c r="CI63" s="46"/>
      <c r="CJ63" s="46"/>
      <c r="CK63" s="46"/>
      <c r="CL63" s="46"/>
      <c r="CM63" s="46"/>
      <c r="CN63" s="46"/>
      <c r="CO63" s="46"/>
      <c r="CP63" s="46"/>
      <c r="CQ63" s="46"/>
      <c r="CR63" s="46"/>
      <c r="CS63" s="46"/>
      <c r="CT63" s="46"/>
      <c r="CU63" s="46"/>
      <c r="CV63" s="46"/>
      <c r="CW63" s="46"/>
      <c r="CX63" s="46"/>
      <c r="CY63" s="46"/>
      <c r="CZ63" s="46"/>
      <c r="DA63" s="46"/>
      <c r="DB63" s="46"/>
      <c r="DC63" s="46"/>
      <c r="DD63" s="46"/>
      <c r="DE63" s="46"/>
      <c r="DF63" s="46"/>
      <c r="DG63" s="46"/>
      <c r="DH63" s="46"/>
      <c r="DI63" s="46"/>
      <c r="DJ63" s="46"/>
      <c r="DK63" s="46"/>
      <c r="DL63" s="46"/>
      <c r="DM63" s="46"/>
      <c r="DN63" s="46"/>
      <c r="DO63" s="46"/>
      <c r="DP63" s="46"/>
      <c r="DQ63" s="46"/>
      <c r="DR63" s="46"/>
      <c r="DS63" s="46"/>
      <c r="DT63" s="46"/>
      <c r="DU63" s="46"/>
      <c r="DV63" s="46"/>
      <c r="DW63" s="46"/>
      <c r="DX63" s="46"/>
      <c r="DY63" s="46"/>
      <c r="DZ63" s="46"/>
      <c r="EA63" s="46"/>
      <c r="EB63" s="46"/>
      <c r="EC63" s="46"/>
      <c r="ED63" s="46"/>
      <c r="EE63" s="46"/>
      <c r="EF63" s="46"/>
      <c r="EG63" s="46"/>
      <c r="EH63" s="46"/>
      <c r="EI63" s="46"/>
      <c r="EJ63" s="46"/>
      <c r="EK63" s="46"/>
      <c r="EL63" s="46"/>
      <c r="EM63" s="46"/>
      <c r="EN63" s="46"/>
      <c r="EO63" s="46"/>
      <c r="EP63" s="46"/>
      <c r="EQ63" s="46"/>
      <c r="ER63" s="46"/>
      <c r="ES63" s="46"/>
      <c r="ET63" s="46"/>
      <c r="EU63" s="46"/>
      <c r="EV63" s="46"/>
      <c r="EW63" s="46"/>
      <c r="EX63" s="46"/>
      <c r="EY63" s="46"/>
      <c r="EZ63" s="46"/>
      <c r="FA63" s="46"/>
      <c r="FB63" s="46"/>
      <c r="FC63" s="46"/>
      <c r="FD63" s="46"/>
      <c r="FE63" s="46"/>
      <c r="FF63" s="46"/>
      <c r="FG63" s="46"/>
      <c r="FH63" s="46"/>
      <c r="FI63" s="46"/>
      <c r="FJ63" s="46"/>
      <c r="FK63" s="46"/>
      <c r="FL63" s="46"/>
      <c r="FM63" s="46"/>
      <c r="FN63" s="46"/>
      <c r="FO63" s="46"/>
      <c r="FP63" s="46"/>
      <c r="FQ63" s="46"/>
      <c r="FR63" s="46"/>
      <c r="FS63" s="46"/>
      <c r="FT63" s="46"/>
      <c r="FU63" s="46"/>
      <c r="FV63" s="46"/>
      <c r="FW63" s="46"/>
      <c r="FX63" s="46"/>
      <c r="FY63" s="46"/>
      <c r="FZ63" s="46"/>
      <c r="GA63" s="46"/>
      <c r="GB63" s="46"/>
      <c r="GC63" s="46"/>
      <c r="GD63" s="46"/>
      <c r="GE63" s="46"/>
      <c r="GF63" s="46"/>
      <c r="GG63" s="46"/>
      <c r="GH63" s="46"/>
      <c r="GI63" s="46"/>
      <c r="GJ63" s="46"/>
      <c r="GK63" s="46"/>
      <c r="GL63" s="46"/>
      <c r="GM63" s="46"/>
      <c r="GN63" s="46"/>
      <c r="GO63" s="46"/>
      <c r="GP63" s="46"/>
      <c r="GQ63" s="46"/>
      <c r="GR63" s="46"/>
      <c r="GS63" s="46"/>
      <c r="GT63" s="46"/>
      <c r="GU63" s="46"/>
      <c r="GV63" s="46"/>
      <c r="GW63" s="46"/>
      <c r="GX63" s="46"/>
      <c r="GY63" s="46"/>
      <c r="GZ63" s="46"/>
      <c r="HA63" s="46"/>
      <c r="HB63" s="46"/>
      <c r="HC63" s="46"/>
      <c r="HD63" s="46"/>
      <c r="HE63" s="46"/>
      <c r="HF63" s="46"/>
      <c r="HG63" s="46"/>
      <c r="HH63" s="46"/>
      <c r="HI63" s="46"/>
      <c r="HJ63" s="46"/>
      <c r="HK63" s="46"/>
      <c r="HL63" s="46"/>
      <c r="HM63" s="46"/>
      <c r="HN63" s="46"/>
      <c r="HO63" s="46"/>
      <c r="HP63" s="46"/>
      <c r="HQ63" s="46"/>
      <c r="HR63" s="46"/>
      <c r="HS63" s="46"/>
      <c r="HT63" s="46"/>
      <c r="HU63" s="46"/>
      <c r="HV63" s="46"/>
      <c r="HW63" s="46"/>
      <c r="HX63" s="46"/>
      <c r="HY63" s="46"/>
      <c r="HZ63" s="46"/>
      <c r="IA63" s="46"/>
      <c r="IB63" s="46"/>
      <c r="IC63" s="46"/>
      <c r="ID63" s="46"/>
      <c r="IE63" s="46"/>
      <c r="IF63" s="46"/>
      <c r="IG63" s="46"/>
      <c r="IH63" s="46"/>
      <c r="II63" s="46"/>
      <c r="IJ63" s="46"/>
      <c r="IK63" s="46"/>
      <c r="IL63" s="46"/>
      <c r="IM63" s="46"/>
      <c r="IN63" s="46"/>
      <c r="IO63" s="46"/>
      <c r="IP63" s="46"/>
      <c r="IQ63" s="46"/>
      <c r="IR63" s="46"/>
      <c r="IS63" s="46"/>
      <c r="IT63" s="46"/>
      <c r="IU63" s="46"/>
    </row>
    <row r="64" spans="1:255">
      <c r="A64" s="26" t="s">
        <v>135</v>
      </c>
      <c r="B64" s="27" t="s">
        <v>136</v>
      </c>
      <c r="C64" s="29">
        <f>C65+C66+C67</f>
        <v>0</v>
      </c>
      <c r="D64" s="29">
        <f>D65+D66+D67</f>
        <v>0</v>
      </c>
      <c r="E64" s="29">
        <f t="shared" si="1"/>
        <v>0</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c r="BF64" s="46"/>
      <c r="BG64" s="46"/>
      <c r="BH64" s="46"/>
      <c r="BI64" s="46"/>
      <c r="BJ64" s="46"/>
      <c r="BK64" s="46"/>
      <c r="BL64" s="46"/>
      <c r="BM64" s="46"/>
      <c r="BN64" s="46"/>
      <c r="BO64" s="46"/>
      <c r="BP64" s="46"/>
      <c r="BQ64" s="46"/>
      <c r="BR64" s="46"/>
      <c r="BS64" s="46"/>
      <c r="BT64" s="46"/>
      <c r="BU64" s="46"/>
      <c r="BV64" s="46"/>
      <c r="BW64" s="46"/>
      <c r="BX64" s="46"/>
      <c r="BY64" s="46"/>
      <c r="BZ64" s="46"/>
      <c r="CA64" s="46"/>
      <c r="CB64" s="46"/>
      <c r="CC64" s="46"/>
      <c r="CD64" s="46"/>
      <c r="CE64" s="46"/>
      <c r="CF64" s="46"/>
      <c r="CG64" s="46"/>
      <c r="CH64" s="46"/>
      <c r="CI64" s="46"/>
      <c r="CJ64" s="46"/>
      <c r="CK64" s="46"/>
      <c r="CL64" s="46"/>
      <c r="CM64" s="46"/>
      <c r="CN64" s="46"/>
      <c r="CO64" s="46"/>
      <c r="CP64" s="46"/>
      <c r="CQ64" s="46"/>
      <c r="CR64" s="46"/>
      <c r="CS64" s="46"/>
      <c r="CT64" s="46"/>
      <c r="CU64" s="46"/>
      <c r="CV64" s="46"/>
      <c r="CW64" s="46"/>
      <c r="CX64" s="46"/>
      <c r="CY64" s="46"/>
      <c r="CZ64" s="46"/>
      <c r="DA64" s="46"/>
      <c r="DB64" s="46"/>
      <c r="DC64" s="46"/>
      <c r="DD64" s="46"/>
      <c r="DE64" s="46"/>
      <c r="DF64" s="46"/>
      <c r="DG64" s="46"/>
      <c r="DH64" s="46"/>
      <c r="DI64" s="46"/>
      <c r="DJ64" s="46"/>
      <c r="DK64" s="46"/>
      <c r="DL64" s="46"/>
      <c r="DM64" s="46"/>
      <c r="DN64" s="46"/>
      <c r="DO64" s="46"/>
      <c r="DP64" s="46"/>
      <c r="DQ64" s="46"/>
      <c r="DR64" s="46"/>
      <c r="DS64" s="46"/>
      <c r="DT64" s="46"/>
      <c r="DU64" s="46"/>
      <c r="DV64" s="46"/>
      <c r="DW64" s="46"/>
      <c r="DX64" s="46"/>
      <c r="DY64" s="46"/>
      <c r="DZ64" s="46"/>
      <c r="EA64" s="46"/>
      <c r="EB64" s="46"/>
      <c r="EC64" s="46"/>
      <c r="ED64" s="46"/>
      <c r="EE64" s="46"/>
      <c r="EF64" s="46"/>
      <c r="EG64" s="46"/>
      <c r="EH64" s="46"/>
      <c r="EI64" s="46"/>
      <c r="EJ64" s="46"/>
      <c r="EK64" s="46"/>
      <c r="EL64" s="46"/>
      <c r="EM64" s="46"/>
      <c r="EN64" s="46"/>
      <c r="EO64" s="46"/>
      <c r="EP64" s="46"/>
      <c r="EQ64" s="46"/>
      <c r="ER64" s="46"/>
      <c r="ES64" s="46"/>
      <c r="ET64" s="46"/>
      <c r="EU64" s="46"/>
      <c r="EV64" s="46"/>
      <c r="EW64" s="46"/>
      <c r="EX64" s="46"/>
      <c r="EY64" s="46"/>
      <c r="EZ64" s="46"/>
      <c r="FA64" s="46"/>
      <c r="FB64" s="46"/>
      <c r="FC64" s="46"/>
      <c r="FD64" s="46"/>
      <c r="FE64" s="46"/>
      <c r="FF64" s="46"/>
      <c r="FG64" s="46"/>
      <c r="FH64" s="46"/>
      <c r="FI64" s="46"/>
      <c r="FJ64" s="46"/>
      <c r="FK64" s="46"/>
      <c r="FL64" s="46"/>
      <c r="FM64" s="46"/>
      <c r="FN64" s="46"/>
      <c r="FO64" s="46"/>
      <c r="FP64" s="46"/>
      <c r="FQ64" s="46"/>
      <c r="FR64" s="46"/>
      <c r="FS64" s="46"/>
      <c r="FT64" s="46"/>
      <c r="FU64" s="46"/>
      <c r="FV64" s="46"/>
      <c r="FW64" s="46"/>
      <c r="FX64" s="46"/>
      <c r="FY64" s="46"/>
      <c r="FZ64" s="46"/>
      <c r="GA64" s="46"/>
      <c r="GB64" s="46"/>
      <c r="GC64" s="46"/>
      <c r="GD64" s="46"/>
      <c r="GE64" s="46"/>
      <c r="GF64" s="46"/>
      <c r="GG64" s="46"/>
      <c r="GH64" s="46"/>
      <c r="GI64" s="46"/>
      <c r="GJ64" s="46"/>
      <c r="GK64" s="46"/>
      <c r="GL64" s="46"/>
      <c r="GM64" s="46"/>
      <c r="GN64" s="46"/>
      <c r="GO64" s="46"/>
      <c r="GP64" s="46"/>
      <c r="GQ64" s="46"/>
      <c r="GR64" s="46"/>
      <c r="GS64" s="46"/>
      <c r="GT64" s="46"/>
      <c r="GU64" s="46"/>
      <c r="GV64" s="46"/>
      <c r="GW64" s="46"/>
      <c r="GX64" s="46"/>
      <c r="GY64" s="46"/>
      <c r="GZ64" s="46"/>
      <c r="HA64" s="46"/>
      <c r="HB64" s="46"/>
      <c r="HC64" s="46"/>
      <c r="HD64" s="46"/>
      <c r="HE64" s="46"/>
      <c r="HF64" s="46"/>
      <c r="HG64" s="46"/>
      <c r="HH64" s="46"/>
      <c r="HI64" s="46"/>
      <c r="HJ64" s="46"/>
      <c r="HK64" s="46"/>
      <c r="HL64" s="46"/>
      <c r="HM64" s="46"/>
      <c r="HN64" s="46"/>
      <c r="HO64" s="46"/>
      <c r="HP64" s="46"/>
      <c r="HQ64" s="46"/>
      <c r="HR64" s="46"/>
      <c r="HS64" s="46"/>
      <c r="HT64" s="46"/>
      <c r="HU64" s="46"/>
      <c r="HV64" s="46"/>
      <c r="HW64" s="46"/>
      <c r="HX64" s="46"/>
      <c r="HY64" s="46"/>
      <c r="HZ64" s="46"/>
      <c r="IA64" s="46"/>
      <c r="IB64" s="46"/>
      <c r="IC64" s="46"/>
      <c r="ID64" s="46"/>
      <c r="IE64" s="46"/>
      <c r="IF64" s="46"/>
      <c r="IG64" s="46"/>
      <c r="IH64" s="46"/>
      <c r="II64" s="46"/>
      <c r="IJ64" s="46"/>
      <c r="IK64" s="46"/>
      <c r="IL64" s="46"/>
      <c r="IM64" s="46"/>
      <c r="IN64" s="46"/>
      <c r="IO64" s="46"/>
      <c r="IP64" s="46"/>
      <c r="IQ64" s="46"/>
      <c r="IR64" s="46"/>
      <c r="IS64" s="46"/>
      <c r="IT64" s="46"/>
      <c r="IU64" s="46"/>
    </row>
    <row r="65" spans="1:255">
      <c r="A65" s="26" t="s">
        <v>137</v>
      </c>
      <c r="B65" s="27" t="s">
        <v>124</v>
      </c>
      <c r="C65" s="30">
        <v>0</v>
      </c>
      <c r="D65" s="30">
        <v>0</v>
      </c>
      <c r="E65" s="29">
        <f t="shared" si="1"/>
        <v>0</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6"/>
      <c r="GJ65" s="46"/>
      <c r="GK65" s="46"/>
      <c r="GL65" s="46"/>
      <c r="GM65" s="46"/>
      <c r="GN65" s="46"/>
      <c r="GO65" s="46"/>
      <c r="GP65" s="46"/>
      <c r="GQ65" s="46"/>
      <c r="GR65" s="46"/>
      <c r="GS65" s="46"/>
      <c r="GT65" s="46"/>
      <c r="GU65" s="46"/>
      <c r="GV65" s="46"/>
      <c r="GW65" s="46"/>
      <c r="GX65" s="46"/>
      <c r="GY65" s="46"/>
      <c r="GZ65" s="46"/>
      <c r="HA65" s="46"/>
      <c r="HB65" s="46"/>
      <c r="HC65" s="46"/>
      <c r="HD65" s="46"/>
      <c r="HE65" s="46"/>
      <c r="HF65" s="46"/>
      <c r="HG65" s="46"/>
      <c r="HH65" s="46"/>
      <c r="HI65" s="46"/>
      <c r="HJ65" s="46"/>
      <c r="HK65" s="46"/>
      <c r="HL65" s="46"/>
      <c r="HM65" s="46"/>
      <c r="HN65" s="46"/>
      <c r="HO65" s="46"/>
      <c r="HP65" s="46"/>
      <c r="HQ65" s="46"/>
      <c r="HR65" s="46"/>
      <c r="HS65" s="46"/>
      <c r="HT65" s="46"/>
      <c r="HU65" s="46"/>
      <c r="HV65" s="46"/>
      <c r="HW65" s="46"/>
      <c r="HX65" s="46"/>
      <c r="HY65" s="46"/>
      <c r="HZ65" s="46"/>
      <c r="IA65" s="46"/>
      <c r="IB65" s="46"/>
      <c r="IC65" s="46"/>
      <c r="ID65" s="46"/>
      <c r="IE65" s="46"/>
      <c r="IF65" s="46"/>
      <c r="IG65" s="46"/>
      <c r="IH65" s="46"/>
      <c r="II65" s="46"/>
      <c r="IJ65" s="46"/>
      <c r="IK65" s="46"/>
      <c r="IL65" s="46"/>
      <c r="IM65" s="46"/>
      <c r="IN65" s="46"/>
      <c r="IO65" s="46"/>
      <c r="IP65" s="46"/>
      <c r="IQ65" s="46"/>
      <c r="IR65" s="46"/>
      <c r="IS65" s="46"/>
      <c r="IT65" s="46"/>
      <c r="IU65" s="46"/>
    </row>
    <row r="66" spans="1:255">
      <c r="A66" s="26" t="s">
        <v>138</v>
      </c>
      <c r="B66" s="27" t="s">
        <v>128</v>
      </c>
      <c r="C66" s="30">
        <v>0</v>
      </c>
      <c r="D66" s="30">
        <v>0</v>
      </c>
      <c r="E66" s="29">
        <f t="shared" si="1"/>
        <v>0</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c r="BF66" s="46"/>
      <c r="BG66" s="46"/>
      <c r="BH66" s="46"/>
      <c r="BI66" s="46"/>
      <c r="BJ66" s="46"/>
      <c r="BK66" s="46"/>
      <c r="BL66" s="46"/>
      <c r="BM66" s="46"/>
      <c r="BN66" s="46"/>
      <c r="BO66" s="46"/>
      <c r="BP66" s="46"/>
      <c r="BQ66" s="46"/>
      <c r="BR66" s="46"/>
      <c r="BS66" s="46"/>
      <c r="BT66" s="46"/>
      <c r="BU66" s="46"/>
      <c r="BV66" s="46"/>
      <c r="BW66" s="46"/>
      <c r="BX66" s="46"/>
      <c r="BY66" s="46"/>
      <c r="BZ66" s="46"/>
      <c r="CA66" s="46"/>
      <c r="CB66" s="46"/>
      <c r="CC66" s="46"/>
      <c r="CD66" s="46"/>
      <c r="CE66" s="46"/>
      <c r="CF66" s="46"/>
      <c r="CG66" s="46"/>
      <c r="CH66" s="46"/>
      <c r="CI66" s="46"/>
      <c r="CJ66" s="46"/>
      <c r="CK66" s="46"/>
      <c r="CL66" s="46"/>
      <c r="CM66" s="46"/>
      <c r="CN66" s="46"/>
      <c r="CO66" s="46"/>
      <c r="CP66" s="46"/>
      <c r="CQ66" s="46"/>
      <c r="CR66" s="46"/>
      <c r="CS66" s="46"/>
      <c r="CT66" s="46"/>
      <c r="CU66" s="46"/>
      <c r="CV66" s="46"/>
      <c r="CW66" s="46"/>
      <c r="CX66" s="46"/>
      <c r="CY66" s="46"/>
      <c r="CZ66" s="46"/>
      <c r="DA66" s="46"/>
      <c r="DB66" s="46"/>
      <c r="DC66" s="46"/>
      <c r="DD66" s="46"/>
      <c r="DE66" s="46"/>
      <c r="DF66" s="46"/>
      <c r="DG66" s="46"/>
      <c r="DH66" s="46"/>
      <c r="DI66" s="46"/>
      <c r="DJ66" s="46"/>
      <c r="DK66" s="46"/>
      <c r="DL66" s="46"/>
      <c r="DM66" s="46"/>
      <c r="DN66" s="46"/>
      <c r="DO66" s="46"/>
      <c r="DP66" s="46"/>
      <c r="DQ66" s="46"/>
      <c r="DR66" s="46"/>
      <c r="DS66" s="46"/>
      <c r="DT66" s="46"/>
      <c r="DU66" s="46"/>
      <c r="DV66" s="46"/>
      <c r="DW66" s="46"/>
      <c r="DX66" s="46"/>
      <c r="DY66" s="46"/>
      <c r="DZ66" s="46"/>
      <c r="EA66" s="46"/>
      <c r="EB66" s="46"/>
      <c r="EC66" s="46"/>
      <c r="ED66" s="46"/>
      <c r="EE66" s="46"/>
      <c r="EF66" s="46"/>
      <c r="EG66" s="46"/>
      <c r="EH66" s="46"/>
      <c r="EI66" s="46"/>
      <c r="EJ66" s="46"/>
      <c r="EK66" s="46"/>
      <c r="EL66" s="46"/>
      <c r="EM66" s="46"/>
      <c r="EN66" s="46"/>
      <c r="EO66" s="46"/>
      <c r="EP66" s="46"/>
      <c r="EQ66" s="46"/>
      <c r="ER66" s="46"/>
      <c r="ES66" s="46"/>
      <c r="ET66" s="46"/>
      <c r="EU66" s="46"/>
      <c r="EV66" s="46"/>
      <c r="EW66" s="46"/>
      <c r="EX66" s="46"/>
      <c r="EY66" s="46"/>
      <c r="EZ66" s="46"/>
      <c r="FA66" s="46"/>
      <c r="FB66" s="46"/>
      <c r="FC66" s="46"/>
      <c r="FD66" s="46"/>
      <c r="FE66" s="46"/>
      <c r="FF66" s="46"/>
      <c r="FG66" s="46"/>
      <c r="FH66" s="46"/>
      <c r="FI66" s="46"/>
      <c r="FJ66" s="46"/>
      <c r="FK66" s="46"/>
      <c r="FL66" s="46"/>
      <c r="FM66" s="46"/>
      <c r="FN66" s="46"/>
      <c r="FO66" s="46"/>
      <c r="FP66" s="46"/>
      <c r="FQ66" s="46"/>
      <c r="FR66" s="46"/>
      <c r="FS66" s="46"/>
      <c r="FT66" s="46"/>
      <c r="FU66" s="46"/>
      <c r="FV66" s="46"/>
      <c r="FW66" s="46"/>
      <c r="FX66" s="46"/>
      <c r="FY66" s="46"/>
      <c r="FZ66" s="46"/>
      <c r="GA66" s="46"/>
      <c r="GB66" s="46"/>
      <c r="GC66" s="46"/>
      <c r="GD66" s="46"/>
      <c r="GE66" s="46"/>
      <c r="GF66" s="46"/>
      <c r="GG66" s="46"/>
      <c r="GH66" s="46"/>
      <c r="GI66" s="46"/>
      <c r="GJ66" s="46"/>
      <c r="GK66" s="46"/>
      <c r="GL66" s="46"/>
      <c r="GM66" s="46"/>
      <c r="GN66" s="46"/>
      <c r="GO66" s="46"/>
      <c r="GP66" s="46"/>
      <c r="GQ66" s="46"/>
      <c r="GR66" s="46"/>
      <c r="GS66" s="46"/>
      <c r="GT66" s="46"/>
      <c r="GU66" s="46"/>
      <c r="GV66" s="46"/>
      <c r="GW66" s="46"/>
      <c r="GX66" s="46"/>
      <c r="GY66" s="46"/>
      <c r="GZ66" s="46"/>
      <c r="HA66" s="46"/>
      <c r="HB66" s="46"/>
      <c r="HC66" s="46"/>
      <c r="HD66" s="46"/>
      <c r="HE66" s="46"/>
      <c r="HF66" s="46"/>
      <c r="HG66" s="46"/>
      <c r="HH66" s="46"/>
      <c r="HI66" s="46"/>
      <c r="HJ66" s="46"/>
      <c r="HK66" s="46"/>
      <c r="HL66" s="46"/>
      <c r="HM66" s="46"/>
      <c r="HN66" s="46"/>
      <c r="HO66" s="46"/>
      <c r="HP66" s="46"/>
      <c r="HQ66" s="46"/>
      <c r="HR66" s="46"/>
      <c r="HS66" s="46"/>
      <c r="HT66" s="46"/>
      <c r="HU66" s="46"/>
      <c r="HV66" s="46"/>
      <c r="HW66" s="46"/>
      <c r="HX66" s="46"/>
      <c r="HY66" s="46"/>
      <c r="HZ66" s="46"/>
      <c r="IA66" s="46"/>
      <c r="IB66" s="46"/>
      <c r="IC66" s="46"/>
      <c r="ID66" s="46"/>
      <c r="IE66" s="46"/>
      <c r="IF66" s="46"/>
      <c r="IG66" s="46"/>
      <c r="IH66" s="46"/>
      <c r="II66" s="46"/>
      <c r="IJ66" s="46"/>
      <c r="IK66" s="46"/>
      <c r="IL66" s="46"/>
      <c r="IM66" s="46"/>
      <c r="IN66" s="46"/>
      <c r="IO66" s="46"/>
      <c r="IP66" s="46"/>
      <c r="IQ66" s="46"/>
      <c r="IR66" s="46"/>
      <c r="IS66" s="46"/>
      <c r="IT66" s="46"/>
      <c r="IU66" s="46"/>
    </row>
    <row r="67" spans="1:255">
      <c r="A67" s="26" t="s">
        <v>242</v>
      </c>
      <c r="B67" s="27" t="s">
        <v>130</v>
      </c>
      <c r="C67" s="30">
        <v>0</v>
      </c>
      <c r="D67" s="30">
        <v>0</v>
      </c>
      <c r="E67" s="29"/>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46"/>
      <c r="BL67" s="46"/>
      <c r="BM67" s="46"/>
      <c r="BN67" s="46"/>
      <c r="BO67" s="46"/>
      <c r="BP67" s="46"/>
      <c r="BQ67" s="46"/>
      <c r="BR67" s="46"/>
      <c r="BS67" s="46"/>
      <c r="BT67" s="46"/>
      <c r="BU67" s="46"/>
      <c r="BV67" s="46"/>
      <c r="BW67" s="46"/>
      <c r="BX67" s="46"/>
      <c r="BY67" s="46"/>
      <c r="BZ67" s="46"/>
      <c r="CA67" s="46"/>
      <c r="CB67" s="46"/>
      <c r="CC67" s="46"/>
      <c r="CD67" s="46"/>
      <c r="CE67" s="46"/>
      <c r="CF67" s="46"/>
      <c r="CG67" s="46"/>
      <c r="CH67" s="46"/>
      <c r="CI67" s="46"/>
      <c r="CJ67" s="46"/>
      <c r="CK67" s="46"/>
      <c r="CL67" s="46"/>
      <c r="CM67" s="46"/>
      <c r="CN67" s="46"/>
      <c r="CO67" s="46"/>
      <c r="CP67" s="46"/>
      <c r="CQ67" s="46"/>
      <c r="CR67" s="46"/>
      <c r="CS67" s="46"/>
      <c r="CT67" s="46"/>
      <c r="CU67" s="46"/>
      <c r="CV67" s="46"/>
      <c r="CW67" s="46"/>
      <c r="CX67" s="46"/>
      <c r="CY67" s="46"/>
      <c r="CZ67" s="46"/>
      <c r="DA67" s="46"/>
      <c r="DB67" s="46"/>
      <c r="DC67" s="46"/>
      <c r="DD67" s="46"/>
      <c r="DE67" s="46"/>
      <c r="DF67" s="46"/>
      <c r="DG67" s="46"/>
      <c r="DH67" s="46"/>
      <c r="DI67" s="46"/>
      <c r="DJ67" s="46"/>
      <c r="DK67" s="46"/>
      <c r="DL67" s="46"/>
      <c r="DM67" s="46"/>
      <c r="DN67" s="46"/>
      <c r="DO67" s="46"/>
      <c r="DP67" s="46"/>
      <c r="DQ67" s="46"/>
      <c r="DR67" s="46"/>
      <c r="DS67" s="46"/>
      <c r="DT67" s="46"/>
      <c r="DU67" s="46"/>
      <c r="DV67" s="46"/>
      <c r="DW67" s="46"/>
      <c r="DX67" s="46"/>
      <c r="DY67" s="46"/>
      <c r="DZ67" s="46"/>
      <c r="EA67" s="46"/>
      <c r="EB67" s="46"/>
      <c r="EC67" s="46"/>
      <c r="ED67" s="46"/>
      <c r="EE67" s="46"/>
      <c r="EF67" s="46"/>
      <c r="EG67" s="46"/>
      <c r="EH67" s="46"/>
      <c r="EI67" s="46"/>
      <c r="EJ67" s="46"/>
      <c r="EK67" s="46"/>
      <c r="EL67" s="46"/>
      <c r="EM67" s="46"/>
      <c r="EN67" s="46"/>
      <c r="EO67" s="46"/>
      <c r="EP67" s="46"/>
      <c r="EQ67" s="46"/>
      <c r="ER67" s="46"/>
      <c r="ES67" s="46"/>
      <c r="ET67" s="46"/>
      <c r="EU67" s="46"/>
      <c r="EV67" s="46"/>
      <c r="EW67" s="46"/>
      <c r="EX67" s="46"/>
      <c r="EY67" s="46"/>
      <c r="EZ67" s="46"/>
      <c r="FA67" s="46"/>
      <c r="FB67" s="46"/>
      <c r="FC67" s="46"/>
      <c r="FD67" s="46"/>
      <c r="FE67" s="46"/>
      <c r="FF67" s="46"/>
      <c r="FG67" s="46"/>
      <c r="FH67" s="46"/>
      <c r="FI67" s="46"/>
      <c r="FJ67" s="46"/>
      <c r="FK67" s="46"/>
      <c r="FL67" s="46"/>
      <c r="FM67" s="46"/>
      <c r="FN67" s="46"/>
      <c r="FO67" s="46"/>
      <c r="FP67" s="46"/>
      <c r="FQ67" s="46"/>
      <c r="FR67" s="46"/>
      <c r="FS67" s="46"/>
      <c r="FT67" s="46"/>
      <c r="FU67" s="46"/>
      <c r="FV67" s="46"/>
      <c r="FW67" s="46"/>
      <c r="FX67" s="46"/>
      <c r="FY67" s="46"/>
      <c r="FZ67" s="46"/>
      <c r="GA67" s="46"/>
      <c r="GB67" s="46"/>
      <c r="GC67" s="46"/>
      <c r="GD67" s="46"/>
      <c r="GE67" s="46"/>
      <c r="GF67" s="46"/>
      <c r="GG67" s="46"/>
      <c r="GH67" s="46"/>
      <c r="GI67" s="46"/>
      <c r="GJ67" s="46"/>
      <c r="GK67" s="46"/>
      <c r="GL67" s="46"/>
      <c r="GM67" s="46"/>
      <c r="GN67" s="46"/>
      <c r="GO67" s="46"/>
      <c r="GP67" s="46"/>
      <c r="GQ67" s="46"/>
      <c r="GR67" s="46"/>
      <c r="GS67" s="46"/>
      <c r="GT67" s="46"/>
      <c r="GU67" s="46"/>
      <c r="GV67" s="46"/>
      <c r="GW67" s="46"/>
      <c r="GX67" s="46"/>
      <c r="GY67" s="46"/>
      <c r="GZ67" s="46"/>
      <c r="HA67" s="46"/>
      <c r="HB67" s="46"/>
      <c r="HC67" s="46"/>
      <c r="HD67" s="46"/>
      <c r="HE67" s="46"/>
      <c r="HF67" s="46"/>
      <c r="HG67" s="46"/>
      <c r="HH67" s="46"/>
      <c r="HI67" s="46"/>
      <c r="HJ67" s="46"/>
      <c r="HK67" s="46"/>
      <c r="HL67" s="46"/>
      <c r="HM67" s="46"/>
      <c r="HN67" s="46"/>
      <c r="HO67" s="46"/>
      <c r="HP67" s="46"/>
      <c r="HQ67" s="46"/>
      <c r="HR67" s="46"/>
      <c r="HS67" s="46"/>
      <c r="HT67" s="46"/>
      <c r="HU67" s="46"/>
      <c r="HV67" s="46"/>
      <c r="HW67" s="46"/>
      <c r="HX67" s="46"/>
      <c r="HY67" s="46"/>
      <c r="HZ67" s="46"/>
      <c r="IA67" s="46"/>
      <c r="IB67" s="46"/>
      <c r="IC67" s="46"/>
      <c r="ID67" s="46"/>
      <c r="IE67" s="46"/>
      <c r="IF67" s="46"/>
      <c r="IG67" s="46"/>
      <c r="IH67" s="46"/>
      <c r="II67" s="46"/>
      <c r="IJ67" s="46"/>
      <c r="IK67" s="46"/>
      <c r="IL67" s="46"/>
      <c r="IM67" s="46"/>
      <c r="IN67" s="46"/>
      <c r="IO67" s="46"/>
      <c r="IP67" s="46"/>
      <c r="IQ67" s="46"/>
      <c r="IR67" s="46"/>
      <c r="IS67" s="46"/>
      <c r="IT67" s="46"/>
      <c r="IU67" s="46"/>
    </row>
    <row r="68" spans="1:255">
      <c r="A68" s="26" t="s">
        <v>139</v>
      </c>
      <c r="B68" s="31" t="s">
        <v>140</v>
      </c>
      <c r="C68" s="45">
        <f>C69+C70+C71</f>
        <v>0</v>
      </c>
      <c r="D68" s="45">
        <f>D69+D70+D71</f>
        <v>0</v>
      </c>
      <c r="E68" s="45">
        <f t="shared" si="1"/>
        <v>0</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c r="BF68" s="46"/>
      <c r="BG68" s="46"/>
      <c r="BH68" s="46"/>
      <c r="BI68" s="46"/>
      <c r="BJ68" s="46"/>
      <c r="BK68" s="46"/>
      <c r="BL68" s="46"/>
      <c r="BM68" s="46"/>
      <c r="BN68" s="46"/>
      <c r="BO68" s="46"/>
      <c r="BP68" s="46"/>
      <c r="BQ68" s="46"/>
      <c r="BR68" s="46"/>
      <c r="BS68" s="46"/>
      <c r="BT68" s="46"/>
      <c r="BU68" s="46"/>
      <c r="BV68" s="46"/>
      <c r="BW68" s="46"/>
      <c r="BX68" s="46"/>
      <c r="BY68" s="46"/>
      <c r="BZ68" s="46"/>
      <c r="CA68" s="46"/>
      <c r="CB68" s="46"/>
      <c r="CC68" s="46"/>
      <c r="CD68" s="46"/>
      <c r="CE68" s="46"/>
      <c r="CF68" s="46"/>
      <c r="CG68" s="46"/>
      <c r="CH68" s="46"/>
      <c r="CI68" s="46"/>
      <c r="CJ68" s="46"/>
      <c r="CK68" s="46"/>
      <c r="CL68" s="46"/>
      <c r="CM68" s="46"/>
      <c r="CN68" s="46"/>
      <c r="CO68" s="46"/>
      <c r="CP68" s="46"/>
      <c r="CQ68" s="46"/>
      <c r="CR68" s="46"/>
      <c r="CS68" s="46"/>
      <c r="CT68" s="46"/>
      <c r="CU68" s="46"/>
      <c r="CV68" s="46"/>
      <c r="CW68" s="46"/>
      <c r="CX68" s="46"/>
      <c r="CY68" s="46"/>
      <c r="CZ68" s="46"/>
      <c r="DA68" s="46"/>
      <c r="DB68" s="46"/>
      <c r="DC68" s="46"/>
      <c r="DD68" s="46"/>
      <c r="DE68" s="46"/>
      <c r="DF68" s="46"/>
      <c r="DG68" s="46"/>
      <c r="DH68" s="46"/>
      <c r="DI68" s="46"/>
      <c r="DJ68" s="46"/>
      <c r="DK68" s="46"/>
      <c r="DL68" s="46"/>
      <c r="DM68" s="46"/>
      <c r="DN68" s="46"/>
      <c r="DO68" s="46"/>
      <c r="DP68" s="46"/>
      <c r="DQ68" s="46"/>
      <c r="DR68" s="46"/>
      <c r="DS68" s="46"/>
      <c r="DT68" s="46"/>
      <c r="DU68" s="46"/>
      <c r="DV68" s="46"/>
      <c r="DW68" s="46"/>
      <c r="DX68" s="46"/>
      <c r="DY68" s="46"/>
      <c r="DZ68" s="46"/>
      <c r="EA68" s="46"/>
      <c r="EB68" s="46"/>
      <c r="EC68" s="46"/>
      <c r="ED68" s="46"/>
      <c r="EE68" s="46"/>
      <c r="EF68" s="46"/>
      <c r="EG68" s="46"/>
      <c r="EH68" s="46"/>
      <c r="EI68" s="46"/>
      <c r="EJ68" s="46"/>
      <c r="EK68" s="46"/>
      <c r="EL68" s="46"/>
      <c r="EM68" s="46"/>
      <c r="EN68" s="46"/>
      <c r="EO68" s="46"/>
      <c r="EP68" s="46"/>
      <c r="EQ68" s="46"/>
      <c r="ER68" s="46"/>
      <c r="ES68" s="46"/>
      <c r="ET68" s="46"/>
      <c r="EU68" s="46"/>
      <c r="EV68" s="46"/>
      <c r="EW68" s="46"/>
      <c r="EX68" s="46"/>
      <c r="EY68" s="46"/>
      <c r="EZ68" s="46"/>
      <c r="FA68" s="46"/>
      <c r="FB68" s="46"/>
      <c r="FC68" s="46"/>
      <c r="FD68" s="46"/>
      <c r="FE68" s="46"/>
      <c r="FF68" s="46"/>
      <c r="FG68" s="46"/>
      <c r="FH68" s="46"/>
      <c r="FI68" s="46"/>
      <c r="FJ68" s="46"/>
      <c r="FK68" s="46"/>
      <c r="FL68" s="46"/>
      <c r="FM68" s="46"/>
      <c r="FN68" s="46"/>
      <c r="FO68" s="46"/>
      <c r="FP68" s="46"/>
      <c r="FQ68" s="46"/>
      <c r="FR68" s="46"/>
      <c r="FS68" s="46"/>
      <c r="FT68" s="46"/>
      <c r="FU68" s="46"/>
      <c r="FV68" s="46"/>
      <c r="FW68" s="46"/>
      <c r="FX68" s="46"/>
      <c r="FY68" s="46"/>
      <c r="FZ68" s="46"/>
      <c r="GA68" s="46"/>
      <c r="GB68" s="46"/>
      <c r="GC68" s="46"/>
      <c r="GD68" s="46"/>
      <c r="GE68" s="46"/>
      <c r="GF68" s="46"/>
      <c r="GG68" s="46"/>
      <c r="GH68" s="46"/>
      <c r="GI68" s="46"/>
      <c r="GJ68" s="46"/>
      <c r="GK68" s="46"/>
      <c r="GL68" s="46"/>
      <c r="GM68" s="46"/>
      <c r="GN68" s="46"/>
      <c r="GO68" s="46"/>
      <c r="GP68" s="46"/>
      <c r="GQ68" s="46"/>
      <c r="GR68" s="46"/>
      <c r="GS68" s="46"/>
      <c r="GT68" s="46"/>
      <c r="GU68" s="46"/>
      <c r="GV68" s="46"/>
      <c r="GW68" s="46"/>
      <c r="GX68" s="46"/>
      <c r="GY68" s="46"/>
      <c r="GZ68" s="46"/>
      <c r="HA68" s="46"/>
      <c r="HB68" s="46"/>
      <c r="HC68" s="46"/>
      <c r="HD68" s="46"/>
      <c r="HE68" s="46"/>
      <c r="HF68" s="46"/>
      <c r="HG68" s="46"/>
      <c r="HH68" s="46"/>
      <c r="HI68" s="46"/>
      <c r="HJ68" s="46"/>
      <c r="HK68" s="46"/>
      <c r="HL68" s="46"/>
      <c r="HM68" s="46"/>
      <c r="HN68" s="46"/>
      <c r="HO68" s="46"/>
      <c r="HP68" s="46"/>
      <c r="HQ68" s="46"/>
      <c r="HR68" s="46"/>
      <c r="HS68" s="46"/>
      <c r="HT68" s="46"/>
      <c r="HU68" s="46"/>
      <c r="HV68" s="46"/>
      <c r="HW68" s="46"/>
      <c r="HX68" s="46"/>
      <c r="HY68" s="46"/>
      <c r="HZ68" s="46"/>
      <c r="IA68" s="46"/>
      <c r="IB68" s="46"/>
      <c r="IC68" s="46"/>
      <c r="ID68" s="46"/>
      <c r="IE68" s="46"/>
      <c r="IF68" s="46"/>
      <c r="IG68" s="46"/>
      <c r="IH68" s="46"/>
      <c r="II68" s="46"/>
      <c r="IJ68" s="46"/>
      <c r="IK68" s="46"/>
      <c r="IL68" s="46"/>
      <c r="IM68" s="46"/>
      <c r="IN68" s="46"/>
      <c r="IO68" s="46"/>
      <c r="IP68" s="46"/>
      <c r="IQ68" s="46"/>
      <c r="IR68" s="46"/>
      <c r="IS68" s="46"/>
      <c r="IT68" s="46"/>
      <c r="IU68" s="46"/>
    </row>
    <row r="69" spans="1:255">
      <c r="A69" s="26" t="s">
        <v>141</v>
      </c>
      <c r="B69" s="27" t="s">
        <v>124</v>
      </c>
      <c r="C69" s="30">
        <v>0</v>
      </c>
      <c r="D69" s="30">
        <v>0</v>
      </c>
      <c r="E69" s="29">
        <f t="shared" si="1"/>
        <v>0</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c r="BF69" s="46"/>
      <c r="BG69" s="46"/>
      <c r="BH69" s="46"/>
      <c r="BI69" s="46"/>
      <c r="BJ69" s="46"/>
      <c r="BK69" s="46"/>
      <c r="BL69" s="46"/>
      <c r="BM69" s="46"/>
      <c r="BN69" s="46"/>
      <c r="BO69" s="46"/>
      <c r="BP69" s="46"/>
      <c r="BQ69" s="46"/>
      <c r="BR69" s="46"/>
      <c r="BS69" s="46"/>
      <c r="BT69" s="46"/>
      <c r="BU69" s="46"/>
      <c r="BV69" s="46"/>
      <c r="BW69" s="46"/>
      <c r="BX69" s="46"/>
      <c r="BY69" s="46"/>
      <c r="BZ69" s="46"/>
      <c r="CA69" s="46"/>
      <c r="CB69" s="46"/>
      <c r="CC69" s="46"/>
      <c r="CD69" s="46"/>
      <c r="CE69" s="46"/>
      <c r="CF69" s="46"/>
      <c r="CG69" s="46"/>
      <c r="CH69" s="46"/>
      <c r="CI69" s="46"/>
      <c r="CJ69" s="46"/>
      <c r="CK69" s="46"/>
      <c r="CL69" s="46"/>
      <c r="CM69" s="46"/>
      <c r="CN69" s="46"/>
      <c r="CO69" s="46"/>
      <c r="CP69" s="46"/>
      <c r="CQ69" s="46"/>
      <c r="CR69" s="46"/>
      <c r="CS69" s="46"/>
      <c r="CT69" s="46"/>
      <c r="CU69" s="46"/>
      <c r="CV69" s="46"/>
      <c r="CW69" s="46"/>
      <c r="CX69" s="46"/>
      <c r="CY69" s="46"/>
      <c r="CZ69" s="46"/>
      <c r="DA69" s="46"/>
      <c r="DB69" s="46"/>
      <c r="DC69" s="46"/>
      <c r="DD69" s="46"/>
      <c r="DE69" s="46"/>
      <c r="DF69" s="46"/>
      <c r="DG69" s="46"/>
      <c r="DH69" s="46"/>
      <c r="DI69" s="46"/>
      <c r="DJ69" s="46"/>
      <c r="DK69" s="46"/>
      <c r="DL69" s="46"/>
      <c r="DM69" s="46"/>
      <c r="DN69" s="46"/>
      <c r="DO69" s="46"/>
      <c r="DP69" s="46"/>
      <c r="DQ69" s="46"/>
      <c r="DR69" s="46"/>
      <c r="DS69" s="46"/>
      <c r="DT69" s="46"/>
      <c r="DU69" s="46"/>
      <c r="DV69" s="46"/>
      <c r="DW69" s="46"/>
      <c r="DX69" s="46"/>
      <c r="DY69" s="46"/>
      <c r="DZ69" s="46"/>
      <c r="EA69" s="46"/>
      <c r="EB69" s="46"/>
      <c r="EC69" s="46"/>
      <c r="ED69" s="46"/>
      <c r="EE69" s="46"/>
      <c r="EF69" s="46"/>
      <c r="EG69" s="46"/>
      <c r="EH69" s="46"/>
      <c r="EI69" s="46"/>
      <c r="EJ69" s="46"/>
      <c r="EK69" s="46"/>
      <c r="EL69" s="46"/>
      <c r="EM69" s="46"/>
      <c r="EN69" s="46"/>
      <c r="EO69" s="46"/>
      <c r="EP69" s="46"/>
      <c r="EQ69" s="46"/>
      <c r="ER69" s="46"/>
      <c r="ES69" s="46"/>
      <c r="ET69" s="46"/>
      <c r="EU69" s="46"/>
      <c r="EV69" s="46"/>
      <c r="EW69" s="46"/>
      <c r="EX69" s="46"/>
      <c r="EY69" s="46"/>
      <c r="EZ69" s="46"/>
      <c r="FA69" s="46"/>
      <c r="FB69" s="46"/>
      <c r="FC69" s="46"/>
      <c r="FD69" s="46"/>
      <c r="FE69" s="46"/>
      <c r="FF69" s="46"/>
      <c r="FG69" s="46"/>
      <c r="FH69" s="46"/>
      <c r="FI69" s="46"/>
      <c r="FJ69" s="46"/>
      <c r="FK69" s="46"/>
      <c r="FL69" s="46"/>
      <c r="FM69" s="46"/>
      <c r="FN69" s="46"/>
      <c r="FO69" s="46"/>
      <c r="FP69" s="46"/>
      <c r="FQ69" s="46"/>
      <c r="FR69" s="46"/>
      <c r="FS69" s="46"/>
      <c r="FT69" s="46"/>
      <c r="FU69" s="46"/>
      <c r="FV69" s="46"/>
      <c r="FW69" s="46"/>
      <c r="FX69" s="46"/>
      <c r="FY69" s="46"/>
      <c r="FZ69" s="46"/>
      <c r="GA69" s="46"/>
      <c r="GB69" s="46"/>
      <c r="GC69" s="46"/>
      <c r="GD69" s="46"/>
      <c r="GE69" s="46"/>
      <c r="GF69" s="46"/>
      <c r="GG69" s="46"/>
      <c r="GH69" s="46"/>
      <c r="GI69" s="46"/>
      <c r="GJ69" s="46"/>
      <c r="GK69" s="46"/>
      <c r="GL69" s="46"/>
      <c r="GM69" s="46"/>
      <c r="GN69" s="46"/>
      <c r="GO69" s="46"/>
      <c r="GP69" s="46"/>
      <c r="GQ69" s="46"/>
      <c r="GR69" s="46"/>
      <c r="GS69" s="46"/>
      <c r="GT69" s="46"/>
      <c r="GU69" s="46"/>
      <c r="GV69" s="46"/>
      <c r="GW69" s="46"/>
      <c r="GX69" s="46"/>
      <c r="GY69" s="46"/>
      <c r="GZ69" s="46"/>
      <c r="HA69" s="46"/>
      <c r="HB69" s="46"/>
      <c r="HC69" s="46"/>
      <c r="HD69" s="46"/>
      <c r="HE69" s="46"/>
      <c r="HF69" s="46"/>
      <c r="HG69" s="46"/>
      <c r="HH69" s="46"/>
      <c r="HI69" s="46"/>
      <c r="HJ69" s="46"/>
      <c r="HK69" s="46"/>
      <c r="HL69" s="46"/>
      <c r="HM69" s="46"/>
      <c r="HN69" s="46"/>
      <c r="HO69" s="46"/>
      <c r="HP69" s="46"/>
      <c r="HQ69" s="46"/>
      <c r="HR69" s="46"/>
      <c r="HS69" s="46"/>
      <c r="HT69" s="46"/>
      <c r="HU69" s="46"/>
      <c r="HV69" s="46"/>
      <c r="HW69" s="46"/>
      <c r="HX69" s="46"/>
      <c r="HY69" s="46"/>
      <c r="HZ69" s="46"/>
      <c r="IA69" s="46"/>
      <c r="IB69" s="46"/>
      <c r="IC69" s="46"/>
      <c r="ID69" s="46"/>
      <c r="IE69" s="46"/>
      <c r="IF69" s="46"/>
      <c r="IG69" s="46"/>
      <c r="IH69" s="46"/>
      <c r="II69" s="46"/>
      <c r="IJ69" s="46"/>
      <c r="IK69" s="46"/>
      <c r="IL69" s="46"/>
      <c r="IM69" s="46"/>
      <c r="IN69" s="46"/>
      <c r="IO69" s="46"/>
      <c r="IP69" s="46"/>
      <c r="IQ69" s="46"/>
      <c r="IR69" s="46"/>
      <c r="IS69" s="46"/>
      <c r="IT69" s="46"/>
      <c r="IU69" s="46"/>
    </row>
    <row r="70" spans="1:255">
      <c r="A70" s="26" t="s">
        <v>142</v>
      </c>
      <c r="B70" s="27" t="s">
        <v>128</v>
      </c>
      <c r="C70" s="30">
        <v>0</v>
      </c>
      <c r="D70" s="30">
        <v>0</v>
      </c>
      <c r="E70" s="29">
        <f t="shared" si="1"/>
        <v>0</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6"/>
      <c r="GJ70" s="46"/>
      <c r="GK70" s="46"/>
      <c r="GL70" s="46"/>
      <c r="GM70" s="46"/>
      <c r="GN70" s="46"/>
      <c r="GO70" s="46"/>
      <c r="GP70" s="46"/>
      <c r="GQ70" s="46"/>
      <c r="GR70" s="46"/>
      <c r="GS70" s="46"/>
      <c r="GT70" s="46"/>
      <c r="GU70" s="46"/>
      <c r="GV70" s="46"/>
      <c r="GW70" s="46"/>
      <c r="GX70" s="46"/>
      <c r="GY70" s="46"/>
      <c r="GZ70" s="46"/>
      <c r="HA70" s="46"/>
      <c r="HB70" s="46"/>
      <c r="HC70" s="46"/>
      <c r="HD70" s="46"/>
      <c r="HE70" s="46"/>
      <c r="HF70" s="46"/>
      <c r="HG70" s="46"/>
      <c r="HH70" s="46"/>
      <c r="HI70" s="46"/>
      <c r="HJ70" s="46"/>
      <c r="HK70" s="46"/>
      <c r="HL70" s="46"/>
      <c r="HM70" s="46"/>
      <c r="HN70" s="46"/>
      <c r="HO70" s="46"/>
      <c r="HP70" s="46"/>
      <c r="HQ70" s="46"/>
      <c r="HR70" s="46"/>
      <c r="HS70" s="46"/>
      <c r="HT70" s="46"/>
      <c r="HU70" s="46"/>
      <c r="HV70" s="46"/>
      <c r="HW70" s="46"/>
      <c r="HX70" s="46"/>
      <c r="HY70" s="46"/>
      <c r="HZ70" s="46"/>
      <c r="IA70" s="46"/>
      <c r="IB70" s="46"/>
      <c r="IC70" s="46"/>
      <c r="ID70" s="46"/>
      <c r="IE70" s="46"/>
      <c r="IF70" s="46"/>
      <c r="IG70" s="46"/>
      <c r="IH70" s="46"/>
      <c r="II70" s="46"/>
      <c r="IJ70" s="46"/>
      <c r="IK70" s="46"/>
      <c r="IL70" s="46"/>
      <c r="IM70" s="46"/>
      <c r="IN70" s="46"/>
      <c r="IO70" s="46"/>
      <c r="IP70" s="46"/>
      <c r="IQ70" s="46"/>
      <c r="IR70" s="46"/>
      <c r="IS70" s="46"/>
      <c r="IT70" s="46"/>
      <c r="IU70" s="46"/>
    </row>
    <row r="71" spans="1:255">
      <c r="A71" s="26" t="s">
        <v>143</v>
      </c>
      <c r="B71" s="27" t="s">
        <v>130</v>
      </c>
      <c r="C71" s="30">
        <v>0</v>
      </c>
      <c r="D71" s="30">
        <v>0</v>
      </c>
      <c r="E71" s="29">
        <f t="shared" si="1"/>
        <v>0</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c r="BF71" s="46"/>
      <c r="BG71" s="46"/>
      <c r="BH71" s="46"/>
      <c r="BI71" s="46"/>
      <c r="BJ71" s="46"/>
      <c r="BK71" s="46"/>
      <c r="BL71" s="46"/>
      <c r="BM71" s="46"/>
      <c r="BN71" s="46"/>
      <c r="BO71" s="46"/>
      <c r="BP71" s="46"/>
      <c r="BQ71" s="46"/>
      <c r="BR71" s="46"/>
      <c r="BS71" s="46"/>
      <c r="BT71" s="46"/>
      <c r="BU71" s="46"/>
      <c r="BV71" s="46"/>
      <c r="BW71" s="46"/>
      <c r="BX71" s="46"/>
      <c r="BY71" s="46"/>
      <c r="BZ71" s="46"/>
      <c r="CA71" s="46"/>
      <c r="CB71" s="46"/>
      <c r="CC71" s="46"/>
      <c r="CD71" s="46"/>
      <c r="CE71" s="46"/>
      <c r="CF71" s="46"/>
      <c r="CG71" s="46"/>
      <c r="CH71" s="46"/>
      <c r="CI71" s="46"/>
      <c r="CJ71" s="46"/>
      <c r="CK71" s="46"/>
      <c r="CL71" s="46"/>
      <c r="CM71" s="46"/>
      <c r="CN71" s="46"/>
      <c r="CO71" s="46"/>
      <c r="CP71" s="46"/>
      <c r="CQ71" s="46"/>
      <c r="CR71" s="46"/>
      <c r="CS71" s="46"/>
      <c r="CT71" s="46"/>
      <c r="CU71" s="46"/>
      <c r="CV71" s="46"/>
      <c r="CW71" s="46"/>
      <c r="CX71" s="46"/>
      <c r="CY71" s="46"/>
      <c r="CZ71" s="46"/>
      <c r="DA71" s="46"/>
      <c r="DB71" s="46"/>
      <c r="DC71" s="46"/>
      <c r="DD71" s="46"/>
      <c r="DE71" s="46"/>
      <c r="DF71" s="46"/>
      <c r="DG71" s="46"/>
      <c r="DH71" s="46"/>
      <c r="DI71" s="46"/>
      <c r="DJ71" s="46"/>
      <c r="DK71" s="46"/>
      <c r="DL71" s="46"/>
      <c r="DM71" s="46"/>
      <c r="DN71" s="46"/>
      <c r="DO71" s="46"/>
      <c r="DP71" s="46"/>
      <c r="DQ71" s="46"/>
      <c r="DR71" s="46"/>
      <c r="DS71" s="46"/>
      <c r="DT71" s="46"/>
      <c r="DU71" s="46"/>
      <c r="DV71" s="46"/>
      <c r="DW71" s="46"/>
      <c r="DX71" s="46"/>
      <c r="DY71" s="46"/>
      <c r="DZ71" s="46"/>
      <c r="EA71" s="46"/>
      <c r="EB71" s="46"/>
      <c r="EC71" s="46"/>
      <c r="ED71" s="46"/>
      <c r="EE71" s="46"/>
      <c r="EF71" s="46"/>
      <c r="EG71" s="46"/>
      <c r="EH71" s="46"/>
      <c r="EI71" s="46"/>
      <c r="EJ71" s="46"/>
      <c r="EK71" s="46"/>
      <c r="EL71" s="46"/>
      <c r="EM71" s="46"/>
      <c r="EN71" s="46"/>
      <c r="EO71" s="46"/>
      <c r="EP71" s="46"/>
      <c r="EQ71" s="46"/>
      <c r="ER71" s="46"/>
      <c r="ES71" s="46"/>
      <c r="ET71" s="46"/>
      <c r="EU71" s="46"/>
      <c r="EV71" s="46"/>
      <c r="EW71" s="46"/>
      <c r="EX71" s="46"/>
      <c r="EY71" s="46"/>
      <c r="EZ71" s="46"/>
      <c r="FA71" s="46"/>
      <c r="FB71" s="46"/>
      <c r="FC71" s="46"/>
      <c r="FD71" s="46"/>
      <c r="FE71" s="46"/>
      <c r="FF71" s="46"/>
      <c r="FG71" s="46"/>
      <c r="FH71" s="46"/>
      <c r="FI71" s="46"/>
      <c r="FJ71" s="46"/>
      <c r="FK71" s="46"/>
      <c r="FL71" s="46"/>
      <c r="FM71" s="46"/>
      <c r="FN71" s="46"/>
      <c r="FO71" s="46"/>
      <c r="FP71" s="46"/>
      <c r="FQ71" s="46"/>
      <c r="FR71" s="46"/>
      <c r="FS71" s="46"/>
      <c r="FT71" s="46"/>
      <c r="FU71" s="46"/>
      <c r="FV71" s="46"/>
      <c r="FW71" s="46"/>
      <c r="FX71" s="46"/>
      <c r="FY71" s="46"/>
      <c r="FZ71" s="46"/>
      <c r="GA71" s="46"/>
      <c r="GB71" s="46"/>
      <c r="GC71" s="46"/>
      <c r="GD71" s="46"/>
      <c r="GE71" s="46"/>
      <c r="GF71" s="46"/>
      <c r="GG71" s="46"/>
      <c r="GH71" s="46"/>
      <c r="GI71" s="46"/>
      <c r="GJ71" s="46"/>
      <c r="GK71" s="46"/>
      <c r="GL71" s="46"/>
      <c r="GM71" s="46"/>
      <c r="GN71" s="46"/>
      <c r="GO71" s="46"/>
      <c r="GP71" s="46"/>
      <c r="GQ71" s="46"/>
      <c r="GR71" s="46"/>
      <c r="GS71" s="46"/>
      <c r="GT71" s="46"/>
      <c r="GU71" s="46"/>
      <c r="GV71" s="46"/>
      <c r="GW71" s="46"/>
      <c r="GX71" s="46"/>
      <c r="GY71" s="46"/>
      <c r="GZ71" s="46"/>
      <c r="HA71" s="46"/>
      <c r="HB71" s="46"/>
      <c r="HC71" s="46"/>
      <c r="HD71" s="46"/>
      <c r="HE71" s="46"/>
      <c r="HF71" s="46"/>
      <c r="HG71" s="46"/>
      <c r="HH71" s="46"/>
      <c r="HI71" s="46"/>
      <c r="HJ71" s="46"/>
      <c r="HK71" s="46"/>
      <c r="HL71" s="46"/>
      <c r="HM71" s="46"/>
      <c r="HN71" s="46"/>
      <c r="HO71" s="46"/>
      <c r="HP71" s="46"/>
      <c r="HQ71" s="46"/>
      <c r="HR71" s="46"/>
      <c r="HS71" s="46"/>
      <c r="HT71" s="46"/>
      <c r="HU71" s="46"/>
      <c r="HV71" s="46"/>
      <c r="HW71" s="46"/>
      <c r="HX71" s="46"/>
      <c r="HY71" s="46"/>
      <c r="HZ71" s="46"/>
      <c r="IA71" s="46"/>
      <c r="IB71" s="46"/>
      <c r="IC71" s="46"/>
      <c r="ID71" s="46"/>
      <c r="IE71" s="46"/>
      <c r="IF71" s="46"/>
      <c r="IG71" s="46"/>
      <c r="IH71" s="46"/>
      <c r="II71" s="46"/>
      <c r="IJ71" s="46"/>
      <c r="IK71" s="46"/>
      <c r="IL71" s="46"/>
      <c r="IM71" s="46"/>
      <c r="IN71" s="46"/>
      <c r="IO71" s="46"/>
      <c r="IP71" s="46"/>
      <c r="IQ71" s="46"/>
      <c r="IR71" s="46"/>
      <c r="IS71" s="46"/>
      <c r="IT71" s="46"/>
      <c r="IU71" s="46"/>
    </row>
    <row r="72" spans="1:255">
      <c r="A72" s="26" t="s">
        <v>144</v>
      </c>
      <c r="B72" s="27" t="s">
        <v>145</v>
      </c>
      <c r="C72" s="30">
        <v>0</v>
      </c>
      <c r="D72" s="30">
        <v>0</v>
      </c>
      <c r="E72" s="29">
        <f t="shared" si="1"/>
        <v>0</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c r="BF72" s="46"/>
      <c r="BG72" s="46"/>
      <c r="BH72" s="46"/>
      <c r="BI72" s="46"/>
      <c r="BJ72" s="46"/>
      <c r="BK72" s="46"/>
      <c r="BL72" s="46"/>
      <c r="BM72" s="46"/>
      <c r="BN72" s="46"/>
      <c r="BO72" s="46"/>
      <c r="BP72" s="46"/>
      <c r="BQ72" s="46"/>
      <c r="BR72" s="46"/>
      <c r="BS72" s="46"/>
      <c r="BT72" s="46"/>
      <c r="BU72" s="46"/>
      <c r="BV72" s="46"/>
      <c r="BW72" s="46"/>
      <c r="BX72" s="46"/>
      <c r="BY72" s="46"/>
      <c r="BZ72" s="46"/>
      <c r="CA72" s="46"/>
      <c r="CB72" s="46"/>
      <c r="CC72" s="46"/>
      <c r="CD72" s="46"/>
      <c r="CE72" s="46"/>
      <c r="CF72" s="46"/>
      <c r="CG72" s="46"/>
      <c r="CH72" s="46"/>
      <c r="CI72" s="46"/>
      <c r="CJ72" s="46"/>
      <c r="CK72" s="46"/>
      <c r="CL72" s="46"/>
      <c r="CM72" s="46"/>
      <c r="CN72" s="46"/>
      <c r="CO72" s="46"/>
      <c r="CP72" s="46"/>
      <c r="CQ72" s="46"/>
      <c r="CR72" s="46"/>
      <c r="CS72" s="46"/>
      <c r="CT72" s="46"/>
      <c r="CU72" s="46"/>
      <c r="CV72" s="46"/>
      <c r="CW72" s="46"/>
      <c r="CX72" s="46"/>
      <c r="CY72" s="46"/>
      <c r="CZ72" s="46"/>
      <c r="DA72" s="46"/>
      <c r="DB72" s="46"/>
      <c r="DC72" s="46"/>
      <c r="DD72" s="46"/>
      <c r="DE72" s="46"/>
      <c r="DF72" s="46"/>
      <c r="DG72" s="46"/>
      <c r="DH72" s="46"/>
      <c r="DI72" s="46"/>
      <c r="DJ72" s="46"/>
      <c r="DK72" s="46"/>
      <c r="DL72" s="46"/>
      <c r="DM72" s="46"/>
      <c r="DN72" s="46"/>
      <c r="DO72" s="46"/>
      <c r="DP72" s="46"/>
      <c r="DQ72" s="46"/>
      <c r="DR72" s="46"/>
      <c r="DS72" s="46"/>
      <c r="DT72" s="46"/>
      <c r="DU72" s="46"/>
      <c r="DV72" s="46"/>
      <c r="DW72" s="46"/>
      <c r="DX72" s="46"/>
      <c r="DY72" s="46"/>
      <c r="DZ72" s="46"/>
      <c r="EA72" s="46"/>
      <c r="EB72" s="46"/>
      <c r="EC72" s="46"/>
      <c r="ED72" s="46"/>
      <c r="EE72" s="46"/>
      <c r="EF72" s="46"/>
      <c r="EG72" s="46"/>
      <c r="EH72" s="46"/>
      <c r="EI72" s="46"/>
      <c r="EJ72" s="46"/>
      <c r="EK72" s="46"/>
      <c r="EL72" s="46"/>
      <c r="EM72" s="46"/>
      <c r="EN72" s="46"/>
      <c r="EO72" s="46"/>
      <c r="EP72" s="46"/>
      <c r="EQ72" s="46"/>
      <c r="ER72" s="46"/>
      <c r="ES72" s="46"/>
      <c r="ET72" s="46"/>
      <c r="EU72" s="46"/>
      <c r="EV72" s="46"/>
      <c r="EW72" s="46"/>
      <c r="EX72" s="46"/>
      <c r="EY72" s="46"/>
      <c r="EZ72" s="46"/>
      <c r="FA72" s="46"/>
      <c r="FB72" s="46"/>
      <c r="FC72" s="46"/>
      <c r="FD72" s="46"/>
      <c r="FE72" s="46"/>
      <c r="FF72" s="46"/>
      <c r="FG72" s="46"/>
      <c r="FH72" s="46"/>
      <c r="FI72" s="46"/>
      <c r="FJ72" s="46"/>
      <c r="FK72" s="46"/>
      <c r="FL72" s="46"/>
      <c r="FM72" s="46"/>
      <c r="FN72" s="46"/>
      <c r="FO72" s="46"/>
      <c r="FP72" s="46"/>
      <c r="FQ72" s="46"/>
      <c r="FR72" s="46"/>
      <c r="FS72" s="46"/>
      <c r="FT72" s="46"/>
      <c r="FU72" s="46"/>
      <c r="FV72" s="46"/>
      <c r="FW72" s="46"/>
      <c r="FX72" s="46"/>
      <c r="FY72" s="46"/>
      <c r="FZ72" s="46"/>
      <c r="GA72" s="46"/>
      <c r="GB72" s="46"/>
      <c r="GC72" s="46"/>
      <c r="GD72" s="46"/>
      <c r="GE72" s="46"/>
      <c r="GF72" s="46"/>
      <c r="GG72" s="46"/>
      <c r="GH72" s="46"/>
      <c r="GI72" s="46"/>
      <c r="GJ72" s="46"/>
      <c r="GK72" s="46"/>
      <c r="GL72" s="46"/>
      <c r="GM72" s="46"/>
      <c r="GN72" s="46"/>
      <c r="GO72" s="46"/>
      <c r="GP72" s="46"/>
      <c r="GQ72" s="46"/>
      <c r="GR72" s="46"/>
      <c r="GS72" s="46"/>
      <c r="GT72" s="46"/>
      <c r="GU72" s="46"/>
      <c r="GV72" s="46"/>
      <c r="GW72" s="46"/>
      <c r="GX72" s="46"/>
      <c r="GY72" s="46"/>
      <c r="GZ72" s="46"/>
      <c r="HA72" s="46"/>
      <c r="HB72" s="46"/>
      <c r="HC72" s="46"/>
      <c r="HD72" s="46"/>
      <c r="HE72" s="46"/>
      <c r="HF72" s="46"/>
      <c r="HG72" s="46"/>
      <c r="HH72" s="46"/>
      <c r="HI72" s="46"/>
      <c r="HJ72" s="46"/>
      <c r="HK72" s="46"/>
      <c r="HL72" s="46"/>
      <c r="HM72" s="46"/>
      <c r="HN72" s="46"/>
      <c r="HO72" s="46"/>
      <c r="HP72" s="46"/>
      <c r="HQ72" s="46"/>
      <c r="HR72" s="46"/>
      <c r="HS72" s="46"/>
      <c r="HT72" s="46"/>
      <c r="HU72" s="46"/>
      <c r="HV72" s="46"/>
      <c r="HW72" s="46"/>
      <c r="HX72" s="46"/>
      <c r="HY72" s="46"/>
      <c r="HZ72" s="46"/>
      <c r="IA72" s="46"/>
      <c r="IB72" s="46"/>
      <c r="IC72" s="46"/>
      <c r="ID72" s="46"/>
      <c r="IE72" s="46"/>
      <c r="IF72" s="46"/>
      <c r="IG72" s="46"/>
      <c r="IH72" s="46"/>
      <c r="II72" s="46"/>
      <c r="IJ72" s="46"/>
      <c r="IK72" s="46"/>
      <c r="IL72" s="46"/>
      <c r="IM72" s="46"/>
      <c r="IN72" s="46"/>
      <c r="IO72" s="46"/>
      <c r="IP72" s="46"/>
      <c r="IQ72" s="46"/>
      <c r="IR72" s="46"/>
      <c r="IS72" s="46"/>
      <c r="IT72" s="46"/>
      <c r="IU72" s="46"/>
    </row>
    <row r="73" spans="1:255">
      <c r="A73" s="26" t="s">
        <v>146</v>
      </c>
      <c r="B73" s="27" t="s">
        <v>147</v>
      </c>
      <c r="C73" s="30">
        <v>0</v>
      </c>
      <c r="D73" s="30">
        <v>0</v>
      </c>
      <c r="E73" s="29">
        <f t="shared" si="1"/>
        <v>0</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c r="BF73" s="46"/>
      <c r="BG73" s="46"/>
      <c r="BH73" s="46"/>
      <c r="BI73" s="46"/>
      <c r="BJ73" s="46"/>
      <c r="BK73" s="46"/>
      <c r="BL73" s="46"/>
      <c r="BM73" s="46"/>
      <c r="BN73" s="46"/>
      <c r="BO73" s="46"/>
      <c r="BP73" s="46"/>
      <c r="BQ73" s="46"/>
      <c r="BR73" s="46"/>
      <c r="BS73" s="46"/>
      <c r="BT73" s="46"/>
      <c r="BU73" s="46"/>
      <c r="BV73" s="46"/>
      <c r="BW73" s="46"/>
      <c r="BX73" s="46"/>
      <c r="BY73" s="46"/>
      <c r="BZ73" s="46"/>
      <c r="CA73" s="46"/>
      <c r="CB73" s="46"/>
      <c r="CC73" s="46"/>
      <c r="CD73" s="46"/>
      <c r="CE73" s="46"/>
      <c r="CF73" s="46"/>
      <c r="CG73" s="46"/>
      <c r="CH73" s="46"/>
      <c r="CI73" s="46"/>
      <c r="CJ73" s="46"/>
      <c r="CK73" s="46"/>
      <c r="CL73" s="46"/>
      <c r="CM73" s="46"/>
      <c r="CN73" s="46"/>
      <c r="CO73" s="46"/>
      <c r="CP73" s="46"/>
      <c r="CQ73" s="46"/>
      <c r="CR73" s="46"/>
      <c r="CS73" s="46"/>
      <c r="CT73" s="46"/>
      <c r="CU73" s="46"/>
      <c r="CV73" s="46"/>
      <c r="CW73" s="46"/>
      <c r="CX73" s="46"/>
      <c r="CY73" s="46"/>
      <c r="CZ73" s="46"/>
      <c r="DA73" s="46"/>
      <c r="DB73" s="46"/>
      <c r="DC73" s="46"/>
      <c r="DD73" s="46"/>
      <c r="DE73" s="46"/>
      <c r="DF73" s="46"/>
      <c r="DG73" s="46"/>
      <c r="DH73" s="46"/>
      <c r="DI73" s="46"/>
      <c r="DJ73" s="46"/>
      <c r="DK73" s="46"/>
      <c r="DL73" s="46"/>
      <c r="DM73" s="46"/>
      <c r="DN73" s="46"/>
      <c r="DO73" s="46"/>
      <c r="DP73" s="46"/>
      <c r="DQ73" s="46"/>
      <c r="DR73" s="46"/>
      <c r="DS73" s="46"/>
      <c r="DT73" s="46"/>
      <c r="DU73" s="46"/>
      <c r="DV73" s="46"/>
      <c r="DW73" s="46"/>
      <c r="DX73" s="46"/>
      <c r="DY73" s="46"/>
      <c r="DZ73" s="46"/>
      <c r="EA73" s="46"/>
      <c r="EB73" s="46"/>
      <c r="EC73" s="46"/>
      <c r="ED73" s="46"/>
      <c r="EE73" s="46"/>
      <c r="EF73" s="46"/>
      <c r="EG73" s="46"/>
      <c r="EH73" s="46"/>
      <c r="EI73" s="46"/>
      <c r="EJ73" s="46"/>
      <c r="EK73" s="46"/>
      <c r="EL73" s="46"/>
      <c r="EM73" s="46"/>
      <c r="EN73" s="46"/>
      <c r="EO73" s="46"/>
      <c r="EP73" s="46"/>
      <c r="EQ73" s="46"/>
      <c r="ER73" s="46"/>
      <c r="ES73" s="46"/>
      <c r="ET73" s="46"/>
      <c r="EU73" s="46"/>
      <c r="EV73" s="46"/>
      <c r="EW73" s="46"/>
      <c r="EX73" s="46"/>
      <c r="EY73" s="46"/>
      <c r="EZ73" s="46"/>
      <c r="FA73" s="46"/>
      <c r="FB73" s="46"/>
      <c r="FC73" s="46"/>
      <c r="FD73" s="46"/>
      <c r="FE73" s="46"/>
      <c r="FF73" s="46"/>
      <c r="FG73" s="46"/>
      <c r="FH73" s="46"/>
      <c r="FI73" s="46"/>
      <c r="FJ73" s="46"/>
      <c r="FK73" s="46"/>
      <c r="FL73" s="46"/>
      <c r="FM73" s="46"/>
      <c r="FN73" s="46"/>
      <c r="FO73" s="46"/>
      <c r="FP73" s="46"/>
      <c r="FQ73" s="46"/>
      <c r="FR73" s="46"/>
      <c r="FS73" s="46"/>
      <c r="FT73" s="46"/>
      <c r="FU73" s="46"/>
      <c r="FV73" s="46"/>
      <c r="FW73" s="46"/>
      <c r="FX73" s="46"/>
      <c r="FY73" s="46"/>
      <c r="FZ73" s="46"/>
      <c r="GA73" s="46"/>
      <c r="GB73" s="46"/>
      <c r="GC73" s="46"/>
      <c r="GD73" s="46"/>
      <c r="GE73" s="46"/>
      <c r="GF73" s="46"/>
      <c r="GG73" s="46"/>
      <c r="GH73" s="46"/>
      <c r="GI73" s="46"/>
      <c r="GJ73" s="46"/>
      <c r="GK73" s="46"/>
      <c r="GL73" s="46"/>
      <c r="GM73" s="46"/>
      <c r="GN73" s="46"/>
      <c r="GO73" s="46"/>
      <c r="GP73" s="46"/>
      <c r="GQ73" s="46"/>
      <c r="GR73" s="46"/>
      <c r="GS73" s="46"/>
      <c r="GT73" s="46"/>
      <c r="GU73" s="46"/>
      <c r="GV73" s="46"/>
      <c r="GW73" s="46"/>
      <c r="GX73" s="46"/>
      <c r="GY73" s="46"/>
      <c r="GZ73" s="46"/>
      <c r="HA73" s="46"/>
      <c r="HB73" s="46"/>
      <c r="HC73" s="46"/>
      <c r="HD73" s="46"/>
      <c r="HE73" s="46"/>
      <c r="HF73" s="46"/>
      <c r="HG73" s="46"/>
      <c r="HH73" s="46"/>
      <c r="HI73" s="46"/>
      <c r="HJ73" s="46"/>
      <c r="HK73" s="46"/>
      <c r="HL73" s="46"/>
      <c r="HM73" s="46"/>
      <c r="HN73" s="46"/>
      <c r="HO73" s="46"/>
      <c r="HP73" s="46"/>
      <c r="HQ73" s="46"/>
      <c r="HR73" s="46"/>
      <c r="HS73" s="46"/>
      <c r="HT73" s="46"/>
      <c r="HU73" s="46"/>
      <c r="HV73" s="46"/>
      <c r="HW73" s="46"/>
      <c r="HX73" s="46"/>
      <c r="HY73" s="46"/>
      <c r="HZ73" s="46"/>
      <c r="IA73" s="46"/>
      <c r="IB73" s="46"/>
      <c r="IC73" s="46"/>
      <c r="ID73" s="46"/>
      <c r="IE73" s="46"/>
      <c r="IF73" s="46"/>
      <c r="IG73" s="46"/>
      <c r="IH73" s="46"/>
      <c r="II73" s="46"/>
      <c r="IJ73" s="46"/>
      <c r="IK73" s="46"/>
      <c r="IL73" s="46"/>
      <c r="IM73" s="46"/>
      <c r="IN73" s="46"/>
      <c r="IO73" s="46"/>
      <c r="IP73" s="46"/>
      <c r="IQ73" s="46"/>
      <c r="IR73" s="46"/>
      <c r="IS73" s="46"/>
      <c r="IT73" s="46"/>
      <c r="IU73" s="46"/>
    </row>
    <row r="74" spans="1:255">
      <c r="A74" s="26" t="s">
        <v>148</v>
      </c>
      <c r="B74" s="27" t="s">
        <v>149</v>
      </c>
      <c r="C74" s="30">
        <v>0</v>
      </c>
      <c r="D74" s="30">
        <v>0</v>
      </c>
      <c r="E74" s="29">
        <f t="shared" si="1"/>
        <v>0</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c r="BF74" s="46"/>
      <c r="BG74" s="46"/>
      <c r="BH74" s="46"/>
      <c r="BI74" s="46"/>
      <c r="BJ74" s="46"/>
      <c r="BK74" s="46"/>
      <c r="BL74" s="46"/>
      <c r="BM74" s="46"/>
      <c r="BN74" s="46"/>
      <c r="BO74" s="46"/>
      <c r="BP74" s="46"/>
      <c r="BQ74" s="46"/>
      <c r="BR74" s="46"/>
      <c r="BS74" s="46"/>
      <c r="BT74" s="46"/>
      <c r="BU74" s="46"/>
      <c r="BV74" s="46"/>
      <c r="BW74" s="46"/>
      <c r="BX74" s="46"/>
      <c r="BY74" s="46"/>
      <c r="BZ74" s="46"/>
      <c r="CA74" s="46"/>
      <c r="CB74" s="46"/>
      <c r="CC74" s="46"/>
      <c r="CD74" s="46"/>
      <c r="CE74" s="46"/>
      <c r="CF74" s="46"/>
      <c r="CG74" s="46"/>
      <c r="CH74" s="46"/>
      <c r="CI74" s="46"/>
      <c r="CJ74" s="46"/>
      <c r="CK74" s="46"/>
      <c r="CL74" s="46"/>
      <c r="CM74" s="46"/>
      <c r="CN74" s="46"/>
      <c r="CO74" s="46"/>
      <c r="CP74" s="46"/>
      <c r="CQ74" s="46"/>
      <c r="CR74" s="46"/>
      <c r="CS74" s="46"/>
      <c r="CT74" s="46"/>
      <c r="CU74" s="46"/>
      <c r="CV74" s="46"/>
      <c r="CW74" s="46"/>
      <c r="CX74" s="46"/>
      <c r="CY74" s="46"/>
      <c r="CZ74" s="46"/>
      <c r="DA74" s="46"/>
      <c r="DB74" s="46"/>
      <c r="DC74" s="46"/>
      <c r="DD74" s="46"/>
      <c r="DE74" s="46"/>
      <c r="DF74" s="46"/>
      <c r="DG74" s="46"/>
      <c r="DH74" s="46"/>
      <c r="DI74" s="46"/>
      <c r="DJ74" s="46"/>
      <c r="DK74" s="46"/>
      <c r="DL74" s="46"/>
      <c r="DM74" s="46"/>
      <c r="DN74" s="46"/>
      <c r="DO74" s="46"/>
      <c r="DP74" s="46"/>
      <c r="DQ74" s="46"/>
      <c r="DR74" s="46"/>
      <c r="DS74" s="46"/>
      <c r="DT74" s="46"/>
      <c r="DU74" s="46"/>
      <c r="DV74" s="46"/>
      <c r="DW74" s="46"/>
      <c r="DX74" s="46"/>
      <c r="DY74" s="46"/>
      <c r="DZ74" s="46"/>
      <c r="EA74" s="46"/>
      <c r="EB74" s="46"/>
      <c r="EC74" s="46"/>
      <c r="ED74" s="46"/>
      <c r="EE74" s="46"/>
      <c r="EF74" s="46"/>
      <c r="EG74" s="46"/>
      <c r="EH74" s="46"/>
      <c r="EI74" s="46"/>
      <c r="EJ74" s="46"/>
      <c r="EK74" s="46"/>
      <c r="EL74" s="46"/>
      <c r="EM74" s="46"/>
      <c r="EN74" s="46"/>
      <c r="EO74" s="46"/>
      <c r="EP74" s="46"/>
      <c r="EQ74" s="46"/>
      <c r="ER74" s="46"/>
      <c r="ES74" s="46"/>
      <c r="ET74" s="46"/>
      <c r="EU74" s="46"/>
      <c r="EV74" s="46"/>
      <c r="EW74" s="46"/>
      <c r="EX74" s="46"/>
      <c r="EY74" s="46"/>
      <c r="EZ74" s="46"/>
      <c r="FA74" s="46"/>
      <c r="FB74" s="46"/>
      <c r="FC74" s="46"/>
      <c r="FD74" s="46"/>
      <c r="FE74" s="46"/>
      <c r="FF74" s="46"/>
      <c r="FG74" s="46"/>
      <c r="FH74" s="46"/>
      <c r="FI74" s="46"/>
      <c r="FJ74" s="46"/>
      <c r="FK74" s="46"/>
      <c r="FL74" s="46"/>
      <c r="FM74" s="46"/>
      <c r="FN74" s="46"/>
      <c r="FO74" s="46"/>
      <c r="FP74" s="46"/>
      <c r="FQ74" s="46"/>
      <c r="FR74" s="46"/>
      <c r="FS74" s="46"/>
      <c r="FT74" s="46"/>
      <c r="FU74" s="46"/>
      <c r="FV74" s="46"/>
      <c r="FW74" s="46"/>
      <c r="FX74" s="46"/>
      <c r="FY74" s="46"/>
      <c r="FZ74" s="46"/>
      <c r="GA74" s="46"/>
      <c r="GB74" s="46"/>
      <c r="GC74" s="46"/>
      <c r="GD74" s="46"/>
      <c r="GE74" s="46"/>
      <c r="GF74" s="46"/>
      <c r="GG74" s="46"/>
      <c r="GH74" s="46"/>
      <c r="GI74" s="46"/>
      <c r="GJ74" s="46"/>
      <c r="GK74" s="46"/>
      <c r="GL74" s="46"/>
      <c r="GM74" s="46"/>
      <c r="GN74" s="46"/>
      <c r="GO74" s="46"/>
      <c r="GP74" s="46"/>
      <c r="GQ74" s="46"/>
      <c r="GR74" s="46"/>
      <c r="GS74" s="46"/>
      <c r="GT74" s="46"/>
      <c r="GU74" s="46"/>
      <c r="GV74" s="46"/>
      <c r="GW74" s="46"/>
      <c r="GX74" s="46"/>
      <c r="GY74" s="46"/>
      <c r="GZ74" s="46"/>
      <c r="HA74" s="46"/>
      <c r="HB74" s="46"/>
      <c r="HC74" s="46"/>
      <c r="HD74" s="46"/>
      <c r="HE74" s="46"/>
      <c r="HF74" s="46"/>
      <c r="HG74" s="46"/>
      <c r="HH74" s="46"/>
      <c r="HI74" s="46"/>
      <c r="HJ74" s="46"/>
      <c r="HK74" s="46"/>
      <c r="HL74" s="46"/>
      <c r="HM74" s="46"/>
      <c r="HN74" s="46"/>
      <c r="HO74" s="46"/>
      <c r="HP74" s="46"/>
      <c r="HQ74" s="46"/>
      <c r="HR74" s="46"/>
      <c r="HS74" s="46"/>
      <c r="HT74" s="46"/>
      <c r="HU74" s="46"/>
      <c r="HV74" s="46"/>
      <c r="HW74" s="46"/>
      <c r="HX74" s="46"/>
      <c r="HY74" s="46"/>
      <c r="HZ74" s="46"/>
      <c r="IA74" s="46"/>
      <c r="IB74" s="46"/>
      <c r="IC74" s="46"/>
      <c r="ID74" s="46"/>
      <c r="IE74" s="46"/>
      <c r="IF74" s="46"/>
      <c r="IG74" s="46"/>
      <c r="IH74" s="46"/>
      <c r="II74" s="46"/>
      <c r="IJ74" s="46"/>
      <c r="IK74" s="46"/>
      <c r="IL74" s="46"/>
      <c r="IM74" s="46"/>
      <c r="IN74" s="46"/>
      <c r="IO74" s="46"/>
      <c r="IP74" s="46"/>
      <c r="IQ74" s="46"/>
      <c r="IR74" s="46"/>
      <c r="IS74" s="46"/>
      <c r="IT74" s="46"/>
      <c r="IU74" s="46"/>
    </row>
    <row r="75" spans="1:255">
      <c r="A75" s="26" t="s">
        <v>150</v>
      </c>
      <c r="B75" s="27" t="s">
        <v>151</v>
      </c>
      <c r="C75" s="70">
        <f>C76+C77+C78+C79</f>
        <v>0</v>
      </c>
      <c r="D75" s="70">
        <f>D76+D77+D78+D79</f>
        <v>0</v>
      </c>
      <c r="E75" s="29">
        <f t="shared" si="1"/>
        <v>0</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6"/>
      <c r="GJ75" s="46"/>
      <c r="GK75" s="46"/>
      <c r="GL75" s="46"/>
      <c r="GM75" s="46"/>
      <c r="GN75" s="46"/>
      <c r="GO75" s="46"/>
      <c r="GP75" s="46"/>
      <c r="GQ75" s="46"/>
      <c r="GR75" s="46"/>
      <c r="GS75" s="46"/>
      <c r="GT75" s="46"/>
      <c r="GU75" s="46"/>
      <c r="GV75" s="46"/>
      <c r="GW75" s="46"/>
      <c r="GX75" s="46"/>
      <c r="GY75" s="46"/>
      <c r="GZ75" s="46"/>
      <c r="HA75" s="46"/>
      <c r="HB75" s="46"/>
      <c r="HC75" s="46"/>
      <c r="HD75" s="46"/>
      <c r="HE75" s="46"/>
      <c r="HF75" s="46"/>
      <c r="HG75" s="46"/>
      <c r="HH75" s="46"/>
      <c r="HI75" s="46"/>
      <c r="HJ75" s="46"/>
      <c r="HK75" s="46"/>
      <c r="HL75" s="46"/>
      <c r="HM75" s="46"/>
      <c r="HN75" s="46"/>
      <c r="HO75" s="46"/>
      <c r="HP75" s="46"/>
      <c r="HQ75" s="46"/>
      <c r="HR75" s="46"/>
      <c r="HS75" s="46"/>
      <c r="HT75" s="46"/>
      <c r="HU75" s="46"/>
      <c r="HV75" s="46"/>
      <c r="HW75" s="46"/>
      <c r="HX75" s="46"/>
      <c r="HY75" s="46"/>
      <c r="HZ75" s="46"/>
      <c r="IA75" s="46"/>
      <c r="IB75" s="46"/>
      <c r="IC75" s="46"/>
      <c r="ID75" s="46"/>
      <c r="IE75" s="46"/>
      <c r="IF75" s="46"/>
      <c r="IG75" s="46"/>
      <c r="IH75" s="46"/>
      <c r="II75" s="46"/>
      <c r="IJ75" s="46"/>
      <c r="IK75" s="46"/>
      <c r="IL75" s="46"/>
      <c r="IM75" s="46"/>
      <c r="IN75" s="46"/>
      <c r="IO75" s="46"/>
      <c r="IP75" s="46"/>
      <c r="IQ75" s="46"/>
      <c r="IR75" s="46"/>
      <c r="IS75" s="46"/>
      <c r="IT75" s="46"/>
      <c r="IU75" s="46"/>
    </row>
    <row r="76" spans="1:255">
      <c r="A76" s="26" t="s">
        <v>152</v>
      </c>
      <c r="B76" s="27" t="s">
        <v>153</v>
      </c>
      <c r="C76" s="30">
        <v>0</v>
      </c>
      <c r="D76" s="30">
        <v>0</v>
      </c>
      <c r="E76" s="29">
        <f t="shared" si="1"/>
        <v>0</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c r="BF76" s="46"/>
      <c r="BG76" s="46"/>
      <c r="BH76" s="46"/>
      <c r="BI76" s="46"/>
      <c r="BJ76" s="46"/>
      <c r="BK76" s="46"/>
      <c r="BL76" s="46"/>
      <c r="BM76" s="46"/>
      <c r="BN76" s="46"/>
      <c r="BO76" s="46"/>
      <c r="BP76" s="46"/>
      <c r="BQ76" s="46"/>
      <c r="BR76" s="46"/>
      <c r="BS76" s="46"/>
      <c r="BT76" s="46"/>
      <c r="BU76" s="46"/>
      <c r="BV76" s="46"/>
      <c r="BW76" s="46"/>
      <c r="BX76" s="46"/>
      <c r="BY76" s="46"/>
      <c r="BZ76" s="46"/>
      <c r="CA76" s="46"/>
      <c r="CB76" s="46"/>
      <c r="CC76" s="46"/>
      <c r="CD76" s="46"/>
      <c r="CE76" s="46"/>
      <c r="CF76" s="46"/>
      <c r="CG76" s="46"/>
      <c r="CH76" s="46"/>
      <c r="CI76" s="46"/>
      <c r="CJ76" s="46"/>
      <c r="CK76" s="46"/>
      <c r="CL76" s="46"/>
      <c r="CM76" s="46"/>
      <c r="CN76" s="46"/>
      <c r="CO76" s="46"/>
      <c r="CP76" s="46"/>
      <c r="CQ76" s="46"/>
      <c r="CR76" s="46"/>
      <c r="CS76" s="46"/>
      <c r="CT76" s="46"/>
      <c r="CU76" s="46"/>
      <c r="CV76" s="46"/>
      <c r="CW76" s="46"/>
      <c r="CX76" s="46"/>
      <c r="CY76" s="46"/>
      <c r="CZ76" s="46"/>
      <c r="DA76" s="46"/>
      <c r="DB76" s="46"/>
      <c r="DC76" s="46"/>
      <c r="DD76" s="46"/>
      <c r="DE76" s="46"/>
      <c r="DF76" s="46"/>
      <c r="DG76" s="46"/>
      <c r="DH76" s="46"/>
      <c r="DI76" s="46"/>
      <c r="DJ76" s="46"/>
      <c r="DK76" s="46"/>
      <c r="DL76" s="46"/>
      <c r="DM76" s="46"/>
      <c r="DN76" s="46"/>
      <c r="DO76" s="46"/>
      <c r="DP76" s="46"/>
      <c r="DQ76" s="46"/>
      <c r="DR76" s="46"/>
      <c r="DS76" s="46"/>
      <c r="DT76" s="46"/>
      <c r="DU76" s="46"/>
      <c r="DV76" s="46"/>
      <c r="DW76" s="46"/>
      <c r="DX76" s="46"/>
      <c r="DY76" s="46"/>
      <c r="DZ76" s="46"/>
      <c r="EA76" s="46"/>
      <c r="EB76" s="46"/>
      <c r="EC76" s="46"/>
      <c r="ED76" s="46"/>
      <c r="EE76" s="46"/>
      <c r="EF76" s="46"/>
      <c r="EG76" s="46"/>
      <c r="EH76" s="46"/>
      <c r="EI76" s="46"/>
      <c r="EJ76" s="46"/>
      <c r="EK76" s="46"/>
      <c r="EL76" s="46"/>
      <c r="EM76" s="46"/>
      <c r="EN76" s="46"/>
      <c r="EO76" s="46"/>
      <c r="EP76" s="46"/>
      <c r="EQ76" s="46"/>
      <c r="ER76" s="46"/>
      <c r="ES76" s="46"/>
      <c r="ET76" s="46"/>
      <c r="EU76" s="46"/>
      <c r="EV76" s="46"/>
      <c r="EW76" s="46"/>
      <c r="EX76" s="46"/>
      <c r="EY76" s="46"/>
      <c r="EZ76" s="46"/>
      <c r="FA76" s="46"/>
      <c r="FB76" s="46"/>
      <c r="FC76" s="46"/>
      <c r="FD76" s="46"/>
      <c r="FE76" s="46"/>
      <c r="FF76" s="46"/>
      <c r="FG76" s="46"/>
      <c r="FH76" s="46"/>
      <c r="FI76" s="46"/>
      <c r="FJ76" s="46"/>
      <c r="FK76" s="46"/>
      <c r="FL76" s="46"/>
      <c r="FM76" s="46"/>
      <c r="FN76" s="46"/>
      <c r="FO76" s="46"/>
      <c r="FP76" s="46"/>
      <c r="FQ76" s="46"/>
      <c r="FR76" s="46"/>
      <c r="FS76" s="46"/>
      <c r="FT76" s="46"/>
      <c r="FU76" s="46"/>
      <c r="FV76" s="46"/>
      <c r="FW76" s="46"/>
      <c r="FX76" s="46"/>
      <c r="FY76" s="46"/>
      <c r="FZ76" s="46"/>
      <c r="GA76" s="46"/>
      <c r="GB76" s="46"/>
      <c r="GC76" s="46"/>
      <c r="GD76" s="46"/>
      <c r="GE76" s="46"/>
      <c r="GF76" s="46"/>
      <c r="GG76" s="46"/>
      <c r="GH76" s="46"/>
      <c r="GI76" s="46"/>
      <c r="GJ76" s="46"/>
      <c r="GK76" s="46"/>
      <c r="GL76" s="46"/>
      <c r="GM76" s="46"/>
      <c r="GN76" s="46"/>
      <c r="GO76" s="46"/>
      <c r="GP76" s="46"/>
      <c r="GQ76" s="46"/>
      <c r="GR76" s="46"/>
      <c r="GS76" s="46"/>
      <c r="GT76" s="46"/>
      <c r="GU76" s="46"/>
      <c r="GV76" s="46"/>
      <c r="GW76" s="46"/>
      <c r="GX76" s="46"/>
      <c r="GY76" s="46"/>
      <c r="GZ76" s="46"/>
      <c r="HA76" s="46"/>
      <c r="HB76" s="46"/>
      <c r="HC76" s="46"/>
      <c r="HD76" s="46"/>
      <c r="HE76" s="46"/>
      <c r="HF76" s="46"/>
      <c r="HG76" s="46"/>
      <c r="HH76" s="46"/>
      <c r="HI76" s="46"/>
      <c r="HJ76" s="46"/>
      <c r="HK76" s="46"/>
      <c r="HL76" s="46"/>
      <c r="HM76" s="46"/>
      <c r="HN76" s="46"/>
      <c r="HO76" s="46"/>
      <c r="HP76" s="46"/>
      <c r="HQ76" s="46"/>
      <c r="HR76" s="46"/>
      <c r="HS76" s="46"/>
      <c r="HT76" s="46"/>
      <c r="HU76" s="46"/>
      <c r="HV76" s="46"/>
      <c r="HW76" s="46"/>
      <c r="HX76" s="46"/>
      <c r="HY76" s="46"/>
      <c r="HZ76" s="46"/>
      <c r="IA76" s="46"/>
      <c r="IB76" s="46"/>
      <c r="IC76" s="46"/>
      <c r="ID76" s="46"/>
      <c r="IE76" s="46"/>
      <c r="IF76" s="46"/>
      <c r="IG76" s="46"/>
      <c r="IH76" s="46"/>
      <c r="II76" s="46"/>
      <c r="IJ76" s="46"/>
      <c r="IK76" s="46"/>
      <c r="IL76" s="46"/>
      <c r="IM76" s="46"/>
      <c r="IN76" s="46"/>
      <c r="IO76" s="46"/>
      <c r="IP76" s="46"/>
      <c r="IQ76" s="46"/>
      <c r="IR76" s="46"/>
      <c r="IS76" s="46"/>
      <c r="IT76" s="46"/>
      <c r="IU76" s="46"/>
    </row>
    <row r="77" spans="1:255">
      <c r="A77" s="26" t="s">
        <v>154</v>
      </c>
      <c r="B77" s="27" t="s">
        <v>155</v>
      </c>
      <c r="C77" s="30">
        <v>0</v>
      </c>
      <c r="D77" s="30">
        <v>0</v>
      </c>
      <c r="E77" s="29">
        <f t="shared" si="1"/>
        <v>0</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6"/>
      <c r="BO77" s="46"/>
      <c r="BP77" s="46"/>
      <c r="BQ77" s="46"/>
      <c r="BR77" s="46"/>
      <c r="BS77" s="46"/>
      <c r="BT77" s="46"/>
      <c r="BU77" s="46"/>
      <c r="BV77" s="46"/>
      <c r="BW77" s="46"/>
      <c r="BX77" s="46"/>
      <c r="BY77" s="46"/>
      <c r="BZ77" s="46"/>
      <c r="CA77" s="46"/>
      <c r="CB77" s="46"/>
      <c r="CC77" s="46"/>
      <c r="CD77" s="46"/>
      <c r="CE77" s="46"/>
      <c r="CF77" s="46"/>
      <c r="CG77" s="46"/>
      <c r="CH77" s="46"/>
      <c r="CI77" s="46"/>
      <c r="CJ77" s="46"/>
      <c r="CK77" s="46"/>
      <c r="CL77" s="46"/>
      <c r="CM77" s="46"/>
      <c r="CN77" s="46"/>
      <c r="CO77" s="46"/>
      <c r="CP77" s="46"/>
      <c r="CQ77" s="46"/>
      <c r="CR77" s="46"/>
      <c r="CS77" s="46"/>
      <c r="CT77" s="46"/>
      <c r="CU77" s="46"/>
      <c r="CV77" s="46"/>
      <c r="CW77" s="46"/>
      <c r="CX77" s="46"/>
      <c r="CY77" s="46"/>
      <c r="CZ77" s="46"/>
      <c r="DA77" s="46"/>
      <c r="DB77" s="46"/>
      <c r="DC77" s="46"/>
      <c r="DD77" s="46"/>
      <c r="DE77" s="46"/>
      <c r="DF77" s="46"/>
      <c r="DG77" s="46"/>
      <c r="DH77" s="46"/>
      <c r="DI77" s="46"/>
      <c r="DJ77" s="46"/>
      <c r="DK77" s="46"/>
      <c r="DL77" s="46"/>
      <c r="DM77" s="46"/>
      <c r="DN77" s="46"/>
      <c r="DO77" s="46"/>
      <c r="DP77" s="46"/>
      <c r="DQ77" s="46"/>
      <c r="DR77" s="46"/>
      <c r="DS77" s="46"/>
      <c r="DT77" s="46"/>
      <c r="DU77" s="46"/>
      <c r="DV77" s="46"/>
      <c r="DW77" s="46"/>
      <c r="DX77" s="46"/>
      <c r="DY77" s="46"/>
      <c r="DZ77" s="46"/>
      <c r="EA77" s="46"/>
      <c r="EB77" s="46"/>
      <c r="EC77" s="46"/>
      <c r="ED77" s="46"/>
      <c r="EE77" s="46"/>
      <c r="EF77" s="46"/>
      <c r="EG77" s="46"/>
      <c r="EH77" s="46"/>
      <c r="EI77" s="46"/>
      <c r="EJ77" s="46"/>
      <c r="EK77" s="46"/>
      <c r="EL77" s="46"/>
      <c r="EM77" s="46"/>
      <c r="EN77" s="46"/>
      <c r="EO77" s="46"/>
      <c r="EP77" s="46"/>
      <c r="EQ77" s="46"/>
      <c r="ER77" s="46"/>
      <c r="ES77" s="46"/>
      <c r="ET77" s="46"/>
      <c r="EU77" s="46"/>
      <c r="EV77" s="46"/>
      <c r="EW77" s="46"/>
      <c r="EX77" s="46"/>
      <c r="EY77" s="46"/>
      <c r="EZ77" s="46"/>
      <c r="FA77" s="46"/>
      <c r="FB77" s="46"/>
      <c r="FC77" s="46"/>
      <c r="FD77" s="46"/>
      <c r="FE77" s="46"/>
      <c r="FF77" s="46"/>
      <c r="FG77" s="46"/>
      <c r="FH77" s="46"/>
      <c r="FI77" s="46"/>
      <c r="FJ77" s="46"/>
      <c r="FK77" s="46"/>
      <c r="FL77" s="46"/>
      <c r="FM77" s="46"/>
      <c r="FN77" s="46"/>
      <c r="FO77" s="46"/>
      <c r="FP77" s="46"/>
      <c r="FQ77" s="46"/>
      <c r="FR77" s="46"/>
      <c r="FS77" s="46"/>
      <c r="FT77" s="46"/>
      <c r="FU77" s="46"/>
      <c r="FV77" s="46"/>
      <c r="FW77" s="46"/>
      <c r="FX77" s="46"/>
      <c r="FY77" s="46"/>
      <c r="FZ77" s="46"/>
      <c r="GA77" s="46"/>
      <c r="GB77" s="46"/>
      <c r="GC77" s="46"/>
      <c r="GD77" s="46"/>
      <c r="GE77" s="46"/>
      <c r="GF77" s="46"/>
      <c r="GG77" s="46"/>
      <c r="GH77" s="46"/>
      <c r="GI77" s="46"/>
      <c r="GJ77" s="46"/>
      <c r="GK77" s="46"/>
      <c r="GL77" s="46"/>
      <c r="GM77" s="46"/>
      <c r="GN77" s="46"/>
      <c r="GO77" s="46"/>
      <c r="GP77" s="46"/>
      <c r="GQ77" s="46"/>
      <c r="GR77" s="46"/>
      <c r="GS77" s="46"/>
      <c r="GT77" s="46"/>
      <c r="GU77" s="46"/>
      <c r="GV77" s="46"/>
      <c r="GW77" s="46"/>
      <c r="GX77" s="46"/>
      <c r="GY77" s="46"/>
      <c r="GZ77" s="46"/>
      <c r="HA77" s="46"/>
      <c r="HB77" s="46"/>
      <c r="HC77" s="46"/>
      <c r="HD77" s="46"/>
      <c r="HE77" s="46"/>
      <c r="HF77" s="46"/>
      <c r="HG77" s="46"/>
      <c r="HH77" s="46"/>
      <c r="HI77" s="46"/>
      <c r="HJ77" s="46"/>
      <c r="HK77" s="46"/>
      <c r="HL77" s="46"/>
      <c r="HM77" s="46"/>
      <c r="HN77" s="46"/>
      <c r="HO77" s="46"/>
      <c r="HP77" s="46"/>
      <c r="HQ77" s="46"/>
      <c r="HR77" s="46"/>
      <c r="HS77" s="46"/>
      <c r="HT77" s="46"/>
      <c r="HU77" s="46"/>
      <c r="HV77" s="46"/>
      <c r="HW77" s="46"/>
      <c r="HX77" s="46"/>
      <c r="HY77" s="46"/>
      <c r="HZ77" s="46"/>
      <c r="IA77" s="46"/>
      <c r="IB77" s="46"/>
      <c r="IC77" s="46"/>
      <c r="ID77" s="46"/>
      <c r="IE77" s="46"/>
      <c r="IF77" s="46"/>
      <c r="IG77" s="46"/>
      <c r="IH77" s="46"/>
      <c r="II77" s="46"/>
      <c r="IJ77" s="46"/>
      <c r="IK77" s="46"/>
      <c r="IL77" s="46"/>
      <c r="IM77" s="46"/>
      <c r="IN77" s="46"/>
      <c r="IO77" s="46"/>
      <c r="IP77" s="46"/>
      <c r="IQ77" s="46"/>
      <c r="IR77" s="46"/>
      <c r="IS77" s="46"/>
      <c r="IT77" s="46"/>
      <c r="IU77" s="46"/>
    </row>
    <row r="78" spans="1:255">
      <c r="A78" s="26" t="s">
        <v>156</v>
      </c>
      <c r="B78" s="27" t="s">
        <v>157</v>
      </c>
      <c r="C78" s="30">
        <v>0</v>
      </c>
      <c r="D78" s="30">
        <v>0</v>
      </c>
      <c r="E78" s="29">
        <f t="shared" si="1"/>
        <v>0</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c r="BF78" s="46"/>
      <c r="BG78" s="46"/>
      <c r="BH78" s="46"/>
      <c r="BI78" s="46"/>
      <c r="BJ78" s="46"/>
      <c r="BK78" s="46"/>
      <c r="BL78" s="46"/>
      <c r="BM78" s="46"/>
      <c r="BN78" s="46"/>
      <c r="BO78" s="46"/>
      <c r="BP78" s="46"/>
      <c r="BQ78" s="46"/>
      <c r="BR78" s="46"/>
      <c r="BS78" s="46"/>
      <c r="BT78" s="46"/>
      <c r="BU78" s="46"/>
      <c r="BV78" s="46"/>
      <c r="BW78" s="46"/>
      <c r="BX78" s="46"/>
      <c r="BY78" s="46"/>
      <c r="BZ78" s="46"/>
      <c r="CA78" s="46"/>
      <c r="CB78" s="46"/>
      <c r="CC78" s="46"/>
      <c r="CD78" s="46"/>
      <c r="CE78" s="46"/>
      <c r="CF78" s="46"/>
      <c r="CG78" s="46"/>
      <c r="CH78" s="46"/>
      <c r="CI78" s="46"/>
      <c r="CJ78" s="46"/>
      <c r="CK78" s="46"/>
      <c r="CL78" s="46"/>
      <c r="CM78" s="46"/>
      <c r="CN78" s="46"/>
      <c r="CO78" s="46"/>
      <c r="CP78" s="46"/>
      <c r="CQ78" s="46"/>
      <c r="CR78" s="46"/>
      <c r="CS78" s="46"/>
      <c r="CT78" s="46"/>
      <c r="CU78" s="46"/>
      <c r="CV78" s="46"/>
      <c r="CW78" s="46"/>
      <c r="CX78" s="46"/>
      <c r="CY78" s="46"/>
      <c r="CZ78" s="46"/>
      <c r="DA78" s="46"/>
      <c r="DB78" s="46"/>
      <c r="DC78" s="46"/>
      <c r="DD78" s="46"/>
      <c r="DE78" s="46"/>
      <c r="DF78" s="46"/>
      <c r="DG78" s="46"/>
      <c r="DH78" s="46"/>
      <c r="DI78" s="46"/>
      <c r="DJ78" s="46"/>
      <c r="DK78" s="46"/>
      <c r="DL78" s="46"/>
      <c r="DM78" s="46"/>
      <c r="DN78" s="46"/>
      <c r="DO78" s="46"/>
      <c r="DP78" s="46"/>
      <c r="DQ78" s="46"/>
      <c r="DR78" s="46"/>
      <c r="DS78" s="46"/>
      <c r="DT78" s="46"/>
      <c r="DU78" s="46"/>
      <c r="DV78" s="46"/>
      <c r="DW78" s="46"/>
      <c r="DX78" s="46"/>
      <c r="DY78" s="46"/>
      <c r="DZ78" s="46"/>
      <c r="EA78" s="46"/>
      <c r="EB78" s="46"/>
      <c r="EC78" s="46"/>
      <c r="ED78" s="46"/>
      <c r="EE78" s="46"/>
      <c r="EF78" s="46"/>
      <c r="EG78" s="46"/>
      <c r="EH78" s="46"/>
      <c r="EI78" s="46"/>
      <c r="EJ78" s="46"/>
      <c r="EK78" s="46"/>
      <c r="EL78" s="46"/>
      <c r="EM78" s="46"/>
      <c r="EN78" s="46"/>
      <c r="EO78" s="46"/>
      <c r="EP78" s="46"/>
      <c r="EQ78" s="46"/>
      <c r="ER78" s="46"/>
      <c r="ES78" s="46"/>
      <c r="ET78" s="46"/>
      <c r="EU78" s="46"/>
      <c r="EV78" s="46"/>
      <c r="EW78" s="46"/>
      <c r="EX78" s="46"/>
      <c r="EY78" s="46"/>
      <c r="EZ78" s="46"/>
      <c r="FA78" s="46"/>
      <c r="FB78" s="46"/>
      <c r="FC78" s="46"/>
      <c r="FD78" s="46"/>
      <c r="FE78" s="46"/>
      <c r="FF78" s="46"/>
      <c r="FG78" s="46"/>
      <c r="FH78" s="46"/>
      <c r="FI78" s="46"/>
      <c r="FJ78" s="46"/>
      <c r="FK78" s="46"/>
      <c r="FL78" s="46"/>
      <c r="FM78" s="46"/>
      <c r="FN78" s="46"/>
      <c r="FO78" s="46"/>
      <c r="FP78" s="46"/>
      <c r="FQ78" s="46"/>
      <c r="FR78" s="46"/>
      <c r="FS78" s="46"/>
      <c r="FT78" s="46"/>
      <c r="FU78" s="46"/>
      <c r="FV78" s="46"/>
      <c r="FW78" s="46"/>
      <c r="FX78" s="46"/>
      <c r="FY78" s="46"/>
      <c r="FZ78" s="46"/>
      <c r="GA78" s="46"/>
      <c r="GB78" s="46"/>
      <c r="GC78" s="46"/>
      <c r="GD78" s="46"/>
      <c r="GE78" s="46"/>
      <c r="GF78" s="46"/>
      <c r="GG78" s="46"/>
      <c r="GH78" s="46"/>
      <c r="GI78" s="46"/>
      <c r="GJ78" s="46"/>
      <c r="GK78" s="46"/>
      <c r="GL78" s="46"/>
      <c r="GM78" s="46"/>
      <c r="GN78" s="46"/>
      <c r="GO78" s="46"/>
      <c r="GP78" s="46"/>
      <c r="GQ78" s="46"/>
      <c r="GR78" s="46"/>
      <c r="GS78" s="46"/>
      <c r="GT78" s="46"/>
      <c r="GU78" s="46"/>
      <c r="GV78" s="46"/>
      <c r="GW78" s="46"/>
      <c r="GX78" s="46"/>
      <c r="GY78" s="46"/>
      <c r="GZ78" s="46"/>
      <c r="HA78" s="46"/>
      <c r="HB78" s="46"/>
      <c r="HC78" s="46"/>
      <c r="HD78" s="46"/>
      <c r="HE78" s="46"/>
      <c r="HF78" s="46"/>
      <c r="HG78" s="46"/>
      <c r="HH78" s="46"/>
      <c r="HI78" s="46"/>
      <c r="HJ78" s="46"/>
      <c r="HK78" s="46"/>
      <c r="HL78" s="46"/>
      <c r="HM78" s="46"/>
      <c r="HN78" s="46"/>
      <c r="HO78" s="46"/>
      <c r="HP78" s="46"/>
      <c r="HQ78" s="46"/>
      <c r="HR78" s="46"/>
      <c r="HS78" s="46"/>
      <c r="HT78" s="46"/>
      <c r="HU78" s="46"/>
      <c r="HV78" s="46"/>
      <c r="HW78" s="46"/>
      <c r="HX78" s="46"/>
      <c r="HY78" s="46"/>
      <c r="HZ78" s="46"/>
      <c r="IA78" s="46"/>
      <c r="IB78" s="46"/>
      <c r="IC78" s="46"/>
      <c r="ID78" s="46"/>
      <c r="IE78" s="46"/>
      <c r="IF78" s="46"/>
      <c r="IG78" s="46"/>
      <c r="IH78" s="46"/>
      <c r="II78" s="46"/>
      <c r="IJ78" s="46"/>
      <c r="IK78" s="46"/>
      <c r="IL78" s="46"/>
      <c r="IM78" s="46"/>
      <c r="IN78" s="46"/>
      <c r="IO78" s="46"/>
      <c r="IP78" s="46"/>
      <c r="IQ78" s="46"/>
      <c r="IR78" s="46"/>
      <c r="IS78" s="46"/>
      <c r="IT78" s="46"/>
      <c r="IU78" s="46"/>
    </row>
    <row r="79" spans="1:255">
      <c r="A79" s="26" t="s">
        <v>158</v>
      </c>
      <c r="B79" s="71" t="s">
        <v>159</v>
      </c>
      <c r="C79" s="42">
        <v>0</v>
      </c>
      <c r="D79" s="72">
        <v>0</v>
      </c>
      <c r="E79" s="29">
        <f t="shared" si="1"/>
        <v>0</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c r="BF79" s="46"/>
      <c r="BG79" s="46"/>
      <c r="BH79" s="46"/>
      <c r="BI79" s="46"/>
      <c r="BJ79" s="46"/>
      <c r="BK79" s="46"/>
      <c r="BL79" s="46"/>
      <c r="BM79" s="46"/>
      <c r="BN79" s="46"/>
      <c r="BO79" s="46"/>
      <c r="BP79" s="46"/>
      <c r="BQ79" s="46"/>
      <c r="BR79" s="46"/>
      <c r="BS79" s="46"/>
      <c r="BT79" s="46"/>
      <c r="BU79" s="46"/>
      <c r="BV79" s="46"/>
      <c r="BW79" s="46"/>
      <c r="BX79" s="46"/>
      <c r="BY79" s="46"/>
      <c r="BZ79" s="46"/>
      <c r="CA79" s="46"/>
      <c r="CB79" s="46"/>
      <c r="CC79" s="46"/>
      <c r="CD79" s="46"/>
      <c r="CE79" s="46"/>
      <c r="CF79" s="46"/>
      <c r="CG79" s="46"/>
      <c r="CH79" s="46"/>
      <c r="CI79" s="46"/>
      <c r="CJ79" s="46"/>
      <c r="CK79" s="46"/>
      <c r="CL79" s="46"/>
      <c r="CM79" s="46"/>
      <c r="CN79" s="46"/>
      <c r="CO79" s="46"/>
      <c r="CP79" s="46"/>
      <c r="CQ79" s="46"/>
      <c r="CR79" s="46"/>
      <c r="CS79" s="46"/>
      <c r="CT79" s="46"/>
      <c r="CU79" s="46"/>
      <c r="CV79" s="46"/>
      <c r="CW79" s="46"/>
      <c r="CX79" s="46"/>
      <c r="CY79" s="46"/>
      <c r="CZ79" s="46"/>
      <c r="DA79" s="46"/>
      <c r="DB79" s="46"/>
      <c r="DC79" s="46"/>
      <c r="DD79" s="46"/>
      <c r="DE79" s="46"/>
      <c r="DF79" s="46"/>
      <c r="DG79" s="46"/>
      <c r="DH79" s="46"/>
      <c r="DI79" s="46"/>
      <c r="DJ79" s="46"/>
      <c r="DK79" s="46"/>
      <c r="DL79" s="46"/>
      <c r="DM79" s="46"/>
      <c r="DN79" s="46"/>
      <c r="DO79" s="46"/>
      <c r="DP79" s="46"/>
      <c r="DQ79" s="46"/>
      <c r="DR79" s="46"/>
      <c r="DS79" s="46"/>
      <c r="DT79" s="46"/>
      <c r="DU79" s="46"/>
      <c r="DV79" s="46"/>
      <c r="DW79" s="46"/>
      <c r="DX79" s="46"/>
      <c r="DY79" s="46"/>
      <c r="DZ79" s="46"/>
      <c r="EA79" s="46"/>
      <c r="EB79" s="46"/>
      <c r="EC79" s="46"/>
      <c r="ED79" s="46"/>
      <c r="EE79" s="46"/>
      <c r="EF79" s="46"/>
      <c r="EG79" s="46"/>
      <c r="EH79" s="46"/>
      <c r="EI79" s="46"/>
      <c r="EJ79" s="46"/>
      <c r="EK79" s="46"/>
      <c r="EL79" s="46"/>
      <c r="EM79" s="46"/>
      <c r="EN79" s="46"/>
      <c r="EO79" s="46"/>
      <c r="EP79" s="46"/>
      <c r="EQ79" s="46"/>
      <c r="ER79" s="46"/>
      <c r="ES79" s="46"/>
      <c r="ET79" s="46"/>
      <c r="EU79" s="46"/>
      <c r="EV79" s="46"/>
      <c r="EW79" s="46"/>
      <c r="EX79" s="46"/>
      <c r="EY79" s="46"/>
      <c r="EZ79" s="46"/>
      <c r="FA79" s="46"/>
      <c r="FB79" s="46"/>
      <c r="FC79" s="46"/>
      <c r="FD79" s="46"/>
      <c r="FE79" s="46"/>
      <c r="FF79" s="46"/>
      <c r="FG79" s="46"/>
      <c r="FH79" s="46"/>
      <c r="FI79" s="46"/>
      <c r="FJ79" s="46"/>
      <c r="FK79" s="46"/>
      <c r="FL79" s="46"/>
      <c r="FM79" s="46"/>
      <c r="FN79" s="46"/>
      <c r="FO79" s="46"/>
      <c r="FP79" s="46"/>
      <c r="FQ79" s="46"/>
      <c r="FR79" s="46"/>
      <c r="FS79" s="46"/>
      <c r="FT79" s="46"/>
      <c r="FU79" s="46"/>
      <c r="FV79" s="46"/>
      <c r="FW79" s="46"/>
      <c r="FX79" s="46"/>
      <c r="FY79" s="46"/>
      <c r="FZ79" s="46"/>
      <c r="GA79" s="46"/>
      <c r="GB79" s="46"/>
      <c r="GC79" s="46"/>
      <c r="GD79" s="46"/>
      <c r="GE79" s="46"/>
      <c r="GF79" s="46"/>
      <c r="GG79" s="46"/>
      <c r="GH79" s="46"/>
      <c r="GI79" s="46"/>
      <c r="GJ79" s="46"/>
      <c r="GK79" s="46"/>
      <c r="GL79" s="46"/>
      <c r="GM79" s="46"/>
      <c r="GN79" s="46"/>
      <c r="GO79" s="46"/>
      <c r="GP79" s="46"/>
      <c r="GQ79" s="46"/>
      <c r="GR79" s="46"/>
      <c r="GS79" s="46"/>
      <c r="GT79" s="46"/>
      <c r="GU79" s="46"/>
      <c r="GV79" s="46"/>
      <c r="GW79" s="46"/>
      <c r="GX79" s="46"/>
      <c r="GY79" s="46"/>
      <c r="GZ79" s="46"/>
      <c r="HA79" s="46"/>
      <c r="HB79" s="46"/>
      <c r="HC79" s="46"/>
      <c r="HD79" s="46"/>
      <c r="HE79" s="46"/>
      <c r="HF79" s="46"/>
      <c r="HG79" s="46"/>
      <c r="HH79" s="46"/>
      <c r="HI79" s="46"/>
      <c r="HJ79" s="46"/>
      <c r="HK79" s="46"/>
      <c r="HL79" s="46"/>
      <c r="HM79" s="46"/>
      <c r="HN79" s="46"/>
      <c r="HO79" s="46"/>
      <c r="HP79" s="46"/>
      <c r="HQ79" s="46"/>
      <c r="HR79" s="46"/>
      <c r="HS79" s="46"/>
      <c r="HT79" s="46"/>
      <c r="HU79" s="46"/>
      <c r="HV79" s="46"/>
      <c r="HW79" s="46"/>
      <c r="HX79" s="46"/>
      <c r="HY79" s="46"/>
      <c r="HZ79" s="46"/>
      <c r="IA79" s="46"/>
      <c r="IB79" s="46"/>
      <c r="IC79" s="46"/>
      <c r="ID79" s="46"/>
      <c r="IE79" s="46"/>
      <c r="IF79" s="46"/>
      <c r="IG79" s="46"/>
      <c r="IH79" s="46"/>
      <c r="II79" s="46"/>
      <c r="IJ79" s="46"/>
      <c r="IK79" s="46"/>
      <c r="IL79" s="46"/>
      <c r="IM79" s="46"/>
      <c r="IN79" s="46"/>
      <c r="IO79" s="46"/>
      <c r="IP79" s="46"/>
      <c r="IQ79" s="46"/>
      <c r="IR79" s="46"/>
      <c r="IS79" s="46"/>
      <c r="IT79" s="46"/>
      <c r="IU79" s="46"/>
    </row>
    <row r="80" spans="1:255">
      <c r="A80" s="26" t="s">
        <v>160</v>
      </c>
      <c r="B80" s="27" t="s">
        <v>161</v>
      </c>
      <c r="C80" s="30">
        <v>0</v>
      </c>
      <c r="D80" s="30">
        <v>0</v>
      </c>
      <c r="E80" s="29">
        <f t="shared" si="1"/>
        <v>0</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6"/>
      <c r="GJ80" s="46"/>
      <c r="GK80" s="46"/>
      <c r="GL80" s="46"/>
      <c r="GM80" s="46"/>
      <c r="GN80" s="46"/>
      <c r="GO80" s="46"/>
      <c r="GP80" s="46"/>
      <c r="GQ80" s="46"/>
      <c r="GR80" s="46"/>
      <c r="GS80" s="46"/>
      <c r="GT80" s="46"/>
      <c r="GU80" s="46"/>
      <c r="GV80" s="46"/>
      <c r="GW80" s="46"/>
      <c r="GX80" s="46"/>
      <c r="GY80" s="46"/>
      <c r="GZ80" s="46"/>
      <c r="HA80" s="46"/>
      <c r="HB80" s="46"/>
      <c r="HC80" s="46"/>
      <c r="HD80" s="46"/>
      <c r="HE80" s="46"/>
      <c r="HF80" s="46"/>
      <c r="HG80" s="46"/>
      <c r="HH80" s="46"/>
      <c r="HI80" s="46"/>
      <c r="HJ80" s="46"/>
      <c r="HK80" s="46"/>
      <c r="HL80" s="46"/>
      <c r="HM80" s="46"/>
      <c r="HN80" s="46"/>
      <c r="HO80" s="46"/>
      <c r="HP80" s="46"/>
      <c r="HQ80" s="46"/>
      <c r="HR80" s="46"/>
      <c r="HS80" s="46"/>
      <c r="HT80" s="46"/>
      <c r="HU80" s="46"/>
      <c r="HV80" s="46"/>
      <c r="HW80" s="46"/>
      <c r="HX80" s="46"/>
      <c r="HY80" s="46"/>
      <c r="HZ80" s="46"/>
      <c r="IA80" s="46"/>
      <c r="IB80" s="46"/>
      <c r="IC80" s="46"/>
      <c r="ID80" s="46"/>
      <c r="IE80" s="46"/>
      <c r="IF80" s="46"/>
      <c r="IG80" s="46"/>
      <c r="IH80" s="46"/>
      <c r="II80" s="46"/>
      <c r="IJ80" s="46"/>
      <c r="IK80" s="46"/>
      <c r="IL80" s="46"/>
      <c r="IM80" s="46"/>
      <c r="IN80" s="46"/>
      <c r="IO80" s="46"/>
      <c r="IP80" s="46"/>
      <c r="IQ80" s="46"/>
      <c r="IR80" s="46"/>
      <c r="IS80" s="46"/>
      <c r="IT80" s="46"/>
      <c r="IU80" s="46"/>
    </row>
    <row r="81" spans="1:255">
      <c r="A81" s="26" t="s">
        <v>162</v>
      </c>
      <c r="B81" s="27" t="s">
        <v>163</v>
      </c>
      <c r="C81" s="45">
        <f>SUM(C82:C86)</f>
        <v>0</v>
      </c>
      <c r="D81" s="45">
        <f>SUM(D82:D86)</f>
        <v>0</v>
      </c>
      <c r="E81" s="45">
        <f t="shared" si="1"/>
        <v>0</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c r="BF81" s="46"/>
      <c r="BG81" s="46"/>
      <c r="BH81" s="46"/>
      <c r="BI81" s="46"/>
      <c r="BJ81" s="46"/>
      <c r="BK81" s="46"/>
      <c r="BL81" s="46"/>
      <c r="BM81" s="46"/>
      <c r="BN81" s="46"/>
      <c r="BO81" s="46"/>
      <c r="BP81" s="46"/>
      <c r="BQ81" s="46"/>
      <c r="BR81" s="46"/>
      <c r="BS81" s="46"/>
      <c r="BT81" s="46"/>
      <c r="BU81" s="46"/>
      <c r="BV81" s="46"/>
      <c r="BW81" s="46"/>
      <c r="BX81" s="46"/>
      <c r="BY81" s="46"/>
      <c r="BZ81" s="46"/>
      <c r="CA81" s="46"/>
      <c r="CB81" s="46"/>
      <c r="CC81" s="46"/>
      <c r="CD81" s="46"/>
      <c r="CE81" s="46"/>
      <c r="CF81" s="46"/>
      <c r="CG81" s="46"/>
      <c r="CH81" s="46"/>
      <c r="CI81" s="46"/>
      <c r="CJ81" s="46"/>
      <c r="CK81" s="46"/>
      <c r="CL81" s="46"/>
      <c r="CM81" s="46"/>
      <c r="CN81" s="46"/>
      <c r="CO81" s="46"/>
      <c r="CP81" s="46"/>
      <c r="CQ81" s="46"/>
      <c r="CR81" s="46"/>
      <c r="CS81" s="46"/>
      <c r="CT81" s="46"/>
      <c r="CU81" s="46"/>
      <c r="CV81" s="46"/>
      <c r="CW81" s="46"/>
      <c r="CX81" s="46"/>
      <c r="CY81" s="46"/>
      <c r="CZ81" s="46"/>
      <c r="DA81" s="46"/>
      <c r="DB81" s="46"/>
      <c r="DC81" s="46"/>
      <c r="DD81" s="46"/>
      <c r="DE81" s="46"/>
      <c r="DF81" s="46"/>
      <c r="DG81" s="46"/>
      <c r="DH81" s="46"/>
      <c r="DI81" s="46"/>
      <c r="DJ81" s="46"/>
      <c r="DK81" s="46"/>
      <c r="DL81" s="46"/>
      <c r="DM81" s="46"/>
      <c r="DN81" s="46"/>
      <c r="DO81" s="46"/>
      <c r="DP81" s="46"/>
      <c r="DQ81" s="46"/>
      <c r="DR81" s="46"/>
      <c r="DS81" s="46"/>
      <c r="DT81" s="46"/>
      <c r="DU81" s="46"/>
      <c r="DV81" s="46"/>
      <c r="DW81" s="46"/>
      <c r="DX81" s="46"/>
      <c r="DY81" s="46"/>
      <c r="DZ81" s="46"/>
      <c r="EA81" s="46"/>
      <c r="EB81" s="46"/>
      <c r="EC81" s="46"/>
      <c r="ED81" s="46"/>
      <c r="EE81" s="46"/>
      <c r="EF81" s="46"/>
      <c r="EG81" s="46"/>
      <c r="EH81" s="46"/>
      <c r="EI81" s="46"/>
      <c r="EJ81" s="46"/>
      <c r="EK81" s="46"/>
      <c r="EL81" s="46"/>
      <c r="EM81" s="46"/>
      <c r="EN81" s="46"/>
      <c r="EO81" s="46"/>
      <c r="EP81" s="46"/>
      <c r="EQ81" s="46"/>
      <c r="ER81" s="46"/>
      <c r="ES81" s="46"/>
      <c r="ET81" s="46"/>
      <c r="EU81" s="46"/>
      <c r="EV81" s="46"/>
      <c r="EW81" s="46"/>
      <c r="EX81" s="46"/>
      <c r="EY81" s="46"/>
      <c r="EZ81" s="46"/>
      <c r="FA81" s="46"/>
      <c r="FB81" s="46"/>
      <c r="FC81" s="46"/>
      <c r="FD81" s="46"/>
      <c r="FE81" s="46"/>
      <c r="FF81" s="46"/>
      <c r="FG81" s="46"/>
      <c r="FH81" s="46"/>
      <c r="FI81" s="46"/>
      <c r="FJ81" s="46"/>
      <c r="FK81" s="46"/>
      <c r="FL81" s="46"/>
      <c r="FM81" s="46"/>
      <c r="FN81" s="46"/>
      <c r="FO81" s="46"/>
      <c r="FP81" s="46"/>
      <c r="FQ81" s="46"/>
      <c r="FR81" s="46"/>
      <c r="FS81" s="46"/>
      <c r="FT81" s="46"/>
      <c r="FU81" s="46"/>
      <c r="FV81" s="46"/>
      <c r="FW81" s="46"/>
      <c r="FX81" s="46"/>
      <c r="FY81" s="46"/>
      <c r="FZ81" s="46"/>
      <c r="GA81" s="46"/>
      <c r="GB81" s="46"/>
      <c r="GC81" s="46"/>
      <c r="GD81" s="46"/>
      <c r="GE81" s="46"/>
      <c r="GF81" s="46"/>
      <c r="GG81" s="46"/>
      <c r="GH81" s="46"/>
      <c r="GI81" s="46"/>
      <c r="GJ81" s="46"/>
      <c r="GK81" s="46"/>
      <c r="GL81" s="46"/>
      <c r="GM81" s="46"/>
      <c r="GN81" s="46"/>
      <c r="GO81" s="46"/>
      <c r="GP81" s="46"/>
      <c r="GQ81" s="46"/>
      <c r="GR81" s="46"/>
      <c r="GS81" s="46"/>
      <c r="GT81" s="46"/>
      <c r="GU81" s="46"/>
      <c r="GV81" s="46"/>
      <c r="GW81" s="46"/>
      <c r="GX81" s="46"/>
      <c r="GY81" s="46"/>
      <c r="GZ81" s="46"/>
      <c r="HA81" s="46"/>
      <c r="HB81" s="46"/>
      <c r="HC81" s="46"/>
      <c r="HD81" s="46"/>
      <c r="HE81" s="46"/>
      <c r="HF81" s="46"/>
      <c r="HG81" s="46"/>
      <c r="HH81" s="46"/>
      <c r="HI81" s="46"/>
      <c r="HJ81" s="46"/>
      <c r="HK81" s="46"/>
      <c r="HL81" s="46"/>
      <c r="HM81" s="46"/>
      <c r="HN81" s="46"/>
      <c r="HO81" s="46"/>
      <c r="HP81" s="46"/>
      <c r="HQ81" s="46"/>
      <c r="HR81" s="46"/>
      <c r="HS81" s="46"/>
      <c r="HT81" s="46"/>
      <c r="HU81" s="46"/>
      <c r="HV81" s="46"/>
      <c r="HW81" s="46"/>
      <c r="HX81" s="46"/>
      <c r="HY81" s="46"/>
      <c r="HZ81" s="46"/>
      <c r="IA81" s="46"/>
      <c r="IB81" s="46"/>
      <c r="IC81" s="46"/>
      <c r="ID81" s="46"/>
      <c r="IE81" s="46"/>
      <c r="IF81" s="46"/>
      <c r="IG81" s="46"/>
      <c r="IH81" s="46"/>
      <c r="II81" s="46"/>
      <c r="IJ81" s="46"/>
      <c r="IK81" s="46"/>
      <c r="IL81" s="46"/>
      <c r="IM81" s="46"/>
      <c r="IN81" s="46"/>
      <c r="IO81" s="46"/>
      <c r="IP81" s="46"/>
      <c r="IQ81" s="46"/>
      <c r="IR81" s="46"/>
      <c r="IS81" s="46"/>
      <c r="IT81" s="46"/>
      <c r="IU81" s="46"/>
    </row>
    <row r="82" spans="1:255">
      <c r="A82" s="26" t="s">
        <v>164</v>
      </c>
      <c r="B82" s="27" t="s">
        <v>165</v>
      </c>
      <c r="C82" s="30">
        <v>0</v>
      </c>
      <c r="D82" s="30">
        <v>0</v>
      </c>
      <c r="E82" s="29">
        <f t="shared" si="1"/>
        <v>0</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c r="BF82" s="46"/>
      <c r="BG82" s="46"/>
      <c r="BH82" s="46"/>
      <c r="BI82" s="46"/>
      <c r="BJ82" s="46"/>
      <c r="BK82" s="46"/>
      <c r="BL82" s="46"/>
      <c r="BM82" s="46"/>
      <c r="BN82" s="46"/>
      <c r="BO82" s="46"/>
      <c r="BP82" s="46"/>
      <c r="BQ82" s="46"/>
      <c r="BR82" s="46"/>
      <c r="BS82" s="46"/>
      <c r="BT82" s="46"/>
      <c r="BU82" s="46"/>
      <c r="BV82" s="46"/>
      <c r="BW82" s="46"/>
      <c r="BX82" s="46"/>
      <c r="BY82" s="46"/>
      <c r="BZ82" s="46"/>
      <c r="CA82" s="46"/>
      <c r="CB82" s="46"/>
      <c r="CC82" s="46"/>
      <c r="CD82" s="46"/>
      <c r="CE82" s="46"/>
      <c r="CF82" s="46"/>
      <c r="CG82" s="46"/>
      <c r="CH82" s="46"/>
      <c r="CI82" s="46"/>
      <c r="CJ82" s="46"/>
      <c r="CK82" s="46"/>
      <c r="CL82" s="46"/>
      <c r="CM82" s="46"/>
      <c r="CN82" s="46"/>
      <c r="CO82" s="46"/>
      <c r="CP82" s="46"/>
      <c r="CQ82" s="46"/>
      <c r="CR82" s="46"/>
      <c r="CS82" s="46"/>
      <c r="CT82" s="46"/>
      <c r="CU82" s="46"/>
      <c r="CV82" s="46"/>
      <c r="CW82" s="46"/>
      <c r="CX82" s="46"/>
      <c r="CY82" s="46"/>
      <c r="CZ82" s="46"/>
      <c r="DA82" s="46"/>
      <c r="DB82" s="46"/>
      <c r="DC82" s="46"/>
      <c r="DD82" s="46"/>
      <c r="DE82" s="46"/>
      <c r="DF82" s="46"/>
      <c r="DG82" s="46"/>
      <c r="DH82" s="46"/>
      <c r="DI82" s="46"/>
      <c r="DJ82" s="46"/>
      <c r="DK82" s="46"/>
      <c r="DL82" s="46"/>
      <c r="DM82" s="46"/>
      <c r="DN82" s="46"/>
      <c r="DO82" s="46"/>
      <c r="DP82" s="46"/>
      <c r="DQ82" s="46"/>
      <c r="DR82" s="46"/>
      <c r="DS82" s="46"/>
      <c r="DT82" s="46"/>
      <c r="DU82" s="46"/>
      <c r="DV82" s="46"/>
      <c r="DW82" s="46"/>
      <c r="DX82" s="46"/>
      <c r="DY82" s="46"/>
      <c r="DZ82" s="46"/>
      <c r="EA82" s="46"/>
      <c r="EB82" s="46"/>
      <c r="EC82" s="46"/>
      <c r="ED82" s="46"/>
      <c r="EE82" s="46"/>
      <c r="EF82" s="46"/>
      <c r="EG82" s="46"/>
      <c r="EH82" s="46"/>
      <c r="EI82" s="46"/>
      <c r="EJ82" s="46"/>
      <c r="EK82" s="46"/>
      <c r="EL82" s="46"/>
      <c r="EM82" s="46"/>
      <c r="EN82" s="46"/>
      <c r="EO82" s="46"/>
      <c r="EP82" s="46"/>
      <c r="EQ82" s="46"/>
      <c r="ER82" s="46"/>
      <c r="ES82" s="46"/>
      <c r="ET82" s="46"/>
      <c r="EU82" s="46"/>
      <c r="EV82" s="46"/>
      <c r="EW82" s="46"/>
      <c r="EX82" s="46"/>
      <c r="EY82" s="46"/>
      <c r="EZ82" s="46"/>
      <c r="FA82" s="46"/>
      <c r="FB82" s="46"/>
      <c r="FC82" s="46"/>
      <c r="FD82" s="46"/>
      <c r="FE82" s="46"/>
      <c r="FF82" s="46"/>
      <c r="FG82" s="46"/>
      <c r="FH82" s="46"/>
      <c r="FI82" s="46"/>
      <c r="FJ82" s="46"/>
      <c r="FK82" s="46"/>
      <c r="FL82" s="46"/>
      <c r="FM82" s="46"/>
      <c r="FN82" s="46"/>
      <c r="FO82" s="46"/>
      <c r="FP82" s="46"/>
      <c r="FQ82" s="46"/>
      <c r="FR82" s="46"/>
      <c r="FS82" s="46"/>
      <c r="FT82" s="46"/>
      <c r="FU82" s="46"/>
      <c r="FV82" s="46"/>
      <c r="FW82" s="46"/>
      <c r="FX82" s="46"/>
      <c r="FY82" s="46"/>
      <c r="FZ82" s="46"/>
      <c r="GA82" s="46"/>
      <c r="GB82" s="46"/>
      <c r="GC82" s="46"/>
      <c r="GD82" s="46"/>
      <c r="GE82" s="46"/>
      <c r="GF82" s="46"/>
      <c r="GG82" s="46"/>
      <c r="GH82" s="46"/>
      <c r="GI82" s="46"/>
      <c r="GJ82" s="46"/>
      <c r="GK82" s="46"/>
      <c r="GL82" s="46"/>
      <c r="GM82" s="46"/>
      <c r="GN82" s="46"/>
      <c r="GO82" s="46"/>
      <c r="GP82" s="46"/>
      <c r="GQ82" s="46"/>
      <c r="GR82" s="46"/>
      <c r="GS82" s="46"/>
      <c r="GT82" s="46"/>
      <c r="GU82" s="46"/>
      <c r="GV82" s="46"/>
      <c r="GW82" s="46"/>
      <c r="GX82" s="46"/>
      <c r="GY82" s="46"/>
      <c r="GZ82" s="46"/>
      <c r="HA82" s="46"/>
      <c r="HB82" s="46"/>
      <c r="HC82" s="46"/>
      <c r="HD82" s="46"/>
      <c r="HE82" s="46"/>
      <c r="HF82" s="46"/>
      <c r="HG82" s="46"/>
      <c r="HH82" s="46"/>
      <c r="HI82" s="46"/>
      <c r="HJ82" s="46"/>
      <c r="HK82" s="46"/>
      <c r="HL82" s="46"/>
      <c r="HM82" s="46"/>
      <c r="HN82" s="46"/>
      <c r="HO82" s="46"/>
      <c r="HP82" s="46"/>
      <c r="HQ82" s="46"/>
      <c r="HR82" s="46"/>
      <c r="HS82" s="46"/>
      <c r="HT82" s="46"/>
      <c r="HU82" s="46"/>
      <c r="HV82" s="46"/>
      <c r="HW82" s="46"/>
      <c r="HX82" s="46"/>
      <c r="HY82" s="46"/>
      <c r="HZ82" s="46"/>
      <c r="IA82" s="46"/>
      <c r="IB82" s="46"/>
      <c r="IC82" s="46"/>
      <c r="ID82" s="46"/>
      <c r="IE82" s="46"/>
      <c r="IF82" s="46"/>
      <c r="IG82" s="46"/>
      <c r="IH82" s="46"/>
      <c r="II82" s="46"/>
      <c r="IJ82" s="46"/>
      <c r="IK82" s="46"/>
      <c r="IL82" s="46"/>
      <c r="IM82" s="46"/>
      <c r="IN82" s="46"/>
      <c r="IO82" s="46"/>
      <c r="IP82" s="46"/>
      <c r="IQ82" s="46"/>
      <c r="IR82" s="46"/>
      <c r="IS82" s="46"/>
      <c r="IT82" s="46"/>
      <c r="IU82" s="46"/>
    </row>
    <row r="83" spans="1:255">
      <c r="A83" s="26" t="s">
        <v>166</v>
      </c>
      <c r="B83" s="27" t="s">
        <v>167</v>
      </c>
      <c r="C83" s="30">
        <v>0</v>
      </c>
      <c r="D83" s="30">
        <v>0</v>
      </c>
      <c r="E83" s="29">
        <f t="shared" si="1"/>
        <v>0</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c r="BF83" s="46"/>
      <c r="BG83" s="46"/>
      <c r="BH83" s="46"/>
      <c r="BI83" s="46"/>
      <c r="BJ83" s="46"/>
      <c r="BK83" s="46"/>
      <c r="BL83" s="46"/>
      <c r="BM83" s="46"/>
      <c r="BN83" s="46"/>
      <c r="BO83" s="46"/>
      <c r="BP83" s="46"/>
      <c r="BQ83" s="46"/>
      <c r="BR83" s="46"/>
      <c r="BS83" s="46"/>
      <c r="BT83" s="46"/>
      <c r="BU83" s="46"/>
      <c r="BV83" s="46"/>
      <c r="BW83" s="46"/>
      <c r="BX83" s="46"/>
      <c r="BY83" s="46"/>
      <c r="BZ83" s="46"/>
      <c r="CA83" s="46"/>
      <c r="CB83" s="46"/>
      <c r="CC83" s="46"/>
      <c r="CD83" s="46"/>
      <c r="CE83" s="46"/>
      <c r="CF83" s="46"/>
      <c r="CG83" s="46"/>
      <c r="CH83" s="46"/>
      <c r="CI83" s="46"/>
      <c r="CJ83" s="46"/>
      <c r="CK83" s="46"/>
      <c r="CL83" s="46"/>
      <c r="CM83" s="46"/>
      <c r="CN83" s="46"/>
      <c r="CO83" s="46"/>
      <c r="CP83" s="46"/>
      <c r="CQ83" s="46"/>
      <c r="CR83" s="46"/>
      <c r="CS83" s="46"/>
      <c r="CT83" s="46"/>
      <c r="CU83" s="46"/>
      <c r="CV83" s="46"/>
      <c r="CW83" s="46"/>
      <c r="CX83" s="46"/>
      <c r="CY83" s="46"/>
      <c r="CZ83" s="46"/>
      <c r="DA83" s="46"/>
      <c r="DB83" s="46"/>
      <c r="DC83" s="46"/>
      <c r="DD83" s="46"/>
      <c r="DE83" s="46"/>
      <c r="DF83" s="46"/>
      <c r="DG83" s="46"/>
      <c r="DH83" s="46"/>
      <c r="DI83" s="46"/>
      <c r="DJ83" s="46"/>
      <c r="DK83" s="46"/>
      <c r="DL83" s="46"/>
      <c r="DM83" s="46"/>
      <c r="DN83" s="46"/>
      <c r="DO83" s="46"/>
      <c r="DP83" s="46"/>
      <c r="DQ83" s="46"/>
      <c r="DR83" s="46"/>
      <c r="DS83" s="46"/>
      <c r="DT83" s="46"/>
      <c r="DU83" s="46"/>
      <c r="DV83" s="46"/>
      <c r="DW83" s="46"/>
      <c r="DX83" s="46"/>
      <c r="DY83" s="46"/>
      <c r="DZ83" s="46"/>
      <c r="EA83" s="46"/>
      <c r="EB83" s="46"/>
      <c r="EC83" s="46"/>
      <c r="ED83" s="46"/>
      <c r="EE83" s="46"/>
      <c r="EF83" s="46"/>
      <c r="EG83" s="46"/>
      <c r="EH83" s="46"/>
      <c r="EI83" s="46"/>
      <c r="EJ83" s="46"/>
      <c r="EK83" s="46"/>
      <c r="EL83" s="46"/>
      <c r="EM83" s="46"/>
      <c r="EN83" s="46"/>
      <c r="EO83" s="46"/>
      <c r="EP83" s="46"/>
      <c r="EQ83" s="46"/>
      <c r="ER83" s="46"/>
      <c r="ES83" s="46"/>
      <c r="ET83" s="46"/>
      <c r="EU83" s="46"/>
      <c r="EV83" s="46"/>
      <c r="EW83" s="46"/>
      <c r="EX83" s="46"/>
      <c r="EY83" s="46"/>
      <c r="EZ83" s="46"/>
      <c r="FA83" s="46"/>
      <c r="FB83" s="46"/>
      <c r="FC83" s="46"/>
      <c r="FD83" s="46"/>
      <c r="FE83" s="46"/>
      <c r="FF83" s="46"/>
      <c r="FG83" s="46"/>
      <c r="FH83" s="46"/>
      <c r="FI83" s="46"/>
      <c r="FJ83" s="46"/>
      <c r="FK83" s="46"/>
      <c r="FL83" s="46"/>
      <c r="FM83" s="46"/>
      <c r="FN83" s="46"/>
      <c r="FO83" s="46"/>
      <c r="FP83" s="46"/>
      <c r="FQ83" s="46"/>
      <c r="FR83" s="46"/>
      <c r="FS83" s="46"/>
      <c r="FT83" s="46"/>
      <c r="FU83" s="46"/>
      <c r="FV83" s="46"/>
      <c r="FW83" s="46"/>
      <c r="FX83" s="46"/>
      <c r="FY83" s="46"/>
      <c r="FZ83" s="46"/>
      <c r="GA83" s="46"/>
      <c r="GB83" s="46"/>
      <c r="GC83" s="46"/>
      <c r="GD83" s="46"/>
      <c r="GE83" s="46"/>
      <c r="GF83" s="46"/>
      <c r="GG83" s="46"/>
      <c r="GH83" s="46"/>
      <c r="GI83" s="46"/>
      <c r="GJ83" s="46"/>
      <c r="GK83" s="46"/>
      <c r="GL83" s="46"/>
      <c r="GM83" s="46"/>
      <c r="GN83" s="46"/>
      <c r="GO83" s="46"/>
      <c r="GP83" s="46"/>
      <c r="GQ83" s="46"/>
      <c r="GR83" s="46"/>
      <c r="GS83" s="46"/>
      <c r="GT83" s="46"/>
      <c r="GU83" s="46"/>
      <c r="GV83" s="46"/>
      <c r="GW83" s="46"/>
      <c r="GX83" s="46"/>
      <c r="GY83" s="46"/>
      <c r="GZ83" s="46"/>
      <c r="HA83" s="46"/>
      <c r="HB83" s="46"/>
      <c r="HC83" s="46"/>
      <c r="HD83" s="46"/>
      <c r="HE83" s="46"/>
      <c r="HF83" s="46"/>
      <c r="HG83" s="46"/>
      <c r="HH83" s="46"/>
      <c r="HI83" s="46"/>
      <c r="HJ83" s="46"/>
      <c r="HK83" s="46"/>
      <c r="HL83" s="46"/>
      <c r="HM83" s="46"/>
      <c r="HN83" s="46"/>
      <c r="HO83" s="46"/>
      <c r="HP83" s="46"/>
      <c r="HQ83" s="46"/>
      <c r="HR83" s="46"/>
      <c r="HS83" s="46"/>
      <c r="HT83" s="46"/>
      <c r="HU83" s="46"/>
      <c r="HV83" s="46"/>
      <c r="HW83" s="46"/>
      <c r="HX83" s="46"/>
      <c r="HY83" s="46"/>
      <c r="HZ83" s="46"/>
      <c r="IA83" s="46"/>
      <c r="IB83" s="46"/>
      <c r="IC83" s="46"/>
      <c r="ID83" s="46"/>
      <c r="IE83" s="46"/>
      <c r="IF83" s="46"/>
      <c r="IG83" s="46"/>
      <c r="IH83" s="46"/>
      <c r="II83" s="46"/>
      <c r="IJ83" s="46"/>
      <c r="IK83" s="46"/>
      <c r="IL83" s="46"/>
      <c r="IM83" s="46"/>
      <c r="IN83" s="46"/>
      <c r="IO83" s="46"/>
      <c r="IP83" s="46"/>
      <c r="IQ83" s="46"/>
      <c r="IR83" s="46"/>
      <c r="IS83" s="46"/>
      <c r="IT83" s="46"/>
      <c r="IU83" s="46"/>
    </row>
    <row r="84" spans="1:255">
      <c r="A84" s="26" t="s">
        <v>168</v>
      </c>
      <c r="B84" s="27" t="s">
        <v>169</v>
      </c>
      <c r="C84" s="30">
        <v>0</v>
      </c>
      <c r="D84" s="30">
        <v>0</v>
      </c>
      <c r="E84" s="29">
        <f t="shared" si="1"/>
        <v>0</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c r="BF84" s="46"/>
      <c r="BG84" s="46"/>
      <c r="BH84" s="46"/>
      <c r="BI84" s="46"/>
      <c r="BJ84" s="46"/>
      <c r="BK84" s="46"/>
      <c r="BL84" s="46"/>
      <c r="BM84" s="46"/>
      <c r="BN84" s="46"/>
      <c r="BO84" s="46"/>
      <c r="BP84" s="46"/>
      <c r="BQ84" s="46"/>
      <c r="BR84" s="46"/>
      <c r="BS84" s="46"/>
      <c r="BT84" s="46"/>
      <c r="BU84" s="46"/>
      <c r="BV84" s="46"/>
      <c r="BW84" s="46"/>
      <c r="BX84" s="46"/>
      <c r="BY84" s="46"/>
      <c r="BZ84" s="46"/>
      <c r="CA84" s="46"/>
      <c r="CB84" s="46"/>
      <c r="CC84" s="46"/>
      <c r="CD84" s="46"/>
      <c r="CE84" s="46"/>
      <c r="CF84" s="46"/>
      <c r="CG84" s="46"/>
      <c r="CH84" s="46"/>
      <c r="CI84" s="46"/>
      <c r="CJ84" s="46"/>
      <c r="CK84" s="46"/>
      <c r="CL84" s="46"/>
      <c r="CM84" s="46"/>
      <c r="CN84" s="46"/>
      <c r="CO84" s="46"/>
      <c r="CP84" s="46"/>
      <c r="CQ84" s="46"/>
      <c r="CR84" s="46"/>
      <c r="CS84" s="46"/>
      <c r="CT84" s="46"/>
      <c r="CU84" s="46"/>
      <c r="CV84" s="46"/>
      <c r="CW84" s="46"/>
      <c r="CX84" s="46"/>
      <c r="CY84" s="46"/>
      <c r="CZ84" s="46"/>
      <c r="DA84" s="46"/>
      <c r="DB84" s="46"/>
      <c r="DC84" s="46"/>
      <c r="DD84" s="46"/>
      <c r="DE84" s="46"/>
      <c r="DF84" s="46"/>
      <c r="DG84" s="46"/>
      <c r="DH84" s="46"/>
      <c r="DI84" s="46"/>
      <c r="DJ84" s="46"/>
      <c r="DK84" s="46"/>
      <c r="DL84" s="46"/>
      <c r="DM84" s="46"/>
      <c r="DN84" s="46"/>
      <c r="DO84" s="46"/>
      <c r="DP84" s="46"/>
      <c r="DQ84" s="46"/>
      <c r="DR84" s="46"/>
      <c r="DS84" s="46"/>
      <c r="DT84" s="46"/>
      <c r="DU84" s="46"/>
      <c r="DV84" s="46"/>
      <c r="DW84" s="46"/>
      <c r="DX84" s="46"/>
      <c r="DY84" s="46"/>
      <c r="DZ84" s="46"/>
      <c r="EA84" s="46"/>
      <c r="EB84" s="46"/>
      <c r="EC84" s="46"/>
      <c r="ED84" s="46"/>
      <c r="EE84" s="46"/>
      <c r="EF84" s="46"/>
      <c r="EG84" s="46"/>
      <c r="EH84" s="46"/>
      <c r="EI84" s="46"/>
      <c r="EJ84" s="46"/>
      <c r="EK84" s="46"/>
      <c r="EL84" s="46"/>
      <c r="EM84" s="46"/>
      <c r="EN84" s="46"/>
      <c r="EO84" s="46"/>
      <c r="EP84" s="46"/>
      <c r="EQ84" s="46"/>
      <c r="ER84" s="46"/>
      <c r="ES84" s="46"/>
      <c r="ET84" s="46"/>
      <c r="EU84" s="46"/>
      <c r="EV84" s="46"/>
      <c r="EW84" s="46"/>
      <c r="EX84" s="46"/>
      <c r="EY84" s="46"/>
      <c r="EZ84" s="46"/>
      <c r="FA84" s="46"/>
      <c r="FB84" s="46"/>
      <c r="FC84" s="46"/>
      <c r="FD84" s="46"/>
      <c r="FE84" s="46"/>
      <c r="FF84" s="46"/>
      <c r="FG84" s="46"/>
      <c r="FH84" s="46"/>
      <c r="FI84" s="46"/>
      <c r="FJ84" s="46"/>
      <c r="FK84" s="46"/>
      <c r="FL84" s="46"/>
      <c r="FM84" s="46"/>
      <c r="FN84" s="46"/>
      <c r="FO84" s="46"/>
      <c r="FP84" s="46"/>
      <c r="FQ84" s="46"/>
      <c r="FR84" s="46"/>
      <c r="FS84" s="46"/>
      <c r="FT84" s="46"/>
      <c r="FU84" s="46"/>
      <c r="FV84" s="46"/>
      <c r="FW84" s="46"/>
      <c r="FX84" s="46"/>
      <c r="FY84" s="46"/>
      <c r="FZ84" s="46"/>
      <c r="GA84" s="46"/>
      <c r="GB84" s="46"/>
      <c r="GC84" s="46"/>
      <c r="GD84" s="46"/>
      <c r="GE84" s="46"/>
      <c r="GF84" s="46"/>
      <c r="GG84" s="46"/>
      <c r="GH84" s="46"/>
      <c r="GI84" s="46"/>
      <c r="GJ84" s="46"/>
      <c r="GK84" s="46"/>
      <c r="GL84" s="46"/>
      <c r="GM84" s="46"/>
      <c r="GN84" s="46"/>
      <c r="GO84" s="46"/>
      <c r="GP84" s="46"/>
      <c r="GQ84" s="46"/>
      <c r="GR84" s="46"/>
      <c r="GS84" s="46"/>
      <c r="GT84" s="46"/>
      <c r="GU84" s="46"/>
      <c r="GV84" s="46"/>
      <c r="GW84" s="46"/>
      <c r="GX84" s="46"/>
      <c r="GY84" s="46"/>
      <c r="GZ84" s="46"/>
      <c r="HA84" s="46"/>
      <c r="HB84" s="46"/>
      <c r="HC84" s="46"/>
      <c r="HD84" s="46"/>
      <c r="HE84" s="46"/>
      <c r="HF84" s="46"/>
      <c r="HG84" s="46"/>
      <c r="HH84" s="46"/>
      <c r="HI84" s="46"/>
      <c r="HJ84" s="46"/>
      <c r="HK84" s="46"/>
      <c r="HL84" s="46"/>
      <c r="HM84" s="46"/>
      <c r="HN84" s="46"/>
      <c r="HO84" s="46"/>
      <c r="HP84" s="46"/>
      <c r="HQ84" s="46"/>
      <c r="HR84" s="46"/>
      <c r="HS84" s="46"/>
      <c r="HT84" s="46"/>
      <c r="HU84" s="46"/>
      <c r="HV84" s="46"/>
      <c r="HW84" s="46"/>
      <c r="HX84" s="46"/>
      <c r="HY84" s="46"/>
      <c r="HZ84" s="46"/>
      <c r="IA84" s="46"/>
      <c r="IB84" s="46"/>
      <c r="IC84" s="46"/>
      <c r="ID84" s="46"/>
      <c r="IE84" s="46"/>
      <c r="IF84" s="46"/>
      <c r="IG84" s="46"/>
      <c r="IH84" s="46"/>
      <c r="II84" s="46"/>
      <c r="IJ84" s="46"/>
      <c r="IK84" s="46"/>
      <c r="IL84" s="46"/>
      <c r="IM84" s="46"/>
      <c r="IN84" s="46"/>
      <c r="IO84" s="46"/>
      <c r="IP84" s="46"/>
      <c r="IQ84" s="46"/>
      <c r="IR84" s="46"/>
      <c r="IS84" s="46"/>
      <c r="IT84" s="46"/>
      <c r="IU84" s="46"/>
    </row>
    <row r="85" spans="1:255">
      <c r="A85" s="26" t="s">
        <v>170</v>
      </c>
      <c r="B85" s="27" t="s">
        <v>171</v>
      </c>
      <c r="C85" s="30">
        <v>0</v>
      </c>
      <c r="D85" s="30">
        <v>0</v>
      </c>
      <c r="E85" s="29">
        <f t="shared" si="1"/>
        <v>0</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c r="BF85" s="46"/>
      <c r="BG85" s="46"/>
      <c r="BH85" s="46"/>
      <c r="BI85" s="46"/>
      <c r="BJ85" s="46"/>
      <c r="BK85" s="46"/>
      <c r="BL85" s="46"/>
      <c r="BM85" s="46"/>
      <c r="BN85" s="46"/>
      <c r="BO85" s="46"/>
      <c r="BP85" s="46"/>
      <c r="BQ85" s="46"/>
      <c r="BR85" s="46"/>
      <c r="BS85" s="46"/>
      <c r="BT85" s="46"/>
      <c r="BU85" s="46"/>
      <c r="BV85" s="46"/>
      <c r="BW85" s="46"/>
      <c r="BX85" s="46"/>
      <c r="BY85" s="46"/>
      <c r="BZ85" s="46"/>
      <c r="CA85" s="46"/>
      <c r="CB85" s="46"/>
      <c r="CC85" s="46"/>
      <c r="CD85" s="46"/>
      <c r="CE85" s="46"/>
      <c r="CF85" s="46"/>
      <c r="CG85" s="46"/>
      <c r="CH85" s="46"/>
      <c r="CI85" s="46"/>
      <c r="CJ85" s="46"/>
      <c r="CK85" s="46"/>
      <c r="CL85" s="46"/>
      <c r="CM85" s="46"/>
      <c r="CN85" s="46"/>
      <c r="CO85" s="46"/>
      <c r="CP85" s="46"/>
      <c r="CQ85" s="46"/>
      <c r="CR85" s="46"/>
      <c r="CS85" s="46"/>
      <c r="CT85" s="46"/>
      <c r="CU85" s="46"/>
      <c r="CV85" s="46"/>
      <c r="CW85" s="46"/>
      <c r="CX85" s="46"/>
      <c r="CY85" s="46"/>
      <c r="CZ85" s="46"/>
      <c r="DA85" s="46"/>
      <c r="DB85" s="46"/>
      <c r="DC85" s="46"/>
      <c r="DD85" s="46"/>
      <c r="DE85" s="46"/>
      <c r="DF85" s="46"/>
      <c r="DG85" s="46"/>
      <c r="DH85" s="46"/>
      <c r="DI85" s="46"/>
      <c r="DJ85" s="46"/>
      <c r="DK85" s="46"/>
      <c r="DL85" s="46"/>
      <c r="DM85" s="46"/>
      <c r="DN85" s="46"/>
      <c r="DO85" s="46"/>
      <c r="DP85" s="46"/>
      <c r="DQ85" s="46"/>
      <c r="DR85" s="46"/>
      <c r="DS85" s="46"/>
      <c r="DT85" s="46"/>
      <c r="DU85" s="46"/>
      <c r="DV85" s="46"/>
      <c r="DW85" s="46"/>
      <c r="DX85" s="46"/>
      <c r="DY85" s="46"/>
      <c r="DZ85" s="46"/>
      <c r="EA85" s="46"/>
      <c r="EB85" s="46"/>
      <c r="EC85" s="46"/>
      <c r="ED85" s="46"/>
      <c r="EE85" s="46"/>
      <c r="EF85" s="46"/>
      <c r="EG85" s="46"/>
      <c r="EH85" s="46"/>
      <c r="EI85" s="46"/>
      <c r="EJ85" s="46"/>
      <c r="EK85" s="46"/>
      <c r="EL85" s="46"/>
      <c r="EM85" s="46"/>
      <c r="EN85" s="46"/>
      <c r="EO85" s="46"/>
      <c r="EP85" s="46"/>
      <c r="EQ85" s="46"/>
      <c r="ER85" s="46"/>
      <c r="ES85" s="46"/>
      <c r="ET85" s="46"/>
      <c r="EU85" s="46"/>
      <c r="EV85" s="46"/>
      <c r="EW85" s="46"/>
      <c r="EX85" s="46"/>
      <c r="EY85" s="46"/>
      <c r="EZ85" s="46"/>
      <c r="FA85" s="46"/>
      <c r="FB85" s="46"/>
      <c r="FC85" s="46"/>
      <c r="FD85" s="46"/>
      <c r="FE85" s="46"/>
      <c r="FF85" s="46"/>
      <c r="FG85" s="46"/>
      <c r="FH85" s="46"/>
      <c r="FI85" s="46"/>
      <c r="FJ85" s="46"/>
      <c r="FK85" s="46"/>
      <c r="FL85" s="46"/>
      <c r="FM85" s="46"/>
      <c r="FN85" s="46"/>
      <c r="FO85" s="46"/>
      <c r="FP85" s="46"/>
      <c r="FQ85" s="46"/>
      <c r="FR85" s="46"/>
      <c r="FS85" s="46"/>
      <c r="FT85" s="46"/>
      <c r="FU85" s="46"/>
      <c r="FV85" s="46"/>
      <c r="FW85" s="46"/>
      <c r="FX85" s="46"/>
      <c r="FY85" s="46"/>
      <c r="FZ85" s="46"/>
      <c r="GA85" s="46"/>
      <c r="GB85" s="46"/>
      <c r="GC85" s="46"/>
      <c r="GD85" s="46"/>
      <c r="GE85" s="46"/>
      <c r="GF85" s="46"/>
      <c r="GG85" s="46"/>
      <c r="GH85" s="46"/>
      <c r="GI85" s="46"/>
      <c r="GJ85" s="46"/>
      <c r="GK85" s="46"/>
      <c r="GL85" s="46"/>
      <c r="GM85" s="46"/>
      <c r="GN85" s="46"/>
      <c r="GO85" s="46"/>
      <c r="GP85" s="46"/>
      <c r="GQ85" s="46"/>
      <c r="GR85" s="46"/>
      <c r="GS85" s="46"/>
      <c r="GT85" s="46"/>
      <c r="GU85" s="46"/>
      <c r="GV85" s="46"/>
      <c r="GW85" s="46"/>
      <c r="GX85" s="46"/>
      <c r="GY85" s="46"/>
      <c r="GZ85" s="46"/>
      <c r="HA85" s="46"/>
      <c r="HB85" s="46"/>
      <c r="HC85" s="46"/>
      <c r="HD85" s="46"/>
      <c r="HE85" s="46"/>
      <c r="HF85" s="46"/>
      <c r="HG85" s="46"/>
      <c r="HH85" s="46"/>
      <c r="HI85" s="46"/>
      <c r="HJ85" s="46"/>
      <c r="HK85" s="46"/>
      <c r="HL85" s="46"/>
      <c r="HM85" s="46"/>
      <c r="HN85" s="46"/>
      <c r="HO85" s="46"/>
      <c r="HP85" s="46"/>
      <c r="HQ85" s="46"/>
      <c r="HR85" s="46"/>
      <c r="HS85" s="46"/>
      <c r="HT85" s="46"/>
      <c r="HU85" s="46"/>
      <c r="HV85" s="46"/>
      <c r="HW85" s="46"/>
      <c r="HX85" s="46"/>
      <c r="HY85" s="46"/>
      <c r="HZ85" s="46"/>
      <c r="IA85" s="46"/>
      <c r="IB85" s="46"/>
      <c r="IC85" s="46"/>
      <c r="ID85" s="46"/>
      <c r="IE85" s="46"/>
      <c r="IF85" s="46"/>
      <c r="IG85" s="46"/>
      <c r="IH85" s="46"/>
      <c r="II85" s="46"/>
      <c r="IJ85" s="46"/>
      <c r="IK85" s="46"/>
      <c r="IL85" s="46"/>
      <c r="IM85" s="46"/>
      <c r="IN85" s="46"/>
      <c r="IO85" s="46"/>
      <c r="IP85" s="46"/>
      <c r="IQ85" s="46"/>
      <c r="IR85" s="46"/>
      <c r="IS85" s="46"/>
      <c r="IT85" s="46"/>
      <c r="IU85" s="46"/>
    </row>
    <row r="86" spans="1:255">
      <c r="A86" s="26" t="s">
        <v>172</v>
      </c>
      <c r="B86" s="27" t="s">
        <v>173</v>
      </c>
      <c r="C86" s="30">
        <v>0</v>
      </c>
      <c r="D86" s="30">
        <v>0</v>
      </c>
      <c r="E86" s="29">
        <f t="shared" si="1"/>
        <v>0</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c r="BF86" s="46"/>
      <c r="BG86" s="46"/>
      <c r="BH86" s="46"/>
      <c r="BI86" s="46"/>
      <c r="BJ86" s="46"/>
      <c r="BK86" s="46"/>
      <c r="BL86" s="46"/>
      <c r="BM86" s="46"/>
      <c r="BN86" s="46"/>
      <c r="BO86" s="46"/>
      <c r="BP86" s="46"/>
      <c r="BQ86" s="46"/>
      <c r="BR86" s="46"/>
      <c r="BS86" s="46"/>
      <c r="BT86" s="46"/>
      <c r="BU86" s="46"/>
      <c r="BV86" s="46"/>
      <c r="BW86" s="46"/>
      <c r="BX86" s="46"/>
      <c r="BY86" s="46"/>
      <c r="BZ86" s="46"/>
      <c r="CA86" s="46"/>
      <c r="CB86" s="46"/>
      <c r="CC86" s="46"/>
      <c r="CD86" s="46"/>
      <c r="CE86" s="46"/>
      <c r="CF86" s="46"/>
      <c r="CG86" s="46"/>
      <c r="CH86" s="46"/>
      <c r="CI86" s="46"/>
      <c r="CJ86" s="46"/>
      <c r="CK86" s="46"/>
      <c r="CL86" s="46"/>
      <c r="CM86" s="46"/>
      <c r="CN86" s="46"/>
      <c r="CO86" s="46"/>
      <c r="CP86" s="46"/>
      <c r="CQ86" s="46"/>
      <c r="CR86" s="46"/>
      <c r="CS86" s="46"/>
      <c r="CT86" s="46"/>
      <c r="CU86" s="46"/>
      <c r="CV86" s="46"/>
      <c r="CW86" s="46"/>
      <c r="CX86" s="46"/>
      <c r="CY86" s="46"/>
      <c r="CZ86" s="46"/>
      <c r="DA86" s="46"/>
      <c r="DB86" s="46"/>
      <c r="DC86" s="46"/>
      <c r="DD86" s="46"/>
      <c r="DE86" s="46"/>
      <c r="DF86" s="46"/>
      <c r="DG86" s="46"/>
      <c r="DH86" s="46"/>
      <c r="DI86" s="46"/>
      <c r="DJ86" s="46"/>
      <c r="DK86" s="46"/>
      <c r="DL86" s="46"/>
      <c r="DM86" s="46"/>
      <c r="DN86" s="46"/>
      <c r="DO86" s="46"/>
      <c r="DP86" s="46"/>
      <c r="DQ86" s="46"/>
      <c r="DR86" s="46"/>
      <c r="DS86" s="46"/>
      <c r="DT86" s="46"/>
      <c r="DU86" s="46"/>
      <c r="DV86" s="46"/>
      <c r="DW86" s="46"/>
      <c r="DX86" s="46"/>
      <c r="DY86" s="46"/>
      <c r="DZ86" s="46"/>
      <c r="EA86" s="46"/>
      <c r="EB86" s="46"/>
      <c r="EC86" s="46"/>
      <c r="ED86" s="46"/>
      <c r="EE86" s="46"/>
      <c r="EF86" s="46"/>
      <c r="EG86" s="46"/>
      <c r="EH86" s="46"/>
      <c r="EI86" s="46"/>
      <c r="EJ86" s="46"/>
      <c r="EK86" s="46"/>
      <c r="EL86" s="46"/>
      <c r="EM86" s="46"/>
      <c r="EN86" s="46"/>
      <c r="EO86" s="46"/>
      <c r="EP86" s="46"/>
      <c r="EQ86" s="46"/>
      <c r="ER86" s="46"/>
      <c r="ES86" s="46"/>
      <c r="ET86" s="46"/>
      <c r="EU86" s="46"/>
      <c r="EV86" s="46"/>
      <c r="EW86" s="46"/>
      <c r="EX86" s="46"/>
      <c r="EY86" s="46"/>
      <c r="EZ86" s="46"/>
      <c r="FA86" s="46"/>
      <c r="FB86" s="46"/>
      <c r="FC86" s="46"/>
      <c r="FD86" s="46"/>
      <c r="FE86" s="46"/>
      <c r="FF86" s="46"/>
      <c r="FG86" s="46"/>
      <c r="FH86" s="46"/>
      <c r="FI86" s="46"/>
      <c r="FJ86" s="46"/>
      <c r="FK86" s="46"/>
      <c r="FL86" s="46"/>
      <c r="FM86" s="46"/>
      <c r="FN86" s="46"/>
      <c r="FO86" s="46"/>
      <c r="FP86" s="46"/>
      <c r="FQ86" s="46"/>
      <c r="FR86" s="46"/>
      <c r="FS86" s="46"/>
      <c r="FT86" s="46"/>
      <c r="FU86" s="46"/>
      <c r="FV86" s="46"/>
      <c r="FW86" s="46"/>
      <c r="FX86" s="46"/>
      <c r="FY86" s="46"/>
      <c r="FZ86" s="46"/>
      <c r="GA86" s="46"/>
      <c r="GB86" s="46"/>
      <c r="GC86" s="46"/>
      <c r="GD86" s="46"/>
      <c r="GE86" s="46"/>
      <c r="GF86" s="46"/>
      <c r="GG86" s="46"/>
      <c r="GH86" s="46"/>
      <c r="GI86" s="46"/>
      <c r="GJ86" s="46"/>
      <c r="GK86" s="46"/>
      <c r="GL86" s="46"/>
      <c r="GM86" s="46"/>
      <c r="GN86" s="46"/>
      <c r="GO86" s="46"/>
      <c r="GP86" s="46"/>
      <c r="GQ86" s="46"/>
      <c r="GR86" s="46"/>
      <c r="GS86" s="46"/>
      <c r="GT86" s="46"/>
      <c r="GU86" s="46"/>
      <c r="GV86" s="46"/>
      <c r="GW86" s="46"/>
      <c r="GX86" s="46"/>
      <c r="GY86" s="46"/>
      <c r="GZ86" s="46"/>
      <c r="HA86" s="46"/>
      <c r="HB86" s="46"/>
      <c r="HC86" s="46"/>
      <c r="HD86" s="46"/>
      <c r="HE86" s="46"/>
      <c r="HF86" s="46"/>
      <c r="HG86" s="46"/>
      <c r="HH86" s="46"/>
      <c r="HI86" s="46"/>
      <c r="HJ86" s="46"/>
      <c r="HK86" s="46"/>
      <c r="HL86" s="46"/>
      <c r="HM86" s="46"/>
      <c r="HN86" s="46"/>
      <c r="HO86" s="46"/>
      <c r="HP86" s="46"/>
      <c r="HQ86" s="46"/>
      <c r="HR86" s="46"/>
      <c r="HS86" s="46"/>
      <c r="HT86" s="46"/>
      <c r="HU86" s="46"/>
      <c r="HV86" s="46"/>
      <c r="HW86" s="46"/>
      <c r="HX86" s="46"/>
      <c r="HY86" s="46"/>
      <c r="HZ86" s="46"/>
      <c r="IA86" s="46"/>
      <c r="IB86" s="46"/>
      <c r="IC86" s="46"/>
      <c r="ID86" s="46"/>
      <c r="IE86" s="46"/>
      <c r="IF86" s="46"/>
      <c r="IG86" s="46"/>
      <c r="IH86" s="46"/>
      <c r="II86" s="46"/>
      <c r="IJ86" s="46"/>
      <c r="IK86" s="46"/>
      <c r="IL86" s="46"/>
      <c r="IM86" s="46"/>
      <c r="IN86" s="46"/>
      <c r="IO86" s="46"/>
      <c r="IP86" s="46"/>
      <c r="IQ86" s="46"/>
      <c r="IR86" s="46"/>
      <c r="IS86" s="46"/>
      <c r="IT86" s="46"/>
      <c r="IU86" s="46"/>
    </row>
    <row r="87" spans="1:255">
      <c r="A87" s="43"/>
      <c r="B87" s="44" t="s">
        <v>174</v>
      </c>
      <c r="C87" s="45">
        <f>C88+C89+C90+C91+C92+C93+C94</f>
        <v>0</v>
      </c>
      <c r="D87" s="45">
        <f>D88+D89+D90+D91+D92+D93+D94</f>
        <v>0</v>
      </c>
      <c r="E87" s="45">
        <f t="shared" si="1"/>
        <v>0</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c r="BF87" s="46"/>
      <c r="BG87" s="46"/>
      <c r="BH87" s="46"/>
      <c r="BI87" s="46"/>
      <c r="BJ87" s="46"/>
      <c r="BK87" s="46"/>
      <c r="BL87" s="46"/>
      <c r="BM87" s="46"/>
      <c r="BN87" s="46"/>
      <c r="BO87" s="46"/>
      <c r="BP87" s="46"/>
      <c r="BQ87" s="46"/>
      <c r="BR87" s="46"/>
      <c r="BS87" s="46"/>
      <c r="BT87" s="46"/>
      <c r="BU87" s="46"/>
      <c r="BV87" s="46"/>
      <c r="BW87" s="46"/>
      <c r="BX87" s="46"/>
      <c r="BY87" s="46"/>
      <c r="BZ87" s="46"/>
      <c r="CA87" s="46"/>
      <c r="CB87" s="46"/>
      <c r="CC87" s="46"/>
      <c r="CD87" s="46"/>
      <c r="CE87" s="46"/>
      <c r="CF87" s="46"/>
      <c r="CG87" s="46"/>
      <c r="CH87" s="46"/>
      <c r="CI87" s="46"/>
      <c r="CJ87" s="46"/>
      <c r="CK87" s="46"/>
      <c r="CL87" s="46"/>
      <c r="CM87" s="46"/>
      <c r="CN87" s="46"/>
      <c r="CO87" s="46"/>
      <c r="CP87" s="46"/>
      <c r="CQ87" s="46"/>
      <c r="CR87" s="46"/>
      <c r="CS87" s="46"/>
      <c r="CT87" s="46"/>
      <c r="CU87" s="46"/>
      <c r="CV87" s="46"/>
      <c r="CW87" s="46"/>
      <c r="CX87" s="46"/>
      <c r="CY87" s="46"/>
      <c r="CZ87" s="46"/>
      <c r="DA87" s="46"/>
      <c r="DB87" s="46"/>
      <c r="DC87" s="46"/>
      <c r="DD87" s="46"/>
      <c r="DE87" s="46"/>
      <c r="DF87" s="46"/>
      <c r="DG87" s="46"/>
      <c r="DH87" s="46"/>
      <c r="DI87" s="46"/>
      <c r="DJ87" s="46"/>
      <c r="DK87" s="46"/>
      <c r="DL87" s="46"/>
      <c r="DM87" s="46"/>
      <c r="DN87" s="46"/>
      <c r="DO87" s="46"/>
      <c r="DP87" s="46"/>
      <c r="DQ87" s="46"/>
      <c r="DR87" s="46"/>
      <c r="DS87" s="46"/>
      <c r="DT87" s="46"/>
      <c r="DU87" s="46"/>
      <c r="DV87" s="46"/>
      <c r="DW87" s="46"/>
      <c r="DX87" s="46"/>
      <c r="DY87" s="46"/>
      <c r="DZ87" s="46"/>
      <c r="EA87" s="46"/>
      <c r="EB87" s="46"/>
      <c r="EC87" s="46"/>
      <c r="ED87" s="46"/>
      <c r="EE87" s="46"/>
      <c r="EF87" s="46"/>
      <c r="EG87" s="46"/>
      <c r="EH87" s="46"/>
      <c r="EI87" s="46"/>
      <c r="EJ87" s="46"/>
      <c r="EK87" s="46"/>
      <c r="EL87" s="46"/>
      <c r="EM87" s="46"/>
      <c r="EN87" s="46"/>
      <c r="EO87" s="46"/>
      <c r="EP87" s="46"/>
      <c r="EQ87" s="46"/>
      <c r="ER87" s="46"/>
      <c r="ES87" s="46"/>
      <c r="ET87" s="46"/>
      <c r="EU87" s="46"/>
      <c r="EV87" s="46"/>
      <c r="EW87" s="46"/>
      <c r="EX87" s="46"/>
      <c r="EY87" s="46"/>
      <c r="EZ87" s="46"/>
      <c r="FA87" s="46"/>
      <c r="FB87" s="46"/>
      <c r="FC87" s="46"/>
      <c r="FD87" s="46"/>
      <c r="FE87" s="46"/>
      <c r="FF87" s="46"/>
      <c r="FG87" s="46"/>
      <c r="FH87" s="46"/>
      <c r="FI87" s="46"/>
      <c r="FJ87" s="46"/>
      <c r="FK87" s="46"/>
      <c r="FL87" s="46"/>
      <c r="FM87" s="46"/>
      <c r="FN87" s="46"/>
      <c r="FO87" s="46"/>
      <c r="FP87" s="46"/>
      <c r="FQ87" s="46"/>
      <c r="FR87" s="46"/>
      <c r="FS87" s="46"/>
      <c r="FT87" s="46"/>
      <c r="FU87" s="46"/>
      <c r="FV87" s="46"/>
      <c r="FW87" s="46"/>
      <c r="FX87" s="46"/>
      <c r="FY87" s="46"/>
      <c r="FZ87" s="46"/>
      <c r="GA87" s="46"/>
      <c r="GB87" s="46"/>
      <c r="GC87" s="46"/>
      <c r="GD87" s="46"/>
      <c r="GE87" s="46"/>
      <c r="GF87" s="46"/>
      <c r="GG87" s="46"/>
      <c r="GH87" s="46"/>
      <c r="GI87" s="46"/>
      <c r="GJ87" s="46"/>
      <c r="GK87" s="46"/>
      <c r="GL87" s="46"/>
      <c r="GM87" s="46"/>
      <c r="GN87" s="46"/>
      <c r="GO87" s="46"/>
      <c r="GP87" s="46"/>
      <c r="GQ87" s="46"/>
      <c r="GR87" s="46"/>
      <c r="GS87" s="46"/>
      <c r="GT87" s="46"/>
      <c r="GU87" s="46"/>
      <c r="GV87" s="46"/>
      <c r="GW87" s="46"/>
      <c r="GX87" s="46"/>
      <c r="GY87" s="46"/>
      <c r="GZ87" s="46"/>
      <c r="HA87" s="46"/>
      <c r="HB87" s="46"/>
      <c r="HC87" s="46"/>
      <c r="HD87" s="46"/>
      <c r="HE87" s="46"/>
      <c r="HF87" s="46"/>
      <c r="HG87" s="46"/>
      <c r="HH87" s="46"/>
      <c r="HI87" s="46"/>
      <c r="HJ87" s="46"/>
      <c r="HK87" s="46"/>
      <c r="HL87" s="46"/>
      <c r="HM87" s="46"/>
      <c r="HN87" s="46"/>
      <c r="HO87" s="46"/>
      <c r="HP87" s="46"/>
      <c r="HQ87" s="46"/>
      <c r="HR87" s="46"/>
      <c r="HS87" s="46"/>
      <c r="HT87" s="46"/>
      <c r="HU87" s="46"/>
      <c r="HV87" s="46"/>
      <c r="HW87" s="46"/>
      <c r="HX87" s="46"/>
      <c r="HY87" s="46"/>
      <c r="HZ87" s="46"/>
      <c r="IA87" s="46"/>
      <c r="IB87" s="46"/>
      <c r="IC87" s="46"/>
      <c r="ID87" s="46"/>
      <c r="IE87" s="46"/>
      <c r="IF87" s="46"/>
      <c r="IG87" s="46"/>
      <c r="IH87" s="46"/>
      <c r="II87" s="46"/>
      <c r="IJ87" s="46"/>
      <c r="IK87" s="46"/>
      <c r="IL87" s="46"/>
      <c r="IM87" s="46"/>
      <c r="IN87" s="46"/>
      <c r="IO87" s="46"/>
      <c r="IP87" s="46"/>
      <c r="IQ87" s="46"/>
      <c r="IR87" s="46"/>
      <c r="IS87" s="46"/>
      <c r="IT87" s="46"/>
      <c r="IU87" s="46"/>
    </row>
    <row r="88" spans="1:255">
      <c r="A88" s="26" t="s">
        <v>175</v>
      </c>
      <c r="B88" s="27" t="s">
        <v>176</v>
      </c>
      <c r="C88" s="30">
        <v>0</v>
      </c>
      <c r="D88" s="30">
        <v>0</v>
      </c>
      <c r="E88" s="29">
        <f t="shared" si="1"/>
        <v>0</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c r="BF88" s="46"/>
      <c r="BG88" s="46"/>
      <c r="BH88" s="46"/>
      <c r="BI88" s="46"/>
      <c r="BJ88" s="46"/>
      <c r="BK88" s="46"/>
      <c r="BL88" s="46"/>
      <c r="BM88" s="46"/>
      <c r="BN88" s="46"/>
      <c r="BO88" s="46"/>
      <c r="BP88" s="46"/>
      <c r="BQ88" s="46"/>
      <c r="BR88" s="46"/>
      <c r="BS88" s="46"/>
      <c r="BT88" s="46"/>
      <c r="BU88" s="46"/>
      <c r="BV88" s="46"/>
      <c r="BW88" s="46"/>
      <c r="BX88" s="46"/>
      <c r="BY88" s="46"/>
      <c r="BZ88" s="46"/>
      <c r="CA88" s="46"/>
      <c r="CB88" s="46"/>
      <c r="CC88" s="46"/>
      <c r="CD88" s="46"/>
      <c r="CE88" s="46"/>
      <c r="CF88" s="46"/>
      <c r="CG88" s="46"/>
      <c r="CH88" s="46"/>
      <c r="CI88" s="46"/>
      <c r="CJ88" s="46"/>
      <c r="CK88" s="46"/>
      <c r="CL88" s="46"/>
      <c r="CM88" s="46"/>
      <c r="CN88" s="46"/>
      <c r="CO88" s="46"/>
      <c r="CP88" s="46"/>
      <c r="CQ88" s="46"/>
      <c r="CR88" s="46"/>
      <c r="CS88" s="46"/>
      <c r="CT88" s="46"/>
      <c r="CU88" s="46"/>
      <c r="CV88" s="46"/>
      <c r="CW88" s="46"/>
      <c r="CX88" s="46"/>
      <c r="CY88" s="46"/>
      <c r="CZ88" s="46"/>
      <c r="DA88" s="46"/>
      <c r="DB88" s="46"/>
      <c r="DC88" s="46"/>
      <c r="DD88" s="46"/>
      <c r="DE88" s="46"/>
      <c r="DF88" s="46"/>
      <c r="DG88" s="46"/>
      <c r="DH88" s="46"/>
      <c r="DI88" s="46"/>
      <c r="DJ88" s="46"/>
      <c r="DK88" s="46"/>
      <c r="DL88" s="46"/>
      <c r="DM88" s="46"/>
      <c r="DN88" s="46"/>
      <c r="DO88" s="46"/>
      <c r="DP88" s="46"/>
      <c r="DQ88" s="46"/>
      <c r="DR88" s="46"/>
      <c r="DS88" s="46"/>
      <c r="DT88" s="46"/>
      <c r="DU88" s="46"/>
      <c r="DV88" s="46"/>
      <c r="DW88" s="46"/>
      <c r="DX88" s="46"/>
      <c r="DY88" s="46"/>
      <c r="DZ88" s="46"/>
      <c r="EA88" s="46"/>
      <c r="EB88" s="46"/>
      <c r="EC88" s="46"/>
      <c r="ED88" s="46"/>
      <c r="EE88" s="46"/>
      <c r="EF88" s="46"/>
      <c r="EG88" s="46"/>
      <c r="EH88" s="46"/>
      <c r="EI88" s="46"/>
      <c r="EJ88" s="46"/>
      <c r="EK88" s="46"/>
      <c r="EL88" s="46"/>
      <c r="EM88" s="46"/>
      <c r="EN88" s="46"/>
      <c r="EO88" s="46"/>
      <c r="EP88" s="46"/>
      <c r="EQ88" s="46"/>
      <c r="ER88" s="46"/>
      <c r="ES88" s="46"/>
      <c r="ET88" s="46"/>
      <c r="EU88" s="46"/>
      <c r="EV88" s="46"/>
      <c r="EW88" s="46"/>
      <c r="EX88" s="46"/>
      <c r="EY88" s="46"/>
      <c r="EZ88" s="46"/>
      <c r="FA88" s="46"/>
      <c r="FB88" s="46"/>
      <c r="FC88" s="46"/>
      <c r="FD88" s="46"/>
      <c r="FE88" s="46"/>
      <c r="FF88" s="46"/>
      <c r="FG88" s="46"/>
      <c r="FH88" s="46"/>
      <c r="FI88" s="46"/>
      <c r="FJ88" s="46"/>
      <c r="FK88" s="46"/>
      <c r="FL88" s="46"/>
      <c r="FM88" s="46"/>
      <c r="FN88" s="46"/>
      <c r="FO88" s="46"/>
      <c r="FP88" s="46"/>
      <c r="FQ88" s="46"/>
      <c r="FR88" s="46"/>
      <c r="FS88" s="46"/>
      <c r="FT88" s="46"/>
      <c r="FU88" s="46"/>
      <c r="FV88" s="46"/>
      <c r="FW88" s="46"/>
      <c r="FX88" s="46"/>
      <c r="FY88" s="46"/>
      <c r="FZ88" s="46"/>
      <c r="GA88" s="46"/>
      <c r="GB88" s="46"/>
      <c r="GC88" s="46"/>
      <c r="GD88" s="46"/>
      <c r="GE88" s="46"/>
      <c r="GF88" s="46"/>
      <c r="GG88" s="46"/>
      <c r="GH88" s="46"/>
      <c r="GI88" s="46"/>
      <c r="GJ88" s="46"/>
      <c r="GK88" s="46"/>
      <c r="GL88" s="46"/>
      <c r="GM88" s="46"/>
      <c r="GN88" s="46"/>
      <c r="GO88" s="46"/>
      <c r="GP88" s="46"/>
      <c r="GQ88" s="46"/>
      <c r="GR88" s="46"/>
      <c r="GS88" s="46"/>
      <c r="GT88" s="46"/>
      <c r="GU88" s="46"/>
      <c r="GV88" s="46"/>
      <c r="GW88" s="46"/>
      <c r="GX88" s="46"/>
      <c r="GY88" s="46"/>
      <c r="GZ88" s="46"/>
      <c r="HA88" s="46"/>
      <c r="HB88" s="46"/>
      <c r="HC88" s="46"/>
      <c r="HD88" s="46"/>
      <c r="HE88" s="46"/>
      <c r="HF88" s="46"/>
      <c r="HG88" s="46"/>
      <c r="HH88" s="46"/>
      <c r="HI88" s="46"/>
      <c r="HJ88" s="46"/>
      <c r="HK88" s="46"/>
      <c r="HL88" s="46"/>
      <c r="HM88" s="46"/>
      <c r="HN88" s="46"/>
      <c r="HO88" s="46"/>
      <c r="HP88" s="46"/>
      <c r="HQ88" s="46"/>
      <c r="HR88" s="46"/>
      <c r="HS88" s="46"/>
      <c r="HT88" s="46"/>
      <c r="HU88" s="46"/>
      <c r="HV88" s="46"/>
      <c r="HW88" s="46"/>
      <c r="HX88" s="46"/>
      <c r="HY88" s="46"/>
      <c r="HZ88" s="46"/>
      <c r="IA88" s="46"/>
      <c r="IB88" s="46"/>
      <c r="IC88" s="46"/>
      <c r="ID88" s="46"/>
      <c r="IE88" s="46"/>
      <c r="IF88" s="46"/>
      <c r="IG88" s="46"/>
      <c r="IH88" s="46"/>
      <c r="II88" s="46"/>
      <c r="IJ88" s="46"/>
      <c r="IK88" s="46"/>
      <c r="IL88" s="46"/>
      <c r="IM88" s="46"/>
      <c r="IN88" s="46"/>
      <c r="IO88" s="46"/>
      <c r="IP88" s="46"/>
      <c r="IQ88" s="46"/>
      <c r="IR88" s="46"/>
      <c r="IS88" s="46"/>
      <c r="IT88" s="46"/>
      <c r="IU88" s="46"/>
    </row>
    <row r="89" spans="1:255">
      <c r="A89" s="26" t="s">
        <v>177</v>
      </c>
      <c r="B89" s="27" t="s">
        <v>178</v>
      </c>
      <c r="C89" s="30">
        <v>0</v>
      </c>
      <c r="D89" s="30">
        <v>0</v>
      </c>
      <c r="E89" s="29">
        <f t="shared" si="1"/>
        <v>0</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c r="BF89" s="46"/>
      <c r="BG89" s="46"/>
      <c r="BH89" s="46"/>
      <c r="BI89" s="46"/>
      <c r="BJ89" s="46"/>
      <c r="BK89" s="46"/>
      <c r="BL89" s="46"/>
      <c r="BM89" s="46"/>
      <c r="BN89" s="46"/>
      <c r="BO89" s="46"/>
      <c r="BP89" s="46"/>
      <c r="BQ89" s="46"/>
      <c r="BR89" s="46"/>
      <c r="BS89" s="46"/>
      <c r="BT89" s="46"/>
      <c r="BU89" s="46"/>
      <c r="BV89" s="46"/>
      <c r="BW89" s="46"/>
      <c r="BX89" s="46"/>
      <c r="BY89" s="46"/>
      <c r="BZ89" s="46"/>
      <c r="CA89" s="46"/>
      <c r="CB89" s="46"/>
      <c r="CC89" s="46"/>
      <c r="CD89" s="46"/>
      <c r="CE89" s="46"/>
      <c r="CF89" s="46"/>
      <c r="CG89" s="46"/>
      <c r="CH89" s="46"/>
      <c r="CI89" s="46"/>
      <c r="CJ89" s="46"/>
      <c r="CK89" s="46"/>
      <c r="CL89" s="46"/>
      <c r="CM89" s="46"/>
      <c r="CN89" s="46"/>
      <c r="CO89" s="46"/>
      <c r="CP89" s="46"/>
      <c r="CQ89" s="46"/>
      <c r="CR89" s="46"/>
      <c r="CS89" s="46"/>
      <c r="CT89" s="46"/>
      <c r="CU89" s="46"/>
      <c r="CV89" s="46"/>
      <c r="CW89" s="46"/>
      <c r="CX89" s="46"/>
      <c r="CY89" s="46"/>
      <c r="CZ89" s="46"/>
      <c r="DA89" s="46"/>
      <c r="DB89" s="46"/>
      <c r="DC89" s="46"/>
      <c r="DD89" s="46"/>
      <c r="DE89" s="46"/>
      <c r="DF89" s="46"/>
      <c r="DG89" s="46"/>
      <c r="DH89" s="46"/>
      <c r="DI89" s="46"/>
      <c r="DJ89" s="46"/>
      <c r="DK89" s="46"/>
      <c r="DL89" s="46"/>
      <c r="DM89" s="46"/>
      <c r="DN89" s="46"/>
      <c r="DO89" s="46"/>
      <c r="DP89" s="46"/>
      <c r="DQ89" s="46"/>
      <c r="DR89" s="46"/>
      <c r="DS89" s="46"/>
      <c r="DT89" s="46"/>
      <c r="DU89" s="46"/>
      <c r="DV89" s="46"/>
      <c r="DW89" s="46"/>
      <c r="DX89" s="46"/>
      <c r="DY89" s="46"/>
      <c r="DZ89" s="46"/>
      <c r="EA89" s="46"/>
      <c r="EB89" s="46"/>
      <c r="EC89" s="46"/>
      <c r="ED89" s="46"/>
      <c r="EE89" s="46"/>
      <c r="EF89" s="46"/>
      <c r="EG89" s="46"/>
      <c r="EH89" s="46"/>
      <c r="EI89" s="46"/>
      <c r="EJ89" s="46"/>
      <c r="EK89" s="46"/>
      <c r="EL89" s="46"/>
      <c r="EM89" s="46"/>
      <c r="EN89" s="46"/>
      <c r="EO89" s="46"/>
      <c r="EP89" s="46"/>
      <c r="EQ89" s="46"/>
      <c r="ER89" s="46"/>
      <c r="ES89" s="46"/>
      <c r="ET89" s="46"/>
      <c r="EU89" s="46"/>
      <c r="EV89" s="46"/>
      <c r="EW89" s="46"/>
      <c r="EX89" s="46"/>
      <c r="EY89" s="46"/>
      <c r="EZ89" s="46"/>
      <c r="FA89" s="46"/>
      <c r="FB89" s="46"/>
      <c r="FC89" s="46"/>
      <c r="FD89" s="46"/>
      <c r="FE89" s="46"/>
      <c r="FF89" s="46"/>
      <c r="FG89" s="46"/>
      <c r="FH89" s="46"/>
      <c r="FI89" s="46"/>
      <c r="FJ89" s="46"/>
      <c r="FK89" s="46"/>
      <c r="FL89" s="46"/>
      <c r="FM89" s="46"/>
      <c r="FN89" s="46"/>
      <c r="FO89" s="46"/>
      <c r="FP89" s="46"/>
      <c r="FQ89" s="46"/>
      <c r="FR89" s="46"/>
      <c r="FS89" s="46"/>
      <c r="FT89" s="46"/>
      <c r="FU89" s="46"/>
      <c r="FV89" s="46"/>
      <c r="FW89" s="46"/>
      <c r="FX89" s="46"/>
      <c r="FY89" s="46"/>
      <c r="FZ89" s="46"/>
      <c r="GA89" s="46"/>
      <c r="GB89" s="46"/>
      <c r="GC89" s="46"/>
      <c r="GD89" s="46"/>
      <c r="GE89" s="46"/>
      <c r="GF89" s="46"/>
      <c r="GG89" s="46"/>
      <c r="GH89" s="46"/>
      <c r="GI89" s="46"/>
      <c r="GJ89" s="46"/>
      <c r="GK89" s="46"/>
      <c r="GL89" s="46"/>
      <c r="GM89" s="46"/>
      <c r="GN89" s="46"/>
      <c r="GO89" s="46"/>
      <c r="GP89" s="46"/>
      <c r="GQ89" s="46"/>
      <c r="GR89" s="46"/>
      <c r="GS89" s="46"/>
      <c r="GT89" s="46"/>
      <c r="GU89" s="46"/>
      <c r="GV89" s="46"/>
      <c r="GW89" s="46"/>
      <c r="GX89" s="46"/>
      <c r="GY89" s="46"/>
      <c r="GZ89" s="46"/>
      <c r="HA89" s="46"/>
      <c r="HB89" s="46"/>
      <c r="HC89" s="46"/>
      <c r="HD89" s="46"/>
      <c r="HE89" s="46"/>
      <c r="HF89" s="46"/>
      <c r="HG89" s="46"/>
      <c r="HH89" s="46"/>
      <c r="HI89" s="46"/>
      <c r="HJ89" s="46"/>
      <c r="HK89" s="46"/>
      <c r="HL89" s="46"/>
      <c r="HM89" s="46"/>
      <c r="HN89" s="46"/>
      <c r="HO89" s="46"/>
      <c r="HP89" s="46"/>
      <c r="HQ89" s="46"/>
      <c r="HR89" s="46"/>
      <c r="HS89" s="46"/>
      <c r="HT89" s="46"/>
      <c r="HU89" s="46"/>
      <c r="HV89" s="46"/>
      <c r="HW89" s="46"/>
      <c r="HX89" s="46"/>
      <c r="HY89" s="46"/>
      <c r="HZ89" s="46"/>
      <c r="IA89" s="46"/>
      <c r="IB89" s="46"/>
      <c r="IC89" s="46"/>
      <c r="ID89" s="46"/>
      <c r="IE89" s="46"/>
      <c r="IF89" s="46"/>
      <c r="IG89" s="46"/>
      <c r="IH89" s="46"/>
      <c r="II89" s="46"/>
      <c r="IJ89" s="46"/>
      <c r="IK89" s="46"/>
      <c r="IL89" s="46"/>
      <c r="IM89" s="46"/>
      <c r="IN89" s="46"/>
      <c r="IO89" s="46"/>
      <c r="IP89" s="46"/>
      <c r="IQ89" s="46"/>
      <c r="IR89" s="46"/>
      <c r="IS89" s="46"/>
      <c r="IT89" s="46"/>
      <c r="IU89" s="46"/>
    </row>
    <row r="90" spans="1:255">
      <c r="A90" s="26" t="s">
        <v>179</v>
      </c>
      <c r="B90" s="27" t="s">
        <v>180</v>
      </c>
      <c r="C90" s="30">
        <v>0</v>
      </c>
      <c r="D90" s="30">
        <v>0</v>
      </c>
      <c r="E90" s="29">
        <f t="shared" si="1"/>
        <v>0</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6"/>
      <c r="GJ90" s="46"/>
      <c r="GK90" s="46"/>
      <c r="GL90" s="46"/>
      <c r="GM90" s="46"/>
      <c r="GN90" s="46"/>
      <c r="GO90" s="46"/>
      <c r="GP90" s="46"/>
      <c r="GQ90" s="46"/>
      <c r="GR90" s="46"/>
      <c r="GS90" s="46"/>
      <c r="GT90" s="46"/>
      <c r="GU90" s="46"/>
      <c r="GV90" s="46"/>
      <c r="GW90" s="46"/>
      <c r="GX90" s="46"/>
      <c r="GY90" s="46"/>
      <c r="GZ90" s="46"/>
      <c r="HA90" s="46"/>
      <c r="HB90" s="46"/>
      <c r="HC90" s="46"/>
      <c r="HD90" s="46"/>
      <c r="HE90" s="46"/>
      <c r="HF90" s="46"/>
      <c r="HG90" s="46"/>
      <c r="HH90" s="46"/>
      <c r="HI90" s="46"/>
      <c r="HJ90" s="46"/>
      <c r="HK90" s="46"/>
      <c r="HL90" s="46"/>
      <c r="HM90" s="46"/>
      <c r="HN90" s="46"/>
      <c r="HO90" s="46"/>
      <c r="HP90" s="46"/>
      <c r="HQ90" s="46"/>
      <c r="HR90" s="46"/>
      <c r="HS90" s="46"/>
      <c r="HT90" s="46"/>
      <c r="HU90" s="46"/>
      <c r="HV90" s="46"/>
      <c r="HW90" s="46"/>
      <c r="HX90" s="46"/>
      <c r="HY90" s="46"/>
      <c r="HZ90" s="46"/>
      <c r="IA90" s="46"/>
      <c r="IB90" s="46"/>
      <c r="IC90" s="46"/>
      <c r="ID90" s="46"/>
      <c r="IE90" s="46"/>
      <c r="IF90" s="46"/>
      <c r="IG90" s="46"/>
      <c r="IH90" s="46"/>
      <c r="II90" s="46"/>
      <c r="IJ90" s="46"/>
      <c r="IK90" s="46"/>
      <c r="IL90" s="46"/>
      <c r="IM90" s="46"/>
      <c r="IN90" s="46"/>
      <c r="IO90" s="46"/>
      <c r="IP90" s="46"/>
      <c r="IQ90" s="46"/>
      <c r="IR90" s="46"/>
      <c r="IS90" s="46"/>
      <c r="IT90" s="46"/>
      <c r="IU90" s="46"/>
    </row>
    <row r="91" spans="1:255">
      <c r="A91" s="26" t="s">
        <v>181</v>
      </c>
      <c r="B91" s="27" t="s">
        <v>182</v>
      </c>
      <c r="C91" s="73">
        <v>0</v>
      </c>
      <c r="D91" s="30">
        <v>0</v>
      </c>
      <c r="E91" s="29">
        <f t="shared" si="1"/>
        <v>0</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c r="BF91" s="46"/>
      <c r="BG91" s="46"/>
      <c r="BH91" s="46"/>
      <c r="BI91" s="46"/>
      <c r="BJ91" s="46"/>
      <c r="BK91" s="46"/>
      <c r="BL91" s="46"/>
      <c r="BM91" s="46"/>
      <c r="BN91" s="46"/>
      <c r="BO91" s="46"/>
      <c r="BP91" s="46"/>
      <c r="BQ91" s="46"/>
      <c r="BR91" s="46"/>
      <c r="BS91" s="46"/>
      <c r="BT91" s="46"/>
      <c r="BU91" s="46"/>
      <c r="BV91" s="46"/>
      <c r="BW91" s="46"/>
      <c r="BX91" s="46"/>
      <c r="BY91" s="46"/>
      <c r="BZ91" s="46"/>
      <c r="CA91" s="46"/>
      <c r="CB91" s="46"/>
      <c r="CC91" s="46"/>
      <c r="CD91" s="46"/>
      <c r="CE91" s="46"/>
      <c r="CF91" s="46"/>
      <c r="CG91" s="46"/>
      <c r="CH91" s="46"/>
      <c r="CI91" s="46"/>
      <c r="CJ91" s="46"/>
      <c r="CK91" s="46"/>
      <c r="CL91" s="46"/>
      <c r="CM91" s="46"/>
      <c r="CN91" s="46"/>
      <c r="CO91" s="46"/>
      <c r="CP91" s="46"/>
      <c r="CQ91" s="46"/>
      <c r="CR91" s="46"/>
      <c r="CS91" s="46"/>
      <c r="CT91" s="46"/>
      <c r="CU91" s="46"/>
      <c r="CV91" s="46"/>
      <c r="CW91" s="46"/>
      <c r="CX91" s="46"/>
      <c r="CY91" s="46"/>
      <c r="CZ91" s="46"/>
      <c r="DA91" s="46"/>
      <c r="DB91" s="46"/>
      <c r="DC91" s="46"/>
      <c r="DD91" s="46"/>
      <c r="DE91" s="46"/>
      <c r="DF91" s="46"/>
      <c r="DG91" s="46"/>
      <c r="DH91" s="46"/>
      <c r="DI91" s="46"/>
      <c r="DJ91" s="46"/>
      <c r="DK91" s="46"/>
      <c r="DL91" s="46"/>
      <c r="DM91" s="46"/>
      <c r="DN91" s="46"/>
      <c r="DO91" s="46"/>
      <c r="DP91" s="46"/>
      <c r="DQ91" s="46"/>
      <c r="DR91" s="46"/>
      <c r="DS91" s="46"/>
      <c r="DT91" s="46"/>
      <c r="DU91" s="46"/>
      <c r="DV91" s="46"/>
      <c r="DW91" s="46"/>
      <c r="DX91" s="46"/>
      <c r="DY91" s="46"/>
      <c r="DZ91" s="46"/>
      <c r="EA91" s="46"/>
      <c r="EB91" s="46"/>
      <c r="EC91" s="46"/>
      <c r="ED91" s="46"/>
      <c r="EE91" s="46"/>
      <c r="EF91" s="46"/>
      <c r="EG91" s="46"/>
      <c r="EH91" s="46"/>
      <c r="EI91" s="46"/>
      <c r="EJ91" s="46"/>
      <c r="EK91" s="46"/>
      <c r="EL91" s="46"/>
      <c r="EM91" s="46"/>
      <c r="EN91" s="46"/>
      <c r="EO91" s="46"/>
      <c r="EP91" s="46"/>
      <c r="EQ91" s="46"/>
      <c r="ER91" s="46"/>
      <c r="ES91" s="46"/>
      <c r="ET91" s="46"/>
      <c r="EU91" s="46"/>
      <c r="EV91" s="46"/>
      <c r="EW91" s="46"/>
      <c r="EX91" s="46"/>
      <c r="EY91" s="46"/>
      <c r="EZ91" s="46"/>
      <c r="FA91" s="46"/>
      <c r="FB91" s="46"/>
      <c r="FC91" s="46"/>
      <c r="FD91" s="46"/>
      <c r="FE91" s="46"/>
      <c r="FF91" s="46"/>
      <c r="FG91" s="46"/>
      <c r="FH91" s="46"/>
      <c r="FI91" s="46"/>
      <c r="FJ91" s="46"/>
      <c r="FK91" s="46"/>
      <c r="FL91" s="46"/>
      <c r="FM91" s="46"/>
      <c r="FN91" s="46"/>
      <c r="FO91" s="46"/>
      <c r="FP91" s="46"/>
      <c r="FQ91" s="46"/>
      <c r="FR91" s="46"/>
      <c r="FS91" s="46"/>
      <c r="FT91" s="46"/>
      <c r="FU91" s="46"/>
      <c r="FV91" s="46"/>
      <c r="FW91" s="46"/>
      <c r="FX91" s="46"/>
      <c r="FY91" s="46"/>
      <c r="FZ91" s="46"/>
      <c r="GA91" s="46"/>
      <c r="GB91" s="46"/>
      <c r="GC91" s="46"/>
      <c r="GD91" s="46"/>
      <c r="GE91" s="46"/>
      <c r="GF91" s="46"/>
      <c r="GG91" s="46"/>
      <c r="GH91" s="46"/>
      <c r="GI91" s="46"/>
      <c r="GJ91" s="46"/>
      <c r="GK91" s="46"/>
      <c r="GL91" s="46"/>
      <c r="GM91" s="46"/>
      <c r="GN91" s="46"/>
      <c r="GO91" s="46"/>
      <c r="GP91" s="46"/>
      <c r="GQ91" s="46"/>
      <c r="GR91" s="46"/>
      <c r="GS91" s="46"/>
      <c r="GT91" s="46"/>
      <c r="GU91" s="46"/>
      <c r="GV91" s="46"/>
      <c r="GW91" s="46"/>
      <c r="GX91" s="46"/>
      <c r="GY91" s="46"/>
      <c r="GZ91" s="46"/>
      <c r="HA91" s="46"/>
      <c r="HB91" s="46"/>
      <c r="HC91" s="46"/>
      <c r="HD91" s="46"/>
      <c r="HE91" s="46"/>
      <c r="HF91" s="46"/>
      <c r="HG91" s="46"/>
      <c r="HH91" s="46"/>
      <c r="HI91" s="46"/>
      <c r="HJ91" s="46"/>
      <c r="HK91" s="46"/>
      <c r="HL91" s="46"/>
      <c r="HM91" s="46"/>
      <c r="HN91" s="46"/>
      <c r="HO91" s="46"/>
      <c r="HP91" s="46"/>
      <c r="HQ91" s="46"/>
      <c r="HR91" s="46"/>
      <c r="HS91" s="46"/>
      <c r="HT91" s="46"/>
      <c r="HU91" s="46"/>
      <c r="HV91" s="46"/>
      <c r="HW91" s="46"/>
      <c r="HX91" s="46"/>
      <c r="HY91" s="46"/>
      <c r="HZ91" s="46"/>
      <c r="IA91" s="46"/>
      <c r="IB91" s="46"/>
      <c r="IC91" s="46"/>
      <c r="ID91" s="46"/>
      <c r="IE91" s="46"/>
      <c r="IF91" s="46"/>
      <c r="IG91" s="46"/>
      <c r="IH91" s="46"/>
      <c r="II91" s="46"/>
      <c r="IJ91" s="46"/>
      <c r="IK91" s="46"/>
      <c r="IL91" s="46"/>
      <c r="IM91" s="46"/>
      <c r="IN91" s="46"/>
      <c r="IO91" s="46"/>
      <c r="IP91" s="46"/>
      <c r="IQ91" s="46"/>
      <c r="IR91" s="46"/>
      <c r="IS91" s="46"/>
      <c r="IT91" s="46"/>
      <c r="IU91" s="46"/>
    </row>
    <row r="92" spans="1:255">
      <c r="A92" s="26" t="s">
        <v>183</v>
      </c>
      <c r="B92" s="27" t="s">
        <v>184</v>
      </c>
      <c r="C92" s="30">
        <v>0</v>
      </c>
      <c r="D92" s="30">
        <v>0</v>
      </c>
      <c r="E92" s="29">
        <f t="shared" si="1"/>
        <v>0</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c r="BF92" s="46"/>
      <c r="BG92" s="46"/>
      <c r="BH92" s="46"/>
      <c r="BI92" s="46"/>
      <c r="BJ92" s="46"/>
      <c r="BK92" s="46"/>
      <c r="BL92" s="46"/>
      <c r="BM92" s="46"/>
      <c r="BN92" s="46"/>
      <c r="BO92" s="46"/>
      <c r="BP92" s="46"/>
      <c r="BQ92" s="46"/>
      <c r="BR92" s="46"/>
      <c r="BS92" s="46"/>
      <c r="BT92" s="46"/>
      <c r="BU92" s="46"/>
      <c r="BV92" s="46"/>
      <c r="BW92" s="46"/>
      <c r="BX92" s="46"/>
      <c r="BY92" s="46"/>
      <c r="BZ92" s="46"/>
      <c r="CA92" s="46"/>
      <c r="CB92" s="46"/>
      <c r="CC92" s="46"/>
      <c r="CD92" s="46"/>
      <c r="CE92" s="46"/>
      <c r="CF92" s="46"/>
      <c r="CG92" s="46"/>
      <c r="CH92" s="46"/>
      <c r="CI92" s="46"/>
      <c r="CJ92" s="46"/>
      <c r="CK92" s="46"/>
      <c r="CL92" s="46"/>
      <c r="CM92" s="46"/>
      <c r="CN92" s="46"/>
      <c r="CO92" s="46"/>
      <c r="CP92" s="46"/>
      <c r="CQ92" s="46"/>
      <c r="CR92" s="46"/>
      <c r="CS92" s="46"/>
      <c r="CT92" s="46"/>
      <c r="CU92" s="46"/>
      <c r="CV92" s="46"/>
      <c r="CW92" s="46"/>
      <c r="CX92" s="46"/>
      <c r="CY92" s="46"/>
      <c r="CZ92" s="46"/>
      <c r="DA92" s="46"/>
      <c r="DB92" s="46"/>
      <c r="DC92" s="46"/>
      <c r="DD92" s="46"/>
      <c r="DE92" s="46"/>
      <c r="DF92" s="46"/>
      <c r="DG92" s="46"/>
      <c r="DH92" s="46"/>
      <c r="DI92" s="46"/>
      <c r="DJ92" s="46"/>
      <c r="DK92" s="46"/>
      <c r="DL92" s="46"/>
      <c r="DM92" s="46"/>
      <c r="DN92" s="46"/>
      <c r="DO92" s="46"/>
      <c r="DP92" s="46"/>
      <c r="DQ92" s="46"/>
      <c r="DR92" s="46"/>
      <c r="DS92" s="46"/>
      <c r="DT92" s="46"/>
      <c r="DU92" s="46"/>
      <c r="DV92" s="46"/>
      <c r="DW92" s="46"/>
      <c r="DX92" s="46"/>
      <c r="DY92" s="46"/>
      <c r="DZ92" s="46"/>
      <c r="EA92" s="46"/>
      <c r="EB92" s="46"/>
      <c r="EC92" s="46"/>
      <c r="ED92" s="46"/>
      <c r="EE92" s="46"/>
      <c r="EF92" s="46"/>
      <c r="EG92" s="46"/>
      <c r="EH92" s="46"/>
      <c r="EI92" s="46"/>
      <c r="EJ92" s="46"/>
      <c r="EK92" s="46"/>
      <c r="EL92" s="46"/>
      <c r="EM92" s="46"/>
      <c r="EN92" s="46"/>
      <c r="EO92" s="46"/>
      <c r="EP92" s="46"/>
      <c r="EQ92" s="46"/>
      <c r="ER92" s="46"/>
      <c r="ES92" s="46"/>
      <c r="ET92" s="46"/>
      <c r="EU92" s="46"/>
      <c r="EV92" s="46"/>
      <c r="EW92" s="46"/>
      <c r="EX92" s="46"/>
      <c r="EY92" s="46"/>
      <c r="EZ92" s="46"/>
      <c r="FA92" s="46"/>
      <c r="FB92" s="46"/>
      <c r="FC92" s="46"/>
      <c r="FD92" s="46"/>
      <c r="FE92" s="46"/>
      <c r="FF92" s="46"/>
      <c r="FG92" s="46"/>
      <c r="FH92" s="46"/>
      <c r="FI92" s="46"/>
      <c r="FJ92" s="46"/>
      <c r="FK92" s="46"/>
      <c r="FL92" s="46"/>
      <c r="FM92" s="46"/>
      <c r="FN92" s="46"/>
      <c r="FO92" s="46"/>
      <c r="FP92" s="46"/>
      <c r="FQ92" s="46"/>
      <c r="FR92" s="46"/>
      <c r="FS92" s="46"/>
      <c r="FT92" s="46"/>
      <c r="FU92" s="46"/>
      <c r="FV92" s="46"/>
      <c r="FW92" s="46"/>
      <c r="FX92" s="46"/>
      <c r="FY92" s="46"/>
      <c r="FZ92" s="46"/>
      <c r="GA92" s="46"/>
      <c r="GB92" s="46"/>
      <c r="GC92" s="46"/>
      <c r="GD92" s="46"/>
      <c r="GE92" s="46"/>
      <c r="GF92" s="46"/>
      <c r="GG92" s="46"/>
      <c r="GH92" s="46"/>
      <c r="GI92" s="46"/>
      <c r="GJ92" s="46"/>
      <c r="GK92" s="46"/>
      <c r="GL92" s="46"/>
      <c r="GM92" s="46"/>
      <c r="GN92" s="46"/>
      <c r="GO92" s="46"/>
      <c r="GP92" s="46"/>
      <c r="GQ92" s="46"/>
      <c r="GR92" s="46"/>
      <c r="GS92" s="46"/>
      <c r="GT92" s="46"/>
      <c r="GU92" s="46"/>
      <c r="GV92" s="46"/>
      <c r="GW92" s="46"/>
      <c r="GX92" s="46"/>
      <c r="GY92" s="46"/>
      <c r="GZ92" s="46"/>
      <c r="HA92" s="46"/>
      <c r="HB92" s="46"/>
      <c r="HC92" s="46"/>
      <c r="HD92" s="46"/>
      <c r="HE92" s="46"/>
      <c r="HF92" s="46"/>
      <c r="HG92" s="46"/>
      <c r="HH92" s="46"/>
      <c r="HI92" s="46"/>
      <c r="HJ92" s="46"/>
      <c r="HK92" s="46"/>
      <c r="HL92" s="46"/>
      <c r="HM92" s="46"/>
      <c r="HN92" s="46"/>
      <c r="HO92" s="46"/>
      <c r="HP92" s="46"/>
      <c r="HQ92" s="46"/>
      <c r="HR92" s="46"/>
      <c r="HS92" s="46"/>
      <c r="HT92" s="46"/>
      <c r="HU92" s="46"/>
      <c r="HV92" s="46"/>
      <c r="HW92" s="46"/>
      <c r="HX92" s="46"/>
      <c r="HY92" s="46"/>
      <c r="HZ92" s="46"/>
      <c r="IA92" s="46"/>
      <c r="IB92" s="46"/>
      <c r="IC92" s="46"/>
      <c r="ID92" s="46"/>
      <c r="IE92" s="46"/>
      <c r="IF92" s="46"/>
      <c r="IG92" s="46"/>
      <c r="IH92" s="46"/>
      <c r="II92" s="46"/>
      <c r="IJ92" s="46"/>
      <c r="IK92" s="46"/>
      <c r="IL92" s="46"/>
      <c r="IM92" s="46"/>
      <c r="IN92" s="46"/>
      <c r="IO92" s="46"/>
      <c r="IP92" s="46"/>
      <c r="IQ92" s="46"/>
      <c r="IR92" s="46"/>
      <c r="IS92" s="46"/>
      <c r="IT92" s="46"/>
      <c r="IU92" s="46"/>
    </row>
    <row r="93" spans="1:255">
      <c r="A93" s="26" t="s">
        <v>185</v>
      </c>
      <c r="B93" s="27" t="s">
        <v>186</v>
      </c>
      <c r="C93" s="30">
        <v>0</v>
      </c>
      <c r="D93" s="30">
        <v>0</v>
      </c>
      <c r="E93" s="29">
        <f t="shared" si="1"/>
        <v>0</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c r="BF93" s="46"/>
      <c r="BG93" s="46"/>
      <c r="BH93" s="46"/>
      <c r="BI93" s="46"/>
      <c r="BJ93" s="46"/>
      <c r="BK93" s="46"/>
      <c r="BL93" s="46"/>
      <c r="BM93" s="46"/>
      <c r="BN93" s="46"/>
      <c r="BO93" s="46"/>
      <c r="BP93" s="46"/>
      <c r="BQ93" s="46"/>
      <c r="BR93" s="46"/>
      <c r="BS93" s="46"/>
      <c r="BT93" s="46"/>
      <c r="BU93" s="46"/>
      <c r="BV93" s="46"/>
      <c r="BW93" s="46"/>
      <c r="BX93" s="46"/>
      <c r="BY93" s="46"/>
      <c r="BZ93" s="46"/>
      <c r="CA93" s="46"/>
      <c r="CB93" s="46"/>
      <c r="CC93" s="46"/>
      <c r="CD93" s="46"/>
      <c r="CE93" s="46"/>
      <c r="CF93" s="46"/>
      <c r="CG93" s="46"/>
      <c r="CH93" s="46"/>
      <c r="CI93" s="46"/>
      <c r="CJ93" s="46"/>
      <c r="CK93" s="46"/>
      <c r="CL93" s="46"/>
      <c r="CM93" s="46"/>
      <c r="CN93" s="46"/>
      <c r="CO93" s="46"/>
      <c r="CP93" s="46"/>
      <c r="CQ93" s="46"/>
      <c r="CR93" s="46"/>
      <c r="CS93" s="46"/>
      <c r="CT93" s="46"/>
      <c r="CU93" s="46"/>
      <c r="CV93" s="46"/>
      <c r="CW93" s="46"/>
      <c r="CX93" s="46"/>
      <c r="CY93" s="46"/>
      <c r="CZ93" s="46"/>
      <c r="DA93" s="46"/>
      <c r="DB93" s="46"/>
      <c r="DC93" s="46"/>
      <c r="DD93" s="46"/>
      <c r="DE93" s="46"/>
      <c r="DF93" s="46"/>
      <c r="DG93" s="46"/>
      <c r="DH93" s="46"/>
      <c r="DI93" s="46"/>
      <c r="DJ93" s="46"/>
      <c r="DK93" s="46"/>
      <c r="DL93" s="46"/>
      <c r="DM93" s="46"/>
      <c r="DN93" s="46"/>
      <c r="DO93" s="46"/>
      <c r="DP93" s="46"/>
      <c r="DQ93" s="46"/>
      <c r="DR93" s="46"/>
      <c r="DS93" s="46"/>
      <c r="DT93" s="46"/>
      <c r="DU93" s="46"/>
      <c r="DV93" s="46"/>
      <c r="DW93" s="46"/>
      <c r="DX93" s="46"/>
      <c r="DY93" s="46"/>
      <c r="DZ93" s="46"/>
      <c r="EA93" s="46"/>
      <c r="EB93" s="46"/>
      <c r="EC93" s="46"/>
      <c r="ED93" s="46"/>
      <c r="EE93" s="46"/>
      <c r="EF93" s="46"/>
      <c r="EG93" s="46"/>
      <c r="EH93" s="46"/>
      <c r="EI93" s="46"/>
      <c r="EJ93" s="46"/>
      <c r="EK93" s="46"/>
      <c r="EL93" s="46"/>
      <c r="EM93" s="46"/>
      <c r="EN93" s="46"/>
      <c r="EO93" s="46"/>
      <c r="EP93" s="46"/>
      <c r="EQ93" s="46"/>
      <c r="ER93" s="46"/>
      <c r="ES93" s="46"/>
      <c r="ET93" s="46"/>
      <c r="EU93" s="46"/>
      <c r="EV93" s="46"/>
      <c r="EW93" s="46"/>
      <c r="EX93" s="46"/>
      <c r="EY93" s="46"/>
      <c r="EZ93" s="46"/>
      <c r="FA93" s="46"/>
      <c r="FB93" s="46"/>
      <c r="FC93" s="46"/>
      <c r="FD93" s="46"/>
      <c r="FE93" s="46"/>
      <c r="FF93" s="46"/>
      <c r="FG93" s="46"/>
      <c r="FH93" s="46"/>
      <c r="FI93" s="46"/>
      <c r="FJ93" s="46"/>
      <c r="FK93" s="46"/>
      <c r="FL93" s="46"/>
      <c r="FM93" s="46"/>
      <c r="FN93" s="46"/>
      <c r="FO93" s="46"/>
      <c r="FP93" s="46"/>
      <c r="FQ93" s="46"/>
      <c r="FR93" s="46"/>
      <c r="FS93" s="46"/>
      <c r="FT93" s="46"/>
      <c r="FU93" s="46"/>
      <c r="FV93" s="46"/>
      <c r="FW93" s="46"/>
      <c r="FX93" s="46"/>
      <c r="FY93" s="46"/>
      <c r="FZ93" s="46"/>
      <c r="GA93" s="46"/>
      <c r="GB93" s="46"/>
      <c r="GC93" s="46"/>
      <c r="GD93" s="46"/>
      <c r="GE93" s="46"/>
      <c r="GF93" s="46"/>
      <c r="GG93" s="46"/>
      <c r="GH93" s="46"/>
      <c r="GI93" s="46"/>
      <c r="GJ93" s="46"/>
      <c r="GK93" s="46"/>
      <c r="GL93" s="46"/>
      <c r="GM93" s="46"/>
      <c r="GN93" s="46"/>
      <c r="GO93" s="46"/>
      <c r="GP93" s="46"/>
      <c r="GQ93" s="46"/>
      <c r="GR93" s="46"/>
      <c r="GS93" s="46"/>
      <c r="GT93" s="46"/>
      <c r="GU93" s="46"/>
      <c r="GV93" s="46"/>
      <c r="GW93" s="46"/>
      <c r="GX93" s="46"/>
      <c r="GY93" s="46"/>
      <c r="GZ93" s="46"/>
      <c r="HA93" s="46"/>
      <c r="HB93" s="46"/>
      <c r="HC93" s="46"/>
      <c r="HD93" s="46"/>
      <c r="HE93" s="46"/>
      <c r="HF93" s="46"/>
      <c r="HG93" s="46"/>
      <c r="HH93" s="46"/>
      <c r="HI93" s="46"/>
      <c r="HJ93" s="46"/>
      <c r="HK93" s="46"/>
      <c r="HL93" s="46"/>
      <c r="HM93" s="46"/>
      <c r="HN93" s="46"/>
      <c r="HO93" s="46"/>
      <c r="HP93" s="46"/>
      <c r="HQ93" s="46"/>
      <c r="HR93" s="46"/>
      <c r="HS93" s="46"/>
      <c r="HT93" s="46"/>
      <c r="HU93" s="46"/>
      <c r="HV93" s="46"/>
      <c r="HW93" s="46"/>
      <c r="HX93" s="46"/>
      <c r="HY93" s="46"/>
      <c r="HZ93" s="46"/>
      <c r="IA93" s="46"/>
      <c r="IB93" s="46"/>
      <c r="IC93" s="46"/>
      <c r="ID93" s="46"/>
      <c r="IE93" s="46"/>
      <c r="IF93" s="46"/>
      <c r="IG93" s="46"/>
      <c r="IH93" s="46"/>
      <c r="II93" s="46"/>
      <c r="IJ93" s="46"/>
      <c r="IK93" s="46"/>
      <c r="IL93" s="46"/>
      <c r="IM93" s="46"/>
      <c r="IN93" s="46"/>
      <c r="IO93" s="46"/>
      <c r="IP93" s="46"/>
      <c r="IQ93" s="46"/>
      <c r="IR93" s="46"/>
      <c r="IS93" s="46"/>
      <c r="IT93" s="46"/>
      <c r="IU93" s="46"/>
    </row>
    <row r="94" spans="1:255">
      <c r="A94" s="26" t="s">
        <v>187</v>
      </c>
      <c r="B94" s="27" t="s">
        <v>188</v>
      </c>
      <c r="C94" s="30">
        <v>0</v>
      </c>
      <c r="D94" s="30">
        <v>0</v>
      </c>
      <c r="E94" s="29">
        <f t="shared" si="1"/>
        <v>0</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c r="BF94" s="46"/>
      <c r="BG94" s="46"/>
      <c r="BH94" s="46"/>
      <c r="BI94" s="46"/>
      <c r="BJ94" s="46"/>
      <c r="BK94" s="46"/>
      <c r="BL94" s="46"/>
      <c r="BM94" s="46"/>
      <c r="BN94" s="46"/>
      <c r="BO94" s="46"/>
      <c r="BP94" s="46"/>
      <c r="BQ94" s="46"/>
      <c r="BR94" s="46"/>
      <c r="BS94" s="46"/>
      <c r="BT94" s="46"/>
      <c r="BU94" s="46"/>
      <c r="BV94" s="46"/>
      <c r="BW94" s="46"/>
      <c r="BX94" s="46"/>
      <c r="BY94" s="46"/>
      <c r="BZ94" s="46"/>
      <c r="CA94" s="46"/>
      <c r="CB94" s="46"/>
      <c r="CC94" s="46"/>
      <c r="CD94" s="46"/>
      <c r="CE94" s="46"/>
      <c r="CF94" s="46"/>
      <c r="CG94" s="46"/>
      <c r="CH94" s="46"/>
      <c r="CI94" s="46"/>
      <c r="CJ94" s="46"/>
      <c r="CK94" s="46"/>
      <c r="CL94" s="46"/>
      <c r="CM94" s="46"/>
      <c r="CN94" s="46"/>
      <c r="CO94" s="46"/>
      <c r="CP94" s="46"/>
      <c r="CQ94" s="46"/>
      <c r="CR94" s="46"/>
      <c r="CS94" s="46"/>
      <c r="CT94" s="46"/>
      <c r="CU94" s="46"/>
      <c r="CV94" s="46"/>
      <c r="CW94" s="46"/>
      <c r="CX94" s="46"/>
      <c r="CY94" s="46"/>
      <c r="CZ94" s="46"/>
      <c r="DA94" s="46"/>
      <c r="DB94" s="46"/>
      <c r="DC94" s="46"/>
      <c r="DD94" s="46"/>
      <c r="DE94" s="46"/>
      <c r="DF94" s="46"/>
      <c r="DG94" s="46"/>
      <c r="DH94" s="46"/>
      <c r="DI94" s="46"/>
      <c r="DJ94" s="46"/>
      <c r="DK94" s="46"/>
      <c r="DL94" s="46"/>
      <c r="DM94" s="46"/>
      <c r="DN94" s="46"/>
      <c r="DO94" s="46"/>
      <c r="DP94" s="46"/>
      <c r="DQ94" s="46"/>
      <c r="DR94" s="46"/>
      <c r="DS94" s="46"/>
      <c r="DT94" s="46"/>
      <c r="DU94" s="46"/>
      <c r="DV94" s="46"/>
      <c r="DW94" s="46"/>
      <c r="DX94" s="46"/>
      <c r="DY94" s="46"/>
      <c r="DZ94" s="46"/>
      <c r="EA94" s="46"/>
      <c r="EB94" s="46"/>
      <c r="EC94" s="46"/>
      <c r="ED94" s="46"/>
      <c r="EE94" s="46"/>
      <c r="EF94" s="46"/>
      <c r="EG94" s="46"/>
      <c r="EH94" s="46"/>
      <c r="EI94" s="46"/>
      <c r="EJ94" s="46"/>
      <c r="EK94" s="46"/>
      <c r="EL94" s="46"/>
      <c r="EM94" s="46"/>
      <c r="EN94" s="46"/>
      <c r="EO94" s="46"/>
      <c r="EP94" s="46"/>
      <c r="EQ94" s="46"/>
      <c r="ER94" s="46"/>
      <c r="ES94" s="46"/>
      <c r="ET94" s="46"/>
      <c r="EU94" s="46"/>
      <c r="EV94" s="46"/>
      <c r="EW94" s="46"/>
      <c r="EX94" s="46"/>
      <c r="EY94" s="46"/>
      <c r="EZ94" s="46"/>
      <c r="FA94" s="46"/>
      <c r="FB94" s="46"/>
      <c r="FC94" s="46"/>
      <c r="FD94" s="46"/>
      <c r="FE94" s="46"/>
      <c r="FF94" s="46"/>
      <c r="FG94" s="46"/>
      <c r="FH94" s="46"/>
      <c r="FI94" s="46"/>
      <c r="FJ94" s="46"/>
      <c r="FK94" s="46"/>
      <c r="FL94" s="46"/>
      <c r="FM94" s="46"/>
      <c r="FN94" s="46"/>
      <c r="FO94" s="46"/>
      <c r="FP94" s="46"/>
      <c r="FQ94" s="46"/>
      <c r="FR94" s="46"/>
      <c r="FS94" s="46"/>
      <c r="FT94" s="46"/>
      <c r="FU94" s="46"/>
      <c r="FV94" s="46"/>
      <c r="FW94" s="46"/>
      <c r="FX94" s="46"/>
      <c r="FY94" s="46"/>
      <c r="FZ94" s="46"/>
      <c r="GA94" s="46"/>
      <c r="GB94" s="46"/>
      <c r="GC94" s="46"/>
      <c r="GD94" s="46"/>
      <c r="GE94" s="46"/>
      <c r="GF94" s="46"/>
      <c r="GG94" s="46"/>
      <c r="GH94" s="46"/>
      <c r="GI94" s="46"/>
      <c r="GJ94" s="46"/>
      <c r="GK94" s="46"/>
      <c r="GL94" s="46"/>
      <c r="GM94" s="46"/>
      <c r="GN94" s="46"/>
      <c r="GO94" s="46"/>
      <c r="GP94" s="46"/>
      <c r="GQ94" s="46"/>
      <c r="GR94" s="46"/>
      <c r="GS94" s="46"/>
      <c r="GT94" s="46"/>
      <c r="GU94" s="46"/>
      <c r="GV94" s="46"/>
      <c r="GW94" s="46"/>
      <c r="GX94" s="46"/>
      <c r="GY94" s="46"/>
      <c r="GZ94" s="46"/>
      <c r="HA94" s="46"/>
      <c r="HB94" s="46"/>
      <c r="HC94" s="46"/>
      <c r="HD94" s="46"/>
      <c r="HE94" s="46"/>
      <c r="HF94" s="46"/>
      <c r="HG94" s="46"/>
      <c r="HH94" s="46"/>
      <c r="HI94" s="46"/>
      <c r="HJ94" s="46"/>
      <c r="HK94" s="46"/>
      <c r="HL94" s="46"/>
      <c r="HM94" s="46"/>
      <c r="HN94" s="46"/>
      <c r="HO94" s="46"/>
      <c r="HP94" s="46"/>
      <c r="HQ94" s="46"/>
      <c r="HR94" s="46"/>
      <c r="HS94" s="46"/>
      <c r="HT94" s="46"/>
      <c r="HU94" s="46"/>
      <c r="HV94" s="46"/>
      <c r="HW94" s="46"/>
      <c r="HX94" s="46"/>
      <c r="HY94" s="46"/>
      <c r="HZ94" s="46"/>
      <c r="IA94" s="46"/>
      <c r="IB94" s="46"/>
      <c r="IC94" s="46"/>
      <c r="ID94" s="46"/>
      <c r="IE94" s="46"/>
      <c r="IF94" s="46"/>
      <c r="IG94" s="46"/>
      <c r="IH94" s="46"/>
      <c r="II94" s="46"/>
      <c r="IJ94" s="46"/>
      <c r="IK94" s="46"/>
      <c r="IL94" s="46"/>
      <c r="IM94" s="46"/>
      <c r="IN94" s="46"/>
      <c r="IO94" s="46"/>
      <c r="IP94" s="46"/>
      <c r="IQ94" s="46"/>
      <c r="IR94" s="46"/>
      <c r="IS94" s="46"/>
      <c r="IT94" s="46"/>
      <c r="IU94" s="46"/>
    </row>
    <row r="95" spans="1:255">
      <c r="A95" s="26" t="s">
        <v>189</v>
      </c>
      <c r="B95" s="44" t="s">
        <v>190</v>
      </c>
      <c r="C95" s="45">
        <f>C54+C87</f>
        <v>0</v>
      </c>
      <c r="D95" s="45">
        <f>D54+D87</f>
        <v>0</v>
      </c>
      <c r="E95" s="45">
        <f t="shared" si="1"/>
        <v>0</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6"/>
      <c r="GJ95" s="46"/>
      <c r="GK95" s="46"/>
      <c r="GL95" s="46"/>
      <c r="GM95" s="46"/>
      <c r="GN95" s="46"/>
      <c r="GO95" s="46"/>
      <c r="GP95" s="46"/>
      <c r="GQ95" s="46"/>
      <c r="GR95" s="46"/>
      <c r="GS95" s="46"/>
      <c r="GT95" s="46"/>
      <c r="GU95" s="46"/>
      <c r="GV95" s="46"/>
      <c r="GW95" s="46"/>
      <c r="GX95" s="46"/>
      <c r="GY95" s="46"/>
      <c r="GZ95" s="46"/>
      <c r="HA95" s="46"/>
      <c r="HB95" s="46"/>
      <c r="HC95" s="46"/>
      <c r="HD95" s="46"/>
      <c r="HE95" s="46"/>
      <c r="HF95" s="46"/>
      <c r="HG95" s="46"/>
      <c r="HH95" s="46"/>
      <c r="HI95" s="46"/>
      <c r="HJ95" s="46"/>
      <c r="HK95" s="46"/>
      <c r="HL95" s="46"/>
      <c r="HM95" s="46"/>
      <c r="HN95" s="46"/>
      <c r="HO95" s="46"/>
      <c r="HP95" s="46"/>
      <c r="HQ95" s="46"/>
      <c r="HR95" s="46"/>
      <c r="HS95" s="46"/>
      <c r="HT95" s="46"/>
      <c r="HU95" s="46"/>
      <c r="HV95" s="46"/>
      <c r="HW95" s="46"/>
      <c r="HX95" s="46"/>
      <c r="HY95" s="46"/>
      <c r="HZ95" s="46"/>
      <c r="IA95" s="46"/>
      <c r="IB95" s="46"/>
      <c r="IC95" s="46"/>
      <c r="ID95" s="46"/>
      <c r="IE95" s="46"/>
      <c r="IF95" s="46"/>
      <c r="IG95" s="46"/>
      <c r="IH95" s="46"/>
      <c r="II95" s="46"/>
      <c r="IJ95" s="46"/>
      <c r="IK95" s="46"/>
      <c r="IL95" s="46"/>
      <c r="IM95" s="46"/>
      <c r="IN95" s="46"/>
      <c r="IO95" s="46"/>
      <c r="IP95" s="46"/>
      <c r="IQ95" s="46"/>
      <c r="IR95" s="46"/>
      <c r="IS95" s="46"/>
      <c r="IT95" s="46"/>
      <c r="IU95" s="46"/>
    </row>
    <row r="96" spans="1:255">
      <c r="A96" s="74"/>
      <c r="B96" s="9"/>
      <c r="C96" s="75"/>
      <c r="D96" s="75"/>
      <c r="E96" s="76"/>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c r="BF96" s="46"/>
      <c r="BG96" s="46"/>
      <c r="BH96" s="46"/>
      <c r="BI96" s="46"/>
      <c r="BJ96" s="46"/>
      <c r="BK96" s="46"/>
      <c r="BL96" s="46"/>
      <c r="BM96" s="46"/>
      <c r="BN96" s="46"/>
      <c r="BO96" s="46"/>
      <c r="BP96" s="46"/>
      <c r="BQ96" s="46"/>
      <c r="BR96" s="46"/>
      <c r="BS96" s="46"/>
      <c r="BT96" s="46"/>
      <c r="BU96" s="46"/>
      <c r="BV96" s="46"/>
      <c r="BW96" s="46"/>
      <c r="BX96" s="46"/>
      <c r="BY96" s="46"/>
      <c r="BZ96" s="46"/>
      <c r="CA96" s="46"/>
      <c r="CB96" s="46"/>
      <c r="CC96" s="46"/>
      <c r="CD96" s="46"/>
      <c r="CE96" s="46"/>
      <c r="CF96" s="46"/>
      <c r="CG96" s="46"/>
      <c r="CH96" s="46"/>
      <c r="CI96" s="46"/>
      <c r="CJ96" s="46"/>
      <c r="CK96" s="46"/>
      <c r="CL96" s="46"/>
      <c r="CM96" s="46"/>
      <c r="CN96" s="46"/>
      <c r="CO96" s="46"/>
      <c r="CP96" s="46"/>
      <c r="CQ96" s="46"/>
      <c r="CR96" s="46"/>
      <c r="CS96" s="46"/>
      <c r="CT96" s="46"/>
      <c r="CU96" s="46"/>
      <c r="CV96" s="46"/>
      <c r="CW96" s="46"/>
      <c r="CX96" s="46"/>
      <c r="CY96" s="46"/>
      <c r="CZ96" s="46"/>
      <c r="DA96" s="46"/>
      <c r="DB96" s="46"/>
      <c r="DC96" s="46"/>
      <c r="DD96" s="46"/>
      <c r="DE96" s="46"/>
      <c r="DF96" s="46"/>
      <c r="DG96" s="46"/>
      <c r="DH96" s="46"/>
      <c r="DI96" s="46"/>
      <c r="DJ96" s="46"/>
      <c r="DK96" s="46"/>
      <c r="DL96" s="46"/>
      <c r="DM96" s="46"/>
      <c r="DN96" s="46"/>
      <c r="DO96" s="46"/>
      <c r="DP96" s="46"/>
      <c r="DQ96" s="46"/>
      <c r="DR96" s="46"/>
      <c r="DS96" s="46"/>
      <c r="DT96" s="46"/>
      <c r="DU96" s="46"/>
      <c r="DV96" s="46"/>
      <c r="DW96" s="46"/>
      <c r="DX96" s="46"/>
      <c r="DY96" s="46"/>
      <c r="DZ96" s="46"/>
      <c r="EA96" s="46"/>
      <c r="EB96" s="46"/>
      <c r="EC96" s="46"/>
      <c r="ED96" s="46"/>
      <c r="EE96" s="46"/>
      <c r="EF96" s="46"/>
      <c r="EG96" s="46"/>
      <c r="EH96" s="46"/>
      <c r="EI96" s="46"/>
      <c r="EJ96" s="46"/>
      <c r="EK96" s="46"/>
      <c r="EL96" s="46"/>
      <c r="EM96" s="46"/>
      <c r="EN96" s="46"/>
      <c r="EO96" s="46"/>
      <c r="EP96" s="46"/>
      <c r="EQ96" s="46"/>
      <c r="ER96" s="46"/>
      <c r="ES96" s="46"/>
      <c r="ET96" s="46"/>
      <c r="EU96" s="46"/>
      <c r="EV96" s="46"/>
      <c r="EW96" s="46"/>
      <c r="EX96" s="46"/>
      <c r="EY96" s="46"/>
      <c r="EZ96" s="46"/>
      <c r="FA96" s="46"/>
      <c r="FB96" s="46"/>
      <c r="FC96" s="46"/>
      <c r="FD96" s="46"/>
      <c r="FE96" s="46"/>
      <c r="FF96" s="46"/>
      <c r="FG96" s="46"/>
      <c r="FH96" s="46"/>
      <c r="FI96" s="46"/>
      <c r="FJ96" s="46"/>
      <c r="FK96" s="46"/>
      <c r="FL96" s="46"/>
      <c r="FM96" s="46"/>
      <c r="FN96" s="46"/>
      <c r="FO96" s="46"/>
      <c r="FP96" s="46"/>
      <c r="FQ96" s="46"/>
      <c r="FR96" s="46"/>
      <c r="FS96" s="46"/>
      <c r="FT96" s="46"/>
      <c r="FU96" s="46"/>
      <c r="FV96" s="46"/>
      <c r="FW96" s="46"/>
      <c r="FX96" s="46"/>
      <c r="FY96" s="46"/>
      <c r="FZ96" s="46"/>
      <c r="GA96" s="46"/>
      <c r="GB96" s="46"/>
      <c r="GC96" s="46"/>
      <c r="GD96" s="46"/>
      <c r="GE96" s="46"/>
      <c r="GF96" s="46"/>
      <c r="GG96" s="46"/>
      <c r="GH96" s="46"/>
      <c r="GI96" s="46"/>
      <c r="GJ96" s="46"/>
      <c r="GK96" s="46"/>
      <c r="GL96" s="46"/>
      <c r="GM96" s="46"/>
      <c r="GN96" s="46"/>
      <c r="GO96" s="46"/>
      <c r="GP96" s="46"/>
      <c r="GQ96" s="46"/>
      <c r="GR96" s="46"/>
      <c r="GS96" s="46"/>
      <c r="GT96" s="46"/>
      <c r="GU96" s="46"/>
      <c r="GV96" s="46"/>
      <c r="GW96" s="46"/>
      <c r="GX96" s="46"/>
      <c r="GY96" s="46"/>
      <c r="GZ96" s="46"/>
      <c r="HA96" s="46"/>
      <c r="HB96" s="46"/>
      <c r="HC96" s="46"/>
      <c r="HD96" s="46"/>
      <c r="HE96" s="46"/>
      <c r="HF96" s="46"/>
      <c r="HG96" s="46"/>
      <c r="HH96" s="46"/>
      <c r="HI96" s="46"/>
      <c r="HJ96" s="46"/>
      <c r="HK96" s="46"/>
      <c r="HL96" s="46"/>
      <c r="HM96" s="46"/>
      <c r="HN96" s="46"/>
      <c r="HO96" s="46"/>
      <c r="HP96" s="46"/>
      <c r="HQ96" s="46"/>
      <c r="HR96" s="46"/>
      <c r="HS96" s="46"/>
      <c r="HT96" s="46"/>
      <c r="HU96" s="46"/>
      <c r="HV96" s="46"/>
      <c r="HW96" s="46"/>
      <c r="HX96" s="46"/>
      <c r="HY96" s="46"/>
      <c r="HZ96" s="46"/>
      <c r="IA96" s="46"/>
      <c r="IB96" s="46"/>
      <c r="IC96" s="46"/>
      <c r="ID96" s="46"/>
      <c r="IE96" s="46"/>
      <c r="IF96" s="46"/>
      <c r="IG96" s="46"/>
      <c r="IH96" s="46"/>
      <c r="II96" s="46"/>
      <c r="IJ96" s="46"/>
      <c r="IK96" s="46"/>
      <c r="IL96" s="46"/>
      <c r="IM96" s="46"/>
      <c r="IN96" s="46"/>
      <c r="IO96" s="46"/>
      <c r="IP96" s="46"/>
      <c r="IQ96" s="46"/>
      <c r="IR96" s="46"/>
      <c r="IS96" s="46"/>
      <c r="IT96" s="46"/>
      <c r="IU96" s="46"/>
    </row>
    <row r="97" spans="6:255">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c r="BF97" s="46"/>
      <c r="BG97" s="46"/>
      <c r="BH97" s="46"/>
      <c r="BI97" s="46"/>
      <c r="BJ97" s="46"/>
      <c r="BK97" s="46"/>
      <c r="BL97" s="46"/>
      <c r="BM97" s="46"/>
      <c r="BN97" s="46"/>
      <c r="BO97" s="46"/>
      <c r="BP97" s="46"/>
      <c r="BQ97" s="46"/>
      <c r="BR97" s="46"/>
      <c r="BS97" s="46"/>
      <c r="BT97" s="46"/>
      <c r="BU97" s="46"/>
      <c r="BV97" s="46"/>
      <c r="BW97" s="46"/>
      <c r="BX97" s="46"/>
      <c r="BY97" s="46"/>
      <c r="BZ97" s="46"/>
      <c r="CA97" s="46"/>
      <c r="CB97" s="46"/>
      <c r="CC97" s="46"/>
      <c r="CD97" s="46"/>
      <c r="CE97" s="46"/>
      <c r="CF97" s="46"/>
      <c r="CG97" s="46"/>
      <c r="CH97" s="46"/>
      <c r="CI97" s="46"/>
      <c r="CJ97" s="46"/>
      <c r="CK97" s="46"/>
      <c r="CL97" s="46"/>
      <c r="CM97" s="46"/>
      <c r="CN97" s="46"/>
      <c r="CO97" s="46"/>
      <c r="CP97" s="46"/>
      <c r="CQ97" s="46"/>
      <c r="CR97" s="46"/>
      <c r="CS97" s="46"/>
      <c r="CT97" s="46"/>
      <c r="CU97" s="46"/>
      <c r="CV97" s="46"/>
      <c r="CW97" s="46"/>
      <c r="CX97" s="46"/>
      <c r="CY97" s="46"/>
      <c r="CZ97" s="46"/>
      <c r="DA97" s="46"/>
      <c r="DB97" s="46"/>
      <c r="DC97" s="46"/>
      <c r="DD97" s="46"/>
      <c r="DE97" s="46"/>
      <c r="DF97" s="46"/>
      <c r="DG97" s="46"/>
      <c r="DH97" s="46"/>
      <c r="DI97" s="46"/>
      <c r="DJ97" s="46"/>
      <c r="DK97" s="46"/>
      <c r="DL97" s="46"/>
      <c r="DM97" s="46"/>
      <c r="DN97" s="46"/>
      <c r="DO97" s="46"/>
      <c r="DP97" s="46"/>
      <c r="DQ97" s="46"/>
      <c r="DR97" s="46"/>
      <c r="DS97" s="46"/>
      <c r="DT97" s="46"/>
      <c r="DU97" s="46"/>
      <c r="DV97" s="46"/>
      <c r="DW97" s="46"/>
      <c r="DX97" s="46"/>
      <c r="DY97" s="46"/>
      <c r="DZ97" s="46"/>
      <c r="EA97" s="46"/>
      <c r="EB97" s="46"/>
      <c r="EC97" s="46"/>
      <c r="ED97" s="46"/>
      <c r="EE97" s="46"/>
      <c r="EF97" s="46"/>
      <c r="EG97" s="46"/>
      <c r="EH97" s="46"/>
      <c r="EI97" s="46"/>
      <c r="EJ97" s="46"/>
      <c r="EK97" s="46"/>
      <c r="EL97" s="46"/>
      <c r="EM97" s="46"/>
      <c r="EN97" s="46"/>
      <c r="EO97" s="46"/>
      <c r="EP97" s="46"/>
      <c r="EQ97" s="46"/>
      <c r="ER97" s="46"/>
      <c r="ES97" s="46"/>
      <c r="ET97" s="46"/>
      <c r="EU97" s="46"/>
      <c r="EV97" s="46"/>
      <c r="EW97" s="46"/>
      <c r="EX97" s="46"/>
      <c r="EY97" s="46"/>
      <c r="EZ97" s="46"/>
      <c r="FA97" s="46"/>
      <c r="FB97" s="46"/>
      <c r="FC97" s="46"/>
      <c r="FD97" s="46"/>
      <c r="FE97" s="46"/>
      <c r="FF97" s="46"/>
      <c r="FG97" s="46"/>
      <c r="FH97" s="46"/>
      <c r="FI97" s="46"/>
      <c r="FJ97" s="46"/>
      <c r="FK97" s="46"/>
      <c r="FL97" s="46"/>
      <c r="FM97" s="46"/>
      <c r="FN97" s="46"/>
      <c r="FO97" s="46"/>
      <c r="FP97" s="46"/>
      <c r="FQ97" s="46"/>
      <c r="FR97" s="46"/>
      <c r="FS97" s="46"/>
      <c r="FT97" s="46"/>
      <c r="FU97" s="46"/>
      <c r="FV97" s="46"/>
      <c r="FW97" s="46"/>
      <c r="FX97" s="46"/>
      <c r="FY97" s="46"/>
      <c r="FZ97" s="46"/>
      <c r="GA97" s="46"/>
      <c r="GB97" s="46"/>
      <c r="GC97" s="46"/>
      <c r="GD97" s="46"/>
      <c r="GE97" s="46"/>
      <c r="GF97" s="46"/>
      <c r="GG97" s="46"/>
      <c r="GH97" s="46"/>
      <c r="GI97" s="46"/>
      <c r="GJ97" s="46"/>
      <c r="GK97" s="46"/>
      <c r="GL97" s="46"/>
      <c r="GM97" s="46"/>
      <c r="GN97" s="46"/>
      <c r="GO97" s="46"/>
      <c r="GP97" s="46"/>
      <c r="GQ97" s="46"/>
      <c r="GR97" s="46"/>
      <c r="GS97" s="46"/>
      <c r="GT97" s="46"/>
      <c r="GU97" s="46"/>
      <c r="GV97" s="46"/>
      <c r="GW97" s="46"/>
      <c r="GX97" s="46"/>
      <c r="GY97" s="46"/>
      <c r="GZ97" s="46"/>
      <c r="HA97" s="46"/>
      <c r="HB97" s="46"/>
      <c r="HC97" s="46"/>
      <c r="HD97" s="46"/>
      <c r="HE97" s="46"/>
      <c r="HF97" s="46"/>
      <c r="HG97" s="46"/>
      <c r="HH97" s="46"/>
      <c r="HI97" s="46"/>
      <c r="HJ97" s="46"/>
      <c r="HK97" s="46"/>
      <c r="HL97" s="46"/>
      <c r="HM97" s="46"/>
      <c r="HN97" s="46"/>
      <c r="HO97" s="46"/>
      <c r="HP97" s="46"/>
      <c r="HQ97" s="46"/>
      <c r="HR97" s="46"/>
      <c r="HS97" s="46"/>
      <c r="HT97" s="46"/>
      <c r="HU97" s="46"/>
      <c r="HV97" s="46"/>
      <c r="HW97" s="46"/>
      <c r="HX97" s="46"/>
      <c r="HY97" s="46"/>
      <c r="HZ97" s="46"/>
      <c r="IA97" s="46"/>
      <c r="IB97" s="46"/>
      <c r="IC97" s="46"/>
      <c r="ID97" s="46"/>
      <c r="IE97" s="46"/>
      <c r="IF97" s="46"/>
      <c r="IG97" s="46"/>
      <c r="IH97" s="46"/>
      <c r="II97" s="46"/>
      <c r="IJ97" s="46"/>
      <c r="IK97" s="46"/>
      <c r="IL97" s="46"/>
      <c r="IM97" s="46"/>
      <c r="IN97" s="46"/>
      <c r="IO97" s="46"/>
      <c r="IP97" s="46"/>
      <c r="IQ97" s="46"/>
      <c r="IR97" s="46"/>
      <c r="IS97" s="46"/>
      <c r="IT97" s="46"/>
      <c r="IU97" s="46"/>
    </row>
    <row r="98" spans="6:255">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c r="BF98" s="46"/>
      <c r="BG98" s="46"/>
      <c r="BH98" s="46"/>
      <c r="BI98" s="46"/>
      <c r="BJ98" s="46"/>
      <c r="BK98" s="46"/>
      <c r="BL98" s="46"/>
      <c r="BM98" s="46"/>
      <c r="BN98" s="46"/>
      <c r="BO98" s="46"/>
      <c r="BP98" s="46"/>
      <c r="BQ98" s="46"/>
      <c r="BR98" s="46"/>
      <c r="BS98" s="46"/>
      <c r="BT98" s="46"/>
      <c r="BU98" s="46"/>
      <c r="BV98" s="46"/>
      <c r="BW98" s="46"/>
      <c r="BX98" s="46"/>
      <c r="BY98" s="46"/>
      <c r="BZ98" s="46"/>
      <c r="CA98" s="46"/>
      <c r="CB98" s="46"/>
      <c r="CC98" s="46"/>
      <c r="CD98" s="46"/>
      <c r="CE98" s="46"/>
      <c r="CF98" s="46"/>
      <c r="CG98" s="46"/>
      <c r="CH98" s="46"/>
      <c r="CI98" s="46"/>
      <c r="CJ98" s="46"/>
      <c r="CK98" s="46"/>
      <c r="CL98" s="46"/>
      <c r="CM98" s="46"/>
      <c r="CN98" s="46"/>
      <c r="CO98" s="46"/>
      <c r="CP98" s="46"/>
      <c r="CQ98" s="46"/>
      <c r="CR98" s="46"/>
      <c r="CS98" s="46"/>
      <c r="CT98" s="46"/>
      <c r="CU98" s="46"/>
      <c r="CV98" s="46"/>
      <c r="CW98" s="46"/>
      <c r="CX98" s="46"/>
      <c r="CY98" s="46"/>
      <c r="CZ98" s="46"/>
      <c r="DA98" s="46"/>
      <c r="DB98" s="46"/>
      <c r="DC98" s="46"/>
      <c r="DD98" s="46"/>
      <c r="DE98" s="46"/>
      <c r="DF98" s="46"/>
      <c r="DG98" s="46"/>
      <c r="DH98" s="46"/>
      <c r="DI98" s="46"/>
      <c r="DJ98" s="46"/>
      <c r="DK98" s="46"/>
      <c r="DL98" s="46"/>
      <c r="DM98" s="46"/>
      <c r="DN98" s="46"/>
      <c r="DO98" s="46"/>
      <c r="DP98" s="46"/>
      <c r="DQ98" s="46"/>
      <c r="DR98" s="46"/>
      <c r="DS98" s="46"/>
      <c r="DT98" s="46"/>
      <c r="DU98" s="46"/>
      <c r="DV98" s="46"/>
      <c r="DW98" s="46"/>
      <c r="DX98" s="46"/>
      <c r="DY98" s="46"/>
      <c r="DZ98" s="46"/>
      <c r="EA98" s="46"/>
      <c r="EB98" s="46"/>
      <c r="EC98" s="46"/>
      <c r="ED98" s="46"/>
      <c r="EE98" s="46"/>
      <c r="EF98" s="46"/>
      <c r="EG98" s="46"/>
      <c r="EH98" s="46"/>
      <c r="EI98" s="46"/>
      <c r="EJ98" s="46"/>
      <c r="EK98" s="46"/>
      <c r="EL98" s="46"/>
      <c r="EM98" s="46"/>
      <c r="EN98" s="46"/>
      <c r="EO98" s="46"/>
      <c r="EP98" s="46"/>
      <c r="EQ98" s="46"/>
      <c r="ER98" s="46"/>
      <c r="ES98" s="46"/>
      <c r="ET98" s="46"/>
      <c r="EU98" s="46"/>
      <c r="EV98" s="46"/>
      <c r="EW98" s="46"/>
      <c r="EX98" s="46"/>
      <c r="EY98" s="46"/>
      <c r="EZ98" s="46"/>
      <c r="FA98" s="46"/>
      <c r="FB98" s="46"/>
      <c r="FC98" s="46"/>
      <c r="FD98" s="46"/>
      <c r="FE98" s="46"/>
      <c r="FF98" s="46"/>
      <c r="FG98" s="46"/>
      <c r="FH98" s="46"/>
      <c r="FI98" s="46"/>
      <c r="FJ98" s="46"/>
      <c r="FK98" s="46"/>
      <c r="FL98" s="46"/>
      <c r="FM98" s="46"/>
      <c r="FN98" s="46"/>
      <c r="FO98" s="46"/>
      <c r="FP98" s="46"/>
      <c r="FQ98" s="46"/>
      <c r="FR98" s="46"/>
      <c r="FS98" s="46"/>
      <c r="FT98" s="46"/>
      <c r="FU98" s="46"/>
      <c r="FV98" s="46"/>
      <c r="FW98" s="46"/>
      <c r="FX98" s="46"/>
      <c r="FY98" s="46"/>
      <c r="FZ98" s="46"/>
      <c r="GA98" s="46"/>
      <c r="GB98" s="46"/>
      <c r="GC98" s="46"/>
      <c r="GD98" s="46"/>
      <c r="GE98" s="46"/>
      <c r="GF98" s="46"/>
      <c r="GG98" s="46"/>
      <c r="GH98" s="46"/>
      <c r="GI98" s="46"/>
      <c r="GJ98" s="46"/>
      <c r="GK98" s="46"/>
      <c r="GL98" s="46"/>
      <c r="GM98" s="46"/>
      <c r="GN98" s="46"/>
      <c r="GO98" s="46"/>
      <c r="GP98" s="46"/>
      <c r="GQ98" s="46"/>
      <c r="GR98" s="46"/>
      <c r="GS98" s="46"/>
      <c r="GT98" s="46"/>
      <c r="GU98" s="46"/>
      <c r="GV98" s="46"/>
      <c r="GW98" s="46"/>
      <c r="GX98" s="46"/>
      <c r="GY98" s="46"/>
      <c r="GZ98" s="46"/>
      <c r="HA98" s="46"/>
      <c r="HB98" s="46"/>
      <c r="HC98" s="46"/>
      <c r="HD98" s="46"/>
      <c r="HE98" s="46"/>
      <c r="HF98" s="46"/>
      <c r="HG98" s="46"/>
      <c r="HH98" s="46"/>
      <c r="HI98" s="46"/>
      <c r="HJ98" s="46"/>
      <c r="HK98" s="46"/>
      <c r="HL98" s="46"/>
      <c r="HM98" s="46"/>
      <c r="HN98" s="46"/>
      <c r="HO98" s="46"/>
      <c r="HP98" s="46"/>
      <c r="HQ98" s="46"/>
      <c r="HR98" s="46"/>
      <c r="HS98" s="46"/>
      <c r="HT98" s="46"/>
      <c r="HU98" s="46"/>
      <c r="HV98" s="46"/>
      <c r="HW98" s="46"/>
      <c r="HX98" s="46"/>
      <c r="HY98" s="46"/>
      <c r="HZ98" s="46"/>
      <c r="IA98" s="46"/>
      <c r="IB98" s="46"/>
      <c r="IC98" s="46"/>
      <c r="ID98" s="46"/>
      <c r="IE98" s="46"/>
      <c r="IF98" s="46"/>
      <c r="IG98" s="46"/>
      <c r="IH98" s="46"/>
      <c r="II98" s="46"/>
      <c r="IJ98" s="46"/>
      <c r="IK98" s="46"/>
      <c r="IL98" s="46"/>
      <c r="IM98" s="46"/>
      <c r="IN98" s="46"/>
      <c r="IO98" s="46"/>
      <c r="IP98" s="46"/>
      <c r="IQ98" s="46"/>
      <c r="IR98" s="46"/>
      <c r="IS98" s="46"/>
      <c r="IT98" s="46"/>
      <c r="IU98" s="46"/>
    </row>
    <row r="99" spans="6:255">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46"/>
      <c r="CQ99" s="46"/>
      <c r="CR99" s="46"/>
      <c r="CS99" s="46"/>
      <c r="CT99" s="46"/>
      <c r="CU99" s="46"/>
      <c r="CV99" s="46"/>
      <c r="CW99" s="46"/>
      <c r="CX99" s="46"/>
      <c r="CY99" s="46"/>
      <c r="CZ99" s="46"/>
      <c r="DA99" s="46"/>
      <c r="DB99" s="46"/>
      <c r="DC99" s="46"/>
      <c r="DD99" s="46"/>
      <c r="DE99" s="46"/>
      <c r="DF99" s="46"/>
      <c r="DG99" s="46"/>
      <c r="DH99" s="46"/>
      <c r="DI99" s="46"/>
      <c r="DJ99" s="46"/>
      <c r="DK99" s="46"/>
      <c r="DL99" s="46"/>
      <c r="DM99" s="46"/>
      <c r="DN99" s="46"/>
      <c r="DO99" s="46"/>
      <c r="DP99" s="46"/>
      <c r="DQ99" s="46"/>
      <c r="DR99" s="46"/>
      <c r="DS99" s="46"/>
      <c r="DT99" s="46"/>
      <c r="DU99" s="46"/>
      <c r="DV99" s="46"/>
      <c r="DW99" s="46"/>
      <c r="DX99" s="46"/>
      <c r="DY99" s="46"/>
      <c r="DZ99" s="46"/>
      <c r="EA99" s="46"/>
      <c r="EB99" s="46"/>
      <c r="EC99" s="46"/>
      <c r="ED99" s="46"/>
      <c r="EE99" s="46"/>
      <c r="EF99" s="46"/>
      <c r="EG99" s="46"/>
      <c r="EH99" s="46"/>
      <c r="EI99" s="46"/>
      <c r="EJ99" s="46"/>
      <c r="EK99" s="46"/>
      <c r="EL99" s="46"/>
      <c r="EM99" s="46"/>
      <c r="EN99" s="46"/>
      <c r="EO99" s="46"/>
      <c r="EP99" s="46"/>
      <c r="EQ99" s="46"/>
      <c r="ER99" s="46"/>
      <c r="ES99" s="46"/>
      <c r="ET99" s="46"/>
      <c r="EU99" s="46"/>
      <c r="EV99" s="46"/>
      <c r="EW99" s="46"/>
      <c r="EX99" s="46"/>
      <c r="EY99" s="46"/>
      <c r="EZ99" s="46"/>
      <c r="FA99" s="46"/>
      <c r="FB99" s="46"/>
      <c r="FC99" s="46"/>
      <c r="FD99" s="46"/>
      <c r="FE99" s="46"/>
      <c r="FF99" s="46"/>
      <c r="FG99" s="46"/>
      <c r="FH99" s="46"/>
      <c r="FI99" s="46"/>
      <c r="FJ99" s="46"/>
      <c r="FK99" s="46"/>
      <c r="FL99" s="46"/>
      <c r="FM99" s="46"/>
      <c r="FN99" s="46"/>
      <c r="FO99" s="46"/>
      <c r="FP99" s="46"/>
      <c r="FQ99" s="46"/>
      <c r="FR99" s="46"/>
      <c r="FS99" s="46"/>
      <c r="FT99" s="46"/>
      <c r="FU99" s="46"/>
      <c r="FV99" s="46"/>
      <c r="FW99" s="46"/>
      <c r="FX99" s="46"/>
      <c r="FY99" s="46"/>
      <c r="FZ99" s="46"/>
      <c r="GA99" s="46"/>
      <c r="GB99" s="46"/>
      <c r="GC99" s="46"/>
      <c r="GD99" s="46"/>
      <c r="GE99" s="46"/>
      <c r="GF99" s="46"/>
      <c r="GG99" s="46"/>
      <c r="GH99" s="46"/>
      <c r="GI99" s="46"/>
      <c r="GJ99" s="46"/>
      <c r="GK99" s="46"/>
      <c r="GL99" s="46"/>
      <c r="GM99" s="46"/>
      <c r="GN99" s="46"/>
      <c r="GO99" s="46"/>
      <c r="GP99" s="46"/>
      <c r="GQ99" s="46"/>
      <c r="GR99" s="46"/>
      <c r="GS99" s="46"/>
      <c r="GT99" s="46"/>
      <c r="GU99" s="46"/>
      <c r="GV99" s="46"/>
      <c r="GW99" s="46"/>
      <c r="GX99" s="46"/>
      <c r="GY99" s="46"/>
      <c r="GZ99" s="46"/>
      <c r="HA99" s="46"/>
      <c r="HB99" s="46"/>
      <c r="HC99" s="46"/>
      <c r="HD99" s="46"/>
      <c r="HE99" s="46"/>
      <c r="HF99" s="46"/>
      <c r="HG99" s="46"/>
      <c r="HH99" s="46"/>
      <c r="HI99" s="46"/>
      <c r="HJ99" s="46"/>
      <c r="HK99" s="46"/>
      <c r="HL99" s="46"/>
      <c r="HM99" s="46"/>
      <c r="HN99" s="46"/>
      <c r="HO99" s="46"/>
      <c r="HP99" s="46"/>
      <c r="HQ99" s="46"/>
      <c r="HR99" s="46"/>
      <c r="HS99" s="46"/>
      <c r="HT99" s="46"/>
      <c r="HU99" s="46"/>
      <c r="HV99" s="46"/>
      <c r="HW99" s="46"/>
      <c r="HX99" s="46"/>
      <c r="HY99" s="46"/>
      <c r="HZ99" s="46"/>
      <c r="IA99" s="46"/>
      <c r="IB99" s="46"/>
      <c r="IC99" s="46"/>
      <c r="ID99" s="46"/>
      <c r="IE99" s="46"/>
      <c r="IF99" s="46"/>
      <c r="IG99" s="46"/>
      <c r="IH99" s="46"/>
      <c r="II99" s="46"/>
      <c r="IJ99" s="46"/>
      <c r="IK99" s="46"/>
      <c r="IL99" s="46"/>
      <c r="IM99" s="46"/>
      <c r="IN99" s="46"/>
      <c r="IO99" s="46"/>
      <c r="IP99" s="46"/>
      <c r="IQ99" s="46"/>
      <c r="IR99" s="46"/>
      <c r="IS99" s="46"/>
      <c r="IT99" s="46"/>
      <c r="IU99" s="46"/>
    </row>
    <row r="100" spans="6:255">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6"/>
      <c r="GJ100" s="46"/>
      <c r="GK100" s="46"/>
      <c r="GL100" s="46"/>
      <c r="GM100" s="46"/>
      <c r="GN100" s="46"/>
      <c r="GO100" s="46"/>
      <c r="GP100" s="46"/>
      <c r="GQ100" s="46"/>
      <c r="GR100" s="46"/>
      <c r="GS100" s="46"/>
      <c r="GT100" s="46"/>
      <c r="GU100" s="46"/>
      <c r="GV100" s="46"/>
      <c r="GW100" s="46"/>
      <c r="GX100" s="46"/>
      <c r="GY100" s="46"/>
      <c r="GZ100" s="46"/>
      <c r="HA100" s="46"/>
      <c r="HB100" s="46"/>
      <c r="HC100" s="46"/>
      <c r="HD100" s="46"/>
      <c r="HE100" s="46"/>
      <c r="HF100" s="46"/>
      <c r="HG100" s="46"/>
      <c r="HH100" s="46"/>
      <c r="HI100" s="46"/>
      <c r="HJ100" s="46"/>
      <c r="HK100" s="46"/>
      <c r="HL100" s="46"/>
      <c r="HM100" s="46"/>
      <c r="HN100" s="46"/>
      <c r="HO100" s="46"/>
      <c r="HP100" s="46"/>
      <c r="HQ100" s="46"/>
      <c r="HR100" s="46"/>
      <c r="HS100" s="46"/>
      <c r="HT100" s="46"/>
      <c r="HU100" s="46"/>
      <c r="HV100" s="46"/>
      <c r="HW100" s="46"/>
      <c r="HX100" s="46"/>
      <c r="HY100" s="46"/>
      <c r="HZ100" s="46"/>
      <c r="IA100" s="46"/>
      <c r="IB100" s="46"/>
      <c r="IC100" s="46"/>
      <c r="ID100" s="46"/>
      <c r="IE100" s="46"/>
      <c r="IF100" s="46"/>
      <c r="IG100" s="46"/>
      <c r="IH100" s="46"/>
      <c r="II100" s="46"/>
      <c r="IJ100" s="46"/>
      <c r="IK100" s="46"/>
      <c r="IL100" s="46"/>
      <c r="IM100" s="46"/>
      <c r="IN100" s="46"/>
      <c r="IO100" s="46"/>
      <c r="IP100" s="46"/>
      <c r="IQ100" s="46"/>
      <c r="IR100" s="46"/>
      <c r="IS100" s="46"/>
      <c r="IT100" s="46"/>
      <c r="IU100" s="46"/>
    </row>
    <row r="101" spans="6:255">
      <c r="F101" s="77"/>
    </row>
    <row r="102" spans="6:255" ht="19.5" customHeight="1"/>
    <row r="103" spans="6:255"/>
    <row r="104" spans="6:255"/>
    <row r="105" spans="6:255"/>
    <row r="106" spans="6:255" hidden="1"/>
    <row r="107" spans="6:255" hidden="1"/>
    <row r="108" spans="6:255" hidden="1"/>
    <row r="109" spans="6:255" hidden="1"/>
    <row r="110" spans="6:255" hidden="1"/>
    <row r="111" spans="6:255" hidden="1"/>
    <row r="112" spans="6:255"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spans="5:5" hidden="1"/>
    <row r="594" spans="5:5" hidden="1"/>
    <row r="595" spans="5:5" hidden="1"/>
    <row r="596" spans="5:5" hidden="1"/>
    <row r="597" spans="5:5" hidden="1"/>
    <row r="598" spans="5:5" hidden="1"/>
    <row r="599" spans="5:5" hidden="1"/>
    <row r="600" spans="5:5" hidden="1">
      <c r="E600" s="1" t="s">
        <v>191</v>
      </c>
    </row>
    <row r="601" spans="5:5" hidden="1"/>
    <row r="602" spans="5:5" hidden="1"/>
    <row r="603" spans="5:5" hidden="1"/>
    <row r="604" spans="5:5" hidden="1">
      <c r="E604" s="78"/>
    </row>
    <row r="605" spans="5:5" hidden="1"/>
    <row r="606" spans="5:5" hidden="1"/>
    <row r="607" spans="5:5" hidden="1"/>
    <row r="608" spans="5:5" hidden="1"/>
    <row r="609" spans="5:12" hidden="1"/>
    <row r="610" spans="5:12" hidden="1"/>
    <row r="611" spans="5:12" hidden="1"/>
    <row r="612" spans="5:12" hidden="1"/>
    <row r="613" spans="5:12" hidden="1"/>
    <row r="614" spans="5:12" hidden="1"/>
    <row r="615" spans="5:12" hidden="1"/>
    <row r="616" spans="5:12" hidden="1"/>
    <row r="617" spans="5:12" hidden="1"/>
    <row r="618" spans="5:12" hidden="1">
      <c r="E618" s="78"/>
      <c r="F618" s="78"/>
      <c r="G618" s="78"/>
      <c r="H618" s="78"/>
      <c r="I618" s="78"/>
      <c r="J618" s="78"/>
      <c r="K618" s="78"/>
      <c r="L618" s="78"/>
    </row>
    <row r="619" spans="5:12" hidden="1">
      <c r="E619" s="78"/>
      <c r="F619" s="78"/>
      <c r="G619" s="78"/>
      <c r="H619" s="78"/>
      <c r="I619" s="78"/>
      <c r="J619" s="78"/>
      <c r="K619" s="78"/>
      <c r="L619" s="78"/>
    </row>
    <row r="620" spans="5:12" hidden="1"/>
    <row r="621" spans="5:12" hidden="1"/>
    <row r="622" spans="5:12" hidden="1"/>
    <row r="623" spans="5:12" hidden="1"/>
    <row r="624" spans="5:12" hidden="1"/>
    <row r="625" spans="5:5" hidden="1"/>
    <row r="626" spans="5:5" hidden="1"/>
    <row r="627" spans="5:5" hidden="1">
      <c r="E627" s="78"/>
    </row>
    <row r="628" spans="5:5" hidden="1"/>
    <row r="629" spans="5:5" hidden="1"/>
    <row r="630" spans="5:5" hidden="1"/>
    <row r="631" spans="5:5" hidden="1"/>
    <row r="632" spans="5:5" hidden="1"/>
    <row r="633" spans="5:5" hidden="1"/>
    <row r="634" spans="5:5" hidden="1"/>
    <row r="635" spans="5:5" hidden="1"/>
    <row r="636" spans="5:5" hidden="1"/>
    <row r="637" spans="5:5" hidden="1"/>
    <row r="638" spans="5:5" hidden="1"/>
    <row r="639" spans="5:5" hidden="1"/>
    <row r="640" spans="5:5" hidden="1"/>
    <row r="641" spans="5:12" hidden="1"/>
    <row r="642" spans="5:12" hidden="1"/>
    <row r="643" spans="5:12" hidden="1"/>
    <row r="644" spans="5:12" hidden="1"/>
    <row r="645" spans="5:12" hidden="1"/>
    <row r="646" spans="5:12" hidden="1">
      <c r="E646" s="78"/>
      <c r="F646" s="78"/>
      <c r="G646" s="78"/>
      <c r="H646" s="78"/>
      <c r="I646" s="78"/>
      <c r="J646" s="78"/>
      <c r="K646" s="78"/>
      <c r="L646" s="78"/>
    </row>
    <row r="647" spans="5:12" hidden="1">
      <c r="E647" s="78"/>
      <c r="F647" s="78"/>
      <c r="G647" s="78"/>
      <c r="H647" s="78"/>
      <c r="I647" s="78"/>
      <c r="J647" s="78"/>
      <c r="K647" s="78"/>
      <c r="L647" s="78"/>
    </row>
    <row r="648" spans="5:12" hidden="1"/>
    <row r="649" spans="5:12" hidden="1"/>
    <row r="650" spans="5:12" hidden="1">
      <c r="E650" s="78"/>
    </row>
  </sheetData>
  <sheetProtection password="C5F7" sheet="1" objects="1" scenarios="1" formatCells="0" formatColumns="0" formatRows="0"/>
  <mergeCells count="6">
    <mergeCell ref="J52:K52"/>
    <mergeCell ref="J1:K1"/>
    <mergeCell ref="A2:P2"/>
    <mergeCell ref="C7:E7"/>
    <mergeCell ref="G51:K51"/>
    <mergeCell ref="L51:N51"/>
  </mergeCells>
  <dataValidations count="2">
    <dataValidation type="decimal" allowBlank="1" showInputMessage="1" showErrorMessage="1" errorTitle="Validation Rule" error="Allow only number" sqref="C15:D24 C27:D29 C69:D74 C76:D80 C82:D86 C88:D94">
      <formula1>-1E+27</formula1>
      <formula2>1E+27</formula2>
    </dataValidation>
    <dataValidation type="decimal" allowBlank="1" showInputMessage="1" showErrorMessage="1" errorTitle="Validation Rule" error="Allow only number" sqref="C32:D37 C39:D42 C44:D48 C56:D59 C65:D67 C61:D63">
      <formula1>-1E+26</formula1>
      <formula2>1E+27</formula2>
    </dataValidation>
  </dataValidations>
  <pageMargins left="0.7" right="0.7" top="0.75" bottom="0.75" header="0.3" footer="0.3"/>
  <pageSetup scale="55" orientation="portrait" r:id="rId1"/>
  <extLst>
    <ext xmlns:x14="http://schemas.microsoft.com/office/spreadsheetml/2009/9/main" uri="{CCE6A557-97BC-4b89-ADB6-D9C93CAAB3DF}">
      <x14:dataValidations xmlns:xm="http://schemas.microsoft.com/office/excel/2006/main" count="1">
        <x14:dataValidation type="decimal" operator="greaterThanOrEqual" allowBlank="1" showInputMessage="1" showErrorMessage="1" errorTitle="Validation Rule" error="Allow only number">
          <x14:formula1>
            <xm:f>0</xm:f>
          </x14:formula1>
          <xm:sqref>UEN983136 IY88:IY90 SU88:SU90 ACQ88:ACQ90 AMM88:AMM90 AWI88:AWI90 BGE88:BGE90 BQA88:BQA90 BZW88:BZW90 CJS88:CJS90 CTO88:CTO90 DDK88:DDK90 DNG88:DNG90 DXC88:DXC90 EGY88:EGY90 EQU88:EQU90 FAQ88:FAQ90 FKM88:FKM90 FUI88:FUI90 GEE88:GEE90 GOA88:GOA90 GXW88:GXW90 HHS88:HHS90 HRO88:HRO90 IBK88:IBK90 ILG88:ILG90 IVC88:IVC90 JEY88:JEY90 JOU88:JOU90 JYQ88:JYQ90 KIM88:KIM90 KSI88:KSI90 LCE88:LCE90 LMA88:LMA90 LVW88:LVW90 MFS88:MFS90 MPO88:MPO90 MZK88:MZK90 NJG88:NJG90 NTC88:NTC90 OCY88:OCY90 OMU88:OMU90 OWQ88:OWQ90 PGM88:PGM90 PQI88:PQI90 QAE88:QAE90 QKA88:QKA90 QTW88:QTW90 RDS88:RDS90 RNO88:RNO90 RXK88:RXK90 SHG88:SHG90 SRC88:SRC90 TAY88:TAY90 TKU88:TKU90 TUQ88:TUQ90 UEM88:UEM90 UOI88:UOI90 UYE88:UYE90 VIA88:VIA90 VRW88:VRW90 WBS88:WBS90 WLO88:WLO90 WVK88:WVK90 C65624:C65626 IY65624:IY65626 SU65624:SU65626 ACQ65624:ACQ65626 AMM65624:AMM65626 AWI65624:AWI65626 BGE65624:BGE65626 BQA65624:BQA65626 BZW65624:BZW65626 CJS65624:CJS65626 CTO65624:CTO65626 DDK65624:DDK65626 DNG65624:DNG65626 DXC65624:DXC65626 EGY65624:EGY65626 EQU65624:EQU65626 FAQ65624:FAQ65626 FKM65624:FKM65626 FUI65624:FUI65626 GEE65624:GEE65626 GOA65624:GOA65626 GXW65624:GXW65626 HHS65624:HHS65626 HRO65624:HRO65626 IBK65624:IBK65626 ILG65624:ILG65626 IVC65624:IVC65626 JEY65624:JEY65626 JOU65624:JOU65626 JYQ65624:JYQ65626 KIM65624:KIM65626 KSI65624:KSI65626 LCE65624:LCE65626 LMA65624:LMA65626 LVW65624:LVW65626 MFS65624:MFS65626 MPO65624:MPO65626 MZK65624:MZK65626 NJG65624:NJG65626 NTC65624:NTC65626 OCY65624:OCY65626 OMU65624:OMU65626 OWQ65624:OWQ65626 PGM65624:PGM65626 PQI65624:PQI65626 QAE65624:QAE65626 QKA65624:QKA65626 QTW65624:QTW65626 RDS65624:RDS65626 RNO65624:RNO65626 RXK65624:RXK65626 SHG65624:SHG65626 SRC65624:SRC65626 TAY65624:TAY65626 TKU65624:TKU65626 TUQ65624:TUQ65626 UEM65624:UEM65626 UOI65624:UOI65626 UYE65624:UYE65626 VIA65624:VIA65626 VRW65624:VRW65626 WBS65624:WBS65626 WLO65624:WLO65626 WVK65624:WVK65626 C131160:C131162 IY131160:IY131162 SU131160:SU131162 ACQ131160:ACQ131162 AMM131160:AMM131162 AWI131160:AWI131162 BGE131160:BGE131162 BQA131160:BQA131162 BZW131160:BZW131162 CJS131160:CJS131162 CTO131160:CTO131162 DDK131160:DDK131162 DNG131160:DNG131162 DXC131160:DXC131162 EGY131160:EGY131162 EQU131160:EQU131162 FAQ131160:FAQ131162 FKM131160:FKM131162 FUI131160:FUI131162 GEE131160:GEE131162 GOA131160:GOA131162 GXW131160:GXW131162 HHS131160:HHS131162 HRO131160:HRO131162 IBK131160:IBK131162 ILG131160:ILG131162 IVC131160:IVC131162 JEY131160:JEY131162 JOU131160:JOU131162 JYQ131160:JYQ131162 KIM131160:KIM131162 KSI131160:KSI131162 LCE131160:LCE131162 LMA131160:LMA131162 LVW131160:LVW131162 MFS131160:MFS131162 MPO131160:MPO131162 MZK131160:MZK131162 NJG131160:NJG131162 NTC131160:NTC131162 OCY131160:OCY131162 OMU131160:OMU131162 OWQ131160:OWQ131162 PGM131160:PGM131162 PQI131160:PQI131162 QAE131160:QAE131162 QKA131160:QKA131162 QTW131160:QTW131162 RDS131160:RDS131162 RNO131160:RNO131162 RXK131160:RXK131162 SHG131160:SHG131162 SRC131160:SRC131162 TAY131160:TAY131162 TKU131160:TKU131162 TUQ131160:TUQ131162 UEM131160:UEM131162 UOI131160:UOI131162 UYE131160:UYE131162 VIA131160:VIA131162 VRW131160:VRW131162 WBS131160:WBS131162 WLO131160:WLO131162 WVK131160:WVK131162 C196696:C196698 IY196696:IY196698 SU196696:SU196698 ACQ196696:ACQ196698 AMM196696:AMM196698 AWI196696:AWI196698 BGE196696:BGE196698 BQA196696:BQA196698 BZW196696:BZW196698 CJS196696:CJS196698 CTO196696:CTO196698 DDK196696:DDK196698 DNG196696:DNG196698 DXC196696:DXC196698 EGY196696:EGY196698 EQU196696:EQU196698 FAQ196696:FAQ196698 FKM196696:FKM196698 FUI196696:FUI196698 GEE196696:GEE196698 GOA196696:GOA196698 GXW196696:GXW196698 HHS196696:HHS196698 HRO196696:HRO196698 IBK196696:IBK196698 ILG196696:ILG196698 IVC196696:IVC196698 JEY196696:JEY196698 JOU196696:JOU196698 JYQ196696:JYQ196698 KIM196696:KIM196698 KSI196696:KSI196698 LCE196696:LCE196698 LMA196696:LMA196698 LVW196696:LVW196698 MFS196696:MFS196698 MPO196696:MPO196698 MZK196696:MZK196698 NJG196696:NJG196698 NTC196696:NTC196698 OCY196696:OCY196698 OMU196696:OMU196698 OWQ196696:OWQ196698 PGM196696:PGM196698 PQI196696:PQI196698 QAE196696:QAE196698 QKA196696:QKA196698 QTW196696:QTW196698 RDS196696:RDS196698 RNO196696:RNO196698 RXK196696:RXK196698 SHG196696:SHG196698 SRC196696:SRC196698 TAY196696:TAY196698 TKU196696:TKU196698 TUQ196696:TUQ196698 UEM196696:UEM196698 UOI196696:UOI196698 UYE196696:UYE196698 VIA196696:VIA196698 VRW196696:VRW196698 WBS196696:WBS196698 WLO196696:WLO196698 WVK196696:WVK196698 C262232:C262234 IY262232:IY262234 SU262232:SU262234 ACQ262232:ACQ262234 AMM262232:AMM262234 AWI262232:AWI262234 BGE262232:BGE262234 BQA262232:BQA262234 BZW262232:BZW262234 CJS262232:CJS262234 CTO262232:CTO262234 DDK262232:DDK262234 DNG262232:DNG262234 DXC262232:DXC262234 EGY262232:EGY262234 EQU262232:EQU262234 FAQ262232:FAQ262234 FKM262232:FKM262234 FUI262232:FUI262234 GEE262232:GEE262234 GOA262232:GOA262234 GXW262232:GXW262234 HHS262232:HHS262234 HRO262232:HRO262234 IBK262232:IBK262234 ILG262232:ILG262234 IVC262232:IVC262234 JEY262232:JEY262234 JOU262232:JOU262234 JYQ262232:JYQ262234 KIM262232:KIM262234 KSI262232:KSI262234 LCE262232:LCE262234 LMA262232:LMA262234 LVW262232:LVW262234 MFS262232:MFS262234 MPO262232:MPO262234 MZK262232:MZK262234 NJG262232:NJG262234 NTC262232:NTC262234 OCY262232:OCY262234 OMU262232:OMU262234 OWQ262232:OWQ262234 PGM262232:PGM262234 PQI262232:PQI262234 QAE262232:QAE262234 QKA262232:QKA262234 QTW262232:QTW262234 RDS262232:RDS262234 RNO262232:RNO262234 RXK262232:RXK262234 SHG262232:SHG262234 SRC262232:SRC262234 TAY262232:TAY262234 TKU262232:TKU262234 TUQ262232:TUQ262234 UEM262232:UEM262234 UOI262232:UOI262234 UYE262232:UYE262234 VIA262232:VIA262234 VRW262232:VRW262234 WBS262232:WBS262234 WLO262232:WLO262234 WVK262232:WVK262234 C327768:C327770 IY327768:IY327770 SU327768:SU327770 ACQ327768:ACQ327770 AMM327768:AMM327770 AWI327768:AWI327770 BGE327768:BGE327770 BQA327768:BQA327770 BZW327768:BZW327770 CJS327768:CJS327770 CTO327768:CTO327770 DDK327768:DDK327770 DNG327768:DNG327770 DXC327768:DXC327770 EGY327768:EGY327770 EQU327768:EQU327770 FAQ327768:FAQ327770 FKM327768:FKM327770 FUI327768:FUI327770 GEE327768:GEE327770 GOA327768:GOA327770 GXW327768:GXW327770 HHS327768:HHS327770 HRO327768:HRO327770 IBK327768:IBK327770 ILG327768:ILG327770 IVC327768:IVC327770 JEY327768:JEY327770 JOU327768:JOU327770 JYQ327768:JYQ327770 KIM327768:KIM327770 KSI327768:KSI327770 LCE327768:LCE327770 LMA327768:LMA327770 LVW327768:LVW327770 MFS327768:MFS327770 MPO327768:MPO327770 MZK327768:MZK327770 NJG327768:NJG327770 NTC327768:NTC327770 OCY327768:OCY327770 OMU327768:OMU327770 OWQ327768:OWQ327770 PGM327768:PGM327770 PQI327768:PQI327770 QAE327768:QAE327770 QKA327768:QKA327770 QTW327768:QTW327770 RDS327768:RDS327770 RNO327768:RNO327770 RXK327768:RXK327770 SHG327768:SHG327770 SRC327768:SRC327770 TAY327768:TAY327770 TKU327768:TKU327770 TUQ327768:TUQ327770 UEM327768:UEM327770 UOI327768:UOI327770 UYE327768:UYE327770 VIA327768:VIA327770 VRW327768:VRW327770 WBS327768:WBS327770 WLO327768:WLO327770 WVK327768:WVK327770 C393304:C393306 IY393304:IY393306 SU393304:SU393306 ACQ393304:ACQ393306 AMM393304:AMM393306 AWI393304:AWI393306 BGE393304:BGE393306 BQA393304:BQA393306 BZW393304:BZW393306 CJS393304:CJS393306 CTO393304:CTO393306 DDK393304:DDK393306 DNG393304:DNG393306 DXC393304:DXC393306 EGY393304:EGY393306 EQU393304:EQU393306 FAQ393304:FAQ393306 FKM393304:FKM393306 FUI393304:FUI393306 GEE393304:GEE393306 GOA393304:GOA393306 GXW393304:GXW393306 HHS393304:HHS393306 HRO393304:HRO393306 IBK393304:IBK393306 ILG393304:ILG393306 IVC393304:IVC393306 JEY393304:JEY393306 JOU393304:JOU393306 JYQ393304:JYQ393306 KIM393304:KIM393306 KSI393304:KSI393306 LCE393304:LCE393306 LMA393304:LMA393306 LVW393304:LVW393306 MFS393304:MFS393306 MPO393304:MPO393306 MZK393304:MZK393306 NJG393304:NJG393306 NTC393304:NTC393306 OCY393304:OCY393306 OMU393304:OMU393306 OWQ393304:OWQ393306 PGM393304:PGM393306 PQI393304:PQI393306 QAE393304:QAE393306 QKA393304:QKA393306 QTW393304:QTW393306 RDS393304:RDS393306 RNO393304:RNO393306 RXK393304:RXK393306 SHG393304:SHG393306 SRC393304:SRC393306 TAY393304:TAY393306 TKU393304:TKU393306 TUQ393304:TUQ393306 UEM393304:UEM393306 UOI393304:UOI393306 UYE393304:UYE393306 VIA393304:VIA393306 VRW393304:VRW393306 WBS393304:WBS393306 WLO393304:WLO393306 WVK393304:WVK393306 C458840:C458842 IY458840:IY458842 SU458840:SU458842 ACQ458840:ACQ458842 AMM458840:AMM458842 AWI458840:AWI458842 BGE458840:BGE458842 BQA458840:BQA458842 BZW458840:BZW458842 CJS458840:CJS458842 CTO458840:CTO458842 DDK458840:DDK458842 DNG458840:DNG458842 DXC458840:DXC458842 EGY458840:EGY458842 EQU458840:EQU458842 FAQ458840:FAQ458842 FKM458840:FKM458842 FUI458840:FUI458842 GEE458840:GEE458842 GOA458840:GOA458842 GXW458840:GXW458842 HHS458840:HHS458842 HRO458840:HRO458842 IBK458840:IBK458842 ILG458840:ILG458842 IVC458840:IVC458842 JEY458840:JEY458842 JOU458840:JOU458842 JYQ458840:JYQ458842 KIM458840:KIM458842 KSI458840:KSI458842 LCE458840:LCE458842 LMA458840:LMA458842 LVW458840:LVW458842 MFS458840:MFS458842 MPO458840:MPO458842 MZK458840:MZK458842 NJG458840:NJG458842 NTC458840:NTC458842 OCY458840:OCY458842 OMU458840:OMU458842 OWQ458840:OWQ458842 PGM458840:PGM458842 PQI458840:PQI458842 QAE458840:QAE458842 QKA458840:QKA458842 QTW458840:QTW458842 RDS458840:RDS458842 RNO458840:RNO458842 RXK458840:RXK458842 SHG458840:SHG458842 SRC458840:SRC458842 TAY458840:TAY458842 TKU458840:TKU458842 TUQ458840:TUQ458842 UEM458840:UEM458842 UOI458840:UOI458842 UYE458840:UYE458842 VIA458840:VIA458842 VRW458840:VRW458842 WBS458840:WBS458842 WLO458840:WLO458842 WVK458840:WVK458842 C524376:C524378 IY524376:IY524378 SU524376:SU524378 ACQ524376:ACQ524378 AMM524376:AMM524378 AWI524376:AWI524378 BGE524376:BGE524378 BQA524376:BQA524378 BZW524376:BZW524378 CJS524376:CJS524378 CTO524376:CTO524378 DDK524376:DDK524378 DNG524376:DNG524378 DXC524376:DXC524378 EGY524376:EGY524378 EQU524376:EQU524378 FAQ524376:FAQ524378 FKM524376:FKM524378 FUI524376:FUI524378 GEE524376:GEE524378 GOA524376:GOA524378 GXW524376:GXW524378 HHS524376:HHS524378 HRO524376:HRO524378 IBK524376:IBK524378 ILG524376:ILG524378 IVC524376:IVC524378 JEY524376:JEY524378 JOU524376:JOU524378 JYQ524376:JYQ524378 KIM524376:KIM524378 KSI524376:KSI524378 LCE524376:LCE524378 LMA524376:LMA524378 LVW524376:LVW524378 MFS524376:MFS524378 MPO524376:MPO524378 MZK524376:MZK524378 NJG524376:NJG524378 NTC524376:NTC524378 OCY524376:OCY524378 OMU524376:OMU524378 OWQ524376:OWQ524378 PGM524376:PGM524378 PQI524376:PQI524378 QAE524376:QAE524378 QKA524376:QKA524378 QTW524376:QTW524378 RDS524376:RDS524378 RNO524376:RNO524378 RXK524376:RXK524378 SHG524376:SHG524378 SRC524376:SRC524378 TAY524376:TAY524378 TKU524376:TKU524378 TUQ524376:TUQ524378 UEM524376:UEM524378 UOI524376:UOI524378 UYE524376:UYE524378 VIA524376:VIA524378 VRW524376:VRW524378 WBS524376:WBS524378 WLO524376:WLO524378 WVK524376:WVK524378 C589912:C589914 IY589912:IY589914 SU589912:SU589914 ACQ589912:ACQ589914 AMM589912:AMM589914 AWI589912:AWI589914 BGE589912:BGE589914 BQA589912:BQA589914 BZW589912:BZW589914 CJS589912:CJS589914 CTO589912:CTO589914 DDK589912:DDK589914 DNG589912:DNG589914 DXC589912:DXC589914 EGY589912:EGY589914 EQU589912:EQU589914 FAQ589912:FAQ589914 FKM589912:FKM589914 FUI589912:FUI589914 GEE589912:GEE589914 GOA589912:GOA589914 GXW589912:GXW589914 HHS589912:HHS589914 HRO589912:HRO589914 IBK589912:IBK589914 ILG589912:ILG589914 IVC589912:IVC589914 JEY589912:JEY589914 JOU589912:JOU589914 JYQ589912:JYQ589914 KIM589912:KIM589914 KSI589912:KSI589914 LCE589912:LCE589914 LMA589912:LMA589914 LVW589912:LVW589914 MFS589912:MFS589914 MPO589912:MPO589914 MZK589912:MZK589914 NJG589912:NJG589914 NTC589912:NTC589914 OCY589912:OCY589914 OMU589912:OMU589914 OWQ589912:OWQ589914 PGM589912:PGM589914 PQI589912:PQI589914 QAE589912:QAE589914 QKA589912:QKA589914 QTW589912:QTW589914 RDS589912:RDS589914 RNO589912:RNO589914 RXK589912:RXK589914 SHG589912:SHG589914 SRC589912:SRC589914 TAY589912:TAY589914 TKU589912:TKU589914 TUQ589912:TUQ589914 UEM589912:UEM589914 UOI589912:UOI589914 UYE589912:UYE589914 VIA589912:VIA589914 VRW589912:VRW589914 WBS589912:WBS589914 WLO589912:WLO589914 WVK589912:WVK589914 C655448:C655450 IY655448:IY655450 SU655448:SU655450 ACQ655448:ACQ655450 AMM655448:AMM655450 AWI655448:AWI655450 BGE655448:BGE655450 BQA655448:BQA655450 BZW655448:BZW655450 CJS655448:CJS655450 CTO655448:CTO655450 DDK655448:DDK655450 DNG655448:DNG655450 DXC655448:DXC655450 EGY655448:EGY655450 EQU655448:EQU655450 FAQ655448:FAQ655450 FKM655448:FKM655450 FUI655448:FUI655450 GEE655448:GEE655450 GOA655448:GOA655450 GXW655448:GXW655450 HHS655448:HHS655450 HRO655448:HRO655450 IBK655448:IBK655450 ILG655448:ILG655450 IVC655448:IVC655450 JEY655448:JEY655450 JOU655448:JOU655450 JYQ655448:JYQ655450 KIM655448:KIM655450 KSI655448:KSI655450 LCE655448:LCE655450 LMA655448:LMA655450 LVW655448:LVW655450 MFS655448:MFS655450 MPO655448:MPO655450 MZK655448:MZK655450 NJG655448:NJG655450 NTC655448:NTC655450 OCY655448:OCY655450 OMU655448:OMU655450 OWQ655448:OWQ655450 PGM655448:PGM655450 PQI655448:PQI655450 QAE655448:QAE655450 QKA655448:QKA655450 QTW655448:QTW655450 RDS655448:RDS655450 RNO655448:RNO655450 RXK655448:RXK655450 SHG655448:SHG655450 SRC655448:SRC655450 TAY655448:TAY655450 TKU655448:TKU655450 TUQ655448:TUQ655450 UEM655448:UEM655450 UOI655448:UOI655450 UYE655448:UYE655450 VIA655448:VIA655450 VRW655448:VRW655450 WBS655448:WBS655450 WLO655448:WLO655450 WVK655448:WVK655450 C720984:C720986 IY720984:IY720986 SU720984:SU720986 ACQ720984:ACQ720986 AMM720984:AMM720986 AWI720984:AWI720986 BGE720984:BGE720986 BQA720984:BQA720986 BZW720984:BZW720986 CJS720984:CJS720986 CTO720984:CTO720986 DDK720984:DDK720986 DNG720984:DNG720986 DXC720984:DXC720986 EGY720984:EGY720986 EQU720984:EQU720986 FAQ720984:FAQ720986 FKM720984:FKM720986 FUI720984:FUI720986 GEE720984:GEE720986 GOA720984:GOA720986 GXW720984:GXW720986 HHS720984:HHS720986 HRO720984:HRO720986 IBK720984:IBK720986 ILG720984:ILG720986 IVC720984:IVC720986 JEY720984:JEY720986 JOU720984:JOU720986 JYQ720984:JYQ720986 KIM720984:KIM720986 KSI720984:KSI720986 LCE720984:LCE720986 LMA720984:LMA720986 LVW720984:LVW720986 MFS720984:MFS720986 MPO720984:MPO720986 MZK720984:MZK720986 NJG720984:NJG720986 NTC720984:NTC720986 OCY720984:OCY720986 OMU720984:OMU720986 OWQ720984:OWQ720986 PGM720984:PGM720986 PQI720984:PQI720986 QAE720984:QAE720986 QKA720984:QKA720986 QTW720984:QTW720986 RDS720984:RDS720986 RNO720984:RNO720986 RXK720984:RXK720986 SHG720984:SHG720986 SRC720984:SRC720986 TAY720984:TAY720986 TKU720984:TKU720986 TUQ720984:TUQ720986 UEM720984:UEM720986 UOI720984:UOI720986 UYE720984:UYE720986 VIA720984:VIA720986 VRW720984:VRW720986 WBS720984:WBS720986 WLO720984:WLO720986 WVK720984:WVK720986 C786520:C786522 IY786520:IY786522 SU786520:SU786522 ACQ786520:ACQ786522 AMM786520:AMM786522 AWI786520:AWI786522 BGE786520:BGE786522 BQA786520:BQA786522 BZW786520:BZW786522 CJS786520:CJS786522 CTO786520:CTO786522 DDK786520:DDK786522 DNG786520:DNG786522 DXC786520:DXC786522 EGY786520:EGY786522 EQU786520:EQU786522 FAQ786520:FAQ786522 FKM786520:FKM786522 FUI786520:FUI786522 GEE786520:GEE786522 GOA786520:GOA786522 GXW786520:GXW786522 HHS786520:HHS786522 HRO786520:HRO786522 IBK786520:IBK786522 ILG786520:ILG786522 IVC786520:IVC786522 JEY786520:JEY786522 JOU786520:JOU786522 JYQ786520:JYQ786522 KIM786520:KIM786522 KSI786520:KSI786522 LCE786520:LCE786522 LMA786520:LMA786522 LVW786520:LVW786522 MFS786520:MFS786522 MPO786520:MPO786522 MZK786520:MZK786522 NJG786520:NJG786522 NTC786520:NTC786522 OCY786520:OCY786522 OMU786520:OMU786522 OWQ786520:OWQ786522 PGM786520:PGM786522 PQI786520:PQI786522 QAE786520:QAE786522 QKA786520:QKA786522 QTW786520:QTW786522 RDS786520:RDS786522 RNO786520:RNO786522 RXK786520:RXK786522 SHG786520:SHG786522 SRC786520:SRC786522 TAY786520:TAY786522 TKU786520:TKU786522 TUQ786520:TUQ786522 UEM786520:UEM786522 UOI786520:UOI786522 UYE786520:UYE786522 VIA786520:VIA786522 VRW786520:VRW786522 WBS786520:WBS786522 WLO786520:WLO786522 WVK786520:WVK786522 C852056:C852058 IY852056:IY852058 SU852056:SU852058 ACQ852056:ACQ852058 AMM852056:AMM852058 AWI852056:AWI852058 BGE852056:BGE852058 BQA852056:BQA852058 BZW852056:BZW852058 CJS852056:CJS852058 CTO852056:CTO852058 DDK852056:DDK852058 DNG852056:DNG852058 DXC852056:DXC852058 EGY852056:EGY852058 EQU852056:EQU852058 FAQ852056:FAQ852058 FKM852056:FKM852058 FUI852056:FUI852058 GEE852056:GEE852058 GOA852056:GOA852058 GXW852056:GXW852058 HHS852056:HHS852058 HRO852056:HRO852058 IBK852056:IBK852058 ILG852056:ILG852058 IVC852056:IVC852058 JEY852056:JEY852058 JOU852056:JOU852058 JYQ852056:JYQ852058 KIM852056:KIM852058 KSI852056:KSI852058 LCE852056:LCE852058 LMA852056:LMA852058 LVW852056:LVW852058 MFS852056:MFS852058 MPO852056:MPO852058 MZK852056:MZK852058 NJG852056:NJG852058 NTC852056:NTC852058 OCY852056:OCY852058 OMU852056:OMU852058 OWQ852056:OWQ852058 PGM852056:PGM852058 PQI852056:PQI852058 QAE852056:QAE852058 QKA852056:QKA852058 QTW852056:QTW852058 RDS852056:RDS852058 RNO852056:RNO852058 RXK852056:RXK852058 SHG852056:SHG852058 SRC852056:SRC852058 TAY852056:TAY852058 TKU852056:TKU852058 TUQ852056:TUQ852058 UEM852056:UEM852058 UOI852056:UOI852058 UYE852056:UYE852058 VIA852056:VIA852058 VRW852056:VRW852058 WBS852056:WBS852058 WLO852056:WLO852058 WVK852056:WVK852058 C917592:C917594 IY917592:IY917594 SU917592:SU917594 ACQ917592:ACQ917594 AMM917592:AMM917594 AWI917592:AWI917594 BGE917592:BGE917594 BQA917592:BQA917594 BZW917592:BZW917594 CJS917592:CJS917594 CTO917592:CTO917594 DDK917592:DDK917594 DNG917592:DNG917594 DXC917592:DXC917594 EGY917592:EGY917594 EQU917592:EQU917594 FAQ917592:FAQ917594 FKM917592:FKM917594 FUI917592:FUI917594 GEE917592:GEE917594 GOA917592:GOA917594 GXW917592:GXW917594 HHS917592:HHS917594 HRO917592:HRO917594 IBK917592:IBK917594 ILG917592:ILG917594 IVC917592:IVC917594 JEY917592:JEY917594 JOU917592:JOU917594 JYQ917592:JYQ917594 KIM917592:KIM917594 KSI917592:KSI917594 LCE917592:LCE917594 LMA917592:LMA917594 LVW917592:LVW917594 MFS917592:MFS917594 MPO917592:MPO917594 MZK917592:MZK917594 NJG917592:NJG917594 NTC917592:NTC917594 OCY917592:OCY917594 OMU917592:OMU917594 OWQ917592:OWQ917594 PGM917592:PGM917594 PQI917592:PQI917594 QAE917592:QAE917594 QKA917592:QKA917594 QTW917592:QTW917594 RDS917592:RDS917594 RNO917592:RNO917594 RXK917592:RXK917594 SHG917592:SHG917594 SRC917592:SRC917594 TAY917592:TAY917594 TKU917592:TKU917594 TUQ917592:TUQ917594 UEM917592:UEM917594 UOI917592:UOI917594 UYE917592:UYE917594 VIA917592:VIA917594 VRW917592:VRW917594 WBS917592:WBS917594 WLO917592:WLO917594 WVK917592:WVK917594 C983128:C983130 IY983128:IY983130 SU983128:SU983130 ACQ983128:ACQ983130 AMM983128:AMM983130 AWI983128:AWI983130 BGE983128:BGE983130 BQA983128:BQA983130 BZW983128:BZW983130 CJS983128:CJS983130 CTO983128:CTO983130 DDK983128:DDK983130 DNG983128:DNG983130 DXC983128:DXC983130 EGY983128:EGY983130 EQU983128:EQU983130 FAQ983128:FAQ983130 FKM983128:FKM983130 FUI983128:FUI983130 GEE983128:GEE983130 GOA983128:GOA983130 GXW983128:GXW983130 HHS983128:HHS983130 HRO983128:HRO983130 IBK983128:IBK983130 ILG983128:ILG983130 IVC983128:IVC983130 JEY983128:JEY983130 JOU983128:JOU983130 JYQ983128:JYQ983130 KIM983128:KIM983130 KSI983128:KSI983130 LCE983128:LCE983130 LMA983128:LMA983130 LVW983128:LVW983130 MFS983128:MFS983130 MPO983128:MPO983130 MZK983128:MZK983130 NJG983128:NJG983130 NTC983128:NTC983130 OCY983128:OCY983130 OMU983128:OMU983130 OWQ983128:OWQ983130 PGM983128:PGM983130 PQI983128:PQI983130 QAE983128:QAE983130 QKA983128:QKA983130 QTW983128:QTW983130 RDS983128:RDS983130 RNO983128:RNO983130 RXK983128:RXK983130 SHG983128:SHG983130 SRC983128:SRC983130 TAY983128:TAY983130 TKU983128:TKU983130 TUQ983128:TUQ983130 UEM983128:UEM983130 UOI983128:UOI983130 UYE983128:UYE983130 VIA983128:VIA983130 VRW983128:VRW983130 WBS983128:WBS983130 WLO983128:WLO983130 WVK983128:WVK983130 UYF983136 IY39:IZ48 SU39:SV48 ACQ39:ACR48 AMM39:AMN48 AWI39:AWJ48 BGE39:BGF48 BQA39:BQB48 BZW39:BZX48 CJS39:CJT48 CTO39:CTP48 DDK39:DDL48 DNG39:DNH48 DXC39:DXD48 EGY39:EGZ48 EQU39:EQV48 FAQ39:FAR48 FKM39:FKN48 FUI39:FUJ48 GEE39:GEF48 GOA39:GOB48 GXW39:GXX48 HHS39:HHT48 HRO39:HRP48 IBK39:IBL48 ILG39:ILH48 IVC39:IVD48 JEY39:JEZ48 JOU39:JOV48 JYQ39:JYR48 KIM39:KIN48 KSI39:KSJ48 LCE39:LCF48 LMA39:LMB48 LVW39:LVX48 MFS39:MFT48 MPO39:MPP48 MZK39:MZL48 NJG39:NJH48 NTC39:NTD48 OCY39:OCZ48 OMU39:OMV48 OWQ39:OWR48 PGM39:PGN48 PQI39:PQJ48 QAE39:QAF48 QKA39:QKB48 QTW39:QTX48 RDS39:RDT48 RNO39:RNP48 RXK39:RXL48 SHG39:SHH48 SRC39:SRD48 TAY39:TAZ48 TKU39:TKV48 TUQ39:TUR48 UEM39:UEN48 UOI39:UOJ48 UYE39:UYF48 VIA39:VIB48 VRW39:VRX48 WBS39:WBT48 WLO39:WLP48 WVK39:WVL48 C65577:D65586 IY65577:IZ65586 SU65577:SV65586 ACQ65577:ACR65586 AMM65577:AMN65586 AWI65577:AWJ65586 BGE65577:BGF65586 BQA65577:BQB65586 BZW65577:BZX65586 CJS65577:CJT65586 CTO65577:CTP65586 DDK65577:DDL65586 DNG65577:DNH65586 DXC65577:DXD65586 EGY65577:EGZ65586 EQU65577:EQV65586 FAQ65577:FAR65586 FKM65577:FKN65586 FUI65577:FUJ65586 GEE65577:GEF65586 GOA65577:GOB65586 GXW65577:GXX65586 HHS65577:HHT65586 HRO65577:HRP65586 IBK65577:IBL65586 ILG65577:ILH65586 IVC65577:IVD65586 JEY65577:JEZ65586 JOU65577:JOV65586 JYQ65577:JYR65586 KIM65577:KIN65586 KSI65577:KSJ65586 LCE65577:LCF65586 LMA65577:LMB65586 LVW65577:LVX65586 MFS65577:MFT65586 MPO65577:MPP65586 MZK65577:MZL65586 NJG65577:NJH65586 NTC65577:NTD65586 OCY65577:OCZ65586 OMU65577:OMV65586 OWQ65577:OWR65586 PGM65577:PGN65586 PQI65577:PQJ65586 QAE65577:QAF65586 QKA65577:QKB65586 QTW65577:QTX65586 RDS65577:RDT65586 RNO65577:RNP65586 RXK65577:RXL65586 SHG65577:SHH65586 SRC65577:SRD65586 TAY65577:TAZ65586 TKU65577:TKV65586 TUQ65577:TUR65586 UEM65577:UEN65586 UOI65577:UOJ65586 UYE65577:UYF65586 VIA65577:VIB65586 VRW65577:VRX65586 WBS65577:WBT65586 WLO65577:WLP65586 WVK65577:WVL65586 C131113:D131122 IY131113:IZ131122 SU131113:SV131122 ACQ131113:ACR131122 AMM131113:AMN131122 AWI131113:AWJ131122 BGE131113:BGF131122 BQA131113:BQB131122 BZW131113:BZX131122 CJS131113:CJT131122 CTO131113:CTP131122 DDK131113:DDL131122 DNG131113:DNH131122 DXC131113:DXD131122 EGY131113:EGZ131122 EQU131113:EQV131122 FAQ131113:FAR131122 FKM131113:FKN131122 FUI131113:FUJ131122 GEE131113:GEF131122 GOA131113:GOB131122 GXW131113:GXX131122 HHS131113:HHT131122 HRO131113:HRP131122 IBK131113:IBL131122 ILG131113:ILH131122 IVC131113:IVD131122 JEY131113:JEZ131122 JOU131113:JOV131122 JYQ131113:JYR131122 KIM131113:KIN131122 KSI131113:KSJ131122 LCE131113:LCF131122 LMA131113:LMB131122 LVW131113:LVX131122 MFS131113:MFT131122 MPO131113:MPP131122 MZK131113:MZL131122 NJG131113:NJH131122 NTC131113:NTD131122 OCY131113:OCZ131122 OMU131113:OMV131122 OWQ131113:OWR131122 PGM131113:PGN131122 PQI131113:PQJ131122 QAE131113:QAF131122 QKA131113:QKB131122 QTW131113:QTX131122 RDS131113:RDT131122 RNO131113:RNP131122 RXK131113:RXL131122 SHG131113:SHH131122 SRC131113:SRD131122 TAY131113:TAZ131122 TKU131113:TKV131122 TUQ131113:TUR131122 UEM131113:UEN131122 UOI131113:UOJ131122 UYE131113:UYF131122 VIA131113:VIB131122 VRW131113:VRX131122 WBS131113:WBT131122 WLO131113:WLP131122 WVK131113:WVL131122 C196649:D196658 IY196649:IZ196658 SU196649:SV196658 ACQ196649:ACR196658 AMM196649:AMN196658 AWI196649:AWJ196658 BGE196649:BGF196658 BQA196649:BQB196658 BZW196649:BZX196658 CJS196649:CJT196658 CTO196649:CTP196658 DDK196649:DDL196658 DNG196649:DNH196658 DXC196649:DXD196658 EGY196649:EGZ196658 EQU196649:EQV196658 FAQ196649:FAR196658 FKM196649:FKN196658 FUI196649:FUJ196658 GEE196649:GEF196658 GOA196649:GOB196658 GXW196649:GXX196658 HHS196649:HHT196658 HRO196649:HRP196658 IBK196649:IBL196658 ILG196649:ILH196658 IVC196649:IVD196658 JEY196649:JEZ196658 JOU196649:JOV196658 JYQ196649:JYR196658 KIM196649:KIN196658 KSI196649:KSJ196658 LCE196649:LCF196658 LMA196649:LMB196658 LVW196649:LVX196658 MFS196649:MFT196658 MPO196649:MPP196658 MZK196649:MZL196658 NJG196649:NJH196658 NTC196649:NTD196658 OCY196649:OCZ196658 OMU196649:OMV196658 OWQ196649:OWR196658 PGM196649:PGN196658 PQI196649:PQJ196658 QAE196649:QAF196658 QKA196649:QKB196658 QTW196649:QTX196658 RDS196649:RDT196658 RNO196649:RNP196658 RXK196649:RXL196658 SHG196649:SHH196658 SRC196649:SRD196658 TAY196649:TAZ196658 TKU196649:TKV196658 TUQ196649:TUR196658 UEM196649:UEN196658 UOI196649:UOJ196658 UYE196649:UYF196658 VIA196649:VIB196658 VRW196649:VRX196658 WBS196649:WBT196658 WLO196649:WLP196658 WVK196649:WVL196658 C262185:D262194 IY262185:IZ262194 SU262185:SV262194 ACQ262185:ACR262194 AMM262185:AMN262194 AWI262185:AWJ262194 BGE262185:BGF262194 BQA262185:BQB262194 BZW262185:BZX262194 CJS262185:CJT262194 CTO262185:CTP262194 DDK262185:DDL262194 DNG262185:DNH262194 DXC262185:DXD262194 EGY262185:EGZ262194 EQU262185:EQV262194 FAQ262185:FAR262194 FKM262185:FKN262194 FUI262185:FUJ262194 GEE262185:GEF262194 GOA262185:GOB262194 GXW262185:GXX262194 HHS262185:HHT262194 HRO262185:HRP262194 IBK262185:IBL262194 ILG262185:ILH262194 IVC262185:IVD262194 JEY262185:JEZ262194 JOU262185:JOV262194 JYQ262185:JYR262194 KIM262185:KIN262194 KSI262185:KSJ262194 LCE262185:LCF262194 LMA262185:LMB262194 LVW262185:LVX262194 MFS262185:MFT262194 MPO262185:MPP262194 MZK262185:MZL262194 NJG262185:NJH262194 NTC262185:NTD262194 OCY262185:OCZ262194 OMU262185:OMV262194 OWQ262185:OWR262194 PGM262185:PGN262194 PQI262185:PQJ262194 QAE262185:QAF262194 QKA262185:QKB262194 QTW262185:QTX262194 RDS262185:RDT262194 RNO262185:RNP262194 RXK262185:RXL262194 SHG262185:SHH262194 SRC262185:SRD262194 TAY262185:TAZ262194 TKU262185:TKV262194 TUQ262185:TUR262194 UEM262185:UEN262194 UOI262185:UOJ262194 UYE262185:UYF262194 VIA262185:VIB262194 VRW262185:VRX262194 WBS262185:WBT262194 WLO262185:WLP262194 WVK262185:WVL262194 C327721:D327730 IY327721:IZ327730 SU327721:SV327730 ACQ327721:ACR327730 AMM327721:AMN327730 AWI327721:AWJ327730 BGE327721:BGF327730 BQA327721:BQB327730 BZW327721:BZX327730 CJS327721:CJT327730 CTO327721:CTP327730 DDK327721:DDL327730 DNG327721:DNH327730 DXC327721:DXD327730 EGY327721:EGZ327730 EQU327721:EQV327730 FAQ327721:FAR327730 FKM327721:FKN327730 FUI327721:FUJ327730 GEE327721:GEF327730 GOA327721:GOB327730 GXW327721:GXX327730 HHS327721:HHT327730 HRO327721:HRP327730 IBK327721:IBL327730 ILG327721:ILH327730 IVC327721:IVD327730 JEY327721:JEZ327730 JOU327721:JOV327730 JYQ327721:JYR327730 KIM327721:KIN327730 KSI327721:KSJ327730 LCE327721:LCF327730 LMA327721:LMB327730 LVW327721:LVX327730 MFS327721:MFT327730 MPO327721:MPP327730 MZK327721:MZL327730 NJG327721:NJH327730 NTC327721:NTD327730 OCY327721:OCZ327730 OMU327721:OMV327730 OWQ327721:OWR327730 PGM327721:PGN327730 PQI327721:PQJ327730 QAE327721:QAF327730 QKA327721:QKB327730 QTW327721:QTX327730 RDS327721:RDT327730 RNO327721:RNP327730 RXK327721:RXL327730 SHG327721:SHH327730 SRC327721:SRD327730 TAY327721:TAZ327730 TKU327721:TKV327730 TUQ327721:TUR327730 UEM327721:UEN327730 UOI327721:UOJ327730 UYE327721:UYF327730 VIA327721:VIB327730 VRW327721:VRX327730 WBS327721:WBT327730 WLO327721:WLP327730 WVK327721:WVL327730 C393257:D393266 IY393257:IZ393266 SU393257:SV393266 ACQ393257:ACR393266 AMM393257:AMN393266 AWI393257:AWJ393266 BGE393257:BGF393266 BQA393257:BQB393266 BZW393257:BZX393266 CJS393257:CJT393266 CTO393257:CTP393266 DDK393257:DDL393266 DNG393257:DNH393266 DXC393257:DXD393266 EGY393257:EGZ393266 EQU393257:EQV393266 FAQ393257:FAR393266 FKM393257:FKN393266 FUI393257:FUJ393266 GEE393257:GEF393266 GOA393257:GOB393266 GXW393257:GXX393266 HHS393257:HHT393266 HRO393257:HRP393266 IBK393257:IBL393266 ILG393257:ILH393266 IVC393257:IVD393266 JEY393257:JEZ393266 JOU393257:JOV393266 JYQ393257:JYR393266 KIM393257:KIN393266 KSI393257:KSJ393266 LCE393257:LCF393266 LMA393257:LMB393266 LVW393257:LVX393266 MFS393257:MFT393266 MPO393257:MPP393266 MZK393257:MZL393266 NJG393257:NJH393266 NTC393257:NTD393266 OCY393257:OCZ393266 OMU393257:OMV393266 OWQ393257:OWR393266 PGM393257:PGN393266 PQI393257:PQJ393266 QAE393257:QAF393266 QKA393257:QKB393266 QTW393257:QTX393266 RDS393257:RDT393266 RNO393257:RNP393266 RXK393257:RXL393266 SHG393257:SHH393266 SRC393257:SRD393266 TAY393257:TAZ393266 TKU393257:TKV393266 TUQ393257:TUR393266 UEM393257:UEN393266 UOI393257:UOJ393266 UYE393257:UYF393266 VIA393257:VIB393266 VRW393257:VRX393266 WBS393257:WBT393266 WLO393257:WLP393266 WVK393257:WVL393266 C458793:D458802 IY458793:IZ458802 SU458793:SV458802 ACQ458793:ACR458802 AMM458793:AMN458802 AWI458793:AWJ458802 BGE458793:BGF458802 BQA458793:BQB458802 BZW458793:BZX458802 CJS458793:CJT458802 CTO458793:CTP458802 DDK458793:DDL458802 DNG458793:DNH458802 DXC458793:DXD458802 EGY458793:EGZ458802 EQU458793:EQV458802 FAQ458793:FAR458802 FKM458793:FKN458802 FUI458793:FUJ458802 GEE458793:GEF458802 GOA458793:GOB458802 GXW458793:GXX458802 HHS458793:HHT458802 HRO458793:HRP458802 IBK458793:IBL458802 ILG458793:ILH458802 IVC458793:IVD458802 JEY458793:JEZ458802 JOU458793:JOV458802 JYQ458793:JYR458802 KIM458793:KIN458802 KSI458793:KSJ458802 LCE458793:LCF458802 LMA458793:LMB458802 LVW458793:LVX458802 MFS458793:MFT458802 MPO458793:MPP458802 MZK458793:MZL458802 NJG458793:NJH458802 NTC458793:NTD458802 OCY458793:OCZ458802 OMU458793:OMV458802 OWQ458793:OWR458802 PGM458793:PGN458802 PQI458793:PQJ458802 QAE458793:QAF458802 QKA458793:QKB458802 QTW458793:QTX458802 RDS458793:RDT458802 RNO458793:RNP458802 RXK458793:RXL458802 SHG458793:SHH458802 SRC458793:SRD458802 TAY458793:TAZ458802 TKU458793:TKV458802 TUQ458793:TUR458802 UEM458793:UEN458802 UOI458793:UOJ458802 UYE458793:UYF458802 VIA458793:VIB458802 VRW458793:VRX458802 WBS458793:WBT458802 WLO458793:WLP458802 WVK458793:WVL458802 C524329:D524338 IY524329:IZ524338 SU524329:SV524338 ACQ524329:ACR524338 AMM524329:AMN524338 AWI524329:AWJ524338 BGE524329:BGF524338 BQA524329:BQB524338 BZW524329:BZX524338 CJS524329:CJT524338 CTO524329:CTP524338 DDK524329:DDL524338 DNG524329:DNH524338 DXC524329:DXD524338 EGY524329:EGZ524338 EQU524329:EQV524338 FAQ524329:FAR524338 FKM524329:FKN524338 FUI524329:FUJ524338 GEE524329:GEF524338 GOA524329:GOB524338 GXW524329:GXX524338 HHS524329:HHT524338 HRO524329:HRP524338 IBK524329:IBL524338 ILG524329:ILH524338 IVC524329:IVD524338 JEY524329:JEZ524338 JOU524329:JOV524338 JYQ524329:JYR524338 KIM524329:KIN524338 KSI524329:KSJ524338 LCE524329:LCF524338 LMA524329:LMB524338 LVW524329:LVX524338 MFS524329:MFT524338 MPO524329:MPP524338 MZK524329:MZL524338 NJG524329:NJH524338 NTC524329:NTD524338 OCY524329:OCZ524338 OMU524329:OMV524338 OWQ524329:OWR524338 PGM524329:PGN524338 PQI524329:PQJ524338 QAE524329:QAF524338 QKA524329:QKB524338 QTW524329:QTX524338 RDS524329:RDT524338 RNO524329:RNP524338 RXK524329:RXL524338 SHG524329:SHH524338 SRC524329:SRD524338 TAY524329:TAZ524338 TKU524329:TKV524338 TUQ524329:TUR524338 UEM524329:UEN524338 UOI524329:UOJ524338 UYE524329:UYF524338 VIA524329:VIB524338 VRW524329:VRX524338 WBS524329:WBT524338 WLO524329:WLP524338 WVK524329:WVL524338 C589865:D589874 IY589865:IZ589874 SU589865:SV589874 ACQ589865:ACR589874 AMM589865:AMN589874 AWI589865:AWJ589874 BGE589865:BGF589874 BQA589865:BQB589874 BZW589865:BZX589874 CJS589865:CJT589874 CTO589865:CTP589874 DDK589865:DDL589874 DNG589865:DNH589874 DXC589865:DXD589874 EGY589865:EGZ589874 EQU589865:EQV589874 FAQ589865:FAR589874 FKM589865:FKN589874 FUI589865:FUJ589874 GEE589865:GEF589874 GOA589865:GOB589874 GXW589865:GXX589874 HHS589865:HHT589874 HRO589865:HRP589874 IBK589865:IBL589874 ILG589865:ILH589874 IVC589865:IVD589874 JEY589865:JEZ589874 JOU589865:JOV589874 JYQ589865:JYR589874 KIM589865:KIN589874 KSI589865:KSJ589874 LCE589865:LCF589874 LMA589865:LMB589874 LVW589865:LVX589874 MFS589865:MFT589874 MPO589865:MPP589874 MZK589865:MZL589874 NJG589865:NJH589874 NTC589865:NTD589874 OCY589865:OCZ589874 OMU589865:OMV589874 OWQ589865:OWR589874 PGM589865:PGN589874 PQI589865:PQJ589874 QAE589865:QAF589874 QKA589865:QKB589874 QTW589865:QTX589874 RDS589865:RDT589874 RNO589865:RNP589874 RXK589865:RXL589874 SHG589865:SHH589874 SRC589865:SRD589874 TAY589865:TAZ589874 TKU589865:TKV589874 TUQ589865:TUR589874 UEM589865:UEN589874 UOI589865:UOJ589874 UYE589865:UYF589874 VIA589865:VIB589874 VRW589865:VRX589874 WBS589865:WBT589874 WLO589865:WLP589874 WVK589865:WVL589874 C655401:D655410 IY655401:IZ655410 SU655401:SV655410 ACQ655401:ACR655410 AMM655401:AMN655410 AWI655401:AWJ655410 BGE655401:BGF655410 BQA655401:BQB655410 BZW655401:BZX655410 CJS655401:CJT655410 CTO655401:CTP655410 DDK655401:DDL655410 DNG655401:DNH655410 DXC655401:DXD655410 EGY655401:EGZ655410 EQU655401:EQV655410 FAQ655401:FAR655410 FKM655401:FKN655410 FUI655401:FUJ655410 GEE655401:GEF655410 GOA655401:GOB655410 GXW655401:GXX655410 HHS655401:HHT655410 HRO655401:HRP655410 IBK655401:IBL655410 ILG655401:ILH655410 IVC655401:IVD655410 JEY655401:JEZ655410 JOU655401:JOV655410 JYQ655401:JYR655410 KIM655401:KIN655410 KSI655401:KSJ655410 LCE655401:LCF655410 LMA655401:LMB655410 LVW655401:LVX655410 MFS655401:MFT655410 MPO655401:MPP655410 MZK655401:MZL655410 NJG655401:NJH655410 NTC655401:NTD655410 OCY655401:OCZ655410 OMU655401:OMV655410 OWQ655401:OWR655410 PGM655401:PGN655410 PQI655401:PQJ655410 QAE655401:QAF655410 QKA655401:QKB655410 QTW655401:QTX655410 RDS655401:RDT655410 RNO655401:RNP655410 RXK655401:RXL655410 SHG655401:SHH655410 SRC655401:SRD655410 TAY655401:TAZ655410 TKU655401:TKV655410 TUQ655401:TUR655410 UEM655401:UEN655410 UOI655401:UOJ655410 UYE655401:UYF655410 VIA655401:VIB655410 VRW655401:VRX655410 WBS655401:WBT655410 WLO655401:WLP655410 WVK655401:WVL655410 C720937:D720946 IY720937:IZ720946 SU720937:SV720946 ACQ720937:ACR720946 AMM720937:AMN720946 AWI720937:AWJ720946 BGE720937:BGF720946 BQA720937:BQB720946 BZW720937:BZX720946 CJS720937:CJT720946 CTO720937:CTP720946 DDK720937:DDL720946 DNG720937:DNH720946 DXC720937:DXD720946 EGY720937:EGZ720946 EQU720937:EQV720946 FAQ720937:FAR720946 FKM720937:FKN720946 FUI720937:FUJ720946 GEE720937:GEF720946 GOA720937:GOB720946 GXW720937:GXX720946 HHS720937:HHT720946 HRO720937:HRP720946 IBK720937:IBL720946 ILG720937:ILH720946 IVC720937:IVD720946 JEY720937:JEZ720946 JOU720937:JOV720946 JYQ720937:JYR720946 KIM720937:KIN720946 KSI720937:KSJ720946 LCE720937:LCF720946 LMA720937:LMB720946 LVW720937:LVX720946 MFS720937:MFT720946 MPO720937:MPP720946 MZK720937:MZL720946 NJG720937:NJH720946 NTC720937:NTD720946 OCY720937:OCZ720946 OMU720937:OMV720946 OWQ720937:OWR720946 PGM720937:PGN720946 PQI720937:PQJ720946 QAE720937:QAF720946 QKA720937:QKB720946 QTW720937:QTX720946 RDS720937:RDT720946 RNO720937:RNP720946 RXK720937:RXL720946 SHG720937:SHH720946 SRC720937:SRD720946 TAY720937:TAZ720946 TKU720937:TKV720946 TUQ720937:TUR720946 UEM720937:UEN720946 UOI720937:UOJ720946 UYE720937:UYF720946 VIA720937:VIB720946 VRW720937:VRX720946 WBS720937:WBT720946 WLO720937:WLP720946 WVK720937:WVL720946 C786473:D786482 IY786473:IZ786482 SU786473:SV786482 ACQ786473:ACR786482 AMM786473:AMN786482 AWI786473:AWJ786482 BGE786473:BGF786482 BQA786473:BQB786482 BZW786473:BZX786482 CJS786473:CJT786482 CTO786473:CTP786482 DDK786473:DDL786482 DNG786473:DNH786482 DXC786473:DXD786482 EGY786473:EGZ786482 EQU786473:EQV786482 FAQ786473:FAR786482 FKM786473:FKN786482 FUI786473:FUJ786482 GEE786473:GEF786482 GOA786473:GOB786482 GXW786473:GXX786482 HHS786473:HHT786482 HRO786473:HRP786482 IBK786473:IBL786482 ILG786473:ILH786482 IVC786473:IVD786482 JEY786473:JEZ786482 JOU786473:JOV786482 JYQ786473:JYR786482 KIM786473:KIN786482 KSI786473:KSJ786482 LCE786473:LCF786482 LMA786473:LMB786482 LVW786473:LVX786482 MFS786473:MFT786482 MPO786473:MPP786482 MZK786473:MZL786482 NJG786473:NJH786482 NTC786473:NTD786482 OCY786473:OCZ786482 OMU786473:OMV786482 OWQ786473:OWR786482 PGM786473:PGN786482 PQI786473:PQJ786482 QAE786473:QAF786482 QKA786473:QKB786482 QTW786473:QTX786482 RDS786473:RDT786482 RNO786473:RNP786482 RXK786473:RXL786482 SHG786473:SHH786482 SRC786473:SRD786482 TAY786473:TAZ786482 TKU786473:TKV786482 TUQ786473:TUR786482 UEM786473:UEN786482 UOI786473:UOJ786482 UYE786473:UYF786482 VIA786473:VIB786482 VRW786473:VRX786482 WBS786473:WBT786482 WLO786473:WLP786482 WVK786473:WVL786482 C852009:D852018 IY852009:IZ852018 SU852009:SV852018 ACQ852009:ACR852018 AMM852009:AMN852018 AWI852009:AWJ852018 BGE852009:BGF852018 BQA852009:BQB852018 BZW852009:BZX852018 CJS852009:CJT852018 CTO852009:CTP852018 DDK852009:DDL852018 DNG852009:DNH852018 DXC852009:DXD852018 EGY852009:EGZ852018 EQU852009:EQV852018 FAQ852009:FAR852018 FKM852009:FKN852018 FUI852009:FUJ852018 GEE852009:GEF852018 GOA852009:GOB852018 GXW852009:GXX852018 HHS852009:HHT852018 HRO852009:HRP852018 IBK852009:IBL852018 ILG852009:ILH852018 IVC852009:IVD852018 JEY852009:JEZ852018 JOU852009:JOV852018 JYQ852009:JYR852018 KIM852009:KIN852018 KSI852009:KSJ852018 LCE852009:LCF852018 LMA852009:LMB852018 LVW852009:LVX852018 MFS852009:MFT852018 MPO852009:MPP852018 MZK852009:MZL852018 NJG852009:NJH852018 NTC852009:NTD852018 OCY852009:OCZ852018 OMU852009:OMV852018 OWQ852009:OWR852018 PGM852009:PGN852018 PQI852009:PQJ852018 QAE852009:QAF852018 QKA852009:QKB852018 QTW852009:QTX852018 RDS852009:RDT852018 RNO852009:RNP852018 RXK852009:RXL852018 SHG852009:SHH852018 SRC852009:SRD852018 TAY852009:TAZ852018 TKU852009:TKV852018 TUQ852009:TUR852018 UEM852009:UEN852018 UOI852009:UOJ852018 UYE852009:UYF852018 VIA852009:VIB852018 VRW852009:VRX852018 WBS852009:WBT852018 WLO852009:WLP852018 WVK852009:WVL852018 C917545:D917554 IY917545:IZ917554 SU917545:SV917554 ACQ917545:ACR917554 AMM917545:AMN917554 AWI917545:AWJ917554 BGE917545:BGF917554 BQA917545:BQB917554 BZW917545:BZX917554 CJS917545:CJT917554 CTO917545:CTP917554 DDK917545:DDL917554 DNG917545:DNH917554 DXC917545:DXD917554 EGY917545:EGZ917554 EQU917545:EQV917554 FAQ917545:FAR917554 FKM917545:FKN917554 FUI917545:FUJ917554 GEE917545:GEF917554 GOA917545:GOB917554 GXW917545:GXX917554 HHS917545:HHT917554 HRO917545:HRP917554 IBK917545:IBL917554 ILG917545:ILH917554 IVC917545:IVD917554 JEY917545:JEZ917554 JOU917545:JOV917554 JYQ917545:JYR917554 KIM917545:KIN917554 KSI917545:KSJ917554 LCE917545:LCF917554 LMA917545:LMB917554 LVW917545:LVX917554 MFS917545:MFT917554 MPO917545:MPP917554 MZK917545:MZL917554 NJG917545:NJH917554 NTC917545:NTD917554 OCY917545:OCZ917554 OMU917545:OMV917554 OWQ917545:OWR917554 PGM917545:PGN917554 PQI917545:PQJ917554 QAE917545:QAF917554 QKA917545:QKB917554 QTW917545:QTX917554 RDS917545:RDT917554 RNO917545:RNP917554 RXK917545:RXL917554 SHG917545:SHH917554 SRC917545:SRD917554 TAY917545:TAZ917554 TKU917545:TKV917554 TUQ917545:TUR917554 UEM917545:UEN917554 UOI917545:UOJ917554 UYE917545:UYF917554 VIA917545:VIB917554 VRW917545:VRX917554 WBS917545:WBT917554 WLO917545:WLP917554 WVK917545:WVL917554 C983081:D983090 IY983081:IZ983090 SU983081:SV983090 ACQ983081:ACR983090 AMM983081:AMN983090 AWI983081:AWJ983090 BGE983081:BGF983090 BQA983081:BQB983090 BZW983081:BZX983090 CJS983081:CJT983090 CTO983081:CTP983090 DDK983081:DDL983090 DNG983081:DNH983090 DXC983081:DXD983090 EGY983081:EGZ983090 EQU983081:EQV983090 FAQ983081:FAR983090 FKM983081:FKN983090 FUI983081:FUJ983090 GEE983081:GEF983090 GOA983081:GOB983090 GXW983081:GXX983090 HHS983081:HHT983090 HRO983081:HRP983090 IBK983081:IBL983090 ILG983081:ILH983090 IVC983081:IVD983090 JEY983081:JEZ983090 JOU983081:JOV983090 JYQ983081:JYR983090 KIM983081:KIN983090 KSI983081:KSJ983090 LCE983081:LCF983090 LMA983081:LMB983090 LVW983081:LVX983090 MFS983081:MFT983090 MPO983081:MPP983090 MZK983081:MZL983090 NJG983081:NJH983090 NTC983081:NTD983090 OCY983081:OCZ983090 OMU983081:OMV983090 OWQ983081:OWR983090 PGM983081:PGN983090 PQI983081:PQJ983090 QAE983081:QAF983090 QKA983081:QKB983090 QTW983081:QTX983090 RDS983081:RDT983090 RNO983081:RNP983090 RXK983081:RXL983090 SHG983081:SHH983090 SRC983081:SRD983090 TAY983081:TAZ983090 TKU983081:TKV983090 TUQ983081:TUR983090 UEM983081:UEN983090 UOI983081:UOJ983090 UYE983081:UYF983090 VIA983081:VIB983090 VRW983081:VRX983090 WBS983081:WBT983090 WLO983081:WLP983090 WVK983081:WVL983090 UOJ983136 IY92:IY94 SU92:SU94 ACQ92:ACQ94 AMM92:AMM94 AWI92:AWI94 BGE92:BGE94 BQA92:BQA94 BZW92:BZW94 CJS92:CJS94 CTO92:CTO94 DDK92:DDK94 DNG92:DNG94 DXC92:DXC94 EGY92:EGY94 EQU92:EQU94 FAQ92:FAQ94 FKM92:FKM94 FUI92:FUI94 GEE92:GEE94 GOA92:GOA94 GXW92:GXW94 HHS92:HHS94 HRO92:HRO94 IBK92:IBK94 ILG92:ILG94 IVC92:IVC94 JEY92:JEY94 JOU92:JOU94 JYQ92:JYQ94 KIM92:KIM94 KSI92:KSI94 LCE92:LCE94 LMA92:LMA94 LVW92:LVW94 MFS92:MFS94 MPO92:MPO94 MZK92:MZK94 NJG92:NJG94 NTC92:NTC94 OCY92:OCY94 OMU92:OMU94 OWQ92:OWQ94 PGM92:PGM94 PQI92:PQI94 QAE92:QAE94 QKA92:QKA94 QTW92:QTW94 RDS92:RDS94 RNO92:RNO94 RXK92:RXK94 SHG92:SHG94 SRC92:SRC94 TAY92:TAY94 TKU92:TKU94 TUQ92:TUQ94 UEM92:UEM94 UOI92:UOI94 UYE92:UYE94 VIA92:VIA94 VRW92:VRW94 WBS92:WBS94 WLO92:WLO94 WVK92:WVK94 C65628:C65630 IY65628:IY65630 SU65628:SU65630 ACQ65628:ACQ65630 AMM65628:AMM65630 AWI65628:AWI65630 BGE65628:BGE65630 BQA65628:BQA65630 BZW65628:BZW65630 CJS65628:CJS65630 CTO65628:CTO65630 DDK65628:DDK65630 DNG65628:DNG65630 DXC65628:DXC65630 EGY65628:EGY65630 EQU65628:EQU65630 FAQ65628:FAQ65630 FKM65628:FKM65630 FUI65628:FUI65630 GEE65628:GEE65630 GOA65628:GOA65630 GXW65628:GXW65630 HHS65628:HHS65630 HRO65628:HRO65630 IBK65628:IBK65630 ILG65628:ILG65630 IVC65628:IVC65630 JEY65628:JEY65630 JOU65628:JOU65630 JYQ65628:JYQ65630 KIM65628:KIM65630 KSI65628:KSI65630 LCE65628:LCE65630 LMA65628:LMA65630 LVW65628:LVW65630 MFS65628:MFS65630 MPO65628:MPO65630 MZK65628:MZK65630 NJG65628:NJG65630 NTC65628:NTC65630 OCY65628:OCY65630 OMU65628:OMU65630 OWQ65628:OWQ65630 PGM65628:PGM65630 PQI65628:PQI65630 QAE65628:QAE65630 QKA65628:QKA65630 QTW65628:QTW65630 RDS65628:RDS65630 RNO65628:RNO65630 RXK65628:RXK65630 SHG65628:SHG65630 SRC65628:SRC65630 TAY65628:TAY65630 TKU65628:TKU65630 TUQ65628:TUQ65630 UEM65628:UEM65630 UOI65628:UOI65630 UYE65628:UYE65630 VIA65628:VIA65630 VRW65628:VRW65630 WBS65628:WBS65630 WLO65628:WLO65630 WVK65628:WVK65630 C131164:C131166 IY131164:IY131166 SU131164:SU131166 ACQ131164:ACQ131166 AMM131164:AMM131166 AWI131164:AWI131166 BGE131164:BGE131166 BQA131164:BQA131166 BZW131164:BZW131166 CJS131164:CJS131166 CTO131164:CTO131166 DDK131164:DDK131166 DNG131164:DNG131166 DXC131164:DXC131166 EGY131164:EGY131166 EQU131164:EQU131166 FAQ131164:FAQ131166 FKM131164:FKM131166 FUI131164:FUI131166 GEE131164:GEE131166 GOA131164:GOA131166 GXW131164:GXW131166 HHS131164:HHS131166 HRO131164:HRO131166 IBK131164:IBK131166 ILG131164:ILG131166 IVC131164:IVC131166 JEY131164:JEY131166 JOU131164:JOU131166 JYQ131164:JYQ131166 KIM131164:KIM131166 KSI131164:KSI131166 LCE131164:LCE131166 LMA131164:LMA131166 LVW131164:LVW131166 MFS131164:MFS131166 MPO131164:MPO131166 MZK131164:MZK131166 NJG131164:NJG131166 NTC131164:NTC131166 OCY131164:OCY131166 OMU131164:OMU131166 OWQ131164:OWQ131166 PGM131164:PGM131166 PQI131164:PQI131166 QAE131164:QAE131166 QKA131164:QKA131166 QTW131164:QTW131166 RDS131164:RDS131166 RNO131164:RNO131166 RXK131164:RXK131166 SHG131164:SHG131166 SRC131164:SRC131166 TAY131164:TAY131166 TKU131164:TKU131166 TUQ131164:TUQ131166 UEM131164:UEM131166 UOI131164:UOI131166 UYE131164:UYE131166 VIA131164:VIA131166 VRW131164:VRW131166 WBS131164:WBS131166 WLO131164:WLO131166 WVK131164:WVK131166 C196700:C196702 IY196700:IY196702 SU196700:SU196702 ACQ196700:ACQ196702 AMM196700:AMM196702 AWI196700:AWI196702 BGE196700:BGE196702 BQA196700:BQA196702 BZW196700:BZW196702 CJS196700:CJS196702 CTO196700:CTO196702 DDK196700:DDK196702 DNG196700:DNG196702 DXC196700:DXC196702 EGY196700:EGY196702 EQU196700:EQU196702 FAQ196700:FAQ196702 FKM196700:FKM196702 FUI196700:FUI196702 GEE196700:GEE196702 GOA196700:GOA196702 GXW196700:GXW196702 HHS196700:HHS196702 HRO196700:HRO196702 IBK196700:IBK196702 ILG196700:ILG196702 IVC196700:IVC196702 JEY196700:JEY196702 JOU196700:JOU196702 JYQ196700:JYQ196702 KIM196700:KIM196702 KSI196700:KSI196702 LCE196700:LCE196702 LMA196700:LMA196702 LVW196700:LVW196702 MFS196700:MFS196702 MPO196700:MPO196702 MZK196700:MZK196702 NJG196700:NJG196702 NTC196700:NTC196702 OCY196700:OCY196702 OMU196700:OMU196702 OWQ196700:OWQ196702 PGM196700:PGM196702 PQI196700:PQI196702 QAE196700:QAE196702 QKA196700:QKA196702 QTW196700:QTW196702 RDS196700:RDS196702 RNO196700:RNO196702 RXK196700:RXK196702 SHG196700:SHG196702 SRC196700:SRC196702 TAY196700:TAY196702 TKU196700:TKU196702 TUQ196700:TUQ196702 UEM196700:UEM196702 UOI196700:UOI196702 UYE196700:UYE196702 VIA196700:VIA196702 VRW196700:VRW196702 WBS196700:WBS196702 WLO196700:WLO196702 WVK196700:WVK196702 C262236:C262238 IY262236:IY262238 SU262236:SU262238 ACQ262236:ACQ262238 AMM262236:AMM262238 AWI262236:AWI262238 BGE262236:BGE262238 BQA262236:BQA262238 BZW262236:BZW262238 CJS262236:CJS262238 CTO262236:CTO262238 DDK262236:DDK262238 DNG262236:DNG262238 DXC262236:DXC262238 EGY262236:EGY262238 EQU262236:EQU262238 FAQ262236:FAQ262238 FKM262236:FKM262238 FUI262236:FUI262238 GEE262236:GEE262238 GOA262236:GOA262238 GXW262236:GXW262238 HHS262236:HHS262238 HRO262236:HRO262238 IBK262236:IBK262238 ILG262236:ILG262238 IVC262236:IVC262238 JEY262236:JEY262238 JOU262236:JOU262238 JYQ262236:JYQ262238 KIM262236:KIM262238 KSI262236:KSI262238 LCE262236:LCE262238 LMA262236:LMA262238 LVW262236:LVW262238 MFS262236:MFS262238 MPO262236:MPO262238 MZK262236:MZK262238 NJG262236:NJG262238 NTC262236:NTC262238 OCY262236:OCY262238 OMU262236:OMU262238 OWQ262236:OWQ262238 PGM262236:PGM262238 PQI262236:PQI262238 QAE262236:QAE262238 QKA262236:QKA262238 QTW262236:QTW262238 RDS262236:RDS262238 RNO262236:RNO262238 RXK262236:RXK262238 SHG262236:SHG262238 SRC262236:SRC262238 TAY262236:TAY262238 TKU262236:TKU262238 TUQ262236:TUQ262238 UEM262236:UEM262238 UOI262236:UOI262238 UYE262236:UYE262238 VIA262236:VIA262238 VRW262236:VRW262238 WBS262236:WBS262238 WLO262236:WLO262238 WVK262236:WVK262238 C327772:C327774 IY327772:IY327774 SU327772:SU327774 ACQ327772:ACQ327774 AMM327772:AMM327774 AWI327772:AWI327774 BGE327772:BGE327774 BQA327772:BQA327774 BZW327772:BZW327774 CJS327772:CJS327774 CTO327772:CTO327774 DDK327772:DDK327774 DNG327772:DNG327774 DXC327772:DXC327774 EGY327772:EGY327774 EQU327772:EQU327774 FAQ327772:FAQ327774 FKM327772:FKM327774 FUI327772:FUI327774 GEE327772:GEE327774 GOA327772:GOA327774 GXW327772:GXW327774 HHS327772:HHS327774 HRO327772:HRO327774 IBK327772:IBK327774 ILG327772:ILG327774 IVC327772:IVC327774 JEY327772:JEY327774 JOU327772:JOU327774 JYQ327772:JYQ327774 KIM327772:KIM327774 KSI327772:KSI327774 LCE327772:LCE327774 LMA327772:LMA327774 LVW327772:LVW327774 MFS327772:MFS327774 MPO327772:MPO327774 MZK327772:MZK327774 NJG327772:NJG327774 NTC327772:NTC327774 OCY327772:OCY327774 OMU327772:OMU327774 OWQ327772:OWQ327774 PGM327772:PGM327774 PQI327772:PQI327774 QAE327772:QAE327774 QKA327772:QKA327774 QTW327772:QTW327774 RDS327772:RDS327774 RNO327772:RNO327774 RXK327772:RXK327774 SHG327772:SHG327774 SRC327772:SRC327774 TAY327772:TAY327774 TKU327772:TKU327774 TUQ327772:TUQ327774 UEM327772:UEM327774 UOI327772:UOI327774 UYE327772:UYE327774 VIA327772:VIA327774 VRW327772:VRW327774 WBS327772:WBS327774 WLO327772:WLO327774 WVK327772:WVK327774 C393308:C393310 IY393308:IY393310 SU393308:SU393310 ACQ393308:ACQ393310 AMM393308:AMM393310 AWI393308:AWI393310 BGE393308:BGE393310 BQA393308:BQA393310 BZW393308:BZW393310 CJS393308:CJS393310 CTO393308:CTO393310 DDK393308:DDK393310 DNG393308:DNG393310 DXC393308:DXC393310 EGY393308:EGY393310 EQU393308:EQU393310 FAQ393308:FAQ393310 FKM393308:FKM393310 FUI393308:FUI393310 GEE393308:GEE393310 GOA393308:GOA393310 GXW393308:GXW393310 HHS393308:HHS393310 HRO393308:HRO393310 IBK393308:IBK393310 ILG393308:ILG393310 IVC393308:IVC393310 JEY393308:JEY393310 JOU393308:JOU393310 JYQ393308:JYQ393310 KIM393308:KIM393310 KSI393308:KSI393310 LCE393308:LCE393310 LMA393308:LMA393310 LVW393308:LVW393310 MFS393308:MFS393310 MPO393308:MPO393310 MZK393308:MZK393310 NJG393308:NJG393310 NTC393308:NTC393310 OCY393308:OCY393310 OMU393308:OMU393310 OWQ393308:OWQ393310 PGM393308:PGM393310 PQI393308:PQI393310 QAE393308:QAE393310 QKA393308:QKA393310 QTW393308:QTW393310 RDS393308:RDS393310 RNO393308:RNO393310 RXK393308:RXK393310 SHG393308:SHG393310 SRC393308:SRC393310 TAY393308:TAY393310 TKU393308:TKU393310 TUQ393308:TUQ393310 UEM393308:UEM393310 UOI393308:UOI393310 UYE393308:UYE393310 VIA393308:VIA393310 VRW393308:VRW393310 WBS393308:WBS393310 WLO393308:WLO393310 WVK393308:WVK393310 C458844:C458846 IY458844:IY458846 SU458844:SU458846 ACQ458844:ACQ458846 AMM458844:AMM458846 AWI458844:AWI458846 BGE458844:BGE458846 BQA458844:BQA458846 BZW458844:BZW458846 CJS458844:CJS458846 CTO458844:CTO458846 DDK458844:DDK458846 DNG458844:DNG458846 DXC458844:DXC458846 EGY458844:EGY458846 EQU458844:EQU458846 FAQ458844:FAQ458846 FKM458844:FKM458846 FUI458844:FUI458846 GEE458844:GEE458846 GOA458844:GOA458846 GXW458844:GXW458846 HHS458844:HHS458846 HRO458844:HRO458846 IBK458844:IBK458846 ILG458844:ILG458846 IVC458844:IVC458846 JEY458844:JEY458846 JOU458844:JOU458846 JYQ458844:JYQ458846 KIM458844:KIM458846 KSI458844:KSI458846 LCE458844:LCE458846 LMA458844:LMA458846 LVW458844:LVW458846 MFS458844:MFS458846 MPO458844:MPO458846 MZK458844:MZK458846 NJG458844:NJG458846 NTC458844:NTC458846 OCY458844:OCY458846 OMU458844:OMU458846 OWQ458844:OWQ458846 PGM458844:PGM458846 PQI458844:PQI458846 QAE458844:QAE458846 QKA458844:QKA458846 QTW458844:QTW458846 RDS458844:RDS458846 RNO458844:RNO458846 RXK458844:RXK458846 SHG458844:SHG458846 SRC458844:SRC458846 TAY458844:TAY458846 TKU458844:TKU458846 TUQ458844:TUQ458846 UEM458844:UEM458846 UOI458844:UOI458846 UYE458844:UYE458846 VIA458844:VIA458846 VRW458844:VRW458846 WBS458844:WBS458846 WLO458844:WLO458846 WVK458844:WVK458846 C524380:C524382 IY524380:IY524382 SU524380:SU524382 ACQ524380:ACQ524382 AMM524380:AMM524382 AWI524380:AWI524382 BGE524380:BGE524382 BQA524380:BQA524382 BZW524380:BZW524382 CJS524380:CJS524382 CTO524380:CTO524382 DDK524380:DDK524382 DNG524380:DNG524382 DXC524380:DXC524382 EGY524380:EGY524382 EQU524380:EQU524382 FAQ524380:FAQ524382 FKM524380:FKM524382 FUI524380:FUI524382 GEE524380:GEE524382 GOA524380:GOA524382 GXW524380:GXW524382 HHS524380:HHS524382 HRO524380:HRO524382 IBK524380:IBK524382 ILG524380:ILG524382 IVC524380:IVC524382 JEY524380:JEY524382 JOU524380:JOU524382 JYQ524380:JYQ524382 KIM524380:KIM524382 KSI524380:KSI524382 LCE524380:LCE524382 LMA524380:LMA524382 LVW524380:LVW524382 MFS524380:MFS524382 MPO524380:MPO524382 MZK524380:MZK524382 NJG524380:NJG524382 NTC524380:NTC524382 OCY524380:OCY524382 OMU524380:OMU524382 OWQ524380:OWQ524382 PGM524380:PGM524382 PQI524380:PQI524382 QAE524380:QAE524382 QKA524380:QKA524382 QTW524380:QTW524382 RDS524380:RDS524382 RNO524380:RNO524382 RXK524380:RXK524382 SHG524380:SHG524382 SRC524380:SRC524382 TAY524380:TAY524382 TKU524380:TKU524382 TUQ524380:TUQ524382 UEM524380:UEM524382 UOI524380:UOI524382 UYE524380:UYE524382 VIA524380:VIA524382 VRW524380:VRW524382 WBS524380:WBS524382 WLO524380:WLO524382 WVK524380:WVK524382 C589916:C589918 IY589916:IY589918 SU589916:SU589918 ACQ589916:ACQ589918 AMM589916:AMM589918 AWI589916:AWI589918 BGE589916:BGE589918 BQA589916:BQA589918 BZW589916:BZW589918 CJS589916:CJS589918 CTO589916:CTO589918 DDK589916:DDK589918 DNG589916:DNG589918 DXC589916:DXC589918 EGY589916:EGY589918 EQU589916:EQU589918 FAQ589916:FAQ589918 FKM589916:FKM589918 FUI589916:FUI589918 GEE589916:GEE589918 GOA589916:GOA589918 GXW589916:GXW589918 HHS589916:HHS589918 HRO589916:HRO589918 IBK589916:IBK589918 ILG589916:ILG589918 IVC589916:IVC589918 JEY589916:JEY589918 JOU589916:JOU589918 JYQ589916:JYQ589918 KIM589916:KIM589918 KSI589916:KSI589918 LCE589916:LCE589918 LMA589916:LMA589918 LVW589916:LVW589918 MFS589916:MFS589918 MPO589916:MPO589918 MZK589916:MZK589918 NJG589916:NJG589918 NTC589916:NTC589918 OCY589916:OCY589918 OMU589916:OMU589918 OWQ589916:OWQ589918 PGM589916:PGM589918 PQI589916:PQI589918 QAE589916:QAE589918 QKA589916:QKA589918 QTW589916:QTW589918 RDS589916:RDS589918 RNO589916:RNO589918 RXK589916:RXK589918 SHG589916:SHG589918 SRC589916:SRC589918 TAY589916:TAY589918 TKU589916:TKU589918 TUQ589916:TUQ589918 UEM589916:UEM589918 UOI589916:UOI589918 UYE589916:UYE589918 VIA589916:VIA589918 VRW589916:VRW589918 WBS589916:WBS589918 WLO589916:WLO589918 WVK589916:WVK589918 C655452:C655454 IY655452:IY655454 SU655452:SU655454 ACQ655452:ACQ655454 AMM655452:AMM655454 AWI655452:AWI655454 BGE655452:BGE655454 BQA655452:BQA655454 BZW655452:BZW655454 CJS655452:CJS655454 CTO655452:CTO655454 DDK655452:DDK655454 DNG655452:DNG655454 DXC655452:DXC655454 EGY655452:EGY655454 EQU655452:EQU655454 FAQ655452:FAQ655454 FKM655452:FKM655454 FUI655452:FUI655454 GEE655452:GEE655454 GOA655452:GOA655454 GXW655452:GXW655454 HHS655452:HHS655454 HRO655452:HRO655454 IBK655452:IBK655454 ILG655452:ILG655454 IVC655452:IVC655454 JEY655452:JEY655454 JOU655452:JOU655454 JYQ655452:JYQ655454 KIM655452:KIM655454 KSI655452:KSI655454 LCE655452:LCE655454 LMA655452:LMA655454 LVW655452:LVW655454 MFS655452:MFS655454 MPO655452:MPO655454 MZK655452:MZK655454 NJG655452:NJG655454 NTC655452:NTC655454 OCY655452:OCY655454 OMU655452:OMU655454 OWQ655452:OWQ655454 PGM655452:PGM655454 PQI655452:PQI655454 QAE655452:QAE655454 QKA655452:QKA655454 QTW655452:QTW655454 RDS655452:RDS655454 RNO655452:RNO655454 RXK655452:RXK655454 SHG655452:SHG655454 SRC655452:SRC655454 TAY655452:TAY655454 TKU655452:TKU655454 TUQ655452:TUQ655454 UEM655452:UEM655454 UOI655452:UOI655454 UYE655452:UYE655454 VIA655452:VIA655454 VRW655452:VRW655454 WBS655452:WBS655454 WLO655452:WLO655454 WVK655452:WVK655454 C720988:C720990 IY720988:IY720990 SU720988:SU720990 ACQ720988:ACQ720990 AMM720988:AMM720990 AWI720988:AWI720990 BGE720988:BGE720990 BQA720988:BQA720990 BZW720988:BZW720990 CJS720988:CJS720990 CTO720988:CTO720990 DDK720988:DDK720990 DNG720988:DNG720990 DXC720988:DXC720990 EGY720988:EGY720990 EQU720988:EQU720990 FAQ720988:FAQ720990 FKM720988:FKM720990 FUI720988:FUI720990 GEE720988:GEE720990 GOA720988:GOA720990 GXW720988:GXW720990 HHS720988:HHS720990 HRO720988:HRO720990 IBK720988:IBK720990 ILG720988:ILG720990 IVC720988:IVC720990 JEY720988:JEY720990 JOU720988:JOU720990 JYQ720988:JYQ720990 KIM720988:KIM720990 KSI720988:KSI720990 LCE720988:LCE720990 LMA720988:LMA720990 LVW720988:LVW720990 MFS720988:MFS720990 MPO720988:MPO720990 MZK720988:MZK720990 NJG720988:NJG720990 NTC720988:NTC720990 OCY720988:OCY720990 OMU720988:OMU720990 OWQ720988:OWQ720990 PGM720988:PGM720990 PQI720988:PQI720990 QAE720988:QAE720990 QKA720988:QKA720990 QTW720988:QTW720990 RDS720988:RDS720990 RNO720988:RNO720990 RXK720988:RXK720990 SHG720988:SHG720990 SRC720988:SRC720990 TAY720988:TAY720990 TKU720988:TKU720990 TUQ720988:TUQ720990 UEM720988:UEM720990 UOI720988:UOI720990 UYE720988:UYE720990 VIA720988:VIA720990 VRW720988:VRW720990 WBS720988:WBS720990 WLO720988:WLO720990 WVK720988:WVK720990 C786524:C786526 IY786524:IY786526 SU786524:SU786526 ACQ786524:ACQ786526 AMM786524:AMM786526 AWI786524:AWI786526 BGE786524:BGE786526 BQA786524:BQA786526 BZW786524:BZW786526 CJS786524:CJS786526 CTO786524:CTO786526 DDK786524:DDK786526 DNG786524:DNG786526 DXC786524:DXC786526 EGY786524:EGY786526 EQU786524:EQU786526 FAQ786524:FAQ786526 FKM786524:FKM786526 FUI786524:FUI786526 GEE786524:GEE786526 GOA786524:GOA786526 GXW786524:GXW786526 HHS786524:HHS786526 HRO786524:HRO786526 IBK786524:IBK786526 ILG786524:ILG786526 IVC786524:IVC786526 JEY786524:JEY786526 JOU786524:JOU786526 JYQ786524:JYQ786526 KIM786524:KIM786526 KSI786524:KSI786526 LCE786524:LCE786526 LMA786524:LMA786526 LVW786524:LVW786526 MFS786524:MFS786526 MPO786524:MPO786526 MZK786524:MZK786526 NJG786524:NJG786526 NTC786524:NTC786526 OCY786524:OCY786526 OMU786524:OMU786526 OWQ786524:OWQ786526 PGM786524:PGM786526 PQI786524:PQI786526 QAE786524:QAE786526 QKA786524:QKA786526 QTW786524:QTW786526 RDS786524:RDS786526 RNO786524:RNO786526 RXK786524:RXK786526 SHG786524:SHG786526 SRC786524:SRC786526 TAY786524:TAY786526 TKU786524:TKU786526 TUQ786524:TUQ786526 UEM786524:UEM786526 UOI786524:UOI786526 UYE786524:UYE786526 VIA786524:VIA786526 VRW786524:VRW786526 WBS786524:WBS786526 WLO786524:WLO786526 WVK786524:WVK786526 C852060:C852062 IY852060:IY852062 SU852060:SU852062 ACQ852060:ACQ852062 AMM852060:AMM852062 AWI852060:AWI852062 BGE852060:BGE852062 BQA852060:BQA852062 BZW852060:BZW852062 CJS852060:CJS852062 CTO852060:CTO852062 DDK852060:DDK852062 DNG852060:DNG852062 DXC852060:DXC852062 EGY852060:EGY852062 EQU852060:EQU852062 FAQ852060:FAQ852062 FKM852060:FKM852062 FUI852060:FUI852062 GEE852060:GEE852062 GOA852060:GOA852062 GXW852060:GXW852062 HHS852060:HHS852062 HRO852060:HRO852062 IBK852060:IBK852062 ILG852060:ILG852062 IVC852060:IVC852062 JEY852060:JEY852062 JOU852060:JOU852062 JYQ852060:JYQ852062 KIM852060:KIM852062 KSI852060:KSI852062 LCE852060:LCE852062 LMA852060:LMA852062 LVW852060:LVW852062 MFS852060:MFS852062 MPO852060:MPO852062 MZK852060:MZK852062 NJG852060:NJG852062 NTC852060:NTC852062 OCY852060:OCY852062 OMU852060:OMU852062 OWQ852060:OWQ852062 PGM852060:PGM852062 PQI852060:PQI852062 QAE852060:QAE852062 QKA852060:QKA852062 QTW852060:QTW852062 RDS852060:RDS852062 RNO852060:RNO852062 RXK852060:RXK852062 SHG852060:SHG852062 SRC852060:SRC852062 TAY852060:TAY852062 TKU852060:TKU852062 TUQ852060:TUQ852062 UEM852060:UEM852062 UOI852060:UOI852062 UYE852060:UYE852062 VIA852060:VIA852062 VRW852060:VRW852062 WBS852060:WBS852062 WLO852060:WLO852062 WVK852060:WVK852062 C917596:C917598 IY917596:IY917598 SU917596:SU917598 ACQ917596:ACQ917598 AMM917596:AMM917598 AWI917596:AWI917598 BGE917596:BGE917598 BQA917596:BQA917598 BZW917596:BZW917598 CJS917596:CJS917598 CTO917596:CTO917598 DDK917596:DDK917598 DNG917596:DNG917598 DXC917596:DXC917598 EGY917596:EGY917598 EQU917596:EQU917598 FAQ917596:FAQ917598 FKM917596:FKM917598 FUI917596:FUI917598 GEE917596:GEE917598 GOA917596:GOA917598 GXW917596:GXW917598 HHS917596:HHS917598 HRO917596:HRO917598 IBK917596:IBK917598 ILG917596:ILG917598 IVC917596:IVC917598 JEY917596:JEY917598 JOU917596:JOU917598 JYQ917596:JYQ917598 KIM917596:KIM917598 KSI917596:KSI917598 LCE917596:LCE917598 LMA917596:LMA917598 LVW917596:LVW917598 MFS917596:MFS917598 MPO917596:MPO917598 MZK917596:MZK917598 NJG917596:NJG917598 NTC917596:NTC917598 OCY917596:OCY917598 OMU917596:OMU917598 OWQ917596:OWQ917598 PGM917596:PGM917598 PQI917596:PQI917598 QAE917596:QAE917598 QKA917596:QKA917598 QTW917596:QTW917598 RDS917596:RDS917598 RNO917596:RNO917598 RXK917596:RXK917598 SHG917596:SHG917598 SRC917596:SRC917598 TAY917596:TAY917598 TKU917596:TKU917598 TUQ917596:TUQ917598 UEM917596:UEM917598 UOI917596:UOI917598 UYE917596:UYE917598 VIA917596:VIA917598 VRW917596:VRW917598 WBS917596:WBS917598 WLO917596:WLO917598 WVK917596:WVK917598 C983132:C983134 IY983132:IY983134 SU983132:SU983134 ACQ983132:ACQ983134 AMM983132:AMM983134 AWI983132:AWI983134 BGE983132:BGE983134 BQA983132:BQA983134 BZW983132:BZW983134 CJS983132:CJS983134 CTO983132:CTO983134 DDK983132:DDK983134 DNG983132:DNG983134 DXC983132:DXC983134 EGY983132:EGY983134 EQU983132:EQU983134 FAQ983132:FAQ983134 FKM983132:FKM983134 FUI983132:FUI983134 GEE983132:GEE983134 GOA983132:GOA983134 GXW983132:GXW983134 HHS983132:HHS983134 HRO983132:HRO983134 IBK983132:IBK983134 ILG983132:ILG983134 IVC983132:IVC983134 JEY983132:JEY983134 JOU983132:JOU983134 JYQ983132:JYQ983134 KIM983132:KIM983134 KSI983132:KSI983134 LCE983132:LCE983134 LMA983132:LMA983134 LVW983132:LVW983134 MFS983132:MFS983134 MPO983132:MPO983134 MZK983132:MZK983134 NJG983132:NJG983134 NTC983132:NTC983134 OCY983132:OCY983134 OMU983132:OMU983134 OWQ983132:OWQ983134 PGM983132:PGM983134 PQI983132:PQI983134 QAE983132:QAE983134 QKA983132:QKA983134 QTW983132:QTW983134 RDS983132:RDS983134 RNO983132:RNO983134 RXK983132:RXK983134 SHG983132:SHG983134 SRC983132:SRC983134 TAY983132:TAY983134 TKU983132:TKU983134 TUQ983132:TUQ983134 UEM983132:UEM983134 UOI983132:UOI983134 UYE983132:UYE983134 VIA983132:VIA983134 VRW983132:VRW983134 WBS983132:WBS983134 WLO983132:WLO983134 WVK983132:WVK983134 WLP983136 IY15:IZ24 SU15:SV24 ACQ15:ACR24 AMM15:AMN24 AWI15:AWJ24 BGE15:BGF24 BQA15:BQB24 BZW15:BZX24 CJS15:CJT24 CTO15:CTP24 DDK15:DDL24 DNG15:DNH24 DXC15:DXD24 EGY15:EGZ24 EQU15:EQV24 FAQ15:FAR24 FKM15:FKN24 FUI15:FUJ24 GEE15:GEF24 GOA15:GOB24 GXW15:GXX24 HHS15:HHT24 HRO15:HRP24 IBK15:IBL24 ILG15:ILH24 IVC15:IVD24 JEY15:JEZ24 JOU15:JOV24 JYQ15:JYR24 KIM15:KIN24 KSI15:KSJ24 LCE15:LCF24 LMA15:LMB24 LVW15:LVX24 MFS15:MFT24 MPO15:MPP24 MZK15:MZL24 NJG15:NJH24 NTC15:NTD24 OCY15:OCZ24 OMU15:OMV24 OWQ15:OWR24 PGM15:PGN24 PQI15:PQJ24 QAE15:QAF24 QKA15:QKB24 QTW15:QTX24 RDS15:RDT24 RNO15:RNP24 RXK15:RXL24 SHG15:SHH24 SRC15:SRD24 TAY15:TAZ24 TKU15:TKV24 TUQ15:TUR24 UEM15:UEN24 UOI15:UOJ24 UYE15:UYF24 VIA15:VIB24 VRW15:VRX24 WBS15:WBT24 WLO15:WLP24 WVK15:WVL24 C65553:D65562 IY65553:IZ65562 SU65553:SV65562 ACQ65553:ACR65562 AMM65553:AMN65562 AWI65553:AWJ65562 BGE65553:BGF65562 BQA65553:BQB65562 BZW65553:BZX65562 CJS65553:CJT65562 CTO65553:CTP65562 DDK65553:DDL65562 DNG65553:DNH65562 DXC65553:DXD65562 EGY65553:EGZ65562 EQU65553:EQV65562 FAQ65553:FAR65562 FKM65553:FKN65562 FUI65553:FUJ65562 GEE65553:GEF65562 GOA65553:GOB65562 GXW65553:GXX65562 HHS65553:HHT65562 HRO65553:HRP65562 IBK65553:IBL65562 ILG65553:ILH65562 IVC65553:IVD65562 JEY65553:JEZ65562 JOU65553:JOV65562 JYQ65553:JYR65562 KIM65553:KIN65562 KSI65553:KSJ65562 LCE65553:LCF65562 LMA65553:LMB65562 LVW65553:LVX65562 MFS65553:MFT65562 MPO65553:MPP65562 MZK65553:MZL65562 NJG65553:NJH65562 NTC65553:NTD65562 OCY65553:OCZ65562 OMU65553:OMV65562 OWQ65553:OWR65562 PGM65553:PGN65562 PQI65553:PQJ65562 QAE65553:QAF65562 QKA65553:QKB65562 QTW65553:QTX65562 RDS65553:RDT65562 RNO65553:RNP65562 RXK65553:RXL65562 SHG65553:SHH65562 SRC65553:SRD65562 TAY65553:TAZ65562 TKU65553:TKV65562 TUQ65553:TUR65562 UEM65553:UEN65562 UOI65553:UOJ65562 UYE65553:UYF65562 VIA65553:VIB65562 VRW65553:VRX65562 WBS65553:WBT65562 WLO65553:WLP65562 WVK65553:WVL65562 C131089:D131098 IY131089:IZ131098 SU131089:SV131098 ACQ131089:ACR131098 AMM131089:AMN131098 AWI131089:AWJ131098 BGE131089:BGF131098 BQA131089:BQB131098 BZW131089:BZX131098 CJS131089:CJT131098 CTO131089:CTP131098 DDK131089:DDL131098 DNG131089:DNH131098 DXC131089:DXD131098 EGY131089:EGZ131098 EQU131089:EQV131098 FAQ131089:FAR131098 FKM131089:FKN131098 FUI131089:FUJ131098 GEE131089:GEF131098 GOA131089:GOB131098 GXW131089:GXX131098 HHS131089:HHT131098 HRO131089:HRP131098 IBK131089:IBL131098 ILG131089:ILH131098 IVC131089:IVD131098 JEY131089:JEZ131098 JOU131089:JOV131098 JYQ131089:JYR131098 KIM131089:KIN131098 KSI131089:KSJ131098 LCE131089:LCF131098 LMA131089:LMB131098 LVW131089:LVX131098 MFS131089:MFT131098 MPO131089:MPP131098 MZK131089:MZL131098 NJG131089:NJH131098 NTC131089:NTD131098 OCY131089:OCZ131098 OMU131089:OMV131098 OWQ131089:OWR131098 PGM131089:PGN131098 PQI131089:PQJ131098 QAE131089:QAF131098 QKA131089:QKB131098 QTW131089:QTX131098 RDS131089:RDT131098 RNO131089:RNP131098 RXK131089:RXL131098 SHG131089:SHH131098 SRC131089:SRD131098 TAY131089:TAZ131098 TKU131089:TKV131098 TUQ131089:TUR131098 UEM131089:UEN131098 UOI131089:UOJ131098 UYE131089:UYF131098 VIA131089:VIB131098 VRW131089:VRX131098 WBS131089:WBT131098 WLO131089:WLP131098 WVK131089:WVL131098 C196625:D196634 IY196625:IZ196634 SU196625:SV196634 ACQ196625:ACR196634 AMM196625:AMN196634 AWI196625:AWJ196634 BGE196625:BGF196634 BQA196625:BQB196634 BZW196625:BZX196634 CJS196625:CJT196634 CTO196625:CTP196634 DDK196625:DDL196634 DNG196625:DNH196634 DXC196625:DXD196634 EGY196625:EGZ196634 EQU196625:EQV196634 FAQ196625:FAR196634 FKM196625:FKN196634 FUI196625:FUJ196634 GEE196625:GEF196634 GOA196625:GOB196634 GXW196625:GXX196634 HHS196625:HHT196634 HRO196625:HRP196634 IBK196625:IBL196634 ILG196625:ILH196634 IVC196625:IVD196634 JEY196625:JEZ196634 JOU196625:JOV196634 JYQ196625:JYR196634 KIM196625:KIN196634 KSI196625:KSJ196634 LCE196625:LCF196634 LMA196625:LMB196634 LVW196625:LVX196634 MFS196625:MFT196634 MPO196625:MPP196634 MZK196625:MZL196634 NJG196625:NJH196634 NTC196625:NTD196634 OCY196625:OCZ196634 OMU196625:OMV196634 OWQ196625:OWR196634 PGM196625:PGN196634 PQI196625:PQJ196634 QAE196625:QAF196634 QKA196625:QKB196634 QTW196625:QTX196634 RDS196625:RDT196634 RNO196625:RNP196634 RXK196625:RXL196634 SHG196625:SHH196634 SRC196625:SRD196634 TAY196625:TAZ196634 TKU196625:TKV196634 TUQ196625:TUR196634 UEM196625:UEN196634 UOI196625:UOJ196634 UYE196625:UYF196634 VIA196625:VIB196634 VRW196625:VRX196634 WBS196625:WBT196634 WLO196625:WLP196634 WVK196625:WVL196634 C262161:D262170 IY262161:IZ262170 SU262161:SV262170 ACQ262161:ACR262170 AMM262161:AMN262170 AWI262161:AWJ262170 BGE262161:BGF262170 BQA262161:BQB262170 BZW262161:BZX262170 CJS262161:CJT262170 CTO262161:CTP262170 DDK262161:DDL262170 DNG262161:DNH262170 DXC262161:DXD262170 EGY262161:EGZ262170 EQU262161:EQV262170 FAQ262161:FAR262170 FKM262161:FKN262170 FUI262161:FUJ262170 GEE262161:GEF262170 GOA262161:GOB262170 GXW262161:GXX262170 HHS262161:HHT262170 HRO262161:HRP262170 IBK262161:IBL262170 ILG262161:ILH262170 IVC262161:IVD262170 JEY262161:JEZ262170 JOU262161:JOV262170 JYQ262161:JYR262170 KIM262161:KIN262170 KSI262161:KSJ262170 LCE262161:LCF262170 LMA262161:LMB262170 LVW262161:LVX262170 MFS262161:MFT262170 MPO262161:MPP262170 MZK262161:MZL262170 NJG262161:NJH262170 NTC262161:NTD262170 OCY262161:OCZ262170 OMU262161:OMV262170 OWQ262161:OWR262170 PGM262161:PGN262170 PQI262161:PQJ262170 QAE262161:QAF262170 QKA262161:QKB262170 QTW262161:QTX262170 RDS262161:RDT262170 RNO262161:RNP262170 RXK262161:RXL262170 SHG262161:SHH262170 SRC262161:SRD262170 TAY262161:TAZ262170 TKU262161:TKV262170 TUQ262161:TUR262170 UEM262161:UEN262170 UOI262161:UOJ262170 UYE262161:UYF262170 VIA262161:VIB262170 VRW262161:VRX262170 WBS262161:WBT262170 WLO262161:WLP262170 WVK262161:WVL262170 C327697:D327706 IY327697:IZ327706 SU327697:SV327706 ACQ327697:ACR327706 AMM327697:AMN327706 AWI327697:AWJ327706 BGE327697:BGF327706 BQA327697:BQB327706 BZW327697:BZX327706 CJS327697:CJT327706 CTO327697:CTP327706 DDK327697:DDL327706 DNG327697:DNH327706 DXC327697:DXD327706 EGY327697:EGZ327706 EQU327697:EQV327706 FAQ327697:FAR327706 FKM327697:FKN327706 FUI327697:FUJ327706 GEE327697:GEF327706 GOA327697:GOB327706 GXW327697:GXX327706 HHS327697:HHT327706 HRO327697:HRP327706 IBK327697:IBL327706 ILG327697:ILH327706 IVC327697:IVD327706 JEY327697:JEZ327706 JOU327697:JOV327706 JYQ327697:JYR327706 KIM327697:KIN327706 KSI327697:KSJ327706 LCE327697:LCF327706 LMA327697:LMB327706 LVW327697:LVX327706 MFS327697:MFT327706 MPO327697:MPP327706 MZK327697:MZL327706 NJG327697:NJH327706 NTC327697:NTD327706 OCY327697:OCZ327706 OMU327697:OMV327706 OWQ327697:OWR327706 PGM327697:PGN327706 PQI327697:PQJ327706 QAE327697:QAF327706 QKA327697:QKB327706 QTW327697:QTX327706 RDS327697:RDT327706 RNO327697:RNP327706 RXK327697:RXL327706 SHG327697:SHH327706 SRC327697:SRD327706 TAY327697:TAZ327706 TKU327697:TKV327706 TUQ327697:TUR327706 UEM327697:UEN327706 UOI327697:UOJ327706 UYE327697:UYF327706 VIA327697:VIB327706 VRW327697:VRX327706 WBS327697:WBT327706 WLO327697:WLP327706 WVK327697:WVL327706 C393233:D393242 IY393233:IZ393242 SU393233:SV393242 ACQ393233:ACR393242 AMM393233:AMN393242 AWI393233:AWJ393242 BGE393233:BGF393242 BQA393233:BQB393242 BZW393233:BZX393242 CJS393233:CJT393242 CTO393233:CTP393242 DDK393233:DDL393242 DNG393233:DNH393242 DXC393233:DXD393242 EGY393233:EGZ393242 EQU393233:EQV393242 FAQ393233:FAR393242 FKM393233:FKN393242 FUI393233:FUJ393242 GEE393233:GEF393242 GOA393233:GOB393242 GXW393233:GXX393242 HHS393233:HHT393242 HRO393233:HRP393242 IBK393233:IBL393242 ILG393233:ILH393242 IVC393233:IVD393242 JEY393233:JEZ393242 JOU393233:JOV393242 JYQ393233:JYR393242 KIM393233:KIN393242 KSI393233:KSJ393242 LCE393233:LCF393242 LMA393233:LMB393242 LVW393233:LVX393242 MFS393233:MFT393242 MPO393233:MPP393242 MZK393233:MZL393242 NJG393233:NJH393242 NTC393233:NTD393242 OCY393233:OCZ393242 OMU393233:OMV393242 OWQ393233:OWR393242 PGM393233:PGN393242 PQI393233:PQJ393242 QAE393233:QAF393242 QKA393233:QKB393242 QTW393233:QTX393242 RDS393233:RDT393242 RNO393233:RNP393242 RXK393233:RXL393242 SHG393233:SHH393242 SRC393233:SRD393242 TAY393233:TAZ393242 TKU393233:TKV393242 TUQ393233:TUR393242 UEM393233:UEN393242 UOI393233:UOJ393242 UYE393233:UYF393242 VIA393233:VIB393242 VRW393233:VRX393242 WBS393233:WBT393242 WLO393233:WLP393242 WVK393233:WVL393242 C458769:D458778 IY458769:IZ458778 SU458769:SV458778 ACQ458769:ACR458778 AMM458769:AMN458778 AWI458769:AWJ458778 BGE458769:BGF458778 BQA458769:BQB458778 BZW458769:BZX458778 CJS458769:CJT458778 CTO458769:CTP458778 DDK458769:DDL458778 DNG458769:DNH458778 DXC458769:DXD458778 EGY458769:EGZ458778 EQU458769:EQV458778 FAQ458769:FAR458778 FKM458769:FKN458778 FUI458769:FUJ458778 GEE458769:GEF458778 GOA458769:GOB458778 GXW458769:GXX458778 HHS458769:HHT458778 HRO458769:HRP458778 IBK458769:IBL458778 ILG458769:ILH458778 IVC458769:IVD458778 JEY458769:JEZ458778 JOU458769:JOV458778 JYQ458769:JYR458778 KIM458769:KIN458778 KSI458769:KSJ458778 LCE458769:LCF458778 LMA458769:LMB458778 LVW458769:LVX458778 MFS458769:MFT458778 MPO458769:MPP458778 MZK458769:MZL458778 NJG458769:NJH458778 NTC458769:NTD458778 OCY458769:OCZ458778 OMU458769:OMV458778 OWQ458769:OWR458778 PGM458769:PGN458778 PQI458769:PQJ458778 QAE458769:QAF458778 QKA458769:QKB458778 QTW458769:QTX458778 RDS458769:RDT458778 RNO458769:RNP458778 RXK458769:RXL458778 SHG458769:SHH458778 SRC458769:SRD458778 TAY458769:TAZ458778 TKU458769:TKV458778 TUQ458769:TUR458778 UEM458769:UEN458778 UOI458769:UOJ458778 UYE458769:UYF458778 VIA458769:VIB458778 VRW458769:VRX458778 WBS458769:WBT458778 WLO458769:WLP458778 WVK458769:WVL458778 C524305:D524314 IY524305:IZ524314 SU524305:SV524314 ACQ524305:ACR524314 AMM524305:AMN524314 AWI524305:AWJ524314 BGE524305:BGF524314 BQA524305:BQB524314 BZW524305:BZX524314 CJS524305:CJT524314 CTO524305:CTP524314 DDK524305:DDL524314 DNG524305:DNH524314 DXC524305:DXD524314 EGY524305:EGZ524314 EQU524305:EQV524314 FAQ524305:FAR524314 FKM524305:FKN524314 FUI524305:FUJ524314 GEE524305:GEF524314 GOA524305:GOB524314 GXW524305:GXX524314 HHS524305:HHT524314 HRO524305:HRP524314 IBK524305:IBL524314 ILG524305:ILH524314 IVC524305:IVD524314 JEY524305:JEZ524314 JOU524305:JOV524314 JYQ524305:JYR524314 KIM524305:KIN524314 KSI524305:KSJ524314 LCE524305:LCF524314 LMA524305:LMB524314 LVW524305:LVX524314 MFS524305:MFT524314 MPO524305:MPP524314 MZK524305:MZL524314 NJG524305:NJH524314 NTC524305:NTD524314 OCY524305:OCZ524314 OMU524305:OMV524314 OWQ524305:OWR524314 PGM524305:PGN524314 PQI524305:PQJ524314 QAE524305:QAF524314 QKA524305:QKB524314 QTW524305:QTX524314 RDS524305:RDT524314 RNO524305:RNP524314 RXK524305:RXL524314 SHG524305:SHH524314 SRC524305:SRD524314 TAY524305:TAZ524314 TKU524305:TKV524314 TUQ524305:TUR524314 UEM524305:UEN524314 UOI524305:UOJ524314 UYE524305:UYF524314 VIA524305:VIB524314 VRW524305:VRX524314 WBS524305:WBT524314 WLO524305:WLP524314 WVK524305:WVL524314 C589841:D589850 IY589841:IZ589850 SU589841:SV589850 ACQ589841:ACR589850 AMM589841:AMN589850 AWI589841:AWJ589850 BGE589841:BGF589850 BQA589841:BQB589850 BZW589841:BZX589850 CJS589841:CJT589850 CTO589841:CTP589850 DDK589841:DDL589850 DNG589841:DNH589850 DXC589841:DXD589850 EGY589841:EGZ589850 EQU589841:EQV589850 FAQ589841:FAR589850 FKM589841:FKN589850 FUI589841:FUJ589850 GEE589841:GEF589850 GOA589841:GOB589850 GXW589841:GXX589850 HHS589841:HHT589850 HRO589841:HRP589850 IBK589841:IBL589850 ILG589841:ILH589850 IVC589841:IVD589850 JEY589841:JEZ589850 JOU589841:JOV589850 JYQ589841:JYR589850 KIM589841:KIN589850 KSI589841:KSJ589850 LCE589841:LCF589850 LMA589841:LMB589850 LVW589841:LVX589850 MFS589841:MFT589850 MPO589841:MPP589850 MZK589841:MZL589850 NJG589841:NJH589850 NTC589841:NTD589850 OCY589841:OCZ589850 OMU589841:OMV589850 OWQ589841:OWR589850 PGM589841:PGN589850 PQI589841:PQJ589850 QAE589841:QAF589850 QKA589841:QKB589850 QTW589841:QTX589850 RDS589841:RDT589850 RNO589841:RNP589850 RXK589841:RXL589850 SHG589841:SHH589850 SRC589841:SRD589850 TAY589841:TAZ589850 TKU589841:TKV589850 TUQ589841:TUR589850 UEM589841:UEN589850 UOI589841:UOJ589850 UYE589841:UYF589850 VIA589841:VIB589850 VRW589841:VRX589850 WBS589841:WBT589850 WLO589841:WLP589850 WVK589841:WVL589850 C655377:D655386 IY655377:IZ655386 SU655377:SV655386 ACQ655377:ACR655386 AMM655377:AMN655386 AWI655377:AWJ655386 BGE655377:BGF655386 BQA655377:BQB655386 BZW655377:BZX655386 CJS655377:CJT655386 CTO655377:CTP655386 DDK655377:DDL655386 DNG655377:DNH655386 DXC655377:DXD655386 EGY655377:EGZ655386 EQU655377:EQV655386 FAQ655377:FAR655386 FKM655377:FKN655386 FUI655377:FUJ655386 GEE655377:GEF655386 GOA655377:GOB655386 GXW655377:GXX655386 HHS655377:HHT655386 HRO655377:HRP655386 IBK655377:IBL655386 ILG655377:ILH655386 IVC655377:IVD655386 JEY655377:JEZ655386 JOU655377:JOV655386 JYQ655377:JYR655386 KIM655377:KIN655386 KSI655377:KSJ655386 LCE655377:LCF655386 LMA655377:LMB655386 LVW655377:LVX655386 MFS655377:MFT655386 MPO655377:MPP655386 MZK655377:MZL655386 NJG655377:NJH655386 NTC655377:NTD655386 OCY655377:OCZ655386 OMU655377:OMV655386 OWQ655377:OWR655386 PGM655377:PGN655386 PQI655377:PQJ655386 QAE655377:QAF655386 QKA655377:QKB655386 QTW655377:QTX655386 RDS655377:RDT655386 RNO655377:RNP655386 RXK655377:RXL655386 SHG655377:SHH655386 SRC655377:SRD655386 TAY655377:TAZ655386 TKU655377:TKV655386 TUQ655377:TUR655386 UEM655377:UEN655386 UOI655377:UOJ655386 UYE655377:UYF655386 VIA655377:VIB655386 VRW655377:VRX655386 WBS655377:WBT655386 WLO655377:WLP655386 WVK655377:WVL655386 C720913:D720922 IY720913:IZ720922 SU720913:SV720922 ACQ720913:ACR720922 AMM720913:AMN720922 AWI720913:AWJ720922 BGE720913:BGF720922 BQA720913:BQB720922 BZW720913:BZX720922 CJS720913:CJT720922 CTO720913:CTP720922 DDK720913:DDL720922 DNG720913:DNH720922 DXC720913:DXD720922 EGY720913:EGZ720922 EQU720913:EQV720922 FAQ720913:FAR720922 FKM720913:FKN720922 FUI720913:FUJ720922 GEE720913:GEF720922 GOA720913:GOB720922 GXW720913:GXX720922 HHS720913:HHT720922 HRO720913:HRP720922 IBK720913:IBL720922 ILG720913:ILH720922 IVC720913:IVD720922 JEY720913:JEZ720922 JOU720913:JOV720922 JYQ720913:JYR720922 KIM720913:KIN720922 KSI720913:KSJ720922 LCE720913:LCF720922 LMA720913:LMB720922 LVW720913:LVX720922 MFS720913:MFT720922 MPO720913:MPP720922 MZK720913:MZL720922 NJG720913:NJH720922 NTC720913:NTD720922 OCY720913:OCZ720922 OMU720913:OMV720922 OWQ720913:OWR720922 PGM720913:PGN720922 PQI720913:PQJ720922 QAE720913:QAF720922 QKA720913:QKB720922 QTW720913:QTX720922 RDS720913:RDT720922 RNO720913:RNP720922 RXK720913:RXL720922 SHG720913:SHH720922 SRC720913:SRD720922 TAY720913:TAZ720922 TKU720913:TKV720922 TUQ720913:TUR720922 UEM720913:UEN720922 UOI720913:UOJ720922 UYE720913:UYF720922 VIA720913:VIB720922 VRW720913:VRX720922 WBS720913:WBT720922 WLO720913:WLP720922 WVK720913:WVL720922 C786449:D786458 IY786449:IZ786458 SU786449:SV786458 ACQ786449:ACR786458 AMM786449:AMN786458 AWI786449:AWJ786458 BGE786449:BGF786458 BQA786449:BQB786458 BZW786449:BZX786458 CJS786449:CJT786458 CTO786449:CTP786458 DDK786449:DDL786458 DNG786449:DNH786458 DXC786449:DXD786458 EGY786449:EGZ786458 EQU786449:EQV786458 FAQ786449:FAR786458 FKM786449:FKN786458 FUI786449:FUJ786458 GEE786449:GEF786458 GOA786449:GOB786458 GXW786449:GXX786458 HHS786449:HHT786458 HRO786449:HRP786458 IBK786449:IBL786458 ILG786449:ILH786458 IVC786449:IVD786458 JEY786449:JEZ786458 JOU786449:JOV786458 JYQ786449:JYR786458 KIM786449:KIN786458 KSI786449:KSJ786458 LCE786449:LCF786458 LMA786449:LMB786458 LVW786449:LVX786458 MFS786449:MFT786458 MPO786449:MPP786458 MZK786449:MZL786458 NJG786449:NJH786458 NTC786449:NTD786458 OCY786449:OCZ786458 OMU786449:OMV786458 OWQ786449:OWR786458 PGM786449:PGN786458 PQI786449:PQJ786458 QAE786449:QAF786458 QKA786449:QKB786458 QTW786449:QTX786458 RDS786449:RDT786458 RNO786449:RNP786458 RXK786449:RXL786458 SHG786449:SHH786458 SRC786449:SRD786458 TAY786449:TAZ786458 TKU786449:TKV786458 TUQ786449:TUR786458 UEM786449:UEN786458 UOI786449:UOJ786458 UYE786449:UYF786458 VIA786449:VIB786458 VRW786449:VRX786458 WBS786449:WBT786458 WLO786449:WLP786458 WVK786449:WVL786458 C851985:D851994 IY851985:IZ851994 SU851985:SV851994 ACQ851985:ACR851994 AMM851985:AMN851994 AWI851985:AWJ851994 BGE851985:BGF851994 BQA851985:BQB851994 BZW851985:BZX851994 CJS851985:CJT851994 CTO851985:CTP851994 DDK851985:DDL851994 DNG851985:DNH851994 DXC851985:DXD851994 EGY851985:EGZ851994 EQU851985:EQV851994 FAQ851985:FAR851994 FKM851985:FKN851994 FUI851985:FUJ851994 GEE851985:GEF851994 GOA851985:GOB851994 GXW851985:GXX851994 HHS851985:HHT851994 HRO851985:HRP851994 IBK851985:IBL851994 ILG851985:ILH851994 IVC851985:IVD851994 JEY851985:JEZ851994 JOU851985:JOV851994 JYQ851985:JYR851994 KIM851985:KIN851994 KSI851985:KSJ851994 LCE851985:LCF851994 LMA851985:LMB851994 LVW851985:LVX851994 MFS851985:MFT851994 MPO851985:MPP851994 MZK851985:MZL851994 NJG851985:NJH851994 NTC851985:NTD851994 OCY851985:OCZ851994 OMU851985:OMV851994 OWQ851985:OWR851994 PGM851985:PGN851994 PQI851985:PQJ851994 QAE851985:QAF851994 QKA851985:QKB851994 QTW851985:QTX851994 RDS851985:RDT851994 RNO851985:RNP851994 RXK851985:RXL851994 SHG851985:SHH851994 SRC851985:SRD851994 TAY851985:TAZ851994 TKU851985:TKV851994 TUQ851985:TUR851994 UEM851985:UEN851994 UOI851985:UOJ851994 UYE851985:UYF851994 VIA851985:VIB851994 VRW851985:VRX851994 WBS851985:WBT851994 WLO851985:WLP851994 WVK851985:WVL851994 C917521:D917530 IY917521:IZ917530 SU917521:SV917530 ACQ917521:ACR917530 AMM917521:AMN917530 AWI917521:AWJ917530 BGE917521:BGF917530 BQA917521:BQB917530 BZW917521:BZX917530 CJS917521:CJT917530 CTO917521:CTP917530 DDK917521:DDL917530 DNG917521:DNH917530 DXC917521:DXD917530 EGY917521:EGZ917530 EQU917521:EQV917530 FAQ917521:FAR917530 FKM917521:FKN917530 FUI917521:FUJ917530 GEE917521:GEF917530 GOA917521:GOB917530 GXW917521:GXX917530 HHS917521:HHT917530 HRO917521:HRP917530 IBK917521:IBL917530 ILG917521:ILH917530 IVC917521:IVD917530 JEY917521:JEZ917530 JOU917521:JOV917530 JYQ917521:JYR917530 KIM917521:KIN917530 KSI917521:KSJ917530 LCE917521:LCF917530 LMA917521:LMB917530 LVW917521:LVX917530 MFS917521:MFT917530 MPO917521:MPP917530 MZK917521:MZL917530 NJG917521:NJH917530 NTC917521:NTD917530 OCY917521:OCZ917530 OMU917521:OMV917530 OWQ917521:OWR917530 PGM917521:PGN917530 PQI917521:PQJ917530 QAE917521:QAF917530 QKA917521:QKB917530 QTW917521:QTX917530 RDS917521:RDT917530 RNO917521:RNP917530 RXK917521:RXL917530 SHG917521:SHH917530 SRC917521:SRD917530 TAY917521:TAZ917530 TKU917521:TKV917530 TUQ917521:TUR917530 UEM917521:UEN917530 UOI917521:UOJ917530 UYE917521:UYF917530 VIA917521:VIB917530 VRW917521:VRX917530 WBS917521:WBT917530 WLO917521:WLP917530 WVK917521:WVL917530 C983057:D983066 IY983057:IZ983066 SU983057:SV983066 ACQ983057:ACR983066 AMM983057:AMN983066 AWI983057:AWJ983066 BGE983057:BGF983066 BQA983057:BQB983066 BZW983057:BZX983066 CJS983057:CJT983066 CTO983057:CTP983066 DDK983057:DDL983066 DNG983057:DNH983066 DXC983057:DXD983066 EGY983057:EGZ983066 EQU983057:EQV983066 FAQ983057:FAR983066 FKM983057:FKN983066 FUI983057:FUJ983066 GEE983057:GEF983066 GOA983057:GOB983066 GXW983057:GXX983066 HHS983057:HHT983066 HRO983057:HRP983066 IBK983057:IBL983066 ILG983057:ILH983066 IVC983057:IVD983066 JEY983057:JEZ983066 JOU983057:JOV983066 JYQ983057:JYR983066 KIM983057:KIN983066 KSI983057:KSJ983066 LCE983057:LCF983066 LMA983057:LMB983066 LVW983057:LVX983066 MFS983057:MFT983066 MPO983057:MPP983066 MZK983057:MZL983066 NJG983057:NJH983066 NTC983057:NTD983066 OCY983057:OCZ983066 OMU983057:OMV983066 OWQ983057:OWR983066 PGM983057:PGN983066 PQI983057:PQJ983066 QAE983057:QAF983066 QKA983057:QKB983066 QTW983057:QTX983066 RDS983057:RDT983066 RNO983057:RNP983066 RXK983057:RXL983066 SHG983057:SHH983066 SRC983057:SRD983066 TAY983057:TAZ983066 TKU983057:TKV983066 TUQ983057:TUR983066 UEM983057:UEN983066 UOI983057:UOJ983066 UYE983057:UYF983066 VIA983057:VIB983066 VRW983057:VRX983066 WBS983057:WBT983066 WLO983057:WLP983066 WVK983057:WVL983066 WBT983136 IY27:IZ29 SU27:SV29 ACQ27:ACR29 AMM27:AMN29 AWI27:AWJ29 BGE27:BGF29 BQA27:BQB29 BZW27:BZX29 CJS27:CJT29 CTO27:CTP29 DDK27:DDL29 DNG27:DNH29 DXC27:DXD29 EGY27:EGZ29 EQU27:EQV29 FAQ27:FAR29 FKM27:FKN29 FUI27:FUJ29 GEE27:GEF29 GOA27:GOB29 GXW27:GXX29 HHS27:HHT29 HRO27:HRP29 IBK27:IBL29 ILG27:ILH29 IVC27:IVD29 JEY27:JEZ29 JOU27:JOV29 JYQ27:JYR29 KIM27:KIN29 KSI27:KSJ29 LCE27:LCF29 LMA27:LMB29 LVW27:LVX29 MFS27:MFT29 MPO27:MPP29 MZK27:MZL29 NJG27:NJH29 NTC27:NTD29 OCY27:OCZ29 OMU27:OMV29 OWQ27:OWR29 PGM27:PGN29 PQI27:PQJ29 QAE27:QAF29 QKA27:QKB29 QTW27:QTX29 RDS27:RDT29 RNO27:RNP29 RXK27:RXL29 SHG27:SHH29 SRC27:SRD29 TAY27:TAZ29 TKU27:TKV29 TUQ27:TUR29 UEM27:UEN29 UOI27:UOJ29 UYE27:UYF29 VIA27:VIB29 VRW27:VRX29 WBS27:WBT29 WLO27:WLP29 WVK27:WVL29 C65565:D65567 IY65565:IZ65567 SU65565:SV65567 ACQ65565:ACR65567 AMM65565:AMN65567 AWI65565:AWJ65567 BGE65565:BGF65567 BQA65565:BQB65567 BZW65565:BZX65567 CJS65565:CJT65567 CTO65565:CTP65567 DDK65565:DDL65567 DNG65565:DNH65567 DXC65565:DXD65567 EGY65565:EGZ65567 EQU65565:EQV65567 FAQ65565:FAR65567 FKM65565:FKN65567 FUI65565:FUJ65567 GEE65565:GEF65567 GOA65565:GOB65567 GXW65565:GXX65567 HHS65565:HHT65567 HRO65565:HRP65567 IBK65565:IBL65567 ILG65565:ILH65567 IVC65565:IVD65567 JEY65565:JEZ65567 JOU65565:JOV65567 JYQ65565:JYR65567 KIM65565:KIN65567 KSI65565:KSJ65567 LCE65565:LCF65567 LMA65565:LMB65567 LVW65565:LVX65567 MFS65565:MFT65567 MPO65565:MPP65567 MZK65565:MZL65567 NJG65565:NJH65567 NTC65565:NTD65567 OCY65565:OCZ65567 OMU65565:OMV65567 OWQ65565:OWR65567 PGM65565:PGN65567 PQI65565:PQJ65567 QAE65565:QAF65567 QKA65565:QKB65567 QTW65565:QTX65567 RDS65565:RDT65567 RNO65565:RNP65567 RXK65565:RXL65567 SHG65565:SHH65567 SRC65565:SRD65567 TAY65565:TAZ65567 TKU65565:TKV65567 TUQ65565:TUR65567 UEM65565:UEN65567 UOI65565:UOJ65567 UYE65565:UYF65567 VIA65565:VIB65567 VRW65565:VRX65567 WBS65565:WBT65567 WLO65565:WLP65567 WVK65565:WVL65567 C131101:D131103 IY131101:IZ131103 SU131101:SV131103 ACQ131101:ACR131103 AMM131101:AMN131103 AWI131101:AWJ131103 BGE131101:BGF131103 BQA131101:BQB131103 BZW131101:BZX131103 CJS131101:CJT131103 CTO131101:CTP131103 DDK131101:DDL131103 DNG131101:DNH131103 DXC131101:DXD131103 EGY131101:EGZ131103 EQU131101:EQV131103 FAQ131101:FAR131103 FKM131101:FKN131103 FUI131101:FUJ131103 GEE131101:GEF131103 GOA131101:GOB131103 GXW131101:GXX131103 HHS131101:HHT131103 HRO131101:HRP131103 IBK131101:IBL131103 ILG131101:ILH131103 IVC131101:IVD131103 JEY131101:JEZ131103 JOU131101:JOV131103 JYQ131101:JYR131103 KIM131101:KIN131103 KSI131101:KSJ131103 LCE131101:LCF131103 LMA131101:LMB131103 LVW131101:LVX131103 MFS131101:MFT131103 MPO131101:MPP131103 MZK131101:MZL131103 NJG131101:NJH131103 NTC131101:NTD131103 OCY131101:OCZ131103 OMU131101:OMV131103 OWQ131101:OWR131103 PGM131101:PGN131103 PQI131101:PQJ131103 QAE131101:QAF131103 QKA131101:QKB131103 QTW131101:QTX131103 RDS131101:RDT131103 RNO131101:RNP131103 RXK131101:RXL131103 SHG131101:SHH131103 SRC131101:SRD131103 TAY131101:TAZ131103 TKU131101:TKV131103 TUQ131101:TUR131103 UEM131101:UEN131103 UOI131101:UOJ131103 UYE131101:UYF131103 VIA131101:VIB131103 VRW131101:VRX131103 WBS131101:WBT131103 WLO131101:WLP131103 WVK131101:WVL131103 C196637:D196639 IY196637:IZ196639 SU196637:SV196639 ACQ196637:ACR196639 AMM196637:AMN196639 AWI196637:AWJ196639 BGE196637:BGF196639 BQA196637:BQB196639 BZW196637:BZX196639 CJS196637:CJT196639 CTO196637:CTP196639 DDK196637:DDL196639 DNG196637:DNH196639 DXC196637:DXD196639 EGY196637:EGZ196639 EQU196637:EQV196639 FAQ196637:FAR196639 FKM196637:FKN196639 FUI196637:FUJ196639 GEE196637:GEF196639 GOA196637:GOB196639 GXW196637:GXX196639 HHS196637:HHT196639 HRO196637:HRP196639 IBK196637:IBL196639 ILG196637:ILH196639 IVC196637:IVD196639 JEY196637:JEZ196639 JOU196637:JOV196639 JYQ196637:JYR196639 KIM196637:KIN196639 KSI196637:KSJ196639 LCE196637:LCF196639 LMA196637:LMB196639 LVW196637:LVX196639 MFS196637:MFT196639 MPO196637:MPP196639 MZK196637:MZL196639 NJG196637:NJH196639 NTC196637:NTD196639 OCY196637:OCZ196639 OMU196637:OMV196639 OWQ196637:OWR196639 PGM196637:PGN196639 PQI196637:PQJ196639 QAE196637:QAF196639 QKA196637:QKB196639 QTW196637:QTX196639 RDS196637:RDT196639 RNO196637:RNP196639 RXK196637:RXL196639 SHG196637:SHH196639 SRC196637:SRD196639 TAY196637:TAZ196639 TKU196637:TKV196639 TUQ196637:TUR196639 UEM196637:UEN196639 UOI196637:UOJ196639 UYE196637:UYF196639 VIA196637:VIB196639 VRW196637:VRX196639 WBS196637:WBT196639 WLO196637:WLP196639 WVK196637:WVL196639 C262173:D262175 IY262173:IZ262175 SU262173:SV262175 ACQ262173:ACR262175 AMM262173:AMN262175 AWI262173:AWJ262175 BGE262173:BGF262175 BQA262173:BQB262175 BZW262173:BZX262175 CJS262173:CJT262175 CTO262173:CTP262175 DDK262173:DDL262175 DNG262173:DNH262175 DXC262173:DXD262175 EGY262173:EGZ262175 EQU262173:EQV262175 FAQ262173:FAR262175 FKM262173:FKN262175 FUI262173:FUJ262175 GEE262173:GEF262175 GOA262173:GOB262175 GXW262173:GXX262175 HHS262173:HHT262175 HRO262173:HRP262175 IBK262173:IBL262175 ILG262173:ILH262175 IVC262173:IVD262175 JEY262173:JEZ262175 JOU262173:JOV262175 JYQ262173:JYR262175 KIM262173:KIN262175 KSI262173:KSJ262175 LCE262173:LCF262175 LMA262173:LMB262175 LVW262173:LVX262175 MFS262173:MFT262175 MPO262173:MPP262175 MZK262173:MZL262175 NJG262173:NJH262175 NTC262173:NTD262175 OCY262173:OCZ262175 OMU262173:OMV262175 OWQ262173:OWR262175 PGM262173:PGN262175 PQI262173:PQJ262175 QAE262173:QAF262175 QKA262173:QKB262175 QTW262173:QTX262175 RDS262173:RDT262175 RNO262173:RNP262175 RXK262173:RXL262175 SHG262173:SHH262175 SRC262173:SRD262175 TAY262173:TAZ262175 TKU262173:TKV262175 TUQ262173:TUR262175 UEM262173:UEN262175 UOI262173:UOJ262175 UYE262173:UYF262175 VIA262173:VIB262175 VRW262173:VRX262175 WBS262173:WBT262175 WLO262173:WLP262175 WVK262173:WVL262175 C327709:D327711 IY327709:IZ327711 SU327709:SV327711 ACQ327709:ACR327711 AMM327709:AMN327711 AWI327709:AWJ327711 BGE327709:BGF327711 BQA327709:BQB327711 BZW327709:BZX327711 CJS327709:CJT327711 CTO327709:CTP327711 DDK327709:DDL327711 DNG327709:DNH327711 DXC327709:DXD327711 EGY327709:EGZ327711 EQU327709:EQV327711 FAQ327709:FAR327711 FKM327709:FKN327711 FUI327709:FUJ327711 GEE327709:GEF327711 GOA327709:GOB327711 GXW327709:GXX327711 HHS327709:HHT327711 HRO327709:HRP327711 IBK327709:IBL327711 ILG327709:ILH327711 IVC327709:IVD327711 JEY327709:JEZ327711 JOU327709:JOV327711 JYQ327709:JYR327711 KIM327709:KIN327711 KSI327709:KSJ327711 LCE327709:LCF327711 LMA327709:LMB327711 LVW327709:LVX327711 MFS327709:MFT327711 MPO327709:MPP327711 MZK327709:MZL327711 NJG327709:NJH327711 NTC327709:NTD327711 OCY327709:OCZ327711 OMU327709:OMV327711 OWQ327709:OWR327711 PGM327709:PGN327711 PQI327709:PQJ327711 QAE327709:QAF327711 QKA327709:QKB327711 QTW327709:QTX327711 RDS327709:RDT327711 RNO327709:RNP327711 RXK327709:RXL327711 SHG327709:SHH327711 SRC327709:SRD327711 TAY327709:TAZ327711 TKU327709:TKV327711 TUQ327709:TUR327711 UEM327709:UEN327711 UOI327709:UOJ327711 UYE327709:UYF327711 VIA327709:VIB327711 VRW327709:VRX327711 WBS327709:WBT327711 WLO327709:WLP327711 WVK327709:WVL327711 C393245:D393247 IY393245:IZ393247 SU393245:SV393247 ACQ393245:ACR393247 AMM393245:AMN393247 AWI393245:AWJ393247 BGE393245:BGF393247 BQA393245:BQB393247 BZW393245:BZX393247 CJS393245:CJT393247 CTO393245:CTP393247 DDK393245:DDL393247 DNG393245:DNH393247 DXC393245:DXD393247 EGY393245:EGZ393247 EQU393245:EQV393247 FAQ393245:FAR393247 FKM393245:FKN393247 FUI393245:FUJ393247 GEE393245:GEF393247 GOA393245:GOB393247 GXW393245:GXX393247 HHS393245:HHT393247 HRO393245:HRP393247 IBK393245:IBL393247 ILG393245:ILH393247 IVC393245:IVD393247 JEY393245:JEZ393247 JOU393245:JOV393247 JYQ393245:JYR393247 KIM393245:KIN393247 KSI393245:KSJ393247 LCE393245:LCF393247 LMA393245:LMB393247 LVW393245:LVX393247 MFS393245:MFT393247 MPO393245:MPP393247 MZK393245:MZL393247 NJG393245:NJH393247 NTC393245:NTD393247 OCY393245:OCZ393247 OMU393245:OMV393247 OWQ393245:OWR393247 PGM393245:PGN393247 PQI393245:PQJ393247 QAE393245:QAF393247 QKA393245:QKB393247 QTW393245:QTX393247 RDS393245:RDT393247 RNO393245:RNP393247 RXK393245:RXL393247 SHG393245:SHH393247 SRC393245:SRD393247 TAY393245:TAZ393247 TKU393245:TKV393247 TUQ393245:TUR393247 UEM393245:UEN393247 UOI393245:UOJ393247 UYE393245:UYF393247 VIA393245:VIB393247 VRW393245:VRX393247 WBS393245:WBT393247 WLO393245:WLP393247 WVK393245:WVL393247 C458781:D458783 IY458781:IZ458783 SU458781:SV458783 ACQ458781:ACR458783 AMM458781:AMN458783 AWI458781:AWJ458783 BGE458781:BGF458783 BQA458781:BQB458783 BZW458781:BZX458783 CJS458781:CJT458783 CTO458781:CTP458783 DDK458781:DDL458783 DNG458781:DNH458783 DXC458781:DXD458783 EGY458781:EGZ458783 EQU458781:EQV458783 FAQ458781:FAR458783 FKM458781:FKN458783 FUI458781:FUJ458783 GEE458781:GEF458783 GOA458781:GOB458783 GXW458781:GXX458783 HHS458781:HHT458783 HRO458781:HRP458783 IBK458781:IBL458783 ILG458781:ILH458783 IVC458781:IVD458783 JEY458781:JEZ458783 JOU458781:JOV458783 JYQ458781:JYR458783 KIM458781:KIN458783 KSI458781:KSJ458783 LCE458781:LCF458783 LMA458781:LMB458783 LVW458781:LVX458783 MFS458781:MFT458783 MPO458781:MPP458783 MZK458781:MZL458783 NJG458781:NJH458783 NTC458781:NTD458783 OCY458781:OCZ458783 OMU458781:OMV458783 OWQ458781:OWR458783 PGM458781:PGN458783 PQI458781:PQJ458783 QAE458781:QAF458783 QKA458781:QKB458783 QTW458781:QTX458783 RDS458781:RDT458783 RNO458781:RNP458783 RXK458781:RXL458783 SHG458781:SHH458783 SRC458781:SRD458783 TAY458781:TAZ458783 TKU458781:TKV458783 TUQ458781:TUR458783 UEM458781:UEN458783 UOI458781:UOJ458783 UYE458781:UYF458783 VIA458781:VIB458783 VRW458781:VRX458783 WBS458781:WBT458783 WLO458781:WLP458783 WVK458781:WVL458783 C524317:D524319 IY524317:IZ524319 SU524317:SV524319 ACQ524317:ACR524319 AMM524317:AMN524319 AWI524317:AWJ524319 BGE524317:BGF524319 BQA524317:BQB524319 BZW524317:BZX524319 CJS524317:CJT524319 CTO524317:CTP524319 DDK524317:DDL524319 DNG524317:DNH524319 DXC524317:DXD524319 EGY524317:EGZ524319 EQU524317:EQV524319 FAQ524317:FAR524319 FKM524317:FKN524319 FUI524317:FUJ524319 GEE524317:GEF524319 GOA524317:GOB524319 GXW524317:GXX524319 HHS524317:HHT524319 HRO524317:HRP524319 IBK524317:IBL524319 ILG524317:ILH524319 IVC524317:IVD524319 JEY524317:JEZ524319 JOU524317:JOV524319 JYQ524317:JYR524319 KIM524317:KIN524319 KSI524317:KSJ524319 LCE524317:LCF524319 LMA524317:LMB524319 LVW524317:LVX524319 MFS524317:MFT524319 MPO524317:MPP524319 MZK524317:MZL524319 NJG524317:NJH524319 NTC524317:NTD524319 OCY524317:OCZ524319 OMU524317:OMV524319 OWQ524317:OWR524319 PGM524317:PGN524319 PQI524317:PQJ524319 QAE524317:QAF524319 QKA524317:QKB524319 QTW524317:QTX524319 RDS524317:RDT524319 RNO524317:RNP524319 RXK524317:RXL524319 SHG524317:SHH524319 SRC524317:SRD524319 TAY524317:TAZ524319 TKU524317:TKV524319 TUQ524317:TUR524319 UEM524317:UEN524319 UOI524317:UOJ524319 UYE524317:UYF524319 VIA524317:VIB524319 VRW524317:VRX524319 WBS524317:WBT524319 WLO524317:WLP524319 WVK524317:WVL524319 C589853:D589855 IY589853:IZ589855 SU589853:SV589855 ACQ589853:ACR589855 AMM589853:AMN589855 AWI589853:AWJ589855 BGE589853:BGF589855 BQA589853:BQB589855 BZW589853:BZX589855 CJS589853:CJT589855 CTO589853:CTP589855 DDK589853:DDL589855 DNG589853:DNH589855 DXC589853:DXD589855 EGY589853:EGZ589855 EQU589853:EQV589855 FAQ589853:FAR589855 FKM589853:FKN589855 FUI589853:FUJ589855 GEE589853:GEF589855 GOA589853:GOB589855 GXW589853:GXX589855 HHS589853:HHT589855 HRO589853:HRP589855 IBK589853:IBL589855 ILG589853:ILH589855 IVC589853:IVD589855 JEY589853:JEZ589855 JOU589853:JOV589855 JYQ589853:JYR589855 KIM589853:KIN589855 KSI589853:KSJ589855 LCE589853:LCF589855 LMA589853:LMB589855 LVW589853:LVX589855 MFS589853:MFT589855 MPO589853:MPP589855 MZK589853:MZL589855 NJG589853:NJH589855 NTC589853:NTD589855 OCY589853:OCZ589855 OMU589853:OMV589855 OWQ589853:OWR589855 PGM589853:PGN589855 PQI589853:PQJ589855 QAE589853:QAF589855 QKA589853:QKB589855 QTW589853:QTX589855 RDS589853:RDT589855 RNO589853:RNP589855 RXK589853:RXL589855 SHG589853:SHH589855 SRC589853:SRD589855 TAY589853:TAZ589855 TKU589853:TKV589855 TUQ589853:TUR589855 UEM589853:UEN589855 UOI589853:UOJ589855 UYE589853:UYF589855 VIA589853:VIB589855 VRW589853:VRX589855 WBS589853:WBT589855 WLO589853:WLP589855 WVK589853:WVL589855 C655389:D655391 IY655389:IZ655391 SU655389:SV655391 ACQ655389:ACR655391 AMM655389:AMN655391 AWI655389:AWJ655391 BGE655389:BGF655391 BQA655389:BQB655391 BZW655389:BZX655391 CJS655389:CJT655391 CTO655389:CTP655391 DDK655389:DDL655391 DNG655389:DNH655391 DXC655389:DXD655391 EGY655389:EGZ655391 EQU655389:EQV655391 FAQ655389:FAR655391 FKM655389:FKN655391 FUI655389:FUJ655391 GEE655389:GEF655391 GOA655389:GOB655391 GXW655389:GXX655391 HHS655389:HHT655391 HRO655389:HRP655391 IBK655389:IBL655391 ILG655389:ILH655391 IVC655389:IVD655391 JEY655389:JEZ655391 JOU655389:JOV655391 JYQ655389:JYR655391 KIM655389:KIN655391 KSI655389:KSJ655391 LCE655389:LCF655391 LMA655389:LMB655391 LVW655389:LVX655391 MFS655389:MFT655391 MPO655389:MPP655391 MZK655389:MZL655391 NJG655389:NJH655391 NTC655389:NTD655391 OCY655389:OCZ655391 OMU655389:OMV655391 OWQ655389:OWR655391 PGM655389:PGN655391 PQI655389:PQJ655391 QAE655389:QAF655391 QKA655389:QKB655391 QTW655389:QTX655391 RDS655389:RDT655391 RNO655389:RNP655391 RXK655389:RXL655391 SHG655389:SHH655391 SRC655389:SRD655391 TAY655389:TAZ655391 TKU655389:TKV655391 TUQ655389:TUR655391 UEM655389:UEN655391 UOI655389:UOJ655391 UYE655389:UYF655391 VIA655389:VIB655391 VRW655389:VRX655391 WBS655389:WBT655391 WLO655389:WLP655391 WVK655389:WVL655391 C720925:D720927 IY720925:IZ720927 SU720925:SV720927 ACQ720925:ACR720927 AMM720925:AMN720927 AWI720925:AWJ720927 BGE720925:BGF720927 BQA720925:BQB720927 BZW720925:BZX720927 CJS720925:CJT720927 CTO720925:CTP720927 DDK720925:DDL720927 DNG720925:DNH720927 DXC720925:DXD720927 EGY720925:EGZ720927 EQU720925:EQV720927 FAQ720925:FAR720927 FKM720925:FKN720927 FUI720925:FUJ720927 GEE720925:GEF720927 GOA720925:GOB720927 GXW720925:GXX720927 HHS720925:HHT720927 HRO720925:HRP720927 IBK720925:IBL720927 ILG720925:ILH720927 IVC720925:IVD720927 JEY720925:JEZ720927 JOU720925:JOV720927 JYQ720925:JYR720927 KIM720925:KIN720927 KSI720925:KSJ720927 LCE720925:LCF720927 LMA720925:LMB720927 LVW720925:LVX720927 MFS720925:MFT720927 MPO720925:MPP720927 MZK720925:MZL720927 NJG720925:NJH720927 NTC720925:NTD720927 OCY720925:OCZ720927 OMU720925:OMV720927 OWQ720925:OWR720927 PGM720925:PGN720927 PQI720925:PQJ720927 QAE720925:QAF720927 QKA720925:QKB720927 QTW720925:QTX720927 RDS720925:RDT720927 RNO720925:RNP720927 RXK720925:RXL720927 SHG720925:SHH720927 SRC720925:SRD720927 TAY720925:TAZ720927 TKU720925:TKV720927 TUQ720925:TUR720927 UEM720925:UEN720927 UOI720925:UOJ720927 UYE720925:UYF720927 VIA720925:VIB720927 VRW720925:VRX720927 WBS720925:WBT720927 WLO720925:WLP720927 WVK720925:WVL720927 C786461:D786463 IY786461:IZ786463 SU786461:SV786463 ACQ786461:ACR786463 AMM786461:AMN786463 AWI786461:AWJ786463 BGE786461:BGF786463 BQA786461:BQB786463 BZW786461:BZX786463 CJS786461:CJT786463 CTO786461:CTP786463 DDK786461:DDL786463 DNG786461:DNH786463 DXC786461:DXD786463 EGY786461:EGZ786463 EQU786461:EQV786463 FAQ786461:FAR786463 FKM786461:FKN786463 FUI786461:FUJ786463 GEE786461:GEF786463 GOA786461:GOB786463 GXW786461:GXX786463 HHS786461:HHT786463 HRO786461:HRP786463 IBK786461:IBL786463 ILG786461:ILH786463 IVC786461:IVD786463 JEY786461:JEZ786463 JOU786461:JOV786463 JYQ786461:JYR786463 KIM786461:KIN786463 KSI786461:KSJ786463 LCE786461:LCF786463 LMA786461:LMB786463 LVW786461:LVX786463 MFS786461:MFT786463 MPO786461:MPP786463 MZK786461:MZL786463 NJG786461:NJH786463 NTC786461:NTD786463 OCY786461:OCZ786463 OMU786461:OMV786463 OWQ786461:OWR786463 PGM786461:PGN786463 PQI786461:PQJ786463 QAE786461:QAF786463 QKA786461:QKB786463 QTW786461:QTX786463 RDS786461:RDT786463 RNO786461:RNP786463 RXK786461:RXL786463 SHG786461:SHH786463 SRC786461:SRD786463 TAY786461:TAZ786463 TKU786461:TKV786463 TUQ786461:TUR786463 UEM786461:UEN786463 UOI786461:UOJ786463 UYE786461:UYF786463 VIA786461:VIB786463 VRW786461:VRX786463 WBS786461:WBT786463 WLO786461:WLP786463 WVK786461:WVL786463 C851997:D851999 IY851997:IZ851999 SU851997:SV851999 ACQ851997:ACR851999 AMM851997:AMN851999 AWI851997:AWJ851999 BGE851997:BGF851999 BQA851997:BQB851999 BZW851997:BZX851999 CJS851997:CJT851999 CTO851997:CTP851999 DDK851997:DDL851999 DNG851997:DNH851999 DXC851997:DXD851999 EGY851997:EGZ851999 EQU851997:EQV851999 FAQ851997:FAR851999 FKM851997:FKN851999 FUI851997:FUJ851999 GEE851997:GEF851999 GOA851997:GOB851999 GXW851997:GXX851999 HHS851997:HHT851999 HRO851997:HRP851999 IBK851997:IBL851999 ILG851997:ILH851999 IVC851997:IVD851999 JEY851997:JEZ851999 JOU851997:JOV851999 JYQ851997:JYR851999 KIM851997:KIN851999 KSI851997:KSJ851999 LCE851997:LCF851999 LMA851997:LMB851999 LVW851997:LVX851999 MFS851997:MFT851999 MPO851997:MPP851999 MZK851997:MZL851999 NJG851997:NJH851999 NTC851997:NTD851999 OCY851997:OCZ851999 OMU851997:OMV851999 OWQ851997:OWR851999 PGM851997:PGN851999 PQI851997:PQJ851999 QAE851997:QAF851999 QKA851997:QKB851999 QTW851997:QTX851999 RDS851997:RDT851999 RNO851997:RNP851999 RXK851997:RXL851999 SHG851997:SHH851999 SRC851997:SRD851999 TAY851997:TAZ851999 TKU851997:TKV851999 TUQ851997:TUR851999 UEM851997:UEN851999 UOI851997:UOJ851999 UYE851997:UYF851999 VIA851997:VIB851999 VRW851997:VRX851999 WBS851997:WBT851999 WLO851997:WLP851999 WVK851997:WVL851999 C917533:D917535 IY917533:IZ917535 SU917533:SV917535 ACQ917533:ACR917535 AMM917533:AMN917535 AWI917533:AWJ917535 BGE917533:BGF917535 BQA917533:BQB917535 BZW917533:BZX917535 CJS917533:CJT917535 CTO917533:CTP917535 DDK917533:DDL917535 DNG917533:DNH917535 DXC917533:DXD917535 EGY917533:EGZ917535 EQU917533:EQV917535 FAQ917533:FAR917535 FKM917533:FKN917535 FUI917533:FUJ917535 GEE917533:GEF917535 GOA917533:GOB917535 GXW917533:GXX917535 HHS917533:HHT917535 HRO917533:HRP917535 IBK917533:IBL917535 ILG917533:ILH917535 IVC917533:IVD917535 JEY917533:JEZ917535 JOU917533:JOV917535 JYQ917533:JYR917535 KIM917533:KIN917535 KSI917533:KSJ917535 LCE917533:LCF917535 LMA917533:LMB917535 LVW917533:LVX917535 MFS917533:MFT917535 MPO917533:MPP917535 MZK917533:MZL917535 NJG917533:NJH917535 NTC917533:NTD917535 OCY917533:OCZ917535 OMU917533:OMV917535 OWQ917533:OWR917535 PGM917533:PGN917535 PQI917533:PQJ917535 QAE917533:QAF917535 QKA917533:QKB917535 QTW917533:QTX917535 RDS917533:RDT917535 RNO917533:RNP917535 RXK917533:RXL917535 SHG917533:SHH917535 SRC917533:SRD917535 TAY917533:TAZ917535 TKU917533:TKV917535 TUQ917533:TUR917535 UEM917533:UEN917535 UOI917533:UOJ917535 UYE917533:UYF917535 VIA917533:VIB917535 VRW917533:VRX917535 WBS917533:WBT917535 WLO917533:WLP917535 WVK917533:WVL917535 C983069:D983071 IY983069:IZ983071 SU983069:SV983071 ACQ983069:ACR983071 AMM983069:AMN983071 AWI983069:AWJ983071 BGE983069:BGF983071 BQA983069:BQB983071 BZW983069:BZX983071 CJS983069:CJT983071 CTO983069:CTP983071 DDK983069:DDL983071 DNG983069:DNH983071 DXC983069:DXD983071 EGY983069:EGZ983071 EQU983069:EQV983071 FAQ983069:FAR983071 FKM983069:FKN983071 FUI983069:FUJ983071 GEE983069:GEF983071 GOA983069:GOB983071 GXW983069:GXX983071 HHS983069:HHT983071 HRO983069:HRP983071 IBK983069:IBL983071 ILG983069:ILH983071 IVC983069:IVD983071 JEY983069:JEZ983071 JOU983069:JOV983071 JYQ983069:JYR983071 KIM983069:KIN983071 KSI983069:KSJ983071 LCE983069:LCF983071 LMA983069:LMB983071 LVW983069:LVX983071 MFS983069:MFT983071 MPO983069:MPP983071 MZK983069:MZL983071 NJG983069:NJH983071 NTC983069:NTD983071 OCY983069:OCZ983071 OMU983069:OMV983071 OWQ983069:OWR983071 PGM983069:PGN983071 PQI983069:PQJ983071 QAE983069:QAF983071 QKA983069:QKB983071 QTW983069:QTX983071 RDS983069:RDT983071 RNO983069:RNP983071 RXK983069:RXL983071 SHG983069:SHH983071 SRC983069:SRD983071 TAY983069:TAZ983071 TKU983069:TKV983071 TUQ983069:TUR983071 UEM983069:UEN983071 UOI983069:UOJ983071 UYE983069:UYF983071 VIA983069:VIB983071 VRW983069:VRX983071 WBS983069:WBT983071 WLO983069:WLP983071 WVK983069:WVL983071 C43:D43 IY31:IZ37 SU31:SV37 ACQ31:ACR37 AMM31:AMN37 AWI31:AWJ37 BGE31:BGF37 BQA31:BQB37 BZW31:BZX37 CJS31:CJT37 CTO31:CTP37 DDK31:DDL37 DNG31:DNH37 DXC31:DXD37 EGY31:EGZ37 EQU31:EQV37 FAQ31:FAR37 FKM31:FKN37 FUI31:FUJ37 GEE31:GEF37 GOA31:GOB37 GXW31:GXX37 HHS31:HHT37 HRO31:HRP37 IBK31:IBL37 ILG31:ILH37 IVC31:IVD37 JEY31:JEZ37 JOU31:JOV37 JYQ31:JYR37 KIM31:KIN37 KSI31:KSJ37 LCE31:LCF37 LMA31:LMB37 LVW31:LVX37 MFS31:MFT37 MPO31:MPP37 MZK31:MZL37 NJG31:NJH37 NTC31:NTD37 OCY31:OCZ37 OMU31:OMV37 OWQ31:OWR37 PGM31:PGN37 PQI31:PQJ37 QAE31:QAF37 QKA31:QKB37 QTW31:QTX37 RDS31:RDT37 RNO31:RNP37 RXK31:RXL37 SHG31:SHH37 SRC31:SRD37 TAY31:TAZ37 TKU31:TKV37 TUQ31:TUR37 UEM31:UEN37 UOI31:UOJ37 UYE31:UYF37 VIA31:VIB37 VRW31:VRX37 WBS31:WBT37 WLO31:WLP37 WVK31:WVL37 C65569:D65575 IY65569:IZ65575 SU65569:SV65575 ACQ65569:ACR65575 AMM65569:AMN65575 AWI65569:AWJ65575 BGE65569:BGF65575 BQA65569:BQB65575 BZW65569:BZX65575 CJS65569:CJT65575 CTO65569:CTP65575 DDK65569:DDL65575 DNG65569:DNH65575 DXC65569:DXD65575 EGY65569:EGZ65575 EQU65569:EQV65575 FAQ65569:FAR65575 FKM65569:FKN65575 FUI65569:FUJ65575 GEE65569:GEF65575 GOA65569:GOB65575 GXW65569:GXX65575 HHS65569:HHT65575 HRO65569:HRP65575 IBK65569:IBL65575 ILG65569:ILH65575 IVC65569:IVD65575 JEY65569:JEZ65575 JOU65569:JOV65575 JYQ65569:JYR65575 KIM65569:KIN65575 KSI65569:KSJ65575 LCE65569:LCF65575 LMA65569:LMB65575 LVW65569:LVX65575 MFS65569:MFT65575 MPO65569:MPP65575 MZK65569:MZL65575 NJG65569:NJH65575 NTC65569:NTD65575 OCY65569:OCZ65575 OMU65569:OMV65575 OWQ65569:OWR65575 PGM65569:PGN65575 PQI65569:PQJ65575 QAE65569:QAF65575 QKA65569:QKB65575 QTW65569:QTX65575 RDS65569:RDT65575 RNO65569:RNP65575 RXK65569:RXL65575 SHG65569:SHH65575 SRC65569:SRD65575 TAY65569:TAZ65575 TKU65569:TKV65575 TUQ65569:TUR65575 UEM65569:UEN65575 UOI65569:UOJ65575 UYE65569:UYF65575 VIA65569:VIB65575 VRW65569:VRX65575 WBS65569:WBT65575 WLO65569:WLP65575 WVK65569:WVL65575 C131105:D131111 IY131105:IZ131111 SU131105:SV131111 ACQ131105:ACR131111 AMM131105:AMN131111 AWI131105:AWJ131111 BGE131105:BGF131111 BQA131105:BQB131111 BZW131105:BZX131111 CJS131105:CJT131111 CTO131105:CTP131111 DDK131105:DDL131111 DNG131105:DNH131111 DXC131105:DXD131111 EGY131105:EGZ131111 EQU131105:EQV131111 FAQ131105:FAR131111 FKM131105:FKN131111 FUI131105:FUJ131111 GEE131105:GEF131111 GOA131105:GOB131111 GXW131105:GXX131111 HHS131105:HHT131111 HRO131105:HRP131111 IBK131105:IBL131111 ILG131105:ILH131111 IVC131105:IVD131111 JEY131105:JEZ131111 JOU131105:JOV131111 JYQ131105:JYR131111 KIM131105:KIN131111 KSI131105:KSJ131111 LCE131105:LCF131111 LMA131105:LMB131111 LVW131105:LVX131111 MFS131105:MFT131111 MPO131105:MPP131111 MZK131105:MZL131111 NJG131105:NJH131111 NTC131105:NTD131111 OCY131105:OCZ131111 OMU131105:OMV131111 OWQ131105:OWR131111 PGM131105:PGN131111 PQI131105:PQJ131111 QAE131105:QAF131111 QKA131105:QKB131111 QTW131105:QTX131111 RDS131105:RDT131111 RNO131105:RNP131111 RXK131105:RXL131111 SHG131105:SHH131111 SRC131105:SRD131111 TAY131105:TAZ131111 TKU131105:TKV131111 TUQ131105:TUR131111 UEM131105:UEN131111 UOI131105:UOJ131111 UYE131105:UYF131111 VIA131105:VIB131111 VRW131105:VRX131111 WBS131105:WBT131111 WLO131105:WLP131111 WVK131105:WVL131111 C196641:D196647 IY196641:IZ196647 SU196641:SV196647 ACQ196641:ACR196647 AMM196641:AMN196647 AWI196641:AWJ196647 BGE196641:BGF196647 BQA196641:BQB196647 BZW196641:BZX196647 CJS196641:CJT196647 CTO196641:CTP196647 DDK196641:DDL196647 DNG196641:DNH196647 DXC196641:DXD196647 EGY196641:EGZ196647 EQU196641:EQV196647 FAQ196641:FAR196647 FKM196641:FKN196647 FUI196641:FUJ196647 GEE196641:GEF196647 GOA196641:GOB196647 GXW196641:GXX196647 HHS196641:HHT196647 HRO196641:HRP196647 IBK196641:IBL196647 ILG196641:ILH196647 IVC196641:IVD196647 JEY196641:JEZ196647 JOU196641:JOV196647 JYQ196641:JYR196647 KIM196641:KIN196647 KSI196641:KSJ196647 LCE196641:LCF196647 LMA196641:LMB196647 LVW196641:LVX196647 MFS196641:MFT196647 MPO196641:MPP196647 MZK196641:MZL196647 NJG196641:NJH196647 NTC196641:NTD196647 OCY196641:OCZ196647 OMU196641:OMV196647 OWQ196641:OWR196647 PGM196641:PGN196647 PQI196641:PQJ196647 QAE196641:QAF196647 QKA196641:QKB196647 QTW196641:QTX196647 RDS196641:RDT196647 RNO196641:RNP196647 RXK196641:RXL196647 SHG196641:SHH196647 SRC196641:SRD196647 TAY196641:TAZ196647 TKU196641:TKV196647 TUQ196641:TUR196647 UEM196641:UEN196647 UOI196641:UOJ196647 UYE196641:UYF196647 VIA196641:VIB196647 VRW196641:VRX196647 WBS196641:WBT196647 WLO196641:WLP196647 WVK196641:WVL196647 C262177:D262183 IY262177:IZ262183 SU262177:SV262183 ACQ262177:ACR262183 AMM262177:AMN262183 AWI262177:AWJ262183 BGE262177:BGF262183 BQA262177:BQB262183 BZW262177:BZX262183 CJS262177:CJT262183 CTO262177:CTP262183 DDK262177:DDL262183 DNG262177:DNH262183 DXC262177:DXD262183 EGY262177:EGZ262183 EQU262177:EQV262183 FAQ262177:FAR262183 FKM262177:FKN262183 FUI262177:FUJ262183 GEE262177:GEF262183 GOA262177:GOB262183 GXW262177:GXX262183 HHS262177:HHT262183 HRO262177:HRP262183 IBK262177:IBL262183 ILG262177:ILH262183 IVC262177:IVD262183 JEY262177:JEZ262183 JOU262177:JOV262183 JYQ262177:JYR262183 KIM262177:KIN262183 KSI262177:KSJ262183 LCE262177:LCF262183 LMA262177:LMB262183 LVW262177:LVX262183 MFS262177:MFT262183 MPO262177:MPP262183 MZK262177:MZL262183 NJG262177:NJH262183 NTC262177:NTD262183 OCY262177:OCZ262183 OMU262177:OMV262183 OWQ262177:OWR262183 PGM262177:PGN262183 PQI262177:PQJ262183 QAE262177:QAF262183 QKA262177:QKB262183 QTW262177:QTX262183 RDS262177:RDT262183 RNO262177:RNP262183 RXK262177:RXL262183 SHG262177:SHH262183 SRC262177:SRD262183 TAY262177:TAZ262183 TKU262177:TKV262183 TUQ262177:TUR262183 UEM262177:UEN262183 UOI262177:UOJ262183 UYE262177:UYF262183 VIA262177:VIB262183 VRW262177:VRX262183 WBS262177:WBT262183 WLO262177:WLP262183 WVK262177:WVL262183 C327713:D327719 IY327713:IZ327719 SU327713:SV327719 ACQ327713:ACR327719 AMM327713:AMN327719 AWI327713:AWJ327719 BGE327713:BGF327719 BQA327713:BQB327719 BZW327713:BZX327719 CJS327713:CJT327719 CTO327713:CTP327719 DDK327713:DDL327719 DNG327713:DNH327719 DXC327713:DXD327719 EGY327713:EGZ327719 EQU327713:EQV327719 FAQ327713:FAR327719 FKM327713:FKN327719 FUI327713:FUJ327719 GEE327713:GEF327719 GOA327713:GOB327719 GXW327713:GXX327719 HHS327713:HHT327719 HRO327713:HRP327719 IBK327713:IBL327719 ILG327713:ILH327719 IVC327713:IVD327719 JEY327713:JEZ327719 JOU327713:JOV327719 JYQ327713:JYR327719 KIM327713:KIN327719 KSI327713:KSJ327719 LCE327713:LCF327719 LMA327713:LMB327719 LVW327713:LVX327719 MFS327713:MFT327719 MPO327713:MPP327719 MZK327713:MZL327719 NJG327713:NJH327719 NTC327713:NTD327719 OCY327713:OCZ327719 OMU327713:OMV327719 OWQ327713:OWR327719 PGM327713:PGN327719 PQI327713:PQJ327719 QAE327713:QAF327719 QKA327713:QKB327719 QTW327713:QTX327719 RDS327713:RDT327719 RNO327713:RNP327719 RXK327713:RXL327719 SHG327713:SHH327719 SRC327713:SRD327719 TAY327713:TAZ327719 TKU327713:TKV327719 TUQ327713:TUR327719 UEM327713:UEN327719 UOI327713:UOJ327719 UYE327713:UYF327719 VIA327713:VIB327719 VRW327713:VRX327719 WBS327713:WBT327719 WLO327713:WLP327719 WVK327713:WVL327719 C393249:D393255 IY393249:IZ393255 SU393249:SV393255 ACQ393249:ACR393255 AMM393249:AMN393255 AWI393249:AWJ393255 BGE393249:BGF393255 BQA393249:BQB393255 BZW393249:BZX393255 CJS393249:CJT393255 CTO393249:CTP393255 DDK393249:DDL393255 DNG393249:DNH393255 DXC393249:DXD393255 EGY393249:EGZ393255 EQU393249:EQV393255 FAQ393249:FAR393255 FKM393249:FKN393255 FUI393249:FUJ393255 GEE393249:GEF393255 GOA393249:GOB393255 GXW393249:GXX393255 HHS393249:HHT393255 HRO393249:HRP393255 IBK393249:IBL393255 ILG393249:ILH393255 IVC393249:IVD393255 JEY393249:JEZ393255 JOU393249:JOV393255 JYQ393249:JYR393255 KIM393249:KIN393255 KSI393249:KSJ393255 LCE393249:LCF393255 LMA393249:LMB393255 LVW393249:LVX393255 MFS393249:MFT393255 MPO393249:MPP393255 MZK393249:MZL393255 NJG393249:NJH393255 NTC393249:NTD393255 OCY393249:OCZ393255 OMU393249:OMV393255 OWQ393249:OWR393255 PGM393249:PGN393255 PQI393249:PQJ393255 QAE393249:QAF393255 QKA393249:QKB393255 QTW393249:QTX393255 RDS393249:RDT393255 RNO393249:RNP393255 RXK393249:RXL393255 SHG393249:SHH393255 SRC393249:SRD393255 TAY393249:TAZ393255 TKU393249:TKV393255 TUQ393249:TUR393255 UEM393249:UEN393255 UOI393249:UOJ393255 UYE393249:UYF393255 VIA393249:VIB393255 VRW393249:VRX393255 WBS393249:WBT393255 WLO393249:WLP393255 WVK393249:WVL393255 C458785:D458791 IY458785:IZ458791 SU458785:SV458791 ACQ458785:ACR458791 AMM458785:AMN458791 AWI458785:AWJ458791 BGE458785:BGF458791 BQA458785:BQB458791 BZW458785:BZX458791 CJS458785:CJT458791 CTO458785:CTP458791 DDK458785:DDL458791 DNG458785:DNH458791 DXC458785:DXD458791 EGY458785:EGZ458791 EQU458785:EQV458791 FAQ458785:FAR458791 FKM458785:FKN458791 FUI458785:FUJ458791 GEE458785:GEF458791 GOA458785:GOB458791 GXW458785:GXX458791 HHS458785:HHT458791 HRO458785:HRP458791 IBK458785:IBL458791 ILG458785:ILH458791 IVC458785:IVD458791 JEY458785:JEZ458791 JOU458785:JOV458791 JYQ458785:JYR458791 KIM458785:KIN458791 KSI458785:KSJ458791 LCE458785:LCF458791 LMA458785:LMB458791 LVW458785:LVX458791 MFS458785:MFT458791 MPO458785:MPP458791 MZK458785:MZL458791 NJG458785:NJH458791 NTC458785:NTD458791 OCY458785:OCZ458791 OMU458785:OMV458791 OWQ458785:OWR458791 PGM458785:PGN458791 PQI458785:PQJ458791 QAE458785:QAF458791 QKA458785:QKB458791 QTW458785:QTX458791 RDS458785:RDT458791 RNO458785:RNP458791 RXK458785:RXL458791 SHG458785:SHH458791 SRC458785:SRD458791 TAY458785:TAZ458791 TKU458785:TKV458791 TUQ458785:TUR458791 UEM458785:UEN458791 UOI458785:UOJ458791 UYE458785:UYF458791 VIA458785:VIB458791 VRW458785:VRX458791 WBS458785:WBT458791 WLO458785:WLP458791 WVK458785:WVL458791 C524321:D524327 IY524321:IZ524327 SU524321:SV524327 ACQ524321:ACR524327 AMM524321:AMN524327 AWI524321:AWJ524327 BGE524321:BGF524327 BQA524321:BQB524327 BZW524321:BZX524327 CJS524321:CJT524327 CTO524321:CTP524327 DDK524321:DDL524327 DNG524321:DNH524327 DXC524321:DXD524327 EGY524321:EGZ524327 EQU524321:EQV524327 FAQ524321:FAR524327 FKM524321:FKN524327 FUI524321:FUJ524327 GEE524321:GEF524327 GOA524321:GOB524327 GXW524321:GXX524327 HHS524321:HHT524327 HRO524321:HRP524327 IBK524321:IBL524327 ILG524321:ILH524327 IVC524321:IVD524327 JEY524321:JEZ524327 JOU524321:JOV524327 JYQ524321:JYR524327 KIM524321:KIN524327 KSI524321:KSJ524327 LCE524321:LCF524327 LMA524321:LMB524327 LVW524321:LVX524327 MFS524321:MFT524327 MPO524321:MPP524327 MZK524321:MZL524327 NJG524321:NJH524327 NTC524321:NTD524327 OCY524321:OCZ524327 OMU524321:OMV524327 OWQ524321:OWR524327 PGM524321:PGN524327 PQI524321:PQJ524327 QAE524321:QAF524327 QKA524321:QKB524327 QTW524321:QTX524327 RDS524321:RDT524327 RNO524321:RNP524327 RXK524321:RXL524327 SHG524321:SHH524327 SRC524321:SRD524327 TAY524321:TAZ524327 TKU524321:TKV524327 TUQ524321:TUR524327 UEM524321:UEN524327 UOI524321:UOJ524327 UYE524321:UYF524327 VIA524321:VIB524327 VRW524321:VRX524327 WBS524321:WBT524327 WLO524321:WLP524327 WVK524321:WVL524327 C589857:D589863 IY589857:IZ589863 SU589857:SV589863 ACQ589857:ACR589863 AMM589857:AMN589863 AWI589857:AWJ589863 BGE589857:BGF589863 BQA589857:BQB589863 BZW589857:BZX589863 CJS589857:CJT589863 CTO589857:CTP589863 DDK589857:DDL589863 DNG589857:DNH589863 DXC589857:DXD589863 EGY589857:EGZ589863 EQU589857:EQV589863 FAQ589857:FAR589863 FKM589857:FKN589863 FUI589857:FUJ589863 GEE589857:GEF589863 GOA589857:GOB589863 GXW589857:GXX589863 HHS589857:HHT589863 HRO589857:HRP589863 IBK589857:IBL589863 ILG589857:ILH589863 IVC589857:IVD589863 JEY589857:JEZ589863 JOU589857:JOV589863 JYQ589857:JYR589863 KIM589857:KIN589863 KSI589857:KSJ589863 LCE589857:LCF589863 LMA589857:LMB589863 LVW589857:LVX589863 MFS589857:MFT589863 MPO589857:MPP589863 MZK589857:MZL589863 NJG589857:NJH589863 NTC589857:NTD589863 OCY589857:OCZ589863 OMU589857:OMV589863 OWQ589857:OWR589863 PGM589857:PGN589863 PQI589857:PQJ589863 QAE589857:QAF589863 QKA589857:QKB589863 QTW589857:QTX589863 RDS589857:RDT589863 RNO589857:RNP589863 RXK589857:RXL589863 SHG589857:SHH589863 SRC589857:SRD589863 TAY589857:TAZ589863 TKU589857:TKV589863 TUQ589857:TUR589863 UEM589857:UEN589863 UOI589857:UOJ589863 UYE589857:UYF589863 VIA589857:VIB589863 VRW589857:VRX589863 WBS589857:WBT589863 WLO589857:WLP589863 WVK589857:WVL589863 C655393:D655399 IY655393:IZ655399 SU655393:SV655399 ACQ655393:ACR655399 AMM655393:AMN655399 AWI655393:AWJ655399 BGE655393:BGF655399 BQA655393:BQB655399 BZW655393:BZX655399 CJS655393:CJT655399 CTO655393:CTP655399 DDK655393:DDL655399 DNG655393:DNH655399 DXC655393:DXD655399 EGY655393:EGZ655399 EQU655393:EQV655399 FAQ655393:FAR655399 FKM655393:FKN655399 FUI655393:FUJ655399 GEE655393:GEF655399 GOA655393:GOB655399 GXW655393:GXX655399 HHS655393:HHT655399 HRO655393:HRP655399 IBK655393:IBL655399 ILG655393:ILH655399 IVC655393:IVD655399 JEY655393:JEZ655399 JOU655393:JOV655399 JYQ655393:JYR655399 KIM655393:KIN655399 KSI655393:KSJ655399 LCE655393:LCF655399 LMA655393:LMB655399 LVW655393:LVX655399 MFS655393:MFT655399 MPO655393:MPP655399 MZK655393:MZL655399 NJG655393:NJH655399 NTC655393:NTD655399 OCY655393:OCZ655399 OMU655393:OMV655399 OWQ655393:OWR655399 PGM655393:PGN655399 PQI655393:PQJ655399 QAE655393:QAF655399 QKA655393:QKB655399 QTW655393:QTX655399 RDS655393:RDT655399 RNO655393:RNP655399 RXK655393:RXL655399 SHG655393:SHH655399 SRC655393:SRD655399 TAY655393:TAZ655399 TKU655393:TKV655399 TUQ655393:TUR655399 UEM655393:UEN655399 UOI655393:UOJ655399 UYE655393:UYF655399 VIA655393:VIB655399 VRW655393:VRX655399 WBS655393:WBT655399 WLO655393:WLP655399 WVK655393:WVL655399 C720929:D720935 IY720929:IZ720935 SU720929:SV720935 ACQ720929:ACR720935 AMM720929:AMN720935 AWI720929:AWJ720935 BGE720929:BGF720935 BQA720929:BQB720935 BZW720929:BZX720935 CJS720929:CJT720935 CTO720929:CTP720935 DDK720929:DDL720935 DNG720929:DNH720935 DXC720929:DXD720935 EGY720929:EGZ720935 EQU720929:EQV720935 FAQ720929:FAR720935 FKM720929:FKN720935 FUI720929:FUJ720935 GEE720929:GEF720935 GOA720929:GOB720935 GXW720929:GXX720935 HHS720929:HHT720935 HRO720929:HRP720935 IBK720929:IBL720935 ILG720929:ILH720935 IVC720929:IVD720935 JEY720929:JEZ720935 JOU720929:JOV720935 JYQ720929:JYR720935 KIM720929:KIN720935 KSI720929:KSJ720935 LCE720929:LCF720935 LMA720929:LMB720935 LVW720929:LVX720935 MFS720929:MFT720935 MPO720929:MPP720935 MZK720929:MZL720935 NJG720929:NJH720935 NTC720929:NTD720935 OCY720929:OCZ720935 OMU720929:OMV720935 OWQ720929:OWR720935 PGM720929:PGN720935 PQI720929:PQJ720935 QAE720929:QAF720935 QKA720929:QKB720935 QTW720929:QTX720935 RDS720929:RDT720935 RNO720929:RNP720935 RXK720929:RXL720935 SHG720929:SHH720935 SRC720929:SRD720935 TAY720929:TAZ720935 TKU720929:TKV720935 TUQ720929:TUR720935 UEM720929:UEN720935 UOI720929:UOJ720935 UYE720929:UYF720935 VIA720929:VIB720935 VRW720929:VRX720935 WBS720929:WBT720935 WLO720929:WLP720935 WVK720929:WVL720935 C786465:D786471 IY786465:IZ786471 SU786465:SV786471 ACQ786465:ACR786471 AMM786465:AMN786471 AWI786465:AWJ786471 BGE786465:BGF786471 BQA786465:BQB786471 BZW786465:BZX786471 CJS786465:CJT786471 CTO786465:CTP786471 DDK786465:DDL786471 DNG786465:DNH786471 DXC786465:DXD786471 EGY786465:EGZ786471 EQU786465:EQV786471 FAQ786465:FAR786471 FKM786465:FKN786471 FUI786465:FUJ786471 GEE786465:GEF786471 GOA786465:GOB786471 GXW786465:GXX786471 HHS786465:HHT786471 HRO786465:HRP786471 IBK786465:IBL786471 ILG786465:ILH786471 IVC786465:IVD786471 JEY786465:JEZ786471 JOU786465:JOV786471 JYQ786465:JYR786471 KIM786465:KIN786471 KSI786465:KSJ786471 LCE786465:LCF786471 LMA786465:LMB786471 LVW786465:LVX786471 MFS786465:MFT786471 MPO786465:MPP786471 MZK786465:MZL786471 NJG786465:NJH786471 NTC786465:NTD786471 OCY786465:OCZ786471 OMU786465:OMV786471 OWQ786465:OWR786471 PGM786465:PGN786471 PQI786465:PQJ786471 QAE786465:QAF786471 QKA786465:QKB786471 QTW786465:QTX786471 RDS786465:RDT786471 RNO786465:RNP786471 RXK786465:RXL786471 SHG786465:SHH786471 SRC786465:SRD786471 TAY786465:TAZ786471 TKU786465:TKV786471 TUQ786465:TUR786471 UEM786465:UEN786471 UOI786465:UOJ786471 UYE786465:UYF786471 VIA786465:VIB786471 VRW786465:VRX786471 WBS786465:WBT786471 WLO786465:WLP786471 WVK786465:WVL786471 C852001:D852007 IY852001:IZ852007 SU852001:SV852007 ACQ852001:ACR852007 AMM852001:AMN852007 AWI852001:AWJ852007 BGE852001:BGF852007 BQA852001:BQB852007 BZW852001:BZX852007 CJS852001:CJT852007 CTO852001:CTP852007 DDK852001:DDL852007 DNG852001:DNH852007 DXC852001:DXD852007 EGY852001:EGZ852007 EQU852001:EQV852007 FAQ852001:FAR852007 FKM852001:FKN852007 FUI852001:FUJ852007 GEE852001:GEF852007 GOA852001:GOB852007 GXW852001:GXX852007 HHS852001:HHT852007 HRO852001:HRP852007 IBK852001:IBL852007 ILG852001:ILH852007 IVC852001:IVD852007 JEY852001:JEZ852007 JOU852001:JOV852007 JYQ852001:JYR852007 KIM852001:KIN852007 KSI852001:KSJ852007 LCE852001:LCF852007 LMA852001:LMB852007 LVW852001:LVX852007 MFS852001:MFT852007 MPO852001:MPP852007 MZK852001:MZL852007 NJG852001:NJH852007 NTC852001:NTD852007 OCY852001:OCZ852007 OMU852001:OMV852007 OWQ852001:OWR852007 PGM852001:PGN852007 PQI852001:PQJ852007 QAE852001:QAF852007 QKA852001:QKB852007 QTW852001:QTX852007 RDS852001:RDT852007 RNO852001:RNP852007 RXK852001:RXL852007 SHG852001:SHH852007 SRC852001:SRD852007 TAY852001:TAZ852007 TKU852001:TKV852007 TUQ852001:TUR852007 UEM852001:UEN852007 UOI852001:UOJ852007 UYE852001:UYF852007 VIA852001:VIB852007 VRW852001:VRX852007 WBS852001:WBT852007 WLO852001:WLP852007 WVK852001:WVL852007 C917537:D917543 IY917537:IZ917543 SU917537:SV917543 ACQ917537:ACR917543 AMM917537:AMN917543 AWI917537:AWJ917543 BGE917537:BGF917543 BQA917537:BQB917543 BZW917537:BZX917543 CJS917537:CJT917543 CTO917537:CTP917543 DDK917537:DDL917543 DNG917537:DNH917543 DXC917537:DXD917543 EGY917537:EGZ917543 EQU917537:EQV917543 FAQ917537:FAR917543 FKM917537:FKN917543 FUI917537:FUJ917543 GEE917537:GEF917543 GOA917537:GOB917543 GXW917537:GXX917543 HHS917537:HHT917543 HRO917537:HRP917543 IBK917537:IBL917543 ILG917537:ILH917543 IVC917537:IVD917543 JEY917537:JEZ917543 JOU917537:JOV917543 JYQ917537:JYR917543 KIM917537:KIN917543 KSI917537:KSJ917543 LCE917537:LCF917543 LMA917537:LMB917543 LVW917537:LVX917543 MFS917537:MFT917543 MPO917537:MPP917543 MZK917537:MZL917543 NJG917537:NJH917543 NTC917537:NTD917543 OCY917537:OCZ917543 OMU917537:OMV917543 OWQ917537:OWR917543 PGM917537:PGN917543 PQI917537:PQJ917543 QAE917537:QAF917543 QKA917537:QKB917543 QTW917537:QTX917543 RDS917537:RDT917543 RNO917537:RNP917543 RXK917537:RXL917543 SHG917537:SHH917543 SRC917537:SRD917543 TAY917537:TAZ917543 TKU917537:TKV917543 TUQ917537:TUR917543 UEM917537:UEN917543 UOI917537:UOJ917543 UYE917537:UYF917543 VIA917537:VIB917543 VRW917537:VRX917543 WBS917537:WBT917543 WLO917537:WLP917543 WVK917537:WVL917543 C983073:D983079 IY983073:IZ983079 SU983073:SV983079 ACQ983073:ACR983079 AMM983073:AMN983079 AWI983073:AWJ983079 BGE983073:BGF983079 BQA983073:BQB983079 BZW983073:BZX983079 CJS983073:CJT983079 CTO983073:CTP983079 DDK983073:DDL983079 DNG983073:DNH983079 DXC983073:DXD983079 EGY983073:EGZ983079 EQU983073:EQV983079 FAQ983073:FAR983079 FKM983073:FKN983079 FUI983073:FUJ983079 GEE983073:GEF983079 GOA983073:GOB983079 GXW983073:GXX983079 HHS983073:HHT983079 HRO983073:HRP983079 IBK983073:IBL983079 ILG983073:ILH983079 IVC983073:IVD983079 JEY983073:JEZ983079 JOU983073:JOV983079 JYQ983073:JYR983079 KIM983073:KIN983079 KSI983073:KSJ983079 LCE983073:LCF983079 LMA983073:LMB983079 LVW983073:LVX983079 MFS983073:MFT983079 MPO983073:MPP983079 MZK983073:MZL983079 NJG983073:NJH983079 NTC983073:NTD983079 OCY983073:OCZ983079 OMU983073:OMV983079 OWQ983073:OWR983079 PGM983073:PGN983079 PQI983073:PQJ983079 QAE983073:QAF983079 QKA983073:QKB983079 QTW983073:QTX983079 RDS983073:RDT983079 RNO983073:RNP983079 RXK983073:RXL983079 SHG983073:SHH983079 SRC983073:SRD983079 TAY983073:TAZ983079 TKU983073:TKV983079 TUQ983073:TUR983079 UEM983073:UEN983079 UOI983073:UOJ983079 UYE983073:UYF983079 VIA983073:VIB983079 VRW983073:VRX983079 WBS983073:WBT983079 WLO983073:WLP983079 WVK983073:WVL983079 VIB983136 IY56:IZ59 SU56:SV59 ACQ56:ACR59 AMM56:AMN59 AWI56:AWJ59 BGE56:BGF59 BQA56:BQB59 BZW56:BZX59 CJS56:CJT59 CTO56:CTP59 DDK56:DDL59 DNG56:DNH59 DXC56:DXD59 EGY56:EGZ59 EQU56:EQV59 FAQ56:FAR59 FKM56:FKN59 FUI56:FUJ59 GEE56:GEF59 GOA56:GOB59 GXW56:GXX59 HHS56:HHT59 HRO56:HRP59 IBK56:IBL59 ILG56:ILH59 IVC56:IVD59 JEY56:JEZ59 JOU56:JOV59 JYQ56:JYR59 KIM56:KIN59 KSI56:KSJ59 LCE56:LCF59 LMA56:LMB59 LVW56:LVX59 MFS56:MFT59 MPO56:MPP59 MZK56:MZL59 NJG56:NJH59 NTC56:NTD59 OCY56:OCZ59 OMU56:OMV59 OWQ56:OWR59 PGM56:PGN59 PQI56:PQJ59 QAE56:QAF59 QKA56:QKB59 QTW56:QTX59 RDS56:RDT59 RNO56:RNP59 RXK56:RXL59 SHG56:SHH59 SRC56:SRD59 TAY56:TAZ59 TKU56:TKV59 TUQ56:TUR59 UEM56:UEN59 UOI56:UOJ59 UYE56:UYF59 VIA56:VIB59 VRW56:VRX59 WBS56:WBT59 WLO56:WLP59 WVK56:WVL59 C65594:D65597 IY65594:IZ65597 SU65594:SV65597 ACQ65594:ACR65597 AMM65594:AMN65597 AWI65594:AWJ65597 BGE65594:BGF65597 BQA65594:BQB65597 BZW65594:BZX65597 CJS65594:CJT65597 CTO65594:CTP65597 DDK65594:DDL65597 DNG65594:DNH65597 DXC65594:DXD65597 EGY65594:EGZ65597 EQU65594:EQV65597 FAQ65594:FAR65597 FKM65594:FKN65597 FUI65594:FUJ65597 GEE65594:GEF65597 GOA65594:GOB65597 GXW65594:GXX65597 HHS65594:HHT65597 HRO65594:HRP65597 IBK65594:IBL65597 ILG65594:ILH65597 IVC65594:IVD65597 JEY65594:JEZ65597 JOU65594:JOV65597 JYQ65594:JYR65597 KIM65594:KIN65597 KSI65594:KSJ65597 LCE65594:LCF65597 LMA65594:LMB65597 LVW65594:LVX65597 MFS65594:MFT65597 MPO65594:MPP65597 MZK65594:MZL65597 NJG65594:NJH65597 NTC65594:NTD65597 OCY65594:OCZ65597 OMU65594:OMV65597 OWQ65594:OWR65597 PGM65594:PGN65597 PQI65594:PQJ65597 QAE65594:QAF65597 QKA65594:QKB65597 QTW65594:QTX65597 RDS65594:RDT65597 RNO65594:RNP65597 RXK65594:RXL65597 SHG65594:SHH65597 SRC65594:SRD65597 TAY65594:TAZ65597 TKU65594:TKV65597 TUQ65594:TUR65597 UEM65594:UEN65597 UOI65594:UOJ65597 UYE65594:UYF65597 VIA65594:VIB65597 VRW65594:VRX65597 WBS65594:WBT65597 WLO65594:WLP65597 WVK65594:WVL65597 C131130:D131133 IY131130:IZ131133 SU131130:SV131133 ACQ131130:ACR131133 AMM131130:AMN131133 AWI131130:AWJ131133 BGE131130:BGF131133 BQA131130:BQB131133 BZW131130:BZX131133 CJS131130:CJT131133 CTO131130:CTP131133 DDK131130:DDL131133 DNG131130:DNH131133 DXC131130:DXD131133 EGY131130:EGZ131133 EQU131130:EQV131133 FAQ131130:FAR131133 FKM131130:FKN131133 FUI131130:FUJ131133 GEE131130:GEF131133 GOA131130:GOB131133 GXW131130:GXX131133 HHS131130:HHT131133 HRO131130:HRP131133 IBK131130:IBL131133 ILG131130:ILH131133 IVC131130:IVD131133 JEY131130:JEZ131133 JOU131130:JOV131133 JYQ131130:JYR131133 KIM131130:KIN131133 KSI131130:KSJ131133 LCE131130:LCF131133 LMA131130:LMB131133 LVW131130:LVX131133 MFS131130:MFT131133 MPO131130:MPP131133 MZK131130:MZL131133 NJG131130:NJH131133 NTC131130:NTD131133 OCY131130:OCZ131133 OMU131130:OMV131133 OWQ131130:OWR131133 PGM131130:PGN131133 PQI131130:PQJ131133 QAE131130:QAF131133 QKA131130:QKB131133 QTW131130:QTX131133 RDS131130:RDT131133 RNO131130:RNP131133 RXK131130:RXL131133 SHG131130:SHH131133 SRC131130:SRD131133 TAY131130:TAZ131133 TKU131130:TKV131133 TUQ131130:TUR131133 UEM131130:UEN131133 UOI131130:UOJ131133 UYE131130:UYF131133 VIA131130:VIB131133 VRW131130:VRX131133 WBS131130:WBT131133 WLO131130:WLP131133 WVK131130:WVL131133 C196666:D196669 IY196666:IZ196669 SU196666:SV196669 ACQ196666:ACR196669 AMM196666:AMN196669 AWI196666:AWJ196669 BGE196666:BGF196669 BQA196666:BQB196669 BZW196666:BZX196669 CJS196666:CJT196669 CTO196666:CTP196669 DDK196666:DDL196669 DNG196666:DNH196669 DXC196666:DXD196669 EGY196666:EGZ196669 EQU196666:EQV196669 FAQ196666:FAR196669 FKM196666:FKN196669 FUI196666:FUJ196669 GEE196666:GEF196669 GOA196666:GOB196669 GXW196666:GXX196669 HHS196666:HHT196669 HRO196666:HRP196669 IBK196666:IBL196669 ILG196666:ILH196669 IVC196666:IVD196669 JEY196666:JEZ196669 JOU196666:JOV196669 JYQ196666:JYR196669 KIM196666:KIN196669 KSI196666:KSJ196669 LCE196666:LCF196669 LMA196666:LMB196669 LVW196666:LVX196669 MFS196666:MFT196669 MPO196666:MPP196669 MZK196666:MZL196669 NJG196666:NJH196669 NTC196666:NTD196669 OCY196666:OCZ196669 OMU196666:OMV196669 OWQ196666:OWR196669 PGM196666:PGN196669 PQI196666:PQJ196669 QAE196666:QAF196669 QKA196666:QKB196669 QTW196666:QTX196669 RDS196666:RDT196669 RNO196666:RNP196669 RXK196666:RXL196669 SHG196666:SHH196669 SRC196666:SRD196669 TAY196666:TAZ196669 TKU196666:TKV196669 TUQ196666:TUR196669 UEM196666:UEN196669 UOI196666:UOJ196669 UYE196666:UYF196669 VIA196666:VIB196669 VRW196666:VRX196669 WBS196666:WBT196669 WLO196666:WLP196669 WVK196666:WVL196669 C262202:D262205 IY262202:IZ262205 SU262202:SV262205 ACQ262202:ACR262205 AMM262202:AMN262205 AWI262202:AWJ262205 BGE262202:BGF262205 BQA262202:BQB262205 BZW262202:BZX262205 CJS262202:CJT262205 CTO262202:CTP262205 DDK262202:DDL262205 DNG262202:DNH262205 DXC262202:DXD262205 EGY262202:EGZ262205 EQU262202:EQV262205 FAQ262202:FAR262205 FKM262202:FKN262205 FUI262202:FUJ262205 GEE262202:GEF262205 GOA262202:GOB262205 GXW262202:GXX262205 HHS262202:HHT262205 HRO262202:HRP262205 IBK262202:IBL262205 ILG262202:ILH262205 IVC262202:IVD262205 JEY262202:JEZ262205 JOU262202:JOV262205 JYQ262202:JYR262205 KIM262202:KIN262205 KSI262202:KSJ262205 LCE262202:LCF262205 LMA262202:LMB262205 LVW262202:LVX262205 MFS262202:MFT262205 MPO262202:MPP262205 MZK262202:MZL262205 NJG262202:NJH262205 NTC262202:NTD262205 OCY262202:OCZ262205 OMU262202:OMV262205 OWQ262202:OWR262205 PGM262202:PGN262205 PQI262202:PQJ262205 QAE262202:QAF262205 QKA262202:QKB262205 QTW262202:QTX262205 RDS262202:RDT262205 RNO262202:RNP262205 RXK262202:RXL262205 SHG262202:SHH262205 SRC262202:SRD262205 TAY262202:TAZ262205 TKU262202:TKV262205 TUQ262202:TUR262205 UEM262202:UEN262205 UOI262202:UOJ262205 UYE262202:UYF262205 VIA262202:VIB262205 VRW262202:VRX262205 WBS262202:WBT262205 WLO262202:WLP262205 WVK262202:WVL262205 C327738:D327741 IY327738:IZ327741 SU327738:SV327741 ACQ327738:ACR327741 AMM327738:AMN327741 AWI327738:AWJ327741 BGE327738:BGF327741 BQA327738:BQB327741 BZW327738:BZX327741 CJS327738:CJT327741 CTO327738:CTP327741 DDK327738:DDL327741 DNG327738:DNH327741 DXC327738:DXD327741 EGY327738:EGZ327741 EQU327738:EQV327741 FAQ327738:FAR327741 FKM327738:FKN327741 FUI327738:FUJ327741 GEE327738:GEF327741 GOA327738:GOB327741 GXW327738:GXX327741 HHS327738:HHT327741 HRO327738:HRP327741 IBK327738:IBL327741 ILG327738:ILH327741 IVC327738:IVD327741 JEY327738:JEZ327741 JOU327738:JOV327741 JYQ327738:JYR327741 KIM327738:KIN327741 KSI327738:KSJ327741 LCE327738:LCF327741 LMA327738:LMB327741 LVW327738:LVX327741 MFS327738:MFT327741 MPO327738:MPP327741 MZK327738:MZL327741 NJG327738:NJH327741 NTC327738:NTD327741 OCY327738:OCZ327741 OMU327738:OMV327741 OWQ327738:OWR327741 PGM327738:PGN327741 PQI327738:PQJ327741 QAE327738:QAF327741 QKA327738:QKB327741 QTW327738:QTX327741 RDS327738:RDT327741 RNO327738:RNP327741 RXK327738:RXL327741 SHG327738:SHH327741 SRC327738:SRD327741 TAY327738:TAZ327741 TKU327738:TKV327741 TUQ327738:TUR327741 UEM327738:UEN327741 UOI327738:UOJ327741 UYE327738:UYF327741 VIA327738:VIB327741 VRW327738:VRX327741 WBS327738:WBT327741 WLO327738:WLP327741 WVK327738:WVL327741 C393274:D393277 IY393274:IZ393277 SU393274:SV393277 ACQ393274:ACR393277 AMM393274:AMN393277 AWI393274:AWJ393277 BGE393274:BGF393277 BQA393274:BQB393277 BZW393274:BZX393277 CJS393274:CJT393277 CTO393274:CTP393277 DDK393274:DDL393277 DNG393274:DNH393277 DXC393274:DXD393277 EGY393274:EGZ393277 EQU393274:EQV393277 FAQ393274:FAR393277 FKM393274:FKN393277 FUI393274:FUJ393277 GEE393274:GEF393277 GOA393274:GOB393277 GXW393274:GXX393277 HHS393274:HHT393277 HRO393274:HRP393277 IBK393274:IBL393277 ILG393274:ILH393277 IVC393274:IVD393277 JEY393274:JEZ393277 JOU393274:JOV393277 JYQ393274:JYR393277 KIM393274:KIN393277 KSI393274:KSJ393277 LCE393274:LCF393277 LMA393274:LMB393277 LVW393274:LVX393277 MFS393274:MFT393277 MPO393274:MPP393277 MZK393274:MZL393277 NJG393274:NJH393277 NTC393274:NTD393277 OCY393274:OCZ393277 OMU393274:OMV393277 OWQ393274:OWR393277 PGM393274:PGN393277 PQI393274:PQJ393277 QAE393274:QAF393277 QKA393274:QKB393277 QTW393274:QTX393277 RDS393274:RDT393277 RNO393274:RNP393277 RXK393274:RXL393277 SHG393274:SHH393277 SRC393274:SRD393277 TAY393274:TAZ393277 TKU393274:TKV393277 TUQ393274:TUR393277 UEM393274:UEN393277 UOI393274:UOJ393277 UYE393274:UYF393277 VIA393274:VIB393277 VRW393274:VRX393277 WBS393274:WBT393277 WLO393274:WLP393277 WVK393274:WVL393277 C458810:D458813 IY458810:IZ458813 SU458810:SV458813 ACQ458810:ACR458813 AMM458810:AMN458813 AWI458810:AWJ458813 BGE458810:BGF458813 BQA458810:BQB458813 BZW458810:BZX458813 CJS458810:CJT458813 CTO458810:CTP458813 DDK458810:DDL458813 DNG458810:DNH458813 DXC458810:DXD458813 EGY458810:EGZ458813 EQU458810:EQV458813 FAQ458810:FAR458813 FKM458810:FKN458813 FUI458810:FUJ458813 GEE458810:GEF458813 GOA458810:GOB458813 GXW458810:GXX458813 HHS458810:HHT458813 HRO458810:HRP458813 IBK458810:IBL458813 ILG458810:ILH458813 IVC458810:IVD458813 JEY458810:JEZ458813 JOU458810:JOV458813 JYQ458810:JYR458813 KIM458810:KIN458813 KSI458810:KSJ458813 LCE458810:LCF458813 LMA458810:LMB458813 LVW458810:LVX458813 MFS458810:MFT458813 MPO458810:MPP458813 MZK458810:MZL458813 NJG458810:NJH458813 NTC458810:NTD458813 OCY458810:OCZ458813 OMU458810:OMV458813 OWQ458810:OWR458813 PGM458810:PGN458813 PQI458810:PQJ458813 QAE458810:QAF458813 QKA458810:QKB458813 QTW458810:QTX458813 RDS458810:RDT458813 RNO458810:RNP458813 RXK458810:RXL458813 SHG458810:SHH458813 SRC458810:SRD458813 TAY458810:TAZ458813 TKU458810:TKV458813 TUQ458810:TUR458813 UEM458810:UEN458813 UOI458810:UOJ458813 UYE458810:UYF458813 VIA458810:VIB458813 VRW458810:VRX458813 WBS458810:WBT458813 WLO458810:WLP458813 WVK458810:WVL458813 C524346:D524349 IY524346:IZ524349 SU524346:SV524349 ACQ524346:ACR524349 AMM524346:AMN524349 AWI524346:AWJ524349 BGE524346:BGF524349 BQA524346:BQB524349 BZW524346:BZX524349 CJS524346:CJT524349 CTO524346:CTP524349 DDK524346:DDL524349 DNG524346:DNH524349 DXC524346:DXD524349 EGY524346:EGZ524349 EQU524346:EQV524349 FAQ524346:FAR524349 FKM524346:FKN524349 FUI524346:FUJ524349 GEE524346:GEF524349 GOA524346:GOB524349 GXW524346:GXX524349 HHS524346:HHT524349 HRO524346:HRP524349 IBK524346:IBL524349 ILG524346:ILH524349 IVC524346:IVD524349 JEY524346:JEZ524349 JOU524346:JOV524349 JYQ524346:JYR524349 KIM524346:KIN524349 KSI524346:KSJ524349 LCE524346:LCF524349 LMA524346:LMB524349 LVW524346:LVX524349 MFS524346:MFT524349 MPO524346:MPP524349 MZK524346:MZL524349 NJG524346:NJH524349 NTC524346:NTD524349 OCY524346:OCZ524349 OMU524346:OMV524349 OWQ524346:OWR524349 PGM524346:PGN524349 PQI524346:PQJ524349 QAE524346:QAF524349 QKA524346:QKB524349 QTW524346:QTX524349 RDS524346:RDT524349 RNO524346:RNP524349 RXK524346:RXL524349 SHG524346:SHH524349 SRC524346:SRD524349 TAY524346:TAZ524349 TKU524346:TKV524349 TUQ524346:TUR524349 UEM524346:UEN524349 UOI524346:UOJ524349 UYE524346:UYF524349 VIA524346:VIB524349 VRW524346:VRX524349 WBS524346:WBT524349 WLO524346:WLP524349 WVK524346:WVL524349 C589882:D589885 IY589882:IZ589885 SU589882:SV589885 ACQ589882:ACR589885 AMM589882:AMN589885 AWI589882:AWJ589885 BGE589882:BGF589885 BQA589882:BQB589885 BZW589882:BZX589885 CJS589882:CJT589885 CTO589882:CTP589885 DDK589882:DDL589885 DNG589882:DNH589885 DXC589882:DXD589885 EGY589882:EGZ589885 EQU589882:EQV589885 FAQ589882:FAR589885 FKM589882:FKN589885 FUI589882:FUJ589885 GEE589882:GEF589885 GOA589882:GOB589885 GXW589882:GXX589885 HHS589882:HHT589885 HRO589882:HRP589885 IBK589882:IBL589885 ILG589882:ILH589885 IVC589882:IVD589885 JEY589882:JEZ589885 JOU589882:JOV589885 JYQ589882:JYR589885 KIM589882:KIN589885 KSI589882:KSJ589885 LCE589882:LCF589885 LMA589882:LMB589885 LVW589882:LVX589885 MFS589882:MFT589885 MPO589882:MPP589885 MZK589882:MZL589885 NJG589882:NJH589885 NTC589882:NTD589885 OCY589882:OCZ589885 OMU589882:OMV589885 OWQ589882:OWR589885 PGM589882:PGN589885 PQI589882:PQJ589885 QAE589882:QAF589885 QKA589882:QKB589885 QTW589882:QTX589885 RDS589882:RDT589885 RNO589882:RNP589885 RXK589882:RXL589885 SHG589882:SHH589885 SRC589882:SRD589885 TAY589882:TAZ589885 TKU589882:TKV589885 TUQ589882:TUR589885 UEM589882:UEN589885 UOI589882:UOJ589885 UYE589882:UYF589885 VIA589882:VIB589885 VRW589882:VRX589885 WBS589882:WBT589885 WLO589882:WLP589885 WVK589882:WVL589885 C655418:D655421 IY655418:IZ655421 SU655418:SV655421 ACQ655418:ACR655421 AMM655418:AMN655421 AWI655418:AWJ655421 BGE655418:BGF655421 BQA655418:BQB655421 BZW655418:BZX655421 CJS655418:CJT655421 CTO655418:CTP655421 DDK655418:DDL655421 DNG655418:DNH655421 DXC655418:DXD655421 EGY655418:EGZ655421 EQU655418:EQV655421 FAQ655418:FAR655421 FKM655418:FKN655421 FUI655418:FUJ655421 GEE655418:GEF655421 GOA655418:GOB655421 GXW655418:GXX655421 HHS655418:HHT655421 HRO655418:HRP655421 IBK655418:IBL655421 ILG655418:ILH655421 IVC655418:IVD655421 JEY655418:JEZ655421 JOU655418:JOV655421 JYQ655418:JYR655421 KIM655418:KIN655421 KSI655418:KSJ655421 LCE655418:LCF655421 LMA655418:LMB655421 LVW655418:LVX655421 MFS655418:MFT655421 MPO655418:MPP655421 MZK655418:MZL655421 NJG655418:NJH655421 NTC655418:NTD655421 OCY655418:OCZ655421 OMU655418:OMV655421 OWQ655418:OWR655421 PGM655418:PGN655421 PQI655418:PQJ655421 QAE655418:QAF655421 QKA655418:QKB655421 QTW655418:QTX655421 RDS655418:RDT655421 RNO655418:RNP655421 RXK655418:RXL655421 SHG655418:SHH655421 SRC655418:SRD655421 TAY655418:TAZ655421 TKU655418:TKV655421 TUQ655418:TUR655421 UEM655418:UEN655421 UOI655418:UOJ655421 UYE655418:UYF655421 VIA655418:VIB655421 VRW655418:VRX655421 WBS655418:WBT655421 WLO655418:WLP655421 WVK655418:WVL655421 C720954:D720957 IY720954:IZ720957 SU720954:SV720957 ACQ720954:ACR720957 AMM720954:AMN720957 AWI720954:AWJ720957 BGE720954:BGF720957 BQA720954:BQB720957 BZW720954:BZX720957 CJS720954:CJT720957 CTO720954:CTP720957 DDK720954:DDL720957 DNG720954:DNH720957 DXC720954:DXD720957 EGY720954:EGZ720957 EQU720954:EQV720957 FAQ720954:FAR720957 FKM720954:FKN720957 FUI720954:FUJ720957 GEE720954:GEF720957 GOA720954:GOB720957 GXW720954:GXX720957 HHS720954:HHT720957 HRO720954:HRP720957 IBK720954:IBL720957 ILG720954:ILH720957 IVC720954:IVD720957 JEY720954:JEZ720957 JOU720954:JOV720957 JYQ720954:JYR720957 KIM720954:KIN720957 KSI720954:KSJ720957 LCE720954:LCF720957 LMA720954:LMB720957 LVW720954:LVX720957 MFS720954:MFT720957 MPO720954:MPP720957 MZK720954:MZL720957 NJG720954:NJH720957 NTC720954:NTD720957 OCY720954:OCZ720957 OMU720954:OMV720957 OWQ720954:OWR720957 PGM720954:PGN720957 PQI720954:PQJ720957 QAE720954:QAF720957 QKA720954:QKB720957 QTW720954:QTX720957 RDS720954:RDT720957 RNO720954:RNP720957 RXK720954:RXL720957 SHG720954:SHH720957 SRC720954:SRD720957 TAY720954:TAZ720957 TKU720954:TKV720957 TUQ720954:TUR720957 UEM720954:UEN720957 UOI720954:UOJ720957 UYE720954:UYF720957 VIA720954:VIB720957 VRW720954:VRX720957 WBS720954:WBT720957 WLO720954:WLP720957 WVK720954:WVL720957 C786490:D786493 IY786490:IZ786493 SU786490:SV786493 ACQ786490:ACR786493 AMM786490:AMN786493 AWI786490:AWJ786493 BGE786490:BGF786493 BQA786490:BQB786493 BZW786490:BZX786493 CJS786490:CJT786493 CTO786490:CTP786493 DDK786490:DDL786493 DNG786490:DNH786493 DXC786490:DXD786493 EGY786490:EGZ786493 EQU786490:EQV786493 FAQ786490:FAR786493 FKM786490:FKN786493 FUI786490:FUJ786493 GEE786490:GEF786493 GOA786490:GOB786493 GXW786490:GXX786493 HHS786490:HHT786493 HRO786490:HRP786493 IBK786490:IBL786493 ILG786490:ILH786493 IVC786490:IVD786493 JEY786490:JEZ786493 JOU786490:JOV786493 JYQ786490:JYR786493 KIM786490:KIN786493 KSI786490:KSJ786493 LCE786490:LCF786493 LMA786490:LMB786493 LVW786490:LVX786493 MFS786490:MFT786493 MPO786490:MPP786493 MZK786490:MZL786493 NJG786490:NJH786493 NTC786490:NTD786493 OCY786490:OCZ786493 OMU786490:OMV786493 OWQ786490:OWR786493 PGM786490:PGN786493 PQI786490:PQJ786493 QAE786490:QAF786493 QKA786490:QKB786493 QTW786490:QTX786493 RDS786490:RDT786493 RNO786490:RNP786493 RXK786490:RXL786493 SHG786490:SHH786493 SRC786490:SRD786493 TAY786490:TAZ786493 TKU786490:TKV786493 TUQ786490:TUR786493 UEM786490:UEN786493 UOI786490:UOJ786493 UYE786490:UYF786493 VIA786490:VIB786493 VRW786490:VRX786493 WBS786490:WBT786493 WLO786490:WLP786493 WVK786490:WVL786493 C852026:D852029 IY852026:IZ852029 SU852026:SV852029 ACQ852026:ACR852029 AMM852026:AMN852029 AWI852026:AWJ852029 BGE852026:BGF852029 BQA852026:BQB852029 BZW852026:BZX852029 CJS852026:CJT852029 CTO852026:CTP852029 DDK852026:DDL852029 DNG852026:DNH852029 DXC852026:DXD852029 EGY852026:EGZ852029 EQU852026:EQV852029 FAQ852026:FAR852029 FKM852026:FKN852029 FUI852026:FUJ852029 GEE852026:GEF852029 GOA852026:GOB852029 GXW852026:GXX852029 HHS852026:HHT852029 HRO852026:HRP852029 IBK852026:IBL852029 ILG852026:ILH852029 IVC852026:IVD852029 JEY852026:JEZ852029 JOU852026:JOV852029 JYQ852026:JYR852029 KIM852026:KIN852029 KSI852026:KSJ852029 LCE852026:LCF852029 LMA852026:LMB852029 LVW852026:LVX852029 MFS852026:MFT852029 MPO852026:MPP852029 MZK852026:MZL852029 NJG852026:NJH852029 NTC852026:NTD852029 OCY852026:OCZ852029 OMU852026:OMV852029 OWQ852026:OWR852029 PGM852026:PGN852029 PQI852026:PQJ852029 QAE852026:QAF852029 QKA852026:QKB852029 QTW852026:QTX852029 RDS852026:RDT852029 RNO852026:RNP852029 RXK852026:RXL852029 SHG852026:SHH852029 SRC852026:SRD852029 TAY852026:TAZ852029 TKU852026:TKV852029 TUQ852026:TUR852029 UEM852026:UEN852029 UOI852026:UOJ852029 UYE852026:UYF852029 VIA852026:VIB852029 VRW852026:VRX852029 WBS852026:WBT852029 WLO852026:WLP852029 WVK852026:WVL852029 C917562:D917565 IY917562:IZ917565 SU917562:SV917565 ACQ917562:ACR917565 AMM917562:AMN917565 AWI917562:AWJ917565 BGE917562:BGF917565 BQA917562:BQB917565 BZW917562:BZX917565 CJS917562:CJT917565 CTO917562:CTP917565 DDK917562:DDL917565 DNG917562:DNH917565 DXC917562:DXD917565 EGY917562:EGZ917565 EQU917562:EQV917565 FAQ917562:FAR917565 FKM917562:FKN917565 FUI917562:FUJ917565 GEE917562:GEF917565 GOA917562:GOB917565 GXW917562:GXX917565 HHS917562:HHT917565 HRO917562:HRP917565 IBK917562:IBL917565 ILG917562:ILH917565 IVC917562:IVD917565 JEY917562:JEZ917565 JOU917562:JOV917565 JYQ917562:JYR917565 KIM917562:KIN917565 KSI917562:KSJ917565 LCE917562:LCF917565 LMA917562:LMB917565 LVW917562:LVX917565 MFS917562:MFT917565 MPO917562:MPP917565 MZK917562:MZL917565 NJG917562:NJH917565 NTC917562:NTD917565 OCY917562:OCZ917565 OMU917562:OMV917565 OWQ917562:OWR917565 PGM917562:PGN917565 PQI917562:PQJ917565 QAE917562:QAF917565 QKA917562:QKB917565 QTW917562:QTX917565 RDS917562:RDT917565 RNO917562:RNP917565 RXK917562:RXL917565 SHG917562:SHH917565 SRC917562:SRD917565 TAY917562:TAZ917565 TKU917562:TKV917565 TUQ917562:TUR917565 UEM917562:UEN917565 UOI917562:UOJ917565 UYE917562:UYF917565 VIA917562:VIB917565 VRW917562:VRX917565 WBS917562:WBT917565 WLO917562:WLP917565 WVK917562:WVL917565 C983098:D983101 IY983098:IZ983101 SU983098:SV983101 ACQ983098:ACR983101 AMM983098:AMN983101 AWI983098:AWJ983101 BGE983098:BGF983101 BQA983098:BQB983101 BZW983098:BZX983101 CJS983098:CJT983101 CTO983098:CTP983101 DDK983098:DDL983101 DNG983098:DNH983101 DXC983098:DXD983101 EGY983098:EGZ983101 EQU983098:EQV983101 FAQ983098:FAR983101 FKM983098:FKN983101 FUI983098:FUJ983101 GEE983098:GEF983101 GOA983098:GOB983101 GXW983098:GXX983101 HHS983098:HHT983101 HRO983098:HRP983101 IBK983098:IBL983101 ILG983098:ILH983101 IVC983098:IVD983101 JEY983098:JEZ983101 JOU983098:JOV983101 JYQ983098:JYR983101 KIM983098:KIN983101 KSI983098:KSJ983101 LCE983098:LCF983101 LMA983098:LMB983101 LVW983098:LVX983101 MFS983098:MFT983101 MPO983098:MPP983101 MZK983098:MZL983101 NJG983098:NJH983101 NTC983098:NTD983101 OCY983098:OCZ983101 OMU983098:OMV983101 OWQ983098:OWR983101 PGM983098:PGN983101 PQI983098:PQJ983101 QAE983098:QAF983101 QKA983098:QKB983101 QTW983098:QTX983101 RDS983098:RDT983101 RNO983098:RNP983101 RXK983098:RXL983101 SHG983098:SHH983101 SRC983098:SRD983101 TAY983098:TAZ983101 TKU983098:TKV983101 TUQ983098:TUR983101 UEM983098:UEN983101 UOI983098:UOJ983101 UYE983098:UYF983101 VIA983098:VIB983101 VRW983098:VRX983101 WBS983098:WBT983101 WLO983098:WLP983101 WVK983098:WVL983101 VRX983136 IY61:IZ63 SU61:SV63 ACQ61:ACR63 AMM61:AMN63 AWI61:AWJ63 BGE61:BGF63 BQA61:BQB63 BZW61:BZX63 CJS61:CJT63 CTO61:CTP63 DDK61:DDL63 DNG61:DNH63 DXC61:DXD63 EGY61:EGZ63 EQU61:EQV63 FAQ61:FAR63 FKM61:FKN63 FUI61:FUJ63 GEE61:GEF63 GOA61:GOB63 GXW61:GXX63 HHS61:HHT63 HRO61:HRP63 IBK61:IBL63 ILG61:ILH63 IVC61:IVD63 JEY61:JEZ63 JOU61:JOV63 JYQ61:JYR63 KIM61:KIN63 KSI61:KSJ63 LCE61:LCF63 LMA61:LMB63 LVW61:LVX63 MFS61:MFT63 MPO61:MPP63 MZK61:MZL63 NJG61:NJH63 NTC61:NTD63 OCY61:OCZ63 OMU61:OMV63 OWQ61:OWR63 PGM61:PGN63 PQI61:PQJ63 QAE61:QAF63 QKA61:QKB63 QTW61:QTX63 RDS61:RDT63 RNO61:RNP63 RXK61:RXL63 SHG61:SHH63 SRC61:SRD63 TAY61:TAZ63 TKU61:TKV63 TUQ61:TUR63 UEM61:UEN63 UOI61:UOJ63 UYE61:UYF63 VIA61:VIB63 VRW61:VRX63 WBS61:WBT63 WLO61:WLP63 WVK61:WVL63 C65599:D65600 IY65599:IZ65600 SU65599:SV65600 ACQ65599:ACR65600 AMM65599:AMN65600 AWI65599:AWJ65600 BGE65599:BGF65600 BQA65599:BQB65600 BZW65599:BZX65600 CJS65599:CJT65600 CTO65599:CTP65600 DDK65599:DDL65600 DNG65599:DNH65600 DXC65599:DXD65600 EGY65599:EGZ65600 EQU65599:EQV65600 FAQ65599:FAR65600 FKM65599:FKN65600 FUI65599:FUJ65600 GEE65599:GEF65600 GOA65599:GOB65600 GXW65599:GXX65600 HHS65599:HHT65600 HRO65599:HRP65600 IBK65599:IBL65600 ILG65599:ILH65600 IVC65599:IVD65600 JEY65599:JEZ65600 JOU65599:JOV65600 JYQ65599:JYR65600 KIM65599:KIN65600 KSI65599:KSJ65600 LCE65599:LCF65600 LMA65599:LMB65600 LVW65599:LVX65600 MFS65599:MFT65600 MPO65599:MPP65600 MZK65599:MZL65600 NJG65599:NJH65600 NTC65599:NTD65600 OCY65599:OCZ65600 OMU65599:OMV65600 OWQ65599:OWR65600 PGM65599:PGN65600 PQI65599:PQJ65600 QAE65599:QAF65600 QKA65599:QKB65600 QTW65599:QTX65600 RDS65599:RDT65600 RNO65599:RNP65600 RXK65599:RXL65600 SHG65599:SHH65600 SRC65599:SRD65600 TAY65599:TAZ65600 TKU65599:TKV65600 TUQ65599:TUR65600 UEM65599:UEN65600 UOI65599:UOJ65600 UYE65599:UYF65600 VIA65599:VIB65600 VRW65599:VRX65600 WBS65599:WBT65600 WLO65599:WLP65600 WVK65599:WVL65600 C131135:D131136 IY131135:IZ131136 SU131135:SV131136 ACQ131135:ACR131136 AMM131135:AMN131136 AWI131135:AWJ131136 BGE131135:BGF131136 BQA131135:BQB131136 BZW131135:BZX131136 CJS131135:CJT131136 CTO131135:CTP131136 DDK131135:DDL131136 DNG131135:DNH131136 DXC131135:DXD131136 EGY131135:EGZ131136 EQU131135:EQV131136 FAQ131135:FAR131136 FKM131135:FKN131136 FUI131135:FUJ131136 GEE131135:GEF131136 GOA131135:GOB131136 GXW131135:GXX131136 HHS131135:HHT131136 HRO131135:HRP131136 IBK131135:IBL131136 ILG131135:ILH131136 IVC131135:IVD131136 JEY131135:JEZ131136 JOU131135:JOV131136 JYQ131135:JYR131136 KIM131135:KIN131136 KSI131135:KSJ131136 LCE131135:LCF131136 LMA131135:LMB131136 LVW131135:LVX131136 MFS131135:MFT131136 MPO131135:MPP131136 MZK131135:MZL131136 NJG131135:NJH131136 NTC131135:NTD131136 OCY131135:OCZ131136 OMU131135:OMV131136 OWQ131135:OWR131136 PGM131135:PGN131136 PQI131135:PQJ131136 QAE131135:QAF131136 QKA131135:QKB131136 QTW131135:QTX131136 RDS131135:RDT131136 RNO131135:RNP131136 RXK131135:RXL131136 SHG131135:SHH131136 SRC131135:SRD131136 TAY131135:TAZ131136 TKU131135:TKV131136 TUQ131135:TUR131136 UEM131135:UEN131136 UOI131135:UOJ131136 UYE131135:UYF131136 VIA131135:VIB131136 VRW131135:VRX131136 WBS131135:WBT131136 WLO131135:WLP131136 WVK131135:WVL131136 C196671:D196672 IY196671:IZ196672 SU196671:SV196672 ACQ196671:ACR196672 AMM196671:AMN196672 AWI196671:AWJ196672 BGE196671:BGF196672 BQA196671:BQB196672 BZW196671:BZX196672 CJS196671:CJT196672 CTO196671:CTP196672 DDK196671:DDL196672 DNG196671:DNH196672 DXC196671:DXD196672 EGY196671:EGZ196672 EQU196671:EQV196672 FAQ196671:FAR196672 FKM196671:FKN196672 FUI196671:FUJ196672 GEE196671:GEF196672 GOA196671:GOB196672 GXW196671:GXX196672 HHS196671:HHT196672 HRO196671:HRP196672 IBK196671:IBL196672 ILG196671:ILH196672 IVC196671:IVD196672 JEY196671:JEZ196672 JOU196671:JOV196672 JYQ196671:JYR196672 KIM196671:KIN196672 KSI196671:KSJ196672 LCE196671:LCF196672 LMA196671:LMB196672 LVW196671:LVX196672 MFS196671:MFT196672 MPO196671:MPP196672 MZK196671:MZL196672 NJG196671:NJH196672 NTC196671:NTD196672 OCY196671:OCZ196672 OMU196671:OMV196672 OWQ196671:OWR196672 PGM196671:PGN196672 PQI196671:PQJ196672 QAE196671:QAF196672 QKA196671:QKB196672 QTW196671:QTX196672 RDS196671:RDT196672 RNO196671:RNP196672 RXK196671:RXL196672 SHG196671:SHH196672 SRC196671:SRD196672 TAY196671:TAZ196672 TKU196671:TKV196672 TUQ196671:TUR196672 UEM196671:UEN196672 UOI196671:UOJ196672 UYE196671:UYF196672 VIA196671:VIB196672 VRW196671:VRX196672 WBS196671:WBT196672 WLO196671:WLP196672 WVK196671:WVL196672 C262207:D262208 IY262207:IZ262208 SU262207:SV262208 ACQ262207:ACR262208 AMM262207:AMN262208 AWI262207:AWJ262208 BGE262207:BGF262208 BQA262207:BQB262208 BZW262207:BZX262208 CJS262207:CJT262208 CTO262207:CTP262208 DDK262207:DDL262208 DNG262207:DNH262208 DXC262207:DXD262208 EGY262207:EGZ262208 EQU262207:EQV262208 FAQ262207:FAR262208 FKM262207:FKN262208 FUI262207:FUJ262208 GEE262207:GEF262208 GOA262207:GOB262208 GXW262207:GXX262208 HHS262207:HHT262208 HRO262207:HRP262208 IBK262207:IBL262208 ILG262207:ILH262208 IVC262207:IVD262208 JEY262207:JEZ262208 JOU262207:JOV262208 JYQ262207:JYR262208 KIM262207:KIN262208 KSI262207:KSJ262208 LCE262207:LCF262208 LMA262207:LMB262208 LVW262207:LVX262208 MFS262207:MFT262208 MPO262207:MPP262208 MZK262207:MZL262208 NJG262207:NJH262208 NTC262207:NTD262208 OCY262207:OCZ262208 OMU262207:OMV262208 OWQ262207:OWR262208 PGM262207:PGN262208 PQI262207:PQJ262208 QAE262207:QAF262208 QKA262207:QKB262208 QTW262207:QTX262208 RDS262207:RDT262208 RNO262207:RNP262208 RXK262207:RXL262208 SHG262207:SHH262208 SRC262207:SRD262208 TAY262207:TAZ262208 TKU262207:TKV262208 TUQ262207:TUR262208 UEM262207:UEN262208 UOI262207:UOJ262208 UYE262207:UYF262208 VIA262207:VIB262208 VRW262207:VRX262208 WBS262207:WBT262208 WLO262207:WLP262208 WVK262207:WVL262208 C327743:D327744 IY327743:IZ327744 SU327743:SV327744 ACQ327743:ACR327744 AMM327743:AMN327744 AWI327743:AWJ327744 BGE327743:BGF327744 BQA327743:BQB327744 BZW327743:BZX327744 CJS327743:CJT327744 CTO327743:CTP327744 DDK327743:DDL327744 DNG327743:DNH327744 DXC327743:DXD327744 EGY327743:EGZ327744 EQU327743:EQV327744 FAQ327743:FAR327744 FKM327743:FKN327744 FUI327743:FUJ327744 GEE327743:GEF327744 GOA327743:GOB327744 GXW327743:GXX327744 HHS327743:HHT327744 HRO327743:HRP327744 IBK327743:IBL327744 ILG327743:ILH327744 IVC327743:IVD327744 JEY327743:JEZ327744 JOU327743:JOV327744 JYQ327743:JYR327744 KIM327743:KIN327744 KSI327743:KSJ327744 LCE327743:LCF327744 LMA327743:LMB327744 LVW327743:LVX327744 MFS327743:MFT327744 MPO327743:MPP327744 MZK327743:MZL327744 NJG327743:NJH327744 NTC327743:NTD327744 OCY327743:OCZ327744 OMU327743:OMV327744 OWQ327743:OWR327744 PGM327743:PGN327744 PQI327743:PQJ327744 QAE327743:QAF327744 QKA327743:QKB327744 QTW327743:QTX327744 RDS327743:RDT327744 RNO327743:RNP327744 RXK327743:RXL327744 SHG327743:SHH327744 SRC327743:SRD327744 TAY327743:TAZ327744 TKU327743:TKV327744 TUQ327743:TUR327744 UEM327743:UEN327744 UOI327743:UOJ327744 UYE327743:UYF327744 VIA327743:VIB327744 VRW327743:VRX327744 WBS327743:WBT327744 WLO327743:WLP327744 WVK327743:WVL327744 C393279:D393280 IY393279:IZ393280 SU393279:SV393280 ACQ393279:ACR393280 AMM393279:AMN393280 AWI393279:AWJ393280 BGE393279:BGF393280 BQA393279:BQB393280 BZW393279:BZX393280 CJS393279:CJT393280 CTO393279:CTP393280 DDK393279:DDL393280 DNG393279:DNH393280 DXC393279:DXD393280 EGY393279:EGZ393280 EQU393279:EQV393280 FAQ393279:FAR393280 FKM393279:FKN393280 FUI393279:FUJ393280 GEE393279:GEF393280 GOA393279:GOB393280 GXW393279:GXX393280 HHS393279:HHT393280 HRO393279:HRP393280 IBK393279:IBL393280 ILG393279:ILH393280 IVC393279:IVD393280 JEY393279:JEZ393280 JOU393279:JOV393280 JYQ393279:JYR393280 KIM393279:KIN393280 KSI393279:KSJ393280 LCE393279:LCF393280 LMA393279:LMB393280 LVW393279:LVX393280 MFS393279:MFT393280 MPO393279:MPP393280 MZK393279:MZL393280 NJG393279:NJH393280 NTC393279:NTD393280 OCY393279:OCZ393280 OMU393279:OMV393280 OWQ393279:OWR393280 PGM393279:PGN393280 PQI393279:PQJ393280 QAE393279:QAF393280 QKA393279:QKB393280 QTW393279:QTX393280 RDS393279:RDT393280 RNO393279:RNP393280 RXK393279:RXL393280 SHG393279:SHH393280 SRC393279:SRD393280 TAY393279:TAZ393280 TKU393279:TKV393280 TUQ393279:TUR393280 UEM393279:UEN393280 UOI393279:UOJ393280 UYE393279:UYF393280 VIA393279:VIB393280 VRW393279:VRX393280 WBS393279:WBT393280 WLO393279:WLP393280 WVK393279:WVL393280 C458815:D458816 IY458815:IZ458816 SU458815:SV458816 ACQ458815:ACR458816 AMM458815:AMN458816 AWI458815:AWJ458816 BGE458815:BGF458816 BQA458815:BQB458816 BZW458815:BZX458816 CJS458815:CJT458816 CTO458815:CTP458816 DDK458815:DDL458816 DNG458815:DNH458816 DXC458815:DXD458816 EGY458815:EGZ458816 EQU458815:EQV458816 FAQ458815:FAR458816 FKM458815:FKN458816 FUI458815:FUJ458816 GEE458815:GEF458816 GOA458815:GOB458816 GXW458815:GXX458816 HHS458815:HHT458816 HRO458815:HRP458816 IBK458815:IBL458816 ILG458815:ILH458816 IVC458815:IVD458816 JEY458815:JEZ458816 JOU458815:JOV458816 JYQ458815:JYR458816 KIM458815:KIN458816 KSI458815:KSJ458816 LCE458815:LCF458816 LMA458815:LMB458816 LVW458815:LVX458816 MFS458815:MFT458816 MPO458815:MPP458816 MZK458815:MZL458816 NJG458815:NJH458816 NTC458815:NTD458816 OCY458815:OCZ458816 OMU458815:OMV458816 OWQ458815:OWR458816 PGM458815:PGN458816 PQI458815:PQJ458816 QAE458815:QAF458816 QKA458815:QKB458816 QTW458815:QTX458816 RDS458815:RDT458816 RNO458815:RNP458816 RXK458815:RXL458816 SHG458815:SHH458816 SRC458815:SRD458816 TAY458815:TAZ458816 TKU458815:TKV458816 TUQ458815:TUR458816 UEM458815:UEN458816 UOI458815:UOJ458816 UYE458815:UYF458816 VIA458815:VIB458816 VRW458815:VRX458816 WBS458815:WBT458816 WLO458815:WLP458816 WVK458815:WVL458816 C524351:D524352 IY524351:IZ524352 SU524351:SV524352 ACQ524351:ACR524352 AMM524351:AMN524352 AWI524351:AWJ524352 BGE524351:BGF524352 BQA524351:BQB524352 BZW524351:BZX524352 CJS524351:CJT524352 CTO524351:CTP524352 DDK524351:DDL524352 DNG524351:DNH524352 DXC524351:DXD524352 EGY524351:EGZ524352 EQU524351:EQV524352 FAQ524351:FAR524352 FKM524351:FKN524352 FUI524351:FUJ524352 GEE524351:GEF524352 GOA524351:GOB524352 GXW524351:GXX524352 HHS524351:HHT524352 HRO524351:HRP524352 IBK524351:IBL524352 ILG524351:ILH524352 IVC524351:IVD524352 JEY524351:JEZ524352 JOU524351:JOV524352 JYQ524351:JYR524352 KIM524351:KIN524352 KSI524351:KSJ524352 LCE524351:LCF524352 LMA524351:LMB524352 LVW524351:LVX524352 MFS524351:MFT524352 MPO524351:MPP524352 MZK524351:MZL524352 NJG524351:NJH524352 NTC524351:NTD524352 OCY524351:OCZ524352 OMU524351:OMV524352 OWQ524351:OWR524352 PGM524351:PGN524352 PQI524351:PQJ524352 QAE524351:QAF524352 QKA524351:QKB524352 QTW524351:QTX524352 RDS524351:RDT524352 RNO524351:RNP524352 RXK524351:RXL524352 SHG524351:SHH524352 SRC524351:SRD524352 TAY524351:TAZ524352 TKU524351:TKV524352 TUQ524351:TUR524352 UEM524351:UEN524352 UOI524351:UOJ524352 UYE524351:UYF524352 VIA524351:VIB524352 VRW524351:VRX524352 WBS524351:WBT524352 WLO524351:WLP524352 WVK524351:WVL524352 C589887:D589888 IY589887:IZ589888 SU589887:SV589888 ACQ589887:ACR589888 AMM589887:AMN589888 AWI589887:AWJ589888 BGE589887:BGF589888 BQA589887:BQB589888 BZW589887:BZX589888 CJS589887:CJT589888 CTO589887:CTP589888 DDK589887:DDL589888 DNG589887:DNH589888 DXC589887:DXD589888 EGY589887:EGZ589888 EQU589887:EQV589888 FAQ589887:FAR589888 FKM589887:FKN589888 FUI589887:FUJ589888 GEE589887:GEF589888 GOA589887:GOB589888 GXW589887:GXX589888 HHS589887:HHT589888 HRO589887:HRP589888 IBK589887:IBL589888 ILG589887:ILH589888 IVC589887:IVD589888 JEY589887:JEZ589888 JOU589887:JOV589888 JYQ589887:JYR589888 KIM589887:KIN589888 KSI589887:KSJ589888 LCE589887:LCF589888 LMA589887:LMB589888 LVW589887:LVX589888 MFS589887:MFT589888 MPO589887:MPP589888 MZK589887:MZL589888 NJG589887:NJH589888 NTC589887:NTD589888 OCY589887:OCZ589888 OMU589887:OMV589888 OWQ589887:OWR589888 PGM589887:PGN589888 PQI589887:PQJ589888 QAE589887:QAF589888 QKA589887:QKB589888 QTW589887:QTX589888 RDS589887:RDT589888 RNO589887:RNP589888 RXK589887:RXL589888 SHG589887:SHH589888 SRC589887:SRD589888 TAY589887:TAZ589888 TKU589887:TKV589888 TUQ589887:TUR589888 UEM589887:UEN589888 UOI589887:UOJ589888 UYE589887:UYF589888 VIA589887:VIB589888 VRW589887:VRX589888 WBS589887:WBT589888 WLO589887:WLP589888 WVK589887:WVL589888 C655423:D655424 IY655423:IZ655424 SU655423:SV655424 ACQ655423:ACR655424 AMM655423:AMN655424 AWI655423:AWJ655424 BGE655423:BGF655424 BQA655423:BQB655424 BZW655423:BZX655424 CJS655423:CJT655424 CTO655423:CTP655424 DDK655423:DDL655424 DNG655423:DNH655424 DXC655423:DXD655424 EGY655423:EGZ655424 EQU655423:EQV655424 FAQ655423:FAR655424 FKM655423:FKN655424 FUI655423:FUJ655424 GEE655423:GEF655424 GOA655423:GOB655424 GXW655423:GXX655424 HHS655423:HHT655424 HRO655423:HRP655424 IBK655423:IBL655424 ILG655423:ILH655424 IVC655423:IVD655424 JEY655423:JEZ655424 JOU655423:JOV655424 JYQ655423:JYR655424 KIM655423:KIN655424 KSI655423:KSJ655424 LCE655423:LCF655424 LMA655423:LMB655424 LVW655423:LVX655424 MFS655423:MFT655424 MPO655423:MPP655424 MZK655423:MZL655424 NJG655423:NJH655424 NTC655423:NTD655424 OCY655423:OCZ655424 OMU655423:OMV655424 OWQ655423:OWR655424 PGM655423:PGN655424 PQI655423:PQJ655424 QAE655423:QAF655424 QKA655423:QKB655424 QTW655423:QTX655424 RDS655423:RDT655424 RNO655423:RNP655424 RXK655423:RXL655424 SHG655423:SHH655424 SRC655423:SRD655424 TAY655423:TAZ655424 TKU655423:TKV655424 TUQ655423:TUR655424 UEM655423:UEN655424 UOI655423:UOJ655424 UYE655423:UYF655424 VIA655423:VIB655424 VRW655423:VRX655424 WBS655423:WBT655424 WLO655423:WLP655424 WVK655423:WVL655424 C720959:D720960 IY720959:IZ720960 SU720959:SV720960 ACQ720959:ACR720960 AMM720959:AMN720960 AWI720959:AWJ720960 BGE720959:BGF720960 BQA720959:BQB720960 BZW720959:BZX720960 CJS720959:CJT720960 CTO720959:CTP720960 DDK720959:DDL720960 DNG720959:DNH720960 DXC720959:DXD720960 EGY720959:EGZ720960 EQU720959:EQV720960 FAQ720959:FAR720960 FKM720959:FKN720960 FUI720959:FUJ720960 GEE720959:GEF720960 GOA720959:GOB720960 GXW720959:GXX720960 HHS720959:HHT720960 HRO720959:HRP720960 IBK720959:IBL720960 ILG720959:ILH720960 IVC720959:IVD720960 JEY720959:JEZ720960 JOU720959:JOV720960 JYQ720959:JYR720960 KIM720959:KIN720960 KSI720959:KSJ720960 LCE720959:LCF720960 LMA720959:LMB720960 LVW720959:LVX720960 MFS720959:MFT720960 MPO720959:MPP720960 MZK720959:MZL720960 NJG720959:NJH720960 NTC720959:NTD720960 OCY720959:OCZ720960 OMU720959:OMV720960 OWQ720959:OWR720960 PGM720959:PGN720960 PQI720959:PQJ720960 QAE720959:QAF720960 QKA720959:QKB720960 QTW720959:QTX720960 RDS720959:RDT720960 RNO720959:RNP720960 RXK720959:RXL720960 SHG720959:SHH720960 SRC720959:SRD720960 TAY720959:TAZ720960 TKU720959:TKV720960 TUQ720959:TUR720960 UEM720959:UEN720960 UOI720959:UOJ720960 UYE720959:UYF720960 VIA720959:VIB720960 VRW720959:VRX720960 WBS720959:WBT720960 WLO720959:WLP720960 WVK720959:WVL720960 C786495:D786496 IY786495:IZ786496 SU786495:SV786496 ACQ786495:ACR786496 AMM786495:AMN786496 AWI786495:AWJ786496 BGE786495:BGF786496 BQA786495:BQB786496 BZW786495:BZX786496 CJS786495:CJT786496 CTO786495:CTP786496 DDK786495:DDL786496 DNG786495:DNH786496 DXC786495:DXD786496 EGY786495:EGZ786496 EQU786495:EQV786496 FAQ786495:FAR786496 FKM786495:FKN786496 FUI786495:FUJ786496 GEE786495:GEF786496 GOA786495:GOB786496 GXW786495:GXX786496 HHS786495:HHT786496 HRO786495:HRP786496 IBK786495:IBL786496 ILG786495:ILH786496 IVC786495:IVD786496 JEY786495:JEZ786496 JOU786495:JOV786496 JYQ786495:JYR786496 KIM786495:KIN786496 KSI786495:KSJ786496 LCE786495:LCF786496 LMA786495:LMB786496 LVW786495:LVX786496 MFS786495:MFT786496 MPO786495:MPP786496 MZK786495:MZL786496 NJG786495:NJH786496 NTC786495:NTD786496 OCY786495:OCZ786496 OMU786495:OMV786496 OWQ786495:OWR786496 PGM786495:PGN786496 PQI786495:PQJ786496 QAE786495:QAF786496 QKA786495:QKB786496 QTW786495:QTX786496 RDS786495:RDT786496 RNO786495:RNP786496 RXK786495:RXL786496 SHG786495:SHH786496 SRC786495:SRD786496 TAY786495:TAZ786496 TKU786495:TKV786496 TUQ786495:TUR786496 UEM786495:UEN786496 UOI786495:UOJ786496 UYE786495:UYF786496 VIA786495:VIB786496 VRW786495:VRX786496 WBS786495:WBT786496 WLO786495:WLP786496 WVK786495:WVL786496 C852031:D852032 IY852031:IZ852032 SU852031:SV852032 ACQ852031:ACR852032 AMM852031:AMN852032 AWI852031:AWJ852032 BGE852031:BGF852032 BQA852031:BQB852032 BZW852031:BZX852032 CJS852031:CJT852032 CTO852031:CTP852032 DDK852031:DDL852032 DNG852031:DNH852032 DXC852031:DXD852032 EGY852031:EGZ852032 EQU852031:EQV852032 FAQ852031:FAR852032 FKM852031:FKN852032 FUI852031:FUJ852032 GEE852031:GEF852032 GOA852031:GOB852032 GXW852031:GXX852032 HHS852031:HHT852032 HRO852031:HRP852032 IBK852031:IBL852032 ILG852031:ILH852032 IVC852031:IVD852032 JEY852031:JEZ852032 JOU852031:JOV852032 JYQ852031:JYR852032 KIM852031:KIN852032 KSI852031:KSJ852032 LCE852031:LCF852032 LMA852031:LMB852032 LVW852031:LVX852032 MFS852031:MFT852032 MPO852031:MPP852032 MZK852031:MZL852032 NJG852031:NJH852032 NTC852031:NTD852032 OCY852031:OCZ852032 OMU852031:OMV852032 OWQ852031:OWR852032 PGM852031:PGN852032 PQI852031:PQJ852032 QAE852031:QAF852032 QKA852031:QKB852032 QTW852031:QTX852032 RDS852031:RDT852032 RNO852031:RNP852032 RXK852031:RXL852032 SHG852031:SHH852032 SRC852031:SRD852032 TAY852031:TAZ852032 TKU852031:TKV852032 TUQ852031:TUR852032 UEM852031:UEN852032 UOI852031:UOJ852032 UYE852031:UYF852032 VIA852031:VIB852032 VRW852031:VRX852032 WBS852031:WBT852032 WLO852031:WLP852032 WVK852031:WVL852032 C917567:D917568 IY917567:IZ917568 SU917567:SV917568 ACQ917567:ACR917568 AMM917567:AMN917568 AWI917567:AWJ917568 BGE917567:BGF917568 BQA917567:BQB917568 BZW917567:BZX917568 CJS917567:CJT917568 CTO917567:CTP917568 DDK917567:DDL917568 DNG917567:DNH917568 DXC917567:DXD917568 EGY917567:EGZ917568 EQU917567:EQV917568 FAQ917567:FAR917568 FKM917567:FKN917568 FUI917567:FUJ917568 GEE917567:GEF917568 GOA917567:GOB917568 GXW917567:GXX917568 HHS917567:HHT917568 HRO917567:HRP917568 IBK917567:IBL917568 ILG917567:ILH917568 IVC917567:IVD917568 JEY917567:JEZ917568 JOU917567:JOV917568 JYQ917567:JYR917568 KIM917567:KIN917568 KSI917567:KSJ917568 LCE917567:LCF917568 LMA917567:LMB917568 LVW917567:LVX917568 MFS917567:MFT917568 MPO917567:MPP917568 MZK917567:MZL917568 NJG917567:NJH917568 NTC917567:NTD917568 OCY917567:OCZ917568 OMU917567:OMV917568 OWQ917567:OWR917568 PGM917567:PGN917568 PQI917567:PQJ917568 QAE917567:QAF917568 QKA917567:QKB917568 QTW917567:QTX917568 RDS917567:RDT917568 RNO917567:RNP917568 RXK917567:RXL917568 SHG917567:SHH917568 SRC917567:SRD917568 TAY917567:TAZ917568 TKU917567:TKV917568 TUQ917567:TUR917568 UEM917567:UEN917568 UOI917567:UOJ917568 UYE917567:UYF917568 VIA917567:VIB917568 VRW917567:VRX917568 WBS917567:WBT917568 WLO917567:WLP917568 WVK917567:WVL917568 C983103:D983104 IY983103:IZ983104 SU983103:SV983104 ACQ983103:ACR983104 AMM983103:AMN983104 AWI983103:AWJ983104 BGE983103:BGF983104 BQA983103:BQB983104 BZW983103:BZX983104 CJS983103:CJT983104 CTO983103:CTP983104 DDK983103:DDL983104 DNG983103:DNH983104 DXC983103:DXD983104 EGY983103:EGZ983104 EQU983103:EQV983104 FAQ983103:FAR983104 FKM983103:FKN983104 FUI983103:FUJ983104 GEE983103:GEF983104 GOA983103:GOB983104 GXW983103:GXX983104 HHS983103:HHT983104 HRO983103:HRP983104 IBK983103:IBL983104 ILG983103:ILH983104 IVC983103:IVD983104 JEY983103:JEZ983104 JOU983103:JOV983104 JYQ983103:JYR983104 KIM983103:KIN983104 KSI983103:KSJ983104 LCE983103:LCF983104 LMA983103:LMB983104 LVW983103:LVX983104 MFS983103:MFT983104 MPO983103:MPP983104 MZK983103:MZL983104 NJG983103:NJH983104 NTC983103:NTD983104 OCY983103:OCZ983104 OMU983103:OMV983104 OWQ983103:OWR983104 PGM983103:PGN983104 PQI983103:PQJ983104 QAE983103:QAF983104 QKA983103:QKB983104 QTW983103:QTX983104 RDS983103:RDT983104 RNO983103:RNP983104 RXK983103:RXL983104 SHG983103:SHH983104 SRC983103:SRD983104 TAY983103:TAZ983104 TKU983103:TKV983104 TUQ983103:TUR983104 UEM983103:UEN983104 UOI983103:UOJ983104 UYE983103:UYF983104 VIA983103:VIB983104 VRW983103:VRX983104 WBS983103:WBT983104 WLO983103:WLP983104 WVK983103:WVL983104 WVL983136 IY65:IZ67 SU65:SV67 ACQ65:ACR67 AMM65:AMN67 AWI65:AWJ67 BGE65:BGF67 BQA65:BQB67 BZW65:BZX67 CJS65:CJT67 CTO65:CTP67 DDK65:DDL67 DNG65:DNH67 DXC65:DXD67 EGY65:EGZ67 EQU65:EQV67 FAQ65:FAR67 FKM65:FKN67 FUI65:FUJ67 GEE65:GEF67 GOA65:GOB67 GXW65:GXX67 HHS65:HHT67 HRO65:HRP67 IBK65:IBL67 ILG65:ILH67 IVC65:IVD67 JEY65:JEZ67 JOU65:JOV67 JYQ65:JYR67 KIM65:KIN67 KSI65:KSJ67 LCE65:LCF67 LMA65:LMB67 LVW65:LVX67 MFS65:MFT67 MPO65:MPP67 MZK65:MZL67 NJG65:NJH67 NTC65:NTD67 OCY65:OCZ67 OMU65:OMV67 OWQ65:OWR67 PGM65:PGN67 PQI65:PQJ67 QAE65:QAF67 QKA65:QKB67 QTW65:QTX67 RDS65:RDT67 RNO65:RNP67 RXK65:RXL67 SHG65:SHH67 SRC65:SRD67 TAY65:TAZ67 TKU65:TKV67 TUQ65:TUR67 UEM65:UEN67 UOI65:UOJ67 UYE65:UYF67 VIA65:VIB67 VRW65:VRX67 WBS65:WBT67 WLO65:WLP67 WVK65:WVL67 C65602:D65603 IY65602:IZ65603 SU65602:SV65603 ACQ65602:ACR65603 AMM65602:AMN65603 AWI65602:AWJ65603 BGE65602:BGF65603 BQA65602:BQB65603 BZW65602:BZX65603 CJS65602:CJT65603 CTO65602:CTP65603 DDK65602:DDL65603 DNG65602:DNH65603 DXC65602:DXD65603 EGY65602:EGZ65603 EQU65602:EQV65603 FAQ65602:FAR65603 FKM65602:FKN65603 FUI65602:FUJ65603 GEE65602:GEF65603 GOA65602:GOB65603 GXW65602:GXX65603 HHS65602:HHT65603 HRO65602:HRP65603 IBK65602:IBL65603 ILG65602:ILH65603 IVC65602:IVD65603 JEY65602:JEZ65603 JOU65602:JOV65603 JYQ65602:JYR65603 KIM65602:KIN65603 KSI65602:KSJ65603 LCE65602:LCF65603 LMA65602:LMB65603 LVW65602:LVX65603 MFS65602:MFT65603 MPO65602:MPP65603 MZK65602:MZL65603 NJG65602:NJH65603 NTC65602:NTD65603 OCY65602:OCZ65603 OMU65602:OMV65603 OWQ65602:OWR65603 PGM65602:PGN65603 PQI65602:PQJ65603 QAE65602:QAF65603 QKA65602:QKB65603 QTW65602:QTX65603 RDS65602:RDT65603 RNO65602:RNP65603 RXK65602:RXL65603 SHG65602:SHH65603 SRC65602:SRD65603 TAY65602:TAZ65603 TKU65602:TKV65603 TUQ65602:TUR65603 UEM65602:UEN65603 UOI65602:UOJ65603 UYE65602:UYF65603 VIA65602:VIB65603 VRW65602:VRX65603 WBS65602:WBT65603 WLO65602:WLP65603 WVK65602:WVL65603 C131138:D131139 IY131138:IZ131139 SU131138:SV131139 ACQ131138:ACR131139 AMM131138:AMN131139 AWI131138:AWJ131139 BGE131138:BGF131139 BQA131138:BQB131139 BZW131138:BZX131139 CJS131138:CJT131139 CTO131138:CTP131139 DDK131138:DDL131139 DNG131138:DNH131139 DXC131138:DXD131139 EGY131138:EGZ131139 EQU131138:EQV131139 FAQ131138:FAR131139 FKM131138:FKN131139 FUI131138:FUJ131139 GEE131138:GEF131139 GOA131138:GOB131139 GXW131138:GXX131139 HHS131138:HHT131139 HRO131138:HRP131139 IBK131138:IBL131139 ILG131138:ILH131139 IVC131138:IVD131139 JEY131138:JEZ131139 JOU131138:JOV131139 JYQ131138:JYR131139 KIM131138:KIN131139 KSI131138:KSJ131139 LCE131138:LCF131139 LMA131138:LMB131139 LVW131138:LVX131139 MFS131138:MFT131139 MPO131138:MPP131139 MZK131138:MZL131139 NJG131138:NJH131139 NTC131138:NTD131139 OCY131138:OCZ131139 OMU131138:OMV131139 OWQ131138:OWR131139 PGM131138:PGN131139 PQI131138:PQJ131139 QAE131138:QAF131139 QKA131138:QKB131139 QTW131138:QTX131139 RDS131138:RDT131139 RNO131138:RNP131139 RXK131138:RXL131139 SHG131138:SHH131139 SRC131138:SRD131139 TAY131138:TAZ131139 TKU131138:TKV131139 TUQ131138:TUR131139 UEM131138:UEN131139 UOI131138:UOJ131139 UYE131138:UYF131139 VIA131138:VIB131139 VRW131138:VRX131139 WBS131138:WBT131139 WLO131138:WLP131139 WVK131138:WVL131139 C196674:D196675 IY196674:IZ196675 SU196674:SV196675 ACQ196674:ACR196675 AMM196674:AMN196675 AWI196674:AWJ196675 BGE196674:BGF196675 BQA196674:BQB196675 BZW196674:BZX196675 CJS196674:CJT196675 CTO196674:CTP196675 DDK196674:DDL196675 DNG196674:DNH196675 DXC196674:DXD196675 EGY196674:EGZ196675 EQU196674:EQV196675 FAQ196674:FAR196675 FKM196674:FKN196675 FUI196674:FUJ196675 GEE196674:GEF196675 GOA196674:GOB196675 GXW196674:GXX196675 HHS196674:HHT196675 HRO196674:HRP196675 IBK196674:IBL196675 ILG196674:ILH196675 IVC196674:IVD196675 JEY196674:JEZ196675 JOU196674:JOV196675 JYQ196674:JYR196675 KIM196674:KIN196675 KSI196674:KSJ196675 LCE196674:LCF196675 LMA196674:LMB196675 LVW196674:LVX196675 MFS196674:MFT196675 MPO196674:MPP196675 MZK196674:MZL196675 NJG196674:NJH196675 NTC196674:NTD196675 OCY196674:OCZ196675 OMU196674:OMV196675 OWQ196674:OWR196675 PGM196674:PGN196675 PQI196674:PQJ196675 QAE196674:QAF196675 QKA196674:QKB196675 QTW196674:QTX196675 RDS196674:RDT196675 RNO196674:RNP196675 RXK196674:RXL196675 SHG196674:SHH196675 SRC196674:SRD196675 TAY196674:TAZ196675 TKU196674:TKV196675 TUQ196674:TUR196675 UEM196674:UEN196675 UOI196674:UOJ196675 UYE196674:UYF196675 VIA196674:VIB196675 VRW196674:VRX196675 WBS196674:WBT196675 WLO196674:WLP196675 WVK196674:WVL196675 C262210:D262211 IY262210:IZ262211 SU262210:SV262211 ACQ262210:ACR262211 AMM262210:AMN262211 AWI262210:AWJ262211 BGE262210:BGF262211 BQA262210:BQB262211 BZW262210:BZX262211 CJS262210:CJT262211 CTO262210:CTP262211 DDK262210:DDL262211 DNG262210:DNH262211 DXC262210:DXD262211 EGY262210:EGZ262211 EQU262210:EQV262211 FAQ262210:FAR262211 FKM262210:FKN262211 FUI262210:FUJ262211 GEE262210:GEF262211 GOA262210:GOB262211 GXW262210:GXX262211 HHS262210:HHT262211 HRO262210:HRP262211 IBK262210:IBL262211 ILG262210:ILH262211 IVC262210:IVD262211 JEY262210:JEZ262211 JOU262210:JOV262211 JYQ262210:JYR262211 KIM262210:KIN262211 KSI262210:KSJ262211 LCE262210:LCF262211 LMA262210:LMB262211 LVW262210:LVX262211 MFS262210:MFT262211 MPO262210:MPP262211 MZK262210:MZL262211 NJG262210:NJH262211 NTC262210:NTD262211 OCY262210:OCZ262211 OMU262210:OMV262211 OWQ262210:OWR262211 PGM262210:PGN262211 PQI262210:PQJ262211 QAE262210:QAF262211 QKA262210:QKB262211 QTW262210:QTX262211 RDS262210:RDT262211 RNO262210:RNP262211 RXK262210:RXL262211 SHG262210:SHH262211 SRC262210:SRD262211 TAY262210:TAZ262211 TKU262210:TKV262211 TUQ262210:TUR262211 UEM262210:UEN262211 UOI262210:UOJ262211 UYE262210:UYF262211 VIA262210:VIB262211 VRW262210:VRX262211 WBS262210:WBT262211 WLO262210:WLP262211 WVK262210:WVL262211 C327746:D327747 IY327746:IZ327747 SU327746:SV327747 ACQ327746:ACR327747 AMM327746:AMN327747 AWI327746:AWJ327747 BGE327746:BGF327747 BQA327746:BQB327747 BZW327746:BZX327747 CJS327746:CJT327747 CTO327746:CTP327747 DDK327746:DDL327747 DNG327746:DNH327747 DXC327746:DXD327747 EGY327746:EGZ327747 EQU327746:EQV327747 FAQ327746:FAR327747 FKM327746:FKN327747 FUI327746:FUJ327747 GEE327746:GEF327747 GOA327746:GOB327747 GXW327746:GXX327747 HHS327746:HHT327747 HRO327746:HRP327747 IBK327746:IBL327747 ILG327746:ILH327747 IVC327746:IVD327747 JEY327746:JEZ327747 JOU327746:JOV327747 JYQ327746:JYR327747 KIM327746:KIN327747 KSI327746:KSJ327747 LCE327746:LCF327747 LMA327746:LMB327747 LVW327746:LVX327747 MFS327746:MFT327747 MPO327746:MPP327747 MZK327746:MZL327747 NJG327746:NJH327747 NTC327746:NTD327747 OCY327746:OCZ327747 OMU327746:OMV327747 OWQ327746:OWR327747 PGM327746:PGN327747 PQI327746:PQJ327747 QAE327746:QAF327747 QKA327746:QKB327747 QTW327746:QTX327747 RDS327746:RDT327747 RNO327746:RNP327747 RXK327746:RXL327747 SHG327746:SHH327747 SRC327746:SRD327747 TAY327746:TAZ327747 TKU327746:TKV327747 TUQ327746:TUR327747 UEM327746:UEN327747 UOI327746:UOJ327747 UYE327746:UYF327747 VIA327746:VIB327747 VRW327746:VRX327747 WBS327746:WBT327747 WLO327746:WLP327747 WVK327746:WVL327747 C393282:D393283 IY393282:IZ393283 SU393282:SV393283 ACQ393282:ACR393283 AMM393282:AMN393283 AWI393282:AWJ393283 BGE393282:BGF393283 BQA393282:BQB393283 BZW393282:BZX393283 CJS393282:CJT393283 CTO393282:CTP393283 DDK393282:DDL393283 DNG393282:DNH393283 DXC393282:DXD393283 EGY393282:EGZ393283 EQU393282:EQV393283 FAQ393282:FAR393283 FKM393282:FKN393283 FUI393282:FUJ393283 GEE393282:GEF393283 GOA393282:GOB393283 GXW393282:GXX393283 HHS393282:HHT393283 HRO393282:HRP393283 IBK393282:IBL393283 ILG393282:ILH393283 IVC393282:IVD393283 JEY393282:JEZ393283 JOU393282:JOV393283 JYQ393282:JYR393283 KIM393282:KIN393283 KSI393282:KSJ393283 LCE393282:LCF393283 LMA393282:LMB393283 LVW393282:LVX393283 MFS393282:MFT393283 MPO393282:MPP393283 MZK393282:MZL393283 NJG393282:NJH393283 NTC393282:NTD393283 OCY393282:OCZ393283 OMU393282:OMV393283 OWQ393282:OWR393283 PGM393282:PGN393283 PQI393282:PQJ393283 QAE393282:QAF393283 QKA393282:QKB393283 QTW393282:QTX393283 RDS393282:RDT393283 RNO393282:RNP393283 RXK393282:RXL393283 SHG393282:SHH393283 SRC393282:SRD393283 TAY393282:TAZ393283 TKU393282:TKV393283 TUQ393282:TUR393283 UEM393282:UEN393283 UOI393282:UOJ393283 UYE393282:UYF393283 VIA393282:VIB393283 VRW393282:VRX393283 WBS393282:WBT393283 WLO393282:WLP393283 WVK393282:WVL393283 C458818:D458819 IY458818:IZ458819 SU458818:SV458819 ACQ458818:ACR458819 AMM458818:AMN458819 AWI458818:AWJ458819 BGE458818:BGF458819 BQA458818:BQB458819 BZW458818:BZX458819 CJS458818:CJT458819 CTO458818:CTP458819 DDK458818:DDL458819 DNG458818:DNH458819 DXC458818:DXD458819 EGY458818:EGZ458819 EQU458818:EQV458819 FAQ458818:FAR458819 FKM458818:FKN458819 FUI458818:FUJ458819 GEE458818:GEF458819 GOA458818:GOB458819 GXW458818:GXX458819 HHS458818:HHT458819 HRO458818:HRP458819 IBK458818:IBL458819 ILG458818:ILH458819 IVC458818:IVD458819 JEY458818:JEZ458819 JOU458818:JOV458819 JYQ458818:JYR458819 KIM458818:KIN458819 KSI458818:KSJ458819 LCE458818:LCF458819 LMA458818:LMB458819 LVW458818:LVX458819 MFS458818:MFT458819 MPO458818:MPP458819 MZK458818:MZL458819 NJG458818:NJH458819 NTC458818:NTD458819 OCY458818:OCZ458819 OMU458818:OMV458819 OWQ458818:OWR458819 PGM458818:PGN458819 PQI458818:PQJ458819 QAE458818:QAF458819 QKA458818:QKB458819 QTW458818:QTX458819 RDS458818:RDT458819 RNO458818:RNP458819 RXK458818:RXL458819 SHG458818:SHH458819 SRC458818:SRD458819 TAY458818:TAZ458819 TKU458818:TKV458819 TUQ458818:TUR458819 UEM458818:UEN458819 UOI458818:UOJ458819 UYE458818:UYF458819 VIA458818:VIB458819 VRW458818:VRX458819 WBS458818:WBT458819 WLO458818:WLP458819 WVK458818:WVL458819 C524354:D524355 IY524354:IZ524355 SU524354:SV524355 ACQ524354:ACR524355 AMM524354:AMN524355 AWI524354:AWJ524355 BGE524354:BGF524355 BQA524354:BQB524355 BZW524354:BZX524355 CJS524354:CJT524355 CTO524354:CTP524355 DDK524354:DDL524355 DNG524354:DNH524355 DXC524354:DXD524355 EGY524354:EGZ524355 EQU524354:EQV524355 FAQ524354:FAR524355 FKM524354:FKN524355 FUI524354:FUJ524355 GEE524354:GEF524355 GOA524354:GOB524355 GXW524354:GXX524355 HHS524354:HHT524355 HRO524354:HRP524355 IBK524354:IBL524355 ILG524354:ILH524355 IVC524354:IVD524355 JEY524354:JEZ524355 JOU524354:JOV524355 JYQ524354:JYR524355 KIM524354:KIN524355 KSI524354:KSJ524355 LCE524354:LCF524355 LMA524354:LMB524355 LVW524354:LVX524355 MFS524354:MFT524355 MPO524354:MPP524355 MZK524354:MZL524355 NJG524354:NJH524355 NTC524354:NTD524355 OCY524354:OCZ524355 OMU524354:OMV524355 OWQ524354:OWR524355 PGM524354:PGN524355 PQI524354:PQJ524355 QAE524354:QAF524355 QKA524354:QKB524355 QTW524354:QTX524355 RDS524354:RDT524355 RNO524354:RNP524355 RXK524354:RXL524355 SHG524354:SHH524355 SRC524354:SRD524355 TAY524354:TAZ524355 TKU524354:TKV524355 TUQ524354:TUR524355 UEM524354:UEN524355 UOI524354:UOJ524355 UYE524354:UYF524355 VIA524354:VIB524355 VRW524354:VRX524355 WBS524354:WBT524355 WLO524354:WLP524355 WVK524354:WVL524355 C589890:D589891 IY589890:IZ589891 SU589890:SV589891 ACQ589890:ACR589891 AMM589890:AMN589891 AWI589890:AWJ589891 BGE589890:BGF589891 BQA589890:BQB589891 BZW589890:BZX589891 CJS589890:CJT589891 CTO589890:CTP589891 DDK589890:DDL589891 DNG589890:DNH589891 DXC589890:DXD589891 EGY589890:EGZ589891 EQU589890:EQV589891 FAQ589890:FAR589891 FKM589890:FKN589891 FUI589890:FUJ589891 GEE589890:GEF589891 GOA589890:GOB589891 GXW589890:GXX589891 HHS589890:HHT589891 HRO589890:HRP589891 IBK589890:IBL589891 ILG589890:ILH589891 IVC589890:IVD589891 JEY589890:JEZ589891 JOU589890:JOV589891 JYQ589890:JYR589891 KIM589890:KIN589891 KSI589890:KSJ589891 LCE589890:LCF589891 LMA589890:LMB589891 LVW589890:LVX589891 MFS589890:MFT589891 MPO589890:MPP589891 MZK589890:MZL589891 NJG589890:NJH589891 NTC589890:NTD589891 OCY589890:OCZ589891 OMU589890:OMV589891 OWQ589890:OWR589891 PGM589890:PGN589891 PQI589890:PQJ589891 QAE589890:QAF589891 QKA589890:QKB589891 QTW589890:QTX589891 RDS589890:RDT589891 RNO589890:RNP589891 RXK589890:RXL589891 SHG589890:SHH589891 SRC589890:SRD589891 TAY589890:TAZ589891 TKU589890:TKV589891 TUQ589890:TUR589891 UEM589890:UEN589891 UOI589890:UOJ589891 UYE589890:UYF589891 VIA589890:VIB589891 VRW589890:VRX589891 WBS589890:WBT589891 WLO589890:WLP589891 WVK589890:WVL589891 C655426:D655427 IY655426:IZ655427 SU655426:SV655427 ACQ655426:ACR655427 AMM655426:AMN655427 AWI655426:AWJ655427 BGE655426:BGF655427 BQA655426:BQB655427 BZW655426:BZX655427 CJS655426:CJT655427 CTO655426:CTP655427 DDK655426:DDL655427 DNG655426:DNH655427 DXC655426:DXD655427 EGY655426:EGZ655427 EQU655426:EQV655427 FAQ655426:FAR655427 FKM655426:FKN655427 FUI655426:FUJ655427 GEE655426:GEF655427 GOA655426:GOB655427 GXW655426:GXX655427 HHS655426:HHT655427 HRO655426:HRP655427 IBK655426:IBL655427 ILG655426:ILH655427 IVC655426:IVD655427 JEY655426:JEZ655427 JOU655426:JOV655427 JYQ655426:JYR655427 KIM655426:KIN655427 KSI655426:KSJ655427 LCE655426:LCF655427 LMA655426:LMB655427 LVW655426:LVX655427 MFS655426:MFT655427 MPO655426:MPP655427 MZK655426:MZL655427 NJG655426:NJH655427 NTC655426:NTD655427 OCY655426:OCZ655427 OMU655426:OMV655427 OWQ655426:OWR655427 PGM655426:PGN655427 PQI655426:PQJ655427 QAE655426:QAF655427 QKA655426:QKB655427 QTW655426:QTX655427 RDS655426:RDT655427 RNO655426:RNP655427 RXK655426:RXL655427 SHG655426:SHH655427 SRC655426:SRD655427 TAY655426:TAZ655427 TKU655426:TKV655427 TUQ655426:TUR655427 UEM655426:UEN655427 UOI655426:UOJ655427 UYE655426:UYF655427 VIA655426:VIB655427 VRW655426:VRX655427 WBS655426:WBT655427 WLO655426:WLP655427 WVK655426:WVL655427 C720962:D720963 IY720962:IZ720963 SU720962:SV720963 ACQ720962:ACR720963 AMM720962:AMN720963 AWI720962:AWJ720963 BGE720962:BGF720963 BQA720962:BQB720963 BZW720962:BZX720963 CJS720962:CJT720963 CTO720962:CTP720963 DDK720962:DDL720963 DNG720962:DNH720963 DXC720962:DXD720963 EGY720962:EGZ720963 EQU720962:EQV720963 FAQ720962:FAR720963 FKM720962:FKN720963 FUI720962:FUJ720963 GEE720962:GEF720963 GOA720962:GOB720963 GXW720962:GXX720963 HHS720962:HHT720963 HRO720962:HRP720963 IBK720962:IBL720963 ILG720962:ILH720963 IVC720962:IVD720963 JEY720962:JEZ720963 JOU720962:JOV720963 JYQ720962:JYR720963 KIM720962:KIN720963 KSI720962:KSJ720963 LCE720962:LCF720963 LMA720962:LMB720963 LVW720962:LVX720963 MFS720962:MFT720963 MPO720962:MPP720963 MZK720962:MZL720963 NJG720962:NJH720963 NTC720962:NTD720963 OCY720962:OCZ720963 OMU720962:OMV720963 OWQ720962:OWR720963 PGM720962:PGN720963 PQI720962:PQJ720963 QAE720962:QAF720963 QKA720962:QKB720963 QTW720962:QTX720963 RDS720962:RDT720963 RNO720962:RNP720963 RXK720962:RXL720963 SHG720962:SHH720963 SRC720962:SRD720963 TAY720962:TAZ720963 TKU720962:TKV720963 TUQ720962:TUR720963 UEM720962:UEN720963 UOI720962:UOJ720963 UYE720962:UYF720963 VIA720962:VIB720963 VRW720962:VRX720963 WBS720962:WBT720963 WLO720962:WLP720963 WVK720962:WVL720963 C786498:D786499 IY786498:IZ786499 SU786498:SV786499 ACQ786498:ACR786499 AMM786498:AMN786499 AWI786498:AWJ786499 BGE786498:BGF786499 BQA786498:BQB786499 BZW786498:BZX786499 CJS786498:CJT786499 CTO786498:CTP786499 DDK786498:DDL786499 DNG786498:DNH786499 DXC786498:DXD786499 EGY786498:EGZ786499 EQU786498:EQV786499 FAQ786498:FAR786499 FKM786498:FKN786499 FUI786498:FUJ786499 GEE786498:GEF786499 GOA786498:GOB786499 GXW786498:GXX786499 HHS786498:HHT786499 HRO786498:HRP786499 IBK786498:IBL786499 ILG786498:ILH786499 IVC786498:IVD786499 JEY786498:JEZ786499 JOU786498:JOV786499 JYQ786498:JYR786499 KIM786498:KIN786499 KSI786498:KSJ786499 LCE786498:LCF786499 LMA786498:LMB786499 LVW786498:LVX786499 MFS786498:MFT786499 MPO786498:MPP786499 MZK786498:MZL786499 NJG786498:NJH786499 NTC786498:NTD786499 OCY786498:OCZ786499 OMU786498:OMV786499 OWQ786498:OWR786499 PGM786498:PGN786499 PQI786498:PQJ786499 QAE786498:QAF786499 QKA786498:QKB786499 QTW786498:QTX786499 RDS786498:RDT786499 RNO786498:RNP786499 RXK786498:RXL786499 SHG786498:SHH786499 SRC786498:SRD786499 TAY786498:TAZ786499 TKU786498:TKV786499 TUQ786498:TUR786499 UEM786498:UEN786499 UOI786498:UOJ786499 UYE786498:UYF786499 VIA786498:VIB786499 VRW786498:VRX786499 WBS786498:WBT786499 WLO786498:WLP786499 WVK786498:WVL786499 C852034:D852035 IY852034:IZ852035 SU852034:SV852035 ACQ852034:ACR852035 AMM852034:AMN852035 AWI852034:AWJ852035 BGE852034:BGF852035 BQA852034:BQB852035 BZW852034:BZX852035 CJS852034:CJT852035 CTO852034:CTP852035 DDK852034:DDL852035 DNG852034:DNH852035 DXC852034:DXD852035 EGY852034:EGZ852035 EQU852034:EQV852035 FAQ852034:FAR852035 FKM852034:FKN852035 FUI852034:FUJ852035 GEE852034:GEF852035 GOA852034:GOB852035 GXW852034:GXX852035 HHS852034:HHT852035 HRO852034:HRP852035 IBK852034:IBL852035 ILG852034:ILH852035 IVC852034:IVD852035 JEY852034:JEZ852035 JOU852034:JOV852035 JYQ852034:JYR852035 KIM852034:KIN852035 KSI852034:KSJ852035 LCE852034:LCF852035 LMA852034:LMB852035 LVW852034:LVX852035 MFS852034:MFT852035 MPO852034:MPP852035 MZK852034:MZL852035 NJG852034:NJH852035 NTC852034:NTD852035 OCY852034:OCZ852035 OMU852034:OMV852035 OWQ852034:OWR852035 PGM852034:PGN852035 PQI852034:PQJ852035 QAE852034:QAF852035 QKA852034:QKB852035 QTW852034:QTX852035 RDS852034:RDT852035 RNO852034:RNP852035 RXK852034:RXL852035 SHG852034:SHH852035 SRC852034:SRD852035 TAY852034:TAZ852035 TKU852034:TKV852035 TUQ852034:TUR852035 UEM852034:UEN852035 UOI852034:UOJ852035 UYE852034:UYF852035 VIA852034:VIB852035 VRW852034:VRX852035 WBS852034:WBT852035 WLO852034:WLP852035 WVK852034:WVL852035 C917570:D917571 IY917570:IZ917571 SU917570:SV917571 ACQ917570:ACR917571 AMM917570:AMN917571 AWI917570:AWJ917571 BGE917570:BGF917571 BQA917570:BQB917571 BZW917570:BZX917571 CJS917570:CJT917571 CTO917570:CTP917571 DDK917570:DDL917571 DNG917570:DNH917571 DXC917570:DXD917571 EGY917570:EGZ917571 EQU917570:EQV917571 FAQ917570:FAR917571 FKM917570:FKN917571 FUI917570:FUJ917571 GEE917570:GEF917571 GOA917570:GOB917571 GXW917570:GXX917571 HHS917570:HHT917571 HRO917570:HRP917571 IBK917570:IBL917571 ILG917570:ILH917571 IVC917570:IVD917571 JEY917570:JEZ917571 JOU917570:JOV917571 JYQ917570:JYR917571 KIM917570:KIN917571 KSI917570:KSJ917571 LCE917570:LCF917571 LMA917570:LMB917571 LVW917570:LVX917571 MFS917570:MFT917571 MPO917570:MPP917571 MZK917570:MZL917571 NJG917570:NJH917571 NTC917570:NTD917571 OCY917570:OCZ917571 OMU917570:OMV917571 OWQ917570:OWR917571 PGM917570:PGN917571 PQI917570:PQJ917571 QAE917570:QAF917571 QKA917570:QKB917571 QTW917570:QTX917571 RDS917570:RDT917571 RNO917570:RNP917571 RXK917570:RXL917571 SHG917570:SHH917571 SRC917570:SRD917571 TAY917570:TAZ917571 TKU917570:TKV917571 TUQ917570:TUR917571 UEM917570:UEN917571 UOI917570:UOJ917571 UYE917570:UYF917571 VIA917570:VIB917571 VRW917570:VRX917571 WBS917570:WBT917571 WLO917570:WLP917571 WVK917570:WVL917571 C983106:D983107 IY983106:IZ983107 SU983106:SV983107 ACQ983106:ACR983107 AMM983106:AMN983107 AWI983106:AWJ983107 BGE983106:BGF983107 BQA983106:BQB983107 BZW983106:BZX983107 CJS983106:CJT983107 CTO983106:CTP983107 DDK983106:DDL983107 DNG983106:DNH983107 DXC983106:DXD983107 EGY983106:EGZ983107 EQU983106:EQV983107 FAQ983106:FAR983107 FKM983106:FKN983107 FUI983106:FUJ983107 GEE983106:GEF983107 GOA983106:GOB983107 GXW983106:GXX983107 HHS983106:HHT983107 HRO983106:HRP983107 IBK983106:IBL983107 ILG983106:ILH983107 IVC983106:IVD983107 JEY983106:JEZ983107 JOU983106:JOV983107 JYQ983106:JYR983107 KIM983106:KIN983107 KSI983106:KSJ983107 LCE983106:LCF983107 LMA983106:LMB983107 LVW983106:LVX983107 MFS983106:MFT983107 MPO983106:MPP983107 MZK983106:MZL983107 NJG983106:NJH983107 NTC983106:NTD983107 OCY983106:OCZ983107 OMU983106:OMV983107 OWQ983106:OWR983107 PGM983106:PGN983107 PQI983106:PQJ983107 QAE983106:QAF983107 QKA983106:QKB983107 QTW983106:QTX983107 RDS983106:RDT983107 RNO983106:RNP983107 RXK983106:RXL983107 SHG983106:SHH983107 SRC983106:SRD983107 TAY983106:TAZ983107 TKU983106:TKV983107 TUQ983106:TUR983107 UEM983106:UEN983107 UOI983106:UOJ983107 UYE983106:UYF983107 VIA983106:VIB983107 VRW983106:VRX983107 WBS983106:WBT983107 WLO983106:WLP983107 WVK983106:WVL983107 TAZ983136 IY69:IZ74 SU69:SV74 ACQ69:ACR74 AMM69:AMN74 AWI69:AWJ74 BGE69:BGF74 BQA69:BQB74 BZW69:BZX74 CJS69:CJT74 CTO69:CTP74 DDK69:DDL74 DNG69:DNH74 DXC69:DXD74 EGY69:EGZ74 EQU69:EQV74 FAQ69:FAR74 FKM69:FKN74 FUI69:FUJ74 GEE69:GEF74 GOA69:GOB74 GXW69:GXX74 HHS69:HHT74 HRO69:HRP74 IBK69:IBL74 ILG69:ILH74 IVC69:IVD74 JEY69:JEZ74 JOU69:JOV74 JYQ69:JYR74 KIM69:KIN74 KSI69:KSJ74 LCE69:LCF74 LMA69:LMB74 LVW69:LVX74 MFS69:MFT74 MPO69:MPP74 MZK69:MZL74 NJG69:NJH74 NTC69:NTD74 OCY69:OCZ74 OMU69:OMV74 OWQ69:OWR74 PGM69:PGN74 PQI69:PQJ74 QAE69:QAF74 QKA69:QKB74 QTW69:QTX74 RDS69:RDT74 RNO69:RNP74 RXK69:RXL74 SHG69:SHH74 SRC69:SRD74 TAY69:TAZ74 TKU69:TKV74 TUQ69:TUR74 UEM69:UEN74 UOI69:UOJ74 UYE69:UYF74 VIA69:VIB74 VRW69:VRX74 WBS69:WBT74 WLO69:WLP74 WVK69:WVL74 C65605:D65610 IY65605:IZ65610 SU65605:SV65610 ACQ65605:ACR65610 AMM65605:AMN65610 AWI65605:AWJ65610 BGE65605:BGF65610 BQA65605:BQB65610 BZW65605:BZX65610 CJS65605:CJT65610 CTO65605:CTP65610 DDK65605:DDL65610 DNG65605:DNH65610 DXC65605:DXD65610 EGY65605:EGZ65610 EQU65605:EQV65610 FAQ65605:FAR65610 FKM65605:FKN65610 FUI65605:FUJ65610 GEE65605:GEF65610 GOA65605:GOB65610 GXW65605:GXX65610 HHS65605:HHT65610 HRO65605:HRP65610 IBK65605:IBL65610 ILG65605:ILH65610 IVC65605:IVD65610 JEY65605:JEZ65610 JOU65605:JOV65610 JYQ65605:JYR65610 KIM65605:KIN65610 KSI65605:KSJ65610 LCE65605:LCF65610 LMA65605:LMB65610 LVW65605:LVX65610 MFS65605:MFT65610 MPO65605:MPP65610 MZK65605:MZL65610 NJG65605:NJH65610 NTC65605:NTD65610 OCY65605:OCZ65610 OMU65605:OMV65610 OWQ65605:OWR65610 PGM65605:PGN65610 PQI65605:PQJ65610 QAE65605:QAF65610 QKA65605:QKB65610 QTW65605:QTX65610 RDS65605:RDT65610 RNO65605:RNP65610 RXK65605:RXL65610 SHG65605:SHH65610 SRC65605:SRD65610 TAY65605:TAZ65610 TKU65605:TKV65610 TUQ65605:TUR65610 UEM65605:UEN65610 UOI65605:UOJ65610 UYE65605:UYF65610 VIA65605:VIB65610 VRW65605:VRX65610 WBS65605:WBT65610 WLO65605:WLP65610 WVK65605:WVL65610 C131141:D131146 IY131141:IZ131146 SU131141:SV131146 ACQ131141:ACR131146 AMM131141:AMN131146 AWI131141:AWJ131146 BGE131141:BGF131146 BQA131141:BQB131146 BZW131141:BZX131146 CJS131141:CJT131146 CTO131141:CTP131146 DDK131141:DDL131146 DNG131141:DNH131146 DXC131141:DXD131146 EGY131141:EGZ131146 EQU131141:EQV131146 FAQ131141:FAR131146 FKM131141:FKN131146 FUI131141:FUJ131146 GEE131141:GEF131146 GOA131141:GOB131146 GXW131141:GXX131146 HHS131141:HHT131146 HRO131141:HRP131146 IBK131141:IBL131146 ILG131141:ILH131146 IVC131141:IVD131146 JEY131141:JEZ131146 JOU131141:JOV131146 JYQ131141:JYR131146 KIM131141:KIN131146 KSI131141:KSJ131146 LCE131141:LCF131146 LMA131141:LMB131146 LVW131141:LVX131146 MFS131141:MFT131146 MPO131141:MPP131146 MZK131141:MZL131146 NJG131141:NJH131146 NTC131141:NTD131146 OCY131141:OCZ131146 OMU131141:OMV131146 OWQ131141:OWR131146 PGM131141:PGN131146 PQI131141:PQJ131146 QAE131141:QAF131146 QKA131141:QKB131146 QTW131141:QTX131146 RDS131141:RDT131146 RNO131141:RNP131146 RXK131141:RXL131146 SHG131141:SHH131146 SRC131141:SRD131146 TAY131141:TAZ131146 TKU131141:TKV131146 TUQ131141:TUR131146 UEM131141:UEN131146 UOI131141:UOJ131146 UYE131141:UYF131146 VIA131141:VIB131146 VRW131141:VRX131146 WBS131141:WBT131146 WLO131141:WLP131146 WVK131141:WVL131146 C196677:D196682 IY196677:IZ196682 SU196677:SV196682 ACQ196677:ACR196682 AMM196677:AMN196682 AWI196677:AWJ196682 BGE196677:BGF196682 BQA196677:BQB196682 BZW196677:BZX196682 CJS196677:CJT196682 CTO196677:CTP196682 DDK196677:DDL196682 DNG196677:DNH196682 DXC196677:DXD196682 EGY196677:EGZ196682 EQU196677:EQV196682 FAQ196677:FAR196682 FKM196677:FKN196682 FUI196677:FUJ196682 GEE196677:GEF196682 GOA196677:GOB196682 GXW196677:GXX196682 HHS196677:HHT196682 HRO196677:HRP196682 IBK196677:IBL196682 ILG196677:ILH196682 IVC196677:IVD196682 JEY196677:JEZ196682 JOU196677:JOV196682 JYQ196677:JYR196682 KIM196677:KIN196682 KSI196677:KSJ196682 LCE196677:LCF196682 LMA196677:LMB196682 LVW196677:LVX196682 MFS196677:MFT196682 MPO196677:MPP196682 MZK196677:MZL196682 NJG196677:NJH196682 NTC196677:NTD196682 OCY196677:OCZ196682 OMU196677:OMV196682 OWQ196677:OWR196682 PGM196677:PGN196682 PQI196677:PQJ196682 QAE196677:QAF196682 QKA196677:QKB196682 QTW196677:QTX196682 RDS196677:RDT196682 RNO196677:RNP196682 RXK196677:RXL196682 SHG196677:SHH196682 SRC196677:SRD196682 TAY196677:TAZ196682 TKU196677:TKV196682 TUQ196677:TUR196682 UEM196677:UEN196682 UOI196677:UOJ196682 UYE196677:UYF196682 VIA196677:VIB196682 VRW196677:VRX196682 WBS196677:WBT196682 WLO196677:WLP196682 WVK196677:WVL196682 C262213:D262218 IY262213:IZ262218 SU262213:SV262218 ACQ262213:ACR262218 AMM262213:AMN262218 AWI262213:AWJ262218 BGE262213:BGF262218 BQA262213:BQB262218 BZW262213:BZX262218 CJS262213:CJT262218 CTO262213:CTP262218 DDK262213:DDL262218 DNG262213:DNH262218 DXC262213:DXD262218 EGY262213:EGZ262218 EQU262213:EQV262218 FAQ262213:FAR262218 FKM262213:FKN262218 FUI262213:FUJ262218 GEE262213:GEF262218 GOA262213:GOB262218 GXW262213:GXX262218 HHS262213:HHT262218 HRO262213:HRP262218 IBK262213:IBL262218 ILG262213:ILH262218 IVC262213:IVD262218 JEY262213:JEZ262218 JOU262213:JOV262218 JYQ262213:JYR262218 KIM262213:KIN262218 KSI262213:KSJ262218 LCE262213:LCF262218 LMA262213:LMB262218 LVW262213:LVX262218 MFS262213:MFT262218 MPO262213:MPP262218 MZK262213:MZL262218 NJG262213:NJH262218 NTC262213:NTD262218 OCY262213:OCZ262218 OMU262213:OMV262218 OWQ262213:OWR262218 PGM262213:PGN262218 PQI262213:PQJ262218 QAE262213:QAF262218 QKA262213:QKB262218 QTW262213:QTX262218 RDS262213:RDT262218 RNO262213:RNP262218 RXK262213:RXL262218 SHG262213:SHH262218 SRC262213:SRD262218 TAY262213:TAZ262218 TKU262213:TKV262218 TUQ262213:TUR262218 UEM262213:UEN262218 UOI262213:UOJ262218 UYE262213:UYF262218 VIA262213:VIB262218 VRW262213:VRX262218 WBS262213:WBT262218 WLO262213:WLP262218 WVK262213:WVL262218 C327749:D327754 IY327749:IZ327754 SU327749:SV327754 ACQ327749:ACR327754 AMM327749:AMN327754 AWI327749:AWJ327754 BGE327749:BGF327754 BQA327749:BQB327754 BZW327749:BZX327754 CJS327749:CJT327754 CTO327749:CTP327754 DDK327749:DDL327754 DNG327749:DNH327754 DXC327749:DXD327754 EGY327749:EGZ327754 EQU327749:EQV327754 FAQ327749:FAR327754 FKM327749:FKN327754 FUI327749:FUJ327754 GEE327749:GEF327754 GOA327749:GOB327754 GXW327749:GXX327754 HHS327749:HHT327754 HRO327749:HRP327754 IBK327749:IBL327754 ILG327749:ILH327754 IVC327749:IVD327754 JEY327749:JEZ327754 JOU327749:JOV327754 JYQ327749:JYR327754 KIM327749:KIN327754 KSI327749:KSJ327754 LCE327749:LCF327754 LMA327749:LMB327754 LVW327749:LVX327754 MFS327749:MFT327754 MPO327749:MPP327754 MZK327749:MZL327754 NJG327749:NJH327754 NTC327749:NTD327754 OCY327749:OCZ327754 OMU327749:OMV327754 OWQ327749:OWR327754 PGM327749:PGN327754 PQI327749:PQJ327754 QAE327749:QAF327754 QKA327749:QKB327754 QTW327749:QTX327754 RDS327749:RDT327754 RNO327749:RNP327754 RXK327749:RXL327754 SHG327749:SHH327754 SRC327749:SRD327754 TAY327749:TAZ327754 TKU327749:TKV327754 TUQ327749:TUR327754 UEM327749:UEN327754 UOI327749:UOJ327754 UYE327749:UYF327754 VIA327749:VIB327754 VRW327749:VRX327754 WBS327749:WBT327754 WLO327749:WLP327754 WVK327749:WVL327754 C393285:D393290 IY393285:IZ393290 SU393285:SV393290 ACQ393285:ACR393290 AMM393285:AMN393290 AWI393285:AWJ393290 BGE393285:BGF393290 BQA393285:BQB393290 BZW393285:BZX393290 CJS393285:CJT393290 CTO393285:CTP393290 DDK393285:DDL393290 DNG393285:DNH393290 DXC393285:DXD393290 EGY393285:EGZ393290 EQU393285:EQV393290 FAQ393285:FAR393290 FKM393285:FKN393290 FUI393285:FUJ393290 GEE393285:GEF393290 GOA393285:GOB393290 GXW393285:GXX393290 HHS393285:HHT393290 HRO393285:HRP393290 IBK393285:IBL393290 ILG393285:ILH393290 IVC393285:IVD393290 JEY393285:JEZ393290 JOU393285:JOV393290 JYQ393285:JYR393290 KIM393285:KIN393290 KSI393285:KSJ393290 LCE393285:LCF393290 LMA393285:LMB393290 LVW393285:LVX393290 MFS393285:MFT393290 MPO393285:MPP393290 MZK393285:MZL393290 NJG393285:NJH393290 NTC393285:NTD393290 OCY393285:OCZ393290 OMU393285:OMV393290 OWQ393285:OWR393290 PGM393285:PGN393290 PQI393285:PQJ393290 QAE393285:QAF393290 QKA393285:QKB393290 QTW393285:QTX393290 RDS393285:RDT393290 RNO393285:RNP393290 RXK393285:RXL393290 SHG393285:SHH393290 SRC393285:SRD393290 TAY393285:TAZ393290 TKU393285:TKV393290 TUQ393285:TUR393290 UEM393285:UEN393290 UOI393285:UOJ393290 UYE393285:UYF393290 VIA393285:VIB393290 VRW393285:VRX393290 WBS393285:WBT393290 WLO393285:WLP393290 WVK393285:WVL393290 C458821:D458826 IY458821:IZ458826 SU458821:SV458826 ACQ458821:ACR458826 AMM458821:AMN458826 AWI458821:AWJ458826 BGE458821:BGF458826 BQA458821:BQB458826 BZW458821:BZX458826 CJS458821:CJT458826 CTO458821:CTP458826 DDK458821:DDL458826 DNG458821:DNH458826 DXC458821:DXD458826 EGY458821:EGZ458826 EQU458821:EQV458826 FAQ458821:FAR458826 FKM458821:FKN458826 FUI458821:FUJ458826 GEE458821:GEF458826 GOA458821:GOB458826 GXW458821:GXX458826 HHS458821:HHT458826 HRO458821:HRP458826 IBK458821:IBL458826 ILG458821:ILH458826 IVC458821:IVD458826 JEY458821:JEZ458826 JOU458821:JOV458826 JYQ458821:JYR458826 KIM458821:KIN458826 KSI458821:KSJ458826 LCE458821:LCF458826 LMA458821:LMB458826 LVW458821:LVX458826 MFS458821:MFT458826 MPO458821:MPP458826 MZK458821:MZL458826 NJG458821:NJH458826 NTC458821:NTD458826 OCY458821:OCZ458826 OMU458821:OMV458826 OWQ458821:OWR458826 PGM458821:PGN458826 PQI458821:PQJ458826 QAE458821:QAF458826 QKA458821:QKB458826 QTW458821:QTX458826 RDS458821:RDT458826 RNO458821:RNP458826 RXK458821:RXL458826 SHG458821:SHH458826 SRC458821:SRD458826 TAY458821:TAZ458826 TKU458821:TKV458826 TUQ458821:TUR458826 UEM458821:UEN458826 UOI458821:UOJ458826 UYE458821:UYF458826 VIA458821:VIB458826 VRW458821:VRX458826 WBS458821:WBT458826 WLO458821:WLP458826 WVK458821:WVL458826 C524357:D524362 IY524357:IZ524362 SU524357:SV524362 ACQ524357:ACR524362 AMM524357:AMN524362 AWI524357:AWJ524362 BGE524357:BGF524362 BQA524357:BQB524362 BZW524357:BZX524362 CJS524357:CJT524362 CTO524357:CTP524362 DDK524357:DDL524362 DNG524357:DNH524362 DXC524357:DXD524362 EGY524357:EGZ524362 EQU524357:EQV524362 FAQ524357:FAR524362 FKM524357:FKN524362 FUI524357:FUJ524362 GEE524357:GEF524362 GOA524357:GOB524362 GXW524357:GXX524362 HHS524357:HHT524362 HRO524357:HRP524362 IBK524357:IBL524362 ILG524357:ILH524362 IVC524357:IVD524362 JEY524357:JEZ524362 JOU524357:JOV524362 JYQ524357:JYR524362 KIM524357:KIN524362 KSI524357:KSJ524362 LCE524357:LCF524362 LMA524357:LMB524362 LVW524357:LVX524362 MFS524357:MFT524362 MPO524357:MPP524362 MZK524357:MZL524362 NJG524357:NJH524362 NTC524357:NTD524362 OCY524357:OCZ524362 OMU524357:OMV524362 OWQ524357:OWR524362 PGM524357:PGN524362 PQI524357:PQJ524362 QAE524357:QAF524362 QKA524357:QKB524362 QTW524357:QTX524362 RDS524357:RDT524362 RNO524357:RNP524362 RXK524357:RXL524362 SHG524357:SHH524362 SRC524357:SRD524362 TAY524357:TAZ524362 TKU524357:TKV524362 TUQ524357:TUR524362 UEM524357:UEN524362 UOI524357:UOJ524362 UYE524357:UYF524362 VIA524357:VIB524362 VRW524357:VRX524362 WBS524357:WBT524362 WLO524357:WLP524362 WVK524357:WVL524362 C589893:D589898 IY589893:IZ589898 SU589893:SV589898 ACQ589893:ACR589898 AMM589893:AMN589898 AWI589893:AWJ589898 BGE589893:BGF589898 BQA589893:BQB589898 BZW589893:BZX589898 CJS589893:CJT589898 CTO589893:CTP589898 DDK589893:DDL589898 DNG589893:DNH589898 DXC589893:DXD589898 EGY589893:EGZ589898 EQU589893:EQV589898 FAQ589893:FAR589898 FKM589893:FKN589898 FUI589893:FUJ589898 GEE589893:GEF589898 GOA589893:GOB589898 GXW589893:GXX589898 HHS589893:HHT589898 HRO589893:HRP589898 IBK589893:IBL589898 ILG589893:ILH589898 IVC589893:IVD589898 JEY589893:JEZ589898 JOU589893:JOV589898 JYQ589893:JYR589898 KIM589893:KIN589898 KSI589893:KSJ589898 LCE589893:LCF589898 LMA589893:LMB589898 LVW589893:LVX589898 MFS589893:MFT589898 MPO589893:MPP589898 MZK589893:MZL589898 NJG589893:NJH589898 NTC589893:NTD589898 OCY589893:OCZ589898 OMU589893:OMV589898 OWQ589893:OWR589898 PGM589893:PGN589898 PQI589893:PQJ589898 QAE589893:QAF589898 QKA589893:QKB589898 QTW589893:QTX589898 RDS589893:RDT589898 RNO589893:RNP589898 RXK589893:RXL589898 SHG589893:SHH589898 SRC589893:SRD589898 TAY589893:TAZ589898 TKU589893:TKV589898 TUQ589893:TUR589898 UEM589893:UEN589898 UOI589893:UOJ589898 UYE589893:UYF589898 VIA589893:VIB589898 VRW589893:VRX589898 WBS589893:WBT589898 WLO589893:WLP589898 WVK589893:WVL589898 C655429:D655434 IY655429:IZ655434 SU655429:SV655434 ACQ655429:ACR655434 AMM655429:AMN655434 AWI655429:AWJ655434 BGE655429:BGF655434 BQA655429:BQB655434 BZW655429:BZX655434 CJS655429:CJT655434 CTO655429:CTP655434 DDK655429:DDL655434 DNG655429:DNH655434 DXC655429:DXD655434 EGY655429:EGZ655434 EQU655429:EQV655434 FAQ655429:FAR655434 FKM655429:FKN655434 FUI655429:FUJ655434 GEE655429:GEF655434 GOA655429:GOB655434 GXW655429:GXX655434 HHS655429:HHT655434 HRO655429:HRP655434 IBK655429:IBL655434 ILG655429:ILH655434 IVC655429:IVD655434 JEY655429:JEZ655434 JOU655429:JOV655434 JYQ655429:JYR655434 KIM655429:KIN655434 KSI655429:KSJ655434 LCE655429:LCF655434 LMA655429:LMB655434 LVW655429:LVX655434 MFS655429:MFT655434 MPO655429:MPP655434 MZK655429:MZL655434 NJG655429:NJH655434 NTC655429:NTD655434 OCY655429:OCZ655434 OMU655429:OMV655434 OWQ655429:OWR655434 PGM655429:PGN655434 PQI655429:PQJ655434 QAE655429:QAF655434 QKA655429:QKB655434 QTW655429:QTX655434 RDS655429:RDT655434 RNO655429:RNP655434 RXK655429:RXL655434 SHG655429:SHH655434 SRC655429:SRD655434 TAY655429:TAZ655434 TKU655429:TKV655434 TUQ655429:TUR655434 UEM655429:UEN655434 UOI655429:UOJ655434 UYE655429:UYF655434 VIA655429:VIB655434 VRW655429:VRX655434 WBS655429:WBT655434 WLO655429:WLP655434 WVK655429:WVL655434 C720965:D720970 IY720965:IZ720970 SU720965:SV720970 ACQ720965:ACR720970 AMM720965:AMN720970 AWI720965:AWJ720970 BGE720965:BGF720970 BQA720965:BQB720970 BZW720965:BZX720970 CJS720965:CJT720970 CTO720965:CTP720970 DDK720965:DDL720970 DNG720965:DNH720970 DXC720965:DXD720970 EGY720965:EGZ720970 EQU720965:EQV720970 FAQ720965:FAR720970 FKM720965:FKN720970 FUI720965:FUJ720970 GEE720965:GEF720970 GOA720965:GOB720970 GXW720965:GXX720970 HHS720965:HHT720970 HRO720965:HRP720970 IBK720965:IBL720970 ILG720965:ILH720970 IVC720965:IVD720970 JEY720965:JEZ720970 JOU720965:JOV720970 JYQ720965:JYR720970 KIM720965:KIN720970 KSI720965:KSJ720970 LCE720965:LCF720970 LMA720965:LMB720970 LVW720965:LVX720970 MFS720965:MFT720970 MPO720965:MPP720970 MZK720965:MZL720970 NJG720965:NJH720970 NTC720965:NTD720970 OCY720965:OCZ720970 OMU720965:OMV720970 OWQ720965:OWR720970 PGM720965:PGN720970 PQI720965:PQJ720970 QAE720965:QAF720970 QKA720965:QKB720970 QTW720965:QTX720970 RDS720965:RDT720970 RNO720965:RNP720970 RXK720965:RXL720970 SHG720965:SHH720970 SRC720965:SRD720970 TAY720965:TAZ720970 TKU720965:TKV720970 TUQ720965:TUR720970 UEM720965:UEN720970 UOI720965:UOJ720970 UYE720965:UYF720970 VIA720965:VIB720970 VRW720965:VRX720970 WBS720965:WBT720970 WLO720965:WLP720970 WVK720965:WVL720970 C786501:D786506 IY786501:IZ786506 SU786501:SV786506 ACQ786501:ACR786506 AMM786501:AMN786506 AWI786501:AWJ786506 BGE786501:BGF786506 BQA786501:BQB786506 BZW786501:BZX786506 CJS786501:CJT786506 CTO786501:CTP786506 DDK786501:DDL786506 DNG786501:DNH786506 DXC786501:DXD786506 EGY786501:EGZ786506 EQU786501:EQV786506 FAQ786501:FAR786506 FKM786501:FKN786506 FUI786501:FUJ786506 GEE786501:GEF786506 GOA786501:GOB786506 GXW786501:GXX786506 HHS786501:HHT786506 HRO786501:HRP786506 IBK786501:IBL786506 ILG786501:ILH786506 IVC786501:IVD786506 JEY786501:JEZ786506 JOU786501:JOV786506 JYQ786501:JYR786506 KIM786501:KIN786506 KSI786501:KSJ786506 LCE786501:LCF786506 LMA786501:LMB786506 LVW786501:LVX786506 MFS786501:MFT786506 MPO786501:MPP786506 MZK786501:MZL786506 NJG786501:NJH786506 NTC786501:NTD786506 OCY786501:OCZ786506 OMU786501:OMV786506 OWQ786501:OWR786506 PGM786501:PGN786506 PQI786501:PQJ786506 QAE786501:QAF786506 QKA786501:QKB786506 QTW786501:QTX786506 RDS786501:RDT786506 RNO786501:RNP786506 RXK786501:RXL786506 SHG786501:SHH786506 SRC786501:SRD786506 TAY786501:TAZ786506 TKU786501:TKV786506 TUQ786501:TUR786506 UEM786501:UEN786506 UOI786501:UOJ786506 UYE786501:UYF786506 VIA786501:VIB786506 VRW786501:VRX786506 WBS786501:WBT786506 WLO786501:WLP786506 WVK786501:WVL786506 C852037:D852042 IY852037:IZ852042 SU852037:SV852042 ACQ852037:ACR852042 AMM852037:AMN852042 AWI852037:AWJ852042 BGE852037:BGF852042 BQA852037:BQB852042 BZW852037:BZX852042 CJS852037:CJT852042 CTO852037:CTP852042 DDK852037:DDL852042 DNG852037:DNH852042 DXC852037:DXD852042 EGY852037:EGZ852042 EQU852037:EQV852042 FAQ852037:FAR852042 FKM852037:FKN852042 FUI852037:FUJ852042 GEE852037:GEF852042 GOA852037:GOB852042 GXW852037:GXX852042 HHS852037:HHT852042 HRO852037:HRP852042 IBK852037:IBL852042 ILG852037:ILH852042 IVC852037:IVD852042 JEY852037:JEZ852042 JOU852037:JOV852042 JYQ852037:JYR852042 KIM852037:KIN852042 KSI852037:KSJ852042 LCE852037:LCF852042 LMA852037:LMB852042 LVW852037:LVX852042 MFS852037:MFT852042 MPO852037:MPP852042 MZK852037:MZL852042 NJG852037:NJH852042 NTC852037:NTD852042 OCY852037:OCZ852042 OMU852037:OMV852042 OWQ852037:OWR852042 PGM852037:PGN852042 PQI852037:PQJ852042 QAE852037:QAF852042 QKA852037:QKB852042 QTW852037:QTX852042 RDS852037:RDT852042 RNO852037:RNP852042 RXK852037:RXL852042 SHG852037:SHH852042 SRC852037:SRD852042 TAY852037:TAZ852042 TKU852037:TKV852042 TUQ852037:TUR852042 UEM852037:UEN852042 UOI852037:UOJ852042 UYE852037:UYF852042 VIA852037:VIB852042 VRW852037:VRX852042 WBS852037:WBT852042 WLO852037:WLP852042 WVK852037:WVL852042 C917573:D917578 IY917573:IZ917578 SU917573:SV917578 ACQ917573:ACR917578 AMM917573:AMN917578 AWI917573:AWJ917578 BGE917573:BGF917578 BQA917573:BQB917578 BZW917573:BZX917578 CJS917573:CJT917578 CTO917573:CTP917578 DDK917573:DDL917578 DNG917573:DNH917578 DXC917573:DXD917578 EGY917573:EGZ917578 EQU917573:EQV917578 FAQ917573:FAR917578 FKM917573:FKN917578 FUI917573:FUJ917578 GEE917573:GEF917578 GOA917573:GOB917578 GXW917573:GXX917578 HHS917573:HHT917578 HRO917573:HRP917578 IBK917573:IBL917578 ILG917573:ILH917578 IVC917573:IVD917578 JEY917573:JEZ917578 JOU917573:JOV917578 JYQ917573:JYR917578 KIM917573:KIN917578 KSI917573:KSJ917578 LCE917573:LCF917578 LMA917573:LMB917578 LVW917573:LVX917578 MFS917573:MFT917578 MPO917573:MPP917578 MZK917573:MZL917578 NJG917573:NJH917578 NTC917573:NTD917578 OCY917573:OCZ917578 OMU917573:OMV917578 OWQ917573:OWR917578 PGM917573:PGN917578 PQI917573:PQJ917578 QAE917573:QAF917578 QKA917573:QKB917578 QTW917573:QTX917578 RDS917573:RDT917578 RNO917573:RNP917578 RXK917573:RXL917578 SHG917573:SHH917578 SRC917573:SRD917578 TAY917573:TAZ917578 TKU917573:TKV917578 TUQ917573:TUR917578 UEM917573:UEN917578 UOI917573:UOJ917578 UYE917573:UYF917578 VIA917573:VIB917578 VRW917573:VRX917578 WBS917573:WBT917578 WLO917573:WLP917578 WVK917573:WVL917578 C983109:D983114 IY983109:IZ983114 SU983109:SV983114 ACQ983109:ACR983114 AMM983109:AMN983114 AWI983109:AWJ983114 BGE983109:BGF983114 BQA983109:BQB983114 BZW983109:BZX983114 CJS983109:CJT983114 CTO983109:CTP983114 DDK983109:DDL983114 DNG983109:DNH983114 DXC983109:DXD983114 EGY983109:EGZ983114 EQU983109:EQV983114 FAQ983109:FAR983114 FKM983109:FKN983114 FUI983109:FUJ983114 GEE983109:GEF983114 GOA983109:GOB983114 GXW983109:GXX983114 HHS983109:HHT983114 HRO983109:HRP983114 IBK983109:IBL983114 ILG983109:ILH983114 IVC983109:IVD983114 JEY983109:JEZ983114 JOU983109:JOV983114 JYQ983109:JYR983114 KIM983109:KIN983114 KSI983109:KSJ983114 LCE983109:LCF983114 LMA983109:LMB983114 LVW983109:LVX983114 MFS983109:MFT983114 MPO983109:MPP983114 MZK983109:MZL983114 NJG983109:NJH983114 NTC983109:NTD983114 OCY983109:OCZ983114 OMU983109:OMV983114 OWQ983109:OWR983114 PGM983109:PGN983114 PQI983109:PQJ983114 QAE983109:QAF983114 QKA983109:QKB983114 QTW983109:QTX983114 RDS983109:RDT983114 RNO983109:RNP983114 RXK983109:RXL983114 SHG983109:SHH983114 SRC983109:SRD983114 TAY983109:TAZ983114 TKU983109:TKV983114 TUQ983109:TUR983114 UEM983109:UEN983114 UOI983109:UOJ983114 UYE983109:UYF983114 VIA983109:VIB983114 VRW983109:VRX983114 WBS983109:WBT983114 WLO983109:WLP983114 WVK983109:WVL983114 TKV983136 IY76:IZ80 SU76:SV80 ACQ76:ACR80 AMM76:AMN80 AWI76:AWJ80 BGE76:BGF80 BQA76:BQB80 BZW76:BZX80 CJS76:CJT80 CTO76:CTP80 DDK76:DDL80 DNG76:DNH80 DXC76:DXD80 EGY76:EGZ80 EQU76:EQV80 FAQ76:FAR80 FKM76:FKN80 FUI76:FUJ80 GEE76:GEF80 GOA76:GOB80 GXW76:GXX80 HHS76:HHT80 HRO76:HRP80 IBK76:IBL80 ILG76:ILH80 IVC76:IVD80 JEY76:JEZ80 JOU76:JOV80 JYQ76:JYR80 KIM76:KIN80 KSI76:KSJ80 LCE76:LCF80 LMA76:LMB80 LVW76:LVX80 MFS76:MFT80 MPO76:MPP80 MZK76:MZL80 NJG76:NJH80 NTC76:NTD80 OCY76:OCZ80 OMU76:OMV80 OWQ76:OWR80 PGM76:PGN80 PQI76:PQJ80 QAE76:QAF80 QKA76:QKB80 QTW76:QTX80 RDS76:RDT80 RNO76:RNP80 RXK76:RXL80 SHG76:SHH80 SRC76:SRD80 TAY76:TAZ80 TKU76:TKV80 TUQ76:TUR80 UEM76:UEN80 UOI76:UOJ80 UYE76:UYF80 VIA76:VIB80 VRW76:VRX80 WBS76:WBT80 WLO76:WLP80 WVK76:WVL80 C65612:D65616 IY65612:IZ65616 SU65612:SV65616 ACQ65612:ACR65616 AMM65612:AMN65616 AWI65612:AWJ65616 BGE65612:BGF65616 BQA65612:BQB65616 BZW65612:BZX65616 CJS65612:CJT65616 CTO65612:CTP65616 DDK65612:DDL65616 DNG65612:DNH65616 DXC65612:DXD65616 EGY65612:EGZ65616 EQU65612:EQV65616 FAQ65612:FAR65616 FKM65612:FKN65616 FUI65612:FUJ65616 GEE65612:GEF65616 GOA65612:GOB65616 GXW65612:GXX65616 HHS65612:HHT65616 HRO65612:HRP65616 IBK65612:IBL65616 ILG65612:ILH65616 IVC65612:IVD65616 JEY65612:JEZ65616 JOU65612:JOV65616 JYQ65612:JYR65616 KIM65612:KIN65616 KSI65612:KSJ65616 LCE65612:LCF65616 LMA65612:LMB65616 LVW65612:LVX65616 MFS65612:MFT65616 MPO65612:MPP65616 MZK65612:MZL65616 NJG65612:NJH65616 NTC65612:NTD65616 OCY65612:OCZ65616 OMU65612:OMV65616 OWQ65612:OWR65616 PGM65612:PGN65616 PQI65612:PQJ65616 QAE65612:QAF65616 QKA65612:QKB65616 QTW65612:QTX65616 RDS65612:RDT65616 RNO65612:RNP65616 RXK65612:RXL65616 SHG65612:SHH65616 SRC65612:SRD65616 TAY65612:TAZ65616 TKU65612:TKV65616 TUQ65612:TUR65616 UEM65612:UEN65616 UOI65612:UOJ65616 UYE65612:UYF65616 VIA65612:VIB65616 VRW65612:VRX65616 WBS65612:WBT65616 WLO65612:WLP65616 WVK65612:WVL65616 C131148:D131152 IY131148:IZ131152 SU131148:SV131152 ACQ131148:ACR131152 AMM131148:AMN131152 AWI131148:AWJ131152 BGE131148:BGF131152 BQA131148:BQB131152 BZW131148:BZX131152 CJS131148:CJT131152 CTO131148:CTP131152 DDK131148:DDL131152 DNG131148:DNH131152 DXC131148:DXD131152 EGY131148:EGZ131152 EQU131148:EQV131152 FAQ131148:FAR131152 FKM131148:FKN131152 FUI131148:FUJ131152 GEE131148:GEF131152 GOA131148:GOB131152 GXW131148:GXX131152 HHS131148:HHT131152 HRO131148:HRP131152 IBK131148:IBL131152 ILG131148:ILH131152 IVC131148:IVD131152 JEY131148:JEZ131152 JOU131148:JOV131152 JYQ131148:JYR131152 KIM131148:KIN131152 KSI131148:KSJ131152 LCE131148:LCF131152 LMA131148:LMB131152 LVW131148:LVX131152 MFS131148:MFT131152 MPO131148:MPP131152 MZK131148:MZL131152 NJG131148:NJH131152 NTC131148:NTD131152 OCY131148:OCZ131152 OMU131148:OMV131152 OWQ131148:OWR131152 PGM131148:PGN131152 PQI131148:PQJ131152 QAE131148:QAF131152 QKA131148:QKB131152 QTW131148:QTX131152 RDS131148:RDT131152 RNO131148:RNP131152 RXK131148:RXL131152 SHG131148:SHH131152 SRC131148:SRD131152 TAY131148:TAZ131152 TKU131148:TKV131152 TUQ131148:TUR131152 UEM131148:UEN131152 UOI131148:UOJ131152 UYE131148:UYF131152 VIA131148:VIB131152 VRW131148:VRX131152 WBS131148:WBT131152 WLO131148:WLP131152 WVK131148:WVL131152 C196684:D196688 IY196684:IZ196688 SU196684:SV196688 ACQ196684:ACR196688 AMM196684:AMN196688 AWI196684:AWJ196688 BGE196684:BGF196688 BQA196684:BQB196688 BZW196684:BZX196688 CJS196684:CJT196688 CTO196684:CTP196688 DDK196684:DDL196688 DNG196684:DNH196688 DXC196684:DXD196688 EGY196684:EGZ196688 EQU196684:EQV196688 FAQ196684:FAR196688 FKM196684:FKN196688 FUI196684:FUJ196688 GEE196684:GEF196688 GOA196684:GOB196688 GXW196684:GXX196688 HHS196684:HHT196688 HRO196684:HRP196688 IBK196684:IBL196688 ILG196684:ILH196688 IVC196684:IVD196688 JEY196684:JEZ196688 JOU196684:JOV196688 JYQ196684:JYR196688 KIM196684:KIN196688 KSI196684:KSJ196688 LCE196684:LCF196688 LMA196684:LMB196688 LVW196684:LVX196688 MFS196684:MFT196688 MPO196684:MPP196688 MZK196684:MZL196688 NJG196684:NJH196688 NTC196684:NTD196688 OCY196684:OCZ196688 OMU196684:OMV196688 OWQ196684:OWR196688 PGM196684:PGN196688 PQI196684:PQJ196688 QAE196684:QAF196688 QKA196684:QKB196688 QTW196684:QTX196688 RDS196684:RDT196688 RNO196684:RNP196688 RXK196684:RXL196688 SHG196684:SHH196688 SRC196684:SRD196688 TAY196684:TAZ196688 TKU196684:TKV196688 TUQ196684:TUR196688 UEM196684:UEN196688 UOI196684:UOJ196688 UYE196684:UYF196688 VIA196684:VIB196688 VRW196684:VRX196688 WBS196684:WBT196688 WLO196684:WLP196688 WVK196684:WVL196688 C262220:D262224 IY262220:IZ262224 SU262220:SV262224 ACQ262220:ACR262224 AMM262220:AMN262224 AWI262220:AWJ262224 BGE262220:BGF262224 BQA262220:BQB262224 BZW262220:BZX262224 CJS262220:CJT262224 CTO262220:CTP262224 DDK262220:DDL262224 DNG262220:DNH262224 DXC262220:DXD262224 EGY262220:EGZ262224 EQU262220:EQV262224 FAQ262220:FAR262224 FKM262220:FKN262224 FUI262220:FUJ262224 GEE262220:GEF262224 GOA262220:GOB262224 GXW262220:GXX262224 HHS262220:HHT262224 HRO262220:HRP262224 IBK262220:IBL262224 ILG262220:ILH262224 IVC262220:IVD262224 JEY262220:JEZ262224 JOU262220:JOV262224 JYQ262220:JYR262224 KIM262220:KIN262224 KSI262220:KSJ262224 LCE262220:LCF262224 LMA262220:LMB262224 LVW262220:LVX262224 MFS262220:MFT262224 MPO262220:MPP262224 MZK262220:MZL262224 NJG262220:NJH262224 NTC262220:NTD262224 OCY262220:OCZ262224 OMU262220:OMV262224 OWQ262220:OWR262224 PGM262220:PGN262224 PQI262220:PQJ262224 QAE262220:QAF262224 QKA262220:QKB262224 QTW262220:QTX262224 RDS262220:RDT262224 RNO262220:RNP262224 RXK262220:RXL262224 SHG262220:SHH262224 SRC262220:SRD262224 TAY262220:TAZ262224 TKU262220:TKV262224 TUQ262220:TUR262224 UEM262220:UEN262224 UOI262220:UOJ262224 UYE262220:UYF262224 VIA262220:VIB262224 VRW262220:VRX262224 WBS262220:WBT262224 WLO262220:WLP262224 WVK262220:WVL262224 C327756:D327760 IY327756:IZ327760 SU327756:SV327760 ACQ327756:ACR327760 AMM327756:AMN327760 AWI327756:AWJ327760 BGE327756:BGF327760 BQA327756:BQB327760 BZW327756:BZX327760 CJS327756:CJT327760 CTO327756:CTP327760 DDK327756:DDL327760 DNG327756:DNH327760 DXC327756:DXD327760 EGY327756:EGZ327760 EQU327756:EQV327760 FAQ327756:FAR327760 FKM327756:FKN327760 FUI327756:FUJ327760 GEE327756:GEF327760 GOA327756:GOB327760 GXW327756:GXX327760 HHS327756:HHT327760 HRO327756:HRP327760 IBK327756:IBL327760 ILG327756:ILH327760 IVC327756:IVD327760 JEY327756:JEZ327760 JOU327756:JOV327760 JYQ327756:JYR327760 KIM327756:KIN327760 KSI327756:KSJ327760 LCE327756:LCF327760 LMA327756:LMB327760 LVW327756:LVX327760 MFS327756:MFT327760 MPO327756:MPP327760 MZK327756:MZL327760 NJG327756:NJH327760 NTC327756:NTD327760 OCY327756:OCZ327760 OMU327756:OMV327760 OWQ327756:OWR327760 PGM327756:PGN327760 PQI327756:PQJ327760 QAE327756:QAF327760 QKA327756:QKB327760 QTW327756:QTX327760 RDS327756:RDT327760 RNO327756:RNP327760 RXK327756:RXL327760 SHG327756:SHH327760 SRC327756:SRD327760 TAY327756:TAZ327760 TKU327756:TKV327760 TUQ327756:TUR327760 UEM327756:UEN327760 UOI327756:UOJ327760 UYE327756:UYF327760 VIA327756:VIB327760 VRW327756:VRX327760 WBS327756:WBT327760 WLO327756:WLP327760 WVK327756:WVL327760 C393292:D393296 IY393292:IZ393296 SU393292:SV393296 ACQ393292:ACR393296 AMM393292:AMN393296 AWI393292:AWJ393296 BGE393292:BGF393296 BQA393292:BQB393296 BZW393292:BZX393296 CJS393292:CJT393296 CTO393292:CTP393296 DDK393292:DDL393296 DNG393292:DNH393296 DXC393292:DXD393296 EGY393292:EGZ393296 EQU393292:EQV393296 FAQ393292:FAR393296 FKM393292:FKN393296 FUI393292:FUJ393296 GEE393292:GEF393296 GOA393292:GOB393296 GXW393292:GXX393296 HHS393292:HHT393296 HRO393292:HRP393296 IBK393292:IBL393296 ILG393292:ILH393296 IVC393292:IVD393296 JEY393292:JEZ393296 JOU393292:JOV393296 JYQ393292:JYR393296 KIM393292:KIN393296 KSI393292:KSJ393296 LCE393292:LCF393296 LMA393292:LMB393296 LVW393292:LVX393296 MFS393292:MFT393296 MPO393292:MPP393296 MZK393292:MZL393296 NJG393292:NJH393296 NTC393292:NTD393296 OCY393292:OCZ393296 OMU393292:OMV393296 OWQ393292:OWR393296 PGM393292:PGN393296 PQI393292:PQJ393296 QAE393292:QAF393296 QKA393292:QKB393296 QTW393292:QTX393296 RDS393292:RDT393296 RNO393292:RNP393296 RXK393292:RXL393296 SHG393292:SHH393296 SRC393292:SRD393296 TAY393292:TAZ393296 TKU393292:TKV393296 TUQ393292:TUR393296 UEM393292:UEN393296 UOI393292:UOJ393296 UYE393292:UYF393296 VIA393292:VIB393296 VRW393292:VRX393296 WBS393292:WBT393296 WLO393292:WLP393296 WVK393292:WVL393296 C458828:D458832 IY458828:IZ458832 SU458828:SV458832 ACQ458828:ACR458832 AMM458828:AMN458832 AWI458828:AWJ458832 BGE458828:BGF458832 BQA458828:BQB458832 BZW458828:BZX458832 CJS458828:CJT458832 CTO458828:CTP458832 DDK458828:DDL458832 DNG458828:DNH458832 DXC458828:DXD458832 EGY458828:EGZ458832 EQU458828:EQV458832 FAQ458828:FAR458832 FKM458828:FKN458832 FUI458828:FUJ458832 GEE458828:GEF458832 GOA458828:GOB458832 GXW458828:GXX458832 HHS458828:HHT458832 HRO458828:HRP458832 IBK458828:IBL458832 ILG458828:ILH458832 IVC458828:IVD458832 JEY458828:JEZ458832 JOU458828:JOV458832 JYQ458828:JYR458832 KIM458828:KIN458832 KSI458828:KSJ458832 LCE458828:LCF458832 LMA458828:LMB458832 LVW458828:LVX458832 MFS458828:MFT458832 MPO458828:MPP458832 MZK458828:MZL458832 NJG458828:NJH458832 NTC458828:NTD458832 OCY458828:OCZ458832 OMU458828:OMV458832 OWQ458828:OWR458832 PGM458828:PGN458832 PQI458828:PQJ458832 QAE458828:QAF458832 QKA458828:QKB458832 QTW458828:QTX458832 RDS458828:RDT458832 RNO458828:RNP458832 RXK458828:RXL458832 SHG458828:SHH458832 SRC458828:SRD458832 TAY458828:TAZ458832 TKU458828:TKV458832 TUQ458828:TUR458832 UEM458828:UEN458832 UOI458828:UOJ458832 UYE458828:UYF458832 VIA458828:VIB458832 VRW458828:VRX458832 WBS458828:WBT458832 WLO458828:WLP458832 WVK458828:WVL458832 C524364:D524368 IY524364:IZ524368 SU524364:SV524368 ACQ524364:ACR524368 AMM524364:AMN524368 AWI524364:AWJ524368 BGE524364:BGF524368 BQA524364:BQB524368 BZW524364:BZX524368 CJS524364:CJT524368 CTO524364:CTP524368 DDK524364:DDL524368 DNG524364:DNH524368 DXC524364:DXD524368 EGY524364:EGZ524368 EQU524364:EQV524368 FAQ524364:FAR524368 FKM524364:FKN524368 FUI524364:FUJ524368 GEE524364:GEF524368 GOA524364:GOB524368 GXW524364:GXX524368 HHS524364:HHT524368 HRO524364:HRP524368 IBK524364:IBL524368 ILG524364:ILH524368 IVC524364:IVD524368 JEY524364:JEZ524368 JOU524364:JOV524368 JYQ524364:JYR524368 KIM524364:KIN524368 KSI524364:KSJ524368 LCE524364:LCF524368 LMA524364:LMB524368 LVW524364:LVX524368 MFS524364:MFT524368 MPO524364:MPP524368 MZK524364:MZL524368 NJG524364:NJH524368 NTC524364:NTD524368 OCY524364:OCZ524368 OMU524364:OMV524368 OWQ524364:OWR524368 PGM524364:PGN524368 PQI524364:PQJ524368 QAE524364:QAF524368 QKA524364:QKB524368 QTW524364:QTX524368 RDS524364:RDT524368 RNO524364:RNP524368 RXK524364:RXL524368 SHG524364:SHH524368 SRC524364:SRD524368 TAY524364:TAZ524368 TKU524364:TKV524368 TUQ524364:TUR524368 UEM524364:UEN524368 UOI524364:UOJ524368 UYE524364:UYF524368 VIA524364:VIB524368 VRW524364:VRX524368 WBS524364:WBT524368 WLO524364:WLP524368 WVK524364:WVL524368 C589900:D589904 IY589900:IZ589904 SU589900:SV589904 ACQ589900:ACR589904 AMM589900:AMN589904 AWI589900:AWJ589904 BGE589900:BGF589904 BQA589900:BQB589904 BZW589900:BZX589904 CJS589900:CJT589904 CTO589900:CTP589904 DDK589900:DDL589904 DNG589900:DNH589904 DXC589900:DXD589904 EGY589900:EGZ589904 EQU589900:EQV589904 FAQ589900:FAR589904 FKM589900:FKN589904 FUI589900:FUJ589904 GEE589900:GEF589904 GOA589900:GOB589904 GXW589900:GXX589904 HHS589900:HHT589904 HRO589900:HRP589904 IBK589900:IBL589904 ILG589900:ILH589904 IVC589900:IVD589904 JEY589900:JEZ589904 JOU589900:JOV589904 JYQ589900:JYR589904 KIM589900:KIN589904 KSI589900:KSJ589904 LCE589900:LCF589904 LMA589900:LMB589904 LVW589900:LVX589904 MFS589900:MFT589904 MPO589900:MPP589904 MZK589900:MZL589904 NJG589900:NJH589904 NTC589900:NTD589904 OCY589900:OCZ589904 OMU589900:OMV589904 OWQ589900:OWR589904 PGM589900:PGN589904 PQI589900:PQJ589904 QAE589900:QAF589904 QKA589900:QKB589904 QTW589900:QTX589904 RDS589900:RDT589904 RNO589900:RNP589904 RXK589900:RXL589904 SHG589900:SHH589904 SRC589900:SRD589904 TAY589900:TAZ589904 TKU589900:TKV589904 TUQ589900:TUR589904 UEM589900:UEN589904 UOI589900:UOJ589904 UYE589900:UYF589904 VIA589900:VIB589904 VRW589900:VRX589904 WBS589900:WBT589904 WLO589900:WLP589904 WVK589900:WVL589904 C655436:D655440 IY655436:IZ655440 SU655436:SV655440 ACQ655436:ACR655440 AMM655436:AMN655440 AWI655436:AWJ655440 BGE655436:BGF655440 BQA655436:BQB655440 BZW655436:BZX655440 CJS655436:CJT655440 CTO655436:CTP655440 DDK655436:DDL655440 DNG655436:DNH655440 DXC655436:DXD655440 EGY655436:EGZ655440 EQU655436:EQV655440 FAQ655436:FAR655440 FKM655436:FKN655440 FUI655436:FUJ655440 GEE655436:GEF655440 GOA655436:GOB655440 GXW655436:GXX655440 HHS655436:HHT655440 HRO655436:HRP655440 IBK655436:IBL655440 ILG655436:ILH655440 IVC655436:IVD655440 JEY655436:JEZ655440 JOU655436:JOV655440 JYQ655436:JYR655440 KIM655436:KIN655440 KSI655436:KSJ655440 LCE655436:LCF655440 LMA655436:LMB655440 LVW655436:LVX655440 MFS655436:MFT655440 MPO655436:MPP655440 MZK655436:MZL655440 NJG655436:NJH655440 NTC655436:NTD655440 OCY655436:OCZ655440 OMU655436:OMV655440 OWQ655436:OWR655440 PGM655436:PGN655440 PQI655436:PQJ655440 QAE655436:QAF655440 QKA655436:QKB655440 QTW655436:QTX655440 RDS655436:RDT655440 RNO655436:RNP655440 RXK655436:RXL655440 SHG655436:SHH655440 SRC655436:SRD655440 TAY655436:TAZ655440 TKU655436:TKV655440 TUQ655436:TUR655440 UEM655436:UEN655440 UOI655436:UOJ655440 UYE655436:UYF655440 VIA655436:VIB655440 VRW655436:VRX655440 WBS655436:WBT655440 WLO655436:WLP655440 WVK655436:WVL655440 C720972:D720976 IY720972:IZ720976 SU720972:SV720976 ACQ720972:ACR720976 AMM720972:AMN720976 AWI720972:AWJ720976 BGE720972:BGF720976 BQA720972:BQB720976 BZW720972:BZX720976 CJS720972:CJT720976 CTO720972:CTP720976 DDK720972:DDL720976 DNG720972:DNH720976 DXC720972:DXD720976 EGY720972:EGZ720976 EQU720972:EQV720976 FAQ720972:FAR720976 FKM720972:FKN720976 FUI720972:FUJ720976 GEE720972:GEF720976 GOA720972:GOB720976 GXW720972:GXX720976 HHS720972:HHT720976 HRO720972:HRP720976 IBK720972:IBL720976 ILG720972:ILH720976 IVC720972:IVD720976 JEY720972:JEZ720976 JOU720972:JOV720976 JYQ720972:JYR720976 KIM720972:KIN720976 KSI720972:KSJ720976 LCE720972:LCF720976 LMA720972:LMB720976 LVW720972:LVX720976 MFS720972:MFT720976 MPO720972:MPP720976 MZK720972:MZL720976 NJG720972:NJH720976 NTC720972:NTD720976 OCY720972:OCZ720976 OMU720972:OMV720976 OWQ720972:OWR720976 PGM720972:PGN720976 PQI720972:PQJ720976 QAE720972:QAF720976 QKA720972:QKB720976 QTW720972:QTX720976 RDS720972:RDT720976 RNO720972:RNP720976 RXK720972:RXL720976 SHG720972:SHH720976 SRC720972:SRD720976 TAY720972:TAZ720976 TKU720972:TKV720976 TUQ720972:TUR720976 UEM720972:UEN720976 UOI720972:UOJ720976 UYE720972:UYF720976 VIA720972:VIB720976 VRW720972:VRX720976 WBS720972:WBT720976 WLO720972:WLP720976 WVK720972:WVL720976 C786508:D786512 IY786508:IZ786512 SU786508:SV786512 ACQ786508:ACR786512 AMM786508:AMN786512 AWI786508:AWJ786512 BGE786508:BGF786512 BQA786508:BQB786512 BZW786508:BZX786512 CJS786508:CJT786512 CTO786508:CTP786512 DDK786508:DDL786512 DNG786508:DNH786512 DXC786508:DXD786512 EGY786508:EGZ786512 EQU786508:EQV786512 FAQ786508:FAR786512 FKM786508:FKN786512 FUI786508:FUJ786512 GEE786508:GEF786512 GOA786508:GOB786512 GXW786508:GXX786512 HHS786508:HHT786512 HRO786508:HRP786512 IBK786508:IBL786512 ILG786508:ILH786512 IVC786508:IVD786512 JEY786508:JEZ786512 JOU786508:JOV786512 JYQ786508:JYR786512 KIM786508:KIN786512 KSI786508:KSJ786512 LCE786508:LCF786512 LMA786508:LMB786512 LVW786508:LVX786512 MFS786508:MFT786512 MPO786508:MPP786512 MZK786508:MZL786512 NJG786508:NJH786512 NTC786508:NTD786512 OCY786508:OCZ786512 OMU786508:OMV786512 OWQ786508:OWR786512 PGM786508:PGN786512 PQI786508:PQJ786512 QAE786508:QAF786512 QKA786508:QKB786512 QTW786508:QTX786512 RDS786508:RDT786512 RNO786508:RNP786512 RXK786508:RXL786512 SHG786508:SHH786512 SRC786508:SRD786512 TAY786508:TAZ786512 TKU786508:TKV786512 TUQ786508:TUR786512 UEM786508:UEN786512 UOI786508:UOJ786512 UYE786508:UYF786512 VIA786508:VIB786512 VRW786508:VRX786512 WBS786508:WBT786512 WLO786508:WLP786512 WVK786508:WVL786512 C852044:D852048 IY852044:IZ852048 SU852044:SV852048 ACQ852044:ACR852048 AMM852044:AMN852048 AWI852044:AWJ852048 BGE852044:BGF852048 BQA852044:BQB852048 BZW852044:BZX852048 CJS852044:CJT852048 CTO852044:CTP852048 DDK852044:DDL852048 DNG852044:DNH852048 DXC852044:DXD852048 EGY852044:EGZ852048 EQU852044:EQV852048 FAQ852044:FAR852048 FKM852044:FKN852048 FUI852044:FUJ852048 GEE852044:GEF852048 GOA852044:GOB852048 GXW852044:GXX852048 HHS852044:HHT852048 HRO852044:HRP852048 IBK852044:IBL852048 ILG852044:ILH852048 IVC852044:IVD852048 JEY852044:JEZ852048 JOU852044:JOV852048 JYQ852044:JYR852048 KIM852044:KIN852048 KSI852044:KSJ852048 LCE852044:LCF852048 LMA852044:LMB852048 LVW852044:LVX852048 MFS852044:MFT852048 MPO852044:MPP852048 MZK852044:MZL852048 NJG852044:NJH852048 NTC852044:NTD852048 OCY852044:OCZ852048 OMU852044:OMV852048 OWQ852044:OWR852048 PGM852044:PGN852048 PQI852044:PQJ852048 QAE852044:QAF852048 QKA852044:QKB852048 QTW852044:QTX852048 RDS852044:RDT852048 RNO852044:RNP852048 RXK852044:RXL852048 SHG852044:SHH852048 SRC852044:SRD852048 TAY852044:TAZ852048 TKU852044:TKV852048 TUQ852044:TUR852048 UEM852044:UEN852048 UOI852044:UOJ852048 UYE852044:UYF852048 VIA852044:VIB852048 VRW852044:VRX852048 WBS852044:WBT852048 WLO852044:WLP852048 WVK852044:WVL852048 C917580:D917584 IY917580:IZ917584 SU917580:SV917584 ACQ917580:ACR917584 AMM917580:AMN917584 AWI917580:AWJ917584 BGE917580:BGF917584 BQA917580:BQB917584 BZW917580:BZX917584 CJS917580:CJT917584 CTO917580:CTP917584 DDK917580:DDL917584 DNG917580:DNH917584 DXC917580:DXD917584 EGY917580:EGZ917584 EQU917580:EQV917584 FAQ917580:FAR917584 FKM917580:FKN917584 FUI917580:FUJ917584 GEE917580:GEF917584 GOA917580:GOB917584 GXW917580:GXX917584 HHS917580:HHT917584 HRO917580:HRP917584 IBK917580:IBL917584 ILG917580:ILH917584 IVC917580:IVD917584 JEY917580:JEZ917584 JOU917580:JOV917584 JYQ917580:JYR917584 KIM917580:KIN917584 KSI917580:KSJ917584 LCE917580:LCF917584 LMA917580:LMB917584 LVW917580:LVX917584 MFS917580:MFT917584 MPO917580:MPP917584 MZK917580:MZL917584 NJG917580:NJH917584 NTC917580:NTD917584 OCY917580:OCZ917584 OMU917580:OMV917584 OWQ917580:OWR917584 PGM917580:PGN917584 PQI917580:PQJ917584 QAE917580:QAF917584 QKA917580:QKB917584 QTW917580:QTX917584 RDS917580:RDT917584 RNO917580:RNP917584 RXK917580:RXL917584 SHG917580:SHH917584 SRC917580:SRD917584 TAY917580:TAZ917584 TKU917580:TKV917584 TUQ917580:TUR917584 UEM917580:UEN917584 UOI917580:UOJ917584 UYE917580:UYF917584 VIA917580:VIB917584 VRW917580:VRX917584 WBS917580:WBT917584 WLO917580:WLP917584 WVK917580:WVL917584 C983116:D983120 IY983116:IZ983120 SU983116:SV983120 ACQ983116:ACR983120 AMM983116:AMN983120 AWI983116:AWJ983120 BGE983116:BGF983120 BQA983116:BQB983120 BZW983116:BZX983120 CJS983116:CJT983120 CTO983116:CTP983120 DDK983116:DDL983120 DNG983116:DNH983120 DXC983116:DXD983120 EGY983116:EGZ983120 EQU983116:EQV983120 FAQ983116:FAR983120 FKM983116:FKN983120 FUI983116:FUJ983120 GEE983116:GEF983120 GOA983116:GOB983120 GXW983116:GXX983120 HHS983116:HHT983120 HRO983116:HRP983120 IBK983116:IBL983120 ILG983116:ILH983120 IVC983116:IVD983120 JEY983116:JEZ983120 JOU983116:JOV983120 JYQ983116:JYR983120 KIM983116:KIN983120 KSI983116:KSJ983120 LCE983116:LCF983120 LMA983116:LMB983120 LVW983116:LVX983120 MFS983116:MFT983120 MPO983116:MPP983120 MZK983116:MZL983120 NJG983116:NJH983120 NTC983116:NTD983120 OCY983116:OCZ983120 OMU983116:OMV983120 OWQ983116:OWR983120 PGM983116:PGN983120 PQI983116:PQJ983120 QAE983116:QAF983120 QKA983116:QKB983120 QTW983116:QTX983120 RDS983116:RDT983120 RNO983116:RNP983120 RXK983116:RXL983120 SHG983116:SHH983120 SRC983116:SRD983120 TAY983116:TAZ983120 TKU983116:TKV983120 TUQ983116:TUR983120 UEM983116:UEN983120 UOI983116:UOJ983120 UYE983116:UYF983120 VIA983116:VIB983120 VRW983116:VRX983120 WBS983116:WBT983120 WLO983116:WLP983120 WVK983116:WVL983120 TUR983136 IY82:IZ86 SU82:SV86 ACQ82:ACR86 AMM82:AMN86 AWI82:AWJ86 BGE82:BGF86 BQA82:BQB86 BZW82:BZX86 CJS82:CJT86 CTO82:CTP86 DDK82:DDL86 DNG82:DNH86 DXC82:DXD86 EGY82:EGZ86 EQU82:EQV86 FAQ82:FAR86 FKM82:FKN86 FUI82:FUJ86 GEE82:GEF86 GOA82:GOB86 GXW82:GXX86 HHS82:HHT86 HRO82:HRP86 IBK82:IBL86 ILG82:ILH86 IVC82:IVD86 JEY82:JEZ86 JOU82:JOV86 JYQ82:JYR86 KIM82:KIN86 KSI82:KSJ86 LCE82:LCF86 LMA82:LMB86 LVW82:LVX86 MFS82:MFT86 MPO82:MPP86 MZK82:MZL86 NJG82:NJH86 NTC82:NTD86 OCY82:OCZ86 OMU82:OMV86 OWQ82:OWR86 PGM82:PGN86 PQI82:PQJ86 QAE82:QAF86 QKA82:QKB86 QTW82:QTX86 RDS82:RDT86 RNO82:RNP86 RXK82:RXL86 SHG82:SHH86 SRC82:SRD86 TAY82:TAZ86 TKU82:TKV86 TUQ82:TUR86 UEM82:UEN86 UOI82:UOJ86 UYE82:UYF86 VIA82:VIB86 VRW82:VRX86 WBS82:WBT86 WLO82:WLP86 WVK82:WVL86 C65618:D65622 IY65618:IZ65622 SU65618:SV65622 ACQ65618:ACR65622 AMM65618:AMN65622 AWI65618:AWJ65622 BGE65618:BGF65622 BQA65618:BQB65622 BZW65618:BZX65622 CJS65618:CJT65622 CTO65618:CTP65622 DDK65618:DDL65622 DNG65618:DNH65622 DXC65618:DXD65622 EGY65618:EGZ65622 EQU65618:EQV65622 FAQ65618:FAR65622 FKM65618:FKN65622 FUI65618:FUJ65622 GEE65618:GEF65622 GOA65618:GOB65622 GXW65618:GXX65622 HHS65618:HHT65622 HRO65618:HRP65622 IBK65618:IBL65622 ILG65618:ILH65622 IVC65618:IVD65622 JEY65618:JEZ65622 JOU65618:JOV65622 JYQ65618:JYR65622 KIM65618:KIN65622 KSI65618:KSJ65622 LCE65618:LCF65622 LMA65618:LMB65622 LVW65618:LVX65622 MFS65618:MFT65622 MPO65618:MPP65622 MZK65618:MZL65622 NJG65618:NJH65622 NTC65618:NTD65622 OCY65618:OCZ65622 OMU65618:OMV65622 OWQ65618:OWR65622 PGM65618:PGN65622 PQI65618:PQJ65622 QAE65618:QAF65622 QKA65618:QKB65622 QTW65618:QTX65622 RDS65618:RDT65622 RNO65618:RNP65622 RXK65618:RXL65622 SHG65618:SHH65622 SRC65618:SRD65622 TAY65618:TAZ65622 TKU65618:TKV65622 TUQ65618:TUR65622 UEM65618:UEN65622 UOI65618:UOJ65622 UYE65618:UYF65622 VIA65618:VIB65622 VRW65618:VRX65622 WBS65618:WBT65622 WLO65618:WLP65622 WVK65618:WVL65622 C131154:D131158 IY131154:IZ131158 SU131154:SV131158 ACQ131154:ACR131158 AMM131154:AMN131158 AWI131154:AWJ131158 BGE131154:BGF131158 BQA131154:BQB131158 BZW131154:BZX131158 CJS131154:CJT131158 CTO131154:CTP131158 DDK131154:DDL131158 DNG131154:DNH131158 DXC131154:DXD131158 EGY131154:EGZ131158 EQU131154:EQV131158 FAQ131154:FAR131158 FKM131154:FKN131158 FUI131154:FUJ131158 GEE131154:GEF131158 GOA131154:GOB131158 GXW131154:GXX131158 HHS131154:HHT131158 HRO131154:HRP131158 IBK131154:IBL131158 ILG131154:ILH131158 IVC131154:IVD131158 JEY131154:JEZ131158 JOU131154:JOV131158 JYQ131154:JYR131158 KIM131154:KIN131158 KSI131154:KSJ131158 LCE131154:LCF131158 LMA131154:LMB131158 LVW131154:LVX131158 MFS131154:MFT131158 MPO131154:MPP131158 MZK131154:MZL131158 NJG131154:NJH131158 NTC131154:NTD131158 OCY131154:OCZ131158 OMU131154:OMV131158 OWQ131154:OWR131158 PGM131154:PGN131158 PQI131154:PQJ131158 QAE131154:QAF131158 QKA131154:QKB131158 QTW131154:QTX131158 RDS131154:RDT131158 RNO131154:RNP131158 RXK131154:RXL131158 SHG131154:SHH131158 SRC131154:SRD131158 TAY131154:TAZ131158 TKU131154:TKV131158 TUQ131154:TUR131158 UEM131154:UEN131158 UOI131154:UOJ131158 UYE131154:UYF131158 VIA131154:VIB131158 VRW131154:VRX131158 WBS131154:WBT131158 WLO131154:WLP131158 WVK131154:WVL131158 C196690:D196694 IY196690:IZ196694 SU196690:SV196694 ACQ196690:ACR196694 AMM196690:AMN196694 AWI196690:AWJ196694 BGE196690:BGF196694 BQA196690:BQB196694 BZW196690:BZX196694 CJS196690:CJT196694 CTO196690:CTP196694 DDK196690:DDL196694 DNG196690:DNH196694 DXC196690:DXD196694 EGY196690:EGZ196694 EQU196690:EQV196694 FAQ196690:FAR196694 FKM196690:FKN196694 FUI196690:FUJ196694 GEE196690:GEF196694 GOA196690:GOB196694 GXW196690:GXX196694 HHS196690:HHT196694 HRO196690:HRP196694 IBK196690:IBL196694 ILG196690:ILH196694 IVC196690:IVD196694 JEY196690:JEZ196694 JOU196690:JOV196694 JYQ196690:JYR196694 KIM196690:KIN196694 KSI196690:KSJ196694 LCE196690:LCF196694 LMA196690:LMB196694 LVW196690:LVX196694 MFS196690:MFT196694 MPO196690:MPP196694 MZK196690:MZL196694 NJG196690:NJH196694 NTC196690:NTD196694 OCY196690:OCZ196694 OMU196690:OMV196694 OWQ196690:OWR196694 PGM196690:PGN196694 PQI196690:PQJ196694 QAE196690:QAF196694 QKA196690:QKB196694 QTW196690:QTX196694 RDS196690:RDT196694 RNO196690:RNP196694 RXK196690:RXL196694 SHG196690:SHH196694 SRC196690:SRD196694 TAY196690:TAZ196694 TKU196690:TKV196694 TUQ196690:TUR196694 UEM196690:UEN196694 UOI196690:UOJ196694 UYE196690:UYF196694 VIA196690:VIB196694 VRW196690:VRX196694 WBS196690:WBT196694 WLO196690:WLP196694 WVK196690:WVL196694 C262226:D262230 IY262226:IZ262230 SU262226:SV262230 ACQ262226:ACR262230 AMM262226:AMN262230 AWI262226:AWJ262230 BGE262226:BGF262230 BQA262226:BQB262230 BZW262226:BZX262230 CJS262226:CJT262230 CTO262226:CTP262230 DDK262226:DDL262230 DNG262226:DNH262230 DXC262226:DXD262230 EGY262226:EGZ262230 EQU262226:EQV262230 FAQ262226:FAR262230 FKM262226:FKN262230 FUI262226:FUJ262230 GEE262226:GEF262230 GOA262226:GOB262230 GXW262226:GXX262230 HHS262226:HHT262230 HRO262226:HRP262230 IBK262226:IBL262230 ILG262226:ILH262230 IVC262226:IVD262230 JEY262226:JEZ262230 JOU262226:JOV262230 JYQ262226:JYR262230 KIM262226:KIN262230 KSI262226:KSJ262230 LCE262226:LCF262230 LMA262226:LMB262230 LVW262226:LVX262230 MFS262226:MFT262230 MPO262226:MPP262230 MZK262226:MZL262230 NJG262226:NJH262230 NTC262226:NTD262230 OCY262226:OCZ262230 OMU262226:OMV262230 OWQ262226:OWR262230 PGM262226:PGN262230 PQI262226:PQJ262230 QAE262226:QAF262230 QKA262226:QKB262230 QTW262226:QTX262230 RDS262226:RDT262230 RNO262226:RNP262230 RXK262226:RXL262230 SHG262226:SHH262230 SRC262226:SRD262230 TAY262226:TAZ262230 TKU262226:TKV262230 TUQ262226:TUR262230 UEM262226:UEN262230 UOI262226:UOJ262230 UYE262226:UYF262230 VIA262226:VIB262230 VRW262226:VRX262230 WBS262226:WBT262230 WLO262226:WLP262230 WVK262226:WVL262230 C327762:D327766 IY327762:IZ327766 SU327762:SV327766 ACQ327762:ACR327766 AMM327762:AMN327766 AWI327762:AWJ327766 BGE327762:BGF327766 BQA327762:BQB327766 BZW327762:BZX327766 CJS327762:CJT327766 CTO327762:CTP327766 DDK327762:DDL327766 DNG327762:DNH327766 DXC327762:DXD327766 EGY327762:EGZ327766 EQU327762:EQV327766 FAQ327762:FAR327766 FKM327762:FKN327766 FUI327762:FUJ327766 GEE327762:GEF327766 GOA327762:GOB327766 GXW327762:GXX327766 HHS327762:HHT327766 HRO327762:HRP327766 IBK327762:IBL327766 ILG327762:ILH327766 IVC327762:IVD327766 JEY327762:JEZ327766 JOU327762:JOV327766 JYQ327762:JYR327766 KIM327762:KIN327766 KSI327762:KSJ327766 LCE327762:LCF327766 LMA327762:LMB327766 LVW327762:LVX327766 MFS327762:MFT327766 MPO327762:MPP327766 MZK327762:MZL327766 NJG327762:NJH327766 NTC327762:NTD327766 OCY327762:OCZ327766 OMU327762:OMV327766 OWQ327762:OWR327766 PGM327762:PGN327766 PQI327762:PQJ327766 QAE327762:QAF327766 QKA327762:QKB327766 QTW327762:QTX327766 RDS327762:RDT327766 RNO327762:RNP327766 RXK327762:RXL327766 SHG327762:SHH327766 SRC327762:SRD327766 TAY327762:TAZ327766 TKU327762:TKV327766 TUQ327762:TUR327766 UEM327762:UEN327766 UOI327762:UOJ327766 UYE327762:UYF327766 VIA327762:VIB327766 VRW327762:VRX327766 WBS327762:WBT327766 WLO327762:WLP327766 WVK327762:WVL327766 C393298:D393302 IY393298:IZ393302 SU393298:SV393302 ACQ393298:ACR393302 AMM393298:AMN393302 AWI393298:AWJ393302 BGE393298:BGF393302 BQA393298:BQB393302 BZW393298:BZX393302 CJS393298:CJT393302 CTO393298:CTP393302 DDK393298:DDL393302 DNG393298:DNH393302 DXC393298:DXD393302 EGY393298:EGZ393302 EQU393298:EQV393302 FAQ393298:FAR393302 FKM393298:FKN393302 FUI393298:FUJ393302 GEE393298:GEF393302 GOA393298:GOB393302 GXW393298:GXX393302 HHS393298:HHT393302 HRO393298:HRP393302 IBK393298:IBL393302 ILG393298:ILH393302 IVC393298:IVD393302 JEY393298:JEZ393302 JOU393298:JOV393302 JYQ393298:JYR393302 KIM393298:KIN393302 KSI393298:KSJ393302 LCE393298:LCF393302 LMA393298:LMB393302 LVW393298:LVX393302 MFS393298:MFT393302 MPO393298:MPP393302 MZK393298:MZL393302 NJG393298:NJH393302 NTC393298:NTD393302 OCY393298:OCZ393302 OMU393298:OMV393302 OWQ393298:OWR393302 PGM393298:PGN393302 PQI393298:PQJ393302 QAE393298:QAF393302 QKA393298:QKB393302 QTW393298:QTX393302 RDS393298:RDT393302 RNO393298:RNP393302 RXK393298:RXL393302 SHG393298:SHH393302 SRC393298:SRD393302 TAY393298:TAZ393302 TKU393298:TKV393302 TUQ393298:TUR393302 UEM393298:UEN393302 UOI393298:UOJ393302 UYE393298:UYF393302 VIA393298:VIB393302 VRW393298:VRX393302 WBS393298:WBT393302 WLO393298:WLP393302 WVK393298:WVL393302 C458834:D458838 IY458834:IZ458838 SU458834:SV458838 ACQ458834:ACR458838 AMM458834:AMN458838 AWI458834:AWJ458838 BGE458834:BGF458838 BQA458834:BQB458838 BZW458834:BZX458838 CJS458834:CJT458838 CTO458834:CTP458838 DDK458834:DDL458838 DNG458834:DNH458838 DXC458834:DXD458838 EGY458834:EGZ458838 EQU458834:EQV458838 FAQ458834:FAR458838 FKM458834:FKN458838 FUI458834:FUJ458838 GEE458834:GEF458838 GOA458834:GOB458838 GXW458834:GXX458838 HHS458834:HHT458838 HRO458834:HRP458838 IBK458834:IBL458838 ILG458834:ILH458838 IVC458834:IVD458838 JEY458834:JEZ458838 JOU458834:JOV458838 JYQ458834:JYR458838 KIM458834:KIN458838 KSI458834:KSJ458838 LCE458834:LCF458838 LMA458834:LMB458838 LVW458834:LVX458838 MFS458834:MFT458838 MPO458834:MPP458838 MZK458834:MZL458838 NJG458834:NJH458838 NTC458834:NTD458838 OCY458834:OCZ458838 OMU458834:OMV458838 OWQ458834:OWR458838 PGM458834:PGN458838 PQI458834:PQJ458838 QAE458834:QAF458838 QKA458834:QKB458838 QTW458834:QTX458838 RDS458834:RDT458838 RNO458834:RNP458838 RXK458834:RXL458838 SHG458834:SHH458838 SRC458834:SRD458838 TAY458834:TAZ458838 TKU458834:TKV458838 TUQ458834:TUR458838 UEM458834:UEN458838 UOI458834:UOJ458838 UYE458834:UYF458838 VIA458834:VIB458838 VRW458834:VRX458838 WBS458834:WBT458838 WLO458834:WLP458838 WVK458834:WVL458838 C524370:D524374 IY524370:IZ524374 SU524370:SV524374 ACQ524370:ACR524374 AMM524370:AMN524374 AWI524370:AWJ524374 BGE524370:BGF524374 BQA524370:BQB524374 BZW524370:BZX524374 CJS524370:CJT524374 CTO524370:CTP524374 DDK524370:DDL524374 DNG524370:DNH524374 DXC524370:DXD524374 EGY524370:EGZ524374 EQU524370:EQV524374 FAQ524370:FAR524374 FKM524370:FKN524374 FUI524370:FUJ524374 GEE524370:GEF524374 GOA524370:GOB524374 GXW524370:GXX524374 HHS524370:HHT524374 HRO524370:HRP524374 IBK524370:IBL524374 ILG524370:ILH524374 IVC524370:IVD524374 JEY524370:JEZ524374 JOU524370:JOV524374 JYQ524370:JYR524374 KIM524370:KIN524374 KSI524370:KSJ524374 LCE524370:LCF524374 LMA524370:LMB524374 LVW524370:LVX524374 MFS524370:MFT524374 MPO524370:MPP524374 MZK524370:MZL524374 NJG524370:NJH524374 NTC524370:NTD524374 OCY524370:OCZ524374 OMU524370:OMV524374 OWQ524370:OWR524374 PGM524370:PGN524374 PQI524370:PQJ524374 QAE524370:QAF524374 QKA524370:QKB524374 QTW524370:QTX524374 RDS524370:RDT524374 RNO524370:RNP524374 RXK524370:RXL524374 SHG524370:SHH524374 SRC524370:SRD524374 TAY524370:TAZ524374 TKU524370:TKV524374 TUQ524370:TUR524374 UEM524370:UEN524374 UOI524370:UOJ524374 UYE524370:UYF524374 VIA524370:VIB524374 VRW524370:VRX524374 WBS524370:WBT524374 WLO524370:WLP524374 WVK524370:WVL524374 C589906:D589910 IY589906:IZ589910 SU589906:SV589910 ACQ589906:ACR589910 AMM589906:AMN589910 AWI589906:AWJ589910 BGE589906:BGF589910 BQA589906:BQB589910 BZW589906:BZX589910 CJS589906:CJT589910 CTO589906:CTP589910 DDK589906:DDL589910 DNG589906:DNH589910 DXC589906:DXD589910 EGY589906:EGZ589910 EQU589906:EQV589910 FAQ589906:FAR589910 FKM589906:FKN589910 FUI589906:FUJ589910 GEE589906:GEF589910 GOA589906:GOB589910 GXW589906:GXX589910 HHS589906:HHT589910 HRO589906:HRP589910 IBK589906:IBL589910 ILG589906:ILH589910 IVC589906:IVD589910 JEY589906:JEZ589910 JOU589906:JOV589910 JYQ589906:JYR589910 KIM589906:KIN589910 KSI589906:KSJ589910 LCE589906:LCF589910 LMA589906:LMB589910 LVW589906:LVX589910 MFS589906:MFT589910 MPO589906:MPP589910 MZK589906:MZL589910 NJG589906:NJH589910 NTC589906:NTD589910 OCY589906:OCZ589910 OMU589906:OMV589910 OWQ589906:OWR589910 PGM589906:PGN589910 PQI589906:PQJ589910 QAE589906:QAF589910 QKA589906:QKB589910 QTW589906:QTX589910 RDS589906:RDT589910 RNO589906:RNP589910 RXK589906:RXL589910 SHG589906:SHH589910 SRC589906:SRD589910 TAY589906:TAZ589910 TKU589906:TKV589910 TUQ589906:TUR589910 UEM589906:UEN589910 UOI589906:UOJ589910 UYE589906:UYF589910 VIA589906:VIB589910 VRW589906:VRX589910 WBS589906:WBT589910 WLO589906:WLP589910 WVK589906:WVL589910 C655442:D655446 IY655442:IZ655446 SU655442:SV655446 ACQ655442:ACR655446 AMM655442:AMN655446 AWI655442:AWJ655446 BGE655442:BGF655446 BQA655442:BQB655446 BZW655442:BZX655446 CJS655442:CJT655446 CTO655442:CTP655446 DDK655442:DDL655446 DNG655442:DNH655446 DXC655442:DXD655446 EGY655442:EGZ655446 EQU655442:EQV655446 FAQ655442:FAR655446 FKM655442:FKN655446 FUI655442:FUJ655446 GEE655442:GEF655446 GOA655442:GOB655446 GXW655442:GXX655446 HHS655442:HHT655446 HRO655442:HRP655446 IBK655442:IBL655446 ILG655442:ILH655446 IVC655442:IVD655446 JEY655442:JEZ655446 JOU655442:JOV655446 JYQ655442:JYR655446 KIM655442:KIN655446 KSI655442:KSJ655446 LCE655442:LCF655446 LMA655442:LMB655446 LVW655442:LVX655446 MFS655442:MFT655446 MPO655442:MPP655446 MZK655442:MZL655446 NJG655442:NJH655446 NTC655442:NTD655446 OCY655442:OCZ655446 OMU655442:OMV655446 OWQ655442:OWR655446 PGM655442:PGN655446 PQI655442:PQJ655446 QAE655442:QAF655446 QKA655442:QKB655446 QTW655442:QTX655446 RDS655442:RDT655446 RNO655442:RNP655446 RXK655442:RXL655446 SHG655442:SHH655446 SRC655442:SRD655446 TAY655442:TAZ655446 TKU655442:TKV655446 TUQ655442:TUR655446 UEM655442:UEN655446 UOI655442:UOJ655446 UYE655442:UYF655446 VIA655442:VIB655446 VRW655442:VRX655446 WBS655442:WBT655446 WLO655442:WLP655446 WVK655442:WVL655446 C720978:D720982 IY720978:IZ720982 SU720978:SV720982 ACQ720978:ACR720982 AMM720978:AMN720982 AWI720978:AWJ720982 BGE720978:BGF720982 BQA720978:BQB720982 BZW720978:BZX720982 CJS720978:CJT720982 CTO720978:CTP720982 DDK720978:DDL720982 DNG720978:DNH720982 DXC720978:DXD720982 EGY720978:EGZ720982 EQU720978:EQV720982 FAQ720978:FAR720982 FKM720978:FKN720982 FUI720978:FUJ720982 GEE720978:GEF720982 GOA720978:GOB720982 GXW720978:GXX720982 HHS720978:HHT720982 HRO720978:HRP720982 IBK720978:IBL720982 ILG720978:ILH720982 IVC720978:IVD720982 JEY720978:JEZ720982 JOU720978:JOV720982 JYQ720978:JYR720982 KIM720978:KIN720982 KSI720978:KSJ720982 LCE720978:LCF720982 LMA720978:LMB720982 LVW720978:LVX720982 MFS720978:MFT720982 MPO720978:MPP720982 MZK720978:MZL720982 NJG720978:NJH720982 NTC720978:NTD720982 OCY720978:OCZ720982 OMU720978:OMV720982 OWQ720978:OWR720982 PGM720978:PGN720982 PQI720978:PQJ720982 QAE720978:QAF720982 QKA720978:QKB720982 QTW720978:QTX720982 RDS720978:RDT720982 RNO720978:RNP720982 RXK720978:RXL720982 SHG720978:SHH720982 SRC720978:SRD720982 TAY720978:TAZ720982 TKU720978:TKV720982 TUQ720978:TUR720982 UEM720978:UEN720982 UOI720978:UOJ720982 UYE720978:UYF720982 VIA720978:VIB720982 VRW720978:VRX720982 WBS720978:WBT720982 WLO720978:WLP720982 WVK720978:WVL720982 C786514:D786518 IY786514:IZ786518 SU786514:SV786518 ACQ786514:ACR786518 AMM786514:AMN786518 AWI786514:AWJ786518 BGE786514:BGF786518 BQA786514:BQB786518 BZW786514:BZX786518 CJS786514:CJT786518 CTO786514:CTP786518 DDK786514:DDL786518 DNG786514:DNH786518 DXC786514:DXD786518 EGY786514:EGZ786518 EQU786514:EQV786518 FAQ786514:FAR786518 FKM786514:FKN786518 FUI786514:FUJ786518 GEE786514:GEF786518 GOA786514:GOB786518 GXW786514:GXX786518 HHS786514:HHT786518 HRO786514:HRP786518 IBK786514:IBL786518 ILG786514:ILH786518 IVC786514:IVD786518 JEY786514:JEZ786518 JOU786514:JOV786518 JYQ786514:JYR786518 KIM786514:KIN786518 KSI786514:KSJ786518 LCE786514:LCF786518 LMA786514:LMB786518 LVW786514:LVX786518 MFS786514:MFT786518 MPO786514:MPP786518 MZK786514:MZL786518 NJG786514:NJH786518 NTC786514:NTD786518 OCY786514:OCZ786518 OMU786514:OMV786518 OWQ786514:OWR786518 PGM786514:PGN786518 PQI786514:PQJ786518 QAE786514:QAF786518 QKA786514:QKB786518 QTW786514:QTX786518 RDS786514:RDT786518 RNO786514:RNP786518 RXK786514:RXL786518 SHG786514:SHH786518 SRC786514:SRD786518 TAY786514:TAZ786518 TKU786514:TKV786518 TUQ786514:TUR786518 UEM786514:UEN786518 UOI786514:UOJ786518 UYE786514:UYF786518 VIA786514:VIB786518 VRW786514:VRX786518 WBS786514:WBT786518 WLO786514:WLP786518 WVK786514:WVL786518 C852050:D852054 IY852050:IZ852054 SU852050:SV852054 ACQ852050:ACR852054 AMM852050:AMN852054 AWI852050:AWJ852054 BGE852050:BGF852054 BQA852050:BQB852054 BZW852050:BZX852054 CJS852050:CJT852054 CTO852050:CTP852054 DDK852050:DDL852054 DNG852050:DNH852054 DXC852050:DXD852054 EGY852050:EGZ852054 EQU852050:EQV852054 FAQ852050:FAR852054 FKM852050:FKN852054 FUI852050:FUJ852054 GEE852050:GEF852054 GOA852050:GOB852054 GXW852050:GXX852054 HHS852050:HHT852054 HRO852050:HRP852054 IBK852050:IBL852054 ILG852050:ILH852054 IVC852050:IVD852054 JEY852050:JEZ852054 JOU852050:JOV852054 JYQ852050:JYR852054 KIM852050:KIN852054 KSI852050:KSJ852054 LCE852050:LCF852054 LMA852050:LMB852054 LVW852050:LVX852054 MFS852050:MFT852054 MPO852050:MPP852054 MZK852050:MZL852054 NJG852050:NJH852054 NTC852050:NTD852054 OCY852050:OCZ852054 OMU852050:OMV852054 OWQ852050:OWR852054 PGM852050:PGN852054 PQI852050:PQJ852054 QAE852050:QAF852054 QKA852050:QKB852054 QTW852050:QTX852054 RDS852050:RDT852054 RNO852050:RNP852054 RXK852050:RXL852054 SHG852050:SHH852054 SRC852050:SRD852054 TAY852050:TAZ852054 TKU852050:TKV852054 TUQ852050:TUR852054 UEM852050:UEN852054 UOI852050:UOJ852054 UYE852050:UYF852054 VIA852050:VIB852054 VRW852050:VRX852054 WBS852050:WBT852054 WLO852050:WLP852054 WVK852050:WVL852054 C917586:D917590 IY917586:IZ917590 SU917586:SV917590 ACQ917586:ACR917590 AMM917586:AMN917590 AWI917586:AWJ917590 BGE917586:BGF917590 BQA917586:BQB917590 BZW917586:BZX917590 CJS917586:CJT917590 CTO917586:CTP917590 DDK917586:DDL917590 DNG917586:DNH917590 DXC917586:DXD917590 EGY917586:EGZ917590 EQU917586:EQV917590 FAQ917586:FAR917590 FKM917586:FKN917590 FUI917586:FUJ917590 GEE917586:GEF917590 GOA917586:GOB917590 GXW917586:GXX917590 HHS917586:HHT917590 HRO917586:HRP917590 IBK917586:IBL917590 ILG917586:ILH917590 IVC917586:IVD917590 JEY917586:JEZ917590 JOU917586:JOV917590 JYQ917586:JYR917590 KIM917586:KIN917590 KSI917586:KSJ917590 LCE917586:LCF917590 LMA917586:LMB917590 LVW917586:LVX917590 MFS917586:MFT917590 MPO917586:MPP917590 MZK917586:MZL917590 NJG917586:NJH917590 NTC917586:NTD917590 OCY917586:OCZ917590 OMU917586:OMV917590 OWQ917586:OWR917590 PGM917586:PGN917590 PQI917586:PQJ917590 QAE917586:QAF917590 QKA917586:QKB917590 QTW917586:QTX917590 RDS917586:RDT917590 RNO917586:RNP917590 RXK917586:RXL917590 SHG917586:SHH917590 SRC917586:SRD917590 TAY917586:TAZ917590 TKU917586:TKV917590 TUQ917586:TUR917590 UEM917586:UEN917590 UOI917586:UOJ917590 UYE917586:UYF917590 VIA917586:VIB917590 VRW917586:VRX917590 WBS917586:WBT917590 WLO917586:WLP917590 WVK917586:WVL917590 C983122:D983126 IY983122:IZ983126 SU983122:SV983126 ACQ983122:ACR983126 AMM983122:AMN983126 AWI983122:AWJ983126 BGE983122:BGF983126 BQA983122:BQB983126 BZW983122:BZX983126 CJS983122:CJT983126 CTO983122:CTP983126 DDK983122:DDL983126 DNG983122:DNH983126 DXC983122:DXD983126 EGY983122:EGZ983126 EQU983122:EQV983126 FAQ983122:FAR983126 FKM983122:FKN983126 FUI983122:FUJ983126 GEE983122:GEF983126 GOA983122:GOB983126 GXW983122:GXX983126 HHS983122:HHT983126 HRO983122:HRP983126 IBK983122:IBL983126 ILG983122:ILH983126 IVC983122:IVD983126 JEY983122:JEZ983126 JOU983122:JOV983126 JYQ983122:JYR983126 KIM983122:KIN983126 KSI983122:KSJ983126 LCE983122:LCF983126 LMA983122:LMB983126 LVW983122:LVX983126 MFS983122:MFT983126 MPO983122:MPP983126 MZK983122:MZL983126 NJG983122:NJH983126 NTC983122:NTD983126 OCY983122:OCZ983126 OMU983122:OMV983126 OWQ983122:OWR983126 PGM983122:PGN983126 PQI983122:PQJ983126 QAE983122:QAF983126 QKA983122:QKB983126 QTW983122:QTX983126 RDS983122:RDT983126 RNO983122:RNP983126 RXK983122:RXL983126 SHG983122:SHH983126 SRC983122:SRD983126 TAY983122:TAZ983126 TKU983122:TKV983126 TUQ983122:TUR983126 UEM983122:UEN983126 UOI983122:UOJ983126 UYE983122:UYF983126 VIA983122:VIB983126 VRW983122:VRX983126 WBS983122:WBT983126 WLO983122:WLP983126 WVK983122:WVL983126 C31:D31 IZ88:IZ94 SV88:SV94 ACR88:ACR94 AMN88:AMN94 AWJ88:AWJ94 BGF88:BGF94 BQB88:BQB94 BZX88:BZX94 CJT88:CJT94 CTP88:CTP94 DDL88:DDL94 DNH88:DNH94 DXD88:DXD94 EGZ88:EGZ94 EQV88:EQV94 FAR88:FAR94 FKN88:FKN94 FUJ88:FUJ94 GEF88:GEF94 GOB88:GOB94 GXX88:GXX94 HHT88:HHT94 HRP88:HRP94 IBL88:IBL94 ILH88:ILH94 IVD88:IVD94 JEZ88:JEZ94 JOV88:JOV94 JYR88:JYR94 KIN88:KIN94 KSJ88:KSJ94 LCF88:LCF94 LMB88:LMB94 LVX88:LVX94 MFT88:MFT94 MPP88:MPP94 MZL88:MZL94 NJH88:NJH94 NTD88:NTD94 OCZ88:OCZ94 OMV88:OMV94 OWR88:OWR94 PGN88:PGN94 PQJ88:PQJ94 QAF88:QAF94 QKB88:QKB94 QTX88:QTX94 RDT88:RDT94 RNP88:RNP94 RXL88:RXL94 SHH88:SHH94 SRD88:SRD94 TAZ88:TAZ94 TKV88:TKV94 TUR88:TUR94 UEN88:UEN94 UOJ88:UOJ94 UYF88:UYF94 VIB88:VIB94 VRX88:VRX94 WBT88:WBT94 WLP88:WLP94 WVL88:WVL94 D65624:D65630 IZ65624:IZ65630 SV65624:SV65630 ACR65624:ACR65630 AMN65624:AMN65630 AWJ65624:AWJ65630 BGF65624:BGF65630 BQB65624:BQB65630 BZX65624:BZX65630 CJT65624:CJT65630 CTP65624:CTP65630 DDL65624:DDL65630 DNH65624:DNH65630 DXD65624:DXD65630 EGZ65624:EGZ65630 EQV65624:EQV65630 FAR65624:FAR65630 FKN65624:FKN65630 FUJ65624:FUJ65630 GEF65624:GEF65630 GOB65624:GOB65630 GXX65624:GXX65630 HHT65624:HHT65630 HRP65624:HRP65630 IBL65624:IBL65630 ILH65624:ILH65630 IVD65624:IVD65630 JEZ65624:JEZ65630 JOV65624:JOV65630 JYR65624:JYR65630 KIN65624:KIN65630 KSJ65624:KSJ65630 LCF65624:LCF65630 LMB65624:LMB65630 LVX65624:LVX65630 MFT65624:MFT65630 MPP65624:MPP65630 MZL65624:MZL65630 NJH65624:NJH65630 NTD65624:NTD65630 OCZ65624:OCZ65630 OMV65624:OMV65630 OWR65624:OWR65630 PGN65624:PGN65630 PQJ65624:PQJ65630 QAF65624:QAF65630 QKB65624:QKB65630 QTX65624:QTX65630 RDT65624:RDT65630 RNP65624:RNP65630 RXL65624:RXL65630 SHH65624:SHH65630 SRD65624:SRD65630 TAZ65624:TAZ65630 TKV65624:TKV65630 TUR65624:TUR65630 UEN65624:UEN65630 UOJ65624:UOJ65630 UYF65624:UYF65630 VIB65624:VIB65630 VRX65624:VRX65630 WBT65624:WBT65630 WLP65624:WLP65630 WVL65624:WVL65630 D131160:D131166 IZ131160:IZ131166 SV131160:SV131166 ACR131160:ACR131166 AMN131160:AMN131166 AWJ131160:AWJ131166 BGF131160:BGF131166 BQB131160:BQB131166 BZX131160:BZX131166 CJT131160:CJT131166 CTP131160:CTP131166 DDL131160:DDL131166 DNH131160:DNH131166 DXD131160:DXD131166 EGZ131160:EGZ131166 EQV131160:EQV131166 FAR131160:FAR131166 FKN131160:FKN131166 FUJ131160:FUJ131166 GEF131160:GEF131166 GOB131160:GOB131166 GXX131160:GXX131166 HHT131160:HHT131166 HRP131160:HRP131166 IBL131160:IBL131166 ILH131160:ILH131166 IVD131160:IVD131166 JEZ131160:JEZ131166 JOV131160:JOV131166 JYR131160:JYR131166 KIN131160:KIN131166 KSJ131160:KSJ131166 LCF131160:LCF131166 LMB131160:LMB131166 LVX131160:LVX131166 MFT131160:MFT131166 MPP131160:MPP131166 MZL131160:MZL131166 NJH131160:NJH131166 NTD131160:NTD131166 OCZ131160:OCZ131166 OMV131160:OMV131166 OWR131160:OWR131166 PGN131160:PGN131166 PQJ131160:PQJ131166 QAF131160:QAF131166 QKB131160:QKB131166 QTX131160:QTX131166 RDT131160:RDT131166 RNP131160:RNP131166 RXL131160:RXL131166 SHH131160:SHH131166 SRD131160:SRD131166 TAZ131160:TAZ131166 TKV131160:TKV131166 TUR131160:TUR131166 UEN131160:UEN131166 UOJ131160:UOJ131166 UYF131160:UYF131166 VIB131160:VIB131166 VRX131160:VRX131166 WBT131160:WBT131166 WLP131160:WLP131166 WVL131160:WVL131166 D196696:D196702 IZ196696:IZ196702 SV196696:SV196702 ACR196696:ACR196702 AMN196696:AMN196702 AWJ196696:AWJ196702 BGF196696:BGF196702 BQB196696:BQB196702 BZX196696:BZX196702 CJT196696:CJT196702 CTP196696:CTP196702 DDL196696:DDL196702 DNH196696:DNH196702 DXD196696:DXD196702 EGZ196696:EGZ196702 EQV196696:EQV196702 FAR196696:FAR196702 FKN196696:FKN196702 FUJ196696:FUJ196702 GEF196696:GEF196702 GOB196696:GOB196702 GXX196696:GXX196702 HHT196696:HHT196702 HRP196696:HRP196702 IBL196696:IBL196702 ILH196696:ILH196702 IVD196696:IVD196702 JEZ196696:JEZ196702 JOV196696:JOV196702 JYR196696:JYR196702 KIN196696:KIN196702 KSJ196696:KSJ196702 LCF196696:LCF196702 LMB196696:LMB196702 LVX196696:LVX196702 MFT196696:MFT196702 MPP196696:MPP196702 MZL196696:MZL196702 NJH196696:NJH196702 NTD196696:NTD196702 OCZ196696:OCZ196702 OMV196696:OMV196702 OWR196696:OWR196702 PGN196696:PGN196702 PQJ196696:PQJ196702 QAF196696:QAF196702 QKB196696:QKB196702 QTX196696:QTX196702 RDT196696:RDT196702 RNP196696:RNP196702 RXL196696:RXL196702 SHH196696:SHH196702 SRD196696:SRD196702 TAZ196696:TAZ196702 TKV196696:TKV196702 TUR196696:TUR196702 UEN196696:UEN196702 UOJ196696:UOJ196702 UYF196696:UYF196702 VIB196696:VIB196702 VRX196696:VRX196702 WBT196696:WBT196702 WLP196696:WLP196702 WVL196696:WVL196702 D262232:D262238 IZ262232:IZ262238 SV262232:SV262238 ACR262232:ACR262238 AMN262232:AMN262238 AWJ262232:AWJ262238 BGF262232:BGF262238 BQB262232:BQB262238 BZX262232:BZX262238 CJT262232:CJT262238 CTP262232:CTP262238 DDL262232:DDL262238 DNH262232:DNH262238 DXD262232:DXD262238 EGZ262232:EGZ262238 EQV262232:EQV262238 FAR262232:FAR262238 FKN262232:FKN262238 FUJ262232:FUJ262238 GEF262232:GEF262238 GOB262232:GOB262238 GXX262232:GXX262238 HHT262232:HHT262238 HRP262232:HRP262238 IBL262232:IBL262238 ILH262232:ILH262238 IVD262232:IVD262238 JEZ262232:JEZ262238 JOV262232:JOV262238 JYR262232:JYR262238 KIN262232:KIN262238 KSJ262232:KSJ262238 LCF262232:LCF262238 LMB262232:LMB262238 LVX262232:LVX262238 MFT262232:MFT262238 MPP262232:MPP262238 MZL262232:MZL262238 NJH262232:NJH262238 NTD262232:NTD262238 OCZ262232:OCZ262238 OMV262232:OMV262238 OWR262232:OWR262238 PGN262232:PGN262238 PQJ262232:PQJ262238 QAF262232:QAF262238 QKB262232:QKB262238 QTX262232:QTX262238 RDT262232:RDT262238 RNP262232:RNP262238 RXL262232:RXL262238 SHH262232:SHH262238 SRD262232:SRD262238 TAZ262232:TAZ262238 TKV262232:TKV262238 TUR262232:TUR262238 UEN262232:UEN262238 UOJ262232:UOJ262238 UYF262232:UYF262238 VIB262232:VIB262238 VRX262232:VRX262238 WBT262232:WBT262238 WLP262232:WLP262238 WVL262232:WVL262238 D327768:D327774 IZ327768:IZ327774 SV327768:SV327774 ACR327768:ACR327774 AMN327768:AMN327774 AWJ327768:AWJ327774 BGF327768:BGF327774 BQB327768:BQB327774 BZX327768:BZX327774 CJT327768:CJT327774 CTP327768:CTP327774 DDL327768:DDL327774 DNH327768:DNH327774 DXD327768:DXD327774 EGZ327768:EGZ327774 EQV327768:EQV327774 FAR327768:FAR327774 FKN327768:FKN327774 FUJ327768:FUJ327774 GEF327768:GEF327774 GOB327768:GOB327774 GXX327768:GXX327774 HHT327768:HHT327774 HRP327768:HRP327774 IBL327768:IBL327774 ILH327768:ILH327774 IVD327768:IVD327774 JEZ327768:JEZ327774 JOV327768:JOV327774 JYR327768:JYR327774 KIN327768:KIN327774 KSJ327768:KSJ327774 LCF327768:LCF327774 LMB327768:LMB327774 LVX327768:LVX327774 MFT327768:MFT327774 MPP327768:MPP327774 MZL327768:MZL327774 NJH327768:NJH327774 NTD327768:NTD327774 OCZ327768:OCZ327774 OMV327768:OMV327774 OWR327768:OWR327774 PGN327768:PGN327774 PQJ327768:PQJ327774 QAF327768:QAF327774 QKB327768:QKB327774 QTX327768:QTX327774 RDT327768:RDT327774 RNP327768:RNP327774 RXL327768:RXL327774 SHH327768:SHH327774 SRD327768:SRD327774 TAZ327768:TAZ327774 TKV327768:TKV327774 TUR327768:TUR327774 UEN327768:UEN327774 UOJ327768:UOJ327774 UYF327768:UYF327774 VIB327768:VIB327774 VRX327768:VRX327774 WBT327768:WBT327774 WLP327768:WLP327774 WVL327768:WVL327774 D393304:D393310 IZ393304:IZ393310 SV393304:SV393310 ACR393304:ACR393310 AMN393304:AMN393310 AWJ393304:AWJ393310 BGF393304:BGF393310 BQB393304:BQB393310 BZX393304:BZX393310 CJT393304:CJT393310 CTP393304:CTP393310 DDL393304:DDL393310 DNH393304:DNH393310 DXD393304:DXD393310 EGZ393304:EGZ393310 EQV393304:EQV393310 FAR393304:FAR393310 FKN393304:FKN393310 FUJ393304:FUJ393310 GEF393304:GEF393310 GOB393304:GOB393310 GXX393304:GXX393310 HHT393304:HHT393310 HRP393304:HRP393310 IBL393304:IBL393310 ILH393304:ILH393310 IVD393304:IVD393310 JEZ393304:JEZ393310 JOV393304:JOV393310 JYR393304:JYR393310 KIN393304:KIN393310 KSJ393304:KSJ393310 LCF393304:LCF393310 LMB393304:LMB393310 LVX393304:LVX393310 MFT393304:MFT393310 MPP393304:MPP393310 MZL393304:MZL393310 NJH393304:NJH393310 NTD393304:NTD393310 OCZ393304:OCZ393310 OMV393304:OMV393310 OWR393304:OWR393310 PGN393304:PGN393310 PQJ393304:PQJ393310 QAF393304:QAF393310 QKB393304:QKB393310 QTX393304:QTX393310 RDT393304:RDT393310 RNP393304:RNP393310 RXL393304:RXL393310 SHH393304:SHH393310 SRD393304:SRD393310 TAZ393304:TAZ393310 TKV393304:TKV393310 TUR393304:TUR393310 UEN393304:UEN393310 UOJ393304:UOJ393310 UYF393304:UYF393310 VIB393304:VIB393310 VRX393304:VRX393310 WBT393304:WBT393310 WLP393304:WLP393310 WVL393304:WVL393310 D458840:D458846 IZ458840:IZ458846 SV458840:SV458846 ACR458840:ACR458846 AMN458840:AMN458846 AWJ458840:AWJ458846 BGF458840:BGF458846 BQB458840:BQB458846 BZX458840:BZX458846 CJT458840:CJT458846 CTP458840:CTP458846 DDL458840:DDL458846 DNH458840:DNH458846 DXD458840:DXD458846 EGZ458840:EGZ458846 EQV458840:EQV458846 FAR458840:FAR458846 FKN458840:FKN458846 FUJ458840:FUJ458846 GEF458840:GEF458846 GOB458840:GOB458846 GXX458840:GXX458846 HHT458840:HHT458846 HRP458840:HRP458846 IBL458840:IBL458846 ILH458840:ILH458846 IVD458840:IVD458846 JEZ458840:JEZ458846 JOV458840:JOV458846 JYR458840:JYR458846 KIN458840:KIN458846 KSJ458840:KSJ458846 LCF458840:LCF458846 LMB458840:LMB458846 LVX458840:LVX458846 MFT458840:MFT458846 MPP458840:MPP458846 MZL458840:MZL458846 NJH458840:NJH458846 NTD458840:NTD458846 OCZ458840:OCZ458846 OMV458840:OMV458846 OWR458840:OWR458846 PGN458840:PGN458846 PQJ458840:PQJ458846 QAF458840:QAF458846 QKB458840:QKB458846 QTX458840:QTX458846 RDT458840:RDT458846 RNP458840:RNP458846 RXL458840:RXL458846 SHH458840:SHH458846 SRD458840:SRD458846 TAZ458840:TAZ458846 TKV458840:TKV458846 TUR458840:TUR458846 UEN458840:UEN458846 UOJ458840:UOJ458846 UYF458840:UYF458846 VIB458840:VIB458846 VRX458840:VRX458846 WBT458840:WBT458846 WLP458840:WLP458846 WVL458840:WVL458846 D524376:D524382 IZ524376:IZ524382 SV524376:SV524382 ACR524376:ACR524382 AMN524376:AMN524382 AWJ524376:AWJ524382 BGF524376:BGF524382 BQB524376:BQB524382 BZX524376:BZX524382 CJT524376:CJT524382 CTP524376:CTP524382 DDL524376:DDL524382 DNH524376:DNH524382 DXD524376:DXD524382 EGZ524376:EGZ524382 EQV524376:EQV524382 FAR524376:FAR524382 FKN524376:FKN524382 FUJ524376:FUJ524382 GEF524376:GEF524382 GOB524376:GOB524382 GXX524376:GXX524382 HHT524376:HHT524382 HRP524376:HRP524382 IBL524376:IBL524382 ILH524376:ILH524382 IVD524376:IVD524382 JEZ524376:JEZ524382 JOV524376:JOV524382 JYR524376:JYR524382 KIN524376:KIN524382 KSJ524376:KSJ524382 LCF524376:LCF524382 LMB524376:LMB524382 LVX524376:LVX524382 MFT524376:MFT524382 MPP524376:MPP524382 MZL524376:MZL524382 NJH524376:NJH524382 NTD524376:NTD524382 OCZ524376:OCZ524382 OMV524376:OMV524382 OWR524376:OWR524382 PGN524376:PGN524382 PQJ524376:PQJ524382 QAF524376:QAF524382 QKB524376:QKB524382 QTX524376:QTX524382 RDT524376:RDT524382 RNP524376:RNP524382 RXL524376:RXL524382 SHH524376:SHH524382 SRD524376:SRD524382 TAZ524376:TAZ524382 TKV524376:TKV524382 TUR524376:TUR524382 UEN524376:UEN524382 UOJ524376:UOJ524382 UYF524376:UYF524382 VIB524376:VIB524382 VRX524376:VRX524382 WBT524376:WBT524382 WLP524376:WLP524382 WVL524376:WVL524382 D589912:D589918 IZ589912:IZ589918 SV589912:SV589918 ACR589912:ACR589918 AMN589912:AMN589918 AWJ589912:AWJ589918 BGF589912:BGF589918 BQB589912:BQB589918 BZX589912:BZX589918 CJT589912:CJT589918 CTP589912:CTP589918 DDL589912:DDL589918 DNH589912:DNH589918 DXD589912:DXD589918 EGZ589912:EGZ589918 EQV589912:EQV589918 FAR589912:FAR589918 FKN589912:FKN589918 FUJ589912:FUJ589918 GEF589912:GEF589918 GOB589912:GOB589918 GXX589912:GXX589918 HHT589912:HHT589918 HRP589912:HRP589918 IBL589912:IBL589918 ILH589912:ILH589918 IVD589912:IVD589918 JEZ589912:JEZ589918 JOV589912:JOV589918 JYR589912:JYR589918 KIN589912:KIN589918 KSJ589912:KSJ589918 LCF589912:LCF589918 LMB589912:LMB589918 LVX589912:LVX589918 MFT589912:MFT589918 MPP589912:MPP589918 MZL589912:MZL589918 NJH589912:NJH589918 NTD589912:NTD589918 OCZ589912:OCZ589918 OMV589912:OMV589918 OWR589912:OWR589918 PGN589912:PGN589918 PQJ589912:PQJ589918 QAF589912:QAF589918 QKB589912:QKB589918 QTX589912:QTX589918 RDT589912:RDT589918 RNP589912:RNP589918 RXL589912:RXL589918 SHH589912:SHH589918 SRD589912:SRD589918 TAZ589912:TAZ589918 TKV589912:TKV589918 TUR589912:TUR589918 UEN589912:UEN589918 UOJ589912:UOJ589918 UYF589912:UYF589918 VIB589912:VIB589918 VRX589912:VRX589918 WBT589912:WBT589918 WLP589912:WLP589918 WVL589912:WVL589918 D655448:D655454 IZ655448:IZ655454 SV655448:SV655454 ACR655448:ACR655454 AMN655448:AMN655454 AWJ655448:AWJ655454 BGF655448:BGF655454 BQB655448:BQB655454 BZX655448:BZX655454 CJT655448:CJT655454 CTP655448:CTP655454 DDL655448:DDL655454 DNH655448:DNH655454 DXD655448:DXD655454 EGZ655448:EGZ655454 EQV655448:EQV655454 FAR655448:FAR655454 FKN655448:FKN655454 FUJ655448:FUJ655454 GEF655448:GEF655454 GOB655448:GOB655454 GXX655448:GXX655454 HHT655448:HHT655454 HRP655448:HRP655454 IBL655448:IBL655454 ILH655448:ILH655454 IVD655448:IVD655454 JEZ655448:JEZ655454 JOV655448:JOV655454 JYR655448:JYR655454 KIN655448:KIN655454 KSJ655448:KSJ655454 LCF655448:LCF655454 LMB655448:LMB655454 LVX655448:LVX655454 MFT655448:MFT655454 MPP655448:MPP655454 MZL655448:MZL655454 NJH655448:NJH655454 NTD655448:NTD655454 OCZ655448:OCZ655454 OMV655448:OMV655454 OWR655448:OWR655454 PGN655448:PGN655454 PQJ655448:PQJ655454 QAF655448:QAF655454 QKB655448:QKB655454 QTX655448:QTX655454 RDT655448:RDT655454 RNP655448:RNP655454 RXL655448:RXL655454 SHH655448:SHH655454 SRD655448:SRD655454 TAZ655448:TAZ655454 TKV655448:TKV655454 TUR655448:TUR655454 UEN655448:UEN655454 UOJ655448:UOJ655454 UYF655448:UYF655454 VIB655448:VIB655454 VRX655448:VRX655454 WBT655448:WBT655454 WLP655448:WLP655454 WVL655448:WVL655454 D720984:D720990 IZ720984:IZ720990 SV720984:SV720990 ACR720984:ACR720990 AMN720984:AMN720990 AWJ720984:AWJ720990 BGF720984:BGF720990 BQB720984:BQB720990 BZX720984:BZX720990 CJT720984:CJT720990 CTP720984:CTP720990 DDL720984:DDL720990 DNH720984:DNH720990 DXD720984:DXD720990 EGZ720984:EGZ720990 EQV720984:EQV720990 FAR720984:FAR720990 FKN720984:FKN720990 FUJ720984:FUJ720990 GEF720984:GEF720990 GOB720984:GOB720990 GXX720984:GXX720990 HHT720984:HHT720990 HRP720984:HRP720990 IBL720984:IBL720990 ILH720984:ILH720990 IVD720984:IVD720990 JEZ720984:JEZ720990 JOV720984:JOV720990 JYR720984:JYR720990 KIN720984:KIN720990 KSJ720984:KSJ720990 LCF720984:LCF720990 LMB720984:LMB720990 LVX720984:LVX720990 MFT720984:MFT720990 MPP720984:MPP720990 MZL720984:MZL720990 NJH720984:NJH720990 NTD720984:NTD720990 OCZ720984:OCZ720990 OMV720984:OMV720990 OWR720984:OWR720990 PGN720984:PGN720990 PQJ720984:PQJ720990 QAF720984:QAF720990 QKB720984:QKB720990 QTX720984:QTX720990 RDT720984:RDT720990 RNP720984:RNP720990 RXL720984:RXL720990 SHH720984:SHH720990 SRD720984:SRD720990 TAZ720984:TAZ720990 TKV720984:TKV720990 TUR720984:TUR720990 UEN720984:UEN720990 UOJ720984:UOJ720990 UYF720984:UYF720990 VIB720984:VIB720990 VRX720984:VRX720990 WBT720984:WBT720990 WLP720984:WLP720990 WVL720984:WVL720990 D786520:D786526 IZ786520:IZ786526 SV786520:SV786526 ACR786520:ACR786526 AMN786520:AMN786526 AWJ786520:AWJ786526 BGF786520:BGF786526 BQB786520:BQB786526 BZX786520:BZX786526 CJT786520:CJT786526 CTP786520:CTP786526 DDL786520:DDL786526 DNH786520:DNH786526 DXD786520:DXD786526 EGZ786520:EGZ786526 EQV786520:EQV786526 FAR786520:FAR786526 FKN786520:FKN786526 FUJ786520:FUJ786526 GEF786520:GEF786526 GOB786520:GOB786526 GXX786520:GXX786526 HHT786520:HHT786526 HRP786520:HRP786526 IBL786520:IBL786526 ILH786520:ILH786526 IVD786520:IVD786526 JEZ786520:JEZ786526 JOV786520:JOV786526 JYR786520:JYR786526 KIN786520:KIN786526 KSJ786520:KSJ786526 LCF786520:LCF786526 LMB786520:LMB786526 LVX786520:LVX786526 MFT786520:MFT786526 MPP786520:MPP786526 MZL786520:MZL786526 NJH786520:NJH786526 NTD786520:NTD786526 OCZ786520:OCZ786526 OMV786520:OMV786526 OWR786520:OWR786526 PGN786520:PGN786526 PQJ786520:PQJ786526 QAF786520:QAF786526 QKB786520:QKB786526 QTX786520:QTX786526 RDT786520:RDT786526 RNP786520:RNP786526 RXL786520:RXL786526 SHH786520:SHH786526 SRD786520:SRD786526 TAZ786520:TAZ786526 TKV786520:TKV786526 TUR786520:TUR786526 UEN786520:UEN786526 UOJ786520:UOJ786526 UYF786520:UYF786526 VIB786520:VIB786526 VRX786520:VRX786526 WBT786520:WBT786526 WLP786520:WLP786526 WVL786520:WVL786526 D852056:D852062 IZ852056:IZ852062 SV852056:SV852062 ACR852056:ACR852062 AMN852056:AMN852062 AWJ852056:AWJ852062 BGF852056:BGF852062 BQB852056:BQB852062 BZX852056:BZX852062 CJT852056:CJT852062 CTP852056:CTP852062 DDL852056:DDL852062 DNH852056:DNH852062 DXD852056:DXD852062 EGZ852056:EGZ852062 EQV852056:EQV852062 FAR852056:FAR852062 FKN852056:FKN852062 FUJ852056:FUJ852062 GEF852056:GEF852062 GOB852056:GOB852062 GXX852056:GXX852062 HHT852056:HHT852062 HRP852056:HRP852062 IBL852056:IBL852062 ILH852056:ILH852062 IVD852056:IVD852062 JEZ852056:JEZ852062 JOV852056:JOV852062 JYR852056:JYR852062 KIN852056:KIN852062 KSJ852056:KSJ852062 LCF852056:LCF852062 LMB852056:LMB852062 LVX852056:LVX852062 MFT852056:MFT852062 MPP852056:MPP852062 MZL852056:MZL852062 NJH852056:NJH852062 NTD852056:NTD852062 OCZ852056:OCZ852062 OMV852056:OMV852062 OWR852056:OWR852062 PGN852056:PGN852062 PQJ852056:PQJ852062 QAF852056:QAF852062 QKB852056:QKB852062 QTX852056:QTX852062 RDT852056:RDT852062 RNP852056:RNP852062 RXL852056:RXL852062 SHH852056:SHH852062 SRD852056:SRD852062 TAZ852056:TAZ852062 TKV852056:TKV852062 TUR852056:TUR852062 UEN852056:UEN852062 UOJ852056:UOJ852062 UYF852056:UYF852062 VIB852056:VIB852062 VRX852056:VRX852062 WBT852056:WBT852062 WLP852056:WLP852062 WVL852056:WVL852062 D917592:D917598 IZ917592:IZ917598 SV917592:SV917598 ACR917592:ACR917598 AMN917592:AMN917598 AWJ917592:AWJ917598 BGF917592:BGF917598 BQB917592:BQB917598 BZX917592:BZX917598 CJT917592:CJT917598 CTP917592:CTP917598 DDL917592:DDL917598 DNH917592:DNH917598 DXD917592:DXD917598 EGZ917592:EGZ917598 EQV917592:EQV917598 FAR917592:FAR917598 FKN917592:FKN917598 FUJ917592:FUJ917598 GEF917592:GEF917598 GOB917592:GOB917598 GXX917592:GXX917598 HHT917592:HHT917598 HRP917592:HRP917598 IBL917592:IBL917598 ILH917592:ILH917598 IVD917592:IVD917598 JEZ917592:JEZ917598 JOV917592:JOV917598 JYR917592:JYR917598 KIN917592:KIN917598 KSJ917592:KSJ917598 LCF917592:LCF917598 LMB917592:LMB917598 LVX917592:LVX917598 MFT917592:MFT917598 MPP917592:MPP917598 MZL917592:MZL917598 NJH917592:NJH917598 NTD917592:NTD917598 OCZ917592:OCZ917598 OMV917592:OMV917598 OWR917592:OWR917598 PGN917592:PGN917598 PQJ917592:PQJ917598 QAF917592:QAF917598 QKB917592:QKB917598 QTX917592:QTX917598 RDT917592:RDT917598 RNP917592:RNP917598 RXL917592:RXL917598 SHH917592:SHH917598 SRD917592:SRD917598 TAZ917592:TAZ917598 TKV917592:TKV917598 TUR917592:TUR917598 UEN917592:UEN917598 UOJ917592:UOJ917598 UYF917592:UYF917598 VIB917592:VIB917598 VRX917592:VRX917598 WBT917592:WBT917598 WLP917592:WLP917598 WVL917592:WVL917598 D983128:D983134 IZ983128:IZ983134 SV983128:SV983134 ACR983128:ACR983134 AMN983128:AMN983134 AWJ983128:AWJ983134 BGF983128:BGF983134 BQB983128:BQB983134 BZX983128:BZX983134 CJT983128:CJT983134 CTP983128:CTP983134 DDL983128:DDL983134 DNH983128:DNH983134 DXD983128:DXD983134 EGZ983128:EGZ983134 EQV983128:EQV983134 FAR983128:FAR983134 FKN983128:FKN983134 FUJ983128:FUJ983134 GEF983128:GEF983134 GOB983128:GOB983134 GXX983128:GXX983134 HHT983128:HHT983134 HRP983128:HRP983134 IBL983128:IBL983134 ILH983128:ILH983134 IVD983128:IVD983134 JEZ983128:JEZ983134 JOV983128:JOV983134 JYR983128:JYR983134 KIN983128:KIN983134 KSJ983128:KSJ983134 LCF983128:LCF983134 LMB983128:LMB983134 LVX983128:LVX983134 MFT983128:MFT983134 MPP983128:MPP983134 MZL983128:MZL983134 NJH983128:NJH983134 NTD983128:NTD983134 OCZ983128:OCZ983134 OMV983128:OMV983134 OWR983128:OWR983134 PGN983128:PGN983134 PQJ983128:PQJ983134 QAF983128:QAF983134 QKB983128:QKB983134 QTX983128:QTX983134 RDT983128:RDT983134 RNP983128:RNP983134 RXL983128:RXL983134 SHH983128:SHH983134 SRD983128:SRD983134 TAZ983128:TAZ983134 TKV983128:TKV983134 TUR983128:TUR983134 UEN983128:UEN983134 UOJ983128:UOJ983134 UYF983128:UYF983134 VIB983128:VIB983134 VRX983128:VRX983134 WBT983128:WBT983134 WLP983128:WLP983134 WVL983128:WVL983134 D96 IZ96 SV96 ACR96 AMN96 AWJ96 BGF96 BQB96 BZX96 CJT96 CTP96 DDL96 DNH96 DXD96 EGZ96 EQV96 FAR96 FKN96 FUJ96 GEF96 GOB96 GXX96 HHT96 HRP96 IBL96 ILH96 IVD96 JEZ96 JOV96 JYR96 KIN96 KSJ96 LCF96 LMB96 LVX96 MFT96 MPP96 MZL96 NJH96 NTD96 OCZ96 OMV96 OWR96 PGN96 PQJ96 QAF96 QKB96 QTX96 RDT96 RNP96 RXL96 SHH96 SRD96 TAZ96 TKV96 TUR96 UEN96 UOJ96 UYF96 VIB96 VRX96 WBT96 WLP96 WVL96 D65632 IZ65632 SV65632 ACR65632 AMN65632 AWJ65632 BGF65632 BQB65632 BZX65632 CJT65632 CTP65632 DDL65632 DNH65632 DXD65632 EGZ65632 EQV65632 FAR65632 FKN65632 FUJ65632 GEF65632 GOB65632 GXX65632 HHT65632 HRP65632 IBL65632 ILH65632 IVD65632 JEZ65632 JOV65632 JYR65632 KIN65632 KSJ65632 LCF65632 LMB65632 LVX65632 MFT65632 MPP65632 MZL65632 NJH65632 NTD65632 OCZ65632 OMV65632 OWR65632 PGN65632 PQJ65632 QAF65632 QKB65632 QTX65632 RDT65632 RNP65632 RXL65632 SHH65632 SRD65632 TAZ65632 TKV65632 TUR65632 UEN65632 UOJ65632 UYF65632 VIB65632 VRX65632 WBT65632 WLP65632 WVL65632 D131168 IZ131168 SV131168 ACR131168 AMN131168 AWJ131168 BGF131168 BQB131168 BZX131168 CJT131168 CTP131168 DDL131168 DNH131168 DXD131168 EGZ131168 EQV131168 FAR131168 FKN131168 FUJ131168 GEF131168 GOB131168 GXX131168 HHT131168 HRP131168 IBL131168 ILH131168 IVD131168 JEZ131168 JOV131168 JYR131168 KIN131168 KSJ131168 LCF131168 LMB131168 LVX131168 MFT131168 MPP131168 MZL131168 NJH131168 NTD131168 OCZ131168 OMV131168 OWR131168 PGN131168 PQJ131168 QAF131168 QKB131168 QTX131168 RDT131168 RNP131168 RXL131168 SHH131168 SRD131168 TAZ131168 TKV131168 TUR131168 UEN131168 UOJ131168 UYF131168 VIB131168 VRX131168 WBT131168 WLP131168 WVL131168 D196704 IZ196704 SV196704 ACR196704 AMN196704 AWJ196704 BGF196704 BQB196704 BZX196704 CJT196704 CTP196704 DDL196704 DNH196704 DXD196704 EGZ196704 EQV196704 FAR196704 FKN196704 FUJ196704 GEF196704 GOB196704 GXX196704 HHT196704 HRP196704 IBL196704 ILH196704 IVD196704 JEZ196704 JOV196704 JYR196704 KIN196704 KSJ196704 LCF196704 LMB196704 LVX196704 MFT196704 MPP196704 MZL196704 NJH196704 NTD196704 OCZ196704 OMV196704 OWR196704 PGN196704 PQJ196704 QAF196704 QKB196704 QTX196704 RDT196704 RNP196704 RXL196704 SHH196704 SRD196704 TAZ196704 TKV196704 TUR196704 UEN196704 UOJ196704 UYF196704 VIB196704 VRX196704 WBT196704 WLP196704 WVL196704 D262240 IZ262240 SV262240 ACR262240 AMN262240 AWJ262240 BGF262240 BQB262240 BZX262240 CJT262240 CTP262240 DDL262240 DNH262240 DXD262240 EGZ262240 EQV262240 FAR262240 FKN262240 FUJ262240 GEF262240 GOB262240 GXX262240 HHT262240 HRP262240 IBL262240 ILH262240 IVD262240 JEZ262240 JOV262240 JYR262240 KIN262240 KSJ262240 LCF262240 LMB262240 LVX262240 MFT262240 MPP262240 MZL262240 NJH262240 NTD262240 OCZ262240 OMV262240 OWR262240 PGN262240 PQJ262240 QAF262240 QKB262240 QTX262240 RDT262240 RNP262240 RXL262240 SHH262240 SRD262240 TAZ262240 TKV262240 TUR262240 UEN262240 UOJ262240 UYF262240 VIB262240 VRX262240 WBT262240 WLP262240 WVL262240 D327776 IZ327776 SV327776 ACR327776 AMN327776 AWJ327776 BGF327776 BQB327776 BZX327776 CJT327776 CTP327776 DDL327776 DNH327776 DXD327776 EGZ327776 EQV327776 FAR327776 FKN327776 FUJ327776 GEF327776 GOB327776 GXX327776 HHT327776 HRP327776 IBL327776 ILH327776 IVD327776 JEZ327776 JOV327776 JYR327776 KIN327776 KSJ327776 LCF327776 LMB327776 LVX327776 MFT327776 MPP327776 MZL327776 NJH327776 NTD327776 OCZ327776 OMV327776 OWR327776 PGN327776 PQJ327776 QAF327776 QKB327776 QTX327776 RDT327776 RNP327776 RXL327776 SHH327776 SRD327776 TAZ327776 TKV327776 TUR327776 UEN327776 UOJ327776 UYF327776 VIB327776 VRX327776 WBT327776 WLP327776 WVL327776 D393312 IZ393312 SV393312 ACR393312 AMN393312 AWJ393312 BGF393312 BQB393312 BZX393312 CJT393312 CTP393312 DDL393312 DNH393312 DXD393312 EGZ393312 EQV393312 FAR393312 FKN393312 FUJ393312 GEF393312 GOB393312 GXX393312 HHT393312 HRP393312 IBL393312 ILH393312 IVD393312 JEZ393312 JOV393312 JYR393312 KIN393312 KSJ393312 LCF393312 LMB393312 LVX393312 MFT393312 MPP393312 MZL393312 NJH393312 NTD393312 OCZ393312 OMV393312 OWR393312 PGN393312 PQJ393312 QAF393312 QKB393312 QTX393312 RDT393312 RNP393312 RXL393312 SHH393312 SRD393312 TAZ393312 TKV393312 TUR393312 UEN393312 UOJ393312 UYF393312 VIB393312 VRX393312 WBT393312 WLP393312 WVL393312 D458848 IZ458848 SV458848 ACR458848 AMN458848 AWJ458848 BGF458848 BQB458848 BZX458848 CJT458848 CTP458848 DDL458848 DNH458848 DXD458848 EGZ458848 EQV458848 FAR458848 FKN458848 FUJ458848 GEF458848 GOB458848 GXX458848 HHT458848 HRP458848 IBL458848 ILH458848 IVD458848 JEZ458848 JOV458848 JYR458848 KIN458848 KSJ458848 LCF458848 LMB458848 LVX458848 MFT458848 MPP458848 MZL458848 NJH458848 NTD458848 OCZ458848 OMV458848 OWR458848 PGN458848 PQJ458848 QAF458848 QKB458848 QTX458848 RDT458848 RNP458848 RXL458848 SHH458848 SRD458848 TAZ458848 TKV458848 TUR458848 UEN458848 UOJ458848 UYF458848 VIB458848 VRX458848 WBT458848 WLP458848 WVL458848 D524384 IZ524384 SV524384 ACR524384 AMN524384 AWJ524384 BGF524384 BQB524384 BZX524384 CJT524384 CTP524384 DDL524384 DNH524384 DXD524384 EGZ524384 EQV524384 FAR524384 FKN524384 FUJ524384 GEF524384 GOB524384 GXX524384 HHT524384 HRP524384 IBL524384 ILH524384 IVD524384 JEZ524384 JOV524384 JYR524384 KIN524384 KSJ524384 LCF524384 LMB524384 LVX524384 MFT524384 MPP524384 MZL524384 NJH524384 NTD524384 OCZ524384 OMV524384 OWR524384 PGN524384 PQJ524384 QAF524384 QKB524384 QTX524384 RDT524384 RNP524384 RXL524384 SHH524384 SRD524384 TAZ524384 TKV524384 TUR524384 UEN524384 UOJ524384 UYF524384 VIB524384 VRX524384 WBT524384 WLP524384 WVL524384 D589920 IZ589920 SV589920 ACR589920 AMN589920 AWJ589920 BGF589920 BQB589920 BZX589920 CJT589920 CTP589920 DDL589920 DNH589920 DXD589920 EGZ589920 EQV589920 FAR589920 FKN589920 FUJ589920 GEF589920 GOB589920 GXX589920 HHT589920 HRP589920 IBL589920 ILH589920 IVD589920 JEZ589920 JOV589920 JYR589920 KIN589920 KSJ589920 LCF589920 LMB589920 LVX589920 MFT589920 MPP589920 MZL589920 NJH589920 NTD589920 OCZ589920 OMV589920 OWR589920 PGN589920 PQJ589920 QAF589920 QKB589920 QTX589920 RDT589920 RNP589920 RXL589920 SHH589920 SRD589920 TAZ589920 TKV589920 TUR589920 UEN589920 UOJ589920 UYF589920 VIB589920 VRX589920 WBT589920 WLP589920 WVL589920 D655456 IZ655456 SV655456 ACR655456 AMN655456 AWJ655456 BGF655456 BQB655456 BZX655456 CJT655456 CTP655456 DDL655456 DNH655456 DXD655456 EGZ655456 EQV655456 FAR655456 FKN655456 FUJ655456 GEF655456 GOB655456 GXX655456 HHT655456 HRP655456 IBL655456 ILH655456 IVD655456 JEZ655456 JOV655456 JYR655456 KIN655456 KSJ655456 LCF655456 LMB655456 LVX655456 MFT655456 MPP655456 MZL655456 NJH655456 NTD655456 OCZ655456 OMV655456 OWR655456 PGN655456 PQJ655456 QAF655456 QKB655456 QTX655456 RDT655456 RNP655456 RXL655456 SHH655456 SRD655456 TAZ655456 TKV655456 TUR655456 UEN655456 UOJ655456 UYF655456 VIB655456 VRX655456 WBT655456 WLP655456 WVL655456 D720992 IZ720992 SV720992 ACR720992 AMN720992 AWJ720992 BGF720992 BQB720992 BZX720992 CJT720992 CTP720992 DDL720992 DNH720992 DXD720992 EGZ720992 EQV720992 FAR720992 FKN720992 FUJ720992 GEF720992 GOB720992 GXX720992 HHT720992 HRP720992 IBL720992 ILH720992 IVD720992 JEZ720992 JOV720992 JYR720992 KIN720992 KSJ720992 LCF720992 LMB720992 LVX720992 MFT720992 MPP720992 MZL720992 NJH720992 NTD720992 OCZ720992 OMV720992 OWR720992 PGN720992 PQJ720992 QAF720992 QKB720992 QTX720992 RDT720992 RNP720992 RXL720992 SHH720992 SRD720992 TAZ720992 TKV720992 TUR720992 UEN720992 UOJ720992 UYF720992 VIB720992 VRX720992 WBT720992 WLP720992 WVL720992 D786528 IZ786528 SV786528 ACR786528 AMN786528 AWJ786528 BGF786528 BQB786528 BZX786528 CJT786528 CTP786528 DDL786528 DNH786528 DXD786528 EGZ786528 EQV786528 FAR786528 FKN786528 FUJ786528 GEF786528 GOB786528 GXX786528 HHT786528 HRP786528 IBL786528 ILH786528 IVD786528 JEZ786528 JOV786528 JYR786528 KIN786528 KSJ786528 LCF786528 LMB786528 LVX786528 MFT786528 MPP786528 MZL786528 NJH786528 NTD786528 OCZ786528 OMV786528 OWR786528 PGN786528 PQJ786528 QAF786528 QKB786528 QTX786528 RDT786528 RNP786528 RXL786528 SHH786528 SRD786528 TAZ786528 TKV786528 TUR786528 UEN786528 UOJ786528 UYF786528 VIB786528 VRX786528 WBT786528 WLP786528 WVL786528 D852064 IZ852064 SV852064 ACR852064 AMN852064 AWJ852064 BGF852064 BQB852064 BZX852064 CJT852064 CTP852064 DDL852064 DNH852064 DXD852064 EGZ852064 EQV852064 FAR852064 FKN852064 FUJ852064 GEF852064 GOB852064 GXX852064 HHT852064 HRP852064 IBL852064 ILH852064 IVD852064 JEZ852064 JOV852064 JYR852064 KIN852064 KSJ852064 LCF852064 LMB852064 LVX852064 MFT852064 MPP852064 MZL852064 NJH852064 NTD852064 OCZ852064 OMV852064 OWR852064 PGN852064 PQJ852064 QAF852064 QKB852064 QTX852064 RDT852064 RNP852064 RXL852064 SHH852064 SRD852064 TAZ852064 TKV852064 TUR852064 UEN852064 UOJ852064 UYF852064 VIB852064 VRX852064 WBT852064 WLP852064 WVL852064 D917600 IZ917600 SV917600 ACR917600 AMN917600 AWJ917600 BGF917600 BQB917600 BZX917600 CJT917600 CTP917600 DDL917600 DNH917600 DXD917600 EGZ917600 EQV917600 FAR917600 FKN917600 FUJ917600 GEF917600 GOB917600 GXX917600 HHT917600 HRP917600 IBL917600 ILH917600 IVD917600 JEZ917600 JOV917600 JYR917600 KIN917600 KSJ917600 LCF917600 LMB917600 LVX917600 MFT917600 MPP917600 MZL917600 NJH917600 NTD917600 OCZ917600 OMV917600 OWR917600 PGN917600 PQJ917600 QAF917600 QKB917600 QTX917600 RDT917600 RNP917600 RXL917600 SHH917600 SRD917600 TAZ917600 TKV917600 TUR917600 UEN917600 UOJ917600 UYF917600 VIB917600 VRX917600 WBT917600 WLP917600 WVL917600 D983136 IZ983136 SV983136 ACR983136 AMN983136 AWJ983136 BGF983136 BQB983136 BZX983136 CJT983136 CTP983136 DDL983136 DNH983136 DXD983136 EGZ983136 EQV983136 FAR983136 FKN983136 FUJ983136 GEF983136 GOB983136 GXX983136 HHT983136 HRP983136 IBL983136 ILH983136 IVD983136 JEZ983136 JOV983136 JYR983136 KIN983136 KSJ983136 LCF983136 LMB983136 LVX983136 MFT983136 MPP983136 MZL983136 NJH983136 NTD983136 OCZ983136 OMV983136 OWR983136 PGN983136 PQJ983136 QAF983136 QKB983136 QTX983136 RDT983136 RNP983136 RXL983136 SHH983136 SRD983136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WVR93"/>
  <sheetViews>
    <sheetView showGridLines="0" topLeftCell="A52" workbookViewId="0">
      <selection activeCell="F56" sqref="F56"/>
    </sheetView>
  </sheetViews>
  <sheetFormatPr defaultColWidth="0" defaultRowHeight="15.75" customHeight="1" zeroHeight="1"/>
  <cols>
    <col min="1" max="1" width="6.42578125" style="81" customWidth="1"/>
    <col min="2" max="2" width="3.5703125" style="81" customWidth="1"/>
    <col min="3" max="3" width="7.7109375" style="81" customWidth="1"/>
    <col min="4" max="4" width="34.7109375" style="81" customWidth="1"/>
    <col min="5" max="6" width="14.28515625" style="81" customWidth="1"/>
    <col min="7" max="7" width="22.28515625" style="81" customWidth="1"/>
    <col min="8" max="8" width="14.28515625" style="81" customWidth="1"/>
    <col min="9" max="9" width="15.85546875" style="81" customWidth="1"/>
    <col min="10" max="10" width="9.140625" style="81" customWidth="1"/>
    <col min="11" max="256" width="0" style="81" hidden="1"/>
    <col min="257" max="257" width="6.42578125" style="81" hidden="1" customWidth="1"/>
    <col min="258" max="258" width="3.5703125" style="81" hidden="1" customWidth="1"/>
    <col min="259" max="259" width="5.7109375" style="81" hidden="1" customWidth="1"/>
    <col min="260" max="260" width="34.7109375" style="81" hidden="1" customWidth="1"/>
    <col min="261" max="262" width="14.28515625" style="81" hidden="1" customWidth="1"/>
    <col min="263" max="263" width="22.28515625" style="81" hidden="1" customWidth="1"/>
    <col min="264" max="264" width="14.28515625" style="81" hidden="1" customWidth="1"/>
    <col min="265" max="265" width="15.85546875" style="81" hidden="1" customWidth="1"/>
    <col min="266" max="266" width="9.140625" style="81" hidden="1" customWidth="1"/>
    <col min="267" max="512" width="0" style="81" hidden="1"/>
    <col min="513" max="513" width="6.42578125" style="81" hidden="1" customWidth="1"/>
    <col min="514" max="514" width="3.5703125" style="81" hidden="1" customWidth="1"/>
    <col min="515" max="515" width="5.7109375" style="81" hidden="1" customWidth="1"/>
    <col min="516" max="516" width="34.7109375" style="81" hidden="1" customWidth="1"/>
    <col min="517" max="518" width="14.28515625" style="81" hidden="1" customWidth="1"/>
    <col min="519" max="519" width="22.28515625" style="81" hidden="1" customWidth="1"/>
    <col min="520" max="520" width="14.28515625" style="81" hidden="1" customWidth="1"/>
    <col min="521" max="521" width="15.85546875" style="81" hidden="1" customWidth="1"/>
    <col min="522" max="522" width="9.140625" style="81" hidden="1" customWidth="1"/>
    <col min="523" max="768" width="0" style="81" hidden="1"/>
    <col min="769" max="769" width="6.42578125" style="81" hidden="1" customWidth="1"/>
    <col min="770" max="770" width="3.5703125" style="81" hidden="1" customWidth="1"/>
    <col min="771" max="771" width="5.7109375" style="81" hidden="1" customWidth="1"/>
    <col min="772" max="772" width="34.7109375" style="81" hidden="1" customWidth="1"/>
    <col min="773" max="774" width="14.28515625" style="81" hidden="1" customWidth="1"/>
    <col min="775" max="775" width="22.28515625" style="81" hidden="1" customWidth="1"/>
    <col min="776" max="776" width="14.28515625" style="81" hidden="1" customWidth="1"/>
    <col min="777" max="777" width="15.85546875" style="81" hidden="1" customWidth="1"/>
    <col min="778" max="778" width="9.140625" style="81" hidden="1" customWidth="1"/>
    <col min="779" max="1024" width="0" style="81" hidden="1"/>
    <col min="1025" max="1025" width="6.42578125" style="81" hidden="1" customWidth="1"/>
    <col min="1026" max="1026" width="3.5703125" style="81" hidden="1" customWidth="1"/>
    <col min="1027" max="1027" width="5.7109375" style="81" hidden="1" customWidth="1"/>
    <col min="1028" max="1028" width="34.7109375" style="81" hidden="1" customWidth="1"/>
    <col min="1029" max="1030" width="14.28515625" style="81" hidden="1" customWidth="1"/>
    <col min="1031" max="1031" width="22.28515625" style="81" hidden="1" customWidth="1"/>
    <col min="1032" max="1032" width="14.28515625" style="81" hidden="1" customWidth="1"/>
    <col min="1033" max="1033" width="15.85546875" style="81" hidden="1" customWidth="1"/>
    <col min="1034" max="1034" width="9.140625" style="81" hidden="1" customWidth="1"/>
    <col min="1035" max="1280" width="0" style="81" hidden="1"/>
    <col min="1281" max="1281" width="6.42578125" style="81" hidden="1" customWidth="1"/>
    <col min="1282" max="1282" width="3.5703125" style="81" hidden="1" customWidth="1"/>
    <col min="1283" max="1283" width="5.7109375" style="81" hidden="1" customWidth="1"/>
    <col min="1284" max="1284" width="34.7109375" style="81" hidden="1" customWidth="1"/>
    <col min="1285" max="1286" width="14.28515625" style="81" hidden="1" customWidth="1"/>
    <col min="1287" max="1287" width="22.28515625" style="81" hidden="1" customWidth="1"/>
    <col min="1288" max="1288" width="14.28515625" style="81" hidden="1" customWidth="1"/>
    <col min="1289" max="1289" width="15.85546875" style="81" hidden="1" customWidth="1"/>
    <col min="1290" max="1290" width="9.140625" style="81" hidden="1" customWidth="1"/>
    <col min="1291" max="1536" width="0" style="81" hidden="1"/>
    <col min="1537" max="1537" width="6.42578125" style="81" hidden="1" customWidth="1"/>
    <col min="1538" max="1538" width="3.5703125" style="81" hidden="1" customWidth="1"/>
    <col min="1539" max="1539" width="5.7109375" style="81" hidden="1" customWidth="1"/>
    <col min="1540" max="1540" width="34.7109375" style="81" hidden="1" customWidth="1"/>
    <col min="1541" max="1542" width="14.28515625" style="81" hidden="1" customWidth="1"/>
    <col min="1543" max="1543" width="22.28515625" style="81" hidden="1" customWidth="1"/>
    <col min="1544" max="1544" width="14.28515625" style="81" hidden="1" customWidth="1"/>
    <col min="1545" max="1545" width="15.85546875" style="81" hidden="1" customWidth="1"/>
    <col min="1546" max="1546" width="9.140625" style="81" hidden="1" customWidth="1"/>
    <col min="1547" max="1792" width="0" style="81" hidden="1"/>
    <col min="1793" max="1793" width="6.42578125" style="81" hidden="1" customWidth="1"/>
    <col min="1794" max="1794" width="3.5703125" style="81" hidden="1" customWidth="1"/>
    <col min="1795" max="1795" width="5.7109375" style="81" hidden="1" customWidth="1"/>
    <col min="1796" max="1796" width="34.7109375" style="81" hidden="1" customWidth="1"/>
    <col min="1797" max="1798" width="14.28515625" style="81" hidden="1" customWidth="1"/>
    <col min="1799" max="1799" width="22.28515625" style="81" hidden="1" customWidth="1"/>
    <col min="1800" max="1800" width="14.28515625" style="81" hidden="1" customWidth="1"/>
    <col min="1801" max="1801" width="15.85546875" style="81" hidden="1" customWidth="1"/>
    <col min="1802" max="1802" width="9.140625" style="81" hidden="1" customWidth="1"/>
    <col min="1803" max="2048" width="0" style="81" hidden="1"/>
    <col min="2049" max="2049" width="6.42578125" style="81" hidden="1" customWidth="1"/>
    <col min="2050" max="2050" width="3.5703125" style="81" hidden="1" customWidth="1"/>
    <col min="2051" max="2051" width="5.7109375" style="81" hidden="1" customWidth="1"/>
    <col min="2052" max="2052" width="34.7109375" style="81" hidden="1" customWidth="1"/>
    <col min="2053" max="2054" width="14.28515625" style="81" hidden="1" customWidth="1"/>
    <col min="2055" max="2055" width="22.28515625" style="81" hidden="1" customWidth="1"/>
    <col min="2056" max="2056" width="14.28515625" style="81" hidden="1" customWidth="1"/>
    <col min="2057" max="2057" width="15.85546875" style="81" hidden="1" customWidth="1"/>
    <col min="2058" max="2058" width="9.140625" style="81" hidden="1" customWidth="1"/>
    <col min="2059" max="2304" width="0" style="81" hidden="1"/>
    <col min="2305" max="2305" width="6.42578125" style="81" hidden="1" customWidth="1"/>
    <col min="2306" max="2306" width="3.5703125" style="81" hidden="1" customWidth="1"/>
    <col min="2307" max="2307" width="5.7109375" style="81" hidden="1" customWidth="1"/>
    <col min="2308" max="2308" width="34.7109375" style="81" hidden="1" customWidth="1"/>
    <col min="2309" max="2310" width="14.28515625" style="81" hidden="1" customWidth="1"/>
    <col min="2311" max="2311" width="22.28515625" style="81" hidden="1" customWidth="1"/>
    <col min="2312" max="2312" width="14.28515625" style="81" hidden="1" customWidth="1"/>
    <col min="2313" max="2313" width="15.85546875" style="81" hidden="1" customWidth="1"/>
    <col min="2314" max="2314" width="9.140625" style="81" hidden="1" customWidth="1"/>
    <col min="2315" max="2560" width="0" style="81" hidden="1"/>
    <col min="2561" max="2561" width="6.42578125" style="81" hidden="1" customWidth="1"/>
    <col min="2562" max="2562" width="3.5703125" style="81" hidden="1" customWidth="1"/>
    <col min="2563" max="2563" width="5.7109375" style="81" hidden="1" customWidth="1"/>
    <col min="2564" max="2564" width="34.7109375" style="81" hidden="1" customWidth="1"/>
    <col min="2565" max="2566" width="14.28515625" style="81" hidden="1" customWidth="1"/>
    <col min="2567" max="2567" width="22.28515625" style="81" hidden="1" customWidth="1"/>
    <col min="2568" max="2568" width="14.28515625" style="81" hidden="1" customWidth="1"/>
    <col min="2569" max="2569" width="15.85546875" style="81" hidden="1" customWidth="1"/>
    <col min="2570" max="2570" width="9.140625" style="81" hidden="1" customWidth="1"/>
    <col min="2571" max="2816" width="0" style="81" hidden="1"/>
    <col min="2817" max="2817" width="6.42578125" style="81" hidden="1" customWidth="1"/>
    <col min="2818" max="2818" width="3.5703125" style="81" hidden="1" customWidth="1"/>
    <col min="2819" max="2819" width="5.7109375" style="81" hidden="1" customWidth="1"/>
    <col min="2820" max="2820" width="34.7109375" style="81" hidden="1" customWidth="1"/>
    <col min="2821" max="2822" width="14.28515625" style="81" hidden="1" customWidth="1"/>
    <col min="2823" max="2823" width="22.28515625" style="81" hidden="1" customWidth="1"/>
    <col min="2824" max="2824" width="14.28515625" style="81" hidden="1" customWidth="1"/>
    <col min="2825" max="2825" width="15.85546875" style="81" hidden="1" customWidth="1"/>
    <col min="2826" max="2826" width="9.140625" style="81" hidden="1" customWidth="1"/>
    <col min="2827" max="3072" width="0" style="81" hidden="1"/>
    <col min="3073" max="3073" width="6.42578125" style="81" hidden="1" customWidth="1"/>
    <col min="3074" max="3074" width="3.5703125" style="81" hidden="1" customWidth="1"/>
    <col min="3075" max="3075" width="5.7109375" style="81" hidden="1" customWidth="1"/>
    <col min="3076" max="3076" width="34.7109375" style="81" hidden="1" customWidth="1"/>
    <col min="3077" max="3078" width="14.28515625" style="81" hidden="1" customWidth="1"/>
    <col min="3079" max="3079" width="22.28515625" style="81" hidden="1" customWidth="1"/>
    <col min="3080" max="3080" width="14.28515625" style="81" hidden="1" customWidth="1"/>
    <col min="3081" max="3081" width="15.85546875" style="81" hidden="1" customWidth="1"/>
    <col min="3082" max="3082" width="9.140625" style="81" hidden="1" customWidth="1"/>
    <col min="3083" max="3328" width="0" style="81" hidden="1"/>
    <col min="3329" max="3329" width="6.42578125" style="81" hidden="1" customWidth="1"/>
    <col min="3330" max="3330" width="3.5703125" style="81" hidden="1" customWidth="1"/>
    <col min="3331" max="3331" width="5.7109375" style="81" hidden="1" customWidth="1"/>
    <col min="3332" max="3332" width="34.7109375" style="81" hidden="1" customWidth="1"/>
    <col min="3333" max="3334" width="14.28515625" style="81" hidden="1" customWidth="1"/>
    <col min="3335" max="3335" width="22.28515625" style="81" hidden="1" customWidth="1"/>
    <col min="3336" max="3336" width="14.28515625" style="81" hidden="1" customWidth="1"/>
    <col min="3337" max="3337" width="15.85546875" style="81" hidden="1" customWidth="1"/>
    <col min="3338" max="3338" width="9.140625" style="81" hidden="1" customWidth="1"/>
    <col min="3339" max="3584" width="0" style="81" hidden="1"/>
    <col min="3585" max="3585" width="6.42578125" style="81" hidden="1" customWidth="1"/>
    <col min="3586" max="3586" width="3.5703125" style="81" hidden="1" customWidth="1"/>
    <col min="3587" max="3587" width="5.7109375" style="81" hidden="1" customWidth="1"/>
    <col min="3588" max="3588" width="34.7109375" style="81" hidden="1" customWidth="1"/>
    <col min="3589" max="3590" width="14.28515625" style="81" hidden="1" customWidth="1"/>
    <col min="3591" max="3591" width="22.28515625" style="81" hidden="1" customWidth="1"/>
    <col min="3592" max="3592" width="14.28515625" style="81" hidden="1" customWidth="1"/>
    <col min="3593" max="3593" width="15.85546875" style="81" hidden="1" customWidth="1"/>
    <col min="3594" max="3594" width="9.140625" style="81" hidden="1" customWidth="1"/>
    <col min="3595" max="3840" width="0" style="81" hidden="1"/>
    <col min="3841" max="3841" width="6.42578125" style="81" hidden="1" customWidth="1"/>
    <col min="3842" max="3842" width="3.5703125" style="81" hidden="1" customWidth="1"/>
    <col min="3843" max="3843" width="5.7109375" style="81" hidden="1" customWidth="1"/>
    <col min="3844" max="3844" width="34.7109375" style="81" hidden="1" customWidth="1"/>
    <col min="3845" max="3846" width="14.28515625" style="81" hidden="1" customWidth="1"/>
    <col min="3847" max="3847" width="22.28515625" style="81" hidden="1" customWidth="1"/>
    <col min="3848" max="3848" width="14.28515625" style="81" hidden="1" customWidth="1"/>
    <col min="3849" max="3849" width="15.85546875" style="81" hidden="1" customWidth="1"/>
    <col min="3850" max="3850" width="9.140625" style="81" hidden="1" customWidth="1"/>
    <col min="3851" max="4096" width="0" style="81" hidden="1"/>
    <col min="4097" max="4097" width="6.42578125" style="81" hidden="1" customWidth="1"/>
    <col min="4098" max="4098" width="3.5703125" style="81" hidden="1" customWidth="1"/>
    <col min="4099" max="4099" width="5.7109375" style="81" hidden="1" customWidth="1"/>
    <col min="4100" max="4100" width="34.7109375" style="81" hidden="1" customWidth="1"/>
    <col min="4101" max="4102" width="14.28515625" style="81" hidden="1" customWidth="1"/>
    <col min="4103" max="4103" width="22.28515625" style="81" hidden="1" customWidth="1"/>
    <col min="4104" max="4104" width="14.28515625" style="81" hidden="1" customWidth="1"/>
    <col min="4105" max="4105" width="15.85546875" style="81" hidden="1" customWidth="1"/>
    <col min="4106" max="4106" width="9.140625" style="81" hidden="1" customWidth="1"/>
    <col min="4107" max="4352" width="0" style="81" hidden="1"/>
    <col min="4353" max="4353" width="6.42578125" style="81" hidden="1" customWidth="1"/>
    <col min="4354" max="4354" width="3.5703125" style="81" hidden="1" customWidth="1"/>
    <col min="4355" max="4355" width="5.7109375" style="81" hidden="1" customWidth="1"/>
    <col min="4356" max="4356" width="34.7109375" style="81" hidden="1" customWidth="1"/>
    <col min="4357" max="4358" width="14.28515625" style="81" hidden="1" customWidth="1"/>
    <col min="4359" max="4359" width="22.28515625" style="81" hidden="1" customWidth="1"/>
    <col min="4360" max="4360" width="14.28515625" style="81" hidden="1" customWidth="1"/>
    <col min="4361" max="4361" width="15.85546875" style="81" hidden="1" customWidth="1"/>
    <col min="4362" max="4362" width="9.140625" style="81" hidden="1" customWidth="1"/>
    <col min="4363" max="4608" width="0" style="81" hidden="1"/>
    <col min="4609" max="4609" width="6.42578125" style="81" hidden="1" customWidth="1"/>
    <col min="4610" max="4610" width="3.5703125" style="81" hidden="1" customWidth="1"/>
    <col min="4611" max="4611" width="5.7109375" style="81" hidden="1" customWidth="1"/>
    <col min="4612" max="4612" width="34.7109375" style="81" hidden="1" customWidth="1"/>
    <col min="4613" max="4614" width="14.28515625" style="81" hidden="1" customWidth="1"/>
    <col min="4615" max="4615" width="22.28515625" style="81" hidden="1" customWidth="1"/>
    <col min="4616" max="4616" width="14.28515625" style="81" hidden="1" customWidth="1"/>
    <col min="4617" max="4617" width="15.85546875" style="81" hidden="1" customWidth="1"/>
    <col min="4618" max="4618" width="9.140625" style="81" hidden="1" customWidth="1"/>
    <col min="4619" max="4864" width="0" style="81" hidden="1"/>
    <col min="4865" max="4865" width="6.42578125" style="81" hidden="1" customWidth="1"/>
    <col min="4866" max="4866" width="3.5703125" style="81" hidden="1" customWidth="1"/>
    <col min="4867" max="4867" width="5.7109375" style="81" hidden="1" customWidth="1"/>
    <col min="4868" max="4868" width="34.7109375" style="81" hidden="1" customWidth="1"/>
    <col min="4869" max="4870" width="14.28515625" style="81" hidden="1" customWidth="1"/>
    <col min="4871" max="4871" width="22.28515625" style="81" hidden="1" customWidth="1"/>
    <col min="4872" max="4872" width="14.28515625" style="81" hidden="1" customWidth="1"/>
    <col min="4873" max="4873" width="15.85546875" style="81" hidden="1" customWidth="1"/>
    <col min="4874" max="4874" width="9.140625" style="81" hidden="1" customWidth="1"/>
    <col min="4875" max="5120" width="0" style="81" hidden="1"/>
    <col min="5121" max="5121" width="6.42578125" style="81" hidden="1" customWidth="1"/>
    <col min="5122" max="5122" width="3.5703125" style="81" hidden="1" customWidth="1"/>
    <col min="5123" max="5123" width="5.7109375" style="81" hidden="1" customWidth="1"/>
    <col min="5124" max="5124" width="34.7109375" style="81" hidden="1" customWidth="1"/>
    <col min="5125" max="5126" width="14.28515625" style="81" hidden="1" customWidth="1"/>
    <col min="5127" max="5127" width="22.28515625" style="81" hidden="1" customWidth="1"/>
    <col min="5128" max="5128" width="14.28515625" style="81" hidden="1" customWidth="1"/>
    <col min="5129" max="5129" width="15.85546875" style="81" hidden="1" customWidth="1"/>
    <col min="5130" max="5130" width="9.140625" style="81" hidden="1" customWidth="1"/>
    <col min="5131" max="5376" width="0" style="81" hidden="1"/>
    <col min="5377" max="5377" width="6.42578125" style="81" hidden="1" customWidth="1"/>
    <col min="5378" max="5378" width="3.5703125" style="81" hidden="1" customWidth="1"/>
    <col min="5379" max="5379" width="5.7109375" style="81" hidden="1" customWidth="1"/>
    <col min="5380" max="5380" width="34.7109375" style="81" hidden="1" customWidth="1"/>
    <col min="5381" max="5382" width="14.28515625" style="81" hidden="1" customWidth="1"/>
    <col min="5383" max="5383" width="22.28515625" style="81" hidden="1" customWidth="1"/>
    <col min="5384" max="5384" width="14.28515625" style="81" hidden="1" customWidth="1"/>
    <col min="5385" max="5385" width="15.85546875" style="81" hidden="1" customWidth="1"/>
    <col min="5386" max="5386" width="9.140625" style="81" hidden="1" customWidth="1"/>
    <col min="5387" max="5632" width="0" style="81" hidden="1"/>
    <col min="5633" max="5633" width="6.42578125" style="81" hidden="1" customWidth="1"/>
    <col min="5634" max="5634" width="3.5703125" style="81" hidden="1" customWidth="1"/>
    <col min="5635" max="5635" width="5.7109375" style="81" hidden="1" customWidth="1"/>
    <col min="5636" max="5636" width="34.7109375" style="81" hidden="1" customWidth="1"/>
    <col min="5637" max="5638" width="14.28515625" style="81" hidden="1" customWidth="1"/>
    <col min="5639" max="5639" width="22.28515625" style="81" hidden="1" customWidth="1"/>
    <col min="5640" max="5640" width="14.28515625" style="81" hidden="1" customWidth="1"/>
    <col min="5641" max="5641" width="15.85546875" style="81" hidden="1" customWidth="1"/>
    <col min="5642" max="5642" width="9.140625" style="81" hidden="1" customWidth="1"/>
    <col min="5643" max="5888" width="0" style="81" hidden="1"/>
    <col min="5889" max="5889" width="6.42578125" style="81" hidden="1" customWidth="1"/>
    <col min="5890" max="5890" width="3.5703125" style="81" hidden="1" customWidth="1"/>
    <col min="5891" max="5891" width="5.7109375" style="81" hidden="1" customWidth="1"/>
    <col min="5892" max="5892" width="34.7109375" style="81" hidden="1" customWidth="1"/>
    <col min="5893" max="5894" width="14.28515625" style="81" hidden="1" customWidth="1"/>
    <col min="5895" max="5895" width="22.28515625" style="81" hidden="1" customWidth="1"/>
    <col min="5896" max="5896" width="14.28515625" style="81" hidden="1" customWidth="1"/>
    <col min="5897" max="5897" width="15.85546875" style="81" hidden="1" customWidth="1"/>
    <col min="5898" max="5898" width="9.140625" style="81" hidden="1" customWidth="1"/>
    <col min="5899" max="6144" width="0" style="81" hidden="1"/>
    <col min="6145" max="6145" width="6.42578125" style="81" hidden="1" customWidth="1"/>
    <col min="6146" max="6146" width="3.5703125" style="81" hidden="1" customWidth="1"/>
    <col min="6147" max="6147" width="5.7109375" style="81" hidden="1" customWidth="1"/>
    <col min="6148" max="6148" width="34.7109375" style="81" hidden="1" customWidth="1"/>
    <col min="6149" max="6150" width="14.28515625" style="81" hidden="1" customWidth="1"/>
    <col min="6151" max="6151" width="22.28515625" style="81" hidden="1" customWidth="1"/>
    <col min="6152" max="6152" width="14.28515625" style="81" hidden="1" customWidth="1"/>
    <col min="6153" max="6153" width="15.85546875" style="81" hidden="1" customWidth="1"/>
    <col min="6154" max="6154" width="9.140625" style="81" hidden="1" customWidth="1"/>
    <col min="6155" max="6400" width="0" style="81" hidden="1"/>
    <col min="6401" max="6401" width="6.42578125" style="81" hidden="1" customWidth="1"/>
    <col min="6402" max="6402" width="3.5703125" style="81" hidden="1" customWidth="1"/>
    <col min="6403" max="6403" width="5.7109375" style="81" hidden="1" customWidth="1"/>
    <col min="6404" max="6404" width="34.7109375" style="81" hidden="1" customWidth="1"/>
    <col min="6405" max="6406" width="14.28515625" style="81" hidden="1" customWidth="1"/>
    <col min="6407" max="6407" width="22.28515625" style="81" hidden="1" customWidth="1"/>
    <col min="6408" max="6408" width="14.28515625" style="81" hidden="1" customWidth="1"/>
    <col min="6409" max="6409" width="15.85546875" style="81" hidden="1" customWidth="1"/>
    <col min="6410" max="6410" width="9.140625" style="81" hidden="1" customWidth="1"/>
    <col min="6411" max="6656" width="0" style="81" hidden="1"/>
    <col min="6657" max="6657" width="6.42578125" style="81" hidden="1" customWidth="1"/>
    <col min="6658" max="6658" width="3.5703125" style="81" hidden="1" customWidth="1"/>
    <col min="6659" max="6659" width="5.7109375" style="81" hidden="1" customWidth="1"/>
    <col min="6660" max="6660" width="34.7109375" style="81" hidden="1" customWidth="1"/>
    <col min="6661" max="6662" width="14.28515625" style="81" hidden="1" customWidth="1"/>
    <col min="6663" max="6663" width="22.28515625" style="81" hidden="1" customWidth="1"/>
    <col min="6664" max="6664" width="14.28515625" style="81" hidden="1" customWidth="1"/>
    <col min="6665" max="6665" width="15.85546875" style="81" hidden="1" customWidth="1"/>
    <col min="6666" max="6666" width="9.140625" style="81" hidden="1" customWidth="1"/>
    <col min="6667" max="6912" width="0" style="81" hidden="1"/>
    <col min="6913" max="6913" width="6.42578125" style="81" hidden="1" customWidth="1"/>
    <col min="6914" max="6914" width="3.5703125" style="81" hidden="1" customWidth="1"/>
    <col min="6915" max="6915" width="5.7109375" style="81" hidden="1" customWidth="1"/>
    <col min="6916" max="6916" width="34.7109375" style="81" hidden="1" customWidth="1"/>
    <col min="6917" max="6918" width="14.28515625" style="81" hidden="1" customWidth="1"/>
    <col min="6919" max="6919" width="22.28515625" style="81" hidden="1" customWidth="1"/>
    <col min="6920" max="6920" width="14.28515625" style="81" hidden="1" customWidth="1"/>
    <col min="6921" max="6921" width="15.85546875" style="81" hidden="1" customWidth="1"/>
    <col min="6922" max="6922" width="9.140625" style="81" hidden="1" customWidth="1"/>
    <col min="6923" max="7168" width="0" style="81" hidden="1"/>
    <col min="7169" max="7169" width="6.42578125" style="81" hidden="1" customWidth="1"/>
    <col min="7170" max="7170" width="3.5703125" style="81" hidden="1" customWidth="1"/>
    <col min="7171" max="7171" width="5.7109375" style="81" hidden="1" customWidth="1"/>
    <col min="7172" max="7172" width="34.7109375" style="81" hidden="1" customWidth="1"/>
    <col min="7173" max="7174" width="14.28515625" style="81" hidden="1" customWidth="1"/>
    <col min="7175" max="7175" width="22.28515625" style="81" hidden="1" customWidth="1"/>
    <col min="7176" max="7176" width="14.28515625" style="81" hidden="1" customWidth="1"/>
    <col min="7177" max="7177" width="15.85546875" style="81" hidden="1" customWidth="1"/>
    <col min="7178" max="7178" width="9.140625" style="81" hidden="1" customWidth="1"/>
    <col min="7179" max="7424" width="0" style="81" hidden="1"/>
    <col min="7425" max="7425" width="6.42578125" style="81" hidden="1" customWidth="1"/>
    <col min="7426" max="7426" width="3.5703125" style="81" hidden="1" customWidth="1"/>
    <col min="7427" max="7427" width="5.7109375" style="81" hidden="1" customWidth="1"/>
    <col min="7428" max="7428" width="34.7109375" style="81" hidden="1" customWidth="1"/>
    <col min="7429" max="7430" width="14.28515625" style="81" hidden="1" customWidth="1"/>
    <col min="7431" max="7431" width="22.28515625" style="81" hidden="1" customWidth="1"/>
    <col min="7432" max="7432" width="14.28515625" style="81" hidden="1" customWidth="1"/>
    <col min="7433" max="7433" width="15.85546875" style="81" hidden="1" customWidth="1"/>
    <col min="7434" max="7434" width="9.140625" style="81" hidden="1" customWidth="1"/>
    <col min="7435" max="7680" width="0" style="81" hidden="1"/>
    <col min="7681" max="7681" width="6.42578125" style="81" hidden="1" customWidth="1"/>
    <col min="7682" max="7682" width="3.5703125" style="81" hidden="1" customWidth="1"/>
    <col min="7683" max="7683" width="5.7109375" style="81" hidden="1" customWidth="1"/>
    <col min="7684" max="7684" width="34.7109375" style="81" hidden="1" customWidth="1"/>
    <col min="7685" max="7686" width="14.28515625" style="81" hidden="1" customWidth="1"/>
    <col min="7687" max="7687" width="22.28515625" style="81" hidden="1" customWidth="1"/>
    <col min="7688" max="7688" width="14.28515625" style="81" hidden="1" customWidth="1"/>
    <col min="7689" max="7689" width="15.85546875" style="81" hidden="1" customWidth="1"/>
    <col min="7690" max="7690" width="9.140625" style="81" hidden="1" customWidth="1"/>
    <col min="7691" max="7936" width="0" style="81" hidden="1"/>
    <col min="7937" max="7937" width="6.42578125" style="81" hidden="1" customWidth="1"/>
    <col min="7938" max="7938" width="3.5703125" style="81" hidden="1" customWidth="1"/>
    <col min="7939" max="7939" width="5.7109375" style="81" hidden="1" customWidth="1"/>
    <col min="7940" max="7940" width="34.7109375" style="81" hidden="1" customWidth="1"/>
    <col min="7941" max="7942" width="14.28515625" style="81" hidden="1" customWidth="1"/>
    <col min="7943" max="7943" width="22.28515625" style="81" hidden="1" customWidth="1"/>
    <col min="7944" max="7944" width="14.28515625" style="81" hidden="1" customWidth="1"/>
    <col min="7945" max="7945" width="15.85546875" style="81" hidden="1" customWidth="1"/>
    <col min="7946" max="7946" width="9.140625" style="81" hidden="1" customWidth="1"/>
    <col min="7947" max="8192" width="0" style="81" hidden="1"/>
    <col min="8193" max="8193" width="6.42578125" style="81" hidden="1" customWidth="1"/>
    <col min="8194" max="8194" width="3.5703125" style="81" hidden="1" customWidth="1"/>
    <col min="8195" max="8195" width="5.7109375" style="81" hidden="1" customWidth="1"/>
    <col min="8196" max="8196" width="34.7109375" style="81" hidden="1" customWidth="1"/>
    <col min="8197" max="8198" width="14.28515625" style="81" hidden="1" customWidth="1"/>
    <col min="8199" max="8199" width="22.28515625" style="81" hidden="1" customWidth="1"/>
    <col min="8200" max="8200" width="14.28515625" style="81" hidden="1" customWidth="1"/>
    <col min="8201" max="8201" width="15.85546875" style="81" hidden="1" customWidth="1"/>
    <col min="8202" max="8202" width="9.140625" style="81" hidden="1" customWidth="1"/>
    <col min="8203" max="8448" width="0" style="81" hidden="1"/>
    <col min="8449" max="8449" width="6.42578125" style="81" hidden="1" customWidth="1"/>
    <col min="8450" max="8450" width="3.5703125" style="81" hidden="1" customWidth="1"/>
    <col min="8451" max="8451" width="5.7109375" style="81" hidden="1" customWidth="1"/>
    <col min="8452" max="8452" width="34.7109375" style="81" hidden="1" customWidth="1"/>
    <col min="8453" max="8454" width="14.28515625" style="81" hidden="1" customWidth="1"/>
    <col min="8455" max="8455" width="22.28515625" style="81" hidden="1" customWidth="1"/>
    <col min="8456" max="8456" width="14.28515625" style="81" hidden="1" customWidth="1"/>
    <col min="8457" max="8457" width="15.85546875" style="81" hidden="1" customWidth="1"/>
    <col min="8458" max="8458" width="9.140625" style="81" hidden="1" customWidth="1"/>
    <col min="8459" max="8704" width="0" style="81" hidden="1"/>
    <col min="8705" max="8705" width="6.42578125" style="81" hidden="1" customWidth="1"/>
    <col min="8706" max="8706" width="3.5703125" style="81" hidden="1" customWidth="1"/>
    <col min="8707" max="8707" width="5.7109375" style="81" hidden="1" customWidth="1"/>
    <col min="8708" max="8708" width="34.7109375" style="81" hidden="1" customWidth="1"/>
    <col min="8709" max="8710" width="14.28515625" style="81" hidden="1" customWidth="1"/>
    <col min="8711" max="8711" width="22.28515625" style="81" hidden="1" customWidth="1"/>
    <col min="8712" max="8712" width="14.28515625" style="81" hidden="1" customWidth="1"/>
    <col min="8713" max="8713" width="15.85546875" style="81" hidden="1" customWidth="1"/>
    <col min="8714" max="8714" width="9.140625" style="81" hidden="1" customWidth="1"/>
    <col min="8715" max="8960" width="0" style="81" hidden="1"/>
    <col min="8961" max="8961" width="6.42578125" style="81" hidden="1" customWidth="1"/>
    <col min="8962" max="8962" width="3.5703125" style="81" hidden="1" customWidth="1"/>
    <col min="8963" max="8963" width="5.7109375" style="81" hidden="1" customWidth="1"/>
    <col min="8964" max="8964" width="34.7109375" style="81" hidden="1" customWidth="1"/>
    <col min="8965" max="8966" width="14.28515625" style="81" hidden="1" customWidth="1"/>
    <col min="8967" max="8967" width="22.28515625" style="81" hidden="1" customWidth="1"/>
    <col min="8968" max="8968" width="14.28515625" style="81" hidden="1" customWidth="1"/>
    <col min="8969" max="8969" width="15.85546875" style="81" hidden="1" customWidth="1"/>
    <col min="8970" max="8970" width="9.140625" style="81" hidden="1" customWidth="1"/>
    <col min="8971" max="9216" width="0" style="81" hidden="1"/>
    <col min="9217" max="9217" width="6.42578125" style="81" hidden="1" customWidth="1"/>
    <col min="9218" max="9218" width="3.5703125" style="81" hidden="1" customWidth="1"/>
    <col min="9219" max="9219" width="5.7109375" style="81" hidden="1" customWidth="1"/>
    <col min="9220" max="9220" width="34.7109375" style="81" hidden="1" customWidth="1"/>
    <col min="9221" max="9222" width="14.28515625" style="81" hidden="1" customWidth="1"/>
    <col min="9223" max="9223" width="22.28515625" style="81" hidden="1" customWidth="1"/>
    <col min="9224" max="9224" width="14.28515625" style="81" hidden="1" customWidth="1"/>
    <col min="9225" max="9225" width="15.85546875" style="81" hidden="1" customWidth="1"/>
    <col min="9226" max="9226" width="9.140625" style="81" hidden="1" customWidth="1"/>
    <col min="9227" max="9472" width="0" style="81" hidden="1"/>
    <col min="9473" max="9473" width="6.42578125" style="81" hidden="1" customWidth="1"/>
    <col min="9474" max="9474" width="3.5703125" style="81" hidden="1" customWidth="1"/>
    <col min="9475" max="9475" width="5.7109375" style="81" hidden="1" customWidth="1"/>
    <col min="9476" max="9476" width="34.7109375" style="81" hidden="1" customWidth="1"/>
    <col min="9477" max="9478" width="14.28515625" style="81" hidden="1" customWidth="1"/>
    <col min="9479" max="9479" width="22.28515625" style="81" hidden="1" customWidth="1"/>
    <col min="9480" max="9480" width="14.28515625" style="81" hidden="1" customWidth="1"/>
    <col min="9481" max="9481" width="15.85546875" style="81" hidden="1" customWidth="1"/>
    <col min="9482" max="9482" width="9.140625" style="81" hidden="1" customWidth="1"/>
    <col min="9483" max="9728" width="0" style="81" hidden="1"/>
    <col min="9729" max="9729" width="6.42578125" style="81" hidden="1" customWidth="1"/>
    <col min="9730" max="9730" width="3.5703125" style="81" hidden="1" customWidth="1"/>
    <col min="9731" max="9731" width="5.7109375" style="81" hidden="1" customWidth="1"/>
    <col min="9732" max="9732" width="34.7109375" style="81" hidden="1" customWidth="1"/>
    <col min="9733" max="9734" width="14.28515625" style="81" hidden="1" customWidth="1"/>
    <col min="9735" max="9735" width="22.28515625" style="81" hidden="1" customWidth="1"/>
    <col min="9736" max="9736" width="14.28515625" style="81" hidden="1" customWidth="1"/>
    <col min="9737" max="9737" width="15.85546875" style="81" hidden="1" customWidth="1"/>
    <col min="9738" max="9738" width="9.140625" style="81" hidden="1" customWidth="1"/>
    <col min="9739" max="9984" width="0" style="81" hidden="1"/>
    <col min="9985" max="9985" width="6.42578125" style="81" hidden="1" customWidth="1"/>
    <col min="9986" max="9986" width="3.5703125" style="81" hidden="1" customWidth="1"/>
    <col min="9987" max="9987" width="5.7109375" style="81" hidden="1" customWidth="1"/>
    <col min="9988" max="9988" width="34.7109375" style="81" hidden="1" customWidth="1"/>
    <col min="9989" max="9990" width="14.28515625" style="81" hidden="1" customWidth="1"/>
    <col min="9991" max="9991" width="22.28515625" style="81" hidden="1" customWidth="1"/>
    <col min="9992" max="9992" width="14.28515625" style="81" hidden="1" customWidth="1"/>
    <col min="9993" max="9993" width="15.85546875" style="81" hidden="1" customWidth="1"/>
    <col min="9994" max="9994" width="9.140625" style="81" hidden="1" customWidth="1"/>
    <col min="9995" max="10240" width="0" style="81" hidden="1"/>
    <col min="10241" max="10241" width="6.42578125" style="81" hidden="1" customWidth="1"/>
    <col min="10242" max="10242" width="3.5703125" style="81" hidden="1" customWidth="1"/>
    <col min="10243" max="10243" width="5.7109375" style="81" hidden="1" customWidth="1"/>
    <col min="10244" max="10244" width="34.7109375" style="81" hidden="1" customWidth="1"/>
    <col min="10245" max="10246" width="14.28515625" style="81" hidden="1" customWidth="1"/>
    <col min="10247" max="10247" width="22.28515625" style="81" hidden="1" customWidth="1"/>
    <col min="10248" max="10248" width="14.28515625" style="81" hidden="1" customWidth="1"/>
    <col min="10249" max="10249" width="15.85546875" style="81" hidden="1" customWidth="1"/>
    <col min="10250" max="10250" width="9.140625" style="81" hidden="1" customWidth="1"/>
    <col min="10251" max="10496" width="0" style="81" hidden="1"/>
    <col min="10497" max="10497" width="6.42578125" style="81" hidden="1" customWidth="1"/>
    <col min="10498" max="10498" width="3.5703125" style="81" hidden="1" customWidth="1"/>
    <col min="10499" max="10499" width="5.7109375" style="81" hidden="1" customWidth="1"/>
    <col min="10500" max="10500" width="34.7109375" style="81" hidden="1" customWidth="1"/>
    <col min="10501" max="10502" width="14.28515625" style="81" hidden="1" customWidth="1"/>
    <col min="10503" max="10503" width="22.28515625" style="81" hidden="1" customWidth="1"/>
    <col min="10504" max="10504" width="14.28515625" style="81" hidden="1" customWidth="1"/>
    <col min="10505" max="10505" width="15.85546875" style="81" hidden="1" customWidth="1"/>
    <col min="10506" max="10506" width="9.140625" style="81" hidden="1" customWidth="1"/>
    <col min="10507" max="10752" width="0" style="81" hidden="1"/>
    <col min="10753" max="10753" width="6.42578125" style="81" hidden="1" customWidth="1"/>
    <col min="10754" max="10754" width="3.5703125" style="81" hidden="1" customWidth="1"/>
    <col min="10755" max="10755" width="5.7109375" style="81" hidden="1" customWidth="1"/>
    <col min="10756" max="10756" width="34.7109375" style="81" hidden="1" customWidth="1"/>
    <col min="10757" max="10758" width="14.28515625" style="81" hidden="1" customWidth="1"/>
    <col min="10759" max="10759" width="22.28515625" style="81" hidden="1" customWidth="1"/>
    <col min="10760" max="10760" width="14.28515625" style="81" hidden="1" customWidth="1"/>
    <col min="10761" max="10761" width="15.85546875" style="81" hidden="1" customWidth="1"/>
    <col min="10762" max="10762" width="9.140625" style="81" hidden="1" customWidth="1"/>
    <col min="10763" max="11008" width="0" style="81" hidden="1"/>
    <col min="11009" max="11009" width="6.42578125" style="81" hidden="1" customWidth="1"/>
    <col min="11010" max="11010" width="3.5703125" style="81" hidden="1" customWidth="1"/>
    <col min="11011" max="11011" width="5.7109375" style="81" hidden="1" customWidth="1"/>
    <col min="11012" max="11012" width="34.7109375" style="81" hidden="1" customWidth="1"/>
    <col min="11013" max="11014" width="14.28515625" style="81" hidden="1" customWidth="1"/>
    <col min="11015" max="11015" width="22.28515625" style="81" hidden="1" customWidth="1"/>
    <col min="11016" max="11016" width="14.28515625" style="81" hidden="1" customWidth="1"/>
    <col min="11017" max="11017" width="15.85546875" style="81" hidden="1" customWidth="1"/>
    <col min="11018" max="11018" width="9.140625" style="81" hidden="1" customWidth="1"/>
    <col min="11019" max="11264" width="0" style="81" hidden="1"/>
    <col min="11265" max="11265" width="6.42578125" style="81" hidden="1" customWidth="1"/>
    <col min="11266" max="11266" width="3.5703125" style="81" hidden="1" customWidth="1"/>
    <col min="11267" max="11267" width="5.7109375" style="81" hidden="1" customWidth="1"/>
    <col min="11268" max="11268" width="34.7109375" style="81" hidden="1" customWidth="1"/>
    <col min="11269" max="11270" width="14.28515625" style="81" hidden="1" customWidth="1"/>
    <col min="11271" max="11271" width="22.28515625" style="81" hidden="1" customWidth="1"/>
    <col min="11272" max="11272" width="14.28515625" style="81" hidden="1" customWidth="1"/>
    <col min="11273" max="11273" width="15.85546875" style="81" hidden="1" customWidth="1"/>
    <col min="11274" max="11274" width="9.140625" style="81" hidden="1" customWidth="1"/>
    <col min="11275" max="11520" width="0" style="81" hidden="1"/>
    <col min="11521" max="11521" width="6.42578125" style="81" hidden="1" customWidth="1"/>
    <col min="11522" max="11522" width="3.5703125" style="81" hidden="1" customWidth="1"/>
    <col min="11523" max="11523" width="5.7109375" style="81" hidden="1" customWidth="1"/>
    <col min="11524" max="11524" width="34.7109375" style="81" hidden="1" customWidth="1"/>
    <col min="11525" max="11526" width="14.28515625" style="81" hidden="1" customWidth="1"/>
    <col min="11527" max="11527" width="22.28515625" style="81" hidden="1" customWidth="1"/>
    <col min="11528" max="11528" width="14.28515625" style="81" hidden="1" customWidth="1"/>
    <col min="11529" max="11529" width="15.85546875" style="81" hidden="1" customWidth="1"/>
    <col min="11530" max="11530" width="9.140625" style="81" hidden="1" customWidth="1"/>
    <col min="11531" max="11776" width="0" style="81" hidden="1"/>
    <col min="11777" max="11777" width="6.42578125" style="81" hidden="1" customWidth="1"/>
    <col min="11778" max="11778" width="3.5703125" style="81" hidden="1" customWidth="1"/>
    <col min="11779" max="11779" width="5.7109375" style="81" hidden="1" customWidth="1"/>
    <col min="11780" max="11780" width="34.7109375" style="81" hidden="1" customWidth="1"/>
    <col min="11781" max="11782" width="14.28515625" style="81" hidden="1" customWidth="1"/>
    <col min="11783" max="11783" width="22.28515625" style="81" hidden="1" customWidth="1"/>
    <col min="11784" max="11784" width="14.28515625" style="81" hidden="1" customWidth="1"/>
    <col min="11785" max="11785" width="15.85546875" style="81" hidden="1" customWidth="1"/>
    <col min="11786" max="11786" width="9.140625" style="81" hidden="1" customWidth="1"/>
    <col min="11787" max="12032" width="0" style="81" hidden="1"/>
    <col min="12033" max="12033" width="6.42578125" style="81" hidden="1" customWidth="1"/>
    <col min="12034" max="12034" width="3.5703125" style="81" hidden="1" customWidth="1"/>
    <col min="12035" max="12035" width="5.7109375" style="81" hidden="1" customWidth="1"/>
    <col min="12036" max="12036" width="34.7109375" style="81" hidden="1" customWidth="1"/>
    <col min="12037" max="12038" width="14.28515625" style="81" hidden="1" customWidth="1"/>
    <col min="12039" max="12039" width="22.28515625" style="81" hidden="1" customWidth="1"/>
    <col min="12040" max="12040" width="14.28515625" style="81" hidden="1" customWidth="1"/>
    <col min="12041" max="12041" width="15.85546875" style="81" hidden="1" customWidth="1"/>
    <col min="12042" max="12042" width="9.140625" style="81" hidden="1" customWidth="1"/>
    <col min="12043" max="12288" width="0" style="81" hidden="1"/>
    <col min="12289" max="12289" width="6.42578125" style="81" hidden="1" customWidth="1"/>
    <col min="12290" max="12290" width="3.5703125" style="81" hidden="1" customWidth="1"/>
    <col min="12291" max="12291" width="5.7109375" style="81" hidden="1" customWidth="1"/>
    <col min="12292" max="12292" width="34.7109375" style="81" hidden="1" customWidth="1"/>
    <col min="12293" max="12294" width="14.28515625" style="81" hidden="1" customWidth="1"/>
    <col min="12295" max="12295" width="22.28515625" style="81" hidden="1" customWidth="1"/>
    <col min="12296" max="12296" width="14.28515625" style="81" hidden="1" customWidth="1"/>
    <col min="12297" max="12297" width="15.85546875" style="81" hidden="1" customWidth="1"/>
    <col min="12298" max="12298" width="9.140625" style="81" hidden="1" customWidth="1"/>
    <col min="12299" max="12544" width="0" style="81" hidden="1"/>
    <col min="12545" max="12545" width="6.42578125" style="81" hidden="1" customWidth="1"/>
    <col min="12546" max="12546" width="3.5703125" style="81" hidden="1" customWidth="1"/>
    <col min="12547" max="12547" width="5.7109375" style="81" hidden="1" customWidth="1"/>
    <col min="12548" max="12548" width="34.7109375" style="81" hidden="1" customWidth="1"/>
    <col min="12549" max="12550" width="14.28515625" style="81" hidden="1" customWidth="1"/>
    <col min="12551" max="12551" width="22.28515625" style="81" hidden="1" customWidth="1"/>
    <col min="12552" max="12552" width="14.28515625" style="81" hidden="1" customWidth="1"/>
    <col min="12553" max="12553" width="15.85546875" style="81" hidden="1" customWidth="1"/>
    <col min="12554" max="12554" width="9.140625" style="81" hidden="1" customWidth="1"/>
    <col min="12555" max="12800" width="0" style="81" hidden="1"/>
    <col min="12801" max="12801" width="6.42578125" style="81" hidden="1" customWidth="1"/>
    <col min="12802" max="12802" width="3.5703125" style="81" hidden="1" customWidth="1"/>
    <col min="12803" max="12803" width="5.7109375" style="81" hidden="1" customWidth="1"/>
    <col min="12804" max="12804" width="34.7109375" style="81" hidden="1" customWidth="1"/>
    <col min="12805" max="12806" width="14.28515625" style="81" hidden="1" customWidth="1"/>
    <col min="12807" max="12807" width="22.28515625" style="81" hidden="1" customWidth="1"/>
    <col min="12808" max="12808" width="14.28515625" style="81" hidden="1" customWidth="1"/>
    <col min="12809" max="12809" width="15.85546875" style="81" hidden="1" customWidth="1"/>
    <col min="12810" max="12810" width="9.140625" style="81" hidden="1" customWidth="1"/>
    <col min="12811" max="13056" width="0" style="81" hidden="1"/>
    <col min="13057" max="13057" width="6.42578125" style="81" hidden="1" customWidth="1"/>
    <col min="13058" max="13058" width="3.5703125" style="81" hidden="1" customWidth="1"/>
    <col min="13059" max="13059" width="5.7109375" style="81" hidden="1" customWidth="1"/>
    <col min="13060" max="13060" width="34.7109375" style="81" hidden="1" customWidth="1"/>
    <col min="13061" max="13062" width="14.28515625" style="81" hidden="1" customWidth="1"/>
    <col min="13063" max="13063" width="22.28515625" style="81" hidden="1" customWidth="1"/>
    <col min="13064" max="13064" width="14.28515625" style="81" hidden="1" customWidth="1"/>
    <col min="13065" max="13065" width="15.85546875" style="81" hidden="1" customWidth="1"/>
    <col min="13066" max="13066" width="9.140625" style="81" hidden="1" customWidth="1"/>
    <col min="13067" max="13312" width="0" style="81" hidden="1"/>
    <col min="13313" max="13313" width="6.42578125" style="81" hidden="1" customWidth="1"/>
    <col min="13314" max="13314" width="3.5703125" style="81" hidden="1" customWidth="1"/>
    <col min="13315" max="13315" width="5.7109375" style="81" hidden="1" customWidth="1"/>
    <col min="13316" max="13316" width="34.7109375" style="81" hidden="1" customWidth="1"/>
    <col min="13317" max="13318" width="14.28515625" style="81" hidden="1" customWidth="1"/>
    <col min="13319" max="13319" width="22.28515625" style="81" hidden="1" customWidth="1"/>
    <col min="13320" max="13320" width="14.28515625" style="81" hidden="1" customWidth="1"/>
    <col min="13321" max="13321" width="15.85546875" style="81" hidden="1" customWidth="1"/>
    <col min="13322" max="13322" width="9.140625" style="81" hidden="1" customWidth="1"/>
    <col min="13323" max="13568" width="0" style="81" hidden="1"/>
    <col min="13569" max="13569" width="6.42578125" style="81" hidden="1" customWidth="1"/>
    <col min="13570" max="13570" width="3.5703125" style="81" hidden="1" customWidth="1"/>
    <col min="13571" max="13571" width="5.7109375" style="81" hidden="1" customWidth="1"/>
    <col min="13572" max="13572" width="34.7109375" style="81" hidden="1" customWidth="1"/>
    <col min="13573" max="13574" width="14.28515625" style="81" hidden="1" customWidth="1"/>
    <col min="13575" max="13575" width="22.28515625" style="81" hidden="1" customWidth="1"/>
    <col min="13576" max="13576" width="14.28515625" style="81" hidden="1" customWidth="1"/>
    <col min="13577" max="13577" width="15.85546875" style="81" hidden="1" customWidth="1"/>
    <col min="13578" max="13578" width="9.140625" style="81" hidden="1" customWidth="1"/>
    <col min="13579" max="13824" width="0" style="81" hidden="1"/>
    <col min="13825" max="13825" width="6.42578125" style="81" hidden="1" customWidth="1"/>
    <col min="13826" max="13826" width="3.5703125" style="81" hidden="1" customWidth="1"/>
    <col min="13827" max="13827" width="5.7109375" style="81" hidden="1" customWidth="1"/>
    <col min="13828" max="13828" width="34.7109375" style="81" hidden="1" customWidth="1"/>
    <col min="13829" max="13830" width="14.28515625" style="81" hidden="1" customWidth="1"/>
    <col min="13831" max="13831" width="22.28515625" style="81" hidden="1" customWidth="1"/>
    <col min="13832" max="13832" width="14.28515625" style="81" hidden="1" customWidth="1"/>
    <col min="13833" max="13833" width="15.85546875" style="81" hidden="1" customWidth="1"/>
    <col min="13834" max="13834" width="9.140625" style="81" hidden="1" customWidth="1"/>
    <col min="13835" max="14080" width="0" style="81" hidden="1"/>
    <col min="14081" max="14081" width="6.42578125" style="81" hidden="1" customWidth="1"/>
    <col min="14082" max="14082" width="3.5703125" style="81" hidden="1" customWidth="1"/>
    <col min="14083" max="14083" width="5.7109375" style="81" hidden="1" customWidth="1"/>
    <col min="14084" max="14084" width="34.7109375" style="81" hidden="1" customWidth="1"/>
    <col min="14085" max="14086" width="14.28515625" style="81" hidden="1" customWidth="1"/>
    <col min="14087" max="14087" width="22.28515625" style="81" hidden="1" customWidth="1"/>
    <col min="14088" max="14088" width="14.28515625" style="81" hidden="1" customWidth="1"/>
    <col min="14089" max="14089" width="15.85546875" style="81" hidden="1" customWidth="1"/>
    <col min="14090" max="14090" width="9.140625" style="81" hidden="1" customWidth="1"/>
    <col min="14091" max="14336" width="0" style="81" hidden="1"/>
    <col min="14337" max="14337" width="6.42578125" style="81" hidden="1" customWidth="1"/>
    <col min="14338" max="14338" width="3.5703125" style="81" hidden="1" customWidth="1"/>
    <col min="14339" max="14339" width="5.7109375" style="81" hidden="1" customWidth="1"/>
    <col min="14340" max="14340" width="34.7109375" style="81" hidden="1" customWidth="1"/>
    <col min="14341" max="14342" width="14.28515625" style="81" hidden="1" customWidth="1"/>
    <col min="14343" max="14343" width="22.28515625" style="81" hidden="1" customWidth="1"/>
    <col min="14344" max="14344" width="14.28515625" style="81" hidden="1" customWidth="1"/>
    <col min="14345" max="14345" width="15.85546875" style="81" hidden="1" customWidth="1"/>
    <col min="14346" max="14346" width="9.140625" style="81" hidden="1" customWidth="1"/>
    <col min="14347" max="14592" width="0" style="81" hidden="1"/>
    <col min="14593" max="14593" width="6.42578125" style="81" hidden="1" customWidth="1"/>
    <col min="14594" max="14594" width="3.5703125" style="81" hidden="1" customWidth="1"/>
    <col min="14595" max="14595" width="5.7109375" style="81" hidden="1" customWidth="1"/>
    <col min="14596" max="14596" width="34.7109375" style="81" hidden="1" customWidth="1"/>
    <col min="14597" max="14598" width="14.28515625" style="81" hidden="1" customWidth="1"/>
    <col min="14599" max="14599" width="22.28515625" style="81" hidden="1" customWidth="1"/>
    <col min="14600" max="14600" width="14.28515625" style="81" hidden="1" customWidth="1"/>
    <col min="14601" max="14601" width="15.85546875" style="81" hidden="1" customWidth="1"/>
    <col min="14602" max="14602" width="9.140625" style="81" hidden="1" customWidth="1"/>
    <col min="14603" max="14848" width="0" style="81" hidden="1"/>
    <col min="14849" max="14849" width="6.42578125" style="81" hidden="1" customWidth="1"/>
    <col min="14850" max="14850" width="3.5703125" style="81" hidden="1" customWidth="1"/>
    <col min="14851" max="14851" width="5.7109375" style="81" hidden="1" customWidth="1"/>
    <col min="14852" max="14852" width="34.7109375" style="81" hidden="1" customWidth="1"/>
    <col min="14853" max="14854" width="14.28515625" style="81" hidden="1" customWidth="1"/>
    <col min="14855" max="14855" width="22.28515625" style="81" hidden="1" customWidth="1"/>
    <col min="14856" max="14856" width="14.28515625" style="81" hidden="1" customWidth="1"/>
    <col min="14857" max="14857" width="15.85546875" style="81" hidden="1" customWidth="1"/>
    <col min="14858" max="14858" width="9.140625" style="81" hidden="1" customWidth="1"/>
    <col min="14859" max="15104" width="0" style="81" hidden="1"/>
    <col min="15105" max="15105" width="6.42578125" style="81" hidden="1" customWidth="1"/>
    <col min="15106" max="15106" width="3.5703125" style="81" hidden="1" customWidth="1"/>
    <col min="15107" max="15107" width="5.7109375" style="81" hidden="1" customWidth="1"/>
    <col min="15108" max="15108" width="34.7109375" style="81" hidden="1" customWidth="1"/>
    <col min="15109" max="15110" width="14.28515625" style="81" hidden="1" customWidth="1"/>
    <col min="15111" max="15111" width="22.28515625" style="81" hidden="1" customWidth="1"/>
    <col min="15112" max="15112" width="14.28515625" style="81" hidden="1" customWidth="1"/>
    <col min="15113" max="15113" width="15.85546875" style="81" hidden="1" customWidth="1"/>
    <col min="15114" max="15114" width="9.140625" style="81" hidden="1" customWidth="1"/>
    <col min="15115" max="15360" width="0" style="81" hidden="1"/>
    <col min="15361" max="15361" width="6.42578125" style="81" hidden="1" customWidth="1"/>
    <col min="15362" max="15362" width="3.5703125" style="81" hidden="1" customWidth="1"/>
    <col min="15363" max="15363" width="5.7109375" style="81" hidden="1" customWidth="1"/>
    <col min="15364" max="15364" width="34.7109375" style="81" hidden="1" customWidth="1"/>
    <col min="15365" max="15366" width="14.28515625" style="81" hidden="1" customWidth="1"/>
    <col min="15367" max="15367" width="22.28515625" style="81" hidden="1" customWidth="1"/>
    <col min="15368" max="15368" width="14.28515625" style="81" hidden="1" customWidth="1"/>
    <col min="15369" max="15369" width="15.85546875" style="81" hidden="1" customWidth="1"/>
    <col min="15370" max="15370" width="9.140625" style="81" hidden="1" customWidth="1"/>
    <col min="15371" max="15616" width="0" style="81" hidden="1"/>
    <col min="15617" max="15617" width="6.42578125" style="81" hidden="1" customWidth="1"/>
    <col min="15618" max="15618" width="3.5703125" style="81" hidden="1" customWidth="1"/>
    <col min="15619" max="15619" width="5.7109375" style="81" hidden="1" customWidth="1"/>
    <col min="15620" max="15620" width="34.7109375" style="81" hidden="1" customWidth="1"/>
    <col min="15621" max="15622" width="14.28515625" style="81" hidden="1" customWidth="1"/>
    <col min="15623" max="15623" width="22.28515625" style="81" hidden="1" customWidth="1"/>
    <col min="15624" max="15624" width="14.28515625" style="81" hidden="1" customWidth="1"/>
    <col min="15625" max="15625" width="15.85546875" style="81" hidden="1" customWidth="1"/>
    <col min="15626" max="15626" width="9.140625" style="81" hidden="1" customWidth="1"/>
    <col min="15627" max="15872" width="0" style="81" hidden="1"/>
    <col min="15873" max="15873" width="6.42578125" style="81" hidden="1" customWidth="1"/>
    <col min="15874" max="15874" width="3.5703125" style="81" hidden="1" customWidth="1"/>
    <col min="15875" max="15875" width="5.7109375" style="81" hidden="1" customWidth="1"/>
    <col min="15876" max="15876" width="34.7109375" style="81" hidden="1" customWidth="1"/>
    <col min="15877" max="15878" width="14.28515625" style="81" hidden="1" customWidth="1"/>
    <col min="15879" max="15879" width="22.28515625" style="81" hidden="1" customWidth="1"/>
    <col min="15880" max="15880" width="14.28515625" style="81" hidden="1" customWidth="1"/>
    <col min="15881" max="15881" width="15.85546875" style="81" hidden="1" customWidth="1"/>
    <col min="15882" max="15882" width="9.140625" style="81" hidden="1" customWidth="1"/>
    <col min="15883" max="16128" width="0" style="81" hidden="1"/>
    <col min="16129" max="16129" width="6.42578125" style="81" hidden="1" customWidth="1"/>
    <col min="16130" max="16130" width="3.5703125" style="81" hidden="1" customWidth="1"/>
    <col min="16131" max="16131" width="5.7109375" style="81" hidden="1" customWidth="1"/>
    <col min="16132" max="16132" width="34.7109375" style="81" hidden="1" customWidth="1"/>
    <col min="16133" max="16134" width="14.28515625" style="81" hidden="1" customWidth="1"/>
    <col min="16135" max="16135" width="22.28515625" style="81" hidden="1" customWidth="1"/>
    <col min="16136" max="16136" width="14.28515625" style="81" hidden="1" customWidth="1"/>
    <col min="16137" max="16137" width="15.85546875" style="81" hidden="1" customWidth="1"/>
    <col min="16138" max="16138" width="9.140625" style="81" hidden="1" customWidth="1"/>
    <col min="16139" max="16384" width="0" style="81" hidden="1"/>
  </cols>
  <sheetData>
    <row r="1" spans="1:11" s="79" customFormat="1" ht="26.25" customHeight="1">
      <c r="A1" s="181" t="s">
        <v>192</v>
      </c>
      <c r="B1" s="181"/>
      <c r="C1" s="181"/>
      <c r="D1" s="181"/>
      <c r="E1" s="181"/>
      <c r="F1" s="181"/>
      <c r="G1" s="181"/>
      <c r="H1" s="181"/>
      <c r="I1" s="181"/>
    </row>
    <row r="2" spans="1:11" s="79" customFormat="1" ht="28.5" customHeight="1">
      <c r="A2" s="182" t="s">
        <v>193</v>
      </c>
      <c r="B2" s="182"/>
      <c r="C2" s="182"/>
      <c r="D2" s="182"/>
      <c r="E2" s="182"/>
      <c r="F2" s="182"/>
      <c r="G2" s="182"/>
      <c r="H2" s="182"/>
      <c r="I2" s="182"/>
    </row>
    <row r="3" spans="1:11" ht="28.5" customHeight="1">
      <c r="A3" s="80"/>
      <c r="B3" s="80"/>
      <c r="C3" s="80"/>
      <c r="D3" s="80"/>
      <c r="E3" s="80"/>
      <c r="F3" s="80"/>
      <c r="G3" s="80"/>
      <c r="H3" s="80"/>
      <c r="I3" s="173" t="s">
        <v>253</v>
      </c>
      <c r="J3" s="173"/>
    </row>
    <row r="4" spans="1:11" ht="24" customHeight="1">
      <c r="A4" s="82" t="s">
        <v>194</v>
      </c>
      <c r="B4" s="83"/>
      <c r="C4" s="83"/>
      <c r="D4" s="84"/>
      <c r="E4" s="85"/>
    </row>
    <row r="5" spans="1:11" ht="17.25" customHeight="1">
      <c r="A5" s="83" t="s">
        <v>195</v>
      </c>
      <c r="B5" s="83"/>
      <c r="C5" s="83"/>
      <c r="D5" s="86"/>
      <c r="E5" s="87"/>
    </row>
    <row r="6" spans="1:11" ht="28.5" customHeight="1">
      <c r="H6" s="88"/>
      <c r="I6" s="89" t="s">
        <v>252</v>
      </c>
    </row>
    <row r="7" spans="1:11" ht="30" customHeight="1">
      <c r="A7" s="187" t="s">
        <v>245</v>
      </c>
      <c r="B7" s="188"/>
      <c r="C7" s="188"/>
      <c r="D7" s="87"/>
      <c r="H7" s="89"/>
      <c r="I7" s="89" t="s">
        <v>251</v>
      </c>
    </row>
    <row r="8" spans="1:11">
      <c r="I8" s="89"/>
    </row>
    <row r="9" spans="1:11" s="95" customFormat="1" ht="34.5" customHeight="1">
      <c r="A9" s="90"/>
      <c r="B9" s="91"/>
      <c r="C9" s="91"/>
      <c r="D9" s="92"/>
      <c r="E9" s="93" t="s">
        <v>196</v>
      </c>
      <c r="F9" s="93" t="s">
        <v>197</v>
      </c>
      <c r="G9" s="93" t="s">
        <v>198</v>
      </c>
      <c r="H9" s="93" t="s">
        <v>199</v>
      </c>
      <c r="I9" s="93" t="s">
        <v>246</v>
      </c>
      <c r="J9" s="94"/>
      <c r="K9" s="94"/>
    </row>
    <row r="10" spans="1:11" s="95" customFormat="1">
      <c r="A10" s="96"/>
      <c r="B10" s="97"/>
      <c r="C10" s="97"/>
      <c r="D10" s="98"/>
      <c r="E10" s="99" t="s">
        <v>200</v>
      </c>
      <c r="F10" s="99" t="s">
        <v>201</v>
      </c>
      <c r="G10" s="99" t="s">
        <v>202</v>
      </c>
      <c r="H10" s="99" t="s">
        <v>203</v>
      </c>
      <c r="I10" s="99" t="s">
        <v>247</v>
      </c>
    </row>
    <row r="11" spans="1:11" s="102" customFormat="1" ht="35.25" customHeight="1">
      <c r="A11" s="158" t="s">
        <v>248</v>
      </c>
      <c r="B11" s="100"/>
      <c r="C11" s="100"/>
      <c r="D11" s="101"/>
      <c r="E11" s="149"/>
      <c r="F11" s="149"/>
      <c r="G11" s="149"/>
      <c r="H11" s="149"/>
      <c r="I11" s="149"/>
    </row>
    <row r="12" spans="1:11" s="102" customFormat="1" ht="30">
      <c r="A12" s="103"/>
      <c r="B12" s="104" t="s">
        <v>204</v>
      </c>
      <c r="C12" s="104" t="s">
        <v>205</v>
      </c>
      <c r="D12" s="105"/>
      <c r="E12" s="183"/>
      <c r="F12" s="185"/>
      <c r="G12" s="183"/>
      <c r="H12" s="183"/>
      <c r="I12" s="183"/>
    </row>
    <row r="13" spans="1:11" s="102" customFormat="1">
      <c r="A13" s="103"/>
      <c r="B13" s="106"/>
      <c r="C13" s="106" t="s">
        <v>206</v>
      </c>
      <c r="D13" s="105"/>
      <c r="E13" s="184"/>
      <c r="F13" s="186"/>
      <c r="G13" s="184"/>
      <c r="H13" s="184"/>
      <c r="I13" s="184"/>
    </row>
    <row r="14" spans="1:11" s="102" customFormat="1" ht="30">
      <c r="A14" s="103"/>
      <c r="B14" s="104" t="s">
        <v>207</v>
      </c>
      <c r="C14" s="104" t="s">
        <v>208</v>
      </c>
      <c r="D14" s="105"/>
      <c r="E14" s="189"/>
      <c r="F14" s="191"/>
      <c r="G14" s="189"/>
      <c r="H14" s="189"/>
      <c r="I14" s="189"/>
    </row>
    <row r="15" spans="1:11" s="102" customFormat="1">
      <c r="A15" s="103"/>
      <c r="B15" s="106"/>
      <c r="C15" s="106" t="s">
        <v>209</v>
      </c>
      <c r="D15" s="105"/>
      <c r="E15" s="190"/>
      <c r="F15" s="192"/>
      <c r="G15" s="190"/>
      <c r="H15" s="190"/>
      <c r="I15" s="190"/>
    </row>
    <row r="16" spans="1:11" s="102" customFormat="1" ht="30">
      <c r="A16" s="103"/>
      <c r="B16" s="104" t="s">
        <v>210</v>
      </c>
      <c r="C16" s="104" t="s">
        <v>211</v>
      </c>
      <c r="D16" s="105"/>
      <c r="E16" s="183"/>
      <c r="F16" s="191"/>
      <c r="G16" s="183"/>
      <c r="H16" s="183"/>
      <c r="I16" s="183"/>
    </row>
    <row r="17" spans="1:9" s="102" customFormat="1">
      <c r="A17" s="103"/>
      <c r="B17" s="106"/>
      <c r="C17" s="106" t="s">
        <v>212</v>
      </c>
      <c r="D17" s="105"/>
      <c r="E17" s="184"/>
      <c r="F17" s="192"/>
      <c r="G17" s="184"/>
      <c r="H17" s="184"/>
      <c r="I17" s="184"/>
    </row>
    <row r="18" spans="1:9" s="102" customFormat="1" ht="26.25" customHeight="1">
      <c r="A18" s="103"/>
      <c r="B18" s="106"/>
      <c r="C18" s="108"/>
      <c r="D18" s="104" t="s">
        <v>213</v>
      </c>
      <c r="E18" s="114"/>
      <c r="F18" s="114"/>
      <c r="G18" s="116"/>
      <c r="H18" s="116"/>
      <c r="I18" s="116"/>
    </row>
    <row r="19" spans="1:9" s="102" customFormat="1" ht="26.25" customHeight="1">
      <c r="A19" s="103"/>
      <c r="B19" s="106"/>
      <c r="C19" s="108"/>
      <c r="D19" s="104" t="s">
        <v>214</v>
      </c>
      <c r="E19" s="114"/>
      <c r="F19" s="114"/>
      <c r="G19" s="116"/>
      <c r="H19" s="116"/>
      <c r="I19" s="116"/>
    </row>
    <row r="20" spans="1:9" s="102" customFormat="1" ht="26.25" customHeight="1">
      <c r="A20" s="103"/>
      <c r="B20" s="106"/>
      <c r="C20" s="108"/>
      <c r="D20" s="104" t="s">
        <v>215</v>
      </c>
      <c r="E20" s="114"/>
      <c r="F20" s="114"/>
      <c r="G20" s="116"/>
      <c r="H20" s="116"/>
      <c r="I20" s="116"/>
    </row>
    <row r="21" spans="1:9" s="102" customFormat="1" ht="26.25" customHeight="1">
      <c r="A21" s="103"/>
      <c r="B21" s="106"/>
      <c r="C21" s="108"/>
      <c r="D21" s="104" t="s">
        <v>216</v>
      </c>
      <c r="E21" s="114"/>
      <c r="F21" s="114"/>
      <c r="G21" s="116"/>
      <c r="H21" s="116"/>
      <c r="I21" s="116"/>
    </row>
    <row r="22" spans="1:9" s="102" customFormat="1" ht="26.25" customHeight="1">
      <c r="A22" s="103"/>
      <c r="B22" s="106"/>
      <c r="C22" s="108"/>
      <c r="D22" s="104" t="s">
        <v>217</v>
      </c>
      <c r="E22" s="114"/>
      <c r="F22" s="114"/>
      <c r="G22" s="116"/>
      <c r="H22" s="116"/>
      <c r="I22" s="116"/>
    </row>
    <row r="23" spans="1:9" s="102" customFormat="1" ht="26.25" customHeight="1">
      <c r="A23" s="103"/>
      <c r="B23" s="106"/>
      <c r="C23" s="108"/>
      <c r="D23" s="104" t="s">
        <v>218</v>
      </c>
      <c r="E23" s="114"/>
      <c r="F23" s="114"/>
      <c r="G23" s="116"/>
      <c r="H23" s="116"/>
      <c r="I23" s="116"/>
    </row>
    <row r="24" spans="1:9" s="102" customFormat="1" ht="26.25" customHeight="1">
      <c r="A24" s="103"/>
      <c r="B24" s="106"/>
      <c r="C24" s="108"/>
      <c r="D24" s="104" t="s">
        <v>219</v>
      </c>
      <c r="E24" s="114"/>
      <c r="F24" s="114"/>
      <c r="G24" s="116"/>
      <c r="H24" s="116"/>
      <c r="I24" s="116"/>
    </row>
    <row r="25" spans="1:9" s="102" customFormat="1" ht="26.25" customHeight="1">
      <c r="A25" s="103"/>
      <c r="B25" s="106"/>
      <c r="C25" s="108"/>
      <c r="D25" s="104" t="s">
        <v>220</v>
      </c>
      <c r="E25" s="114"/>
      <c r="F25" s="114"/>
      <c r="G25" s="116"/>
      <c r="H25" s="116"/>
      <c r="I25" s="116"/>
    </row>
    <row r="26" spans="1:9" s="102" customFormat="1" ht="26.25" customHeight="1">
      <c r="A26" s="103"/>
      <c r="B26" s="106"/>
      <c r="C26" s="104"/>
      <c r="D26" s="104" t="s">
        <v>249</v>
      </c>
      <c r="E26" s="114"/>
      <c r="F26" s="114"/>
      <c r="G26" s="116"/>
      <c r="H26" s="116"/>
      <c r="I26" s="116"/>
    </row>
    <row r="27" spans="1:9" s="102" customFormat="1" ht="26.25" customHeight="1">
      <c r="A27" s="109" t="s">
        <v>221</v>
      </c>
      <c r="B27" s="106"/>
      <c r="C27" s="106"/>
      <c r="D27" s="105"/>
      <c r="E27" s="150"/>
      <c r="F27" s="150"/>
      <c r="G27" s="150"/>
      <c r="H27" s="150"/>
      <c r="I27" s="150"/>
    </row>
    <row r="28" spans="1:9" s="102" customFormat="1" ht="26.25" customHeight="1">
      <c r="A28" s="103"/>
      <c r="B28" s="104" t="s">
        <v>204</v>
      </c>
      <c r="C28" s="104" t="s">
        <v>222</v>
      </c>
      <c r="D28" s="105"/>
      <c r="E28" s="193"/>
      <c r="F28" s="193"/>
      <c r="G28" s="193"/>
      <c r="H28" s="193"/>
      <c r="I28" s="193"/>
    </row>
    <row r="29" spans="1:9" s="102" customFormat="1" ht="18.75" customHeight="1">
      <c r="A29" s="103"/>
      <c r="B29" s="106"/>
      <c r="C29" s="106" t="s">
        <v>223</v>
      </c>
      <c r="D29" s="105"/>
      <c r="E29" s="194"/>
      <c r="F29" s="194"/>
      <c r="G29" s="194"/>
      <c r="H29" s="194"/>
      <c r="I29" s="194"/>
    </row>
    <row r="30" spans="1:9" s="102" customFormat="1" ht="26.25" customHeight="1">
      <c r="A30" s="103"/>
      <c r="B30" s="106"/>
      <c r="C30" s="104" t="s">
        <v>213</v>
      </c>
      <c r="D30" s="105"/>
      <c r="E30" s="116"/>
      <c r="F30" s="116"/>
      <c r="G30" s="116"/>
      <c r="H30" s="116"/>
      <c r="I30" s="116"/>
    </row>
    <row r="31" spans="1:9" s="102" customFormat="1" ht="26.25" customHeight="1">
      <c r="A31" s="103"/>
      <c r="B31" s="106"/>
      <c r="C31" s="104" t="s">
        <v>215</v>
      </c>
      <c r="D31" s="105"/>
      <c r="E31" s="116"/>
      <c r="F31" s="116"/>
      <c r="G31" s="116"/>
      <c r="H31" s="116"/>
      <c r="I31" s="116"/>
    </row>
    <row r="32" spans="1:9" s="102" customFormat="1" ht="26.25" customHeight="1">
      <c r="A32" s="103"/>
      <c r="B32" s="106"/>
      <c r="C32" s="104" t="s">
        <v>216</v>
      </c>
      <c r="D32" s="105"/>
      <c r="E32" s="116"/>
      <c r="F32" s="116"/>
      <c r="G32" s="116"/>
      <c r="H32" s="116"/>
      <c r="I32" s="116"/>
    </row>
    <row r="33" spans="1:9" s="102" customFormat="1" ht="26.25" customHeight="1">
      <c r="A33" s="103"/>
      <c r="B33" s="106"/>
      <c r="C33" s="104" t="s">
        <v>218</v>
      </c>
      <c r="D33" s="105"/>
      <c r="E33" s="116"/>
      <c r="F33" s="116"/>
      <c r="G33" s="116"/>
      <c r="H33" s="116"/>
      <c r="I33" s="116"/>
    </row>
    <row r="34" spans="1:9" s="102" customFormat="1" ht="26.25" customHeight="1">
      <c r="A34" s="103"/>
      <c r="B34" s="106"/>
      <c r="C34" s="104" t="s">
        <v>250</v>
      </c>
      <c r="D34" s="105"/>
      <c r="E34" s="117"/>
      <c r="F34" s="117"/>
      <c r="G34" s="117"/>
      <c r="H34" s="117"/>
      <c r="I34" s="117"/>
    </row>
    <row r="35" spans="1:9" s="102" customFormat="1" ht="26.25" customHeight="1">
      <c r="A35" s="103"/>
      <c r="B35" s="104" t="s">
        <v>207</v>
      </c>
      <c r="C35" s="104" t="s">
        <v>224</v>
      </c>
      <c r="D35" s="105"/>
      <c r="E35" s="151"/>
      <c r="F35" s="151"/>
      <c r="G35" s="151"/>
      <c r="H35" s="151"/>
      <c r="I35" s="151"/>
    </row>
    <row r="36" spans="1:9" s="102" customFormat="1" ht="26.25" customHeight="1">
      <c r="A36" s="103"/>
      <c r="B36" s="106"/>
      <c r="C36" s="106" t="s">
        <v>225</v>
      </c>
      <c r="D36" s="105"/>
      <c r="E36" s="152"/>
      <c r="F36" s="152"/>
      <c r="G36" s="152"/>
      <c r="H36" s="152"/>
      <c r="I36" s="152"/>
    </row>
    <row r="37" spans="1:9" s="102" customFormat="1" ht="26.25" customHeight="1">
      <c r="A37" s="103"/>
      <c r="B37" s="106"/>
      <c r="C37" s="104" t="s">
        <v>213</v>
      </c>
      <c r="D37" s="105"/>
      <c r="E37" s="116"/>
      <c r="F37" s="116"/>
      <c r="G37" s="116"/>
      <c r="H37" s="116"/>
      <c r="I37" s="116"/>
    </row>
    <row r="38" spans="1:9" s="102" customFormat="1" ht="26.25" customHeight="1">
      <c r="A38" s="103"/>
      <c r="B38" s="106"/>
      <c r="C38" s="104" t="s">
        <v>215</v>
      </c>
      <c r="D38" s="105"/>
      <c r="E38" s="116"/>
      <c r="F38" s="116"/>
      <c r="G38" s="116"/>
      <c r="H38" s="116"/>
      <c r="I38" s="116"/>
    </row>
    <row r="39" spans="1:9" s="102" customFormat="1" ht="26.25" customHeight="1">
      <c r="A39" s="103"/>
      <c r="B39" s="106"/>
      <c r="C39" s="104" t="s">
        <v>216</v>
      </c>
      <c r="D39" s="105"/>
      <c r="E39" s="116"/>
      <c r="F39" s="116"/>
      <c r="G39" s="116"/>
      <c r="H39" s="116"/>
      <c r="I39" s="116"/>
    </row>
    <row r="40" spans="1:9" s="102" customFormat="1" ht="26.25" customHeight="1">
      <c r="A40" s="103"/>
      <c r="B40" s="106"/>
      <c r="C40" s="104" t="s">
        <v>218</v>
      </c>
      <c r="D40" s="105"/>
      <c r="E40" s="116"/>
      <c r="F40" s="115"/>
      <c r="G40" s="116"/>
      <c r="H40" s="116"/>
      <c r="I40" s="116"/>
    </row>
    <row r="41" spans="1:9" s="102" customFormat="1" ht="26.25" customHeight="1">
      <c r="A41" s="103"/>
      <c r="B41" s="106"/>
      <c r="C41" s="104" t="s">
        <v>250</v>
      </c>
      <c r="D41" s="105"/>
      <c r="E41" s="116"/>
      <c r="F41" s="115"/>
      <c r="G41" s="116"/>
      <c r="H41" s="116"/>
      <c r="I41" s="116"/>
    </row>
    <row r="42" spans="1:9" s="102" customFormat="1" ht="26.25" customHeight="1">
      <c r="A42" s="103"/>
      <c r="B42" s="104" t="s">
        <v>210</v>
      </c>
      <c r="C42" s="104" t="s">
        <v>226</v>
      </c>
      <c r="D42" s="105"/>
      <c r="E42" s="150"/>
      <c r="F42" s="150"/>
      <c r="G42" s="150"/>
      <c r="H42" s="150"/>
      <c r="I42" s="150"/>
    </row>
    <row r="43" spans="1:9" s="102" customFormat="1" ht="26.25" customHeight="1">
      <c r="A43" s="103"/>
      <c r="B43" s="106"/>
      <c r="C43" s="104" t="s">
        <v>213</v>
      </c>
      <c r="D43" s="105"/>
      <c r="E43" s="116"/>
      <c r="F43" s="116"/>
      <c r="G43" s="116"/>
      <c r="H43" s="116"/>
      <c r="I43" s="116"/>
    </row>
    <row r="44" spans="1:9" s="102" customFormat="1" ht="26.25" customHeight="1">
      <c r="A44" s="103"/>
      <c r="B44" s="106"/>
      <c r="C44" s="104" t="s">
        <v>215</v>
      </c>
      <c r="D44" s="105"/>
      <c r="E44" s="116"/>
      <c r="F44" s="116"/>
      <c r="G44" s="116"/>
      <c r="H44" s="116"/>
      <c r="I44" s="116"/>
    </row>
    <row r="45" spans="1:9" s="102" customFormat="1" ht="26.25" customHeight="1">
      <c r="A45" s="103"/>
      <c r="B45" s="106"/>
      <c r="C45" s="104" t="s">
        <v>216</v>
      </c>
      <c r="D45" s="105"/>
      <c r="E45" s="116"/>
      <c r="F45" s="116"/>
      <c r="G45" s="116"/>
      <c r="H45" s="116"/>
      <c r="I45" s="116"/>
    </row>
    <row r="46" spans="1:9" s="102" customFormat="1" ht="26.25" customHeight="1">
      <c r="A46" s="103"/>
      <c r="B46" s="106"/>
      <c r="C46" s="104" t="s">
        <v>218</v>
      </c>
      <c r="D46" s="105"/>
      <c r="E46" s="116"/>
      <c r="F46" s="116"/>
      <c r="G46" s="116"/>
      <c r="H46" s="116"/>
      <c r="I46" s="116"/>
    </row>
    <row r="47" spans="1:9" s="102" customFormat="1" ht="26.25" customHeight="1">
      <c r="A47" s="103"/>
      <c r="B47" s="106"/>
      <c r="C47" s="104" t="s">
        <v>250</v>
      </c>
      <c r="D47" s="105"/>
      <c r="E47" s="117"/>
      <c r="F47" s="117"/>
      <c r="G47" s="117"/>
      <c r="H47" s="117"/>
      <c r="I47" s="117"/>
    </row>
    <row r="48" spans="1:9" s="102" customFormat="1" ht="23.25" customHeight="1">
      <c r="A48" s="103"/>
      <c r="B48" s="104" t="s">
        <v>227</v>
      </c>
      <c r="C48" s="104" t="s">
        <v>228</v>
      </c>
      <c r="D48" s="105"/>
      <c r="E48" s="195"/>
      <c r="F48" s="195"/>
      <c r="G48" s="195"/>
      <c r="H48" s="195"/>
      <c r="I48" s="195"/>
    </row>
    <row r="49" spans="1:10" s="102" customFormat="1">
      <c r="A49" s="103"/>
      <c r="B49" s="106"/>
      <c r="C49" s="106" t="s">
        <v>229</v>
      </c>
      <c r="D49" s="105"/>
      <c r="E49" s="196"/>
      <c r="F49" s="196"/>
      <c r="G49" s="196"/>
      <c r="H49" s="196"/>
      <c r="I49" s="196"/>
    </row>
    <row r="50" spans="1:10" s="102" customFormat="1" ht="23.25" customHeight="1">
      <c r="A50" s="103"/>
      <c r="B50" s="104" t="s">
        <v>230</v>
      </c>
      <c r="C50" s="104" t="s">
        <v>231</v>
      </c>
      <c r="D50" s="105"/>
      <c r="E50" s="195"/>
      <c r="F50" s="195"/>
      <c r="G50" s="195"/>
      <c r="H50" s="195"/>
      <c r="I50" s="195"/>
    </row>
    <row r="51" spans="1:10" s="102" customFormat="1">
      <c r="A51" s="103"/>
      <c r="B51" s="106"/>
      <c r="C51" s="106" t="s">
        <v>232</v>
      </c>
      <c r="D51" s="105"/>
      <c r="E51" s="196"/>
      <c r="F51" s="196"/>
      <c r="G51" s="196"/>
      <c r="H51" s="196"/>
      <c r="I51" s="196"/>
    </row>
    <row r="52" spans="1:10" s="102" customFormat="1" ht="23.25" customHeight="1">
      <c r="A52" s="103"/>
      <c r="B52" s="104" t="s">
        <v>233</v>
      </c>
      <c r="C52" s="104" t="s">
        <v>234</v>
      </c>
      <c r="D52" s="105"/>
      <c r="E52" s="195"/>
      <c r="F52" s="195"/>
      <c r="G52" s="195"/>
      <c r="H52" s="195"/>
      <c r="I52" s="195"/>
    </row>
    <row r="53" spans="1:10" s="102" customFormat="1">
      <c r="A53" s="103"/>
      <c r="B53" s="106"/>
      <c r="C53" s="106" t="s">
        <v>235</v>
      </c>
      <c r="D53" s="105"/>
      <c r="E53" s="196"/>
      <c r="F53" s="196"/>
      <c r="G53" s="196"/>
      <c r="H53" s="196"/>
      <c r="I53" s="196"/>
    </row>
    <row r="54" spans="1:10" s="102" customFormat="1" ht="27" customHeight="1">
      <c r="A54" s="179" t="s">
        <v>265</v>
      </c>
      <c r="B54" s="179"/>
      <c r="C54" s="179"/>
      <c r="D54" s="180"/>
      <c r="E54" s="154"/>
      <c r="F54" s="153"/>
      <c r="G54" s="153"/>
      <c r="H54" s="153"/>
      <c r="I54" s="153"/>
    </row>
    <row r="55" spans="1:10" s="102" customFormat="1" ht="30" customHeight="1">
      <c r="A55" s="106"/>
      <c r="B55" s="104" t="s">
        <v>204</v>
      </c>
      <c r="C55" s="155" t="s">
        <v>243</v>
      </c>
      <c r="D55" s="157"/>
      <c r="E55" s="87"/>
      <c r="F55" s="267"/>
      <c r="G55" s="267"/>
      <c r="H55" s="267"/>
      <c r="I55" s="267"/>
    </row>
    <row r="56" spans="1:10" s="102" customFormat="1" ht="32.25" customHeight="1">
      <c r="A56" s="106"/>
      <c r="B56" s="104" t="s">
        <v>207</v>
      </c>
      <c r="C56" s="155" t="s">
        <v>244</v>
      </c>
      <c r="D56" s="156"/>
      <c r="E56" s="87"/>
      <c r="F56" s="267"/>
      <c r="G56" s="267"/>
      <c r="H56" s="267"/>
      <c r="I56" s="267"/>
    </row>
    <row r="57" spans="1:10" s="102" customFormat="1" ht="24.75" customHeight="1">
      <c r="A57" s="107"/>
      <c r="B57" s="265" t="s">
        <v>415</v>
      </c>
      <c r="C57" s="265" t="s">
        <v>416</v>
      </c>
      <c r="D57" s="266"/>
      <c r="E57" s="87"/>
      <c r="F57" s="267"/>
      <c r="G57" s="267"/>
      <c r="H57" s="267"/>
      <c r="I57" s="267"/>
    </row>
    <row r="58" spans="1:10" ht="25.5" customHeight="1">
      <c r="B58" s="110" t="s">
        <v>236</v>
      </c>
      <c r="D58" s="110"/>
      <c r="E58" s="111" t="s">
        <v>237</v>
      </c>
      <c r="H58" s="111" t="s">
        <v>108</v>
      </c>
    </row>
    <row r="59" spans="1:10" ht="13.5" customHeight="1">
      <c r="B59" s="112" t="s">
        <v>238</v>
      </c>
      <c r="D59" s="112"/>
      <c r="E59" s="113" t="s">
        <v>239</v>
      </c>
      <c r="F59" s="112"/>
      <c r="G59" s="112"/>
      <c r="H59" s="113" t="s">
        <v>240</v>
      </c>
    </row>
    <row r="60" spans="1:10">
      <c r="A60" s="80"/>
      <c r="B60" s="80"/>
      <c r="C60" s="80"/>
      <c r="D60" s="80"/>
      <c r="E60" s="80"/>
      <c r="F60" s="80"/>
      <c r="G60" s="80"/>
      <c r="H60" s="80"/>
      <c r="I60" s="80"/>
      <c r="J60" s="80"/>
    </row>
    <row r="61" spans="1:10">
      <c r="A61" s="80"/>
      <c r="B61" s="80"/>
      <c r="C61" s="80"/>
      <c r="D61" s="80"/>
      <c r="E61" s="80"/>
      <c r="F61" s="80"/>
      <c r="G61" s="80"/>
      <c r="H61" s="80"/>
      <c r="I61" s="80"/>
      <c r="J61" s="80"/>
    </row>
    <row r="62" spans="1:10">
      <c r="A62" s="80"/>
      <c r="B62" s="80"/>
      <c r="C62" s="80"/>
      <c r="D62" s="80"/>
      <c r="E62" s="80"/>
      <c r="F62" s="80"/>
      <c r="G62" s="80"/>
      <c r="H62" s="80"/>
      <c r="I62" s="80"/>
      <c r="J62" s="80"/>
    </row>
    <row r="63" spans="1:10">
      <c r="A63" s="80"/>
      <c r="B63" s="80"/>
      <c r="C63" s="80"/>
      <c r="D63" s="80"/>
      <c r="E63" s="80"/>
      <c r="F63" s="80"/>
      <c r="G63" s="80"/>
      <c r="H63" s="80"/>
      <c r="I63" s="80"/>
      <c r="J63" s="80"/>
    </row>
    <row r="64" spans="1:10">
      <c r="A64" s="80"/>
      <c r="B64" s="80"/>
      <c r="C64" s="80"/>
      <c r="D64" s="80"/>
      <c r="E64" s="80"/>
      <c r="F64" s="80"/>
      <c r="G64" s="80"/>
      <c r="H64" s="80"/>
      <c r="I64" s="80"/>
      <c r="J64" s="80"/>
    </row>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sheetData>
  <sheetProtection password="C5F7" sheet="1" objects="1" scenarios="1" formatCells="0" formatColumns="0" formatRows="0"/>
  <mergeCells count="40">
    <mergeCell ref="E52:E53"/>
    <mergeCell ref="F52:F53"/>
    <mergeCell ref="G52:G53"/>
    <mergeCell ref="H52:H53"/>
    <mergeCell ref="I52:I53"/>
    <mergeCell ref="E48:E49"/>
    <mergeCell ref="F48:F49"/>
    <mergeCell ref="G48:G49"/>
    <mergeCell ref="H48:H49"/>
    <mergeCell ref="I48:I49"/>
    <mergeCell ref="E50:E51"/>
    <mergeCell ref="F50:F51"/>
    <mergeCell ref="G50:G51"/>
    <mergeCell ref="H50:H51"/>
    <mergeCell ref="I50:I51"/>
    <mergeCell ref="F28:F29"/>
    <mergeCell ref="G28:G29"/>
    <mergeCell ref="H28:H29"/>
    <mergeCell ref="I28:I29"/>
    <mergeCell ref="E16:E17"/>
    <mergeCell ref="F16:F17"/>
    <mergeCell ref="G16:G17"/>
    <mergeCell ref="H16:H17"/>
    <mergeCell ref="I16:I17"/>
    <mergeCell ref="A54:D54"/>
    <mergeCell ref="A1:I1"/>
    <mergeCell ref="A2:I2"/>
    <mergeCell ref="E12:E13"/>
    <mergeCell ref="F12:F13"/>
    <mergeCell ref="G12:G13"/>
    <mergeCell ref="H12:H13"/>
    <mergeCell ref="I12:I13"/>
    <mergeCell ref="A7:C7"/>
    <mergeCell ref="I3:J3"/>
    <mergeCell ref="E14:E15"/>
    <mergeCell ref="F14:F15"/>
    <mergeCell ref="G14:G15"/>
    <mergeCell ref="H14:H15"/>
    <mergeCell ref="I14:I15"/>
    <mergeCell ref="E28:E2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O20"/>
  <sheetViews>
    <sheetView tabSelected="1" workbookViewId="0">
      <selection sqref="A1:R23"/>
    </sheetView>
  </sheetViews>
  <sheetFormatPr defaultRowHeight="15"/>
  <sheetData>
    <row r="2" spans="1:15" ht="26.25">
      <c r="A2" s="197" t="s">
        <v>254</v>
      </c>
      <c r="B2" s="197"/>
      <c r="C2" s="197"/>
      <c r="D2" s="197"/>
      <c r="E2" s="197"/>
      <c r="F2" s="197"/>
      <c r="G2" s="197"/>
      <c r="H2" s="197"/>
      <c r="I2" s="197"/>
      <c r="J2" s="197"/>
      <c r="K2" s="197"/>
      <c r="L2" s="159"/>
      <c r="M2" s="159"/>
      <c r="N2" s="159"/>
    </row>
    <row r="3" spans="1:15" ht="26.25">
      <c r="A3" s="197"/>
      <c r="B3" s="197"/>
      <c r="C3" s="197"/>
      <c r="D3" s="197"/>
      <c r="E3" s="197"/>
      <c r="F3" s="197"/>
      <c r="G3" s="197"/>
      <c r="H3" s="197"/>
      <c r="I3" s="197"/>
      <c r="J3" s="197"/>
      <c r="K3" s="197"/>
      <c r="L3" s="159"/>
      <c r="M3" s="159"/>
      <c r="N3" s="159"/>
    </row>
    <row r="4" spans="1:15" ht="26.25">
      <c r="A4" s="197" t="s">
        <v>255</v>
      </c>
      <c r="B4" s="197"/>
      <c r="C4" s="197"/>
      <c r="D4" s="197"/>
      <c r="E4" s="197"/>
      <c r="F4" s="197"/>
      <c r="G4" s="197"/>
      <c r="H4" s="197"/>
      <c r="I4" s="197"/>
      <c r="J4" s="197"/>
      <c r="K4" s="197"/>
      <c r="L4" s="159"/>
      <c r="M4" s="159"/>
      <c r="N4" s="159"/>
    </row>
    <row r="5" spans="1:15">
      <c r="A5" s="159"/>
      <c r="B5" s="159"/>
      <c r="C5" s="159"/>
      <c r="D5" s="159"/>
      <c r="E5" s="159"/>
      <c r="F5" s="159"/>
      <c r="G5" s="159"/>
      <c r="H5" s="159"/>
      <c r="I5" s="159"/>
      <c r="J5" s="159"/>
      <c r="K5" s="159"/>
      <c r="L5" s="159"/>
      <c r="M5" s="159"/>
      <c r="N5" s="159"/>
    </row>
    <row r="6" spans="1:15">
      <c r="A6" s="159"/>
      <c r="B6" s="159"/>
      <c r="C6" s="159"/>
      <c r="D6" s="159"/>
      <c r="E6" s="159"/>
      <c r="F6" s="159"/>
      <c r="G6" s="159"/>
      <c r="H6" s="159"/>
      <c r="I6" s="159"/>
      <c r="J6" s="159"/>
      <c r="K6" s="159"/>
      <c r="L6" s="159"/>
      <c r="M6" s="159"/>
      <c r="N6" s="159"/>
    </row>
    <row r="7" spans="1:15" ht="15.75">
      <c r="A7" s="160" t="s">
        <v>256</v>
      </c>
      <c r="B7" s="161"/>
      <c r="C7" s="161"/>
      <c r="D7" s="161"/>
      <c r="E7" s="161"/>
      <c r="F7" s="161"/>
      <c r="G7" s="161"/>
      <c r="H7" s="162"/>
      <c r="I7" s="162"/>
      <c r="J7" s="162"/>
      <c r="K7" s="162"/>
      <c r="L7" s="162"/>
      <c r="M7" s="162"/>
      <c r="N7" s="162"/>
      <c r="O7" s="163"/>
    </row>
    <row r="8" spans="1:15" ht="15.75">
      <c r="A8" s="160" t="s">
        <v>257</v>
      </c>
      <c r="B8" s="161"/>
      <c r="C8" s="161"/>
      <c r="D8" s="161"/>
      <c r="E8" s="161"/>
      <c r="F8" s="161"/>
      <c r="G8" s="161"/>
      <c r="H8" s="162"/>
      <c r="I8" s="162"/>
      <c r="J8" s="162"/>
      <c r="K8" s="162"/>
      <c r="L8" s="162"/>
      <c r="M8" s="162"/>
      <c r="N8" s="162"/>
      <c r="O8" s="163"/>
    </row>
    <row r="9" spans="1:15" ht="15.75">
      <c r="A9" s="160" t="s">
        <v>258</v>
      </c>
      <c r="B9" s="161"/>
      <c r="C9" s="161"/>
      <c r="D9" s="161"/>
      <c r="E9" s="161"/>
      <c r="F9" s="161"/>
      <c r="G9" s="161"/>
      <c r="H9" s="162"/>
      <c r="I9" s="162"/>
      <c r="J9" s="162"/>
      <c r="K9" s="162"/>
      <c r="L9" s="162"/>
      <c r="M9" s="162"/>
      <c r="N9" s="162"/>
      <c r="O9" s="163"/>
    </row>
    <row r="10" spans="1:15" ht="15.75">
      <c r="A10" s="160" t="s">
        <v>259</v>
      </c>
      <c r="B10" s="161"/>
      <c r="C10" s="161"/>
      <c r="D10" s="161"/>
      <c r="E10" s="161"/>
      <c r="F10" s="161"/>
      <c r="G10" s="161"/>
      <c r="H10" s="162"/>
      <c r="I10" s="162"/>
      <c r="J10" s="162"/>
      <c r="K10" s="162"/>
      <c r="L10" s="162"/>
      <c r="M10" s="162"/>
      <c r="N10" s="162"/>
      <c r="O10" s="163"/>
    </row>
    <row r="11" spans="1:15">
      <c r="A11" s="164"/>
      <c r="B11" s="162"/>
      <c r="C11" s="162"/>
      <c r="D11" s="162"/>
      <c r="E11" s="162"/>
      <c r="F11" s="162"/>
      <c r="G11" s="162"/>
      <c r="H11" s="162"/>
      <c r="I11" s="162"/>
      <c r="J11" s="162"/>
      <c r="K11" s="162"/>
      <c r="L11" s="162"/>
      <c r="M11" s="162"/>
      <c r="N11" s="162"/>
      <c r="O11" s="163"/>
    </row>
    <row r="12" spans="1:15" ht="15.75">
      <c r="A12" s="165"/>
      <c r="B12" s="166" t="s">
        <v>260</v>
      </c>
      <c r="C12" s="161"/>
      <c r="D12" s="161"/>
      <c r="E12" s="161"/>
      <c r="F12" s="161"/>
      <c r="G12" s="161"/>
      <c r="H12" s="161"/>
      <c r="I12" s="161"/>
      <c r="J12" s="161"/>
      <c r="K12" s="161"/>
      <c r="L12" s="161"/>
      <c r="M12" s="162"/>
      <c r="N12" s="162"/>
      <c r="O12" s="163"/>
    </row>
    <row r="13" spans="1:15" ht="15.75">
      <c r="A13" s="165"/>
      <c r="B13" s="161" t="s">
        <v>261</v>
      </c>
      <c r="C13" s="161"/>
      <c r="D13" s="161"/>
      <c r="E13" s="161"/>
      <c r="F13" s="161"/>
      <c r="G13" s="161"/>
      <c r="H13" s="161"/>
      <c r="I13" s="161"/>
      <c r="J13" s="161"/>
      <c r="K13" s="161"/>
      <c r="L13" s="161"/>
      <c r="M13" s="162"/>
      <c r="N13" s="162"/>
      <c r="O13" s="163"/>
    </row>
    <row r="14" spans="1:15" ht="15.75">
      <c r="A14" s="165"/>
      <c r="B14" s="161"/>
      <c r="C14" s="161"/>
      <c r="D14" s="161"/>
      <c r="E14" s="161"/>
      <c r="F14" s="161"/>
      <c r="G14" s="161"/>
      <c r="H14" s="161"/>
      <c r="I14" s="161"/>
      <c r="J14" s="161"/>
      <c r="K14" s="161"/>
      <c r="L14" s="161"/>
      <c r="M14" s="162"/>
      <c r="N14" s="162"/>
      <c r="O14" s="163"/>
    </row>
    <row r="15" spans="1:15" ht="15.75">
      <c r="A15" s="165"/>
      <c r="B15" s="161" t="s">
        <v>262</v>
      </c>
      <c r="C15" s="161"/>
      <c r="D15" s="161"/>
      <c r="E15" s="161"/>
      <c r="F15" s="161"/>
      <c r="G15" s="161"/>
      <c r="H15" s="161"/>
      <c r="I15" s="161"/>
      <c r="J15" s="161"/>
      <c r="K15" s="161"/>
      <c r="L15" s="161"/>
      <c r="M15" s="162"/>
      <c r="N15" s="162"/>
      <c r="O15" s="163"/>
    </row>
    <row r="16" spans="1:15">
      <c r="A16" s="167"/>
      <c r="B16" s="167"/>
      <c r="C16" s="167"/>
      <c r="D16" s="167"/>
      <c r="E16" s="167"/>
      <c r="F16" s="167"/>
      <c r="G16" s="167"/>
      <c r="H16" s="167"/>
      <c r="I16" s="167"/>
      <c r="J16" s="167"/>
      <c r="K16" s="167"/>
      <c r="L16" s="167"/>
      <c r="M16" s="167"/>
      <c r="N16" s="167"/>
      <c r="O16" s="167"/>
    </row>
    <row r="17" spans="1:15" ht="15.75">
      <c r="A17" s="167"/>
      <c r="B17" s="166" t="s">
        <v>263</v>
      </c>
      <c r="C17" s="168"/>
      <c r="D17" s="168"/>
      <c r="E17" s="168"/>
      <c r="F17" s="168"/>
      <c r="G17" s="167"/>
      <c r="H17" s="167"/>
      <c r="I17" s="167"/>
      <c r="J17" s="167"/>
      <c r="K17" s="167"/>
      <c r="L17" s="167"/>
      <c r="M17" s="167"/>
      <c r="N17" s="167"/>
      <c r="O17" s="167"/>
    </row>
    <row r="20" spans="1:15" ht="19.5">
      <c r="A20" s="169" t="s">
        <v>264</v>
      </c>
      <c r="B20" s="169"/>
      <c r="C20" s="169"/>
      <c r="D20" s="169"/>
      <c r="E20" s="169"/>
      <c r="F20" s="169"/>
      <c r="G20" s="169"/>
      <c r="H20" s="169"/>
      <c r="I20" s="170"/>
      <c r="J20" s="171"/>
      <c r="K20" s="171"/>
    </row>
  </sheetData>
  <mergeCells count="3">
    <mergeCell ref="A2:K2"/>
    <mergeCell ref="A3:K3"/>
    <mergeCell ref="A4:K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 chandarashy</dc:creator>
  <cp:lastModifiedBy>Administrator</cp:lastModifiedBy>
  <dcterms:created xsi:type="dcterms:W3CDTF">2011-12-22T03:00:42Z</dcterms:created>
  <dcterms:modified xsi:type="dcterms:W3CDTF">2012-04-23T08:11:25Z</dcterms:modified>
</cp:coreProperties>
</file>